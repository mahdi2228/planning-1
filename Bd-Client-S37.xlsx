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MA\Downloads\"/>
    </mc:Choice>
  </mc:AlternateContent>
  <xr:revisionPtr revIDLastSave="0" documentId="8_{AF615077-E419-4DB6-9D69-A73FA4CD636C}" xr6:coauthVersionLast="47" xr6:coauthVersionMax="47" xr10:uidLastSave="{00000000-0000-0000-0000-000000000000}"/>
  <bookViews>
    <workbookView xWindow="-120" yWindow="-120" windowWidth="29040" windowHeight="15720" xr2:uid="{42102520-0E39-467B-932B-CD514A35F880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04" i="1" l="1"/>
  <c r="Z601" i="1"/>
  <c r="AA601" i="1" s="1"/>
  <c r="W601" i="1"/>
  <c r="X601" i="1" s="1"/>
  <c r="F601" i="1"/>
  <c r="G601" i="1" s="1"/>
  <c r="E601" i="1"/>
  <c r="AB600" i="1"/>
  <c r="Z600" i="1"/>
  <c r="AA600" i="1" s="1"/>
  <c r="W600" i="1"/>
  <c r="X600" i="1" s="1"/>
  <c r="F600" i="1"/>
  <c r="G600" i="1" s="1"/>
  <c r="E600" i="1"/>
  <c r="Z599" i="1"/>
  <c r="AA599" i="1" s="1"/>
  <c r="W599" i="1"/>
  <c r="X599" i="1" s="1"/>
  <c r="F599" i="1"/>
  <c r="G599" i="1" s="1"/>
  <c r="E599" i="1"/>
  <c r="Z598" i="1"/>
  <c r="AA598" i="1" s="1"/>
  <c r="W598" i="1"/>
  <c r="X598" i="1" s="1"/>
  <c r="G598" i="1"/>
  <c r="F598" i="1"/>
  <c r="E598" i="1"/>
  <c r="AA597" i="1"/>
  <c r="Z597" i="1"/>
  <c r="W597" i="1"/>
  <c r="X597" i="1" s="1"/>
  <c r="F597" i="1"/>
  <c r="G597" i="1" s="1"/>
  <c r="E597" i="1"/>
  <c r="AD596" i="1"/>
  <c r="AA596" i="1"/>
  <c r="Z596" i="1"/>
  <c r="W596" i="1"/>
  <c r="X596" i="1" s="1"/>
  <c r="F596" i="1"/>
  <c r="G596" i="1" s="1"/>
  <c r="E596" i="1"/>
  <c r="AD595" i="1"/>
  <c r="AE595" i="1" s="1"/>
  <c r="AC595" i="1"/>
  <c r="AB595" i="1"/>
  <c r="AA595" i="1"/>
  <c r="Z595" i="1"/>
  <c r="X595" i="1"/>
  <c r="W595" i="1"/>
  <c r="F595" i="1"/>
  <c r="G595" i="1" s="1"/>
  <c r="E595" i="1"/>
  <c r="AD594" i="1"/>
  <c r="AC594" i="1"/>
  <c r="AB594" i="1"/>
  <c r="AE594" i="1" s="1"/>
  <c r="AA594" i="1"/>
  <c r="Z594" i="1"/>
  <c r="X594" i="1"/>
  <c r="W594" i="1"/>
  <c r="F594" i="1"/>
  <c r="G594" i="1" s="1"/>
  <c r="E594" i="1"/>
  <c r="AB593" i="1"/>
  <c r="Z593" i="1"/>
  <c r="AA593" i="1" s="1"/>
  <c r="X593" i="1"/>
  <c r="W593" i="1"/>
  <c r="F593" i="1"/>
  <c r="G593" i="1" s="1"/>
  <c r="E593" i="1"/>
  <c r="AD592" i="1"/>
  <c r="AC592" i="1"/>
  <c r="AB592" i="1"/>
  <c r="AE592" i="1" s="1"/>
  <c r="Z592" i="1"/>
  <c r="AA592" i="1" s="1"/>
  <c r="W592" i="1"/>
  <c r="X592" i="1" s="1"/>
  <c r="G592" i="1"/>
  <c r="F592" i="1"/>
  <c r="E592" i="1"/>
  <c r="AE591" i="1"/>
  <c r="AD591" i="1"/>
  <c r="AC591" i="1"/>
  <c r="AB591" i="1"/>
  <c r="Z591" i="1"/>
  <c r="AA591" i="1" s="1"/>
  <c r="W591" i="1"/>
  <c r="X591" i="1" s="1"/>
  <c r="G591" i="1"/>
  <c r="F591" i="1"/>
  <c r="E591" i="1"/>
  <c r="AD590" i="1"/>
  <c r="AC590" i="1"/>
  <c r="AB590" i="1"/>
  <c r="Z590" i="1"/>
  <c r="AA590" i="1" s="1"/>
  <c r="W590" i="1"/>
  <c r="X590" i="1" s="1"/>
  <c r="F590" i="1"/>
  <c r="G590" i="1" s="1"/>
  <c r="E590" i="1"/>
  <c r="AC589" i="1"/>
  <c r="AB589" i="1"/>
  <c r="AE589" i="1" s="1"/>
  <c r="AA589" i="1"/>
  <c r="Z589" i="1"/>
  <c r="W589" i="1"/>
  <c r="X589" i="1" s="1"/>
  <c r="F589" i="1"/>
  <c r="G589" i="1" s="1"/>
  <c r="E589" i="1"/>
  <c r="AD589" i="1" s="1"/>
  <c r="AB588" i="1"/>
  <c r="Z588" i="1"/>
  <c r="AA588" i="1" s="1"/>
  <c r="W588" i="1"/>
  <c r="X588" i="1" s="1"/>
  <c r="G588" i="1"/>
  <c r="F588" i="1"/>
  <c r="E588" i="1"/>
  <c r="Z587" i="1"/>
  <c r="AA587" i="1" s="1"/>
  <c r="X587" i="1"/>
  <c r="W587" i="1"/>
  <c r="G587" i="1"/>
  <c r="F587" i="1"/>
  <c r="E587" i="1"/>
  <c r="Z586" i="1"/>
  <c r="AA586" i="1" s="1"/>
  <c r="W586" i="1"/>
  <c r="X586" i="1" s="1"/>
  <c r="F586" i="1"/>
  <c r="G586" i="1" s="1"/>
  <c r="E586" i="1"/>
  <c r="AE585" i="1"/>
  <c r="AD585" i="1"/>
  <c r="AC585" i="1"/>
  <c r="Z585" i="1"/>
  <c r="AA585" i="1" s="1"/>
  <c r="W585" i="1"/>
  <c r="X585" i="1" s="1"/>
  <c r="G585" i="1"/>
  <c r="F585" i="1"/>
  <c r="E585" i="1"/>
  <c r="AB585" i="1" s="1"/>
  <c r="AD584" i="1"/>
  <c r="AC584" i="1"/>
  <c r="AB584" i="1"/>
  <c r="AE584" i="1" s="1"/>
  <c r="AA584" i="1"/>
  <c r="Z584" i="1"/>
  <c r="W584" i="1"/>
  <c r="X584" i="1" s="1"/>
  <c r="G584" i="1"/>
  <c r="F584" i="1"/>
  <c r="E584" i="1"/>
  <c r="AA583" i="1"/>
  <c r="Z583" i="1"/>
  <c r="W583" i="1"/>
  <c r="X583" i="1" s="1"/>
  <c r="F583" i="1"/>
  <c r="G583" i="1" s="1"/>
  <c r="E583" i="1"/>
  <c r="AD582" i="1"/>
  <c r="Z582" i="1"/>
  <c r="AA582" i="1" s="1"/>
  <c r="X582" i="1"/>
  <c r="W582" i="1"/>
  <c r="F582" i="1"/>
  <c r="G582" i="1" s="1"/>
  <c r="E582" i="1"/>
  <c r="AD581" i="1"/>
  <c r="AC581" i="1"/>
  <c r="AB581" i="1"/>
  <c r="AE581" i="1" s="1"/>
  <c r="Z581" i="1"/>
  <c r="AA581" i="1" s="1"/>
  <c r="X581" i="1"/>
  <c r="W581" i="1"/>
  <c r="F581" i="1"/>
  <c r="G581" i="1" s="1"/>
  <c r="E581" i="1"/>
  <c r="AD580" i="1"/>
  <c r="AC580" i="1"/>
  <c r="AB580" i="1"/>
  <c r="AE580" i="1" s="1"/>
  <c r="Z580" i="1"/>
  <c r="AA580" i="1" s="1"/>
  <c r="W580" i="1"/>
  <c r="X580" i="1" s="1"/>
  <c r="G580" i="1"/>
  <c r="F580" i="1"/>
  <c r="E580" i="1"/>
  <c r="AD579" i="1"/>
  <c r="AC579" i="1"/>
  <c r="AB579" i="1"/>
  <c r="AE579" i="1" s="1"/>
  <c r="Z579" i="1"/>
  <c r="AA579" i="1" s="1"/>
  <c r="X579" i="1"/>
  <c r="W579" i="1"/>
  <c r="G579" i="1"/>
  <c r="F579" i="1"/>
  <c r="E579" i="1"/>
  <c r="AD578" i="1"/>
  <c r="AC578" i="1"/>
  <c r="AB578" i="1"/>
  <c r="Z578" i="1"/>
  <c r="AA578" i="1" s="1"/>
  <c r="W578" i="1"/>
  <c r="X578" i="1" s="1"/>
  <c r="G578" i="1"/>
  <c r="F578" i="1"/>
  <c r="E578" i="1"/>
  <c r="AB577" i="1"/>
  <c r="Z577" i="1"/>
  <c r="AA577" i="1" s="1"/>
  <c r="X577" i="1"/>
  <c r="W577" i="1"/>
  <c r="F577" i="1"/>
  <c r="G577" i="1" s="1"/>
  <c r="E577" i="1"/>
  <c r="Z576" i="1"/>
  <c r="AA576" i="1" s="1"/>
  <c r="W576" i="1"/>
  <c r="X576" i="1" s="1"/>
  <c r="F576" i="1"/>
  <c r="G576" i="1" s="1"/>
  <c r="E576" i="1"/>
  <c r="AA575" i="1"/>
  <c r="Z575" i="1"/>
  <c r="W575" i="1"/>
  <c r="X575" i="1" s="1"/>
  <c r="F575" i="1"/>
  <c r="G575" i="1" s="1"/>
  <c r="E575" i="1"/>
  <c r="AD574" i="1"/>
  <c r="Z574" i="1"/>
  <c r="AA574" i="1" s="1"/>
  <c r="X574" i="1"/>
  <c r="W574" i="1"/>
  <c r="G574" i="1"/>
  <c r="F574" i="1"/>
  <c r="E574" i="1"/>
  <c r="Z573" i="1"/>
  <c r="AA573" i="1" s="1"/>
  <c r="W573" i="1"/>
  <c r="X573" i="1" s="1"/>
  <c r="G573" i="1"/>
  <c r="F573" i="1"/>
  <c r="E573" i="1"/>
  <c r="AC572" i="1"/>
  <c r="AA572" i="1"/>
  <c r="Z572" i="1"/>
  <c r="W572" i="1"/>
  <c r="X572" i="1" s="1"/>
  <c r="F572" i="1"/>
  <c r="G572" i="1" s="1"/>
  <c r="E572" i="1"/>
  <c r="AD571" i="1"/>
  <c r="AE571" i="1" s="1"/>
  <c r="AC571" i="1"/>
  <c r="AB571" i="1"/>
  <c r="AA571" i="1"/>
  <c r="Z571" i="1"/>
  <c r="W571" i="1"/>
  <c r="X571" i="1" s="1"/>
  <c r="G571" i="1"/>
  <c r="F571" i="1"/>
  <c r="E571" i="1"/>
  <c r="AE570" i="1"/>
  <c r="AD570" i="1"/>
  <c r="AC570" i="1"/>
  <c r="AB570" i="1"/>
  <c r="AA570" i="1"/>
  <c r="Z570" i="1"/>
  <c r="X570" i="1"/>
  <c r="W570" i="1"/>
  <c r="F570" i="1"/>
  <c r="G570" i="1" s="1"/>
  <c r="E570" i="1"/>
  <c r="AB569" i="1"/>
  <c r="Z569" i="1"/>
  <c r="AA569" i="1" s="1"/>
  <c r="X569" i="1"/>
  <c r="W569" i="1"/>
  <c r="F569" i="1"/>
  <c r="G569" i="1" s="1"/>
  <c r="E569" i="1"/>
  <c r="AD568" i="1"/>
  <c r="AC568" i="1"/>
  <c r="AB568" i="1"/>
  <c r="AE568" i="1" s="1"/>
  <c r="Z568" i="1"/>
  <c r="AA568" i="1" s="1"/>
  <c r="X568" i="1"/>
  <c r="W568" i="1"/>
  <c r="G568" i="1"/>
  <c r="F568" i="1"/>
  <c r="E568" i="1"/>
  <c r="AE567" i="1"/>
  <c r="AD567" i="1"/>
  <c r="AC567" i="1"/>
  <c r="AB567" i="1"/>
  <c r="Z567" i="1"/>
  <c r="AA567" i="1" s="1"/>
  <c r="W567" i="1"/>
  <c r="X567" i="1" s="1"/>
  <c r="G567" i="1"/>
  <c r="F567" i="1"/>
  <c r="E567" i="1"/>
  <c r="AD566" i="1"/>
  <c r="AC566" i="1"/>
  <c r="AB566" i="1"/>
  <c r="AA566" i="1"/>
  <c r="Z566" i="1"/>
  <c r="W566" i="1"/>
  <c r="X566" i="1" s="1"/>
  <c r="F566" i="1"/>
  <c r="G566" i="1" s="1"/>
  <c r="E566" i="1"/>
  <c r="AC565" i="1"/>
  <c r="AB565" i="1"/>
  <c r="AE565" i="1" s="1"/>
  <c r="AA565" i="1"/>
  <c r="Z565" i="1"/>
  <c r="W565" i="1"/>
  <c r="X565" i="1" s="1"/>
  <c r="F565" i="1"/>
  <c r="G565" i="1" s="1"/>
  <c r="E565" i="1"/>
  <c r="AD565" i="1" s="1"/>
  <c r="AB564" i="1"/>
  <c r="Z564" i="1"/>
  <c r="AA564" i="1" s="1"/>
  <c r="X564" i="1"/>
  <c r="W564" i="1"/>
  <c r="F564" i="1"/>
  <c r="G564" i="1" s="1"/>
  <c r="E564" i="1"/>
  <c r="Z563" i="1"/>
  <c r="AA563" i="1" s="1"/>
  <c r="X563" i="1"/>
  <c r="W563" i="1"/>
  <c r="F563" i="1"/>
  <c r="G563" i="1" s="1"/>
  <c r="E563" i="1"/>
  <c r="AD562" i="1"/>
  <c r="Z562" i="1"/>
  <c r="AA562" i="1" s="1"/>
  <c r="W562" i="1"/>
  <c r="X562" i="1" s="1"/>
  <c r="F562" i="1"/>
  <c r="G562" i="1" s="1"/>
  <c r="E562" i="1"/>
  <c r="AD561" i="1"/>
  <c r="AE561" i="1" s="1"/>
  <c r="AC561" i="1"/>
  <c r="Z561" i="1"/>
  <c r="AA561" i="1" s="1"/>
  <c r="W561" i="1"/>
  <c r="X561" i="1" s="1"/>
  <c r="G561" i="1"/>
  <c r="F561" i="1"/>
  <c r="E561" i="1"/>
  <c r="AB561" i="1" s="1"/>
  <c r="AD560" i="1"/>
  <c r="AC560" i="1"/>
  <c r="AB560" i="1"/>
  <c r="AA560" i="1"/>
  <c r="Z560" i="1"/>
  <c r="W560" i="1"/>
  <c r="X560" i="1" s="1"/>
  <c r="F560" i="1"/>
  <c r="G560" i="1" s="1"/>
  <c r="E560" i="1"/>
  <c r="AA559" i="1"/>
  <c r="Z559" i="1"/>
  <c r="X559" i="1"/>
  <c r="W559" i="1"/>
  <c r="G559" i="1"/>
  <c r="F559" i="1"/>
  <c r="E559" i="1"/>
  <c r="Z558" i="1"/>
  <c r="AA558" i="1" s="1"/>
  <c r="X558" i="1"/>
  <c r="W558" i="1"/>
  <c r="F558" i="1"/>
  <c r="G558" i="1" s="1"/>
  <c r="E558" i="1"/>
  <c r="AE557" i="1"/>
  <c r="AD557" i="1"/>
  <c r="AC557" i="1"/>
  <c r="AA557" i="1"/>
  <c r="Z557" i="1"/>
  <c r="X557" i="1"/>
  <c r="W557" i="1"/>
  <c r="F557" i="1"/>
  <c r="G557" i="1" s="1"/>
  <c r="E557" i="1"/>
  <c r="AB557" i="1" s="1"/>
  <c r="AD556" i="1"/>
  <c r="AC556" i="1"/>
  <c r="AB556" i="1"/>
  <c r="AE556" i="1" s="1"/>
  <c r="AA556" i="1"/>
  <c r="Z556" i="1"/>
  <c r="X556" i="1"/>
  <c r="W556" i="1"/>
  <c r="G556" i="1"/>
  <c r="F556" i="1"/>
  <c r="E556" i="1"/>
  <c r="AD555" i="1"/>
  <c r="AC555" i="1"/>
  <c r="AB555" i="1"/>
  <c r="AE555" i="1" s="1"/>
  <c r="Z555" i="1"/>
  <c r="AA555" i="1" s="1"/>
  <c r="W555" i="1"/>
  <c r="X555" i="1" s="1"/>
  <c r="F555" i="1"/>
  <c r="G555" i="1" s="1"/>
  <c r="E555" i="1"/>
  <c r="AD554" i="1"/>
  <c r="AC554" i="1"/>
  <c r="AB554" i="1"/>
  <c r="AE554" i="1" s="1"/>
  <c r="Z554" i="1"/>
  <c r="AA554" i="1" s="1"/>
  <c r="W554" i="1"/>
  <c r="X554" i="1" s="1"/>
  <c r="F554" i="1"/>
  <c r="G554" i="1" s="1"/>
  <c r="E554" i="1"/>
  <c r="AC553" i="1"/>
  <c r="AB553" i="1"/>
  <c r="AE553" i="1" s="1"/>
  <c r="AA553" i="1"/>
  <c r="Z553" i="1"/>
  <c r="W553" i="1"/>
  <c r="X553" i="1" s="1"/>
  <c r="F553" i="1"/>
  <c r="G553" i="1" s="1"/>
  <c r="E553" i="1"/>
  <c r="AD553" i="1" s="1"/>
  <c r="Z552" i="1"/>
  <c r="AA552" i="1" s="1"/>
  <c r="W552" i="1"/>
  <c r="X552" i="1" s="1"/>
  <c r="F552" i="1"/>
  <c r="G552" i="1" s="1"/>
  <c r="E552" i="1"/>
  <c r="AA551" i="1"/>
  <c r="Z551" i="1"/>
  <c r="X551" i="1"/>
  <c r="W551" i="1"/>
  <c r="G551" i="1"/>
  <c r="F551" i="1"/>
  <c r="E551" i="1"/>
  <c r="AD550" i="1"/>
  <c r="AE550" i="1" s="1"/>
  <c r="AC550" i="1"/>
  <c r="Z550" i="1"/>
  <c r="AA550" i="1" s="1"/>
  <c r="W550" i="1"/>
  <c r="X550" i="1" s="1"/>
  <c r="F550" i="1"/>
  <c r="G550" i="1" s="1"/>
  <c r="E550" i="1"/>
  <c r="AB550" i="1" s="1"/>
  <c r="AD549" i="1"/>
  <c r="AE549" i="1" s="1"/>
  <c r="AC549" i="1"/>
  <c r="AB549" i="1"/>
  <c r="Z549" i="1"/>
  <c r="AA549" i="1" s="1"/>
  <c r="W549" i="1"/>
  <c r="X549" i="1" s="1"/>
  <c r="G549" i="1"/>
  <c r="F549" i="1"/>
  <c r="E549" i="1"/>
  <c r="AA548" i="1"/>
  <c r="Z548" i="1"/>
  <c r="W548" i="1"/>
  <c r="X548" i="1" s="1"/>
  <c r="F548" i="1"/>
  <c r="G548" i="1" s="1"/>
  <c r="E548" i="1"/>
  <c r="AA547" i="1"/>
  <c r="Z547" i="1"/>
  <c r="W547" i="1"/>
  <c r="X547" i="1" s="1"/>
  <c r="F547" i="1"/>
  <c r="G547" i="1" s="1"/>
  <c r="E547" i="1"/>
  <c r="AD546" i="1"/>
  <c r="AE546" i="1" s="1"/>
  <c r="AC546" i="1"/>
  <c r="AA546" i="1"/>
  <c r="Z546" i="1"/>
  <c r="X546" i="1"/>
  <c r="W546" i="1"/>
  <c r="F546" i="1"/>
  <c r="G546" i="1" s="1"/>
  <c r="E546" i="1"/>
  <c r="AB546" i="1" s="1"/>
  <c r="AD545" i="1"/>
  <c r="AC545" i="1"/>
  <c r="AB545" i="1"/>
  <c r="AE545" i="1" s="1"/>
  <c r="AA545" i="1"/>
  <c r="Z545" i="1"/>
  <c r="X545" i="1"/>
  <c r="W545" i="1"/>
  <c r="F545" i="1"/>
  <c r="G545" i="1" s="1"/>
  <c r="E545" i="1"/>
  <c r="AD544" i="1"/>
  <c r="AC544" i="1"/>
  <c r="AB544" i="1"/>
  <c r="AE544" i="1" s="1"/>
  <c r="AA544" i="1"/>
  <c r="Z544" i="1"/>
  <c r="X544" i="1"/>
  <c r="W544" i="1"/>
  <c r="G544" i="1"/>
  <c r="F544" i="1"/>
  <c r="E544" i="1"/>
  <c r="AD543" i="1"/>
  <c r="AC543" i="1"/>
  <c r="AB543" i="1"/>
  <c r="AE543" i="1" s="1"/>
  <c r="Z543" i="1"/>
  <c r="AA543" i="1" s="1"/>
  <c r="X543" i="1"/>
  <c r="W543" i="1"/>
  <c r="F543" i="1"/>
  <c r="G543" i="1" s="1"/>
  <c r="E543" i="1"/>
  <c r="AD542" i="1"/>
  <c r="AC542" i="1"/>
  <c r="AB542" i="1"/>
  <c r="Z542" i="1"/>
  <c r="AA542" i="1" s="1"/>
  <c r="W542" i="1"/>
  <c r="X542" i="1" s="1"/>
  <c r="G542" i="1"/>
  <c r="F542" i="1"/>
  <c r="E542" i="1"/>
  <c r="AA541" i="1"/>
  <c r="Z541" i="1"/>
  <c r="W541" i="1"/>
  <c r="X541" i="1" s="1"/>
  <c r="G541" i="1"/>
  <c r="F541" i="1"/>
  <c r="E541" i="1"/>
  <c r="Z540" i="1"/>
  <c r="AA540" i="1" s="1"/>
  <c r="W540" i="1"/>
  <c r="X540" i="1" s="1"/>
  <c r="G540" i="1"/>
  <c r="F540" i="1"/>
  <c r="E540" i="1"/>
  <c r="AA539" i="1"/>
  <c r="Z539" i="1"/>
  <c r="X539" i="1"/>
  <c r="W539" i="1"/>
  <c r="G539" i="1"/>
  <c r="F539" i="1"/>
  <c r="E539" i="1"/>
  <c r="AE538" i="1"/>
  <c r="AD538" i="1"/>
  <c r="AC538" i="1"/>
  <c r="Z538" i="1"/>
  <c r="AA538" i="1" s="1"/>
  <c r="X538" i="1"/>
  <c r="W538" i="1"/>
  <c r="F538" i="1"/>
  <c r="G538" i="1" s="1"/>
  <c r="E538" i="1"/>
  <c r="AB538" i="1" s="1"/>
  <c r="AB537" i="1"/>
  <c r="Z537" i="1"/>
  <c r="AA537" i="1" s="1"/>
  <c r="X537" i="1"/>
  <c r="W537" i="1"/>
  <c r="G537" i="1"/>
  <c r="F537" i="1"/>
  <c r="E537" i="1"/>
  <c r="AA536" i="1"/>
  <c r="Z536" i="1"/>
  <c r="W536" i="1"/>
  <c r="X536" i="1" s="1"/>
  <c r="F536" i="1"/>
  <c r="G536" i="1" s="1"/>
  <c r="E536" i="1"/>
  <c r="AE535" i="1"/>
  <c r="AD535" i="1"/>
  <c r="AC535" i="1"/>
  <c r="AA535" i="1"/>
  <c r="Z535" i="1"/>
  <c r="X535" i="1"/>
  <c r="W535" i="1"/>
  <c r="G535" i="1"/>
  <c r="F535" i="1"/>
  <c r="E535" i="1"/>
  <c r="AB535" i="1" s="1"/>
  <c r="AD534" i="1"/>
  <c r="AE534" i="1" s="1"/>
  <c r="AC534" i="1"/>
  <c r="AB534" i="1"/>
  <c r="Z534" i="1"/>
  <c r="AA534" i="1" s="1"/>
  <c r="X534" i="1"/>
  <c r="W534" i="1"/>
  <c r="F534" i="1"/>
  <c r="G534" i="1" s="1"/>
  <c r="E534" i="1"/>
  <c r="Z533" i="1"/>
  <c r="AA533" i="1" s="1"/>
  <c r="W533" i="1"/>
  <c r="X533" i="1" s="1"/>
  <c r="F533" i="1"/>
  <c r="G533" i="1" s="1"/>
  <c r="E533" i="1"/>
  <c r="AE532" i="1"/>
  <c r="AD532" i="1"/>
  <c r="AC532" i="1"/>
  <c r="AB532" i="1"/>
  <c r="Z532" i="1"/>
  <c r="AA532" i="1" s="1"/>
  <c r="X532" i="1"/>
  <c r="W532" i="1"/>
  <c r="G532" i="1"/>
  <c r="F532" i="1"/>
  <c r="E532" i="1"/>
  <c r="AD531" i="1"/>
  <c r="AE531" i="1" s="1"/>
  <c r="AC531" i="1"/>
  <c r="AB531" i="1"/>
  <c r="AA531" i="1"/>
  <c r="Z531" i="1"/>
  <c r="W531" i="1"/>
  <c r="X531" i="1" s="1"/>
  <c r="G531" i="1"/>
  <c r="F531" i="1"/>
  <c r="E531" i="1"/>
  <c r="AC530" i="1"/>
  <c r="AB530" i="1"/>
  <c r="AE530" i="1" s="1"/>
  <c r="Z530" i="1"/>
  <c r="AA530" i="1" s="1"/>
  <c r="X530" i="1"/>
  <c r="W530" i="1"/>
  <c r="F530" i="1"/>
  <c r="G530" i="1" s="1"/>
  <c r="E530" i="1"/>
  <c r="AD530" i="1" s="1"/>
  <c r="Z529" i="1"/>
  <c r="AA529" i="1" s="1"/>
  <c r="X529" i="1"/>
  <c r="W529" i="1"/>
  <c r="F529" i="1"/>
  <c r="G529" i="1" s="1"/>
  <c r="E529" i="1"/>
  <c r="AB528" i="1"/>
  <c r="AA528" i="1"/>
  <c r="Z528" i="1"/>
  <c r="X528" i="1"/>
  <c r="W528" i="1"/>
  <c r="F528" i="1"/>
  <c r="G528" i="1" s="1"/>
  <c r="E528" i="1"/>
  <c r="AD527" i="1"/>
  <c r="Z527" i="1"/>
  <c r="AA527" i="1" s="1"/>
  <c r="W527" i="1"/>
  <c r="X527" i="1" s="1"/>
  <c r="F527" i="1"/>
  <c r="G527" i="1" s="1"/>
  <c r="E527" i="1"/>
  <c r="Z526" i="1"/>
  <c r="AA526" i="1" s="1"/>
  <c r="W526" i="1"/>
  <c r="X526" i="1" s="1"/>
  <c r="G526" i="1"/>
  <c r="F526" i="1"/>
  <c r="E526" i="1"/>
  <c r="Z525" i="1"/>
  <c r="AA525" i="1" s="1"/>
  <c r="W525" i="1"/>
  <c r="X525" i="1" s="1"/>
  <c r="G525" i="1"/>
  <c r="F525" i="1"/>
  <c r="E525" i="1"/>
  <c r="AD524" i="1"/>
  <c r="AA524" i="1"/>
  <c r="Z524" i="1"/>
  <c r="W524" i="1"/>
  <c r="X524" i="1" s="1"/>
  <c r="G524" i="1"/>
  <c r="F524" i="1"/>
  <c r="E524" i="1"/>
  <c r="AB523" i="1"/>
  <c r="Z523" i="1"/>
  <c r="AA523" i="1" s="1"/>
  <c r="W523" i="1"/>
  <c r="X523" i="1" s="1"/>
  <c r="F523" i="1"/>
  <c r="G523" i="1" s="1"/>
  <c r="E523" i="1"/>
  <c r="AA522" i="1"/>
  <c r="Z522" i="1"/>
  <c r="X522" i="1"/>
  <c r="W522" i="1"/>
  <c r="F522" i="1"/>
  <c r="G522" i="1" s="1"/>
  <c r="E522" i="1"/>
  <c r="AE521" i="1"/>
  <c r="AD521" i="1"/>
  <c r="AC521" i="1"/>
  <c r="AB521" i="1"/>
  <c r="Z521" i="1"/>
  <c r="AA521" i="1" s="1"/>
  <c r="X521" i="1"/>
  <c r="W521" i="1"/>
  <c r="F521" i="1"/>
  <c r="G521" i="1" s="1"/>
  <c r="E521" i="1"/>
  <c r="AD520" i="1"/>
  <c r="AC520" i="1"/>
  <c r="AB520" i="1"/>
  <c r="AE520" i="1" s="1"/>
  <c r="AA520" i="1"/>
  <c r="Z520" i="1"/>
  <c r="W520" i="1"/>
  <c r="X520" i="1" s="1"/>
  <c r="G520" i="1"/>
  <c r="F520" i="1"/>
  <c r="E520" i="1"/>
  <c r="AD519" i="1"/>
  <c r="AC519" i="1"/>
  <c r="AB519" i="1"/>
  <c r="AE519" i="1" s="1"/>
  <c r="Z519" i="1"/>
  <c r="AA519" i="1" s="1"/>
  <c r="W519" i="1"/>
  <c r="X519" i="1" s="1"/>
  <c r="F519" i="1"/>
  <c r="G519" i="1" s="1"/>
  <c r="E519" i="1"/>
  <c r="AA518" i="1"/>
  <c r="Z518" i="1"/>
  <c r="X518" i="1"/>
  <c r="W518" i="1"/>
  <c r="G518" i="1"/>
  <c r="F518" i="1"/>
  <c r="E518" i="1"/>
  <c r="AC517" i="1"/>
  <c r="AB517" i="1"/>
  <c r="AE517" i="1" s="1"/>
  <c r="Z517" i="1"/>
  <c r="AA517" i="1" s="1"/>
  <c r="W517" i="1"/>
  <c r="X517" i="1" s="1"/>
  <c r="G517" i="1"/>
  <c r="F517" i="1"/>
  <c r="E517" i="1"/>
  <c r="AD517" i="1" s="1"/>
  <c r="AB516" i="1"/>
  <c r="AA516" i="1"/>
  <c r="Z516" i="1"/>
  <c r="X516" i="1"/>
  <c r="W516" i="1"/>
  <c r="G516" i="1"/>
  <c r="F516" i="1"/>
  <c r="E516" i="1"/>
  <c r="AD515" i="1"/>
  <c r="Z515" i="1"/>
  <c r="AA515" i="1" s="1"/>
  <c r="X515" i="1"/>
  <c r="W515" i="1"/>
  <c r="G515" i="1"/>
  <c r="F515" i="1"/>
  <c r="E515" i="1"/>
  <c r="AC514" i="1"/>
  <c r="Z514" i="1"/>
  <c r="AA514" i="1" s="1"/>
  <c r="W514" i="1"/>
  <c r="X514" i="1" s="1"/>
  <c r="F514" i="1"/>
  <c r="G514" i="1" s="1"/>
  <c r="E514" i="1"/>
  <c r="AD513" i="1"/>
  <c r="Z513" i="1"/>
  <c r="AA513" i="1" s="1"/>
  <c r="X513" i="1"/>
  <c r="W513" i="1"/>
  <c r="G513" i="1"/>
  <c r="F513" i="1"/>
  <c r="E513" i="1"/>
  <c r="AD512" i="1"/>
  <c r="AC512" i="1"/>
  <c r="AA512" i="1"/>
  <c r="Z512" i="1"/>
  <c r="W512" i="1"/>
  <c r="X512" i="1" s="1"/>
  <c r="G512" i="1"/>
  <c r="F512" i="1"/>
  <c r="E512" i="1"/>
  <c r="AB512" i="1" s="1"/>
  <c r="AC511" i="1"/>
  <c r="AB511" i="1"/>
  <c r="AE511" i="1" s="1"/>
  <c r="AA511" i="1"/>
  <c r="Z511" i="1"/>
  <c r="W511" i="1"/>
  <c r="X511" i="1" s="1"/>
  <c r="G511" i="1"/>
  <c r="F511" i="1"/>
  <c r="E511" i="1"/>
  <c r="AD511" i="1" s="1"/>
  <c r="AE510" i="1"/>
  <c r="AD510" i="1"/>
  <c r="AC510" i="1"/>
  <c r="AB510" i="1"/>
  <c r="AA510" i="1"/>
  <c r="Z510" i="1"/>
  <c r="X510" i="1"/>
  <c r="W510" i="1"/>
  <c r="F510" i="1"/>
  <c r="G510" i="1" s="1"/>
  <c r="E510" i="1"/>
  <c r="AD509" i="1"/>
  <c r="AA509" i="1"/>
  <c r="Z509" i="1"/>
  <c r="W509" i="1"/>
  <c r="X509" i="1" s="1"/>
  <c r="F509" i="1"/>
  <c r="G509" i="1" s="1"/>
  <c r="E509" i="1"/>
  <c r="AD508" i="1"/>
  <c r="AC508" i="1"/>
  <c r="AB508" i="1"/>
  <c r="AE508" i="1" s="1"/>
  <c r="AA508" i="1"/>
  <c r="Z508" i="1"/>
  <c r="X508" i="1"/>
  <c r="W508" i="1"/>
  <c r="G508" i="1"/>
  <c r="F508" i="1"/>
  <c r="E508" i="1"/>
  <c r="AE507" i="1"/>
  <c r="AD507" i="1"/>
  <c r="AC507" i="1"/>
  <c r="AB507" i="1"/>
  <c r="AA507" i="1"/>
  <c r="Z507" i="1"/>
  <c r="W507" i="1"/>
  <c r="X507" i="1" s="1"/>
  <c r="G507" i="1"/>
  <c r="F507" i="1"/>
  <c r="E507" i="1"/>
  <c r="AA506" i="1"/>
  <c r="Z506" i="1"/>
  <c r="W506" i="1"/>
  <c r="X506" i="1" s="1"/>
  <c r="G506" i="1"/>
  <c r="F506" i="1"/>
  <c r="E506" i="1"/>
  <c r="Z505" i="1"/>
  <c r="AA505" i="1" s="1"/>
  <c r="W505" i="1"/>
  <c r="X505" i="1" s="1"/>
  <c r="F505" i="1"/>
  <c r="G505" i="1" s="1"/>
  <c r="E505" i="1"/>
  <c r="AB504" i="1"/>
  <c r="AA504" i="1"/>
  <c r="Z504" i="1"/>
  <c r="W504" i="1"/>
  <c r="X504" i="1" s="1"/>
  <c r="G504" i="1"/>
  <c r="F504" i="1"/>
  <c r="E504" i="1"/>
  <c r="Z503" i="1"/>
  <c r="AA503" i="1" s="1"/>
  <c r="X503" i="1"/>
  <c r="W503" i="1"/>
  <c r="G503" i="1"/>
  <c r="F503" i="1"/>
  <c r="E503" i="1"/>
  <c r="Z502" i="1"/>
  <c r="AA502" i="1" s="1"/>
  <c r="W502" i="1"/>
  <c r="X502" i="1" s="1"/>
  <c r="G502" i="1"/>
  <c r="F502" i="1"/>
  <c r="E502" i="1"/>
  <c r="AD501" i="1"/>
  <c r="AE501" i="1" s="1"/>
  <c r="AC501" i="1"/>
  <c r="AB501" i="1"/>
  <c r="Z501" i="1"/>
  <c r="AA501" i="1" s="1"/>
  <c r="X501" i="1"/>
  <c r="W501" i="1"/>
  <c r="F501" i="1"/>
  <c r="G501" i="1" s="1"/>
  <c r="E501" i="1"/>
  <c r="AD500" i="1"/>
  <c r="AC500" i="1"/>
  <c r="AB500" i="1"/>
  <c r="AE500" i="1" s="1"/>
  <c r="AA500" i="1"/>
  <c r="Z500" i="1"/>
  <c r="W500" i="1"/>
  <c r="X500" i="1" s="1"/>
  <c r="G500" i="1"/>
  <c r="F500" i="1"/>
  <c r="E500" i="1"/>
  <c r="AE499" i="1"/>
  <c r="AD499" i="1"/>
  <c r="AC499" i="1"/>
  <c r="AB499" i="1"/>
  <c r="AA499" i="1"/>
  <c r="Z499" i="1"/>
  <c r="W499" i="1"/>
  <c r="X499" i="1" s="1"/>
  <c r="G499" i="1"/>
  <c r="F499" i="1"/>
  <c r="E499" i="1"/>
  <c r="AB498" i="1"/>
  <c r="Z498" i="1"/>
  <c r="AA498" i="1" s="1"/>
  <c r="X498" i="1"/>
  <c r="W498" i="1"/>
  <c r="F498" i="1"/>
  <c r="G498" i="1" s="1"/>
  <c r="E498" i="1"/>
  <c r="AA497" i="1"/>
  <c r="Z497" i="1"/>
  <c r="X497" i="1"/>
  <c r="W497" i="1"/>
  <c r="F497" i="1"/>
  <c r="G497" i="1" s="1"/>
  <c r="E497" i="1"/>
  <c r="AE496" i="1"/>
  <c r="AD496" i="1"/>
  <c r="AC496" i="1"/>
  <c r="AB496" i="1"/>
  <c r="Z496" i="1"/>
  <c r="AA496" i="1" s="1"/>
  <c r="W496" i="1"/>
  <c r="X496" i="1" s="1"/>
  <c r="G496" i="1"/>
  <c r="F496" i="1"/>
  <c r="E496" i="1"/>
  <c r="AD495" i="1"/>
  <c r="AE495" i="1" s="1"/>
  <c r="AC495" i="1"/>
  <c r="AB495" i="1"/>
  <c r="AA495" i="1"/>
  <c r="Z495" i="1"/>
  <c r="X495" i="1"/>
  <c r="W495" i="1"/>
  <c r="G495" i="1"/>
  <c r="F495" i="1"/>
  <c r="E495" i="1"/>
  <c r="AC494" i="1"/>
  <c r="AB494" i="1"/>
  <c r="AE494" i="1" s="1"/>
  <c r="AA494" i="1"/>
  <c r="Z494" i="1"/>
  <c r="X494" i="1"/>
  <c r="W494" i="1"/>
  <c r="F494" i="1"/>
  <c r="G494" i="1" s="1"/>
  <c r="E494" i="1"/>
  <c r="AD494" i="1" s="1"/>
  <c r="AC493" i="1"/>
  <c r="AB493" i="1"/>
  <c r="AE493" i="1" s="1"/>
  <c r="Z493" i="1"/>
  <c r="AA493" i="1" s="1"/>
  <c r="X493" i="1"/>
  <c r="W493" i="1"/>
  <c r="F493" i="1"/>
  <c r="G493" i="1" s="1"/>
  <c r="E493" i="1"/>
  <c r="AD493" i="1" s="1"/>
  <c r="Z492" i="1"/>
  <c r="AA492" i="1" s="1"/>
  <c r="X492" i="1"/>
  <c r="W492" i="1"/>
  <c r="F492" i="1"/>
  <c r="G492" i="1" s="1"/>
  <c r="E492" i="1"/>
  <c r="Z491" i="1"/>
  <c r="AA491" i="1" s="1"/>
  <c r="X491" i="1"/>
  <c r="W491" i="1"/>
  <c r="G491" i="1"/>
  <c r="F491" i="1"/>
  <c r="E491" i="1"/>
  <c r="AD490" i="1"/>
  <c r="Z490" i="1"/>
  <c r="AA490" i="1" s="1"/>
  <c r="X490" i="1"/>
  <c r="W490" i="1"/>
  <c r="G490" i="1"/>
  <c r="F490" i="1"/>
  <c r="E490" i="1"/>
  <c r="Z489" i="1"/>
  <c r="AA489" i="1" s="1"/>
  <c r="X489" i="1"/>
  <c r="W489" i="1"/>
  <c r="G489" i="1"/>
  <c r="F489" i="1"/>
  <c r="E489" i="1"/>
  <c r="AD488" i="1"/>
  <c r="AE488" i="1" s="1"/>
  <c r="AC488" i="1"/>
  <c r="AB488" i="1"/>
  <c r="AA488" i="1"/>
  <c r="Z488" i="1"/>
  <c r="W488" i="1"/>
  <c r="X488" i="1" s="1"/>
  <c r="G488" i="1"/>
  <c r="F488" i="1"/>
  <c r="E488" i="1"/>
  <c r="AD487" i="1"/>
  <c r="AC487" i="1"/>
  <c r="AB487" i="1"/>
  <c r="AA487" i="1"/>
  <c r="Z487" i="1"/>
  <c r="W487" i="1"/>
  <c r="X487" i="1" s="1"/>
  <c r="G487" i="1"/>
  <c r="F487" i="1"/>
  <c r="E487" i="1"/>
  <c r="Z486" i="1"/>
  <c r="AA486" i="1" s="1"/>
  <c r="X486" i="1"/>
  <c r="W486" i="1"/>
  <c r="F486" i="1"/>
  <c r="G486" i="1" s="1"/>
  <c r="E486" i="1"/>
  <c r="AD485" i="1"/>
  <c r="Z485" i="1"/>
  <c r="AA485" i="1" s="1"/>
  <c r="X485" i="1"/>
  <c r="W485" i="1"/>
  <c r="F485" i="1"/>
  <c r="G485" i="1" s="1"/>
  <c r="E485" i="1"/>
  <c r="AD484" i="1"/>
  <c r="AE484" i="1" s="1"/>
  <c r="AC484" i="1"/>
  <c r="AB484" i="1"/>
  <c r="Z484" i="1"/>
  <c r="AA484" i="1" s="1"/>
  <c r="W484" i="1"/>
  <c r="X484" i="1" s="1"/>
  <c r="G484" i="1"/>
  <c r="F484" i="1"/>
  <c r="E484" i="1"/>
  <c r="AD483" i="1"/>
  <c r="AC483" i="1"/>
  <c r="AB483" i="1"/>
  <c r="AE483" i="1" s="1"/>
  <c r="AA483" i="1"/>
  <c r="Z483" i="1"/>
  <c r="X483" i="1"/>
  <c r="W483" i="1"/>
  <c r="G483" i="1"/>
  <c r="F483" i="1"/>
  <c r="E483" i="1"/>
  <c r="Z482" i="1"/>
  <c r="AA482" i="1" s="1"/>
  <c r="X482" i="1"/>
  <c r="W482" i="1"/>
  <c r="G482" i="1"/>
  <c r="F482" i="1"/>
  <c r="E482" i="1"/>
  <c r="AC481" i="1"/>
  <c r="AB481" i="1"/>
  <c r="AE481" i="1" s="1"/>
  <c r="AA481" i="1"/>
  <c r="Z481" i="1"/>
  <c r="X481" i="1"/>
  <c r="W481" i="1"/>
  <c r="G481" i="1"/>
  <c r="F481" i="1"/>
  <c r="E481" i="1"/>
  <c r="AD481" i="1" s="1"/>
  <c r="AA480" i="1"/>
  <c r="Z480" i="1"/>
  <c r="W480" i="1"/>
  <c r="X480" i="1" s="1"/>
  <c r="G480" i="1"/>
  <c r="F480" i="1"/>
  <c r="E480" i="1"/>
  <c r="Z479" i="1"/>
  <c r="AA479" i="1" s="1"/>
  <c r="W479" i="1"/>
  <c r="X479" i="1" s="1"/>
  <c r="G479" i="1"/>
  <c r="F479" i="1"/>
  <c r="E479" i="1"/>
  <c r="AE478" i="1"/>
  <c r="AD478" i="1"/>
  <c r="AC478" i="1"/>
  <c r="Z478" i="1"/>
  <c r="AA478" i="1" s="1"/>
  <c r="X478" i="1"/>
  <c r="W478" i="1"/>
  <c r="G478" i="1"/>
  <c r="F478" i="1"/>
  <c r="E478" i="1"/>
  <c r="AB478" i="1" s="1"/>
  <c r="AD477" i="1"/>
  <c r="AC477" i="1"/>
  <c r="AB477" i="1"/>
  <c r="AE477" i="1" s="1"/>
  <c r="Z477" i="1"/>
  <c r="AA477" i="1" s="1"/>
  <c r="X477" i="1"/>
  <c r="W477" i="1"/>
  <c r="G477" i="1"/>
  <c r="F477" i="1"/>
  <c r="E477" i="1"/>
  <c r="AA476" i="1"/>
  <c r="Z476" i="1"/>
  <c r="W476" i="1"/>
  <c r="X476" i="1" s="1"/>
  <c r="F476" i="1"/>
  <c r="G476" i="1" s="1"/>
  <c r="E476" i="1"/>
  <c r="AB475" i="1"/>
  <c r="AA475" i="1"/>
  <c r="Z475" i="1"/>
  <c r="W475" i="1"/>
  <c r="X475" i="1" s="1"/>
  <c r="G475" i="1"/>
  <c r="F475" i="1"/>
  <c r="E475" i="1"/>
  <c r="AD474" i="1"/>
  <c r="Z474" i="1"/>
  <c r="AA474" i="1" s="1"/>
  <c r="X474" i="1"/>
  <c r="W474" i="1"/>
  <c r="F474" i="1"/>
  <c r="G474" i="1" s="1"/>
  <c r="E474" i="1"/>
  <c r="AD473" i="1"/>
  <c r="AC473" i="1"/>
  <c r="Z473" i="1"/>
  <c r="AA473" i="1" s="1"/>
  <c r="W473" i="1"/>
  <c r="X473" i="1" s="1"/>
  <c r="F473" i="1"/>
  <c r="G473" i="1" s="1"/>
  <c r="E473" i="1"/>
  <c r="AB473" i="1" s="1"/>
  <c r="AD472" i="1"/>
  <c r="AE472" i="1" s="1"/>
  <c r="AC472" i="1"/>
  <c r="AB472" i="1"/>
  <c r="Z472" i="1"/>
  <c r="AA472" i="1" s="1"/>
  <c r="W472" i="1"/>
  <c r="X472" i="1" s="1"/>
  <c r="G472" i="1"/>
  <c r="F472" i="1"/>
  <c r="E472" i="1"/>
  <c r="AD471" i="1"/>
  <c r="AC471" i="1"/>
  <c r="AB471" i="1"/>
  <c r="AE471" i="1" s="1"/>
  <c r="AA471" i="1"/>
  <c r="Z471" i="1"/>
  <c r="X471" i="1"/>
  <c r="W471" i="1"/>
  <c r="G471" i="1"/>
  <c r="F471" i="1"/>
  <c r="E471" i="1"/>
  <c r="AA470" i="1"/>
  <c r="Z470" i="1"/>
  <c r="X470" i="1"/>
  <c r="W470" i="1"/>
  <c r="G470" i="1"/>
  <c r="F470" i="1"/>
  <c r="E470" i="1"/>
  <c r="AB469" i="1"/>
  <c r="AA469" i="1"/>
  <c r="Z469" i="1"/>
  <c r="W469" i="1"/>
  <c r="X469" i="1" s="1"/>
  <c r="G469" i="1"/>
  <c r="F469" i="1"/>
  <c r="E469" i="1"/>
  <c r="AA468" i="1"/>
  <c r="Z468" i="1"/>
  <c r="W468" i="1"/>
  <c r="X468" i="1" s="1"/>
  <c r="G468" i="1"/>
  <c r="F468" i="1"/>
  <c r="E468" i="1"/>
  <c r="Z467" i="1"/>
  <c r="AA467" i="1" s="1"/>
  <c r="W467" i="1"/>
  <c r="X467" i="1" s="1"/>
  <c r="F467" i="1"/>
  <c r="G467" i="1" s="1"/>
  <c r="E467" i="1"/>
  <c r="AD467" i="1" s="1"/>
  <c r="Z466" i="1"/>
  <c r="AA466" i="1" s="1"/>
  <c r="X466" i="1"/>
  <c r="W466" i="1"/>
  <c r="G466" i="1"/>
  <c r="F466" i="1"/>
  <c r="E466" i="1"/>
  <c r="AB465" i="1"/>
  <c r="Z465" i="1"/>
  <c r="AA465" i="1" s="1"/>
  <c r="X465" i="1"/>
  <c r="W465" i="1"/>
  <c r="F465" i="1"/>
  <c r="G465" i="1" s="1"/>
  <c r="E465" i="1"/>
  <c r="AA464" i="1"/>
  <c r="Z464" i="1"/>
  <c r="W464" i="1"/>
  <c r="X464" i="1" s="1"/>
  <c r="G464" i="1"/>
  <c r="F464" i="1"/>
  <c r="E464" i="1"/>
  <c r="AD463" i="1"/>
  <c r="AB463" i="1"/>
  <c r="AE463" i="1" s="1"/>
  <c r="Z463" i="1"/>
  <c r="AA463" i="1" s="1"/>
  <c r="W463" i="1"/>
  <c r="X463" i="1" s="1"/>
  <c r="F463" i="1"/>
  <c r="G463" i="1" s="1"/>
  <c r="E463" i="1"/>
  <c r="AC463" i="1" s="1"/>
  <c r="AD462" i="1"/>
  <c r="AC462" i="1"/>
  <c r="AB462" i="1"/>
  <c r="AE462" i="1" s="1"/>
  <c r="Z462" i="1"/>
  <c r="AA462" i="1" s="1"/>
  <c r="X462" i="1"/>
  <c r="W462" i="1"/>
  <c r="F462" i="1"/>
  <c r="G462" i="1" s="1"/>
  <c r="E462" i="1"/>
  <c r="Z461" i="1"/>
  <c r="AA461" i="1" s="1"/>
  <c r="W461" i="1"/>
  <c r="X461" i="1" s="1"/>
  <c r="F461" i="1"/>
  <c r="G461" i="1" s="1"/>
  <c r="E461" i="1"/>
  <c r="AD460" i="1"/>
  <c r="AC460" i="1"/>
  <c r="AB460" i="1"/>
  <c r="AE460" i="1" s="1"/>
  <c r="AA460" i="1"/>
  <c r="Z460" i="1"/>
  <c r="W460" i="1"/>
  <c r="X460" i="1" s="1"/>
  <c r="G460" i="1"/>
  <c r="F460" i="1"/>
  <c r="E460" i="1"/>
  <c r="AD459" i="1"/>
  <c r="AE459" i="1" s="1"/>
  <c r="AC459" i="1"/>
  <c r="AB459" i="1"/>
  <c r="Z459" i="1"/>
  <c r="AA459" i="1" s="1"/>
  <c r="X459" i="1"/>
  <c r="W459" i="1"/>
  <c r="G459" i="1"/>
  <c r="F459" i="1"/>
  <c r="E459" i="1"/>
  <c r="AC458" i="1"/>
  <c r="AB458" i="1"/>
  <c r="AE458" i="1" s="1"/>
  <c r="AA458" i="1"/>
  <c r="Z458" i="1"/>
  <c r="X458" i="1"/>
  <c r="W458" i="1"/>
  <c r="G458" i="1"/>
  <c r="F458" i="1"/>
  <c r="E458" i="1"/>
  <c r="AD458" i="1" s="1"/>
  <c r="Z457" i="1"/>
  <c r="AA457" i="1" s="1"/>
  <c r="W457" i="1"/>
  <c r="X457" i="1" s="1"/>
  <c r="F457" i="1"/>
  <c r="G457" i="1" s="1"/>
  <c r="E457" i="1"/>
  <c r="AE456" i="1"/>
  <c r="AC456" i="1"/>
  <c r="AB456" i="1"/>
  <c r="Z456" i="1"/>
  <c r="AA456" i="1" s="1"/>
  <c r="W456" i="1"/>
  <c r="X456" i="1" s="1"/>
  <c r="F456" i="1"/>
  <c r="G456" i="1" s="1"/>
  <c r="E456" i="1"/>
  <c r="AD456" i="1" s="1"/>
  <c r="AD455" i="1"/>
  <c r="AB455" i="1"/>
  <c r="Z455" i="1"/>
  <c r="AA455" i="1" s="1"/>
  <c r="W455" i="1"/>
  <c r="X455" i="1" s="1"/>
  <c r="F455" i="1"/>
  <c r="G455" i="1" s="1"/>
  <c r="E455" i="1"/>
  <c r="AC455" i="1" s="1"/>
  <c r="AD454" i="1"/>
  <c r="AE454" i="1" s="1"/>
  <c r="AC454" i="1"/>
  <c r="AA454" i="1"/>
  <c r="Z454" i="1"/>
  <c r="W454" i="1"/>
  <c r="X454" i="1" s="1"/>
  <c r="F454" i="1"/>
  <c r="G454" i="1" s="1"/>
  <c r="E454" i="1"/>
  <c r="AB454" i="1" s="1"/>
  <c r="AD453" i="1"/>
  <c r="AE453" i="1" s="1"/>
  <c r="AC453" i="1"/>
  <c r="AB453" i="1"/>
  <c r="Z453" i="1"/>
  <c r="AA453" i="1" s="1"/>
  <c r="W453" i="1"/>
  <c r="X453" i="1" s="1"/>
  <c r="G453" i="1"/>
  <c r="F453" i="1"/>
  <c r="E453" i="1"/>
  <c r="AC452" i="1"/>
  <c r="AB452" i="1"/>
  <c r="AE452" i="1" s="1"/>
  <c r="Z452" i="1"/>
  <c r="AA452" i="1" s="1"/>
  <c r="W452" i="1"/>
  <c r="X452" i="1" s="1"/>
  <c r="G452" i="1"/>
  <c r="F452" i="1"/>
  <c r="E452" i="1"/>
  <c r="AD452" i="1" s="1"/>
  <c r="AD451" i="1"/>
  <c r="AB451" i="1"/>
  <c r="Z451" i="1"/>
  <c r="AA451" i="1" s="1"/>
  <c r="W451" i="1"/>
  <c r="X451" i="1" s="1"/>
  <c r="G451" i="1"/>
  <c r="F451" i="1"/>
  <c r="E451" i="1"/>
  <c r="AC451" i="1" s="1"/>
  <c r="AA450" i="1"/>
  <c r="Z450" i="1"/>
  <c r="W450" i="1"/>
  <c r="X450" i="1" s="1"/>
  <c r="G450" i="1"/>
  <c r="F450" i="1"/>
  <c r="E450" i="1"/>
  <c r="AB449" i="1"/>
  <c r="Z449" i="1"/>
  <c r="AA449" i="1" s="1"/>
  <c r="X449" i="1"/>
  <c r="W449" i="1"/>
  <c r="G449" i="1"/>
  <c r="F449" i="1"/>
  <c r="E449" i="1"/>
  <c r="AA448" i="1"/>
  <c r="Z448" i="1"/>
  <c r="X448" i="1"/>
  <c r="W448" i="1"/>
  <c r="G448" i="1"/>
  <c r="F448" i="1"/>
  <c r="E448" i="1"/>
  <c r="AC447" i="1"/>
  <c r="Z447" i="1"/>
  <c r="AA447" i="1" s="1"/>
  <c r="W447" i="1"/>
  <c r="X447" i="1" s="1"/>
  <c r="F447" i="1"/>
  <c r="G447" i="1" s="1"/>
  <c r="E447" i="1"/>
  <c r="AB446" i="1"/>
  <c r="AA446" i="1"/>
  <c r="Z446" i="1"/>
  <c r="X446" i="1"/>
  <c r="W446" i="1"/>
  <c r="G446" i="1"/>
  <c r="F446" i="1"/>
  <c r="E446" i="1"/>
  <c r="AA445" i="1"/>
  <c r="Z445" i="1"/>
  <c r="W445" i="1"/>
  <c r="X445" i="1" s="1"/>
  <c r="F445" i="1"/>
  <c r="G445" i="1" s="1"/>
  <c r="E445" i="1"/>
  <c r="AE444" i="1"/>
  <c r="AC444" i="1"/>
  <c r="AB444" i="1"/>
  <c r="AA444" i="1"/>
  <c r="Z444" i="1"/>
  <c r="X444" i="1"/>
  <c r="W444" i="1"/>
  <c r="G444" i="1"/>
  <c r="F444" i="1"/>
  <c r="E444" i="1"/>
  <c r="AD444" i="1" s="1"/>
  <c r="AD443" i="1"/>
  <c r="AC443" i="1"/>
  <c r="AB443" i="1"/>
  <c r="AE443" i="1" s="1"/>
  <c r="AA443" i="1"/>
  <c r="Z443" i="1"/>
  <c r="X443" i="1"/>
  <c r="W443" i="1"/>
  <c r="F443" i="1"/>
  <c r="G443" i="1" s="1"/>
  <c r="E443" i="1"/>
  <c r="AE442" i="1"/>
  <c r="AD442" i="1"/>
  <c r="AC442" i="1"/>
  <c r="AB442" i="1"/>
  <c r="Z442" i="1"/>
  <c r="AA442" i="1" s="1"/>
  <c r="X442" i="1"/>
  <c r="W442" i="1"/>
  <c r="G442" i="1"/>
  <c r="F442" i="1"/>
  <c r="E442" i="1"/>
  <c r="AD441" i="1"/>
  <c r="AC441" i="1"/>
  <c r="AB441" i="1"/>
  <c r="AE441" i="1" s="1"/>
  <c r="Z441" i="1"/>
  <c r="AA441" i="1" s="1"/>
  <c r="W441" i="1"/>
  <c r="X441" i="1" s="1"/>
  <c r="G441" i="1"/>
  <c r="F441" i="1"/>
  <c r="E441" i="1"/>
  <c r="Z440" i="1"/>
  <c r="AA440" i="1" s="1"/>
  <c r="X440" i="1"/>
  <c r="W440" i="1"/>
  <c r="F440" i="1"/>
  <c r="G440" i="1" s="1"/>
  <c r="E440" i="1"/>
  <c r="AA439" i="1"/>
  <c r="Z439" i="1"/>
  <c r="X439" i="1"/>
  <c r="W439" i="1"/>
  <c r="F439" i="1"/>
  <c r="G439" i="1" s="1"/>
  <c r="E439" i="1"/>
  <c r="AC438" i="1"/>
  <c r="Z438" i="1"/>
  <c r="AA438" i="1" s="1"/>
  <c r="W438" i="1"/>
  <c r="X438" i="1" s="1"/>
  <c r="G438" i="1"/>
  <c r="F438" i="1"/>
  <c r="E438" i="1"/>
  <c r="Z437" i="1"/>
  <c r="AA437" i="1" s="1"/>
  <c r="W437" i="1"/>
  <c r="X437" i="1" s="1"/>
  <c r="G437" i="1"/>
  <c r="F437" i="1"/>
  <c r="E437" i="1"/>
  <c r="AD436" i="1"/>
  <c r="AA436" i="1"/>
  <c r="Z436" i="1"/>
  <c r="X436" i="1"/>
  <c r="W436" i="1"/>
  <c r="G436" i="1"/>
  <c r="F436" i="1"/>
  <c r="E436" i="1"/>
  <c r="AD435" i="1"/>
  <c r="AC435" i="1"/>
  <c r="AB435" i="1"/>
  <c r="AE435" i="1" s="1"/>
  <c r="Z435" i="1"/>
  <c r="AA435" i="1" s="1"/>
  <c r="W435" i="1"/>
  <c r="X435" i="1" s="1"/>
  <c r="F435" i="1"/>
  <c r="G435" i="1" s="1"/>
  <c r="E435" i="1"/>
  <c r="AA434" i="1"/>
  <c r="Z434" i="1"/>
  <c r="X434" i="1"/>
  <c r="W434" i="1"/>
  <c r="G434" i="1"/>
  <c r="F434" i="1"/>
  <c r="E434" i="1"/>
  <c r="AD433" i="1"/>
  <c r="AC433" i="1"/>
  <c r="Z433" i="1"/>
  <c r="AA433" i="1" s="1"/>
  <c r="W433" i="1"/>
  <c r="X433" i="1" s="1"/>
  <c r="F433" i="1"/>
  <c r="G433" i="1" s="1"/>
  <c r="E433" i="1"/>
  <c r="AB433" i="1" s="1"/>
  <c r="Z432" i="1"/>
  <c r="AA432" i="1" s="1"/>
  <c r="X432" i="1"/>
  <c r="W432" i="1"/>
  <c r="G432" i="1"/>
  <c r="F432" i="1"/>
  <c r="E432" i="1"/>
  <c r="AD431" i="1"/>
  <c r="AE431" i="1" s="1"/>
  <c r="AC431" i="1"/>
  <c r="AB431" i="1"/>
  <c r="Z431" i="1"/>
  <c r="AA431" i="1" s="1"/>
  <c r="W431" i="1"/>
  <c r="X431" i="1" s="1"/>
  <c r="F431" i="1"/>
  <c r="G431" i="1" s="1"/>
  <c r="E431" i="1"/>
  <c r="AD430" i="1"/>
  <c r="AA430" i="1"/>
  <c r="Z430" i="1"/>
  <c r="W430" i="1"/>
  <c r="X430" i="1" s="1"/>
  <c r="G430" i="1"/>
  <c r="F430" i="1"/>
  <c r="E430" i="1"/>
  <c r="AD429" i="1"/>
  <c r="AC429" i="1"/>
  <c r="AB429" i="1"/>
  <c r="Z429" i="1"/>
  <c r="AA429" i="1" s="1"/>
  <c r="W429" i="1"/>
  <c r="X429" i="1" s="1"/>
  <c r="F429" i="1"/>
  <c r="G429" i="1" s="1"/>
  <c r="E429" i="1"/>
  <c r="AC428" i="1"/>
  <c r="AB428" i="1"/>
  <c r="AE428" i="1" s="1"/>
  <c r="AA428" i="1"/>
  <c r="Z428" i="1"/>
  <c r="W428" i="1"/>
  <c r="X428" i="1" s="1"/>
  <c r="G428" i="1"/>
  <c r="F428" i="1"/>
  <c r="E428" i="1"/>
  <c r="AD428" i="1" s="1"/>
  <c r="Z427" i="1"/>
  <c r="AA427" i="1" s="1"/>
  <c r="X427" i="1"/>
  <c r="W427" i="1"/>
  <c r="G427" i="1"/>
  <c r="F427" i="1"/>
  <c r="E427" i="1"/>
  <c r="AC426" i="1"/>
  <c r="Z426" i="1"/>
  <c r="AA426" i="1" s="1"/>
  <c r="X426" i="1"/>
  <c r="W426" i="1"/>
  <c r="F426" i="1"/>
  <c r="G426" i="1" s="1"/>
  <c r="E426" i="1"/>
  <c r="AE425" i="1"/>
  <c r="AD425" i="1"/>
  <c r="AB425" i="1"/>
  <c r="Z425" i="1"/>
  <c r="AA425" i="1" s="1"/>
  <c r="X425" i="1"/>
  <c r="W425" i="1"/>
  <c r="G425" i="1"/>
  <c r="F425" i="1"/>
  <c r="E425" i="1"/>
  <c r="AC425" i="1" s="1"/>
  <c r="AA424" i="1"/>
  <c r="Z424" i="1"/>
  <c r="W424" i="1"/>
  <c r="X424" i="1" s="1"/>
  <c r="G424" i="1"/>
  <c r="F424" i="1"/>
  <c r="E424" i="1"/>
  <c r="AB423" i="1"/>
  <c r="Z423" i="1"/>
  <c r="AA423" i="1" s="1"/>
  <c r="W423" i="1"/>
  <c r="X423" i="1" s="1"/>
  <c r="G423" i="1"/>
  <c r="F423" i="1"/>
  <c r="E423" i="1"/>
  <c r="AB422" i="1"/>
  <c r="AA422" i="1"/>
  <c r="Z422" i="1"/>
  <c r="X422" i="1"/>
  <c r="W422" i="1"/>
  <c r="F422" i="1"/>
  <c r="G422" i="1" s="1"/>
  <c r="E422" i="1"/>
  <c r="AD421" i="1"/>
  <c r="AB421" i="1"/>
  <c r="AE421" i="1" s="1"/>
  <c r="Z421" i="1"/>
  <c r="AA421" i="1" s="1"/>
  <c r="X421" i="1"/>
  <c r="W421" i="1"/>
  <c r="F421" i="1"/>
  <c r="G421" i="1" s="1"/>
  <c r="E421" i="1"/>
  <c r="AC421" i="1" s="1"/>
  <c r="AD420" i="1"/>
  <c r="AC420" i="1"/>
  <c r="AB420" i="1"/>
  <c r="AE420" i="1" s="1"/>
  <c r="Z420" i="1"/>
  <c r="AA420" i="1" s="1"/>
  <c r="X420" i="1"/>
  <c r="W420" i="1"/>
  <c r="G420" i="1"/>
  <c r="F420" i="1"/>
  <c r="E420" i="1"/>
  <c r="AD419" i="1"/>
  <c r="AC419" i="1"/>
  <c r="AB419" i="1"/>
  <c r="AE419" i="1" s="1"/>
  <c r="AA419" i="1"/>
  <c r="Z419" i="1"/>
  <c r="X419" i="1"/>
  <c r="W419" i="1"/>
  <c r="G419" i="1"/>
  <c r="F419" i="1"/>
  <c r="E419" i="1"/>
  <c r="AA418" i="1"/>
  <c r="Z418" i="1"/>
  <c r="W418" i="1"/>
  <c r="X418" i="1" s="1"/>
  <c r="F418" i="1"/>
  <c r="G418" i="1" s="1"/>
  <c r="E418" i="1"/>
  <c r="AA417" i="1"/>
  <c r="Z417" i="1"/>
  <c r="X417" i="1"/>
  <c r="W417" i="1"/>
  <c r="F417" i="1"/>
  <c r="G417" i="1" s="1"/>
  <c r="E417" i="1"/>
  <c r="AD416" i="1"/>
  <c r="Z416" i="1"/>
  <c r="AA416" i="1" s="1"/>
  <c r="W416" i="1"/>
  <c r="X416" i="1" s="1"/>
  <c r="F416" i="1"/>
  <c r="G416" i="1" s="1"/>
  <c r="E416" i="1"/>
  <c r="AA415" i="1"/>
  <c r="Z415" i="1"/>
  <c r="W415" i="1"/>
  <c r="X415" i="1" s="1"/>
  <c r="G415" i="1"/>
  <c r="F415" i="1"/>
  <c r="E415" i="1"/>
  <c r="AE414" i="1"/>
  <c r="AD414" i="1"/>
  <c r="AC414" i="1"/>
  <c r="AB414" i="1"/>
  <c r="AA414" i="1"/>
  <c r="Z414" i="1"/>
  <c r="X414" i="1"/>
  <c r="W414" i="1"/>
  <c r="F414" i="1"/>
  <c r="G414" i="1" s="1"/>
  <c r="E414" i="1"/>
  <c r="AD413" i="1"/>
  <c r="AB413" i="1"/>
  <c r="AE413" i="1" s="1"/>
  <c r="AA413" i="1"/>
  <c r="Z413" i="1"/>
  <c r="X413" i="1"/>
  <c r="W413" i="1"/>
  <c r="F413" i="1"/>
  <c r="G413" i="1" s="1"/>
  <c r="E413" i="1"/>
  <c r="AC413" i="1" s="1"/>
  <c r="AD412" i="1"/>
  <c r="AC412" i="1"/>
  <c r="AB412" i="1"/>
  <c r="AE412" i="1" s="1"/>
  <c r="AA412" i="1"/>
  <c r="Z412" i="1"/>
  <c r="W412" i="1"/>
  <c r="X412" i="1" s="1"/>
  <c r="G412" i="1"/>
  <c r="F412" i="1"/>
  <c r="E412" i="1"/>
  <c r="AC411" i="1"/>
  <c r="AB411" i="1"/>
  <c r="Z411" i="1"/>
  <c r="AA411" i="1" s="1"/>
  <c r="X411" i="1"/>
  <c r="W411" i="1"/>
  <c r="F411" i="1"/>
  <c r="G411" i="1" s="1"/>
  <c r="E411" i="1"/>
  <c r="AD411" i="1" s="1"/>
  <c r="AA410" i="1"/>
  <c r="Z410" i="1"/>
  <c r="X410" i="1"/>
  <c r="W410" i="1"/>
  <c r="F410" i="1"/>
  <c r="G410" i="1" s="1"/>
  <c r="E410" i="1"/>
  <c r="AD409" i="1"/>
  <c r="Z409" i="1"/>
  <c r="AA409" i="1" s="1"/>
  <c r="X409" i="1"/>
  <c r="W409" i="1"/>
  <c r="F409" i="1"/>
  <c r="G409" i="1" s="1"/>
  <c r="E409" i="1"/>
  <c r="Z408" i="1"/>
  <c r="AA408" i="1" s="1"/>
  <c r="W408" i="1"/>
  <c r="X408" i="1" s="1"/>
  <c r="F408" i="1"/>
  <c r="G408" i="1" s="1"/>
  <c r="E408" i="1"/>
  <c r="AB407" i="1"/>
  <c r="AA407" i="1"/>
  <c r="Z407" i="1"/>
  <c r="X407" i="1"/>
  <c r="W407" i="1"/>
  <c r="F407" i="1"/>
  <c r="G407" i="1" s="1"/>
  <c r="E407" i="1"/>
  <c r="Z406" i="1"/>
  <c r="AA406" i="1" s="1"/>
  <c r="W406" i="1"/>
  <c r="X406" i="1" s="1"/>
  <c r="G406" i="1"/>
  <c r="F406" i="1"/>
  <c r="E406" i="1"/>
  <c r="AD405" i="1"/>
  <c r="AE405" i="1" s="1"/>
  <c r="AC405" i="1"/>
  <c r="AB405" i="1"/>
  <c r="AA405" i="1"/>
  <c r="Z405" i="1"/>
  <c r="X405" i="1"/>
  <c r="W405" i="1"/>
  <c r="G405" i="1"/>
  <c r="F405" i="1"/>
  <c r="E405" i="1"/>
  <c r="Z404" i="1"/>
  <c r="AA404" i="1" s="1"/>
  <c r="W404" i="1"/>
  <c r="X404" i="1" s="1"/>
  <c r="F404" i="1"/>
  <c r="G404" i="1" s="1"/>
  <c r="E404" i="1"/>
  <c r="AC404" i="1" s="1"/>
  <c r="AC403" i="1"/>
  <c r="Z403" i="1"/>
  <c r="AA403" i="1" s="1"/>
  <c r="X403" i="1"/>
  <c r="W403" i="1"/>
  <c r="G403" i="1"/>
  <c r="F403" i="1"/>
  <c r="E403" i="1"/>
  <c r="AD402" i="1"/>
  <c r="AC402" i="1"/>
  <c r="AB402" i="1"/>
  <c r="AE402" i="1" s="1"/>
  <c r="Z402" i="1"/>
  <c r="AA402" i="1" s="1"/>
  <c r="W402" i="1"/>
  <c r="X402" i="1" s="1"/>
  <c r="G402" i="1"/>
  <c r="F402" i="1"/>
  <c r="E402" i="1"/>
  <c r="Z401" i="1"/>
  <c r="AA401" i="1" s="1"/>
  <c r="X401" i="1"/>
  <c r="W401" i="1"/>
  <c r="F401" i="1"/>
  <c r="G401" i="1" s="1"/>
  <c r="E401" i="1"/>
  <c r="AD400" i="1"/>
  <c r="AC400" i="1"/>
  <c r="AB400" i="1"/>
  <c r="AA400" i="1"/>
  <c r="Z400" i="1"/>
  <c r="W400" i="1"/>
  <c r="X400" i="1" s="1"/>
  <c r="G400" i="1"/>
  <c r="F400" i="1"/>
  <c r="E400" i="1"/>
  <c r="AC399" i="1"/>
  <c r="AB399" i="1"/>
  <c r="AE399" i="1" s="1"/>
  <c r="AA399" i="1"/>
  <c r="Z399" i="1"/>
  <c r="X399" i="1"/>
  <c r="W399" i="1"/>
  <c r="F399" i="1"/>
  <c r="G399" i="1" s="1"/>
  <c r="E399" i="1"/>
  <c r="AD399" i="1" s="1"/>
  <c r="AD398" i="1"/>
  <c r="AB398" i="1"/>
  <c r="AE398" i="1" s="1"/>
  <c r="Z398" i="1"/>
  <c r="AA398" i="1" s="1"/>
  <c r="W398" i="1"/>
  <c r="X398" i="1" s="1"/>
  <c r="G398" i="1"/>
  <c r="F398" i="1"/>
  <c r="E398" i="1"/>
  <c r="AC398" i="1" s="1"/>
  <c r="AD397" i="1"/>
  <c r="AE397" i="1" s="1"/>
  <c r="AC397" i="1"/>
  <c r="AA397" i="1"/>
  <c r="Z397" i="1"/>
  <c r="X397" i="1"/>
  <c r="W397" i="1"/>
  <c r="F397" i="1"/>
  <c r="G397" i="1" s="1"/>
  <c r="E397" i="1"/>
  <c r="AB397" i="1" s="1"/>
  <c r="Z396" i="1"/>
  <c r="AA396" i="1" s="1"/>
  <c r="W396" i="1"/>
  <c r="X396" i="1" s="1"/>
  <c r="F396" i="1"/>
  <c r="G396" i="1" s="1"/>
  <c r="E396" i="1"/>
  <c r="AA395" i="1"/>
  <c r="Z395" i="1"/>
  <c r="X395" i="1"/>
  <c r="W395" i="1"/>
  <c r="F395" i="1"/>
  <c r="G395" i="1" s="1"/>
  <c r="E395" i="1"/>
  <c r="AD394" i="1"/>
  <c r="AE394" i="1" s="1"/>
  <c r="AC394" i="1"/>
  <c r="AA394" i="1"/>
  <c r="Z394" i="1"/>
  <c r="W394" i="1"/>
  <c r="X394" i="1" s="1"/>
  <c r="G394" i="1"/>
  <c r="F394" i="1"/>
  <c r="E394" i="1"/>
  <c r="AB394" i="1" s="1"/>
  <c r="AC393" i="1"/>
  <c r="AB393" i="1"/>
  <c r="AE393" i="1" s="1"/>
  <c r="AA393" i="1"/>
  <c r="Z393" i="1"/>
  <c r="X393" i="1"/>
  <c r="W393" i="1"/>
  <c r="G393" i="1"/>
  <c r="F393" i="1"/>
  <c r="E393" i="1"/>
  <c r="AD393" i="1" s="1"/>
  <c r="Z392" i="1"/>
  <c r="AA392" i="1" s="1"/>
  <c r="W392" i="1"/>
  <c r="X392" i="1" s="1"/>
  <c r="F392" i="1"/>
  <c r="G392" i="1" s="1"/>
  <c r="E392" i="1"/>
  <c r="AD391" i="1"/>
  <c r="AC391" i="1"/>
  <c r="AB391" i="1"/>
  <c r="AE391" i="1" s="1"/>
  <c r="Z391" i="1"/>
  <c r="AA391" i="1" s="1"/>
  <c r="X391" i="1"/>
  <c r="W391" i="1"/>
  <c r="G391" i="1"/>
  <c r="F391" i="1"/>
  <c r="E391" i="1"/>
  <c r="AD390" i="1"/>
  <c r="AC390" i="1"/>
  <c r="AB390" i="1"/>
  <c r="AE390" i="1" s="1"/>
  <c r="AA390" i="1"/>
  <c r="Z390" i="1"/>
  <c r="W390" i="1"/>
  <c r="X390" i="1" s="1"/>
  <c r="G390" i="1"/>
  <c r="F390" i="1"/>
  <c r="E390" i="1"/>
  <c r="AD389" i="1"/>
  <c r="AC389" i="1"/>
  <c r="AB389" i="1"/>
  <c r="AA389" i="1"/>
  <c r="Z389" i="1"/>
  <c r="W389" i="1"/>
  <c r="X389" i="1" s="1"/>
  <c r="F389" i="1"/>
  <c r="G389" i="1" s="1"/>
  <c r="E389" i="1"/>
  <c r="AA388" i="1"/>
  <c r="Z388" i="1"/>
  <c r="W388" i="1"/>
  <c r="X388" i="1" s="1"/>
  <c r="F388" i="1"/>
  <c r="G388" i="1" s="1"/>
  <c r="E388" i="1"/>
  <c r="Z387" i="1"/>
  <c r="AA387" i="1" s="1"/>
  <c r="X387" i="1"/>
  <c r="W387" i="1"/>
  <c r="F387" i="1"/>
  <c r="G387" i="1" s="1"/>
  <c r="E387" i="1"/>
  <c r="Z386" i="1"/>
  <c r="AA386" i="1" s="1"/>
  <c r="W386" i="1"/>
  <c r="X386" i="1" s="1"/>
  <c r="F386" i="1"/>
  <c r="G386" i="1" s="1"/>
  <c r="E386" i="1"/>
  <c r="AD385" i="1"/>
  <c r="AE385" i="1" s="1"/>
  <c r="AC385" i="1"/>
  <c r="Z385" i="1"/>
  <c r="AA385" i="1" s="1"/>
  <c r="W385" i="1"/>
  <c r="X385" i="1" s="1"/>
  <c r="F385" i="1"/>
  <c r="G385" i="1" s="1"/>
  <c r="E385" i="1"/>
  <c r="AB385" i="1" s="1"/>
  <c r="AC384" i="1"/>
  <c r="AB384" i="1"/>
  <c r="AE384" i="1" s="1"/>
  <c r="Z384" i="1"/>
  <c r="AA384" i="1" s="1"/>
  <c r="X384" i="1"/>
  <c r="W384" i="1"/>
  <c r="F384" i="1"/>
  <c r="G384" i="1" s="1"/>
  <c r="E384" i="1"/>
  <c r="AD384" i="1" s="1"/>
  <c r="AD383" i="1"/>
  <c r="Z383" i="1"/>
  <c r="AA383" i="1" s="1"/>
  <c r="X383" i="1"/>
  <c r="W383" i="1"/>
  <c r="G383" i="1"/>
  <c r="F383" i="1"/>
  <c r="E383" i="1"/>
  <c r="AD382" i="1"/>
  <c r="AE382" i="1" s="1"/>
  <c r="AC382" i="1"/>
  <c r="AB382" i="1"/>
  <c r="AA382" i="1"/>
  <c r="Z382" i="1"/>
  <c r="W382" i="1"/>
  <c r="X382" i="1" s="1"/>
  <c r="G382" i="1"/>
  <c r="F382" i="1"/>
  <c r="E382" i="1"/>
  <c r="Z381" i="1"/>
  <c r="AA381" i="1" s="1"/>
  <c r="W381" i="1"/>
  <c r="X381" i="1" s="1"/>
  <c r="G381" i="1"/>
  <c r="F381" i="1"/>
  <c r="E381" i="1"/>
  <c r="AC380" i="1"/>
  <c r="AB380" i="1"/>
  <c r="AE380" i="1" s="1"/>
  <c r="Z380" i="1"/>
  <c r="AA380" i="1" s="1"/>
  <c r="X380" i="1"/>
  <c r="W380" i="1"/>
  <c r="G380" i="1"/>
  <c r="F380" i="1"/>
  <c r="E380" i="1"/>
  <c r="AD380" i="1" s="1"/>
  <c r="AC379" i="1"/>
  <c r="Z379" i="1"/>
  <c r="AA379" i="1" s="1"/>
  <c r="W379" i="1"/>
  <c r="X379" i="1" s="1"/>
  <c r="G379" i="1"/>
  <c r="F379" i="1"/>
  <c r="E379" i="1"/>
  <c r="AB378" i="1"/>
  <c r="AA378" i="1"/>
  <c r="Z378" i="1"/>
  <c r="X378" i="1"/>
  <c r="W378" i="1"/>
  <c r="F378" i="1"/>
  <c r="G378" i="1" s="1"/>
  <c r="E378" i="1"/>
  <c r="Z377" i="1"/>
  <c r="AA377" i="1" s="1"/>
  <c r="X377" i="1"/>
  <c r="W377" i="1"/>
  <c r="G377" i="1"/>
  <c r="F377" i="1"/>
  <c r="E377" i="1"/>
  <c r="AC376" i="1"/>
  <c r="Z376" i="1"/>
  <c r="AA376" i="1" s="1"/>
  <c r="W376" i="1"/>
  <c r="X376" i="1" s="1"/>
  <c r="G376" i="1"/>
  <c r="F376" i="1"/>
  <c r="E376" i="1"/>
  <c r="AD375" i="1"/>
  <c r="AE375" i="1" s="1"/>
  <c r="AC375" i="1"/>
  <c r="AB375" i="1"/>
  <c r="AA375" i="1"/>
  <c r="Z375" i="1"/>
  <c r="X375" i="1"/>
  <c r="W375" i="1"/>
  <c r="G375" i="1"/>
  <c r="F375" i="1"/>
  <c r="E375" i="1"/>
  <c r="Z374" i="1"/>
  <c r="AA374" i="1" s="1"/>
  <c r="W374" i="1"/>
  <c r="X374" i="1" s="1"/>
  <c r="G374" i="1"/>
  <c r="F374" i="1"/>
  <c r="E374" i="1"/>
  <c r="AE373" i="1"/>
  <c r="AC373" i="1"/>
  <c r="AB373" i="1"/>
  <c r="Z373" i="1"/>
  <c r="AA373" i="1" s="1"/>
  <c r="X373" i="1"/>
  <c r="W373" i="1"/>
  <c r="G373" i="1"/>
  <c r="F373" i="1"/>
  <c r="E373" i="1"/>
  <c r="AD373" i="1" s="1"/>
  <c r="AD372" i="1"/>
  <c r="AB372" i="1"/>
  <c r="AE372" i="1" s="1"/>
  <c r="AA372" i="1"/>
  <c r="Z372" i="1"/>
  <c r="W372" i="1"/>
  <c r="X372" i="1" s="1"/>
  <c r="F372" i="1"/>
  <c r="G372" i="1" s="1"/>
  <c r="E372" i="1"/>
  <c r="AC372" i="1" s="1"/>
  <c r="Z371" i="1"/>
  <c r="AA371" i="1" s="1"/>
  <c r="W371" i="1"/>
  <c r="X371" i="1" s="1"/>
  <c r="G371" i="1"/>
  <c r="F371" i="1"/>
  <c r="E371" i="1"/>
  <c r="AD370" i="1"/>
  <c r="AE370" i="1" s="1"/>
  <c r="AC370" i="1"/>
  <c r="AB370" i="1"/>
  <c r="AA370" i="1"/>
  <c r="Z370" i="1"/>
  <c r="X370" i="1"/>
  <c r="W370" i="1"/>
  <c r="F370" i="1"/>
  <c r="G370" i="1" s="1"/>
  <c r="E370" i="1"/>
  <c r="AD369" i="1"/>
  <c r="AE369" i="1" s="1"/>
  <c r="AC369" i="1"/>
  <c r="AB369" i="1"/>
  <c r="Z369" i="1"/>
  <c r="AA369" i="1" s="1"/>
  <c r="W369" i="1"/>
  <c r="X369" i="1" s="1"/>
  <c r="F369" i="1"/>
  <c r="G369" i="1" s="1"/>
  <c r="E369" i="1"/>
  <c r="AD368" i="1"/>
  <c r="AC368" i="1"/>
  <c r="AB368" i="1"/>
  <c r="AE368" i="1" s="1"/>
  <c r="Z368" i="1"/>
  <c r="AA368" i="1" s="1"/>
  <c r="X368" i="1"/>
  <c r="W368" i="1"/>
  <c r="F368" i="1"/>
  <c r="G368" i="1" s="1"/>
  <c r="E368" i="1"/>
  <c r="AC367" i="1"/>
  <c r="AB367" i="1"/>
  <c r="AE367" i="1" s="1"/>
  <c r="Z367" i="1"/>
  <c r="AA367" i="1" s="1"/>
  <c r="W367" i="1"/>
  <c r="X367" i="1" s="1"/>
  <c r="F367" i="1"/>
  <c r="G367" i="1" s="1"/>
  <c r="E367" i="1"/>
  <c r="AD367" i="1" s="1"/>
  <c r="AB366" i="1"/>
  <c r="AA366" i="1"/>
  <c r="Z366" i="1"/>
  <c r="X366" i="1"/>
  <c r="W366" i="1"/>
  <c r="F366" i="1"/>
  <c r="G366" i="1" s="1"/>
  <c r="E366" i="1"/>
  <c r="AA365" i="1"/>
  <c r="Z365" i="1"/>
  <c r="W365" i="1"/>
  <c r="X365" i="1" s="1"/>
  <c r="G365" i="1"/>
  <c r="F365" i="1"/>
  <c r="E365" i="1"/>
  <c r="Z364" i="1"/>
  <c r="AA364" i="1" s="1"/>
  <c r="W364" i="1"/>
  <c r="X364" i="1" s="1"/>
  <c r="F364" i="1"/>
  <c r="G364" i="1" s="1"/>
  <c r="E364" i="1"/>
  <c r="AD363" i="1"/>
  <c r="AA363" i="1"/>
  <c r="Z363" i="1"/>
  <c r="X363" i="1"/>
  <c r="W363" i="1"/>
  <c r="G363" i="1"/>
  <c r="F363" i="1"/>
  <c r="E363" i="1"/>
  <c r="AE362" i="1"/>
  <c r="AD362" i="1"/>
  <c r="AC362" i="1"/>
  <c r="AB362" i="1"/>
  <c r="Z362" i="1"/>
  <c r="AA362" i="1" s="1"/>
  <c r="W362" i="1"/>
  <c r="X362" i="1" s="1"/>
  <c r="G362" i="1"/>
  <c r="F362" i="1"/>
  <c r="E362" i="1"/>
  <c r="AD361" i="1"/>
  <c r="AC361" i="1"/>
  <c r="AB361" i="1"/>
  <c r="AE361" i="1" s="1"/>
  <c r="AA361" i="1"/>
  <c r="Z361" i="1"/>
  <c r="X361" i="1"/>
  <c r="W361" i="1"/>
  <c r="F361" i="1"/>
  <c r="G361" i="1" s="1"/>
  <c r="E361" i="1"/>
  <c r="AD360" i="1"/>
  <c r="AC360" i="1"/>
  <c r="AB360" i="1"/>
  <c r="AE360" i="1" s="1"/>
  <c r="AA360" i="1"/>
  <c r="Z360" i="1"/>
  <c r="W360" i="1"/>
  <c r="X360" i="1" s="1"/>
  <c r="F360" i="1"/>
  <c r="G360" i="1" s="1"/>
  <c r="E360" i="1"/>
  <c r="AD359" i="1"/>
  <c r="Z359" i="1"/>
  <c r="AA359" i="1" s="1"/>
  <c r="W359" i="1"/>
  <c r="X359" i="1" s="1"/>
  <c r="G359" i="1"/>
  <c r="F359" i="1"/>
  <c r="E359" i="1"/>
  <c r="AD358" i="1"/>
  <c r="AC358" i="1"/>
  <c r="AB358" i="1"/>
  <c r="Z358" i="1"/>
  <c r="AA358" i="1" s="1"/>
  <c r="W358" i="1"/>
  <c r="X358" i="1" s="1"/>
  <c r="F358" i="1"/>
  <c r="G358" i="1" s="1"/>
  <c r="E358" i="1"/>
  <c r="AE357" i="1"/>
  <c r="AC357" i="1"/>
  <c r="AB357" i="1"/>
  <c r="Z357" i="1"/>
  <c r="AA357" i="1" s="1"/>
  <c r="W357" i="1"/>
  <c r="X357" i="1" s="1"/>
  <c r="F357" i="1"/>
  <c r="G357" i="1" s="1"/>
  <c r="E357" i="1"/>
  <c r="AD357" i="1" s="1"/>
  <c r="AD356" i="1"/>
  <c r="AA356" i="1"/>
  <c r="Z356" i="1"/>
  <c r="W356" i="1"/>
  <c r="X356" i="1" s="1"/>
  <c r="G356" i="1"/>
  <c r="F356" i="1"/>
  <c r="E356" i="1"/>
  <c r="AA355" i="1"/>
  <c r="Z355" i="1"/>
  <c r="W355" i="1"/>
  <c r="X355" i="1" s="1"/>
  <c r="G355" i="1"/>
  <c r="F355" i="1"/>
  <c r="E355" i="1"/>
  <c r="AD354" i="1"/>
  <c r="Z354" i="1"/>
  <c r="AA354" i="1" s="1"/>
  <c r="X354" i="1"/>
  <c r="W354" i="1"/>
  <c r="F354" i="1"/>
  <c r="G354" i="1" s="1"/>
  <c r="E354" i="1"/>
  <c r="AD353" i="1"/>
  <c r="AA353" i="1"/>
  <c r="Z353" i="1"/>
  <c r="W353" i="1"/>
  <c r="X353" i="1" s="1"/>
  <c r="G353" i="1"/>
  <c r="F353" i="1"/>
  <c r="E353" i="1"/>
  <c r="Z352" i="1"/>
  <c r="AA352" i="1" s="1"/>
  <c r="X352" i="1"/>
  <c r="W352" i="1"/>
  <c r="F352" i="1"/>
  <c r="G352" i="1" s="1"/>
  <c r="E352" i="1"/>
  <c r="AD351" i="1"/>
  <c r="AA351" i="1"/>
  <c r="Z351" i="1"/>
  <c r="X351" i="1"/>
  <c r="W351" i="1"/>
  <c r="G351" i="1"/>
  <c r="F351" i="1"/>
  <c r="E351" i="1"/>
  <c r="AC350" i="1"/>
  <c r="AB350" i="1"/>
  <c r="AE350" i="1" s="1"/>
  <c r="AA350" i="1"/>
  <c r="Z350" i="1"/>
  <c r="W350" i="1"/>
  <c r="X350" i="1" s="1"/>
  <c r="F350" i="1"/>
  <c r="G350" i="1" s="1"/>
  <c r="E350" i="1"/>
  <c r="AD350" i="1" s="1"/>
  <c r="Z349" i="1"/>
  <c r="AA349" i="1" s="1"/>
  <c r="X349" i="1"/>
  <c r="W349" i="1"/>
  <c r="G349" i="1"/>
  <c r="F349" i="1"/>
  <c r="E349" i="1"/>
  <c r="AC348" i="1"/>
  <c r="Z348" i="1"/>
  <c r="AA348" i="1" s="1"/>
  <c r="W348" i="1"/>
  <c r="X348" i="1" s="1"/>
  <c r="F348" i="1"/>
  <c r="G348" i="1" s="1"/>
  <c r="E348" i="1"/>
  <c r="Z347" i="1"/>
  <c r="AA347" i="1" s="1"/>
  <c r="W347" i="1"/>
  <c r="X347" i="1" s="1"/>
  <c r="G347" i="1"/>
  <c r="F347" i="1"/>
  <c r="E347" i="1"/>
  <c r="AD347" i="1" s="1"/>
  <c r="AE346" i="1"/>
  <c r="AD346" i="1"/>
  <c r="AC346" i="1"/>
  <c r="AB346" i="1"/>
  <c r="AA346" i="1"/>
  <c r="Z346" i="1"/>
  <c r="X346" i="1"/>
  <c r="W346" i="1"/>
  <c r="F346" i="1"/>
  <c r="G346" i="1" s="1"/>
  <c r="E346" i="1"/>
  <c r="AD345" i="1"/>
  <c r="AE345" i="1" s="1"/>
  <c r="AC345" i="1"/>
  <c r="AB345" i="1"/>
  <c r="Z345" i="1"/>
  <c r="AA345" i="1" s="1"/>
  <c r="X345" i="1"/>
  <c r="W345" i="1"/>
  <c r="F345" i="1"/>
  <c r="G345" i="1" s="1"/>
  <c r="E345" i="1"/>
  <c r="AD344" i="1"/>
  <c r="AC344" i="1"/>
  <c r="AB344" i="1"/>
  <c r="AE344" i="1" s="1"/>
  <c r="Z344" i="1"/>
  <c r="AA344" i="1" s="1"/>
  <c r="W344" i="1"/>
  <c r="X344" i="1" s="1"/>
  <c r="G344" i="1"/>
  <c r="F344" i="1"/>
  <c r="E344" i="1"/>
  <c r="Z343" i="1"/>
  <c r="AA343" i="1" s="1"/>
  <c r="W343" i="1"/>
  <c r="X343" i="1" s="1"/>
  <c r="F343" i="1"/>
  <c r="G343" i="1" s="1"/>
  <c r="E343" i="1"/>
  <c r="AA342" i="1"/>
  <c r="Z342" i="1"/>
  <c r="W342" i="1"/>
  <c r="X342" i="1" s="1"/>
  <c r="F342" i="1"/>
  <c r="G342" i="1" s="1"/>
  <c r="E342" i="1"/>
  <c r="AD341" i="1"/>
  <c r="AE341" i="1" s="1"/>
  <c r="AC341" i="1"/>
  <c r="Z341" i="1"/>
  <c r="AA341" i="1" s="1"/>
  <c r="W341" i="1"/>
  <c r="X341" i="1" s="1"/>
  <c r="F341" i="1"/>
  <c r="G341" i="1" s="1"/>
  <c r="E341" i="1"/>
  <c r="AB341" i="1" s="1"/>
  <c r="Z340" i="1"/>
  <c r="AA340" i="1" s="1"/>
  <c r="W340" i="1"/>
  <c r="X340" i="1" s="1"/>
  <c r="G340" i="1"/>
  <c r="F340" i="1"/>
  <c r="E340" i="1"/>
  <c r="AD339" i="1"/>
  <c r="AC339" i="1"/>
  <c r="AB339" i="1"/>
  <c r="AA339" i="1"/>
  <c r="Z339" i="1"/>
  <c r="X339" i="1"/>
  <c r="W339" i="1"/>
  <c r="F339" i="1"/>
  <c r="G339" i="1" s="1"/>
  <c r="E339" i="1"/>
  <c r="AE338" i="1"/>
  <c r="AC338" i="1"/>
  <c r="AB338" i="1"/>
  <c r="AA338" i="1"/>
  <c r="Z338" i="1"/>
  <c r="W338" i="1"/>
  <c r="X338" i="1" s="1"/>
  <c r="G338" i="1"/>
  <c r="F338" i="1"/>
  <c r="E338" i="1"/>
  <c r="AD338" i="1" s="1"/>
  <c r="AE337" i="1"/>
  <c r="AD337" i="1"/>
  <c r="AC337" i="1"/>
  <c r="AB337" i="1"/>
  <c r="AA337" i="1"/>
  <c r="Z337" i="1"/>
  <c r="X337" i="1"/>
  <c r="W337" i="1"/>
  <c r="F337" i="1"/>
  <c r="G337" i="1" s="1"/>
  <c r="E337" i="1"/>
  <c r="Z336" i="1"/>
  <c r="AA336" i="1" s="1"/>
  <c r="W336" i="1"/>
  <c r="X336" i="1" s="1"/>
  <c r="F336" i="1"/>
  <c r="G336" i="1" s="1"/>
  <c r="E336" i="1"/>
  <c r="AB335" i="1"/>
  <c r="AA335" i="1"/>
  <c r="Z335" i="1"/>
  <c r="X335" i="1"/>
  <c r="W335" i="1"/>
  <c r="G335" i="1"/>
  <c r="F335" i="1"/>
  <c r="E335" i="1"/>
  <c r="AD334" i="1"/>
  <c r="AE334" i="1" s="1"/>
  <c r="AC334" i="1"/>
  <c r="AB334" i="1"/>
  <c r="AA334" i="1"/>
  <c r="Z334" i="1"/>
  <c r="W334" i="1"/>
  <c r="X334" i="1" s="1"/>
  <c r="F334" i="1"/>
  <c r="G334" i="1" s="1"/>
  <c r="E334" i="1"/>
  <c r="AE333" i="1"/>
  <c r="AD333" i="1"/>
  <c r="AC333" i="1"/>
  <c r="Z333" i="1"/>
  <c r="AA333" i="1" s="1"/>
  <c r="X333" i="1"/>
  <c r="W333" i="1"/>
  <c r="F333" i="1"/>
  <c r="G333" i="1" s="1"/>
  <c r="E333" i="1"/>
  <c r="AB333" i="1" s="1"/>
  <c r="AD332" i="1"/>
  <c r="AC332" i="1"/>
  <c r="AB332" i="1"/>
  <c r="AA332" i="1"/>
  <c r="Z332" i="1"/>
  <c r="W332" i="1"/>
  <c r="X332" i="1" s="1"/>
  <c r="G332" i="1"/>
  <c r="F332" i="1"/>
  <c r="E332" i="1"/>
  <c r="Z331" i="1"/>
  <c r="AA331" i="1" s="1"/>
  <c r="X331" i="1"/>
  <c r="W331" i="1"/>
  <c r="G331" i="1"/>
  <c r="F331" i="1"/>
  <c r="E331" i="1"/>
  <c r="Z330" i="1"/>
  <c r="AA330" i="1" s="1"/>
  <c r="X330" i="1"/>
  <c r="W330" i="1"/>
  <c r="G330" i="1"/>
  <c r="F330" i="1"/>
  <c r="E330" i="1"/>
  <c r="Z329" i="1"/>
  <c r="AA329" i="1" s="1"/>
  <c r="W329" i="1"/>
  <c r="X329" i="1" s="1"/>
  <c r="G329" i="1"/>
  <c r="F329" i="1"/>
  <c r="E329" i="1"/>
  <c r="AC328" i="1"/>
  <c r="AB328" i="1"/>
  <c r="Y328" i="1"/>
  <c r="Z328" i="1" s="1"/>
  <c r="AA328" i="1" s="1"/>
  <c r="F328" i="1"/>
  <c r="G328" i="1" s="1"/>
  <c r="E328" i="1"/>
  <c r="AD327" i="1"/>
  <c r="AC327" i="1"/>
  <c r="AA327" i="1"/>
  <c r="Z327" i="1"/>
  <c r="W327" i="1"/>
  <c r="X327" i="1" s="1"/>
  <c r="F327" i="1"/>
  <c r="G327" i="1" s="1"/>
  <c r="E327" i="1"/>
  <c r="AB327" i="1" s="1"/>
  <c r="Z326" i="1"/>
  <c r="AA326" i="1" s="1"/>
  <c r="X326" i="1"/>
  <c r="W326" i="1"/>
  <c r="G326" i="1"/>
  <c r="F326" i="1"/>
  <c r="E326" i="1"/>
  <c r="AD325" i="1"/>
  <c r="AB325" i="1"/>
  <c r="AE325" i="1" s="1"/>
  <c r="AA325" i="1"/>
  <c r="Z325" i="1"/>
  <c r="W325" i="1"/>
  <c r="X325" i="1" s="1"/>
  <c r="G325" i="1"/>
  <c r="F325" i="1"/>
  <c r="E325" i="1"/>
  <c r="AC325" i="1" s="1"/>
  <c r="AA324" i="1"/>
  <c r="Z324" i="1"/>
  <c r="W324" i="1"/>
  <c r="X324" i="1" s="1"/>
  <c r="F324" i="1"/>
  <c r="G324" i="1" s="1"/>
  <c r="E324" i="1"/>
  <c r="AA323" i="1"/>
  <c r="Z323" i="1"/>
  <c r="X323" i="1"/>
  <c r="W323" i="1"/>
  <c r="F323" i="1"/>
  <c r="G323" i="1" s="1"/>
  <c r="E323" i="1"/>
  <c r="AE322" i="1"/>
  <c r="AD322" i="1"/>
  <c r="AC322" i="1"/>
  <c r="AB322" i="1"/>
  <c r="Z322" i="1"/>
  <c r="AA322" i="1" s="1"/>
  <c r="W322" i="1"/>
  <c r="X322" i="1" s="1"/>
  <c r="F322" i="1"/>
  <c r="G322" i="1" s="1"/>
  <c r="E322" i="1"/>
  <c r="AD321" i="1"/>
  <c r="AC321" i="1"/>
  <c r="AB321" i="1"/>
  <c r="AE321" i="1" s="1"/>
  <c r="AA321" i="1"/>
  <c r="Z321" i="1"/>
  <c r="W321" i="1"/>
  <c r="X321" i="1" s="1"/>
  <c r="G321" i="1"/>
  <c r="F321" i="1"/>
  <c r="E321" i="1"/>
  <c r="AD320" i="1"/>
  <c r="AC320" i="1"/>
  <c r="AB320" i="1"/>
  <c r="AE320" i="1" s="1"/>
  <c r="Z320" i="1"/>
  <c r="AA320" i="1" s="1"/>
  <c r="X320" i="1"/>
  <c r="W320" i="1"/>
  <c r="G320" i="1"/>
  <c r="F320" i="1"/>
  <c r="E320" i="1"/>
  <c r="Z319" i="1"/>
  <c r="AA319" i="1" s="1"/>
  <c r="W319" i="1"/>
  <c r="X319" i="1" s="1"/>
  <c r="G319" i="1"/>
  <c r="F319" i="1"/>
  <c r="E319" i="1"/>
  <c r="AB318" i="1"/>
  <c r="AA318" i="1"/>
  <c r="Z318" i="1"/>
  <c r="X318" i="1"/>
  <c r="W318" i="1"/>
  <c r="F318" i="1"/>
  <c r="G318" i="1" s="1"/>
  <c r="E318" i="1"/>
  <c r="AB317" i="1"/>
  <c r="Z317" i="1"/>
  <c r="AA317" i="1" s="1"/>
  <c r="W317" i="1"/>
  <c r="X317" i="1" s="1"/>
  <c r="G317" i="1"/>
  <c r="F317" i="1"/>
  <c r="E317" i="1"/>
  <c r="AA316" i="1"/>
  <c r="Z316" i="1"/>
  <c r="W316" i="1"/>
  <c r="X316" i="1" s="1"/>
  <c r="F316" i="1"/>
  <c r="G316" i="1" s="1"/>
  <c r="E316" i="1"/>
  <c r="AA315" i="1"/>
  <c r="Z315" i="1"/>
  <c r="W315" i="1"/>
  <c r="X315" i="1" s="1"/>
  <c r="F315" i="1"/>
  <c r="G315" i="1" s="1"/>
  <c r="E315" i="1"/>
  <c r="AD314" i="1"/>
  <c r="AC314" i="1"/>
  <c r="AB314" i="1"/>
  <c r="Z314" i="1"/>
  <c r="AA314" i="1" s="1"/>
  <c r="X314" i="1"/>
  <c r="W314" i="1"/>
  <c r="G314" i="1"/>
  <c r="F314" i="1"/>
  <c r="E314" i="1"/>
  <c r="AD313" i="1"/>
  <c r="AB313" i="1"/>
  <c r="AA313" i="1"/>
  <c r="Z313" i="1"/>
  <c r="X313" i="1"/>
  <c r="W313" i="1"/>
  <c r="G313" i="1"/>
  <c r="F313" i="1"/>
  <c r="E313" i="1"/>
  <c r="AC313" i="1" s="1"/>
  <c r="AD312" i="1"/>
  <c r="Z312" i="1"/>
  <c r="AA312" i="1" s="1"/>
  <c r="W312" i="1"/>
  <c r="X312" i="1" s="1"/>
  <c r="G312" i="1"/>
  <c r="F312" i="1"/>
  <c r="E312" i="1"/>
  <c r="AE311" i="1"/>
  <c r="AD311" i="1"/>
  <c r="AB311" i="1"/>
  <c r="AA311" i="1"/>
  <c r="Z311" i="1"/>
  <c r="X311" i="1"/>
  <c r="W311" i="1"/>
  <c r="F311" i="1"/>
  <c r="G311" i="1" s="1"/>
  <c r="E311" i="1"/>
  <c r="AC311" i="1" s="1"/>
  <c r="AD310" i="1"/>
  <c r="AE310" i="1" s="1"/>
  <c r="AC310" i="1"/>
  <c r="Z310" i="1"/>
  <c r="AA310" i="1" s="1"/>
  <c r="X310" i="1"/>
  <c r="W310" i="1"/>
  <c r="F310" i="1"/>
  <c r="G310" i="1" s="1"/>
  <c r="E310" i="1"/>
  <c r="AB310" i="1" s="1"/>
  <c r="AA309" i="1"/>
  <c r="Z309" i="1"/>
  <c r="W309" i="1"/>
  <c r="X309" i="1" s="1"/>
  <c r="G309" i="1"/>
  <c r="F309" i="1"/>
  <c r="E309" i="1"/>
  <c r="AD308" i="1"/>
  <c r="AC308" i="1"/>
  <c r="AB308" i="1"/>
  <c r="AE308" i="1" s="1"/>
  <c r="AA308" i="1"/>
  <c r="Z308" i="1"/>
  <c r="W308" i="1"/>
  <c r="X308" i="1" s="1"/>
  <c r="F308" i="1"/>
  <c r="G308" i="1" s="1"/>
  <c r="E308" i="1"/>
  <c r="AA307" i="1"/>
  <c r="Z307" i="1"/>
  <c r="X307" i="1"/>
  <c r="W307" i="1"/>
  <c r="F307" i="1"/>
  <c r="G307" i="1" s="1"/>
  <c r="E307" i="1"/>
  <c r="Z306" i="1"/>
  <c r="AA306" i="1" s="1"/>
  <c r="X306" i="1"/>
  <c r="W306" i="1"/>
  <c r="G306" i="1"/>
  <c r="F306" i="1"/>
  <c r="E306" i="1"/>
  <c r="AE305" i="1"/>
  <c r="AC305" i="1"/>
  <c r="AB305" i="1"/>
  <c r="Z305" i="1"/>
  <c r="AA305" i="1" s="1"/>
  <c r="W305" i="1"/>
  <c r="X305" i="1" s="1"/>
  <c r="F305" i="1"/>
  <c r="G305" i="1" s="1"/>
  <c r="E305" i="1"/>
  <c r="AD305" i="1" s="1"/>
  <c r="AB304" i="1"/>
  <c r="Z304" i="1"/>
  <c r="AA304" i="1" s="1"/>
  <c r="X304" i="1"/>
  <c r="W304" i="1"/>
  <c r="G304" i="1"/>
  <c r="F304" i="1"/>
  <c r="E304" i="1"/>
  <c r="AD303" i="1"/>
  <c r="AA303" i="1"/>
  <c r="Z303" i="1"/>
  <c r="X303" i="1"/>
  <c r="W303" i="1"/>
  <c r="F303" i="1"/>
  <c r="G303" i="1" s="1"/>
  <c r="E303" i="1"/>
  <c r="G302" i="1"/>
  <c r="F302" i="1"/>
  <c r="E302" i="1"/>
  <c r="AD301" i="1"/>
  <c r="AA301" i="1"/>
  <c r="Z301" i="1"/>
  <c r="W301" i="1"/>
  <c r="X301" i="1" s="1"/>
  <c r="F301" i="1"/>
  <c r="G301" i="1" s="1"/>
  <c r="E301" i="1"/>
  <c r="Z300" i="1"/>
  <c r="AA300" i="1" s="1"/>
  <c r="X300" i="1"/>
  <c r="W300" i="1"/>
  <c r="F300" i="1"/>
  <c r="G300" i="1" s="1"/>
  <c r="E300" i="1"/>
  <c r="AD299" i="1"/>
  <c r="AA299" i="1"/>
  <c r="Z299" i="1"/>
  <c r="W299" i="1"/>
  <c r="X299" i="1" s="1"/>
  <c r="F299" i="1"/>
  <c r="G299" i="1" s="1"/>
  <c r="E299" i="1"/>
  <c r="AD298" i="1"/>
  <c r="AC298" i="1"/>
  <c r="AB298" i="1"/>
  <c r="AE298" i="1" s="1"/>
  <c r="AA298" i="1"/>
  <c r="Z298" i="1"/>
  <c r="W298" i="1"/>
  <c r="X298" i="1" s="1"/>
  <c r="G298" i="1"/>
  <c r="F298" i="1"/>
  <c r="E298" i="1"/>
  <c r="AD297" i="1"/>
  <c r="AC297" i="1"/>
  <c r="AB297" i="1"/>
  <c r="AE297" i="1" s="1"/>
  <c r="Z297" i="1"/>
  <c r="AA297" i="1" s="1"/>
  <c r="X297" i="1"/>
  <c r="W297" i="1"/>
  <c r="F297" i="1"/>
  <c r="G297" i="1" s="1"/>
  <c r="E297" i="1"/>
  <c r="Z296" i="1"/>
  <c r="AA296" i="1" s="1"/>
  <c r="X296" i="1"/>
  <c r="W296" i="1"/>
  <c r="F296" i="1"/>
  <c r="G296" i="1" s="1"/>
  <c r="E296" i="1"/>
  <c r="Z295" i="1"/>
  <c r="AA295" i="1" s="1"/>
  <c r="W295" i="1"/>
  <c r="X295" i="1" s="1"/>
  <c r="G295" i="1"/>
  <c r="F295" i="1"/>
  <c r="E295" i="1"/>
  <c r="AE294" i="1"/>
  <c r="AD294" i="1"/>
  <c r="AC294" i="1"/>
  <c r="AB294" i="1"/>
  <c r="Z294" i="1"/>
  <c r="AA294" i="1" s="1"/>
  <c r="W294" i="1"/>
  <c r="X294" i="1" s="1"/>
  <c r="F294" i="1"/>
  <c r="G294" i="1" s="1"/>
  <c r="E294" i="1"/>
  <c r="AD293" i="1"/>
  <c r="AE293" i="1" s="1"/>
  <c r="AC293" i="1"/>
  <c r="Z293" i="1"/>
  <c r="AA293" i="1" s="1"/>
  <c r="W293" i="1"/>
  <c r="X293" i="1" s="1"/>
  <c r="G293" i="1"/>
  <c r="F293" i="1"/>
  <c r="E293" i="1"/>
  <c r="AB293" i="1" s="1"/>
  <c r="AD292" i="1"/>
  <c r="AB292" i="1"/>
  <c r="AE292" i="1" s="1"/>
  <c r="Z292" i="1"/>
  <c r="AA292" i="1" s="1"/>
  <c r="W292" i="1"/>
  <c r="X292" i="1" s="1"/>
  <c r="G292" i="1"/>
  <c r="F292" i="1"/>
  <c r="E292" i="1"/>
  <c r="AC292" i="1" s="1"/>
  <c r="AE291" i="1"/>
  <c r="AC291" i="1"/>
  <c r="AB291" i="1"/>
  <c r="AA291" i="1"/>
  <c r="Z291" i="1"/>
  <c r="W291" i="1"/>
  <c r="X291" i="1" s="1"/>
  <c r="F291" i="1"/>
  <c r="G291" i="1" s="1"/>
  <c r="E291" i="1"/>
  <c r="AD291" i="1" s="1"/>
  <c r="Z290" i="1"/>
  <c r="AA290" i="1" s="1"/>
  <c r="X290" i="1"/>
  <c r="W290" i="1"/>
  <c r="G290" i="1"/>
  <c r="F290" i="1"/>
  <c r="E290" i="1"/>
  <c r="AC289" i="1"/>
  <c r="Z289" i="1"/>
  <c r="AA289" i="1" s="1"/>
  <c r="X289" i="1"/>
  <c r="W289" i="1"/>
  <c r="F289" i="1"/>
  <c r="G289" i="1" s="1"/>
  <c r="E289" i="1"/>
  <c r="Z288" i="1"/>
  <c r="AA288" i="1" s="1"/>
  <c r="W288" i="1"/>
  <c r="X288" i="1" s="1"/>
  <c r="G288" i="1"/>
  <c r="F288" i="1"/>
  <c r="E288" i="1"/>
  <c r="AA287" i="1"/>
  <c r="Z287" i="1"/>
  <c r="X287" i="1"/>
  <c r="W287" i="1"/>
  <c r="F287" i="1"/>
  <c r="G287" i="1" s="1"/>
  <c r="E287" i="1"/>
  <c r="AA286" i="1"/>
  <c r="Z286" i="1"/>
  <c r="W286" i="1"/>
  <c r="X286" i="1" s="1"/>
  <c r="G286" i="1"/>
  <c r="F286" i="1"/>
  <c r="E286" i="1"/>
  <c r="AD286" i="1" s="1"/>
  <c r="AD285" i="1"/>
  <c r="AE285" i="1" s="1"/>
  <c r="AC285" i="1"/>
  <c r="AB285" i="1"/>
  <c r="AA285" i="1"/>
  <c r="Z285" i="1"/>
  <c r="X285" i="1"/>
  <c r="W285" i="1"/>
  <c r="F285" i="1"/>
  <c r="G285" i="1" s="1"/>
  <c r="E285" i="1"/>
  <c r="AD284" i="1"/>
  <c r="AC284" i="1"/>
  <c r="AB284" i="1"/>
  <c r="AE284" i="1" s="1"/>
  <c r="AA284" i="1"/>
  <c r="Z284" i="1"/>
  <c r="W284" i="1"/>
  <c r="X284" i="1" s="1"/>
  <c r="F284" i="1"/>
  <c r="G284" i="1" s="1"/>
  <c r="E284" i="1"/>
  <c r="Z283" i="1"/>
  <c r="AA283" i="1" s="1"/>
  <c r="W283" i="1"/>
  <c r="X283" i="1" s="1"/>
  <c r="G283" i="1"/>
  <c r="F283" i="1"/>
  <c r="E283" i="1"/>
  <c r="AD282" i="1"/>
  <c r="AC282" i="1"/>
  <c r="AB282" i="1"/>
  <c r="AE282" i="1" s="1"/>
  <c r="Z282" i="1"/>
  <c r="AA282" i="1" s="1"/>
  <c r="W282" i="1"/>
  <c r="X282" i="1" s="1"/>
  <c r="F282" i="1"/>
  <c r="G282" i="1" s="1"/>
  <c r="E282" i="1"/>
  <c r="AC281" i="1"/>
  <c r="AA281" i="1"/>
  <c r="Z281" i="1"/>
  <c r="X281" i="1"/>
  <c r="W281" i="1"/>
  <c r="G281" i="1"/>
  <c r="F281" i="1"/>
  <c r="E281" i="1"/>
  <c r="AD280" i="1"/>
  <c r="AC280" i="1"/>
  <c r="AA280" i="1"/>
  <c r="Z280" i="1"/>
  <c r="X280" i="1"/>
  <c r="W280" i="1"/>
  <c r="F280" i="1"/>
  <c r="G280" i="1" s="1"/>
  <c r="E280" i="1"/>
  <c r="AB280" i="1" s="1"/>
  <c r="AC279" i="1"/>
  <c r="AB279" i="1"/>
  <c r="AE279" i="1" s="1"/>
  <c r="AA279" i="1"/>
  <c r="Z279" i="1"/>
  <c r="X279" i="1"/>
  <c r="W279" i="1"/>
  <c r="G279" i="1"/>
  <c r="F279" i="1"/>
  <c r="E279" i="1"/>
  <c r="AD279" i="1" s="1"/>
  <c r="Z278" i="1"/>
  <c r="AA278" i="1" s="1"/>
  <c r="X278" i="1"/>
  <c r="W278" i="1"/>
  <c r="G278" i="1"/>
  <c r="F278" i="1"/>
  <c r="E278" i="1"/>
  <c r="AC277" i="1"/>
  <c r="Z277" i="1"/>
  <c r="AA277" i="1" s="1"/>
  <c r="W277" i="1"/>
  <c r="X277" i="1" s="1"/>
  <c r="G277" i="1"/>
  <c r="F277" i="1"/>
  <c r="E277" i="1"/>
  <c r="Z276" i="1"/>
  <c r="AA276" i="1" s="1"/>
  <c r="X276" i="1"/>
  <c r="W276" i="1"/>
  <c r="G276" i="1"/>
  <c r="F276" i="1"/>
  <c r="E276" i="1"/>
  <c r="AD275" i="1"/>
  <c r="AB275" i="1"/>
  <c r="AA275" i="1"/>
  <c r="Z275" i="1"/>
  <c r="X275" i="1"/>
  <c r="W275" i="1"/>
  <c r="F275" i="1"/>
  <c r="G275" i="1" s="1"/>
  <c r="E275" i="1"/>
  <c r="AC275" i="1" s="1"/>
  <c r="AC274" i="1"/>
  <c r="Z274" i="1"/>
  <c r="AA274" i="1" s="1"/>
  <c r="W274" i="1"/>
  <c r="X274" i="1" s="1"/>
  <c r="F274" i="1"/>
  <c r="G274" i="1" s="1"/>
  <c r="E274" i="1"/>
  <c r="AA273" i="1"/>
  <c r="Z273" i="1"/>
  <c r="X273" i="1"/>
  <c r="W273" i="1"/>
  <c r="G273" i="1"/>
  <c r="F273" i="1"/>
  <c r="E273" i="1"/>
  <c r="Z272" i="1"/>
  <c r="AA272" i="1" s="1"/>
  <c r="W272" i="1"/>
  <c r="X272" i="1" s="1"/>
  <c r="F272" i="1"/>
  <c r="G272" i="1" s="1"/>
  <c r="E272" i="1"/>
  <c r="AD271" i="1"/>
  <c r="AC271" i="1"/>
  <c r="AB271" i="1"/>
  <c r="AE271" i="1" s="1"/>
  <c r="AA271" i="1"/>
  <c r="Z271" i="1"/>
  <c r="W271" i="1"/>
  <c r="X271" i="1" s="1"/>
  <c r="G271" i="1"/>
  <c r="F271" i="1"/>
  <c r="E271" i="1"/>
  <c r="AD270" i="1"/>
  <c r="AC270" i="1"/>
  <c r="AB270" i="1"/>
  <c r="AE270" i="1" s="1"/>
  <c r="Z270" i="1"/>
  <c r="AA270" i="1" s="1"/>
  <c r="X270" i="1"/>
  <c r="W270" i="1"/>
  <c r="G270" i="1"/>
  <c r="F270" i="1"/>
  <c r="E270" i="1"/>
  <c r="AD269" i="1"/>
  <c r="AC269" i="1"/>
  <c r="AB269" i="1"/>
  <c r="AE269" i="1" s="1"/>
  <c r="Z269" i="1"/>
  <c r="AA269" i="1" s="1"/>
  <c r="W269" i="1"/>
  <c r="X269" i="1" s="1"/>
  <c r="F269" i="1"/>
  <c r="G269" i="1" s="1"/>
  <c r="E269" i="1"/>
  <c r="AD268" i="1"/>
  <c r="AC268" i="1"/>
  <c r="AB268" i="1"/>
  <c r="AE268" i="1" s="1"/>
  <c r="AA268" i="1"/>
  <c r="Z268" i="1"/>
  <c r="W268" i="1"/>
  <c r="X268" i="1" s="1"/>
  <c r="F268" i="1"/>
  <c r="G268" i="1" s="1"/>
  <c r="E268" i="1"/>
  <c r="Z267" i="1"/>
  <c r="AA267" i="1" s="1"/>
  <c r="W267" i="1"/>
  <c r="X267" i="1" s="1"/>
  <c r="F267" i="1"/>
  <c r="G267" i="1" s="1"/>
  <c r="E267" i="1"/>
  <c r="AB266" i="1"/>
  <c r="Z266" i="1"/>
  <c r="AA266" i="1" s="1"/>
  <c r="X266" i="1"/>
  <c r="W266" i="1"/>
  <c r="F266" i="1"/>
  <c r="G266" i="1" s="1"/>
  <c r="E266" i="1"/>
  <c r="AD265" i="1"/>
  <c r="Z265" i="1"/>
  <c r="AA265" i="1" s="1"/>
  <c r="W265" i="1"/>
  <c r="X265" i="1" s="1"/>
  <c r="F265" i="1"/>
  <c r="G265" i="1" s="1"/>
  <c r="E265" i="1"/>
  <c r="Z264" i="1"/>
  <c r="AA264" i="1" s="1"/>
  <c r="W264" i="1"/>
  <c r="X264" i="1" s="1"/>
  <c r="F264" i="1"/>
  <c r="G264" i="1" s="1"/>
  <c r="E264" i="1"/>
  <c r="AC264" i="1" s="1"/>
  <c r="AA263" i="1"/>
  <c r="Z263" i="1"/>
  <c r="X263" i="1"/>
  <c r="W263" i="1"/>
  <c r="G263" i="1"/>
  <c r="F263" i="1"/>
  <c r="E263" i="1"/>
  <c r="AA262" i="1"/>
  <c r="Z262" i="1"/>
  <c r="W262" i="1"/>
  <c r="X262" i="1" s="1"/>
  <c r="G262" i="1"/>
  <c r="F262" i="1"/>
  <c r="E262" i="1"/>
  <c r="AD261" i="1"/>
  <c r="AC261" i="1"/>
  <c r="AB261" i="1"/>
  <c r="AE261" i="1" s="1"/>
  <c r="AA261" i="1"/>
  <c r="Z261" i="1"/>
  <c r="X261" i="1"/>
  <c r="W261" i="1"/>
  <c r="G261" i="1"/>
  <c r="F261" i="1"/>
  <c r="E261" i="1"/>
  <c r="AC260" i="1"/>
  <c r="AB260" i="1"/>
  <c r="AE260" i="1" s="1"/>
  <c r="AA260" i="1"/>
  <c r="Z260" i="1"/>
  <c r="X260" i="1"/>
  <c r="W260" i="1"/>
  <c r="F260" i="1"/>
  <c r="G260" i="1" s="1"/>
  <c r="E260" i="1"/>
  <c r="AD260" i="1" s="1"/>
  <c r="AA259" i="1"/>
  <c r="Z259" i="1"/>
  <c r="W259" i="1"/>
  <c r="X259" i="1" s="1"/>
  <c r="G259" i="1"/>
  <c r="F259" i="1"/>
  <c r="E259" i="1"/>
  <c r="AE258" i="1"/>
  <c r="AD258" i="1"/>
  <c r="AC258" i="1"/>
  <c r="AB258" i="1"/>
  <c r="Z258" i="1"/>
  <c r="AA258" i="1" s="1"/>
  <c r="X258" i="1"/>
  <c r="W258" i="1"/>
  <c r="F258" i="1"/>
  <c r="G258" i="1" s="1"/>
  <c r="E258" i="1"/>
  <c r="AD257" i="1"/>
  <c r="AE257" i="1" s="1"/>
  <c r="AC257" i="1"/>
  <c r="AA257" i="1"/>
  <c r="Z257" i="1"/>
  <c r="X257" i="1"/>
  <c r="W257" i="1"/>
  <c r="G257" i="1"/>
  <c r="F257" i="1"/>
  <c r="E257" i="1"/>
  <c r="AB257" i="1" s="1"/>
  <c r="AD256" i="1"/>
  <c r="AC256" i="1"/>
  <c r="AB256" i="1"/>
  <c r="AE256" i="1" s="1"/>
  <c r="AA256" i="1"/>
  <c r="Z256" i="1"/>
  <c r="X256" i="1"/>
  <c r="W256" i="1"/>
  <c r="G256" i="1"/>
  <c r="F256" i="1"/>
  <c r="E256" i="1"/>
  <c r="AC255" i="1"/>
  <c r="AB255" i="1"/>
  <c r="AE255" i="1" s="1"/>
  <c r="Z255" i="1"/>
  <c r="AA255" i="1" s="1"/>
  <c r="X255" i="1"/>
  <c r="W255" i="1"/>
  <c r="G255" i="1"/>
  <c r="F255" i="1"/>
  <c r="E255" i="1"/>
  <c r="AD255" i="1" s="1"/>
  <c r="Z254" i="1"/>
  <c r="AA254" i="1" s="1"/>
  <c r="W254" i="1"/>
  <c r="X254" i="1" s="1"/>
  <c r="G254" i="1"/>
  <c r="F254" i="1"/>
  <c r="E254" i="1"/>
  <c r="AD253" i="1"/>
  <c r="Z253" i="1"/>
  <c r="AA253" i="1" s="1"/>
  <c r="W253" i="1"/>
  <c r="X253" i="1" s="1"/>
  <c r="G253" i="1"/>
  <c r="F253" i="1"/>
  <c r="E253" i="1"/>
  <c r="AD252" i="1"/>
  <c r="AB252" i="1"/>
  <c r="Z252" i="1"/>
  <c r="AA252" i="1" s="1"/>
  <c r="X252" i="1"/>
  <c r="W252" i="1"/>
  <c r="F252" i="1"/>
  <c r="G252" i="1" s="1"/>
  <c r="E252" i="1"/>
  <c r="AC252" i="1" s="1"/>
  <c r="AD251" i="1"/>
  <c r="AB251" i="1"/>
  <c r="AE251" i="1" s="1"/>
  <c r="AA251" i="1"/>
  <c r="Z251" i="1"/>
  <c r="X251" i="1"/>
  <c r="W251" i="1"/>
  <c r="G251" i="1"/>
  <c r="F251" i="1"/>
  <c r="E251" i="1"/>
  <c r="AC251" i="1" s="1"/>
  <c r="AC250" i="1"/>
  <c r="AA250" i="1"/>
  <c r="Z250" i="1"/>
  <c r="W250" i="1"/>
  <c r="X250" i="1" s="1"/>
  <c r="F250" i="1"/>
  <c r="G250" i="1" s="1"/>
  <c r="E250" i="1"/>
  <c r="AA249" i="1"/>
  <c r="Z249" i="1"/>
  <c r="X249" i="1"/>
  <c r="W249" i="1"/>
  <c r="F249" i="1"/>
  <c r="G249" i="1" s="1"/>
  <c r="E249" i="1"/>
  <c r="AA248" i="1"/>
  <c r="Z248" i="1"/>
  <c r="W248" i="1"/>
  <c r="X248" i="1" s="1"/>
  <c r="F248" i="1"/>
  <c r="G248" i="1" s="1"/>
  <c r="E248" i="1"/>
  <c r="AD247" i="1"/>
  <c r="AC247" i="1"/>
  <c r="AB247" i="1"/>
  <c r="AE247" i="1" s="1"/>
  <c r="AA247" i="1"/>
  <c r="Z247" i="1"/>
  <c r="W247" i="1"/>
  <c r="X247" i="1" s="1"/>
  <c r="G247" i="1"/>
  <c r="F247" i="1"/>
  <c r="E247" i="1"/>
  <c r="AE246" i="1"/>
  <c r="AD246" i="1"/>
  <c r="AC246" i="1"/>
  <c r="AB246" i="1"/>
  <c r="Z246" i="1"/>
  <c r="AA246" i="1" s="1"/>
  <c r="Y246" i="1"/>
  <c r="F246" i="1"/>
  <c r="G246" i="1" s="1"/>
  <c r="E246" i="1"/>
  <c r="V246" i="1" s="1"/>
  <c r="W246" i="1" s="1"/>
  <c r="X246" i="1" s="1"/>
  <c r="AD245" i="1"/>
  <c r="AC245" i="1"/>
  <c r="AB245" i="1"/>
  <c r="AE245" i="1" s="1"/>
  <c r="AA245" i="1"/>
  <c r="Z245" i="1"/>
  <c r="Y245" i="1"/>
  <c r="X245" i="1"/>
  <c r="W245" i="1"/>
  <c r="F245" i="1"/>
  <c r="G245" i="1" s="1"/>
  <c r="E245" i="1"/>
  <c r="V245" i="1" s="1"/>
  <c r="AD244" i="1"/>
  <c r="AC244" i="1"/>
  <c r="AB244" i="1"/>
  <c r="AE244" i="1" s="1"/>
  <c r="Z244" i="1"/>
  <c r="AA244" i="1" s="1"/>
  <c r="X244" i="1"/>
  <c r="W244" i="1"/>
  <c r="F244" i="1"/>
  <c r="G244" i="1" s="1"/>
  <c r="E244" i="1"/>
  <c r="AA243" i="1"/>
  <c r="Z243" i="1"/>
  <c r="W243" i="1"/>
  <c r="X243" i="1" s="1"/>
  <c r="G243" i="1"/>
  <c r="F243" i="1"/>
  <c r="E243" i="1"/>
  <c r="AD242" i="1"/>
  <c r="AC242" i="1"/>
  <c r="AB242" i="1"/>
  <c r="AE242" i="1" s="1"/>
  <c r="Z242" i="1"/>
  <c r="AA242" i="1" s="1"/>
  <c r="W242" i="1"/>
  <c r="X242" i="1" s="1"/>
  <c r="F242" i="1"/>
  <c r="G242" i="1" s="1"/>
  <c r="E242" i="1"/>
  <c r="AC241" i="1"/>
  <c r="AA241" i="1"/>
  <c r="Z241" i="1"/>
  <c r="X241" i="1"/>
  <c r="W241" i="1"/>
  <c r="F241" i="1"/>
  <c r="G241" i="1" s="1"/>
  <c r="E241" i="1"/>
  <c r="AD240" i="1"/>
  <c r="AC240" i="1"/>
  <c r="AA240" i="1"/>
  <c r="Z240" i="1"/>
  <c r="X240" i="1"/>
  <c r="W240" i="1"/>
  <c r="F240" i="1"/>
  <c r="G240" i="1" s="1"/>
  <c r="E240" i="1"/>
  <c r="AB240" i="1" s="1"/>
  <c r="AE239" i="1"/>
  <c r="AC239" i="1"/>
  <c r="AB239" i="1"/>
  <c r="AA239" i="1"/>
  <c r="Z239" i="1"/>
  <c r="X239" i="1"/>
  <c r="W239" i="1"/>
  <c r="G239" i="1"/>
  <c r="F239" i="1"/>
  <c r="E239" i="1"/>
  <c r="AD239" i="1" s="1"/>
  <c r="AB238" i="1"/>
  <c r="AA238" i="1"/>
  <c r="Z238" i="1"/>
  <c r="X238" i="1"/>
  <c r="W238" i="1"/>
  <c r="G238" i="1"/>
  <c r="F238" i="1"/>
  <c r="E238" i="1"/>
  <c r="AC237" i="1"/>
  <c r="Z237" i="1"/>
  <c r="AA237" i="1" s="1"/>
  <c r="W237" i="1"/>
  <c r="X237" i="1" s="1"/>
  <c r="G237" i="1"/>
  <c r="F237" i="1"/>
  <c r="E237" i="1"/>
  <c r="Z236" i="1"/>
  <c r="AA236" i="1" s="1"/>
  <c r="X236" i="1"/>
  <c r="W236" i="1"/>
  <c r="G236" i="1"/>
  <c r="F236" i="1"/>
  <c r="E236" i="1"/>
  <c r="AD235" i="1"/>
  <c r="AB235" i="1"/>
  <c r="AA235" i="1"/>
  <c r="Z235" i="1"/>
  <c r="W235" i="1"/>
  <c r="X235" i="1" s="1"/>
  <c r="F235" i="1"/>
  <c r="G235" i="1" s="1"/>
  <c r="E235" i="1"/>
  <c r="AC235" i="1" s="1"/>
  <c r="AC234" i="1"/>
  <c r="AA234" i="1"/>
  <c r="Z234" i="1"/>
  <c r="W234" i="1"/>
  <c r="X234" i="1" s="1"/>
  <c r="F234" i="1"/>
  <c r="G234" i="1" s="1"/>
  <c r="E234" i="1"/>
  <c r="AA233" i="1"/>
  <c r="Z233" i="1"/>
  <c r="X233" i="1"/>
  <c r="W233" i="1"/>
  <c r="G233" i="1"/>
  <c r="F233" i="1"/>
  <c r="E233" i="1"/>
  <c r="Z232" i="1"/>
  <c r="AA232" i="1" s="1"/>
  <c r="W232" i="1"/>
  <c r="X232" i="1" s="1"/>
  <c r="F232" i="1"/>
  <c r="G232" i="1" s="1"/>
  <c r="E232" i="1"/>
  <c r="AD231" i="1"/>
  <c r="AC231" i="1"/>
  <c r="AB231" i="1"/>
  <c r="AE231" i="1" s="1"/>
  <c r="AA231" i="1"/>
  <c r="Z231" i="1"/>
  <c r="W231" i="1"/>
  <c r="X231" i="1" s="1"/>
  <c r="G231" i="1"/>
  <c r="F231" i="1"/>
  <c r="E231" i="1"/>
  <c r="AD230" i="1"/>
  <c r="AC230" i="1"/>
  <c r="AB230" i="1"/>
  <c r="AE230" i="1" s="1"/>
  <c r="Z230" i="1"/>
  <c r="AA230" i="1" s="1"/>
  <c r="X230" i="1"/>
  <c r="W230" i="1"/>
  <c r="G230" i="1"/>
  <c r="F230" i="1"/>
  <c r="E230" i="1"/>
  <c r="AD229" i="1"/>
  <c r="AC229" i="1"/>
  <c r="AB229" i="1"/>
  <c r="AE229" i="1" s="1"/>
  <c r="Z229" i="1"/>
  <c r="AA229" i="1" s="1"/>
  <c r="W229" i="1"/>
  <c r="X229" i="1" s="1"/>
  <c r="F229" i="1"/>
  <c r="G229" i="1" s="1"/>
  <c r="E229" i="1"/>
  <c r="AD228" i="1"/>
  <c r="AC228" i="1"/>
  <c r="AB228" i="1"/>
  <c r="AE228" i="1" s="1"/>
  <c r="Z228" i="1"/>
  <c r="AA228" i="1" s="1"/>
  <c r="W228" i="1"/>
  <c r="X228" i="1" s="1"/>
  <c r="F228" i="1"/>
  <c r="G228" i="1" s="1"/>
  <c r="E228" i="1"/>
  <c r="Z227" i="1"/>
  <c r="AA227" i="1" s="1"/>
  <c r="W227" i="1"/>
  <c r="X227" i="1" s="1"/>
  <c r="F227" i="1"/>
  <c r="G227" i="1" s="1"/>
  <c r="E227" i="1"/>
  <c r="AB226" i="1"/>
  <c r="Z226" i="1"/>
  <c r="AA226" i="1" s="1"/>
  <c r="W226" i="1"/>
  <c r="X226" i="1" s="1"/>
  <c r="F226" i="1"/>
  <c r="G226" i="1" s="1"/>
  <c r="E226" i="1"/>
  <c r="Z225" i="1"/>
  <c r="AA225" i="1" s="1"/>
  <c r="W225" i="1"/>
  <c r="X225" i="1" s="1"/>
  <c r="G225" i="1"/>
  <c r="F225" i="1"/>
  <c r="E225" i="1"/>
  <c r="AC224" i="1"/>
  <c r="Z224" i="1"/>
  <c r="AA224" i="1" s="1"/>
  <c r="W224" i="1"/>
  <c r="X224" i="1" s="1"/>
  <c r="F224" i="1"/>
  <c r="G224" i="1" s="1"/>
  <c r="E224" i="1"/>
  <c r="AD223" i="1"/>
  <c r="AC223" i="1"/>
  <c r="AB223" i="1"/>
  <c r="AE223" i="1" s="1"/>
  <c r="AA223" i="1"/>
  <c r="Z223" i="1"/>
  <c r="X223" i="1"/>
  <c r="W223" i="1"/>
  <c r="G223" i="1"/>
  <c r="F223" i="1"/>
  <c r="E223" i="1"/>
  <c r="AC222" i="1"/>
  <c r="AB222" i="1"/>
  <c r="AE222" i="1" s="1"/>
  <c r="Z222" i="1"/>
  <c r="AA222" i="1" s="1"/>
  <c r="W222" i="1"/>
  <c r="X222" i="1" s="1"/>
  <c r="G222" i="1"/>
  <c r="F222" i="1"/>
  <c r="E222" i="1"/>
  <c r="AD222" i="1" s="1"/>
  <c r="AD221" i="1"/>
  <c r="AC221" i="1"/>
  <c r="AB221" i="1"/>
  <c r="AE221" i="1" s="1"/>
  <c r="Z221" i="1"/>
  <c r="AA221" i="1" s="1"/>
  <c r="X221" i="1"/>
  <c r="W221" i="1"/>
  <c r="G221" i="1"/>
  <c r="F221" i="1"/>
  <c r="E221" i="1"/>
  <c r="Z220" i="1"/>
  <c r="AA220" i="1" s="1"/>
  <c r="X220" i="1"/>
  <c r="W220" i="1"/>
  <c r="F220" i="1"/>
  <c r="G220" i="1" s="1"/>
  <c r="E220" i="1"/>
  <c r="AD220" i="1" s="1"/>
  <c r="AA219" i="1"/>
  <c r="Z219" i="1"/>
  <c r="W219" i="1"/>
  <c r="X219" i="1" s="1"/>
  <c r="G219" i="1"/>
  <c r="F219" i="1"/>
  <c r="E219" i="1"/>
  <c r="AD218" i="1"/>
  <c r="AC218" i="1"/>
  <c r="AB218" i="1"/>
  <c r="AE218" i="1" s="1"/>
  <c r="Z218" i="1"/>
  <c r="AA218" i="1" s="1"/>
  <c r="X218" i="1"/>
  <c r="W218" i="1"/>
  <c r="F218" i="1"/>
  <c r="G218" i="1" s="1"/>
  <c r="E218" i="1"/>
  <c r="AA217" i="1"/>
  <c r="Z217" i="1"/>
  <c r="X217" i="1"/>
  <c r="W217" i="1"/>
  <c r="G217" i="1"/>
  <c r="F217" i="1"/>
  <c r="E217" i="1"/>
  <c r="AD216" i="1"/>
  <c r="AC216" i="1"/>
  <c r="AA216" i="1"/>
  <c r="Z216" i="1"/>
  <c r="X216" i="1"/>
  <c r="W216" i="1"/>
  <c r="G216" i="1"/>
  <c r="F216" i="1"/>
  <c r="E216" i="1"/>
  <c r="AB216" i="1" s="1"/>
  <c r="AC215" i="1"/>
  <c r="AB215" i="1"/>
  <c r="AE215" i="1" s="1"/>
  <c r="Z215" i="1"/>
  <c r="AA215" i="1" s="1"/>
  <c r="X215" i="1"/>
  <c r="W215" i="1"/>
  <c r="G215" i="1"/>
  <c r="F215" i="1"/>
  <c r="E215" i="1"/>
  <c r="AD215" i="1" s="1"/>
  <c r="AD214" i="1"/>
  <c r="AA214" i="1"/>
  <c r="Z214" i="1"/>
  <c r="W214" i="1"/>
  <c r="X214" i="1" s="1"/>
  <c r="G214" i="1"/>
  <c r="F214" i="1"/>
  <c r="E214" i="1"/>
  <c r="Z213" i="1"/>
  <c r="AA213" i="1" s="1"/>
  <c r="W213" i="1"/>
  <c r="X213" i="1" s="1"/>
  <c r="G213" i="1"/>
  <c r="F213" i="1"/>
  <c r="E213" i="1"/>
  <c r="AD212" i="1"/>
  <c r="AB212" i="1"/>
  <c r="Z212" i="1"/>
  <c r="AA212" i="1" s="1"/>
  <c r="X212" i="1"/>
  <c r="W212" i="1"/>
  <c r="F212" i="1"/>
  <c r="G212" i="1" s="1"/>
  <c r="E212" i="1"/>
  <c r="AC212" i="1" s="1"/>
  <c r="AD211" i="1"/>
  <c r="AB211" i="1"/>
  <c r="AE211" i="1" s="1"/>
  <c r="AA211" i="1"/>
  <c r="Z211" i="1"/>
  <c r="W211" i="1"/>
  <c r="X211" i="1" s="1"/>
  <c r="F211" i="1"/>
  <c r="G211" i="1" s="1"/>
  <c r="E211" i="1"/>
  <c r="AC211" i="1" s="1"/>
  <c r="AA210" i="1"/>
  <c r="Z210" i="1"/>
  <c r="W210" i="1"/>
  <c r="X210" i="1" s="1"/>
  <c r="F210" i="1"/>
  <c r="G210" i="1" s="1"/>
  <c r="E210" i="1"/>
  <c r="AA209" i="1"/>
  <c r="Z209" i="1"/>
  <c r="X209" i="1"/>
  <c r="W209" i="1"/>
  <c r="F209" i="1"/>
  <c r="G209" i="1" s="1"/>
  <c r="E209" i="1"/>
  <c r="AC209" i="1" s="1"/>
  <c r="AD208" i="1"/>
  <c r="AE208" i="1" s="1"/>
  <c r="AC208" i="1"/>
  <c r="AA208" i="1"/>
  <c r="Z208" i="1"/>
  <c r="W208" i="1"/>
  <c r="X208" i="1" s="1"/>
  <c r="F208" i="1"/>
  <c r="G208" i="1" s="1"/>
  <c r="E208" i="1"/>
  <c r="AB208" i="1" s="1"/>
  <c r="AD207" i="1"/>
  <c r="AC207" i="1"/>
  <c r="AB207" i="1"/>
  <c r="AE207" i="1" s="1"/>
  <c r="Z207" i="1"/>
  <c r="AA207" i="1" s="1"/>
  <c r="W207" i="1"/>
  <c r="X207" i="1" s="1"/>
  <c r="G207" i="1"/>
  <c r="F207" i="1"/>
  <c r="E207" i="1"/>
  <c r="AD206" i="1"/>
  <c r="AC206" i="1"/>
  <c r="AB206" i="1"/>
  <c r="AE206" i="1" s="1"/>
  <c r="Z206" i="1"/>
  <c r="AA206" i="1" s="1"/>
  <c r="X206" i="1"/>
  <c r="W206" i="1"/>
  <c r="G206" i="1"/>
  <c r="F206" i="1"/>
  <c r="E206" i="1"/>
  <c r="AD205" i="1"/>
  <c r="AC205" i="1"/>
  <c r="AB205" i="1"/>
  <c r="AE205" i="1" s="1"/>
  <c r="Z205" i="1"/>
  <c r="AA205" i="1" s="1"/>
  <c r="W205" i="1"/>
  <c r="X205" i="1" s="1"/>
  <c r="G205" i="1"/>
  <c r="F205" i="1"/>
  <c r="E205" i="1"/>
  <c r="AB204" i="1"/>
  <c r="AA204" i="1"/>
  <c r="Z204" i="1"/>
  <c r="W204" i="1"/>
  <c r="X204" i="1" s="1"/>
  <c r="F204" i="1"/>
  <c r="G204" i="1" s="1"/>
  <c r="E204" i="1"/>
  <c r="Z203" i="1"/>
  <c r="AA203" i="1" s="1"/>
  <c r="W203" i="1"/>
  <c r="X203" i="1" s="1"/>
  <c r="F203" i="1"/>
  <c r="G203" i="1" s="1"/>
  <c r="E203" i="1"/>
  <c r="AD202" i="1"/>
  <c r="AB202" i="1"/>
  <c r="AE202" i="1" s="1"/>
  <c r="Z202" i="1"/>
  <c r="AA202" i="1" s="1"/>
  <c r="W202" i="1"/>
  <c r="X202" i="1" s="1"/>
  <c r="F202" i="1"/>
  <c r="G202" i="1" s="1"/>
  <c r="E202" i="1"/>
  <c r="AC202" i="1" s="1"/>
  <c r="AD201" i="1"/>
  <c r="AE201" i="1" s="1"/>
  <c r="AC201" i="1"/>
  <c r="Z201" i="1"/>
  <c r="AA201" i="1" s="1"/>
  <c r="W201" i="1"/>
  <c r="X201" i="1" s="1"/>
  <c r="F201" i="1"/>
  <c r="G201" i="1" s="1"/>
  <c r="E201" i="1"/>
  <c r="AB201" i="1" s="1"/>
  <c r="AE200" i="1"/>
  <c r="AD200" i="1"/>
  <c r="AC200" i="1"/>
  <c r="AB200" i="1"/>
  <c r="Z200" i="1"/>
  <c r="AA200" i="1" s="1"/>
  <c r="W200" i="1"/>
  <c r="X200" i="1" s="1"/>
  <c r="F200" i="1"/>
  <c r="G200" i="1" s="1"/>
  <c r="E200" i="1"/>
  <c r="AA199" i="1"/>
  <c r="Z199" i="1"/>
  <c r="W199" i="1"/>
  <c r="X199" i="1" s="1"/>
  <c r="G199" i="1"/>
  <c r="F199" i="1"/>
  <c r="E199" i="1"/>
  <c r="Z198" i="1"/>
  <c r="AA198" i="1" s="1"/>
  <c r="W198" i="1"/>
  <c r="X198" i="1" s="1"/>
  <c r="G198" i="1"/>
  <c r="F198" i="1"/>
  <c r="E198" i="1"/>
  <c r="AB198" i="1" s="1"/>
  <c r="AD197" i="1"/>
  <c r="AB197" i="1"/>
  <c r="AE197" i="1" s="1"/>
  <c r="AA197" i="1"/>
  <c r="Z197" i="1"/>
  <c r="X197" i="1"/>
  <c r="W197" i="1"/>
  <c r="F197" i="1"/>
  <c r="G197" i="1" s="1"/>
  <c r="E197" i="1"/>
  <c r="AC197" i="1" s="1"/>
  <c r="Z196" i="1"/>
  <c r="AA196" i="1" s="1"/>
  <c r="W196" i="1"/>
  <c r="X196" i="1" s="1"/>
  <c r="F196" i="1"/>
  <c r="G196" i="1" s="1"/>
  <c r="E196" i="1"/>
  <c r="AA195" i="1"/>
  <c r="Z195" i="1"/>
  <c r="W195" i="1"/>
  <c r="X195" i="1" s="1"/>
  <c r="F195" i="1"/>
  <c r="G195" i="1" s="1"/>
  <c r="E195" i="1"/>
  <c r="AD194" i="1"/>
  <c r="AC194" i="1"/>
  <c r="AB194" i="1"/>
  <c r="AE194" i="1" s="1"/>
  <c r="Z194" i="1"/>
  <c r="AA194" i="1" s="1"/>
  <c r="W194" i="1"/>
  <c r="X194" i="1" s="1"/>
  <c r="G194" i="1"/>
  <c r="F194" i="1"/>
  <c r="E194" i="1"/>
  <c r="AD193" i="1"/>
  <c r="AC193" i="1"/>
  <c r="AB193" i="1"/>
  <c r="AE193" i="1" s="1"/>
  <c r="AA193" i="1"/>
  <c r="Z193" i="1"/>
  <c r="X193" i="1"/>
  <c r="W193" i="1"/>
  <c r="F193" i="1"/>
  <c r="G193" i="1" s="1"/>
  <c r="E193" i="1"/>
  <c r="Z192" i="1"/>
  <c r="AA192" i="1" s="1"/>
  <c r="W192" i="1"/>
  <c r="X192" i="1" s="1"/>
  <c r="F192" i="1"/>
  <c r="G192" i="1" s="1"/>
  <c r="E192" i="1"/>
  <c r="AB192" i="1" s="1"/>
  <c r="AA191" i="1"/>
  <c r="Z191" i="1"/>
  <c r="X191" i="1"/>
  <c r="W191" i="1"/>
  <c r="G191" i="1"/>
  <c r="F191" i="1"/>
  <c r="E191" i="1"/>
  <c r="AE190" i="1"/>
  <c r="AD190" i="1"/>
  <c r="AC190" i="1"/>
  <c r="AB190" i="1"/>
  <c r="Z190" i="1"/>
  <c r="AA190" i="1" s="1"/>
  <c r="W190" i="1"/>
  <c r="X190" i="1" s="1"/>
  <c r="F190" i="1"/>
  <c r="G190" i="1" s="1"/>
  <c r="E190" i="1"/>
  <c r="AA189" i="1"/>
  <c r="Z189" i="1"/>
  <c r="W189" i="1"/>
  <c r="X189" i="1" s="1"/>
  <c r="G189" i="1"/>
  <c r="F189" i="1"/>
  <c r="E189" i="1"/>
  <c r="AB189" i="1" s="1"/>
  <c r="AD188" i="1"/>
  <c r="AC188" i="1"/>
  <c r="AB188" i="1"/>
  <c r="AA188" i="1"/>
  <c r="Z188" i="1"/>
  <c r="X188" i="1"/>
  <c r="W188" i="1"/>
  <c r="F188" i="1"/>
  <c r="G188" i="1" s="1"/>
  <c r="E188" i="1"/>
  <c r="AD187" i="1"/>
  <c r="AC187" i="1"/>
  <c r="AB187" i="1"/>
  <c r="AE187" i="1" s="1"/>
  <c r="AA187" i="1"/>
  <c r="Z187" i="1"/>
  <c r="W187" i="1"/>
  <c r="X187" i="1" s="1"/>
  <c r="F187" i="1"/>
  <c r="G187" i="1" s="1"/>
  <c r="E187" i="1"/>
  <c r="AD186" i="1"/>
  <c r="AC186" i="1"/>
  <c r="AB186" i="1"/>
  <c r="AE186" i="1" s="1"/>
  <c r="Z186" i="1"/>
  <c r="AA186" i="1" s="1"/>
  <c r="W186" i="1"/>
  <c r="X186" i="1" s="1"/>
  <c r="F186" i="1"/>
  <c r="G186" i="1" s="1"/>
  <c r="E186" i="1"/>
  <c r="AC185" i="1"/>
  <c r="AB185" i="1"/>
  <c r="AE185" i="1" s="1"/>
  <c r="Z185" i="1"/>
  <c r="AA185" i="1" s="1"/>
  <c r="X185" i="1"/>
  <c r="W185" i="1"/>
  <c r="F185" i="1"/>
  <c r="G185" i="1" s="1"/>
  <c r="E185" i="1"/>
  <c r="AD185" i="1" s="1"/>
  <c r="AB184" i="1"/>
  <c r="AA184" i="1"/>
  <c r="Z184" i="1"/>
  <c r="X184" i="1"/>
  <c r="W184" i="1"/>
  <c r="F184" i="1"/>
  <c r="G184" i="1" s="1"/>
  <c r="E184" i="1"/>
  <c r="AC183" i="1"/>
  <c r="Z183" i="1"/>
  <c r="AA183" i="1" s="1"/>
  <c r="W183" i="1"/>
  <c r="X183" i="1" s="1"/>
  <c r="F183" i="1"/>
  <c r="G183" i="1" s="1"/>
  <c r="E183" i="1"/>
  <c r="Z182" i="1"/>
  <c r="AA182" i="1" s="1"/>
  <c r="W182" i="1"/>
  <c r="X182" i="1" s="1"/>
  <c r="F182" i="1"/>
  <c r="G182" i="1" s="1"/>
  <c r="E182" i="1"/>
  <c r="AD181" i="1"/>
  <c r="AC181" i="1"/>
  <c r="AB181" i="1"/>
  <c r="AE181" i="1" s="1"/>
  <c r="AA181" i="1"/>
  <c r="Z181" i="1"/>
  <c r="X181" i="1"/>
  <c r="W181" i="1"/>
  <c r="G181" i="1"/>
  <c r="F181" i="1"/>
  <c r="E181" i="1"/>
  <c r="AD180" i="1"/>
  <c r="AC180" i="1"/>
  <c r="AB180" i="1"/>
  <c r="AE180" i="1" s="1"/>
  <c r="AA180" i="1"/>
  <c r="Z180" i="1"/>
  <c r="W180" i="1"/>
  <c r="X180" i="1" s="1"/>
  <c r="G180" i="1"/>
  <c r="F180" i="1"/>
  <c r="E180" i="1"/>
  <c r="AD179" i="1"/>
  <c r="AC179" i="1"/>
  <c r="AB179" i="1"/>
  <c r="AE179" i="1" s="1"/>
  <c r="Z179" i="1"/>
  <c r="AA179" i="1" s="1"/>
  <c r="X179" i="1"/>
  <c r="W179" i="1"/>
  <c r="F179" i="1"/>
  <c r="G179" i="1" s="1"/>
  <c r="E179" i="1"/>
  <c r="AD178" i="1"/>
  <c r="AC178" i="1"/>
  <c r="AB178" i="1"/>
  <c r="AE178" i="1" s="1"/>
  <c r="Z178" i="1"/>
  <c r="AA178" i="1" s="1"/>
  <c r="W178" i="1"/>
  <c r="X178" i="1" s="1"/>
  <c r="F178" i="1"/>
  <c r="G178" i="1" s="1"/>
  <c r="E178" i="1"/>
  <c r="Z177" i="1"/>
  <c r="AA177" i="1" s="1"/>
  <c r="X177" i="1"/>
  <c r="W177" i="1"/>
  <c r="G177" i="1"/>
  <c r="F177" i="1"/>
  <c r="E177" i="1"/>
  <c r="AD176" i="1"/>
  <c r="AC176" i="1"/>
  <c r="AB176" i="1"/>
  <c r="AA176" i="1"/>
  <c r="Z176" i="1"/>
  <c r="W176" i="1"/>
  <c r="X176" i="1" s="1"/>
  <c r="G176" i="1"/>
  <c r="F176" i="1"/>
  <c r="E176" i="1"/>
  <c r="AA175" i="1"/>
  <c r="Z175" i="1"/>
  <c r="W175" i="1"/>
  <c r="X175" i="1" s="1"/>
  <c r="F175" i="1"/>
  <c r="G175" i="1" s="1"/>
  <c r="E175" i="1"/>
  <c r="AC175" i="1" s="1"/>
  <c r="AD174" i="1"/>
  <c r="AC174" i="1"/>
  <c r="AA174" i="1"/>
  <c r="Z174" i="1"/>
  <c r="X174" i="1"/>
  <c r="W174" i="1"/>
  <c r="F174" i="1"/>
  <c r="G174" i="1" s="1"/>
  <c r="E174" i="1"/>
  <c r="AB174" i="1" s="1"/>
  <c r="AC173" i="1"/>
  <c r="AB173" i="1"/>
  <c r="AE173" i="1" s="1"/>
  <c r="AA173" i="1"/>
  <c r="Z173" i="1"/>
  <c r="X173" i="1"/>
  <c r="W173" i="1"/>
  <c r="G173" i="1"/>
  <c r="F173" i="1"/>
  <c r="E173" i="1"/>
  <c r="AD173" i="1" s="1"/>
  <c r="Z172" i="1"/>
  <c r="AA172" i="1" s="1"/>
  <c r="X172" i="1"/>
  <c r="W172" i="1"/>
  <c r="G172" i="1"/>
  <c r="F172" i="1"/>
  <c r="E172" i="1"/>
  <c r="AA171" i="1"/>
  <c r="Z171" i="1"/>
  <c r="W171" i="1"/>
  <c r="X171" i="1" s="1"/>
  <c r="G171" i="1"/>
  <c r="F171" i="1"/>
  <c r="E171" i="1"/>
  <c r="AD170" i="1"/>
  <c r="AC170" i="1"/>
  <c r="AB170" i="1"/>
  <c r="AE170" i="1" s="1"/>
  <c r="Z170" i="1"/>
  <c r="AA170" i="1" s="1"/>
  <c r="W170" i="1"/>
  <c r="X170" i="1" s="1"/>
  <c r="F170" i="1"/>
  <c r="G170" i="1" s="1"/>
  <c r="E170" i="1"/>
  <c r="AD169" i="1"/>
  <c r="AB169" i="1"/>
  <c r="AE169" i="1" s="1"/>
  <c r="AA169" i="1"/>
  <c r="Z169" i="1"/>
  <c r="W169" i="1"/>
  <c r="X169" i="1" s="1"/>
  <c r="F169" i="1"/>
  <c r="G169" i="1" s="1"/>
  <c r="E169" i="1"/>
  <c r="AC169" i="1" s="1"/>
  <c r="AC168" i="1"/>
  <c r="Z168" i="1"/>
  <c r="AA168" i="1" s="1"/>
  <c r="W168" i="1"/>
  <c r="X168" i="1" s="1"/>
  <c r="F168" i="1"/>
  <c r="G168" i="1" s="1"/>
  <c r="E168" i="1"/>
  <c r="AA167" i="1"/>
  <c r="Z167" i="1"/>
  <c r="X167" i="1"/>
  <c r="W167" i="1"/>
  <c r="F167" i="1"/>
  <c r="G167" i="1" s="1"/>
  <c r="E167" i="1"/>
  <c r="Z166" i="1"/>
  <c r="AA166" i="1" s="1"/>
  <c r="W166" i="1"/>
  <c r="X166" i="1" s="1"/>
  <c r="F166" i="1"/>
  <c r="G166" i="1" s="1"/>
  <c r="E166" i="1"/>
  <c r="AB166" i="1" s="1"/>
  <c r="AD165" i="1"/>
  <c r="AC165" i="1"/>
  <c r="AB165" i="1"/>
  <c r="AE165" i="1" s="1"/>
  <c r="F165" i="1"/>
  <c r="G165" i="1" s="1"/>
  <c r="E165" i="1"/>
  <c r="Z164" i="1"/>
  <c r="AA164" i="1" s="1"/>
  <c r="W164" i="1"/>
  <c r="X164" i="1" s="1"/>
  <c r="F164" i="1"/>
  <c r="G164" i="1" s="1"/>
  <c r="E164" i="1"/>
  <c r="AC164" i="1" s="1"/>
  <c r="AD163" i="1"/>
  <c r="AC163" i="1"/>
  <c r="AB163" i="1"/>
  <c r="AE163" i="1" s="1"/>
  <c r="Z163" i="1"/>
  <c r="AA163" i="1" s="1"/>
  <c r="W163" i="1"/>
  <c r="X163" i="1" s="1"/>
  <c r="G163" i="1"/>
  <c r="F163" i="1"/>
  <c r="E163" i="1"/>
  <c r="AE162" i="1"/>
  <c r="AD162" i="1"/>
  <c r="AC162" i="1"/>
  <c r="AB162" i="1"/>
  <c r="Z162" i="1"/>
  <c r="AA162" i="1" s="1"/>
  <c r="W162" i="1"/>
  <c r="X162" i="1" s="1"/>
  <c r="G162" i="1"/>
  <c r="F162" i="1"/>
  <c r="E162" i="1"/>
  <c r="AD161" i="1"/>
  <c r="AC161" i="1"/>
  <c r="AB161" i="1"/>
  <c r="Z161" i="1"/>
  <c r="AA161" i="1" s="1"/>
  <c r="Y161" i="1"/>
  <c r="W161" i="1"/>
  <c r="X161" i="1" s="1"/>
  <c r="V161" i="1"/>
  <c r="G161" i="1"/>
  <c r="F161" i="1"/>
  <c r="E161" i="1"/>
  <c r="AD160" i="1"/>
  <c r="AE160" i="1" s="1"/>
  <c r="AC160" i="1"/>
  <c r="AB160" i="1"/>
  <c r="AA160" i="1"/>
  <c r="Z160" i="1"/>
  <c r="W160" i="1"/>
  <c r="X160" i="1" s="1"/>
  <c r="G160" i="1"/>
  <c r="F160" i="1"/>
  <c r="E160" i="1"/>
  <c r="AD159" i="1"/>
  <c r="AC159" i="1"/>
  <c r="AB159" i="1"/>
  <c r="AE159" i="1" s="1"/>
  <c r="Z159" i="1"/>
  <c r="AA159" i="1" s="1"/>
  <c r="X159" i="1"/>
  <c r="W159" i="1"/>
  <c r="G159" i="1"/>
  <c r="F159" i="1"/>
  <c r="E159" i="1"/>
  <c r="AD158" i="1"/>
  <c r="AB158" i="1"/>
  <c r="AE158" i="1" s="1"/>
  <c r="Z158" i="1"/>
  <c r="AA158" i="1" s="1"/>
  <c r="X158" i="1"/>
  <c r="W158" i="1"/>
  <c r="F158" i="1"/>
  <c r="G158" i="1" s="1"/>
  <c r="E158" i="1"/>
  <c r="AC158" i="1" s="1"/>
  <c r="Z157" i="1"/>
  <c r="AA157" i="1" s="1"/>
  <c r="X157" i="1"/>
  <c r="W157" i="1"/>
  <c r="F157" i="1"/>
  <c r="G157" i="1" s="1"/>
  <c r="E157" i="1"/>
  <c r="Z156" i="1"/>
  <c r="AA156" i="1" s="1"/>
  <c r="W156" i="1"/>
  <c r="X156" i="1" s="1"/>
  <c r="F156" i="1"/>
  <c r="G156" i="1" s="1"/>
  <c r="E156" i="1"/>
  <c r="AE155" i="1"/>
  <c r="AD155" i="1"/>
  <c r="AC155" i="1"/>
  <c r="AA155" i="1"/>
  <c r="Z155" i="1"/>
  <c r="W155" i="1"/>
  <c r="X155" i="1" s="1"/>
  <c r="F155" i="1"/>
  <c r="G155" i="1" s="1"/>
  <c r="E155" i="1"/>
  <c r="AB155" i="1" s="1"/>
  <c r="AD154" i="1"/>
  <c r="AC154" i="1"/>
  <c r="AB154" i="1"/>
  <c r="AE154" i="1" s="1"/>
  <c r="Z154" i="1"/>
  <c r="AA154" i="1" s="1"/>
  <c r="W154" i="1"/>
  <c r="X154" i="1" s="1"/>
  <c r="F154" i="1"/>
  <c r="G154" i="1" s="1"/>
  <c r="E154" i="1"/>
  <c r="AB153" i="1"/>
  <c r="AA153" i="1"/>
  <c r="Z153" i="1"/>
  <c r="W153" i="1"/>
  <c r="X153" i="1" s="1"/>
  <c r="G153" i="1"/>
  <c r="F153" i="1"/>
  <c r="E153" i="1"/>
  <c r="Z152" i="1"/>
  <c r="AA152" i="1" s="1"/>
  <c r="W152" i="1"/>
  <c r="X152" i="1" s="1"/>
  <c r="F152" i="1"/>
  <c r="G152" i="1" s="1"/>
  <c r="E152" i="1"/>
  <c r="AD151" i="1"/>
  <c r="AB151" i="1"/>
  <c r="AE151" i="1" s="1"/>
  <c r="AA151" i="1"/>
  <c r="Z151" i="1"/>
  <c r="X151" i="1"/>
  <c r="W151" i="1"/>
  <c r="F151" i="1"/>
  <c r="G151" i="1" s="1"/>
  <c r="E151" i="1"/>
  <c r="AC151" i="1" s="1"/>
  <c r="AC150" i="1"/>
  <c r="Z150" i="1"/>
  <c r="AA150" i="1" s="1"/>
  <c r="W150" i="1"/>
  <c r="X150" i="1" s="1"/>
  <c r="F150" i="1"/>
  <c r="G150" i="1" s="1"/>
  <c r="E150" i="1"/>
  <c r="AC149" i="1"/>
  <c r="AA149" i="1"/>
  <c r="Z149" i="1"/>
  <c r="W149" i="1"/>
  <c r="X149" i="1" s="1"/>
  <c r="G149" i="1"/>
  <c r="F149" i="1"/>
  <c r="E149" i="1"/>
  <c r="AD148" i="1"/>
  <c r="AC148" i="1"/>
  <c r="AB148" i="1"/>
  <c r="AE148" i="1" s="1"/>
  <c r="Z148" i="1"/>
  <c r="AA148" i="1" s="1"/>
  <c r="W148" i="1"/>
  <c r="X148" i="1" s="1"/>
  <c r="G148" i="1"/>
  <c r="F148" i="1"/>
  <c r="E148" i="1"/>
  <c r="AA147" i="1"/>
  <c r="Z147" i="1"/>
  <c r="X147" i="1"/>
  <c r="W147" i="1"/>
  <c r="F147" i="1"/>
  <c r="G147" i="1" s="1"/>
  <c r="E147" i="1"/>
  <c r="AB147" i="1" s="1"/>
  <c r="AA146" i="1"/>
  <c r="Z146" i="1"/>
  <c r="X146" i="1"/>
  <c r="W146" i="1"/>
  <c r="G146" i="1"/>
  <c r="F146" i="1"/>
  <c r="E146" i="1"/>
  <c r="AD146" i="1" s="1"/>
  <c r="AE145" i="1"/>
  <c r="AC145" i="1"/>
  <c r="AB145" i="1"/>
  <c r="Z145" i="1"/>
  <c r="AA145" i="1" s="1"/>
  <c r="X145" i="1"/>
  <c r="W145" i="1"/>
  <c r="G145" i="1"/>
  <c r="F145" i="1"/>
  <c r="E145" i="1"/>
  <c r="AD145" i="1" s="1"/>
  <c r="AD144" i="1"/>
  <c r="AB144" i="1"/>
  <c r="AE144" i="1" s="1"/>
  <c r="Z144" i="1"/>
  <c r="AA144" i="1" s="1"/>
  <c r="X144" i="1"/>
  <c r="W144" i="1"/>
  <c r="G144" i="1"/>
  <c r="F144" i="1"/>
  <c r="E144" i="1"/>
  <c r="AC144" i="1" s="1"/>
  <c r="AA143" i="1"/>
  <c r="Z143" i="1"/>
  <c r="W143" i="1"/>
  <c r="X143" i="1" s="1"/>
  <c r="F143" i="1"/>
  <c r="G143" i="1" s="1"/>
  <c r="E143" i="1"/>
  <c r="Z142" i="1"/>
  <c r="AA142" i="1" s="1"/>
  <c r="W142" i="1"/>
  <c r="X142" i="1" s="1"/>
  <c r="F142" i="1"/>
  <c r="G142" i="1" s="1"/>
  <c r="E142" i="1"/>
  <c r="AC142" i="1" s="1"/>
  <c r="AD141" i="1"/>
  <c r="AC141" i="1"/>
  <c r="AB141" i="1"/>
  <c r="AE141" i="1" s="1"/>
  <c r="AA141" i="1"/>
  <c r="Z141" i="1"/>
  <c r="W141" i="1"/>
  <c r="X141" i="1" s="1"/>
  <c r="F141" i="1"/>
  <c r="G141" i="1" s="1"/>
  <c r="E141" i="1"/>
  <c r="AD140" i="1"/>
  <c r="AC140" i="1"/>
  <c r="AB140" i="1"/>
  <c r="AE140" i="1" s="1"/>
  <c r="AA140" i="1"/>
  <c r="Z140" i="1"/>
  <c r="W140" i="1"/>
  <c r="X140" i="1" s="1"/>
  <c r="F140" i="1"/>
  <c r="G140" i="1" s="1"/>
  <c r="E140" i="1"/>
  <c r="AA139" i="1"/>
  <c r="Z139" i="1"/>
  <c r="X139" i="1"/>
  <c r="W139" i="1"/>
  <c r="G139" i="1"/>
  <c r="F139" i="1"/>
  <c r="E139" i="1"/>
  <c r="Z138" i="1"/>
  <c r="AA138" i="1" s="1"/>
  <c r="X138" i="1"/>
  <c r="W138" i="1"/>
  <c r="F138" i="1"/>
  <c r="G138" i="1" s="1"/>
  <c r="E138" i="1"/>
  <c r="AD137" i="1"/>
  <c r="AC137" i="1"/>
  <c r="AB137" i="1"/>
  <c r="Z137" i="1"/>
  <c r="AA137" i="1" s="1"/>
  <c r="W137" i="1"/>
  <c r="X137" i="1" s="1"/>
  <c r="G137" i="1"/>
  <c r="F137" i="1"/>
  <c r="E137" i="1"/>
  <c r="AE136" i="1"/>
  <c r="AD136" i="1"/>
  <c r="AC136" i="1"/>
  <c r="AB136" i="1"/>
  <c r="Z136" i="1"/>
  <c r="AA136" i="1" s="1"/>
  <c r="X136" i="1"/>
  <c r="W136" i="1"/>
  <c r="F136" i="1"/>
  <c r="G136" i="1" s="1"/>
  <c r="E136" i="1"/>
  <c r="AD135" i="1"/>
  <c r="AB135" i="1"/>
  <c r="AE135" i="1" s="1"/>
  <c r="AA135" i="1"/>
  <c r="Z135" i="1"/>
  <c r="X135" i="1"/>
  <c r="W135" i="1"/>
  <c r="F135" i="1"/>
  <c r="G135" i="1" s="1"/>
  <c r="E135" i="1"/>
  <c r="AC135" i="1" s="1"/>
  <c r="AD134" i="1"/>
  <c r="AB134" i="1"/>
  <c r="AE134" i="1" s="1"/>
  <c r="Z134" i="1"/>
  <c r="AA134" i="1" s="1"/>
  <c r="W134" i="1"/>
  <c r="X134" i="1" s="1"/>
  <c r="F134" i="1"/>
  <c r="G134" i="1" s="1"/>
  <c r="E134" i="1"/>
  <c r="AC134" i="1" s="1"/>
  <c r="Z133" i="1"/>
  <c r="AA133" i="1" s="1"/>
  <c r="W133" i="1"/>
  <c r="X133" i="1" s="1"/>
  <c r="F133" i="1"/>
  <c r="G133" i="1" s="1"/>
  <c r="E133" i="1"/>
  <c r="AD132" i="1"/>
  <c r="AB132" i="1"/>
  <c r="AE132" i="1" s="1"/>
  <c r="AA132" i="1"/>
  <c r="Z132" i="1"/>
  <c r="W132" i="1"/>
  <c r="X132" i="1" s="1"/>
  <c r="F132" i="1"/>
  <c r="G132" i="1" s="1"/>
  <c r="E132" i="1"/>
  <c r="AC132" i="1" s="1"/>
  <c r="AE131" i="1"/>
  <c r="AD131" i="1"/>
  <c r="AC131" i="1"/>
  <c r="Z131" i="1"/>
  <c r="AA131" i="1" s="1"/>
  <c r="W131" i="1"/>
  <c r="X131" i="1" s="1"/>
  <c r="F131" i="1"/>
  <c r="G131" i="1" s="1"/>
  <c r="E131" i="1"/>
  <c r="AB131" i="1" s="1"/>
  <c r="AD130" i="1"/>
  <c r="AC130" i="1"/>
  <c r="AB130" i="1"/>
  <c r="AE130" i="1" s="1"/>
  <c r="Z130" i="1"/>
  <c r="AA130" i="1" s="1"/>
  <c r="W130" i="1"/>
  <c r="X130" i="1" s="1"/>
  <c r="F130" i="1"/>
  <c r="G130" i="1" s="1"/>
  <c r="E130" i="1"/>
  <c r="AA129" i="1"/>
  <c r="Z129" i="1"/>
  <c r="X129" i="1"/>
  <c r="W129" i="1"/>
  <c r="F129" i="1"/>
  <c r="G129" i="1" s="1"/>
  <c r="E129" i="1"/>
  <c r="AA128" i="1"/>
  <c r="Z128" i="1"/>
  <c r="W128" i="1"/>
  <c r="X128" i="1" s="1"/>
  <c r="G128" i="1"/>
  <c r="F128" i="1"/>
  <c r="E128" i="1"/>
  <c r="AC128" i="1" s="1"/>
  <c r="AD127" i="1"/>
  <c r="AB127" i="1"/>
  <c r="AE127" i="1" s="1"/>
  <c r="Z127" i="1"/>
  <c r="AA127" i="1" s="1"/>
  <c r="X127" i="1"/>
  <c r="W127" i="1"/>
  <c r="G127" i="1"/>
  <c r="F127" i="1"/>
  <c r="E127" i="1"/>
  <c r="AC127" i="1" s="1"/>
  <c r="AC126" i="1"/>
  <c r="AA126" i="1"/>
  <c r="Z126" i="1"/>
  <c r="X126" i="1"/>
  <c r="W126" i="1"/>
  <c r="F126" i="1"/>
  <c r="G126" i="1" s="1"/>
  <c r="E126" i="1"/>
  <c r="AA125" i="1"/>
  <c r="Z125" i="1"/>
  <c r="X125" i="1"/>
  <c r="W125" i="1"/>
  <c r="G125" i="1"/>
  <c r="F125" i="1"/>
  <c r="E125" i="1"/>
  <c r="AE124" i="1"/>
  <c r="AD124" i="1"/>
  <c r="AC124" i="1"/>
  <c r="AB124" i="1"/>
  <c r="AA124" i="1"/>
  <c r="Z124" i="1"/>
  <c r="W124" i="1"/>
  <c r="X124" i="1" s="1"/>
  <c r="F124" i="1"/>
  <c r="G124" i="1" s="1"/>
  <c r="E124" i="1"/>
  <c r="AD123" i="1"/>
  <c r="AC123" i="1"/>
  <c r="AA123" i="1"/>
  <c r="Z123" i="1"/>
  <c r="X123" i="1"/>
  <c r="W123" i="1"/>
  <c r="G123" i="1"/>
  <c r="F123" i="1"/>
  <c r="E123" i="1"/>
  <c r="AB123" i="1" s="1"/>
  <c r="AE123" i="1" s="1"/>
  <c r="AD122" i="1"/>
  <c r="AC122" i="1"/>
  <c r="AB122" i="1"/>
  <c r="AE122" i="1" s="1"/>
  <c r="AA122" i="1"/>
  <c r="Z122" i="1"/>
  <c r="X122" i="1"/>
  <c r="W122" i="1"/>
  <c r="G122" i="1"/>
  <c r="F122" i="1"/>
  <c r="E122" i="1"/>
  <c r="AC121" i="1"/>
  <c r="AB121" i="1"/>
  <c r="AE121" i="1" s="1"/>
  <c r="Z121" i="1"/>
  <c r="AA121" i="1" s="1"/>
  <c r="W121" i="1"/>
  <c r="X121" i="1" s="1"/>
  <c r="G121" i="1"/>
  <c r="F121" i="1"/>
  <c r="E121" i="1"/>
  <c r="AD121" i="1" s="1"/>
  <c r="AA120" i="1"/>
  <c r="Z120" i="1"/>
  <c r="W120" i="1"/>
  <c r="X120" i="1" s="1"/>
  <c r="F120" i="1"/>
  <c r="G120" i="1" s="1"/>
  <c r="E120" i="1"/>
  <c r="AD119" i="1"/>
  <c r="AA119" i="1"/>
  <c r="Z119" i="1"/>
  <c r="W119" i="1"/>
  <c r="X119" i="1" s="1"/>
  <c r="F119" i="1"/>
  <c r="G119" i="1" s="1"/>
  <c r="E119" i="1"/>
  <c r="AD118" i="1"/>
  <c r="AC118" i="1"/>
  <c r="AB118" i="1"/>
  <c r="AE118" i="1" s="1"/>
  <c r="Z118" i="1"/>
  <c r="AA118" i="1" s="1"/>
  <c r="X118" i="1"/>
  <c r="W118" i="1"/>
  <c r="F118" i="1"/>
  <c r="G118" i="1" s="1"/>
  <c r="E118" i="1"/>
  <c r="AD117" i="1"/>
  <c r="AC117" i="1"/>
  <c r="AB117" i="1"/>
  <c r="AE117" i="1" s="1"/>
  <c r="AA117" i="1"/>
  <c r="Z117" i="1"/>
  <c r="W117" i="1"/>
  <c r="X117" i="1" s="1"/>
  <c r="F117" i="1"/>
  <c r="G117" i="1" s="1"/>
  <c r="E117" i="1"/>
  <c r="AB116" i="1"/>
  <c r="F116" i="1"/>
  <c r="G116" i="1" s="1"/>
  <c r="E116" i="1"/>
  <c r="AA115" i="1"/>
  <c r="Z115" i="1"/>
  <c r="X115" i="1"/>
  <c r="W115" i="1"/>
  <c r="G115" i="1"/>
  <c r="F115" i="1"/>
  <c r="E115" i="1"/>
  <c r="AA114" i="1"/>
  <c r="Z114" i="1"/>
  <c r="W114" i="1"/>
  <c r="X114" i="1" s="1"/>
  <c r="G114" i="1"/>
  <c r="F114" i="1"/>
  <c r="E114" i="1"/>
  <c r="AD113" i="1"/>
  <c r="AC113" i="1"/>
  <c r="AB113" i="1"/>
  <c r="AA113" i="1"/>
  <c r="Z113" i="1"/>
  <c r="X113" i="1"/>
  <c r="W113" i="1"/>
  <c r="F113" i="1"/>
  <c r="G113" i="1" s="1"/>
  <c r="E113" i="1"/>
  <c r="AC112" i="1"/>
  <c r="AB112" i="1"/>
  <c r="AE112" i="1" s="1"/>
  <c r="Z112" i="1"/>
  <c r="AA112" i="1" s="1"/>
  <c r="X112" i="1"/>
  <c r="W112" i="1"/>
  <c r="F112" i="1"/>
  <c r="G112" i="1" s="1"/>
  <c r="E112" i="1"/>
  <c r="AD112" i="1" s="1"/>
  <c r="Z111" i="1"/>
  <c r="AA111" i="1" s="1"/>
  <c r="W111" i="1"/>
  <c r="X111" i="1" s="1"/>
  <c r="G111" i="1"/>
  <c r="F111" i="1"/>
  <c r="E111" i="1"/>
  <c r="AD110" i="1"/>
  <c r="AC110" i="1"/>
  <c r="AB110" i="1"/>
  <c r="AE110" i="1" s="1"/>
  <c r="Z110" i="1"/>
  <c r="AA110" i="1" s="1"/>
  <c r="W110" i="1"/>
  <c r="X110" i="1" s="1"/>
  <c r="F110" i="1"/>
  <c r="G110" i="1" s="1"/>
  <c r="E110" i="1"/>
  <c r="AD109" i="1"/>
  <c r="AA109" i="1"/>
  <c r="Z109" i="1"/>
  <c r="W109" i="1"/>
  <c r="X109" i="1" s="1"/>
  <c r="G109" i="1"/>
  <c r="F109" i="1"/>
  <c r="E109" i="1"/>
  <c r="AD108" i="1"/>
  <c r="AC108" i="1"/>
  <c r="AB108" i="1"/>
  <c r="AE108" i="1" s="1"/>
  <c r="AA108" i="1"/>
  <c r="Z108" i="1"/>
  <c r="X108" i="1"/>
  <c r="W108" i="1"/>
  <c r="F108" i="1"/>
  <c r="G108" i="1" s="1"/>
  <c r="E108" i="1"/>
  <c r="AC107" i="1"/>
  <c r="AB107" i="1"/>
  <c r="AE107" i="1" s="1"/>
  <c r="Z107" i="1"/>
  <c r="AA107" i="1" s="1"/>
  <c r="X107" i="1"/>
  <c r="W107" i="1"/>
  <c r="G107" i="1"/>
  <c r="F107" i="1"/>
  <c r="E107" i="1"/>
  <c r="AD107" i="1" s="1"/>
  <c r="AD106" i="1"/>
  <c r="AB106" i="1"/>
  <c r="AE106" i="1" s="1"/>
  <c r="Z106" i="1"/>
  <c r="AA106" i="1" s="1"/>
  <c r="W106" i="1"/>
  <c r="X106" i="1" s="1"/>
  <c r="G106" i="1"/>
  <c r="F106" i="1"/>
  <c r="E106" i="1"/>
  <c r="AC106" i="1" s="1"/>
  <c r="AC105" i="1"/>
  <c r="AA105" i="1"/>
  <c r="Z105" i="1"/>
  <c r="W105" i="1"/>
  <c r="X105" i="1" s="1"/>
  <c r="F105" i="1"/>
  <c r="G105" i="1" s="1"/>
  <c r="E105" i="1"/>
  <c r="Z104" i="1"/>
  <c r="AA104" i="1" s="1"/>
  <c r="W104" i="1"/>
  <c r="X104" i="1" s="1"/>
  <c r="F104" i="1"/>
  <c r="G104" i="1" s="1"/>
  <c r="E104" i="1"/>
  <c r="AA103" i="1"/>
  <c r="Z103" i="1"/>
  <c r="X103" i="1"/>
  <c r="W103" i="1"/>
  <c r="F103" i="1"/>
  <c r="G103" i="1" s="1"/>
  <c r="E103" i="1"/>
  <c r="AC103" i="1" s="1"/>
  <c r="AD102" i="1"/>
  <c r="AE102" i="1" s="1"/>
  <c r="AC102" i="1"/>
  <c r="Z102" i="1"/>
  <c r="AA102" i="1" s="1"/>
  <c r="W102" i="1"/>
  <c r="X102" i="1" s="1"/>
  <c r="F102" i="1"/>
  <c r="G102" i="1" s="1"/>
  <c r="E102" i="1"/>
  <c r="AB102" i="1" s="1"/>
  <c r="AD101" i="1"/>
  <c r="AC101" i="1"/>
  <c r="AB101" i="1"/>
  <c r="AE101" i="1" s="1"/>
  <c r="AA101" i="1"/>
  <c r="Z101" i="1"/>
  <c r="X101" i="1"/>
  <c r="W101" i="1"/>
  <c r="F101" i="1"/>
  <c r="G101" i="1" s="1"/>
  <c r="E101" i="1"/>
  <c r="AD100" i="1"/>
  <c r="AC100" i="1"/>
  <c r="AB100" i="1"/>
  <c r="AE100" i="1" s="1"/>
  <c r="Z100" i="1"/>
  <c r="AA100" i="1" s="1"/>
  <c r="W100" i="1"/>
  <c r="X100" i="1" s="1"/>
  <c r="F100" i="1"/>
  <c r="G100" i="1" s="1"/>
  <c r="E100" i="1"/>
  <c r="AA99" i="1"/>
  <c r="Z99" i="1"/>
  <c r="X99" i="1"/>
  <c r="W99" i="1"/>
  <c r="F99" i="1"/>
  <c r="G99" i="1" s="1"/>
  <c r="E99" i="1"/>
  <c r="Z98" i="1"/>
  <c r="AA98" i="1" s="1"/>
  <c r="X98" i="1"/>
  <c r="W98" i="1"/>
  <c r="F98" i="1"/>
  <c r="G98" i="1" s="1"/>
  <c r="E98" i="1"/>
  <c r="AA97" i="1"/>
  <c r="Z97" i="1"/>
  <c r="W97" i="1"/>
  <c r="X97" i="1" s="1"/>
  <c r="G97" i="1"/>
  <c r="F97" i="1"/>
  <c r="E97" i="1"/>
  <c r="AE96" i="1"/>
  <c r="AD96" i="1"/>
  <c r="AC96" i="1"/>
  <c r="AB96" i="1"/>
  <c r="Z96" i="1"/>
  <c r="AA96" i="1" s="1"/>
  <c r="W96" i="1"/>
  <c r="X96" i="1" s="1"/>
  <c r="F96" i="1"/>
  <c r="G96" i="1" s="1"/>
  <c r="E96" i="1"/>
  <c r="AD95" i="1"/>
  <c r="AC95" i="1"/>
  <c r="Z95" i="1"/>
  <c r="AA95" i="1" s="1"/>
  <c r="X95" i="1"/>
  <c r="W95" i="1"/>
  <c r="F95" i="1"/>
  <c r="G95" i="1" s="1"/>
  <c r="E95" i="1"/>
  <c r="AB95" i="1" s="1"/>
  <c r="AE95" i="1" s="1"/>
  <c r="AD94" i="1"/>
  <c r="AC94" i="1"/>
  <c r="AB94" i="1"/>
  <c r="AE94" i="1" s="1"/>
  <c r="Z94" i="1"/>
  <c r="AA94" i="1" s="1"/>
  <c r="W94" i="1"/>
  <c r="X94" i="1" s="1"/>
  <c r="G94" i="1"/>
  <c r="F94" i="1"/>
  <c r="E94" i="1"/>
  <c r="AC93" i="1"/>
  <c r="AB93" i="1"/>
  <c r="AE93" i="1" s="1"/>
  <c r="Z93" i="1"/>
  <c r="AA93" i="1" s="1"/>
  <c r="W93" i="1"/>
  <c r="X93" i="1" s="1"/>
  <c r="F93" i="1"/>
  <c r="G93" i="1" s="1"/>
  <c r="E93" i="1"/>
  <c r="AD93" i="1" s="1"/>
  <c r="AD92" i="1"/>
  <c r="AB92" i="1"/>
  <c r="AE92" i="1" s="1"/>
  <c r="Z92" i="1"/>
  <c r="AA92" i="1" s="1"/>
  <c r="W92" i="1"/>
  <c r="X92" i="1" s="1"/>
  <c r="F92" i="1"/>
  <c r="G92" i="1" s="1"/>
  <c r="E92" i="1"/>
  <c r="AC92" i="1" s="1"/>
  <c r="Z91" i="1"/>
  <c r="AA91" i="1" s="1"/>
  <c r="X91" i="1"/>
  <c r="W91" i="1"/>
  <c r="G91" i="1"/>
  <c r="F91" i="1"/>
  <c r="E91" i="1"/>
  <c r="Z90" i="1"/>
  <c r="AA90" i="1" s="1"/>
  <c r="W90" i="1"/>
  <c r="X90" i="1" s="1"/>
  <c r="F90" i="1"/>
  <c r="G90" i="1" s="1"/>
  <c r="E90" i="1"/>
  <c r="AA89" i="1"/>
  <c r="Z89" i="1"/>
  <c r="W89" i="1"/>
  <c r="X89" i="1" s="1"/>
  <c r="F89" i="1"/>
  <c r="G89" i="1" s="1"/>
  <c r="E89" i="1"/>
  <c r="AB89" i="1" s="1"/>
  <c r="AD88" i="1"/>
  <c r="AC88" i="1"/>
  <c r="Z88" i="1"/>
  <c r="AA88" i="1" s="1"/>
  <c r="W88" i="1"/>
  <c r="X88" i="1" s="1"/>
  <c r="F88" i="1"/>
  <c r="G88" i="1" s="1"/>
  <c r="E88" i="1"/>
  <c r="AB88" i="1" s="1"/>
  <c r="AE88" i="1" s="1"/>
  <c r="AD87" i="1"/>
  <c r="AC87" i="1"/>
  <c r="AB87" i="1"/>
  <c r="AE87" i="1" s="1"/>
  <c r="Z87" i="1"/>
  <c r="AA87" i="1" s="1"/>
  <c r="X87" i="1"/>
  <c r="W87" i="1"/>
  <c r="G87" i="1"/>
  <c r="F87" i="1"/>
  <c r="E87" i="1"/>
  <c r="AD86" i="1"/>
  <c r="AC86" i="1"/>
  <c r="AB86" i="1"/>
  <c r="AE86" i="1" s="1"/>
  <c r="Z86" i="1"/>
  <c r="AA86" i="1" s="1"/>
  <c r="X86" i="1"/>
  <c r="W86" i="1"/>
  <c r="F86" i="1"/>
  <c r="G86" i="1" s="1"/>
  <c r="E86" i="1"/>
  <c r="AD85" i="1"/>
  <c r="AC85" i="1"/>
  <c r="AB85" i="1"/>
  <c r="AE85" i="1" s="1"/>
  <c r="Z85" i="1"/>
  <c r="AA85" i="1" s="1"/>
  <c r="W85" i="1"/>
  <c r="X85" i="1" s="1"/>
  <c r="G85" i="1"/>
  <c r="F85" i="1"/>
  <c r="E85" i="1"/>
  <c r="AD84" i="1"/>
  <c r="AC84" i="1"/>
  <c r="AB84" i="1"/>
  <c r="AE84" i="1" s="1"/>
  <c r="Z84" i="1"/>
  <c r="AA84" i="1" s="1"/>
  <c r="W84" i="1"/>
  <c r="X84" i="1" s="1"/>
  <c r="F84" i="1"/>
  <c r="G84" i="1" s="1"/>
  <c r="E84" i="1"/>
  <c r="AB83" i="1"/>
  <c r="AA83" i="1"/>
  <c r="Z83" i="1"/>
  <c r="W83" i="1"/>
  <c r="X83" i="1" s="1"/>
  <c r="F83" i="1"/>
  <c r="G83" i="1" s="1"/>
  <c r="E83" i="1"/>
  <c r="Z82" i="1"/>
  <c r="AA82" i="1" s="1"/>
  <c r="W82" i="1"/>
  <c r="X82" i="1" s="1"/>
  <c r="F82" i="1"/>
  <c r="G82" i="1" s="1"/>
  <c r="E82" i="1"/>
  <c r="Z81" i="1"/>
  <c r="AA81" i="1" s="1"/>
  <c r="W81" i="1"/>
  <c r="X81" i="1" s="1"/>
  <c r="F81" i="1"/>
  <c r="G81" i="1" s="1"/>
  <c r="E81" i="1"/>
  <c r="AC81" i="1" s="1"/>
  <c r="AD80" i="1"/>
  <c r="AB80" i="1"/>
  <c r="AE80" i="1" s="1"/>
  <c r="AA80" i="1"/>
  <c r="Z80" i="1"/>
  <c r="W80" i="1"/>
  <c r="X80" i="1" s="1"/>
  <c r="F80" i="1"/>
  <c r="G80" i="1" s="1"/>
  <c r="E80" i="1"/>
  <c r="AC80" i="1" s="1"/>
  <c r="AD79" i="1"/>
  <c r="AE79" i="1" s="1"/>
  <c r="AC79" i="1"/>
  <c r="Z79" i="1"/>
  <c r="AA79" i="1" s="1"/>
  <c r="X79" i="1"/>
  <c r="W79" i="1"/>
  <c r="F79" i="1"/>
  <c r="G79" i="1" s="1"/>
  <c r="E79" i="1"/>
  <c r="AB79" i="1" s="1"/>
  <c r="AD78" i="1"/>
  <c r="AC78" i="1"/>
  <c r="AB78" i="1"/>
  <c r="AE78" i="1" s="1"/>
  <c r="Z78" i="1"/>
  <c r="AA78" i="1" s="1"/>
  <c r="W78" i="1"/>
  <c r="X78" i="1" s="1"/>
  <c r="G78" i="1"/>
  <c r="F78" i="1"/>
  <c r="E78" i="1"/>
  <c r="AD77" i="1"/>
  <c r="AC77" i="1"/>
  <c r="AB77" i="1"/>
  <c r="AE77" i="1" s="1"/>
  <c r="Y77" i="1"/>
  <c r="Z77" i="1" s="1"/>
  <c r="AA77" i="1" s="1"/>
  <c r="V77" i="1"/>
  <c r="W77" i="1" s="1"/>
  <c r="X77" i="1" s="1"/>
  <c r="G77" i="1"/>
  <c r="F77" i="1"/>
  <c r="E77" i="1"/>
  <c r="AC76" i="1"/>
  <c r="AB76" i="1"/>
  <c r="AE76" i="1" s="1"/>
  <c r="Z76" i="1"/>
  <c r="AA76" i="1" s="1"/>
  <c r="X76" i="1"/>
  <c r="W76" i="1"/>
  <c r="G76" i="1"/>
  <c r="F76" i="1"/>
  <c r="E76" i="1"/>
  <c r="AD76" i="1" s="1"/>
  <c r="AA75" i="1"/>
  <c r="Z75" i="1"/>
  <c r="W75" i="1"/>
  <c r="X75" i="1" s="1"/>
  <c r="F75" i="1"/>
  <c r="G75" i="1" s="1"/>
  <c r="E75" i="1"/>
  <c r="Z74" i="1"/>
  <c r="AA74" i="1" s="1"/>
  <c r="W74" i="1"/>
  <c r="X74" i="1" s="1"/>
  <c r="F74" i="1"/>
  <c r="G74" i="1" s="1"/>
  <c r="E74" i="1"/>
  <c r="AD73" i="1"/>
  <c r="AE73" i="1" s="1"/>
  <c r="AC73" i="1"/>
  <c r="Z73" i="1"/>
  <c r="AA73" i="1" s="1"/>
  <c r="X73" i="1"/>
  <c r="W73" i="1"/>
  <c r="G73" i="1"/>
  <c r="F73" i="1"/>
  <c r="E73" i="1"/>
  <c r="AB73" i="1" s="1"/>
  <c r="Z72" i="1"/>
  <c r="AA72" i="1" s="1"/>
  <c r="X72" i="1"/>
  <c r="W72" i="1"/>
  <c r="F72" i="1"/>
  <c r="G72" i="1" s="1"/>
  <c r="E72" i="1"/>
  <c r="AD72" i="1" s="1"/>
  <c r="Z71" i="1"/>
  <c r="AA71" i="1" s="1"/>
  <c r="W71" i="1"/>
  <c r="X71" i="1" s="1"/>
  <c r="G71" i="1"/>
  <c r="F71" i="1"/>
  <c r="E71" i="1"/>
  <c r="AD71" i="1" s="1"/>
  <c r="AD70" i="1"/>
  <c r="AE70" i="1" s="1"/>
  <c r="AC70" i="1"/>
  <c r="AB70" i="1"/>
  <c r="AA70" i="1"/>
  <c r="Z70" i="1"/>
  <c r="X70" i="1"/>
  <c r="W70" i="1"/>
  <c r="F70" i="1"/>
  <c r="G70" i="1" s="1"/>
  <c r="E70" i="1"/>
  <c r="AD69" i="1"/>
  <c r="AC69" i="1"/>
  <c r="AB69" i="1"/>
  <c r="AE69" i="1" s="1"/>
  <c r="AA69" i="1"/>
  <c r="Z69" i="1"/>
  <c r="X69" i="1"/>
  <c r="W69" i="1"/>
  <c r="F69" i="1"/>
  <c r="G69" i="1" s="1"/>
  <c r="E69" i="1"/>
  <c r="AD68" i="1"/>
  <c r="AC68" i="1"/>
  <c r="AB68" i="1"/>
  <c r="AE68" i="1" s="1"/>
  <c r="Z68" i="1"/>
  <c r="AA68" i="1" s="1"/>
  <c r="X68" i="1"/>
  <c r="W68" i="1"/>
  <c r="F68" i="1"/>
  <c r="G68" i="1" s="1"/>
  <c r="E68" i="1"/>
  <c r="Z67" i="1"/>
  <c r="AA67" i="1" s="1"/>
  <c r="W67" i="1"/>
  <c r="X67" i="1" s="1"/>
  <c r="F67" i="1"/>
  <c r="G67" i="1" s="1"/>
  <c r="E67" i="1"/>
  <c r="AA66" i="1"/>
  <c r="Z66" i="1"/>
  <c r="X66" i="1"/>
  <c r="W66" i="1"/>
  <c r="F66" i="1"/>
  <c r="G66" i="1" s="1"/>
  <c r="E66" i="1"/>
  <c r="AD65" i="1"/>
  <c r="AE65" i="1" s="1"/>
  <c r="AC65" i="1"/>
  <c r="Z65" i="1"/>
  <c r="AA65" i="1" s="1"/>
  <c r="X65" i="1"/>
  <c r="W65" i="1"/>
  <c r="F65" i="1"/>
  <c r="G65" i="1" s="1"/>
  <c r="E65" i="1"/>
  <c r="AB65" i="1" s="1"/>
  <c r="AD64" i="1"/>
  <c r="AC64" i="1"/>
  <c r="AB64" i="1"/>
  <c r="AE64" i="1" s="1"/>
  <c r="Z64" i="1"/>
  <c r="AA64" i="1" s="1"/>
  <c r="W64" i="1"/>
  <c r="X64" i="1" s="1"/>
  <c r="G64" i="1"/>
  <c r="F64" i="1"/>
  <c r="E64" i="1"/>
  <c r="AD63" i="1"/>
  <c r="AC63" i="1"/>
  <c r="AB63" i="1"/>
  <c r="AE63" i="1" s="1"/>
  <c r="AA63" i="1"/>
  <c r="Z63" i="1"/>
  <c r="X63" i="1"/>
  <c r="W63" i="1"/>
  <c r="F63" i="1"/>
  <c r="G63" i="1" s="1"/>
  <c r="E63" i="1"/>
  <c r="AE62" i="1"/>
  <c r="AD62" i="1"/>
  <c r="AC62" i="1"/>
  <c r="AB62" i="1"/>
  <c r="Z62" i="1"/>
  <c r="AA62" i="1" s="1"/>
  <c r="W62" i="1"/>
  <c r="X62" i="1" s="1"/>
  <c r="G62" i="1"/>
  <c r="F62" i="1"/>
  <c r="E62" i="1"/>
  <c r="AD61" i="1"/>
  <c r="AC61" i="1"/>
  <c r="AB61" i="1"/>
  <c r="AE61" i="1" s="1"/>
  <c r="AA61" i="1"/>
  <c r="Z61" i="1"/>
  <c r="X61" i="1"/>
  <c r="W61" i="1"/>
  <c r="F61" i="1"/>
  <c r="G61" i="1" s="1"/>
  <c r="E61" i="1"/>
  <c r="AB60" i="1"/>
  <c r="Z60" i="1"/>
  <c r="AA60" i="1" s="1"/>
  <c r="W60" i="1"/>
  <c r="X60" i="1" s="1"/>
  <c r="F60" i="1"/>
  <c r="G60" i="1" s="1"/>
  <c r="E60" i="1"/>
  <c r="Z59" i="1"/>
  <c r="AA59" i="1" s="1"/>
  <c r="W59" i="1"/>
  <c r="X59" i="1" s="1"/>
  <c r="G59" i="1"/>
  <c r="F59" i="1"/>
  <c r="E59" i="1"/>
  <c r="AD58" i="1"/>
  <c r="AE58" i="1" s="1"/>
  <c r="AC58" i="1"/>
  <c r="AB58" i="1"/>
  <c r="AA58" i="1"/>
  <c r="Z58" i="1"/>
  <c r="W58" i="1"/>
  <c r="X58" i="1" s="1"/>
  <c r="F58" i="1"/>
  <c r="G58" i="1" s="1"/>
  <c r="E58" i="1"/>
  <c r="AD57" i="1"/>
  <c r="AE57" i="1" s="1"/>
  <c r="AC57" i="1"/>
  <c r="Z57" i="1"/>
  <c r="AA57" i="1" s="1"/>
  <c r="W57" i="1"/>
  <c r="X57" i="1" s="1"/>
  <c r="F57" i="1"/>
  <c r="G57" i="1" s="1"/>
  <c r="E57" i="1"/>
  <c r="AB57" i="1" s="1"/>
  <c r="AA56" i="1"/>
  <c r="Z56" i="1"/>
  <c r="W56" i="1"/>
  <c r="X56" i="1" s="1"/>
  <c r="F56" i="1"/>
  <c r="G56" i="1" s="1"/>
  <c r="E56" i="1"/>
  <c r="AB56" i="1" s="1"/>
  <c r="AC55" i="1"/>
  <c r="AB55" i="1"/>
  <c r="AE55" i="1" s="1"/>
  <c r="Z55" i="1"/>
  <c r="AA55" i="1" s="1"/>
  <c r="X55" i="1"/>
  <c r="W55" i="1"/>
  <c r="F55" i="1"/>
  <c r="G55" i="1" s="1"/>
  <c r="E55" i="1"/>
  <c r="AD55" i="1" s="1"/>
  <c r="AD54" i="1"/>
  <c r="AB54" i="1"/>
  <c r="AE54" i="1" s="1"/>
  <c r="AA54" i="1"/>
  <c r="Z54" i="1"/>
  <c r="X54" i="1"/>
  <c r="W54" i="1"/>
  <c r="G54" i="1"/>
  <c r="F54" i="1"/>
  <c r="E54" i="1"/>
  <c r="AC54" i="1" s="1"/>
  <c r="AC53" i="1"/>
  <c r="Z53" i="1"/>
  <c r="AA53" i="1" s="1"/>
  <c r="W53" i="1"/>
  <c r="X53" i="1" s="1"/>
  <c r="G53" i="1"/>
  <c r="F53" i="1"/>
  <c r="E53" i="1"/>
  <c r="Z52" i="1"/>
  <c r="AA52" i="1" s="1"/>
  <c r="W52" i="1"/>
  <c r="X52" i="1" s="1"/>
  <c r="F52" i="1"/>
  <c r="G52" i="1" s="1"/>
  <c r="E52" i="1"/>
  <c r="AD51" i="1"/>
  <c r="AA51" i="1"/>
  <c r="Z51" i="1"/>
  <c r="W51" i="1"/>
  <c r="X51" i="1" s="1"/>
  <c r="F51" i="1"/>
  <c r="G51" i="1" s="1"/>
  <c r="E51" i="1"/>
  <c r="AD50" i="1"/>
  <c r="AE50" i="1" s="1"/>
  <c r="AC50" i="1"/>
  <c r="Z50" i="1"/>
  <c r="AA50" i="1" s="1"/>
  <c r="W50" i="1"/>
  <c r="X50" i="1" s="1"/>
  <c r="G50" i="1"/>
  <c r="F50" i="1"/>
  <c r="E50" i="1"/>
  <c r="AB50" i="1" s="1"/>
  <c r="AA49" i="1"/>
  <c r="Z49" i="1"/>
  <c r="X49" i="1"/>
  <c r="W49" i="1"/>
  <c r="F49" i="1"/>
  <c r="G49" i="1" s="1"/>
  <c r="E49" i="1"/>
  <c r="AB49" i="1" s="1"/>
  <c r="AD48" i="1"/>
  <c r="AC48" i="1"/>
  <c r="AB48" i="1"/>
  <c r="AE48" i="1" s="1"/>
  <c r="Z48" i="1"/>
  <c r="AA48" i="1" s="1"/>
  <c r="W48" i="1"/>
  <c r="X48" i="1" s="1"/>
  <c r="F48" i="1"/>
  <c r="G48" i="1" s="1"/>
  <c r="E48" i="1"/>
  <c r="AD47" i="1"/>
  <c r="AE47" i="1" s="1"/>
  <c r="AC47" i="1"/>
  <c r="AB47" i="1"/>
  <c r="Z47" i="1"/>
  <c r="AA47" i="1" s="1"/>
  <c r="W47" i="1"/>
  <c r="X47" i="1" s="1"/>
  <c r="G47" i="1"/>
  <c r="F47" i="1"/>
  <c r="E47" i="1"/>
  <c r="AD46" i="1"/>
  <c r="AC46" i="1"/>
  <c r="AB46" i="1"/>
  <c r="AE46" i="1" s="1"/>
  <c r="AA46" i="1"/>
  <c r="Z46" i="1"/>
  <c r="W46" i="1"/>
  <c r="X46" i="1" s="1"/>
  <c r="G46" i="1"/>
  <c r="F46" i="1"/>
  <c r="E46" i="1"/>
  <c r="AD45" i="1"/>
  <c r="AC45" i="1"/>
  <c r="AB45" i="1"/>
  <c r="AE45" i="1" s="1"/>
  <c r="Z45" i="1"/>
  <c r="AA45" i="1" s="1"/>
  <c r="X45" i="1"/>
  <c r="W45" i="1"/>
  <c r="F45" i="1"/>
  <c r="G45" i="1" s="1"/>
  <c r="E45" i="1"/>
  <c r="Z44" i="1"/>
  <c r="AA44" i="1" s="1"/>
  <c r="W44" i="1"/>
  <c r="X44" i="1" s="1"/>
  <c r="F44" i="1"/>
  <c r="G44" i="1" s="1"/>
  <c r="E44" i="1"/>
  <c r="AA43" i="1"/>
  <c r="Z43" i="1"/>
  <c r="X43" i="1"/>
  <c r="W43" i="1"/>
  <c r="F43" i="1"/>
  <c r="G43" i="1" s="1"/>
  <c r="E43" i="1"/>
  <c r="AD42" i="1"/>
  <c r="AB42" i="1"/>
  <c r="AE42" i="1" s="1"/>
  <c r="Z42" i="1"/>
  <c r="AA42" i="1" s="1"/>
  <c r="X42" i="1"/>
  <c r="W42" i="1"/>
  <c r="F42" i="1"/>
  <c r="G42" i="1" s="1"/>
  <c r="E42" i="1"/>
  <c r="AC42" i="1" s="1"/>
  <c r="AD41" i="1"/>
  <c r="AE41" i="1" s="1"/>
  <c r="AC41" i="1"/>
  <c r="Z41" i="1"/>
  <c r="AA41" i="1" s="1"/>
  <c r="W41" i="1"/>
  <c r="X41" i="1" s="1"/>
  <c r="G41" i="1"/>
  <c r="F41" i="1"/>
  <c r="E41" i="1"/>
  <c r="AB41" i="1" s="1"/>
  <c r="AD40" i="1"/>
  <c r="AC40" i="1"/>
  <c r="AB40" i="1"/>
  <c r="AE40" i="1" s="1"/>
  <c r="Z40" i="1"/>
  <c r="AA40" i="1" s="1"/>
  <c r="W40" i="1"/>
  <c r="X40" i="1" s="1"/>
  <c r="F40" i="1"/>
  <c r="G40" i="1" s="1"/>
  <c r="E40" i="1"/>
  <c r="AD39" i="1"/>
  <c r="AC39" i="1"/>
  <c r="AB39" i="1"/>
  <c r="AA39" i="1"/>
  <c r="Z39" i="1"/>
  <c r="W39" i="1"/>
  <c r="X39" i="1" s="1"/>
  <c r="G39" i="1"/>
  <c r="F39" i="1"/>
  <c r="E39" i="1"/>
  <c r="AC38" i="1"/>
  <c r="AB38" i="1"/>
  <c r="AE38" i="1" s="1"/>
  <c r="Z38" i="1"/>
  <c r="AA38" i="1" s="1"/>
  <c r="W38" i="1"/>
  <c r="X38" i="1" s="1"/>
  <c r="F38" i="1"/>
  <c r="G38" i="1" s="1"/>
  <c r="E38" i="1"/>
  <c r="AD38" i="1" s="1"/>
  <c r="Z37" i="1"/>
  <c r="AA37" i="1" s="1"/>
  <c r="X37" i="1"/>
  <c r="W37" i="1"/>
  <c r="F37" i="1"/>
  <c r="G37" i="1" s="1"/>
  <c r="E37" i="1"/>
  <c r="Z36" i="1"/>
  <c r="AA36" i="1" s="1"/>
  <c r="W36" i="1"/>
  <c r="X36" i="1" s="1"/>
  <c r="F36" i="1"/>
  <c r="G36" i="1" s="1"/>
  <c r="E36" i="1"/>
  <c r="AD35" i="1"/>
  <c r="AE35" i="1" s="1"/>
  <c r="AC35" i="1"/>
  <c r="Z35" i="1"/>
  <c r="AA35" i="1" s="1"/>
  <c r="W35" i="1"/>
  <c r="X35" i="1" s="1"/>
  <c r="G35" i="1"/>
  <c r="F35" i="1"/>
  <c r="E35" i="1"/>
  <c r="AB35" i="1" s="1"/>
  <c r="AD34" i="1"/>
  <c r="AC34" i="1"/>
  <c r="AB34" i="1"/>
  <c r="AE34" i="1" s="1"/>
  <c r="Z34" i="1"/>
  <c r="AA34" i="1" s="1"/>
  <c r="X34" i="1"/>
  <c r="W34" i="1"/>
  <c r="F34" i="1"/>
  <c r="G34" i="1" s="1"/>
  <c r="E34" i="1"/>
  <c r="AA33" i="1"/>
  <c r="Z33" i="1"/>
  <c r="W33" i="1"/>
  <c r="X33" i="1" s="1"/>
  <c r="F33" i="1"/>
  <c r="G33" i="1" s="1"/>
  <c r="E33" i="1"/>
  <c r="AD33" i="1" s="1"/>
  <c r="AD32" i="1"/>
  <c r="AC32" i="1"/>
  <c r="AB32" i="1"/>
  <c r="AE32" i="1" s="1"/>
  <c r="AA32" i="1"/>
  <c r="Z32" i="1"/>
  <c r="X32" i="1"/>
  <c r="W32" i="1"/>
  <c r="F32" i="1"/>
  <c r="G32" i="1" s="1"/>
  <c r="E32" i="1"/>
  <c r="AC31" i="1"/>
  <c r="AB31" i="1"/>
  <c r="AE31" i="1" s="1"/>
  <c r="Z31" i="1"/>
  <c r="AA31" i="1" s="1"/>
  <c r="W31" i="1"/>
  <c r="X31" i="1" s="1"/>
  <c r="G31" i="1"/>
  <c r="F31" i="1"/>
  <c r="E31" i="1"/>
  <c r="AD31" i="1" s="1"/>
  <c r="Z30" i="1"/>
  <c r="AA30" i="1" s="1"/>
  <c r="W30" i="1"/>
  <c r="X30" i="1" s="1"/>
  <c r="F30" i="1"/>
  <c r="G30" i="1" s="1"/>
  <c r="E30" i="1"/>
  <c r="Z29" i="1"/>
  <c r="AA29" i="1" s="1"/>
  <c r="X29" i="1"/>
  <c r="W29" i="1"/>
  <c r="G29" i="1"/>
  <c r="F29" i="1"/>
  <c r="E29" i="1"/>
  <c r="Z28" i="1"/>
  <c r="AA28" i="1" s="1"/>
  <c r="W28" i="1"/>
  <c r="X28" i="1" s="1"/>
  <c r="F28" i="1"/>
  <c r="G28" i="1" s="1"/>
  <c r="E28" i="1"/>
  <c r="AD28" i="1" s="1"/>
  <c r="AA27" i="1"/>
  <c r="Z27" i="1"/>
  <c r="X27" i="1"/>
  <c r="W27" i="1"/>
  <c r="F27" i="1"/>
  <c r="G27" i="1" s="1"/>
  <c r="E27" i="1"/>
  <c r="AC27" i="1" s="1"/>
  <c r="AA26" i="1"/>
  <c r="Z26" i="1"/>
  <c r="W26" i="1"/>
  <c r="X26" i="1" s="1"/>
  <c r="G26" i="1"/>
  <c r="F26" i="1"/>
  <c r="E26" i="1"/>
  <c r="AD26" i="1" s="1"/>
  <c r="AD25" i="1"/>
  <c r="AE25" i="1" s="1"/>
  <c r="AC25" i="1"/>
  <c r="AB25" i="1"/>
  <c r="Z25" i="1"/>
  <c r="AA25" i="1" s="1"/>
  <c r="X25" i="1"/>
  <c r="W25" i="1"/>
  <c r="F25" i="1"/>
  <c r="G25" i="1" s="1"/>
  <c r="E25" i="1"/>
  <c r="AD24" i="1"/>
  <c r="AC24" i="1"/>
  <c r="AB24" i="1"/>
  <c r="AE24" i="1" s="1"/>
  <c r="AA24" i="1"/>
  <c r="Z24" i="1"/>
  <c r="W24" i="1"/>
  <c r="X24" i="1" s="1"/>
  <c r="F24" i="1"/>
  <c r="G24" i="1" s="1"/>
  <c r="E24" i="1"/>
  <c r="AD23" i="1"/>
  <c r="AC23" i="1"/>
  <c r="AB23" i="1"/>
  <c r="AE23" i="1" s="1"/>
  <c r="Z23" i="1"/>
  <c r="AA23" i="1" s="1"/>
  <c r="W23" i="1"/>
  <c r="X23" i="1" s="1"/>
  <c r="G23" i="1"/>
  <c r="F23" i="1"/>
  <c r="E23" i="1"/>
  <c r="AD22" i="1"/>
  <c r="AC22" i="1"/>
  <c r="AB22" i="1"/>
  <c r="AE22" i="1" s="1"/>
  <c r="Z22" i="1"/>
  <c r="AA22" i="1" s="1"/>
  <c r="W22" i="1"/>
  <c r="X22" i="1" s="1"/>
  <c r="F22" i="1"/>
  <c r="G22" i="1" s="1"/>
  <c r="E22" i="1"/>
  <c r="Z21" i="1"/>
  <c r="AA21" i="1" s="1"/>
  <c r="W21" i="1"/>
  <c r="X21" i="1" s="1"/>
  <c r="F21" i="1"/>
  <c r="G21" i="1" s="1"/>
  <c r="E21" i="1"/>
  <c r="AD20" i="1"/>
  <c r="AA20" i="1"/>
  <c r="Z20" i="1"/>
  <c r="X20" i="1"/>
  <c r="W20" i="1"/>
  <c r="F20" i="1"/>
  <c r="G20" i="1" s="1"/>
  <c r="E20" i="1"/>
  <c r="AC19" i="1"/>
  <c r="AB19" i="1"/>
  <c r="AE19" i="1" s="1"/>
  <c r="Z19" i="1"/>
  <c r="AA19" i="1" s="1"/>
  <c r="X19" i="1"/>
  <c r="W19" i="1"/>
  <c r="F19" i="1"/>
  <c r="G19" i="1" s="1"/>
  <c r="E19" i="1"/>
  <c r="AD19" i="1" s="1"/>
  <c r="Z18" i="1"/>
  <c r="AA18" i="1" s="1"/>
  <c r="W18" i="1"/>
  <c r="X18" i="1" s="1"/>
  <c r="G18" i="1"/>
  <c r="F18" i="1"/>
  <c r="E18" i="1"/>
  <c r="AC18" i="1" s="1"/>
  <c r="AD17" i="1"/>
  <c r="AE17" i="1" s="1"/>
  <c r="AC17" i="1"/>
  <c r="Z17" i="1"/>
  <c r="AA17" i="1" s="1"/>
  <c r="W17" i="1"/>
  <c r="X17" i="1" s="1"/>
  <c r="F17" i="1"/>
  <c r="G17" i="1" s="1"/>
  <c r="E17" i="1"/>
  <c r="AB17" i="1" s="1"/>
  <c r="AD16" i="1"/>
  <c r="AC16" i="1"/>
  <c r="AB16" i="1"/>
  <c r="AE16" i="1" s="1"/>
  <c r="Z16" i="1"/>
  <c r="AA16" i="1" s="1"/>
  <c r="X16" i="1"/>
  <c r="W16" i="1"/>
  <c r="G16" i="1"/>
  <c r="F16" i="1"/>
  <c r="E16" i="1"/>
  <c r="AD15" i="1"/>
  <c r="AC15" i="1"/>
  <c r="AB15" i="1"/>
  <c r="AE15" i="1" s="1"/>
  <c r="Z15" i="1"/>
  <c r="AA15" i="1" s="1"/>
  <c r="W15" i="1"/>
  <c r="X15" i="1" s="1"/>
  <c r="G15" i="1"/>
  <c r="F15" i="1"/>
  <c r="E15" i="1"/>
  <c r="Z14" i="1"/>
  <c r="AA14" i="1" s="1"/>
  <c r="W14" i="1"/>
  <c r="X14" i="1" s="1"/>
  <c r="F14" i="1"/>
  <c r="G14" i="1" s="1"/>
  <c r="E14" i="1"/>
  <c r="AB14" i="1" s="1"/>
  <c r="AA13" i="1"/>
  <c r="Z13" i="1"/>
  <c r="W13" i="1"/>
  <c r="X13" i="1" s="1"/>
  <c r="F13" i="1"/>
  <c r="G13" i="1" s="1"/>
  <c r="E13" i="1"/>
  <c r="Z12" i="1"/>
  <c r="AA12" i="1" s="1"/>
  <c r="W12" i="1"/>
  <c r="X12" i="1" s="1"/>
  <c r="F12" i="1"/>
  <c r="G12" i="1" s="1"/>
  <c r="E12" i="1"/>
  <c r="AA11" i="1"/>
  <c r="Z11" i="1"/>
  <c r="W11" i="1"/>
  <c r="X11" i="1" s="1"/>
  <c r="F11" i="1"/>
  <c r="G11" i="1" s="1"/>
  <c r="E11" i="1"/>
  <c r="AD10" i="1"/>
  <c r="AE10" i="1" s="1"/>
  <c r="Z10" i="1"/>
  <c r="AA10" i="1" s="1"/>
  <c r="W10" i="1"/>
  <c r="X10" i="1" s="1"/>
  <c r="F10" i="1"/>
  <c r="G10" i="1" s="1"/>
  <c r="E10" i="1"/>
  <c r="AB10" i="1" s="1"/>
  <c r="AD9" i="1"/>
  <c r="AC9" i="1"/>
  <c r="AB9" i="1"/>
  <c r="AE9" i="1" s="1"/>
  <c r="Z9" i="1"/>
  <c r="AA9" i="1" s="1"/>
  <c r="X9" i="1"/>
  <c r="W9" i="1"/>
  <c r="F9" i="1"/>
  <c r="G9" i="1" s="1"/>
  <c r="E9" i="1"/>
  <c r="AD8" i="1"/>
  <c r="AC8" i="1"/>
  <c r="AB8" i="1"/>
  <c r="AE8" i="1" s="1"/>
  <c r="AA8" i="1"/>
  <c r="Z8" i="1"/>
  <c r="W8" i="1"/>
  <c r="X8" i="1" s="1"/>
  <c r="F8" i="1"/>
  <c r="G8" i="1" s="1"/>
  <c r="E8" i="1"/>
  <c r="Z7" i="1"/>
  <c r="AA7" i="1" s="1"/>
  <c r="W7" i="1"/>
  <c r="X7" i="1" s="1"/>
  <c r="G7" i="1"/>
  <c r="F7" i="1"/>
  <c r="E7" i="1"/>
  <c r="AD7" i="1" s="1"/>
  <c r="AE6" i="1"/>
  <c r="AD6" i="1"/>
  <c r="AC6" i="1"/>
  <c r="AB6" i="1"/>
  <c r="Z6" i="1"/>
  <c r="AA6" i="1" s="1"/>
  <c r="X6" i="1"/>
  <c r="W6" i="1"/>
  <c r="F6" i="1"/>
  <c r="G6" i="1" s="1"/>
  <c r="E6" i="1"/>
  <c r="AD5" i="1"/>
  <c r="AE5" i="1" s="1"/>
  <c r="AC5" i="1"/>
  <c r="AB5" i="1"/>
  <c r="Z5" i="1"/>
  <c r="AA5" i="1" s="1"/>
  <c r="W5" i="1"/>
  <c r="X5" i="1" s="1"/>
  <c r="F5" i="1"/>
  <c r="G5" i="1" s="1"/>
  <c r="E5" i="1"/>
  <c r="AD4" i="1"/>
  <c r="AC4" i="1"/>
  <c r="AB4" i="1"/>
  <c r="AE4" i="1" s="1"/>
  <c r="Z4" i="1"/>
  <c r="AA4" i="1" s="1"/>
  <c r="X4" i="1"/>
  <c r="W4" i="1"/>
  <c r="G4" i="1"/>
  <c r="F4" i="1"/>
  <c r="E4" i="1"/>
  <c r="AD3" i="1"/>
  <c r="AC3" i="1"/>
  <c r="AB3" i="1"/>
  <c r="AE3" i="1" s="1"/>
  <c r="Z3" i="1"/>
  <c r="AA3" i="1" s="1"/>
  <c r="W3" i="1"/>
  <c r="X3" i="1" s="1"/>
  <c r="G3" i="1"/>
  <c r="F3" i="1"/>
  <c r="E3" i="1"/>
  <c r="Z2" i="1"/>
  <c r="AA2" i="1" s="1"/>
  <c r="W2" i="1"/>
  <c r="X2" i="1" s="1"/>
  <c r="F2" i="1"/>
  <c r="G2" i="1" s="1"/>
  <c r="E2" i="1"/>
  <c r="AB2" i="1" s="1"/>
  <c r="AE89" i="1" l="1"/>
  <c r="AE14" i="1"/>
  <c r="AE238" i="1"/>
  <c r="AD450" i="1"/>
  <c r="AB450" i="1"/>
  <c r="AE450" i="1" s="1"/>
  <c r="AC450" i="1"/>
  <c r="AD529" i="1"/>
  <c r="AC529" i="1"/>
  <c r="AB529" i="1"/>
  <c r="AE529" i="1" s="1"/>
  <c r="AD583" i="1"/>
  <c r="AC583" i="1"/>
  <c r="AB583" i="1"/>
  <c r="AE583" i="1" s="1"/>
  <c r="AD82" i="1"/>
  <c r="AB82" i="1"/>
  <c r="AE82" i="1" s="1"/>
  <c r="AC82" i="1"/>
  <c r="AD90" i="1"/>
  <c r="AC90" i="1"/>
  <c r="AB90" i="1"/>
  <c r="AE90" i="1" s="1"/>
  <c r="AD111" i="1"/>
  <c r="AB111" i="1"/>
  <c r="AE111" i="1" s="1"/>
  <c r="AB143" i="1"/>
  <c r="AC143" i="1"/>
  <c r="AD143" i="1"/>
  <c r="AB287" i="1"/>
  <c r="AE287" i="1" s="1"/>
  <c r="AC287" i="1"/>
  <c r="AD388" i="1"/>
  <c r="AB388" i="1"/>
  <c r="AC388" i="1"/>
  <c r="AC30" i="1"/>
  <c r="AD30" i="1"/>
  <c r="AC37" i="1"/>
  <c r="AD37" i="1"/>
  <c r="AB37" i="1"/>
  <c r="AE37" i="1" s="1"/>
  <c r="AC300" i="1"/>
  <c r="AB300" i="1"/>
  <c r="AD300" i="1"/>
  <c r="AC427" i="1"/>
  <c r="AD427" i="1"/>
  <c r="AB427" i="1"/>
  <c r="AC114" i="1"/>
  <c r="AB114" i="1"/>
  <c r="AE114" i="1" s="1"/>
  <c r="AC172" i="1"/>
  <c r="AD172" i="1"/>
  <c r="AB172" i="1"/>
  <c r="AE172" i="1" s="1"/>
  <c r="AC410" i="1"/>
  <c r="AD410" i="1"/>
  <c r="AB410" i="1"/>
  <c r="AE410" i="1" s="1"/>
  <c r="AD59" i="1"/>
  <c r="AC59" i="1"/>
  <c r="AB59" i="1"/>
  <c r="AD243" i="1"/>
  <c r="AC243" i="1"/>
  <c r="AB243" i="1"/>
  <c r="AE243" i="1" s="1"/>
  <c r="AD319" i="1"/>
  <c r="AB319" i="1"/>
  <c r="AE319" i="1" s="1"/>
  <c r="AC319" i="1"/>
  <c r="AD381" i="1"/>
  <c r="AC381" i="1"/>
  <c r="AE407" i="1"/>
  <c r="AE475" i="1"/>
  <c r="AD343" i="1"/>
  <c r="AC343" i="1"/>
  <c r="AC401" i="1"/>
  <c r="AB401" i="1"/>
  <c r="AE401" i="1" s="1"/>
  <c r="AD401" i="1"/>
  <c r="AC408" i="1"/>
  <c r="AD408" i="1"/>
  <c r="AB408" i="1"/>
  <c r="AE408" i="1" s="1"/>
  <c r="AB424" i="1"/>
  <c r="AE424" i="1" s="1"/>
  <c r="AD424" i="1"/>
  <c r="AC424" i="1"/>
  <c r="AC66" i="1"/>
  <c r="AD66" i="1"/>
  <c r="AB66" i="1"/>
  <c r="AE66" i="1" s="1"/>
  <c r="AC51" i="1"/>
  <c r="AB51" i="1"/>
  <c r="AE51" i="1" s="1"/>
  <c r="AC56" i="1"/>
  <c r="AC72" i="1"/>
  <c r="Y116" i="1"/>
  <c r="Z116" i="1" s="1"/>
  <c r="AA116" i="1" s="1"/>
  <c r="AD116" i="1"/>
  <c r="AE116" i="1" s="1"/>
  <c r="AC116" i="1"/>
  <c r="AB232" i="1"/>
  <c r="AD232" i="1"/>
  <c r="AC232" i="1"/>
  <c r="AB7" i="1"/>
  <c r="AE7" i="1" s="1"/>
  <c r="AB29" i="1"/>
  <c r="AD29" i="1"/>
  <c r="AC29" i="1"/>
  <c r="AD36" i="1"/>
  <c r="AC36" i="1"/>
  <c r="AB36" i="1"/>
  <c r="AE36" i="1" s="1"/>
  <c r="AC49" i="1"/>
  <c r="AD56" i="1"/>
  <c r="AE56" i="1" s="1"/>
  <c r="AB109" i="1"/>
  <c r="AE109" i="1" s="1"/>
  <c r="AC109" i="1"/>
  <c r="AC111" i="1"/>
  <c r="AB119" i="1"/>
  <c r="AE119" i="1" s="1"/>
  <c r="AC119" i="1"/>
  <c r="AD128" i="1"/>
  <c r="AC147" i="1"/>
  <c r="AD164" i="1"/>
  <c r="AD177" i="1"/>
  <c r="AC177" i="1"/>
  <c r="AB177" i="1"/>
  <c r="AE177" i="1" s="1"/>
  <c r="AC189" i="1"/>
  <c r="AC192" i="1"/>
  <c r="AC198" i="1"/>
  <c r="AB276" i="1"/>
  <c r="AE276" i="1" s="1"/>
  <c r="AD276" i="1"/>
  <c r="AC276" i="1"/>
  <c r="AD287" i="1"/>
  <c r="AC316" i="1"/>
  <c r="AD316" i="1"/>
  <c r="AB316" i="1"/>
  <c r="AE316" i="1" s="1"/>
  <c r="AB329" i="1"/>
  <c r="AD329" i="1"/>
  <c r="AC329" i="1"/>
  <c r="AB364" i="1"/>
  <c r="AD364" i="1"/>
  <c r="AC364" i="1"/>
  <c r="AC366" i="1"/>
  <c r="AD366" i="1"/>
  <c r="AC395" i="1"/>
  <c r="AD395" i="1"/>
  <c r="AB395" i="1"/>
  <c r="AC7" i="1"/>
  <c r="AB18" i="1"/>
  <c r="AC20" i="1"/>
  <c r="AB20" i="1"/>
  <c r="AE20" i="1" s="1"/>
  <c r="AB27" i="1"/>
  <c r="AB30" i="1"/>
  <c r="AE30" i="1" s="1"/>
  <c r="AD49" i="1"/>
  <c r="AE49" i="1" s="1"/>
  <c r="AB71" i="1"/>
  <c r="AE71" i="1" s="1"/>
  <c r="AD114" i="1"/>
  <c r="V116" i="1"/>
  <c r="W116" i="1" s="1"/>
  <c r="X116" i="1" s="1"/>
  <c r="AB126" i="1"/>
  <c r="AE126" i="1" s="1"/>
  <c r="AD126" i="1"/>
  <c r="AD129" i="1"/>
  <c r="AC129" i="1"/>
  <c r="AB129" i="1"/>
  <c r="AE129" i="1" s="1"/>
  <c r="AD147" i="1"/>
  <c r="AE147" i="1" s="1"/>
  <c r="AD168" i="1"/>
  <c r="AB168" i="1"/>
  <c r="AE168" i="1" s="1"/>
  <c r="AD189" i="1"/>
  <c r="AE189" i="1" s="1"/>
  <c r="AD192" i="1"/>
  <c r="AE192" i="1" s="1"/>
  <c r="AD198" i="1"/>
  <c r="AC204" i="1"/>
  <c r="AD204" i="1"/>
  <c r="AE212" i="1"/>
  <c r="AE216" i="1"/>
  <c r="AD263" i="1"/>
  <c r="AC263" i="1"/>
  <c r="AB263" i="1"/>
  <c r="AE263" i="1" s="1"/>
  <c r="AE266" i="1"/>
  <c r="AC278" i="1"/>
  <c r="AD278" i="1"/>
  <c r="AB278" i="1"/>
  <c r="AB286" i="1"/>
  <c r="AE286" i="1" s="1"/>
  <c r="AC318" i="1"/>
  <c r="AD318" i="1"/>
  <c r="AE318" i="1" s="1"/>
  <c r="AB381" i="1"/>
  <c r="AD125" i="1"/>
  <c r="AC125" i="1"/>
  <c r="AB125" i="1"/>
  <c r="AB167" i="1"/>
  <c r="AD167" i="1"/>
  <c r="AC167" i="1"/>
  <c r="AD21" i="1"/>
  <c r="AC21" i="1"/>
  <c r="AB21" i="1"/>
  <c r="AE21" i="1" s="1"/>
  <c r="AD13" i="1"/>
  <c r="AC13" i="1"/>
  <c r="AB13" i="1"/>
  <c r="AE13" i="1" s="1"/>
  <c r="AD18" i="1"/>
  <c r="AB33" i="1"/>
  <c r="AE33" i="1" s="1"/>
  <c r="AC71" i="1"/>
  <c r="AB146" i="1"/>
  <c r="AE146" i="1" s="1"/>
  <c r="AD199" i="1"/>
  <c r="AC199" i="1"/>
  <c r="AB199" i="1"/>
  <c r="AB209" i="1"/>
  <c r="AB225" i="1"/>
  <c r="AE225" i="1" s="1"/>
  <c r="AD225" i="1"/>
  <c r="AC225" i="1"/>
  <c r="AD227" i="1"/>
  <c r="AC227" i="1"/>
  <c r="AB227" i="1"/>
  <c r="AE227" i="1" s="1"/>
  <c r="AB273" i="1"/>
  <c r="AD273" i="1"/>
  <c r="AC273" i="1"/>
  <c r="AC290" i="1"/>
  <c r="AD290" i="1"/>
  <c r="AB290" i="1"/>
  <c r="AE290" i="1" s="1"/>
  <c r="AD355" i="1"/>
  <c r="AB355" i="1"/>
  <c r="AC355" i="1"/>
  <c r="AD392" i="1"/>
  <c r="AC392" i="1"/>
  <c r="AB392" i="1"/>
  <c r="AE392" i="1" s="1"/>
  <c r="AC415" i="1"/>
  <c r="AB415" i="1"/>
  <c r="AD415" i="1"/>
  <c r="AD75" i="1"/>
  <c r="AC75" i="1"/>
  <c r="AB75" i="1"/>
  <c r="AE75" i="1" s="1"/>
  <c r="AC97" i="1"/>
  <c r="AB97" i="1"/>
  <c r="AD104" i="1"/>
  <c r="AC104" i="1"/>
  <c r="AB104" i="1"/>
  <c r="AE104" i="1" s="1"/>
  <c r="AB210" i="1"/>
  <c r="AD210" i="1"/>
  <c r="AC210" i="1"/>
  <c r="AC262" i="1"/>
  <c r="AB262" i="1"/>
  <c r="AC330" i="1"/>
  <c r="AD330" i="1"/>
  <c r="AB330" i="1"/>
  <c r="AB432" i="1"/>
  <c r="AD432" i="1"/>
  <c r="AC432" i="1"/>
  <c r="AB526" i="1"/>
  <c r="AE526" i="1" s="1"/>
  <c r="AD526" i="1"/>
  <c r="AC526" i="1"/>
  <c r="AD2" i="1"/>
  <c r="AE2" i="1" s="1"/>
  <c r="AC2" i="1"/>
  <c r="AD14" i="1"/>
  <c r="AC14" i="1"/>
  <c r="AD67" i="1"/>
  <c r="AC67" i="1"/>
  <c r="AB67" i="1"/>
  <c r="AE67" i="1" s="1"/>
  <c r="AE83" i="1"/>
  <c r="AE204" i="1"/>
  <c r="AD283" i="1"/>
  <c r="AC283" i="1"/>
  <c r="AB283" i="1"/>
  <c r="AE283" i="1" s="1"/>
  <c r="AE366" i="1"/>
  <c r="AC503" i="1"/>
  <c r="AB503" i="1"/>
  <c r="AD503" i="1"/>
  <c r="AD522" i="1"/>
  <c r="AC522" i="1"/>
  <c r="AB522" i="1"/>
  <c r="AE522" i="1" s="1"/>
  <c r="AC11" i="1"/>
  <c r="AB11" i="1"/>
  <c r="AC120" i="1"/>
  <c r="AB120" i="1"/>
  <c r="AD120" i="1"/>
  <c r="AD175" i="1"/>
  <c r="AB175" i="1"/>
  <c r="AE198" i="1"/>
  <c r="AD203" i="1"/>
  <c r="AC203" i="1"/>
  <c r="AB203" i="1"/>
  <c r="AE203" i="1" s="1"/>
  <c r="AD302" i="1"/>
  <c r="V302" i="1"/>
  <c r="W302" i="1" s="1"/>
  <c r="X302" i="1" s="1"/>
  <c r="AC302" i="1"/>
  <c r="AB302" i="1"/>
  <c r="AE302" i="1" s="1"/>
  <c r="Y302" i="1"/>
  <c r="Z302" i="1" s="1"/>
  <c r="AA302" i="1" s="1"/>
  <c r="AC336" i="1"/>
  <c r="AD336" i="1"/>
  <c r="AB336" i="1"/>
  <c r="AB349" i="1"/>
  <c r="AD349" i="1"/>
  <c r="AC349" i="1"/>
  <c r="AD371" i="1"/>
  <c r="AC371" i="1"/>
  <c r="AB371" i="1"/>
  <c r="AE371" i="1" s="1"/>
  <c r="AD52" i="1"/>
  <c r="AC52" i="1"/>
  <c r="AB52" i="1"/>
  <c r="AD99" i="1"/>
  <c r="AC99" i="1"/>
  <c r="AD139" i="1"/>
  <c r="AC139" i="1"/>
  <c r="AC386" i="1"/>
  <c r="AD386" i="1"/>
  <c r="AB386" i="1"/>
  <c r="AC306" i="1"/>
  <c r="AD306" i="1"/>
  <c r="AB306" i="1"/>
  <c r="AC476" i="1"/>
  <c r="AB476" i="1"/>
  <c r="AE476" i="1" s="1"/>
  <c r="AD476" i="1"/>
  <c r="AC479" i="1"/>
  <c r="AB479" i="1"/>
  <c r="AD479" i="1"/>
  <c r="AD43" i="1"/>
  <c r="AC43" i="1"/>
  <c r="AB43" i="1"/>
  <c r="AE43" i="1" s="1"/>
  <c r="AB164" i="1"/>
  <c r="AE164" i="1" s="1"/>
  <c r="AD418" i="1"/>
  <c r="AB418" i="1"/>
  <c r="AC418" i="1"/>
  <c r="AE449" i="1"/>
  <c r="AC489" i="1"/>
  <c r="AB489" i="1"/>
  <c r="AD489" i="1"/>
  <c r="AE528" i="1"/>
  <c r="AD83" i="1"/>
  <c r="AC83" i="1"/>
  <c r="AD133" i="1"/>
  <c r="AC133" i="1"/>
  <c r="AB133" i="1"/>
  <c r="AE133" i="1" s="1"/>
  <c r="AB149" i="1"/>
  <c r="AD149" i="1"/>
  <c r="AE153" i="1"/>
  <c r="AC191" i="1"/>
  <c r="AD191" i="1"/>
  <c r="AB191" i="1"/>
  <c r="AE191" i="1" s="1"/>
  <c r="AD262" i="1"/>
  <c r="AD296" i="1"/>
  <c r="AC296" i="1"/>
  <c r="AB296" i="1"/>
  <c r="AE296" i="1" s="1"/>
  <c r="AD97" i="1"/>
  <c r="AC238" i="1"/>
  <c r="AD238" i="1"/>
  <c r="AB265" i="1"/>
  <c r="AE265" i="1" s="1"/>
  <c r="AC265" i="1"/>
  <c r="AC286" i="1"/>
  <c r="AB288" i="1"/>
  <c r="AC288" i="1"/>
  <c r="AD288" i="1"/>
  <c r="AC26" i="1"/>
  <c r="AD27" i="1"/>
  <c r="AC33" i="1"/>
  <c r="AD60" i="1"/>
  <c r="AE60" i="1" s="1"/>
  <c r="AC60" i="1"/>
  <c r="AD89" i="1"/>
  <c r="AB99" i="1"/>
  <c r="AE99" i="1" s="1"/>
  <c r="AD103" i="1"/>
  <c r="AD115" i="1"/>
  <c r="AC115" i="1"/>
  <c r="AB115" i="1"/>
  <c r="AE115" i="1" s="1"/>
  <c r="AB139" i="1"/>
  <c r="AE139" i="1" s="1"/>
  <c r="AD142" i="1"/>
  <c r="AC146" i="1"/>
  <c r="AD166" i="1"/>
  <c r="AE166" i="1" s="1"/>
  <c r="AE188" i="1"/>
  <c r="AD209" i="1"/>
  <c r="AB213" i="1"/>
  <c r="AD213" i="1"/>
  <c r="AC213" i="1"/>
  <c r="AB220" i="1"/>
  <c r="AE220" i="1" s="1"/>
  <c r="AB233" i="1"/>
  <c r="AD233" i="1"/>
  <c r="AC233" i="1"/>
  <c r="AE314" i="1"/>
  <c r="AB343" i="1"/>
  <c r="AE343" i="1" s="1"/>
  <c r="AE378" i="1"/>
  <c r="AE389" i="1"/>
  <c r="AC439" i="1"/>
  <c r="AB439" i="1"/>
  <c r="AD439" i="1"/>
  <c r="AC28" i="1"/>
  <c r="AB28" i="1"/>
  <c r="AE28" i="1" s="1"/>
  <c r="AC156" i="1"/>
  <c r="AD156" i="1"/>
  <c r="AB156" i="1"/>
  <c r="AE156" i="1" s="1"/>
  <c r="AD259" i="1"/>
  <c r="AB259" i="1"/>
  <c r="AE259" i="1" s="1"/>
  <c r="AC259" i="1"/>
  <c r="AC352" i="1"/>
  <c r="AD352" i="1"/>
  <c r="AB352" i="1"/>
  <c r="AE352" i="1" s="1"/>
  <c r="AC44" i="1"/>
  <c r="AD44" i="1"/>
  <c r="AB44" i="1"/>
  <c r="AD309" i="1"/>
  <c r="AC309" i="1"/>
  <c r="AB309" i="1"/>
  <c r="AE309" i="1" s="1"/>
  <c r="AB323" i="1"/>
  <c r="AC323" i="1"/>
  <c r="AD323" i="1"/>
  <c r="AD404" i="1"/>
  <c r="AB404" i="1"/>
  <c r="AE404" i="1" s="1"/>
  <c r="AC467" i="1"/>
  <c r="AB467" i="1"/>
  <c r="AE467" i="1" s="1"/>
  <c r="AC347" i="1"/>
  <c r="AB347" i="1"/>
  <c r="AE347" i="1" s="1"/>
  <c r="AB195" i="1"/>
  <c r="AE195" i="1" s="1"/>
  <c r="AD195" i="1"/>
  <c r="AC195" i="1"/>
  <c r="AD249" i="1"/>
  <c r="AC249" i="1"/>
  <c r="AB249" i="1"/>
  <c r="AE249" i="1" s="1"/>
  <c r="AD264" i="1"/>
  <c r="AB264" i="1"/>
  <c r="AE264" i="1" s="1"/>
  <c r="AB72" i="1"/>
  <c r="AE72" i="1" s="1"/>
  <c r="AD81" i="1"/>
  <c r="AB81" i="1"/>
  <c r="AE81" i="1" s="1"/>
  <c r="AD157" i="1"/>
  <c r="AC157" i="1"/>
  <c r="AB217" i="1"/>
  <c r="AD217" i="1"/>
  <c r="AC217" i="1"/>
  <c r="AC254" i="1"/>
  <c r="AB254" i="1"/>
  <c r="AD254" i="1"/>
  <c r="AE328" i="1"/>
  <c r="AD74" i="1"/>
  <c r="AB74" i="1"/>
  <c r="AC74" i="1"/>
  <c r="AB105" i="1"/>
  <c r="AD105" i="1"/>
  <c r="AB128" i="1"/>
  <c r="AE128" i="1" s="1"/>
  <c r="AD152" i="1"/>
  <c r="AC152" i="1"/>
  <c r="AB152" i="1"/>
  <c r="AE152" i="1" s="1"/>
  <c r="AB171" i="1"/>
  <c r="AD171" i="1"/>
  <c r="AC171" i="1"/>
  <c r="AB182" i="1"/>
  <c r="AE182" i="1" s="1"/>
  <c r="AC182" i="1"/>
  <c r="AD182" i="1"/>
  <c r="AB91" i="1"/>
  <c r="AD91" i="1"/>
  <c r="AC91" i="1"/>
  <c r="AD236" i="1"/>
  <c r="AC236" i="1"/>
  <c r="AB236" i="1"/>
  <c r="AE236" i="1" s="1"/>
  <c r="AD11" i="1"/>
  <c r="AB26" i="1"/>
  <c r="AE26" i="1" s="1"/>
  <c r="AB53" i="1"/>
  <c r="AD53" i="1"/>
  <c r="AC89" i="1"/>
  <c r="AD98" i="1"/>
  <c r="AC98" i="1"/>
  <c r="AB98" i="1"/>
  <c r="AE98" i="1" s="1"/>
  <c r="AB103" i="1"/>
  <c r="AD138" i="1"/>
  <c r="AC138" i="1"/>
  <c r="AB138" i="1"/>
  <c r="AE138" i="1" s="1"/>
  <c r="AB142" i="1"/>
  <c r="AE142" i="1" s="1"/>
  <c r="AC166" i="1"/>
  <c r="AC10" i="1"/>
  <c r="AD12" i="1"/>
  <c r="AB12" i="1"/>
  <c r="AC12" i="1"/>
  <c r="AE39" i="1"/>
  <c r="AE113" i="1"/>
  <c r="AD153" i="1"/>
  <c r="AC153" i="1"/>
  <c r="AB157" i="1"/>
  <c r="AE157" i="1" s="1"/>
  <c r="AB183" i="1"/>
  <c r="AD183" i="1"/>
  <c r="AD196" i="1"/>
  <c r="AB196" i="1"/>
  <c r="AE196" i="1" s="1"/>
  <c r="AC196" i="1"/>
  <c r="AC220" i="1"/>
  <c r="AC248" i="1"/>
  <c r="AB248" i="1"/>
  <c r="AD248" i="1"/>
  <c r="AC326" i="1"/>
  <c r="AD326" i="1"/>
  <c r="AB326" i="1"/>
  <c r="AE326" i="1" s="1"/>
  <c r="AC340" i="1"/>
  <c r="AD340" i="1"/>
  <c r="AB340" i="1"/>
  <c r="AE340" i="1" s="1"/>
  <c r="AC342" i="1"/>
  <c r="AD342" i="1"/>
  <c r="AB342" i="1"/>
  <c r="AB374" i="1"/>
  <c r="AD374" i="1"/>
  <c r="AC374" i="1"/>
  <c r="AC437" i="1"/>
  <c r="AD437" i="1"/>
  <c r="AB437" i="1"/>
  <c r="AE437" i="1" s="1"/>
  <c r="AE523" i="1"/>
  <c r="AE593" i="1"/>
  <c r="AC272" i="1"/>
  <c r="AB272" i="1"/>
  <c r="AD281" i="1"/>
  <c r="AB281" i="1"/>
  <c r="AC299" i="1"/>
  <c r="AB299" i="1"/>
  <c r="AE299" i="1" s="1"/>
  <c r="AC312" i="1"/>
  <c r="AB312" i="1"/>
  <c r="AE312" i="1" s="1"/>
  <c r="AB315" i="1"/>
  <c r="AD315" i="1"/>
  <c r="AC315" i="1"/>
  <c r="AD331" i="1"/>
  <c r="AC331" i="1"/>
  <c r="AB331" i="1"/>
  <c r="AE331" i="1" s="1"/>
  <c r="AD335" i="1"/>
  <c r="AE335" i="1" s="1"/>
  <c r="AC335" i="1"/>
  <c r="AC351" i="1"/>
  <c r="AB351" i="1"/>
  <c r="AE351" i="1" s="1"/>
  <c r="AC363" i="1"/>
  <c r="AB363" i="1"/>
  <c r="AE363" i="1" s="1"/>
  <c r="AD423" i="1"/>
  <c r="AE423" i="1" s="1"/>
  <c r="AC423" i="1"/>
  <c r="AC464" i="1"/>
  <c r="AD464" i="1"/>
  <c r="AB464" i="1"/>
  <c r="AE464" i="1" s="1"/>
  <c r="AB466" i="1"/>
  <c r="AD466" i="1"/>
  <c r="AC466" i="1"/>
  <c r="AB506" i="1"/>
  <c r="AD506" i="1"/>
  <c r="AC506" i="1"/>
  <c r="AD547" i="1"/>
  <c r="AC547" i="1"/>
  <c r="AB547" i="1"/>
  <c r="AE547" i="1" s="1"/>
  <c r="AE600" i="1"/>
  <c r="AC184" i="1"/>
  <c r="AD184" i="1"/>
  <c r="AE184" i="1" s="1"/>
  <c r="AE252" i="1"/>
  <c r="AE313" i="1"/>
  <c r="V328" i="1"/>
  <c r="W328" i="1" s="1"/>
  <c r="X328" i="1" s="1"/>
  <c r="AD328" i="1"/>
  <c r="AD348" i="1"/>
  <c r="AB348" i="1"/>
  <c r="AE348" i="1" s="1"/>
  <c r="AC383" i="1"/>
  <c r="AB383" i="1"/>
  <c r="AE383" i="1" s="1"/>
  <c r="AE411" i="1"/>
  <c r="AE433" i="1"/>
  <c r="AD440" i="1"/>
  <c r="AC440" i="1"/>
  <c r="AB440" i="1"/>
  <c r="AE455" i="1"/>
  <c r="AD470" i="1"/>
  <c r="AC470" i="1"/>
  <c r="AB470" i="1"/>
  <c r="AE470" i="1" s="1"/>
  <c r="AE537" i="1"/>
  <c r="AD241" i="1"/>
  <c r="AB241" i="1"/>
  <c r="AE241" i="1" s="1"/>
  <c r="AD274" i="1"/>
  <c r="AB274" i="1"/>
  <c r="AE274" i="1" s="1"/>
  <c r="AC307" i="1"/>
  <c r="AD307" i="1"/>
  <c r="AB307" i="1"/>
  <c r="AD317" i="1"/>
  <c r="AE317" i="1" s="1"/>
  <c r="AC317" i="1"/>
  <c r="AC359" i="1"/>
  <c r="AB359" i="1"/>
  <c r="AE359" i="1" s="1"/>
  <c r="AB376" i="1"/>
  <c r="AD376" i="1"/>
  <c r="AD396" i="1"/>
  <c r="AC396" i="1"/>
  <c r="AB396" i="1"/>
  <c r="AE396" i="1" s="1"/>
  <c r="AB448" i="1"/>
  <c r="AD448" i="1"/>
  <c r="AC448" i="1"/>
  <c r="AD533" i="1"/>
  <c r="AC533" i="1"/>
  <c r="AB533" i="1"/>
  <c r="AE533" i="1" s="1"/>
  <c r="AD536" i="1"/>
  <c r="AC536" i="1"/>
  <c r="AB536" i="1"/>
  <c r="AE536" i="1" s="1"/>
  <c r="AD224" i="1"/>
  <c r="AB224" i="1"/>
  <c r="AE224" i="1" s="1"/>
  <c r="AD234" i="1"/>
  <c r="AB234" i="1"/>
  <c r="AE234" i="1" s="1"/>
  <c r="AD150" i="1"/>
  <c r="AB150" i="1"/>
  <c r="AE176" i="1"/>
  <c r="AD219" i="1"/>
  <c r="AB219" i="1"/>
  <c r="AE219" i="1" s="1"/>
  <c r="AC219" i="1"/>
  <c r="AB237" i="1"/>
  <c r="AD237" i="1"/>
  <c r="AB253" i="1"/>
  <c r="AE253" i="1" s="1"/>
  <c r="AC253" i="1"/>
  <c r="AC295" i="1"/>
  <c r="AB295" i="1"/>
  <c r="AD295" i="1"/>
  <c r="AC304" i="1"/>
  <c r="AD304" i="1"/>
  <c r="AE304" i="1" s="1"/>
  <c r="AE332" i="1"/>
  <c r="AB356" i="1"/>
  <c r="AE356" i="1" s="1"/>
  <c r="AC356" i="1"/>
  <c r="AB365" i="1"/>
  <c r="AD365" i="1"/>
  <c r="AC365" i="1"/>
  <c r="AE400" i="1"/>
  <c r="AD407" i="1"/>
  <c r="AC407" i="1"/>
  <c r="AB430" i="1"/>
  <c r="AE430" i="1" s="1"/>
  <c r="AC430" i="1"/>
  <c r="AB509" i="1"/>
  <c r="AE509" i="1" s="1"/>
  <c r="AC509" i="1"/>
  <c r="AE512" i="1"/>
  <c r="AD558" i="1"/>
  <c r="AC558" i="1"/>
  <c r="AB558" i="1"/>
  <c r="AE558" i="1" s="1"/>
  <c r="V165" i="1"/>
  <c r="W165" i="1" s="1"/>
  <c r="X165" i="1" s="1"/>
  <c r="Y165" i="1"/>
  <c r="Z165" i="1" s="1"/>
  <c r="AA165" i="1" s="1"/>
  <c r="AE174" i="1"/>
  <c r="AB250" i="1"/>
  <c r="AD250" i="1"/>
  <c r="AD267" i="1"/>
  <c r="AC267" i="1"/>
  <c r="AB267" i="1"/>
  <c r="AE267" i="1" s="1"/>
  <c r="AB277" i="1"/>
  <c r="AD277" i="1"/>
  <c r="AE137" i="1"/>
  <c r="AE161" i="1"/>
  <c r="AC214" i="1"/>
  <c r="AB214" i="1"/>
  <c r="AE214" i="1" s="1"/>
  <c r="AE235" i="1"/>
  <c r="AD272" i="1"/>
  <c r="AE275" i="1"/>
  <c r="AD324" i="1"/>
  <c r="AB324" i="1"/>
  <c r="AE324" i="1" s="1"/>
  <c r="AC324" i="1"/>
  <c r="AC378" i="1"/>
  <c r="AD378" i="1"/>
  <c r="AD422" i="1"/>
  <c r="AE422" i="1" s="1"/>
  <c r="AC422" i="1"/>
  <c r="AD525" i="1"/>
  <c r="AC525" i="1"/>
  <c r="AB525" i="1"/>
  <c r="AE525" i="1" s="1"/>
  <c r="AC226" i="1"/>
  <c r="AD226" i="1"/>
  <c r="AE226" i="1" s="1"/>
  <c r="AE240" i="1"/>
  <c r="AC266" i="1"/>
  <c r="AD266" i="1"/>
  <c r="AE280" i="1"/>
  <c r="AC354" i="1"/>
  <c r="AB354" i="1"/>
  <c r="AE354" i="1" s="1"/>
  <c r="AD387" i="1"/>
  <c r="AC387" i="1"/>
  <c r="AB387" i="1"/>
  <c r="AE387" i="1" s="1"/>
  <c r="AD426" i="1"/>
  <c r="AB426" i="1"/>
  <c r="AE426" i="1" s="1"/>
  <c r="AC434" i="1"/>
  <c r="AD434" i="1"/>
  <c r="AB434" i="1"/>
  <c r="AE434" i="1" s="1"/>
  <c r="AC461" i="1"/>
  <c r="AB461" i="1"/>
  <c r="AD461" i="1"/>
  <c r="AB377" i="1"/>
  <c r="AD377" i="1"/>
  <c r="AC377" i="1"/>
  <c r="AB436" i="1"/>
  <c r="AE436" i="1" s="1"/>
  <c r="AC436" i="1"/>
  <c r="AB482" i="1"/>
  <c r="AE482" i="1" s="1"/>
  <c r="AC482" i="1"/>
  <c r="AD482" i="1"/>
  <c r="AD528" i="1"/>
  <c r="AC528" i="1"/>
  <c r="AB289" i="1"/>
  <c r="AD289" i="1"/>
  <c r="AB301" i="1"/>
  <c r="AE301" i="1" s="1"/>
  <c r="AC301" i="1"/>
  <c r="AE339" i="1"/>
  <c r="AB353" i="1"/>
  <c r="AE353" i="1" s="1"/>
  <c r="AC353" i="1"/>
  <c r="AE358" i="1"/>
  <c r="AD406" i="1"/>
  <c r="AC406" i="1"/>
  <c r="AB406" i="1"/>
  <c r="AE429" i="1"/>
  <c r="AD457" i="1"/>
  <c r="AC457" i="1"/>
  <c r="AB457" i="1"/>
  <c r="AE457" i="1" s="1"/>
  <c r="AE327" i="1"/>
  <c r="AB409" i="1"/>
  <c r="AE409" i="1" s="1"/>
  <c r="AC409" i="1"/>
  <c r="AD417" i="1"/>
  <c r="AC417" i="1"/>
  <c r="AB417" i="1"/>
  <c r="AE417" i="1" s="1"/>
  <c r="AD445" i="1"/>
  <c r="AC445" i="1"/>
  <c r="AB445" i="1"/>
  <c r="AE445" i="1" s="1"/>
  <c r="AD486" i="1"/>
  <c r="AC486" i="1"/>
  <c r="AB486" i="1"/>
  <c r="AE486" i="1" s="1"/>
  <c r="AD497" i="1"/>
  <c r="AC497" i="1"/>
  <c r="AB497" i="1"/>
  <c r="AE497" i="1" s="1"/>
  <c r="AC539" i="1"/>
  <c r="AB539" i="1"/>
  <c r="AD539" i="1"/>
  <c r="AD552" i="1"/>
  <c r="AC552" i="1"/>
  <c r="AB552" i="1"/>
  <c r="AE552" i="1" s="1"/>
  <c r="AD403" i="1"/>
  <c r="AB403" i="1"/>
  <c r="AE403" i="1" s="1"/>
  <c r="AD447" i="1"/>
  <c r="AB447" i="1"/>
  <c r="AE447" i="1" s="1"/>
  <c r="AD541" i="1"/>
  <c r="AC541" i="1"/>
  <c r="AB541" i="1"/>
  <c r="AE541" i="1" s="1"/>
  <c r="AB303" i="1"/>
  <c r="AE303" i="1" s="1"/>
  <c r="AC303" i="1"/>
  <c r="AD379" i="1"/>
  <c r="AB379" i="1"/>
  <c r="AE379" i="1" s="1"/>
  <c r="AD505" i="1"/>
  <c r="AB505" i="1"/>
  <c r="AE505" i="1" s="1"/>
  <c r="AC505" i="1"/>
  <c r="AC416" i="1"/>
  <c r="AB416" i="1"/>
  <c r="AE416" i="1" s="1"/>
  <c r="AB490" i="1"/>
  <c r="AE490" i="1" s="1"/>
  <c r="AC490" i="1"/>
  <c r="AB502" i="1"/>
  <c r="AE502" i="1" s="1"/>
  <c r="AD502" i="1"/>
  <c r="AC502" i="1"/>
  <c r="AD446" i="1"/>
  <c r="AE446" i="1" s="1"/>
  <c r="AC446" i="1"/>
  <c r="AE451" i="1"/>
  <c r="AE473" i="1"/>
  <c r="AD492" i="1"/>
  <c r="AC492" i="1"/>
  <c r="AB492" i="1"/>
  <c r="AE492" i="1" s="1"/>
  <c r="AD498" i="1"/>
  <c r="AE498" i="1" s="1"/>
  <c r="AC498" i="1"/>
  <c r="AB572" i="1"/>
  <c r="AD572" i="1"/>
  <c r="AD576" i="1"/>
  <c r="AC576" i="1"/>
  <c r="AB576" i="1"/>
  <c r="AE576" i="1" s="1"/>
  <c r="AC449" i="1"/>
  <c r="AD449" i="1"/>
  <c r="AD469" i="1"/>
  <c r="AE469" i="1" s="1"/>
  <c r="AC469" i="1"/>
  <c r="AD480" i="1"/>
  <c r="AC480" i="1"/>
  <c r="AB480" i="1"/>
  <c r="AE480" i="1" s="1"/>
  <c r="AE487" i="1"/>
  <c r="AB514" i="1"/>
  <c r="AD514" i="1"/>
  <c r="AD523" i="1"/>
  <c r="AC523" i="1"/>
  <c r="AC596" i="1"/>
  <c r="AB596" i="1"/>
  <c r="AE596" i="1" s="1"/>
  <c r="AD600" i="1"/>
  <c r="AC600" i="1"/>
  <c r="AD475" i="1"/>
  <c r="AC475" i="1"/>
  <c r="AD518" i="1"/>
  <c r="AC518" i="1"/>
  <c r="AB518" i="1"/>
  <c r="AD537" i="1"/>
  <c r="AC537" i="1"/>
  <c r="AD540" i="1"/>
  <c r="AC540" i="1"/>
  <c r="AB540" i="1"/>
  <c r="AE540" i="1" s="1"/>
  <c r="AC562" i="1"/>
  <c r="AB562" i="1"/>
  <c r="AE562" i="1" s="1"/>
  <c r="AB597" i="1"/>
  <c r="AD597" i="1"/>
  <c r="AC597" i="1"/>
  <c r="AD468" i="1"/>
  <c r="AC468" i="1"/>
  <c r="AB468" i="1"/>
  <c r="AE468" i="1" s="1"/>
  <c r="AC491" i="1"/>
  <c r="AB491" i="1"/>
  <c r="AD491" i="1"/>
  <c r="AC551" i="1"/>
  <c r="AB551" i="1"/>
  <c r="AD551" i="1"/>
  <c r="AD559" i="1"/>
  <c r="AC559" i="1"/>
  <c r="AB559" i="1"/>
  <c r="AE559" i="1" s="1"/>
  <c r="AE560" i="1"/>
  <c r="AB573" i="1"/>
  <c r="AD573" i="1"/>
  <c r="AC573" i="1"/>
  <c r="AD438" i="1"/>
  <c r="AB438" i="1"/>
  <c r="AE438" i="1" s="1"/>
  <c r="AD465" i="1"/>
  <c r="AE465" i="1" s="1"/>
  <c r="AC465" i="1"/>
  <c r="AD548" i="1"/>
  <c r="AC548" i="1"/>
  <c r="AB548" i="1"/>
  <c r="AE548" i="1" s="1"/>
  <c r="AD569" i="1"/>
  <c r="AE569" i="1" s="1"/>
  <c r="AC569" i="1"/>
  <c r="AC586" i="1"/>
  <c r="AB586" i="1"/>
  <c r="AD586" i="1"/>
  <c r="AD593" i="1"/>
  <c r="AC593" i="1"/>
  <c r="AC485" i="1"/>
  <c r="AB485" i="1"/>
  <c r="AE485" i="1" s="1"/>
  <c r="AC513" i="1"/>
  <c r="AB513" i="1"/>
  <c r="AE513" i="1" s="1"/>
  <c r="AD516" i="1"/>
  <c r="AE516" i="1" s="1"/>
  <c r="AC516" i="1"/>
  <c r="AC524" i="1"/>
  <c r="AB524" i="1"/>
  <c r="AE524" i="1" s="1"/>
  <c r="AD577" i="1"/>
  <c r="AE577" i="1" s="1"/>
  <c r="AC577" i="1"/>
  <c r="AC582" i="1"/>
  <c r="AB582" i="1"/>
  <c r="AE582" i="1" s="1"/>
  <c r="AD601" i="1"/>
  <c r="AC601" i="1"/>
  <c r="AB601" i="1"/>
  <c r="AE601" i="1" s="1"/>
  <c r="AC474" i="1"/>
  <c r="AB474" i="1"/>
  <c r="AE474" i="1" s="1"/>
  <c r="AD563" i="1"/>
  <c r="AC563" i="1"/>
  <c r="AB563" i="1"/>
  <c r="AD587" i="1"/>
  <c r="AC587" i="1"/>
  <c r="AB587" i="1"/>
  <c r="AE587" i="1" s="1"/>
  <c r="AC574" i="1"/>
  <c r="AB574" i="1"/>
  <c r="AE574" i="1" s="1"/>
  <c r="AE578" i="1"/>
  <c r="AE588" i="1"/>
  <c r="AE542" i="1"/>
  <c r="AC598" i="1"/>
  <c r="AB598" i="1"/>
  <c r="AD598" i="1"/>
  <c r="AC527" i="1"/>
  <c r="AB527" i="1"/>
  <c r="AE527" i="1" s="1"/>
  <c r="AD575" i="1"/>
  <c r="AC575" i="1"/>
  <c r="AB575" i="1"/>
  <c r="AE575" i="1" s="1"/>
  <c r="AD504" i="1"/>
  <c r="AE504" i="1" s="1"/>
  <c r="AC504" i="1"/>
  <c r="AC515" i="1"/>
  <c r="AB515" i="1"/>
  <c r="AE515" i="1" s="1"/>
  <c r="AD564" i="1"/>
  <c r="AE564" i="1" s="1"/>
  <c r="AC564" i="1"/>
  <c r="AE566" i="1"/>
  <c r="AD588" i="1"/>
  <c r="AC588" i="1"/>
  <c r="AE590" i="1"/>
  <c r="AD599" i="1"/>
  <c r="AC599" i="1"/>
  <c r="AB599" i="1"/>
  <c r="AE599" i="1" s="1"/>
  <c r="AE439" i="1" l="1"/>
  <c r="AE213" i="1"/>
  <c r="AE149" i="1"/>
  <c r="AE418" i="1"/>
  <c r="AE306" i="1"/>
  <c r="AE52" i="1"/>
  <c r="AE120" i="1"/>
  <c r="AE210" i="1"/>
  <c r="AE273" i="1"/>
  <c r="AE125" i="1"/>
  <c r="AE27" i="1"/>
  <c r="AE364" i="1"/>
  <c r="AE232" i="1"/>
  <c r="AE491" i="1"/>
  <c r="AE103" i="1"/>
  <c r="AE217" i="1"/>
  <c r="AE323" i="1"/>
  <c r="AE386" i="1"/>
  <c r="AE330" i="1"/>
  <c r="AE355" i="1"/>
  <c r="AE395" i="1"/>
  <c r="AE300" i="1"/>
  <c r="AE448" i="1"/>
  <c r="AE466" i="1"/>
  <c r="AE53" i="1"/>
  <c r="AE415" i="1"/>
  <c r="AE167" i="1"/>
  <c r="AE597" i="1"/>
  <c r="AE551" i="1"/>
  <c r="AE183" i="1"/>
  <c r="AE329" i="1"/>
  <c r="AE381" i="1"/>
  <c r="AE277" i="1"/>
  <c r="AE586" i="1"/>
  <c r="AE506" i="1"/>
  <c r="AE248" i="1"/>
  <c r="AE91" i="1"/>
  <c r="AE105" i="1"/>
  <c r="AE479" i="1"/>
  <c r="AE209" i="1"/>
  <c r="AE427" i="1"/>
  <c r="AE388" i="1"/>
  <c r="AE250" i="1"/>
  <c r="AE171" i="1"/>
  <c r="AE18" i="1"/>
  <c r="AE377" i="1"/>
  <c r="AE365" i="1"/>
  <c r="AE315" i="1"/>
  <c r="AE432" i="1"/>
  <c r="AE461" i="1"/>
  <c r="AE563" i="1"/>
  <c r="AE573" i="1"/>
  <c r="AE518" i="1"/>
  <c r="AE514" i="1"/>
  <c r="AE406" i="1"/>
  <c r="AE374" i="1"/>
  <c r="AE233" i="1"/>
  <c r="AE288" i="1"/>
  <c r="AE489" i="1"/>
  <c r="AE349" i="1"/>
  <c r="AE503" i="1"/>
  <c r="AE262" i="1"/>
  <c r="AE199" i="1"/>
  <c r="AE29" i="1"/>
  <c r="AE59" i="1"/>
  <c r="AE295" i="1"/>
  <c r="AE272" i="1"/>
  <c r="AE254" i="1"/>
  <c r="AE143" i="1"/>
  <c r="AE11" i="1"/>
  <c r="AE237" i="1"/>
  <c r="AE376" i="1"/>
  <c r="AE97" i="1"/>
  <c r="AE289" i="1"/>
  <c r="AE598" i="1"/>
  <c r="AE572" i="1"/>
  <c r="AE539" i="1"/>
  <c r="AE150" i="1"/>
  <c r="AE307" i="1"/>
  <c r="AE440" i="1"/>
  <c r="AE281" i="1"/>
  <c r="AE342" i="1"/>
  <c r="AE12" i="1"/>
  <c r="AE74" i="1"/>
  <c r="AE44" i="1"/>
  <c r="AE336" i="1"/>
  <c r="AE175" i="1"/>
  <c r="AE278" i="1"/>
</calcChain>
</file>

<file path=xl/sharedStrings.xml><?xml version="1.0" encoding="utf-8"?>
<sst xmlns="http://schemas.openxmlformats.org/spreadsheetml/2006/main" count="3630" uniqueCount="906">
  <si>
    <t>NumCommande</t>
  </si>
  <si>
    <t>DateCréation</t>
  </si>
  <si>
    <t>NomClient</t>
  </si>
  <si>
    <t>Article</t>
  </si>
  <si>
    <t>Article/int</t>
  </si>
  <si>
    <t>Couleur</t>
  </si>
  <si>
    <t>Nuance</t>
  </si>
  <si>
    <t>QteCommandé</t>
  </si>
  <si>
    <t>ResteALivrer</t>
  </si>
  <si>
    <t>Prelevé</t>
  </si>
  <si>
    <t>reservation brut</t>
  </si>
  <si>
    <t>NumOF</t>
  </si>
  <si>
    <t>ProdStatut</t>
  </si>
  <si>
    <t>QteCommencé</t>
  </si>
  <si>
    <t>QteRestante</t>
  </si>
  <si>
    <t>QteRèçu</t>
  </si>
  <si>
    <t>ReserverBR</t>
  </si>
  <si>
    <t>StockPhysique</t>
  </si>
  <si>
    <t>Reserver</t>
  </si>
  <si>
    <t>Lancement</t>
  </si>
  <si>
    <t>Re-laquage</t>
  </si>
  <si>
    <t>PoidsUn</t>
  </si>
  <si>
    <t>PoidsT</t>
  </si>
  <si>
    <t>Poudre</t>
  </si>
  <si>
    <t>Barre/bal</t>
  </si>
  <si>
    <t>Nbre Bal</t>
  </si>
  <si>
    <t>tps</t>
  </si>
  <si>
    <t>Stock brut</t>
  </si>
  <si>
    <t>moyenne vente</t>
  </si>
  <si>
    <t>% laqué</t>
  </si>
  <si>
    <t>VTE2603695</t>
  </si>
  <si>
    <t>COMPTOIR LES ORANGES</t>
  </si>
  <si>
    <t>CO104-FRENE</t>
  </si>
  <si>
    <t>non</t>
  </si>
  <si>
    <t>OF2614442</t>
  </si>
  <si>
    <t>Créé</t>
  </si>
  <si>
    <t>CO105-FRENE</t>
  </si>
  <si>
    <t>OF2614443</t>
  </si>
  <si>
    <t>VTE2603780</t>
  </si>
  <si>
    <t>CONFORT ALUMINIUM</t>
  </si>
  <si>
    <t>FR148-FRENE</t>
  </si>
  <si>
    <t>OF2614771</t>
  </si>
  <si>
    <t>VTE2603716</t>
  </si>
  <si>
    <t>SOCIETE REKIK D'ALUMINIUM</t>
  </si>
  <si>
    <t>AL80104-FRENE</t>
  </si>
  <si>
    <t>OF2614482</t>
  </si>
  <si>
    <t>AL80120-FRENE</t>
  </si>
  <si>
    <t>OF2614481</t>
  </si>
  <si>
    <t>AL80105-FRENE</t>
  </si>
  <si>
    <t>OF2614483</t>
  </si>
  <si>
    <t>EC67105-FRENE</t>
  </si>
  <si>
    <t>OF2614775</t>
  </si>
  <si>
    <t>FR112-FRENE</t>
  </si>
  <si>
    <t>OF2614769</t>
  </si>
  <si>
    <t>AL80106-FRENE</t>
  </si>
  <si>
    <t>OF2614484</t>
  </si>
  <si>
    <t>VTE2603757</t>
  </si>
  <si>
    <t>COPAL</t>
  </si>
  <si>
    <t>FR166-FRENE</t>
  </si>
  <si>
    <t>OF2614751</t>
  </si>
  <si>
    <t>AL80121-FRENE</t>
  </si>
  <si>
    <t>OF2614480</t>
  </si>
  <si>
    <t>FR108-FRENE</t>
  </si>
  <si>
    <t>OF2614752</t>
  </si>
  <si>
    <t>FR100-FRENE</t>
  </si>
  <si>
    <t>OF2614750</t>
  </si>
  <si>
    <t>OF2614772</t>
  </si>
  <si>
    <t>FR404-FRENE</t>
  </si>
  <si>
    <t>OF2614770</t>
  </si>
  <si>
    <t>VTE2603292</t>
  </si>
  <si>
    <t>CL2A</t>
  </si>
  <si>
    <t>CSQ101-BLC</t>
  </si>
  <si>
    <t>oui</t>
  </si>
  <si>
    <t>OF2613226</t>
  </si>
  <si>
    <t>VTE2602889</t>
  </si>
  <si>
    <t>EC40148-BLC</t>
  </si>
  <si>
    <t/>
  </si>
  <si>
    <t>-</t>
  </si>
  <si>
    <t>VTE2603013</t>
  </si>
  <si>
    <t>VTE2603144</t>
  </si>
  <si>
    <t>SOCIETE GENERAL MENUISERIE ET DECOR</t>
  </si>
  <si>
    <t>FR402-BLC</t>
  </si>
  <si>
    <t>VTE2603182</t>
  </si>
  <si>
    <t>STE HLAOUA DE COMMERCE</t>
  </si>
  <si>
    <t>CO104-BLC</t>
  </si>
  <si>
    <t>VTE2603341</t>
  </si>
  <si>
    <t>TECHNOBAT HENI MONCEF</t>
  </si>
  <si>
    <t>VTE2603396</t>
  </si>
  <si>
    <t>STE EVAL ALUMINIUM</t>
  </si>
  <si>
    <t>VTE2603070</t>
  </si>
  <si>
    <t>EC40104-BLC</t>
  </si>
  <si>
    <t>VTE2603773</t>
  </si>
  <si>
    <t>VTE2603075</t>
  </si>
  <si>
    <t>AL11026-BLC</t>
  </si>
  <si>
    <t>VTE2603747</t>
  </si>
  <si>
    <t>CODIPAL</t>
  </si>
  <si>
    <t>CO103-BLC</t>
  </si>
  <si>
    <t>FR148-BLC</t>
  </si>
  <si>
    <t>VTE2603180</t>
  </si>
  <si>
    <t>VTE2603429</t>
  </si>
  <si>
    <t>VTE2603575</t>
  </si>
  <si>
    <t>VTE2603524</t>
  </si>
  <si>
    <t>STE COMPTOIR PDTS D'ALUMINIUM</t>
  </si>
  <si>
    <t>OF2613945</t>
  </si>
  <si>
    <t>VTE2603007</t>
  </si>
  <si>
    <t>EC40112-BLC</t>
  </si>
  <si>
    <t>VTE2603259</t>
  </si>
  <si>
    <t>SOCIETE HLAOUA DE COMMERCE</t>
  </si>
  <si>
    <t>VTE2603325</t>
  </si>
  <si>
    <t>VTE2603349</t>
  </si>
  <si>
    <t>VTE2603355</t>
  </si>
  <si>
    <t>VTE2603456</t>
  </si>
  <si>
    <t>COMPTOIR ALUMINIUM MEDENINE</t>
  </si>
  <si>
    <t>VTE2603528</t>
  </si>
  <si>
    <t>VTE2603562</t>
  </si>
  <si>
    <t>SOCIETE CIMAB</t>
  </si>
  <si>
    <t>OF2614084</t>
  </si>
  <si>
    <t>VTE2603693</t>
  </si>
  <si>
    <t>FSQ122-BLC</t>
  </si>
  <si>
    <t>OF2614424</t>
  </si>
  <si>
    <t>FSQ406-BLC</t>
  </si>
  <si>
    <t>OF2614428</t>
  </si>
  <si>
    <t>EC67102-BLC</t>
  </si>
  <si>
    <t>VTE2603189</t>
  </si>
  <si>
    <t>DRIDI NOUREDDINE</t>
  </si>
  <si>
    <t>VTE2603619</t>
  </si>
  <si>
    <t>STE NEW VALUE</t>
  </si>
  <si>
    <t>CSQ126-BLC</t>
  </si>
  <si>
    <t>OF2613948</t>
  </si>
  <si>
    <t>VTE2602509</t>
  </si>
  <si>
    <t>STE TOUS PRODUIT ALUMINIUM TPA</t>
  </si>
  <si>
    <t>FR102-BLC</t>
  </si>
  <si>
    <t>VTE2603072</t>
  </si>
  <si>
    <t>VTE2603228</t>
  </si>
  <si>
    <t>COMPTOIR ZEPHIR D'ALUMINIUM ET FER</t>
  </si>
  <si>
    <t>VTE2603285</t>
  </si>
  <si>
    <t>VTE2603494</t>
  </si>
  <si>
    <t>VTE2603577</t>
  </si>
  <si>
    <t>SOCIETE NOUVELLE ALU</t>
  </si>
  <si>
    <t>VTE2603779</t>
  </si>
  <si>
    <t>VTE2603581</t>
  </si>
  <si>
    <t>OF2614093</t>
  </si>
  <si>
    <t>VTE2603603</t>
  </si>
  <si>
    <t>STE ALUMINIUM ACHEK SUARL</t>
  </si>
  <si>
    <t>OF2614127</t>
  </si>
  <si>
    <t>VTE2603719</t>
  </si>
  <si>
    <t>STES PROMALU SAKOUHI</t>
  </si>
  <si>
    <t>EC22104-BLC</t>
  </si>
  <si>
    <t>OF2614509</t>
  </si>
  <si>
    <t>VTE2602130</t>
  </si>
  <si>
    <t>CSQ108-BLC</t>
  </si>
  <si>
    <t>OF2613953</t>
  </si>
  <si>
    <t>OF2614435</t>
  </si>
  <si>
    <t>VTE2603540</t>
  </si>
  <si>
    <t>GL-MB-BLC</t>
  </si>
  <si>
    <t>OF2613993</t>
  </si>
  <si>
    <t>OF2614363</t>
  </si>
  <si>
    <t>CSQ102-BLC</t>
  </si>
  <si>
    <t>OF2613947</t>
  </si>
  <si>
    <t>VTE2603556</t>
  </si>
  <si>
    <t>OF2614038</t>
  </si>
  <si>
    <t>OF2614430</t>
  </si>
  <si>
    <t>VTE2603743</t>
  </si>
  <si>
    <t>OF2614619</t>
  </si>
  <si>
    <t>FR135-BLC</t>
  </si>
  <si>
    <t>VTE2603639</t>
  </si>
  <si>
    <t>LMDP-100-BLC</t>
  </si>
  <si>
    <t>OF2614227</t>
  </si>
  <si>
    <t>VTE2603705</t>
  </si>
  <si>
    <t>STE COMPTOIR BOUAFIF</t>
  </si>
  <si>
    <t>OF2614485</t>
  </si>
  <si>
    <t>VTE2601743</t>
  </si>
  <si>
    <t>CO101-BLC</t>
  </si>
  <si>
    <t>VTE2603628</t>
  </si>
  <si>
    <t>FSQ112-BLC</t>
  </si>
  <si>
    <t>OF2614184</t>
  </si>
  <si>
    <t>OF2614425</t>
  </si>
  <si>
    <t>CSQ104-BLC</t>
  </si>
  <si>
    <t>OF2614039</t>
  </si>
  <si>
    <t>OF2614431</t>
  </si>
  <si>
    <t>EC40102-BLC</t>
  </si>
  <si>
    <t>VTE2602470</t>
  </si>
  <si>
    <t>VTE2603291</t>
  </si>
  <si>
    <t>STE ALWIFAK</t>
  </si>
  <si>
    <t>VTE2603393</t>
  </si>
  <si>
    <t>STE COMPTOIR BOUBAKER DE DIS JEMMEL</t>
  </si>
  <si>
    <t>VTE2603580</t>
  </si>
  <si>
    <t>OF2614092</t>
  </si>
  <si>
    <t>VTE2603159</t>
  </si>
  <si>
    <t>FR112-BLC</t>
  </si>
  <si>
    <t>VTE2603257</t>
  </si>
  <si>
    <t>STE GAM</t>
  </si>
  <si>
    <t>VTE2603316</t>
  </si>
  <si>
    <t>VTE2603487</t>
  </si>
  <si>
    <t>VTE2603488</t>
  </si>
  <si>
    <t>VTE2603553</t>
  </si>
  <si>
    <t>OF2614055</t>
  </si>
  <si>
    <t>OF2614126</t>
  </si>
  <si>
    <t>VTE2603763</t>
  </si>
  <si>
    <t>COMPTOIR JENAYEH ALUM ET ACCESSOIRES</t>
  </si>
  <si>
    <t>OF2614660</t>
  </si>
  <si>
    <t>VTE2601350</t>
  </si>
  <si>
    <t>EC40100-BLC</t>
  </si>
  <si>
    <t>VTE2602089</t>
  </si>
  <si>
    <t>VTE2602196</t>
  </si>
  <si>
    <t>VTE2602565</t>
  </si>
  <si>
    <t>VTE2602634</t>
  </si>
  <si>
    <t>VTE2603229</t>
  </si>
  <si>
    <t>VTE2603267</t>
  </si>
  <si>
    <t>VTE2603269</t>
  </si>
  <si>
    <t>SOCIETE D'ALUMINIUM ET ACCESSOIRES SAA</t>
  </si>
  <si>
    <t>VTE2603451</t>
  </si>
  <si>
    <t>TAKTAK ALUMINIUM</t>
  </si>
  <si>
    <t>VTE2603542</t>
  </si>
  <si>
    <t>VTE2603554</t>
  </si>
  <si>
    <t>VTE2603576</t>
  </si>
  <si>
    <t>VTE2603749</t>
  </si>
  <si>
    <t>OF2614023</t>
  </si>
  <si>
    <t>OF2614081</t>
  </si>
  <si>
    <t>OF2614083</t>
  </si>
  <si>
    <t>VTE2602627</t>
  </si>
  <si>
    <t>OF2614356</t>
  </si>
  <si>
    <t>LMDPF-100-BLC</t>
  </si>
  <si>
    <t>OF2614228</t>
  </si>
  <si>
    <t>FSQ403-BLC</t>
  </si>
  <si>
    <t>OF2614183</t>
  </si>
  <si>
    <t>OF2614427</t>
  </si>
  <si>
    <t>EC40154-BLC</t>
  </si>
  <si>
    <t>OF2614659</t>
  </si>
  <si>
    <t>CSQ105-blc</t>
  </si>
  <si>
    <t>OF2614040</t>
  </si>
  <si>
    <t>OF2614432</t>
  </si>
  <si>
    <t>FR166-BLC</t>
  </si>
  <si>
    <t>VTE2603559</t>
  </si>
  <si>
    <t>OF2614047</t>
  </si>
  <si>
    <t>OF2614364</t>
  </si>
  <si>
    <t>CSQ210-BLC</t>
  </si>
  <si>
    <t>OF2614436</t>
  </si>
  <si>
    <t>FSQ100-BLC</t>
  </si>
  <si>
    <t>OF2614420</t>
  </si>
  <si>
    <t>CSQ114-BLC</t>
  </si>
  <si>
    <t>OF2614041</t>
  </si>
  <si>
    <t>FSQ150-BLC</t>
  </si>
  <si>
    <t>OF2614426</t>
  </si>
  <si>
    <t>GL180-BLC</t>
  </si>
  <si>
    <t>VTE2502212</t>
  </si>
  <si>
    <t>EC22106-BLC</t>
  </si>
  <si>
    <t>VTE2603150</t>
  </si>
  <si>
    <t>COMPTOIR NIZAR ALIMUNIUM ET FER</t>
  </si>
  <si>
    <t>CSQ305-BLC</t>
  </si>
  <si>
    <t>OF2614429</t>
  </si>
  <si>
    <t>FSQ111-BLC</t>
  </si>
  <si>
    <t>OF2614422</t>
  </si>
  <si>
    <t>EC40166-BLC</t>
  </si>
  <si>
    <t>VTE2602538</t>
  </si>
  <si>
    <t>CONFORT A LUMINIUM</t>
  </si>
  <si>
    <t>VTE2602581</t>
  </si>
  <si>
    <t>VTE2602777</t>
  </si>
  <si>
    <t>STE EL EZDIHAR</t>
  </si>
  <si>
    <t>VTE2602882</t>
  </si>
  <si>
    <t>VTE2603246</t>
  </si>
  <si>
    <t>VTE2603633</t>
  </si>
  <si>
    <t>SAIID MOHAMED</t>
  </si>
  <si>
    <t>VTE2603735</t>
  </si>
  <si>
    <t>FSQ110-BLC</t>
  </si>
  <si>
    <t>OF2614421</t>
  </si>
  <si>
    <t>FR100-BLC</t>
  </si>
  <si>
    <t>VTE2603371</t>
  </si>
  <si>
    <t>VTE2603466</t>
  </si>
  <si>
    <t>VTE2603549</t>
  </si>
  <si>
    <t>VTE2603601</t>
  </si>
  <si>
    <t>OF2613944</t>
  </si>
  <si>
    <t>VTE2603561</t>
  </si>
  <si>
    <t>STE H-S METAL</t>
  </si>
  <si>
    <t>OF2614050</t>
  </si>
  <si>
    <t>OF2614058</t>
  </si>
  <si>
    <t>OF2614357</t>
  </si>
  <si>
    <t>OF2614625</t>
  </si>
  <si>
    <t>OF2614627</t>
  </si>
  <si>
    <t>EC40402-BLC</t>
  </si>
  <si>
    <t>VTE2603412</t>
  </si>
  <si>
    <t>VTE2603431</t>
  </si>
  <si>
    <t>VTE2603729</t>
  </si>
  <si>
    <t>VTE2603753</t>
  </si>
  <si>
    <t>OF2614048</t>
  </si>
  <si>
    <t>VTE2603713</t>
  </si>
  <si>
    <t>EC40404-BLC</t>
  </si>
  <si>
    <t>VTE2601397</t>
  </si>
  <si>
    <t>LM-S758-BLC</t>
  </si>
  <si>
    <t>VTE2601651</t>
  </si>
  <si>
    <t>VTE2601982</t>
  </si>
  <si>
    <t>VTE2602908</t>
  </si>
  <si>
    <t>VTE2603027</t>
  </si>
  <si>
    <t>VTE2603093</t>
  </si>
  <si>
    <t>VTE2603194</t>
  </si>
  <si>
    <t>VTE2603224</t>
  </si>
  <si>
    <t>VTE2603241</t>
  </si>
  <si>
    <t>COMPTOIR NATIONAL D'ALU (SFAX)</t>
  </si>
  <si>
    <t>VTE2603301</t>
  </si>
  <si>
    <t>COMPTOIR ALUMINIUM C2A</t>
  </si>
  <si>
    <t>VTE2603304</t>
  </si>
  <si>
    <t>VTE2603323</t>
  </si>
  <si>
    <t>VTE2603343</t>
  </si>
  <si>
    <t>VTE2603401</t>
  </si>
  <si>
    <t>STE CHEBIL DE VENTE DE PROFILETS ET D'ACCESSOIRES  D'ALUMINIUM</t>
  </si>
  <si>
    <t>VTE2603489</t>
  </si>
  <si>
    <t>VTE2603490</t>
  </si>
  <si>
    <t>VTE2603530</t>
  </si>
  <si>
    <t>VTE2603551</t>
  </si>
  <si>
    <t>VTE2603627</t>
  </si>
  <si>
    <t>VTE2603643</t>
  </si>
  <si>
    <t>VTE2603649</t>
  </si>
  <si>
    <t>FR404-BLC</t>
  </si>
  <si>
    <t>FSQ139-BLC</t>
  </si>
  <si>
    <t>OF2614423</t>
  </si>
  <si>
    <t>LM-F/6-BLC</t>
  </si>
  <si>
    <t>EC40107-BLC</t>
  </si>
  <si>
    <t>LM-F45-BLC</t>
  </si>
  <si>
    <t>OF2614754</t>
  </si>
  <si>
    <t>VTE2602651</t>
  </si>
  <si>
    <t>JRAD HAZEM BEN SALEM</t>
  </si>
  <si>
    <t>GL11060/248-BLC</t>
  </si>
  <si>
    <t>VTE2602917</t>
  </si>
  <si>
    <t>VTE2603411</t>
  </si>
  <si>
    <t>VTE2603458</t>
  </si>
  <si>
    <t>VTE2603482</t>
  </si>
  <si>
    <t>VTE2603607</t>
  </si>
  <si>
    <t>VTE2603651</t>
  </si>
  <si>
    <t>VTE2603721</t>
  </si>
  <si>
    <t>VTE2603758</t>
  </si>
  <si>
    <t>LM-757-BLC</t>
  </si>
  <si>
    <t>VTE2603086</t>
  </si>
  <si>
    <t>VTE2603529</t>
  </si>
  <si>
    <t>STE DEMCONSTRUCT</t>
  </si>
  <si>
    <t>02563410-blc</t>
  </si>
  <si>
    <t>VTE2603702</t>
  </si>
  <si>
    <t>WALID BEN AROUS</t>
  </si>
  <si>
    <t>C-11063-BLC</t>
  </si>
  <si>
    <t>OF2614464</t>
  </si>
  <si>
    <t>C-40100-BLC</t>
  </si>
  <si>
    <t>OF2614459</t>
  </si>
  <si>
    <t>C-40112-BLC</t>
  </si>
  <si>
    <t>OF2614458</t>
  </si>
  <si>
    <t>C-6012-BLC</t>
  </si>
  <si>
    <t>OF2614463</t>
  </si>
  <si>
    <t>C-80105-BLC</t>
  </si>
  <si>
    <t>OF2614461</t>
  </si>
  <si>
    <t>C-EC6011-BLC</t>
  </si>
  <si>
    <t>OF2614460</t>
  </si>
  <si>
    <t>C-EC80106-BLC</t>
  </si>
  <si>
    <t>OF2614462</t>
  </si>
  <si>
    <t>C-PS6007-BLC</t>
  </si>
  <si>
    <t>OF2614457</t>
  </si>
  <si>
    <t>GLLMDP-100-BLC</t>
  </si>
  <si>
    <t>OF2614229</t>
  </si>
  <si>
    <t>VTE2603340</t>
  </si>
  <si>
    <t>KITOB-BLC</t>
  </si>
  <si>
    <t>VTE2603154</t>
  </si>
  <si>
    <t>OF2612481</t>
  </si>
  <si>
    <t>PoiK-BLC</t>
  </si>
  <si>
    <t>VTE2603372</t>
  </si>
  <si>
    <t>FR148-R9016</t>
  </si>
  <si>
    <t>VTE2603181</t>
  </si>
  <si>
    <t>FR102-R9016</t>
  </si>
  <si>
    <t>OF2613111</t>
  </si>
  <si>
    <t>LM-S758-R9016</t>
  </si>
  <si>
    <t>OF2614756</t>
  </si>
  <si>
    <t>LM-F/6-R9016</t>
  </si>
  <si>
    <t>GL11060/248-R9016</t>
  </si>
  <si>
    <t>OF2614753</t>
  </si>
  <si>
    <t>LM-757-R9016</t>
  </si>
  <si>
    <t>OF2614755</t>
  </si>
  <si>
    <t>VTE2603731</t>
  </si>
  <si>
    <t>VOLET ORT1-PURITY</t>
  </si>
  <si>
    <t>OF2614566</t>
  </si>
  <si>
    <t>VOLET ORT2-PURITY</t>
  </si>
  <si>
    <t>OF2614567</t>
  </si>
  <si>
    <t>VOLET ORT3-PURITY</t>
  </si>
  <si>
    <t>OF2614568</t>
  </si>
  <si>
    <t>VTE2603604</t>
  </si>
  <si>
    <t>P057 Piece-R1013</t>
  </si>
  <si>
    <t>OF2614133</t>
  </si>
  <si>
    <t>FR148-SUN</t>
  </si>
  <si>
    <t>OF2614473</t>
  </si>
  <si>
    <t>FR102-SUN</t>
  </si>
  <si>
    <t>OF2614474</t>
  </si>
  <si>
    <t>FR100-SUN</t>
  </si>
  <si>
    <t>OF2614472</t>
  </si>
  <si>
    <t>VTE2603714</t>
  </si>
  <si>
    <t>LM-S758-SUN</t>
  </si>
  <si>
    <t>OF2614476</t>
  </si>
  <si>
    <t>LM-757-SUN</t>
  </si>
  <si>
    <t>OF2614475</t>
  </si>
  <si>
    <t>VTE2603725</t>
  </si>
  <si>
    <t>BRAHIM BEN MUSTAPHA ABDELAZIZ</t>
  </si>
  <si>
    <t>CO114-TECK</t>
  </si>
  <si>
    <t>OF2614525</t>
  </si>
  <si>
    <t>CO103-TECK</t>
  </si>
  <si>
    <t>OF2614521</t>
  </si>
  <si>
    <t>EC67105-TECK</t>
  </si>
  <si>
    <t>OF2614523</t>
  </si>
  <si>
    <t>VTE2603678</t>
  </si>
  <si>
    <t>CO103-CHPG</t>
  </si>
  <si>
    <t>OF2614449</t>
  </si>
  <si>
    <t>VTE2603728</t>
  </si>
  <si>
    <t>FR110-CHPG</t>
  </si>
  <si>
    <t>OF2614565</t>
  </si>
  <si>
    <t>FR112-CHPG</t>
  </si>
  <si>
    <t>OF2614448</t>
  </si>
  <si>
    <t>VTE2603715</t>
  </si>
  <si>
    <t>FR166-CHPG</t>
  </si>
  <si>
    <t>OF2614478</t>
  </si>
  <si>
    <t>FR100-CHPG</t>
  </si>
  <si>
    <t>OF2614477</t>
  </si>
  <si>
    <t>FR404-CHPG</t>
  </si>
  <si>
    <t>OF2614447</t>
  </si>
  <si>
    <t>LM-757-CHPG</t>
  </si>
  <si>
    <t>OF2614479</t>
  </si>
  <si>
    <t>VTE2603761</t>
  </si>
  <si>
    <t>C-40139-CHPG</t>
  </si>
  <si>
    <t>OF2614657</t>
  </si>
  <si>
    <t>C-40150-CHPG</t>
  </si>
  <si>
    <t>OF2614656</t>
  </si>
  <si>
    <t>VTE2603699</t>
  </si>
  <si>
    <t>CO105-NOYER</t>
  </si>
  <si>
    <t>OF2614452</t>
  </si>
  <si>
    <t>CO103-NOYER</t>
  </si>
  <si>
    <t>OF2614450</t>
  </si>
  <si>
    <t>VTE2602868</t>
  </si>
  <si>
    <t>PL113-NOYER</t>
  </si>
  <si>
    <t>OF2614526</t>
  </si>
  <si>
    <t>CSQ114-NOYER</t>
  </si>
  <si>
    <t>OF2614453</t>
  </si>
  <si>
    <t>PL103-NOYER</t>
  </si>
  <si>
    <t>OF2614527</t>
  </si>
  <si>
    <t>C-67106-NOYER</t>
  </si>
  <si>
    <t>OF2614726</t>
  </si>
  <si>
    <t>CO103-ACAJOU</t>
  </si>
  <si>
    <t>OF2614639</t>
  </si>
  <si>
    <t>VTE2603289</t>
  </si>
  <si>
    <t>EC40112-ACAJOU</t>
  </si>
  <si>
    <t>OF2614361</t>
  </si>
  <si>
    <t>VTE2603734</t>
  </si>
  <si>
    <t>STE ALUMIX TRADING</t>
  </si>
  <si>
    <t>OF2614583</t>
  </si>
  <si>
    <t>FR102-ACAJOU</t>
  </si>
  <si>
    <t>OF2614360</t>
  </si>
  <si>
    <t>OF2614629</t>
  </si>
  <si>
    <t>EC67105-ACAJOU</t>
  </si>
  <si>
    <t>OF2614589</t>
  </si>
  <si>
    <t>FR112-ACAJOU</t>
  </si>
  <si>
    <t>OF2614630</t>
  </si>
  <si>
    <t>EC40100-ACAJOU</t>
  </si>
  <si>
    <t>OF2614580</t>
  </si>
  <si>
    <t>OF2614586</t>
  </si>
  <si>
    <t>OF2614624</t>
  </si>
  <si>
    <t>VTE2603558</t>
  </si>
  <si>
    <t>P031-ACAJOU</t>
  </si>
  <si>
    <t>OF2614362</t>
  </si>
  <si>
    <t>EC40154-ACAJOU</t>
  </si>
  <si>
    <t>OF2614731</t>
  </si>
  <si>
    <t>EC67103-ACAJOU</t>
  </si>
  <si>
    <t>OF2614588</t>
  </si>
  <si>
    <t>EC40166-ACAJOU</t>
  </si>
  <si>
    <t>OF2614585</t>
  </si>
  <si>
    <t>FR100-ACAJOU</t>
  </si>
  <si>
    <t>OF2614628</t>
  </si>
  <si>
    <t>VTE2603712</t>
  </si>
  <si>
    <t>EC40402-ACAJOU</t>
  </si>
  <si>
    <t>OF2614470</t>
  </si>
  <si>
    <t>OF2614581</t>
  </si>
  <si>
    <t>OF2614587</t>
  </si>
  <si>
    <t>OF2614732</t>
  </si>
  <si>
    <t>EC40404-ACAJOU</t>
  </si>
  <si>
    <t>OF2614582</t>
  </si>
  <si>
    <t>OF2614733</t>
  </si>
  <si>
    <t>FR404-ACAJOU</t>
  </si>
  <si>
    <t>OF2614634</t>
  </si>
  <si>
    <t>VTE2603690</t>
  </si>
  <si>
    <t>SOCIETE METALU JAMIL</t>
  </si>
  <si>
    <t>4145-ACAJOU</t>
  </si>
  <si>
    <t>OF2614439</t>
  </si>
  <si>
    <t>4455-ACAJOU</t>
  </si>
  <si>
    <t>OF2614437</t>
  </si>
  <si>
    <t>4463-ACAJOU</t>
  </si>
  <si>
    <t>OF2614438</t>
  </si>
  <si>
    <t>VTE2603741</t>
  </si>
  <si>
    <t>AL11026-PALMIER</t>
  </si>
  <si>
    <t>OF2614613</t>
  </si>
  <si>
    <t>FR100-PALMIER</t>
  </si>
  <si>
    <t>OF2614610</t>
  </si>
  <si>
    <t>CO103-GRIS</t>
  </si>
  <si>
    <t>OF2614714</t>
  </si>
  <si>
    <t>VTE2603775</t>
  </si>
  <si>
    <t>OF2614759</t>
  </si>
  <si>
    <t>VTE2603287</t>
  </si>
  <si>
    <t>FR102-GRIS</t>
  </si>
  <si>
    <t>OF2614358</t>
  </si>
  <si>
    <t>VTE2603765</t>
  </si>
  <si>
    <t>FR135-GRIS</t>
  </si>
  <si>
    <t>OF2614748</t>
  </si>
  <si>
    <t>VTE2603733</t>
  </si>
  <si>
    <t>EC40102-GRIS</t>
  </si>
  <si>
    <t>OF2614575</t>
  </si>
  <si>
    <t>EC67105-GRIS</t>
  </si>
  <si>
    <t>OF2614579</t>
  </si>
  <si>
    <t>OF2614761</t>
  </si>
  <si>
    <t>FR112-GRIS</t>
  </si>
  <si>
    <t>OF2614747</t>
  </si>
  <si>
    <t>OF2614764</t>
  </si>
  <si>
    <t>EC40154-GRIS</t>
  </si>
  <si>
    <t>OF2614735</t>
  </si>
  <si>
    <t>VTE2603722</t>
  </si>
  <si>
    <t>EC67103-GRIS</t>
  </si>
  <si>
    <t>OF2614516</t>
  </si>
  <si>
    <t>OF2614578</t>
  </si>
  <si>
    <t>EC22106-GRIS</t>
  </si>
  <si>
    <t>OF2614511</t>
  </si>
  <si>
    <t>EC40166-GRIS</t>
  </si>
  <si>
    <t>OF2614359</t>
  </si>
  <si>
    <t>OF2614517</t>
  </si>
  <si>
    <t>OF2614572</t>
  </si>
  <si>
    <t>FR100-GRIS</t>
  </si>
  <si>
    <t>OF2614746</t>
  </si>
  <si>
    <t>EC40402-GRIS</t>
  </si>
  <si>
    <t>OF2614518</t>
  </si>
  <si>
    <t>OF2614573</t>
  </si>
  <si>
    <t>OF2614736</t>
  </si>
  <si>
    <t>EC40404-GRIS</t>
  </si>
  <si>
    <t>OF2614519</t>
  </si>
  <si>
    <t>OF2614574</t>
  </si>
  <si>
    <t>OF2614737</t>
  </si>
  <si>
    <t>FR404-GRIS</t>
  </si>
  <si>
    <t>OF2614765</t>
  </si>
  <si>
    <t>LM-F/6-GRIS</t>
  </si>
  <si>
    <t>OF2614576</t>
  </si>
  <si>
    <t>GL11060/248-GRIS</t>
  </si>
  <si>
    <t>OF2614577</t>
  </si>
  <si>
    <t>OF2614749</t>
  </si>
  <si>
    <t>VTE2603679</t>
  </si>
  <si>
    <t>FR127-GREY</t>
  </si>
  <si>
    <t>OF2614413</t>
  </si>
  <si>
    <t>FR164-GREY</t>
  </si>
  <si>
    <t>OF2614414</t>
  </si>
  <si>
    <t>FSQ121-GREY</t>
  </si>
  <si>
    <t>OF2614409</t>
  </si>
  <si>
    <t>FSQ535-GREY</t>
  </si>
  <si>
    <t>OF2614418</t>
  </si>
  <si>
    <t>FSQ112-GREY</t>
  </si>
  <si>
    <t>OF2614410</t>
  </si>
  <si>
    <t>CSQ104-GREY</t>
  </si>
  <si>
    <t>OF2614404</t>
  </si>
  <si>
    <t>CSQ201-GREY</t>
  </si>
  <si>
    <t>OF2614402</t>
  </si>
  <si>
    <t>FSQ403-GREY</t>
  </si>
  <si>
    <t>OF2614407</t>
  </si>
  <si>
    <t>FSQ104-GREY</t>
  </si>
  <si>
    <t>OF2614412</t>
  </si>
  <si>
    <t>FSQ534-GREY</t>
  </si>
  <si>
    <t>OF2614419</t>
  </si>
  <si>
    <t>FSQ102-GREY</t>
  </si>
  <si>
    <t>OF2614406</t>
  </si>
  <si>
    <t>CSQ114-GREY</t>
  </si>
  <si>
    <t>OF2614405</t>
  </si>
  <si>
    <t>FSQ401-GREY</t>
  </si>
  <si>
    <t>OF2614408</t>
  </si>
  <si>
    <t>CSQ203-GREY</t>
  </si>
  <si>
    <t>OF2614401</t>
  </si>
  <si>
    <t>CSQ103-GREY</t>
  </si>
  <si>
    <t>OF2614403</t>
  </si>
  <si>
    <t>FSQ139-GREY</t>
  </si>
  <si>
    <t>OF2614411</t>
  </si>
  <si>
    <t>CSQ301-GREY</t>
  </si>
  <si>
    <t>OF2614415</t>
  </si>
  <si>
    <t>C-67106-GREY</t>
  </si>
  <si>
    <t>OF2614417</t>
  </si>
  <si>
    <t>VTE2603755</t>
  </si>
  <si>
    <t>LM-F/6-GRISG</t>
  </si>
  <si>
    <t>OF2614646</t>
  </si>
  <si>
    <t>LM-757-GRISG</t>
  </si>
  <si>
    <t>OF2614645</t>
  </si>
  <si>
    <t>VTE2603365</t>
  </si>
  <si>
    <t>VOLET ORT1-GRISG</t>
  </si>
  <si>
    <t>OF2613404</t>
  </si>
  <si>
    <t>VOLET ORT2-GRISG</t>
  </si>
  <si>
    <t>OF2613405</t>
  </si>
  <si>
    <t>VOLET ORT3-GRISG</t>
  </si>
  <si>
    <t>OF2613406</t>
  </si>
  <si>
    <t>VOLET ORT4-GRISG</t>
  </si>
  <si>
    <t>OF2613407</t>
  </si>
  <si>
    <t>VTE2603727</t>
  </si>
  <si>
    <t>EC67104-COOL</t>
  </si>
  <si>
    <t>OF2614606</t>
  </si>
  <si>
    <t>CO103-COOL</t>
  </si>
  <si>
    <t>OF2614638</t>
  </si>
  <si>
    <t>FR102-COOL</t>
  </si>
  <si>
    <t>OF2614631</t>
  </si>
  <si>
    <t>EC67105-COOL</t>
  </si>
  <si>
    <t>OF2614604</t>
  </si>
  <si>
    <t>EC40100-COOL</t>
  </si>
  <si>
    <t>OF2614599</t>
  </si>
  <si>
    <t>EC40154-COOL</t>
  </si>
  <si>
    <t>OF2614636</t>
  </si>
  <si>
    <t>EC67103-COOL</t>
  </si>
  <si>
    <t>OF2614608</t>
  </si>
  <si>
    <t>FR100-COOL</t>
  </si>
  <si>
    <t>OF2614632</t>
  </si>
  <si>
    <t>EC40402-COOL</t>
  </si>
  <si>
    <t>OF2614602</t>
  </si>
  <si>
    <t>EC40404-COOL</t>
  </si>
  <si>
    <t>OF2614601</t>
  </si>
  <si>
    <t>C-40121-COOL</t>
  </si>
  <si>
    <t>OF2614642</t>
  </si>
  <si>
    <t>C-40139-COOL</t>
  </si>
  <si>
    <t>OF2614641</t>
  </si>
  <si>
    <t>C-67106-COOL</t>
  </si>
  <si>
    <t>OF2614640</t>
  </si>
  <si>
    <t>EC40121-R7016</t>
  </si>
  <si>
    <t>OF2614323</t>
  </si>
  <si>
    <t>FR148-R7016</t>
  </si>
  <si>
    <t>OF2614321</t>
  </si>
  <si>
    <t>FR133-R7016</t>
  </si>
  <si>
    <t>OF2614322</t>
  </si>
  <si>
    <t>FR161-R7016</t>
  </si>
  <si>
    <t>OF2614319</t>
  </si>
  <si>
    <t>FR110-R7016</t>
  </si>
  <si>
    <t>OF2614324</t>
  </si>
  <si>
    <t>CO124-R7016</t>
  </si>
  <si>
    <t>OF2614316</t>
  </si>
  <si>
    <t>FR168-R7016</t>
  </si>
  <si>
    <t>OF2614317</t>
  </si>
  <si>
    <t>EC40154-R7016</t>
  </si>
  <si>
    <t>OF2614320</t>
  </si>
  <si>
    <t>FR166-R7016</t>
  </si>
  <si>
    <t>OF2614318</t>
  </si>
  <si>
    <t>FR108-R7016</t>
  </si>
  <si>
    <t>OF2614325</t>
  </si>
  <si>
    <t>FR100-R7016</t>
  </si>
  <si>
    <t>OF2614327</t>
  </si>
  <si>
    <t>EC40107-R7016</t>
  </si>
  <si>
    <t>OF2614326</t>
  </si>
  <si>
    <t>VTE2603706</t>
  </si>
  <si>
    <t>381/60-R7016</t>
  </si>
  <si>
    <t>OF2614469</t>
  </si>
  <si>
    <t>VTE2603717</t>
  </si>
  <si>
    <t>FSQ122-R7021</t>
  </si>
  <si>
    <t>OF2614499</t>
  </si>
  <si>
    <t>CSQ108-R7021</t>
  </si>
  <si>
    <t>OF2614490</t>
  </si>
  <si>
    <t>FSQ121-R7021</t>
  </si>
  <si>
    <t>OF2614498</t>
  </si>
  <si>
    <t>CSQ104-R7021</t>
  </si>
  <si>
    <t>OF2614492</t>
  </si>
  <si>
    <t>FSQ403-R7021</t>
  </si>
  <si>
    <t>OF2614495</t>
  </si>
  <si>
    <t>CSQ105-R7021</t>
  </si>
  <si>
    <t>OF2614493</t>
  </si>
  <si>
    <t>CSQ210-R7021</t>
  </si>
  <si>
    <t>OF2614486</t>
  </si>
  <si>
    <t>FSQ401-R7021</t>
  </si>
  <si>
    <t>OF2614496</t>
  </si>
  <si>
    <t>CSQ203-R7021</t>
  </si>
  <si>
    <t>OF2614487</t>
  </si>
  <si>
    <t>FSQ111-R7021</t>
  </si>
  <si>
    <t>OF2614497</t>
  </si>
  <si>
    <t>CSQ103-R7021</t>
  </si>
  <si>
    <t>OF2614489</t>
  </si>
  <si>
    <t>LM-S758-R7021</t>
  </si>
  <si>
    <t>OF2614514</t>
  </si>
  <si>
    <t>CSQ301-R7021</t>
  </si>
  <si>
    <t>OF2614500</t>
  </si>
  <si>
    <t>LM-F/6-R7021</t>
  </si>
  <si>
    <t>OF2614515</t>
  </si>
  <si>
    <t>LM-757-R7021</t>
  </si>
  <si>
    <t>OF2614513</t>
  </si>
  <si>
    <t>VTE2603742</t>
  </si>
  <si>
    <t>FR112-R5015</t>
  </si>
  <si>
    <t>OF2614618</t>
  </si>
  <si>
    <t>FR404-R5015</t>
  </si>
  <si>
    <t>OF2614615</t>
  </si>
  <si>
    <t>VTE2603720</t>
  </si>
  <si>
    <t>AL11026-NOIR</t>
  </si>
  <si>
    <t>OF2614506</t>
  </si>
  <si>
    <t>CO103-NOIR</t>
  </si>
  <si>
    <t>OF2614501</t>
  </si>
  <si>
    <t>OF2614621</t>
  </si>
  <si>
    <t>OF2614637</t>
  </si>
  <si>
    <t>VTE2603762</t>
  </si>
  <si>
    <t>OF2614664</t>
  </si>
  <si>
    <t>OF2614717</t>
  </si>
  <si>
    <t>VTE2603675</t>
  </si>
  <si>
    <t>STE MENUISERIE ALUMINIUM KOUBAA-MAK</t>
  </si>
  <si>
    <t>CSQ306-NOIR</t>
  </si>
  <si>
    <t>OF2614313</t>
  </si>
  <si>
    <t>FR127-NOIR</t>
  </si>
  <si>
    <t>OF2614505</t>
  </si>
  <si>
    <t>VTE2603654</t>
  </si>
  <si>
    <t>FR133-NOIR</t>
  </si>
  <si>
    <t>OF2614265</t>
  </si>
  <si>
    <t>FR161-NOIR</t>
  </si>
  <si>
    <t>OF2614269</t>
  </si>
  <si>
    <t>EC67102-NOIR</t>
  </si>
  <si>
    <t>OF2614233</t>
  </si>
  <si>
    <t>VTE2603662</t>
  </si>
  <si>
    <t>STE MKF ALU</t>
  </si>
  <si>
    <t>OF2614294</t>
  </si>
  <si>
    <t>VTE2603657</t>
  </si>
  <si>
    <t>ROYALE ALU</t>
  </si>
  <si>
    <t>FR102-NOIR</t>
  </si>
  <si>
    <t>OF2614281</t>
  </si>
  <si>
    <t>VTE2603656</t>
  </si>
  <si>
    <t>CSQ102-NOIR</t>
  </si>
  <si>
    <t>OF2614271</t>
  </si>
  <si>
    <t>VTE2603766</t>
  </si>
  <si>
    <t>FR135-NOIR</t>
  </si>
  <si>
    <t>OF2614725</t>
  </si>
  <si>
    <t>CSQ104-NOIR</t>
  </si>
  <si>
    <t>OF2614272</t>
  </si>
  <si>
    <t>OF2614312</t>
  </si>
  <si>
    <t>EC40102-NOIR</t>
  </si>
  <si>
    <t>OF2614290</t>
  </si>
  <si>
    <t>OF2614723</t>
  </si>
  <si>
    <t>EC67105-NOIR</t>
  </si>
  <si>
    <t>OF2614296</t>
  </si>
  <si>
    <t>OF2614510</t>
  </si>
  <si>
    <t>FR112-NOIR</t>
  </si>
  <si>
    <t>OF2614268</t>
  </si>
  <si>
    <t>VTE2603672</t>
  </si>
  <si>
    <t>GLOBAL DISTRIBUTION</t>
  </si>
  <si>
    <t>OF2614303</t>
  </si>
  <si>
    <t>VTE2603685</t>
  </si>
  <si>
    <t>OF2614374</t>
  </si>
  <si>
    <t>EC40100-NOIR</t>
  </si>
  <si>
    <t>OF2614289</t>
  </si>
  <si>
    <t>FR403-NOIR</t>
  </si>
  <si>
    <t>OF2614263</t>
  </si>
  <si>
    <t>CSQ302-NOIR</t>
  </si>
  <si>
    <t>OF2614248</t>
  </si>
  <si>
    <t>EC40154-NOIR</t>
  </si>
  <si>
    <t>OF2614232</t>
  </si>
  <si>
    <t>OF2614264</t>
  </si>
  <si>
    <t>VTE2603668</t>
  </si>
  <si>
    <t>STE JEMAA ALUMINIUM SJA</t>
  </si>
  <si>
    <t>OF2614298</t>
  </si>
  <si>
    <t>OF2614302</t>
  </si>
  <si>
    <t>OF2614667</t>
  </si>
  <si>
    <t>CSQ105-NOIR</t>
  </si>
  <si>
    <t>OF2614273</t>
  </si>
  <si>
    <t>OF2614311</t>
  </si>
  <si>
    <t>FR166-NOIR</t>
  </si>
  <si>
    <t>OF2614372</t>
  </si>
  <si>
    <t>FSQ100-NOIR</t>
  </si>
  <si>
    <t>OF2614274</t>
  </si>
  <si>
    <t>VTE2603527</t>
  </si>
  <si>
    <t>P013-NOIR</t>
  </si>
  <si>
    <t>OF2613968</t>
  </si>
  <si>
    <t>VTE2603638</t>
  </si>
  <si>
    <t>EC67103-NOIR</t>
  </si>
  <si>
    <t>OF2614262</t>
  </si>
  <si>
    <t>OF2614283</t>
  </si>
  <si>
    <t>OF2614295</t>
  </si>
  <si>
    <t>OF2614300</t>
  </si>
  <si>
    <t>OF2614373</t>
  </si>
  <si>
    <t>EC67101-NOIR</t>
  </si>
  <si>
    <t>OF2614293</t>
  </si>
  <si>
    <t>FSQ401-NOIR</t>
  </si>
  <si>
    <t>OF2614314</t>
  </si>
  <si>
    <t>EC22106-NOIR</t>
  </si>
  <si>
    <t>OF2614512</t>
  </si>
  <si>
    <t>FSQ111-NOIR</t>
  </si>
  <si>
    <t>OF2614275</t>
  </si>
  <si>
    <t>EC40166-NOIR</t>
  </si>
  <si>
    <t>OF2614261</t>
  </si>
  <si>
    <t>OF2614282</t>
  </si>
  <si>
    <t>OF2614471</t>
  </si>
  <si>
    <t>OF2614635</t>
  </si>
  <si>
    <t>OF2614724</t>
  </si>
  <si>
    <t>FR100-NOIR</t>
  </si>
  <si>
    <t>OF2614280</t>
  </si>
  <si>
    <t>OF2614299</t>
  </si>
  <si>
    <t>OF2614371</t>
  </si>
  <si>
    <t>OF2614504</t>
  </si>
  <si>
    <t>OF2614620</t>
  </si>
  <si>
    <t>VTE2603778</t>
  </si>
  <si>
    <t>MR002-NOIR</t>
  </si>
  <si>
    <t>OF2614767</t>
  </si>
  <si>
    <t>VTE2603642</t>
  </si>
  <si>
    <t>STE DELTA SOLUTION</t>
  </si>
  <si>
    <t>CSQ103-NOIR</t>
  </si>
  <si>
    <t>OF2614208</t>
  </si>
  <si>
    <t>OF2614310</t>
  </si>
  <si>
    <t>EC40402-NOIR</t>
  </si>
  <si>
    <t>OF2614291</t>
  </si>
  <si>
    <t>OF2614301</t>
  </si>
  <si>
    <t>OF2614633</t>
  </si>
  <si>
    <t>OF2614722</t>
  </si>
  <si>
    <t>OF2614738</t>
  </si>
  <si>
    <t>EC40404-NOIR</t>
  </si>
  <si>
    <t>OF2614234</t>
  </si>
  <si>
    <t>OF2614292</t>
  </si>
  <si>
    <t>OF2614739</t>
  </si>
  <si>
    <t>LM-S758-NOIR</t>
  </si>
  <si>
    <t>OF2614623</t>
  </si>
  <si>
    <t>VTE2603771</t>
  </si>
  <si>
    <t>OF2614728</t>
  </si>
  <si>
    <t>FR404-NOIR</t>
  </si>
  <si>
    <t>OF2614231</t>
  </si>
  <si>
    <t>OF2614266</t>
  </si>
  <si>
    <t>OF2614297</t>
  </si>
  <si>
    <t>OF2614503</t>
  </si>
  <si>
    <t>OF2614663</t>
  </si>
  <si>
    <t>CSQ301-NOIR</t>
  </si>
  <si>
    <t>OF2614209</t>
  </si>
  <si>
    <t>LM-F/6-NOIR</t>
  </si>
  <si>
    <t>OF2614729</t>
  </si>
  <si>
    <t>EC40107-NOIR</t>
  </si>
  <si>
    <t>OF2614247</t>
  </si>
  <si>
    <t>OF2614267</t>
  </si>
  <si>
    <t>LM-757-NOIR</t>
  </si>
  <si>
    <t>OF2614622</t>
  </si>
  <si>
    <t>OF2614727</t>
  </si>
  <si>
    <t>VTE2603646</t>
  </si>
  <si>
    <t>DS001_P6500-NOIR</t>
  </si>
  <si>
    <t>OF2614226</t>
  </si>
  <si>
    <t>VTE2601813</t>
  </si>
  <si>
    <t>KITOB-NOIR</t>
  </si>
  <si>
    <t>OF2607426</t>
  </si>
  <si>
    <t>VTE2603071</t>
  </si>
  <si>
    <t>OF2612410</t>
  </si>
  <si>
    <t>OF2612480</t>
  </si>
  <si>
    <t>VTE2603386</t>
  </si>
  <si>
    <t>kitobT1G-NOIR</t>
  </si>
  <si>
    <t>OF2613603</t>
  </si>
  <si>
    <t>P014-NOIR</t>
  </si>
  <si>
    <t>OF2613969</t>
  </si>
  <si>
    <t>T054-12-NOIR</t>
  </si>
  <si>
    <t>OF2613970</t>
  </si>
  <si>
    <t>VTE2603750</t>
  </si>
  <si>
    <t>Pr6304-DARK</t>
  </si>
  <si>
    <t>OF2614649</t>
  </si>
  <si>
    <t>VTE2603689</t>
  </si>
  <si>
    <t>FR121-DARK</t>
  </si>
  <si>
    <t>OF2614393</t>
  </si>
  <si>
    <t>VTE2603759</t>
  </si>
  <si>
    <t>CO103-DARK</t>
  </si>
  <si>
    <t>OF2614677</t>
  </si>
  <si>
    <t>VTE2603764</t>
  </si>
  <si>
    <t>OF2614713</t>
  </si>
  <si>
    <t>OF2614720</t>
  </si>
  <si>
    <t>FR148-DARK</t>
  </si>
  <si>
    <t>OF2614676</t>
  </si>
  <si>
    <t>FR127-DARK</t>
  </si>
  <si>
    <t>OF2614674</t>
  </si>
  <si>
    <t>FR161-DARK</t>
  </si>
  <si>
    <t>OF2614673</t>
  </si>
  <si>
    <t>Pr6310-DARK</t>
  </si>
  <si>
    <t>OF2614652</t>
  </si>
  <si>
    <t>VTE2603770</t>
  </si>
  <si>
    <t>CSQ102-DARK</t>
  </si>
  <si>
    <t>OF2614743</t>
  </si>
  <si>
    <t>EC67105-DARK</t>
  </si>
  <si>
    <t>OF2614392</t>
  </si>
  <si>
    <t>OF2614679</t>
  </si>
  <si>
    <t>FR110-DARK</t>
  </si>
  <si>
    <t>OF2614710</t>
  </si>
  <si>
    <t>VTE2603726</t>
  </si>
  <si>
    <t>FR112-DARK</t>
  </si>
  <si>
    <t>OF2614593</t>
  </si>
  <si>
    <t>OF2614671</t>
  </si>
  <si>
    <t>OF2614711</t>
  </si>
  <si>
    <t>VTE2603723</t>
  </si>
  <si>
    <t>CSQ201-DARK</t>
  </si>
  <si>
    <t>OF2614520</t>
  </si>
  <si>
    <t>VTE2603681</t>
  </si>
  <si>
    <t>SOCIETE LINALU</t>
  </si>
  <si>
    <t>FSQ403-DARK</t>
  </si>
  <si>
    <t>OF2614591</t>
  </si>
  <si>
    <t>EC40154-DARK</t>
  </si>
  <si>
    <t>OF2614598</t>
  </si>
  <si>
    <t>OF2614672</t>
  </si>
  <si>
    <t>CSQ105-DARK</t>
  </si>
  <si>
    <t>OF2614741</t>
  </si>
  <si>
    <t>FR166-DARK</t>
  </si>
  <si>
    <t>OF2614388</t>
  </si>
  <si>
    <t>EC67103-DARK</t>
  </si>
  <si>
    <t>OF2614390</t>
  </si>
  <si>
    <t>FSQ401-DARK</t>
  </si>
  <si>
    <t>OF2614742</t>
  </si>
  <si>
    <t>FSQ150-DARK</t>
  </si>
  <si>
    <t>OF2614744</t>
  </si>
  <si>
    <t>OK4716-DARK</t>
  </si>
  <si>
    <t>OF2614647</t>
  </si>
  <si>
    <t>FR100-DARK</t>
  </si>
  <si>
    <t>OF2614387</t>
  </si>
  <si>
    <t>EC40402-DARK</t>
  </si>
  <si>
    <t>OF2614389</t>
  </si>
  <si>
    <t>OF2614595</t>
  </si>
  <si>
    <t>FR404-DARK</t>
  </si>
  <si>
    <t>OF2614594</t>
  </si>
  <si>
    <t>OF2614709</t>
  </si>
  <si>
    <t>FSQ139-DARK</t>
  </si>
  <si>
    <t>OF2614369</t>
  </si>
  <si>
    <t>C-40139-DARK</t>
  </si>
  <si>
    <t>OF2614597</t>
  </si>
  <si>
    <t>C-AL11026-DARK</t>
  </si>
  <si>
    <t>OF2614596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</si>
</sst>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" fontId="4" fillId="3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3" fontId="5" fillId="0" borderId="1" xfId="0" applyNumberFormat="1" applyFont="1" applyBorder="1"/>
    <xf numFmtId="9" fontId="5" fillId="0" borderId="1" xfId="1" applyFont="1" applyFill="1" applyBorder="1"/>
    <xf numFmtId="1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1" fontId="4" fillId="0" borderId="0" xfId="0" applyNumberFormat="1" applyFont="1" applyAlignment="1">
      <alignment horizontal="center"/>
    </xf>
    <xf numFmtId="3" fontId="5" fillId="0" borderId="0" xfId="0" applyNumberFormat="1" applyFont="1"/>
    <xf numFmtId="9" fontId="5" fillId="0" borderId="0" xfId="1" applyFont="1" applyFill="1"/>
    <xf numFmtId="0" fontId="5" fillId="0" borderId="0" xfId="0" applyFont="1" applyAlignment="1">
      <alignment horizontal="left" vertical="center"/>
    </xf>
    <xf numFmtId="3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TELIER%20LAQUAGE\prg%20gen\Planning%20general\Base.xlsx" TargetMode="External"/><Relationship Id="rId1" Type="http://schemas.openxmlformats.org/officeDocument/2006/relationships/externalLinkPath" Target="file:///P:\ATELIER%20LAQUAGE\prg%20gen\Planning%20general\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4 08 26"/>
      <sheetName val="03 09 26"/>
      <sheetName val="base"/>
      <sheetName val="poudre"/>
      <sheetName val="remarque"/>
      <sheetName val="commencé"/>
      <sheetName val="Feuil2"/>
      <sheetName val="Feuil1"/>
      <sheetName val="Feuil3"/>
    </sheetNames>
    <sheetDataSet>
      <sheetData sheetId="0"/>
      <sheetData sheetId="1"/>
      <sheetData sheetId="2">
        <row r="1">
          <cell r="A1" t="str">
            <v>Couleur</v>
          </cell>
          <cell r="B1" t="str">
            <v>Priorité Nuance</v>
          </cell>
          <cell r="D1" t="str">
            <v>Référence</v>
          </cell>
          <cell r="E1" t="str">
            <v>Nbre de barres/Balancelle</v>
          </cell>
          <cell r="F1" t="str">
            <v>Désignation Broche</v>
          </cell>
          <cell r="G1" t="str">
            <v>Priorité Vente</v>
          </cell>
          <cell r="H1" t="str">
            <v>Consommation Poudre</v>
          </cell>
          <cell r="I1" t="str">
            <v>Consommation Emballage M²</v>
          </cell>
          <cell r="J1" t="str">
            <v>emballage adhésif</v>
          </cell>
          <cell r="K1" t="str">
            <v>Poids Article</v>
          </cell>
          <cell r="M1" t="str">
            <v>Réf.</v>
          </cell>
          <cell r="N1" t="str">
            <v>stock physique brut</v>
          </cell>
          <cell r="O1" t="str">
            <v>Stock physique Couleurs</v>
          </cell>
          <cell r="P1" t="str">
            <v>% Stock Laqué</v>
          </cell>
          <cell r="Q1" t="str">
            <v>Moyenne ventes</v>
          </cell>
        </row>
        <row r="2">
          <cell r="A2" t="str">
            <v>FRENE</v>
          </cell>
          <cell r="B2">
            <v>0.5</v>
          </cell>
          <cell r="D2">
            <v>80114</v>
          </cell>
          <cell r="E2">
            <v>20</v>
          </cell>
          <cell r="F2" t="str">
            <v>BZ20</v>
          </cell>
          <cell r="G2">
            <v>250</v>
          </cell>
          <cell r="H2" t="e">
            <v>#N/A</v>
          </cell>
          <cell r="I2" t="e">
            <v>#N/A</v>
          </cell>
          <cell r="J2" t="e">
            <v>#N/A</v>
          </cell>
          <cell r="K2">
            <v>2</v>
          </cell>
          <cell r="M2" t="str">
            <v>P057-Barres</v>
          </cell>
          <cell r="N2">
            <v>101</v>
          </cell>
          <cell r="O2">
            <v>0</v>
          </cell>
          <cell r="P2">
            <v>0</v>
          </cell>
          <cell r="Q2">
            <v>23</v>
          </cell>
        </row>
        <row r="3">
          <cell r="A3" t="str">
            <v>TRESOR</v>
          </cell>
          <cell r="B3">
            <v>0.6</v>
          </cell>
          <cell r="D3">
            <v>957410</v>
          </cell>
          <cell r="E3">
            <v>10</v>
          </cell>
          <cell r="G3">
            <v>250</v>
          </cell>
          <cell r="K3">
            <v>4</v>
          </cell>
          <cell r="M3" t="str">
            <v>P063-Barres</v>
          </cell>
          <cell r="N3">
            <v>49</v>
          </cell>
          <cell r="O3">
            <v>3</v>
          </cell>
          <cell r="P3">
            <v>5.7692307692307696E-2</v>
          </cell>
          <cell r="Q3">
            <v>0</v>
          </cell>
        </row>
        <row r="4">
          <cell r="A4" t="str">
            <v>BLC</v>
          </cell>
          <cell r="B4">
            <v>1</v>
          </cell>
          <cell r="D4">
            <v>997410</v>
          </cell>
          <cell r="E4">
            <v>10</v>
          </cell>
          <cell r="G4">
            <v>250</v>
          </cell>
          <cell r="K4">
            <v>4</v>
          </cell>
          <cell r="M4" t="str">
            <v>IN-A 4509</v>
          </cell>
          <cell r="N4">
            <v>535</v>
          </cell>
          <cell r="O4">
            <v>-535</v>
          </cell>
          <cell r="P4" t="e">
            <v>#DIV/0!</v>
          </cell>
          <cell r="Q4">
            <v>0</v>
          </cell>
        </row>
        <row r="5">
          <cell r="A5" t="str">
            <v>bel9010</v>
          </cell>
          <cell r="B5">
            <v>1.2</v>
          </cell>
          <cell r="D5">
            <v>997500</v>
          </cell>
          <cell r="E5">
            <v>20</v>
          </cell>
          <cell r="K5">
            <v>0.28999999999999998</v>
          </cell>
          <cell r="M5" t="str">
            <v>AL15401</v>
          </cell>
          <cell r="N5">
            <v>0</v>
          </cell>
          <cell r="O5">
            <v>0</v>
          </cell>
          <cell r="P5" t="e">
            <v>#DIV/0!</v>
          </cell>
          <cell r="Q5">
            <v>0</v>
          </cell>
        </row>
        <row r="6">
          <cell r="A6" t="str">
            <v>RAL9001</v>
          </cell>
          <cell r="B6">
            <v>2.5</v>
          </cell>
          <cell r="D6">
            <v>1076410</v>
          </cell>
          <cell r="E6">
            <v>10</v>
          </cell>
          <cell r="K6">
            <v>4</v>
          </cell>
          <cell r="M6" t="str">
            <v>AL15403</v>
          </cell>
          <cell r="N6">
            <v>0</v>
          </cell>
          <cell r="O6">
            <v>249</v>
          </cell>
          <cell r="P6">
            <v>1</v>
          </cell>
          <cell r="Q6">
            <v>0</v>
          </cell>
        </row>
        <row r="7">
          <cell r="A7" t="str">
            <v>R9016</v>
          </cell>
          <cell r="B7">
            <v>3</v>
          </cell>
          <cell r="D7">
            <v>2563005</v>
          </cell>
          <cell r="E7">
            <v>20</v>
          </cell>
          <cell r="K7">
            <v>1</v>
          </cell>
          <cell r="M7" t="str">
            <v>AL15404</v>
          </cell>
          <cell r="N7">
            <v>0</v>
          </cell>
          <cell r="O7">
            <v>204</v>
          </cell>
          <cell r="P7">
            <v>1</v>
          </cell>
          <cell r="Q7">
            <v>0</v>
          </cell>
        </row>
        <row r="8">
          <cell r="A8" t="str">
            <v>PURITY</v>
          </cell>
          <cell r="B8">
            <v>4</v>
          </cell>
          <cell r="D8">
            <v>2563410</v>
          </cell>
          <cell r="E8">
            <v>10</v>
          </cell>
          <cell r="G8">
            <v>250</v>
          </cell>
          <cell r="K8">
            <v>4</v>
          </cell>
          <cell r="M8" t="str">
            <v>AL15413</v>
          </cell>
          <cell r="N8">
            <v>117</v>
          </cell>
          <cell r="O8">
            <v>2</v>
          </cell>
          <cell r="P8">
            <v>1.680672268907563E-2</v>
          </cell>
          <cell r="Q8">
            <v>0</v>
          </cell>
        </row>
        <row r="9">
          <cell r="A9" t="str">
            <v>Balsa</v>
          </cell>
          <cell r="B9">
            <v>5</v>
          </cell>
          <cell r="D9">
            <v>2563500</v>
          </cell>
          <cell r="E9">
            <v>10</v>
          </cell>
          <cell r="G9">
            <v>250</v>
          </cell>
          <cell r="K9">
            <v>4</v>
          </cell>
          <cell r="M9" t="str">
            <v>AL15415</v>
          </cell>
          <cell r="N9">
            <v>0</v>
          </cell>
          <cell r="O9">
            <v>0</v>
          </cell>
          <cell r="P9" t="e">
            <v>#DIV/0!</v>
          </cell>
          <cell r="Q9">
            <v>0</v>
          </cell>
        </row>
        <row r="10">
          <cell r="A10" t="str">
            <v>R1013</v>
          </cell>
          <cell r="B10">
            <v>6</v>
          </cell>
          <cell r="D10">
            <v>6004410</v>
          </cell>
          <cell r="E10">
            <v>10</v>
          </cell>
          <cell r="F10" t="str">
            <v>BCS10</v>
          </cell>
          <cell r="G10">
            <v>250</v>
          </cell>
          <cell r="H10" t="e">
            <v>#N/A</v>
          </cell>
          <cell r="I10" t="e">
            <v>#N/A</v>
          </cell>
          <cell r="J10" t="e">
            <v>#N/A</v>
          </cell>
          <cell r="K10">
            <v>4</v>
          </cell>
          <cell r="M10" t="str">
            <v>AL15416</v>
          </cell>
          <cell r="N10">
            <v>390</v>
          </cell>
          <cell r="O10">
            <v>10</v>
          </cell>
          <cell r="P10">
            <v>2.5000000000000001E-2</v>
          </cell>
          <cell r="Q10">
            <v>0</v>
          </cell>
        </row>
        <row r="11">
          <cell r="A11" t="str">
            <v>SUN</v>
          </cell>
          <cell r="B11">
            <v>7</v>
          </cell>
          <cell r="D11" t="str">
            <v>00120410U</v>
          </cell>
          <cell r="E11">
            <v>10</v>
          </cell>
          <cell r="G11">
            <v>250</v>
          </cell>
          <cell r="K11">
            <v>4</v>
          </cell>
          <cell r="M11" t="str">
            <v>AL15401P3</v>
          </cell>
          <cell r="N11">
            <v>145</v>
          </cell>
          <cell r="O11">
            <v>-145</v>
          </cell>
          <cell r="P11" t="e">
            <v>#DIV/0!</v>
          </cell>
          <cell r="Q11">
            <v>0</v>
          </cell>
        </row>
        <row r="12">
          <cell r="A12" t="str">
            <v>R1015</v>
          </cell>
          <cell r="B12">
            <v>8</v>
          </cell>
          <cell r="D12" t="str">
            <v>381/60</v>
          </cell>
          <cell r="E12">
            <v>20</v>
          </cell>
          <cell r="K12">
            <v>0.115</v>
          </cell>
          <cell r="M12" t="str">
            <v>AL15403P1</v>
          </cell>
          <cell r="N12">
            <v>120</v>
          </cell>
          <cell r="O12">
            <v>-120</v>
          </cell>
          <cell r="P12" t="e">
            <v>#DIV/0!</v>
          </cell>
          <cell r="Q12">
            <v>0</v>
          </cell>
        </row>
        <row r="13">
          <cell r="A13" t="str">
            <v>CEDRE</v>
          </cell>
          <cell r="B13">
            <v>9</v>
          </cell>
          <cell r="D13" t="str">
            <v>45AL1111</v>
          </cell>
          <cell r="E13">
            <v>13</v>
          </cell>
          <cell r="F13" t="str">
            <v>U20/5</v>
          </cell>
          <cell r="G13">
            <v>250</v>
          </cell>
          <cell r="H13" t="e">
            <v>#N/A</v>
          </cell>
          <cell r="I13" t="e">
            <v>#N/A</v>
          </cell>
          <cell r="J13" t="e">
            <v>#N/A</v>
          </cell>
          <cell r="K13">
            <v>4</v>
          </cell>
          <cell r="M13" t="str">
            <v>AL15403P2</v>
          </cell>
          <cell r="N13">
            <v>129</v>
          </cell>
          <cell r="O13">
            <v>-129</v>
          </cell>
          <cell r="P13" t="e">
            <v>#DIV/0!</v>
          </cell>
          <cell r="Q13">
            <v>0</v>
          </cell>
        </row>
        <row r="14">
          <cell r="A14" t="str">
            <v>SAPIN</v>
          </cell>
          <cell r="B14">
            <v>10</v>
          </cell>
          <cell r="D14" t="str">
            <v>45AL1113</v>
          </cell>
          <cell r="E14">
            <v>12</v>
          </cell>
          <cell r="F14" t="str">
            <v>U8/8</v>
          </cell>
          <cell r="G14">
            <v>250</v>
          </cell>
          <cell r="H14" t="e">
            <v>#N/A</v>
          </cell>
          <cell r="I14" t="e">
            <v>#N/A</v>
          </cell>
          <cell r="J14" t="e">
            <v>#N/A</v>
          </cell>
          <cell r="K14">
            <v>4</v>
          </cell>
          <cell r="M14" t="str">
            <v>AL15404P1</v>
          </cell>
          <cell r="N14">
            <v>105</v>
          </cell>
          <cell r="O14">
            <v>-105</v>
          </cell>
          <cell r="P14" t="e">
            <v>#DIV/0!</v>
          </cell>
          <cell r="Q14">
            <v>0</v>
          </cell>
        </row>
        <row r="15">
          <cell r="A15" t="str">
            <v>PIN</v>
          </cell>
          <cell r="B15">
            <v>10.1</v>
          </cell>
          <cell r="D15" t="str">
            <v>45AL1114</v>
          </cell>
          <cell r="E15">
            <v>12</v>
          </cell>
          <cell r="F15" t="str">
            <v>U8/8</v>
          </cell>
          <cell r="G15">
            <v>250</v>
          </cell>
          <cell r="H15" t="e">
            <v>#N/A</v>
          </cell>
          <cell r="I15" t="e">
            <v>#N/A</v>
          </cell>
          <cell r="J15" t="e">
            <v>#N/A</v>
          </cell>
          <cell r="K15">
            <v>4</v>
          </cell>
          <cell r="M15" t="str">
            <v>AL15404P2</v>
          </cell>
          <cell r="N15">
            <v>99</v>
          </cell>
          <cell r="O15">
            <v>-99</v>
          </cell>
          <cell r="P15" t="e">
            <v>#DIV/0!</v>
          </cell>
          <cell r="Q15">
            <v>0</v>
          </cell>
        </row>
        <row r="16">
          <cell r="A16" t="str">
            <v>TECK</v>
          </cell>
          <cell r="B16">
            <v>10.199999999999999</v>
          </cell>
          <cell r="D16" t="str">
            <v>45AL1115</v>
          </cell>
          <cell r="E16">
            <v>12</v>
          </cell>
          <cell r="F16" t="str">
            <v>U8/8</v>
          </cell>
          <cell r="G16">
            <v>250</v>
          </cell>
          <cell r="H16" t="e">
            <v>#N/A</v>
          </cell>
          <cell r="I16" t="e">
            <v>#N/A</v>
          </cell>
          <cell r="J16" t="e">
            <v>#N/A</v>
          </cell>
          <cell r="K16">
            <v>4</v>
          </cell>
          <cell r="M16" t="str">
            <v>AL15410</v>
          </cell>
          <cell r="N16">
            <v>80</v>
          </cell>
          <cell r="O16">
            <v>2</v>
          </cell>
          <cell r="P16">
            <v>2.4390243902439025E-2</v>
          </cell>
          <cell r="Q16">
            <v>0</v>
          </cell>
        </row>
        <row r="17">
          <cell r="A17" t="str">
            <v>CHENE</v>
          </cell>
          <cell r="B17">
            <v>10.3</v>
          </cell>
          <cell r="D17" t="str">
            <v>45AL1210</v>
          </cell>
          <cell r="E17">
            <v>13</v>
          </cell>
          <cell r="F17" t="str">
            <v>U20/5</v>
          </cell>
          <cell r="G17">
            <v>250</v>
          </cell>
          <cell r="H17" t="e">
            <v>#N/A</v>
          </cell>
          <cell r="I17" t="e">
            <v>#N/A</v>
          </cell>
          <cell r="J17" t="e">
            <v>#N/A</v>
          </cell>
          <cell r="K17">
            <v>4</v>
          </cell>
          <cell r="M17" t="str">
            <v>AL15405P1</v>
          </cell>
          <cell r="N17">
            <v>96</v>
          </cell>
          <cell r="O17">
            <v>-96</v>
          </cell>
          <cell r="P17" t="e">
            <v>#DIV/0!</v>
          </cell>
          <cell r="Q17">
            <v>0</v>
          </cell>
        </row>
        <row r="18">
          <cell r="A18" t="str">
            <v>Jaune</v>
          </cell>
          <cell r="B18">
            <v>10.4</v>
          </cell>
          <cell r="D18" t="str">
            <v>45AL1211</v>
          </cell>
          <cell r="E18">
            <v>12</v>
          </cell>
          <cell r="F18" t="str">
            <v>U8/8</v>
          </cell>
          <cell r="G18">
            <v>250</v>
          </cell>
          <cell r="H18" t="e">
            <v>#N/A</v>
          </cell>
          <cell r="I18" t="e">
            <v>#N/A</v>
          </cell>
          <cell r="J18" t="e">
            <v>#N/A</v>
          </cell>
          <cell r="K18">
            <v>4</v>
          </cell>
          <cell r="M18" t="str">
            <v>AL15420</v>
          </cell>
          <cell r="N18">
            <v>3</v>
          </cell>
          <cell r="O18">
            <v>0</v>
          </cell>
          <cell r="P18">
            <v>0</v>
          </cell>
          <cell r="Q18">
            <v>0</v>
          </cell>
        </row>
        <row r="19">
          <cell r="A19" t="str">
            <v>CHPG</v>
          </cell>
          <cell r="B19">
            <v>11</v>
          </cell>
          <cell r="D19" t="str">
            <v>45AL1212</v>
          </cell>
          <cell r="E19">
            <v>12</v>
          </cell>
          <cell r="F19" t="str">
            <v>U8/8</v>
          </cell>
          <cell r="G19">
            <v>250</v>
          </cell>
          <cell r="H19" t="e">
            <v>#N/A</v>
          </cell>
          <cell r="I19" t="e">
            <v>#N/A</v>
          </cell>
          <cell r="J19" t="e">
            <v>#N/A</v>
          </cell>
          <cell r="K19">
            <v>4</v>
          </cell>
          <cell r="M19" t="str">
            <v>AL15421</v>
          </cell>
          <cell r="N19">
            <v>29</v>
          </cell>
          <cell r="O19">
            <v>-29</v>
          </cell>
          <cell r="P19" t="e">
            <v>#DIV/0!</v>
          </cell>
          <cell r="Q19">
            <v>0</v>
          </cell>
        </row>
        <row r="20">
          <cell r="A20" t="str">
            <v>SKEY</v>
          </cell>
          <cell r="B20">
            <v>12</v>
          </cell>
          <cell r="D20" t="str">
            <v>4600-101</v>
          </cell>
          <cell r="E20">
            <v>20</v>
          </cell>
          <cell r="K20">
            <v>1</v>
          </cell>
          <cell r="M20" t="str">
            <v>AL15422</v>
          </cell>
          <cell r="N20">
            <v>92</v>
          </cell>
          <cell r="O20">
            <v>0</v>
          </cell>
          <cell r="P20">
            <v>0</v>
          </cell>
          <cell r="Q20">
            <v>0</v>
          </cell>
        </row>
        <row r="21">
          <cell r="A21" t="str">
            <v>SAND</v>
          </cell>
          <cell r="B21">
            <v>13</v>
          </cell>
          <cell r="D21" t="str">
            <v>4600-103</v>
          </cell>
          <cell r="E21">
            <v>20</v>
          </cell>
          <cell r="K21">
            <v>1</v>
          </cell>
          <cell r="M21" t="str">
            <v>AL15423</v>
          </cell>
          <cell r="N21">
            <v>149</v>
          </cell>
          <cell r="O21">
            <v>-149</v>
          </cell>
          <cell r="P21" t="e">
            <v>#DIV/0!</v>
          </cell>
          <cell r="Q21">
            <v>0</v>
          </cell>
        </row>
        <row r="22">
          <cell r="A22" t="str">
            <v>R1019</v>
          </cell>
          <cell r="B22">
            <v>14</v>
          </cell>
          <cell r="D22" t="str">
            <v>4600-201</v>
          </cell>
          <cell r="E22">
            <v>20</v>
          </cell>
          <cell r="K22">
            <v>1</v>
          </cell>
          <cell r="M22" t="str">
            <v>AL15405P2</v>
          </cell>
          <cell r="N22">
            <v>124</v>
          </cell>
          <cell r="O22">
            <v>-124</v>
          </cell>
          <cell r="P22" t="e">
            <v>#DIV/0!</v>
          </cell>
          <cell r="Q22">
            <v>0</v>
          </cell>
        </row>
        <row r="23">
          <cell r="A23" t="str">
            <v>NOYER</v>
          </cell>
          <cell r="B23">
            <v>15</v>
          </cell>
          <cell r="D23" t="str">
            <v>4600-901</v>
          </cell>
          <cell r="E23">
            <v>20</v>
          </cell>
          <cell r="K23">
            <v>1</v>
          </cell>
          <cell r="M23" t="str">
            <v>KLHS7421</v>
          </cell>
          <cell r="N23">
            <v>0</v>
          </cell>
          <cell r="O23">
            <v>24</v>
          </cell>
          <cell r="P23">
            <v>1</v>
          </cell>
          <cell r="Q23">
            <v>0</v>
          </cell>
        </row>
        <row r="24">
          <cell r="A24" t="str">
            <v>ACAJOU</v>
          </cell>
          <cell r="B24">
            <v>15.1</v>
          </cell>
          <cell r="D24" t="str">
            <v>4600-905</v>
          </cell>
          <cell r="E24">
            <v>20</v>
          </cell>
          <cell r="K24">
            <v>1</v>
          </cell>
          <cell r="M24" t="str">
            <v>P031</v>
          </cell>
          <cell r="N24">
            <v>237</v>
          </cell>
          <cell r="O24">
            <v>262</v>
          </cell>
          <cell r="P24">
            <v>0.52505010020040077</v>
          </cell>
          <cell r="Q24">
            <v>252.875</v>
          </cell>
        </row>
        <row r="25">
          <cell r="A25" t="str">
            <v>R1021</v>
          </cell>
          <cell r="B25">
            <v>15.55</v>
          </cell>
          <cell r="D25" t="str">
            <v>4600-906</v>
          </cell>
          <cell r="E25">
            <v>20</v>
          </cell>
          <cell r="K25">
            <v>1</v>
          </cell>
          <cell r="M25" t="str">
            <v>P010</v>
          </cell>
          <cell r="N25">
            <v>92</v>
          </cell>
          <cell r="O25">
            <v>1</v>
          </cell>
          <cell r="P25">
            <v>1.0752688172043012E-2</v>
          </cell>
          <cell r="Q25">
            <v>56</v>
          </cell>
        </row>
        <row r="26">
          <cell r="A26" t="str">
            <v>WENGE</v>
          </cell>
          <cell r="B26">
            <v>16</v>
          </cell>
          <cell r="D26" t="str">
            <v>4600-907</v>
          </cell>
          <cell r="E26">
            <v>20</v>
          </cell>
          <cell r="K26">
            <v>1</v>
          </cell>
          <cell r="M26" t="str">
            <v>P039</v>
          </cell>
          <cell r="N26">
            <v>0</v>
          </cell>
          <cell r="O26">
            <v>12</v>
          </cell>
          <cell r="P26">
            <v>1</v>
          </cell>
          <cell r="Q26">
            <v>28.5</v>
          </cell>
        </row>
        <row r="27">
          <cell r="A27" t="str">
            <v>WAPA</v>
          </cell>
          <cell r="B27">
            <v>17</v>
          </cell>
          <cell r="D27" t="str">
            <v>4600-908</v>
          </cell>
          <cell r="E27">
            <v>20</v>
          </cell>
          <cell r="K27">
            <v>1</v>
          </cell>
          <cell r="M27" t="str">
            <v>P663</v>
          </cell>
          <cell r="N27">
            <v>100</v>
          </cell>
          <cell r="O27">
            <v>0</v>
          </cell>
          <cell r="P27">
            <v>0</v>
          </cell>
          <cell r="Q27">
            <v>0</v>
          </cell>
        </row>
        <row r="28">
          <cell r="A28" t="str">
            <v>SIPO</v>
          </cell>
          <cell r="B28">
            <v>18</v>
          </cell>
          <cell r="D28" t="str">
            <v>60AL2110</v>
          </cell>
          <cell r="E28">
            <v>12</v>
          </cell>
          <cell r="F28" t="str">
            <v>U8/8</v>
          </cell>
          <cell r="G28">
            <v>250</v>
          </cell>
          <cell r="H28" t="e">
            <v>#N/A</v>
          </cell>
          <cell r="I28" t="e">
            <v>#N/A</v>
          </cell>
          <cell r="J28" t="e">
            <v>#N/A</v>
          </cell>
          <cell r="K28">
            <v>4</v>
          </cell>
          <cell r="M28" t="str">
            <v>P007</v>
          </cell>
          <cell r="N28">
            <v>121</v>
          </cell>
          <cell r="O28">
            <v>133</v>
          </cell>
          <cell r="P28">
            <v>0.52362204724409445</v>
          </cell>
          <cell r="Q28">
            <v>0</v>
          </cell>
        </row>
        <row r="29">
          <cell r="A29" t="str">
            <v>CORINA</v>
          </cell>
          <cell r="B29">
            <v>19</v>
          </cell>
          <cell r="D29" t="str">
            <v>60AL2111</v>
          </cell>
          <cell r="E29">
            <v>12</v>
          </cell>
          <cell r="F29" t="str">
            <v>U8/8</v>
          </cell>
          <cell r="G29">
            <v>250</v>
          </cell>
          <cell r="H29" t="e">
            <v>#N/A</v>
          </cell>
          <cell r="I29" t="e">
            <v>#N/A</v>
          </cell>
          <cell r="J29" t="e">
            <v>#N/A</v>
          </cell>
          <cell r="K29">
            <v>4</v>
          </cell>
          <cell r="M29" t="str">
            <v>P013</v>
          </cell>
          <cell r="N29">
            <v>630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PALMIER</v>
          </cell>
          <cell r="B30">
            <v>20</v>
          </cell>
          <cell r="D30" t="str">
            <v>60AL2112</v>
          </cell>
          <cell r="E30">
            <v>14</v>
          </cell>
          <cell r="F30" t="str">
            <v>BZ14</v>
          </cell>
          <cell r="G30">
            <v>250</v>
          </cell>
          <cell r="K30">
            <v>4</v>
          </cell>
          <cell r="M30" t="str">
            <v>P650</v>
          </cell>
          <cell r="N30">
            <v>83</v>
          </cell>
          <cell r="O30">
            <v>0</v>
          </cell>
          <cell r="P30">
            <v>0</v>
          </cell>
          <cell r="Q30">
            <v>0</v>
          </cell>
        </row>
        <row r="31">
          <cell r="A31" t="str">
            <v>IROKO</v>
          </cell>
          <cell r="B31">
            <v>21</v>
          </cell>
          <cell r="D31" t="str">
            <v>60AL2210</v>
          </cell>
          <cell r="E31">
            <v>12</v>
          </cell>
          <cell r="F31" t="str">
            <v>U8/8</v>
          </cell>
          <cell r="G31">
            <v>250</v>
          </cell>
          <cell r="H31" t="e">
            <v>#N/A</v>
          </cell>
          <cell r="I31" t="e">
            <v>#N/A</v>
          </cell>
          <cell r="J31" t="e">
            <v>#N/A</v>
          </cell>
          <cell r="K31">
            <v>4</v>
          </cell>
          <cell r="M31" t="str">
            <v>P660</v>
          </cell>
          <cell r="N31">
            <v>136</v>
          </cell>
          <cell r="O31">
            <v>1</v>
          </cell>
          <cell r="P31">
            <v>7.2992700729927005E-3</v>
          </cell>
          <cell r="Q31">
            <v>0</v>
          </cell>
        </row>
        <row r="32">
          <cell r="A32" t="str">
            <v>GRIS</v>
          </cell>
          <cell r="B32">
            <v>22</v>
          </cell>
          <cell r="D32" t="str">
            <v>60AL2211</v>
          </cell>
          <cell r="E32">
            <v>13</v>
          </cell>
          <cell r="F32" t="str">
            <v>U20/5</v>
          </cell>
          <cell r="G32">
            <v>250</v>
          </cell>
          <cell r="H32" t="e">
            <v>#N/A</v>
          </cell>
          <cell r="I32" t="e">
            <v>#N/A</v>
          </cell>
          <cell r="J32" t="e">
            <v>#N/A</v>
          </cell>
          <cell r="K32">
            <v>4</v>
          </cell>
          <cell r="M32" t="str">
            <v>P662</v>
          </cell>
          <cell r="N32">
            <v>0</v>
          </cell>
          <cell r="O32">
            <v>0</v>
          </cell>
          <cell r="P32" t="e">
            <v>#DIV/0!</v>
          </cell>
          <cell r="Q32">
            <v>0</v>
          </cell>
        </row>
        <row r="33">
          <cell r="A33" t="str">
            <v>R9007</v>
          </cell>
          <cell r="B33">
            <v>22.1</v>
          </cell>
          <cell r="D33" t="str">
            <v>60AL2212</v>
          </cell>
          <cell r="E33">
            <v>12</v>
          </cell>
          <cell r="F33" t="str">
            <v>U8/8</v>
          </cell>
          <cell r="G33">
            <v>250</v>
          </cell>
          <cell r="H33" t="e">
            <v>#N/A</v>
          </cell>
          <cell r="I33" t="e">
            <v>#N/A</v>
          </cell>
          <cell r="J33" t="e">
            <v>#N/A</v>
          </cell>
          <cell r="K33">
            <v>4</v>
          </cell>
          <cell r="M33" t="str">
            <v>CO101</v>
          </cell>
          <cell r="N33">
            <v>173</v>
          </cell>
          <cell r="O33">
            <v>94</v>
          </cell>
          <cell r="P33">
            <v>0.35205992509363299</v>
          </cell>
          <cell r="Q33">
            <v>108.55555555555556</v>
          </cell>
        </row>
        <row r="34">
          <cell r="A34" t="str">
            <v>Ral 9006</v>
          </cell>
          <cell r="B34">
            <v>22.2</v>
          </cell>
          <cell r="D34" t="str">
            <v>60AL2213</v>
          </cell>
          <cell r="E34">
            <v>12</v>
          </cell>
          <cell r="F34" t="str">
            <v>U8/8</v>
          </cell>
          <cell r="G34">
            <v>250</v>
          </cell>
          <cell r="H34" t="e">
            <v>#N/A</v>
          </cell>
          <cell r="I34" t="e">
            <v>#N/A</v>
          </cell>
          <cell r="J34" t="e">
            <v>#N/A</v>
          </cell>
          <cell r="K34">
            <v>4</v>
          </cell>
          <cell r="M34" t="str">
            <v>CO102</v>
          </cell>
          <cell r="N34">
            <v>0</v>
          </cell>
          <cell r="O34">
            <v>32</v>
          </cell>
          <cell r="P34">
            <v>1</v>
          </cell>
          <cell r="Q34">
            <v>180.66666666666666</v>
          </cell>
        </row>
        <row r="35">
          <cell r="A35" t="str">
            <v>GALET</v>
          </cell>
          <cell r="B35">
            <v>23</v>
          </cell>
          <cell r="D35" t="str">
            <v>60AL2214</v>
          </cell>
          <cell r="E35">
            <v>12</v>
          </cell>
          <cell r="F35" t="str">
            <v>U8/8</v>
          </cell>
          <cell r="G35">
            <v>250</v>
          </cell>
          <cell r="H35" t="e">
            <v>#N/A</v>
          </cell>
          <cell r="I35" t="e">
            <v>#N/A</v>
          </cell>
          <cell r="J35" t="e">
            <v>#N/A</v>
          </cell>
          <cell r="K35">
            <v>4</v>
          </cell>
          <cell r="M35" t="str">
            <v>CO103</v>
          </cell>
          <cell r="N35">
            <v>13</v>
          </cell>
          <cell r="O35">
            <v>126</v>
          </cell>
          <cell r="P35">
            <v>0.90647482014388492</v>
          </cell>
          <cell r="Q35">
            <v>593.63636363636363</v>
          </cell>
        </row>
        <row r="36">
          <cell r="A36" t="str">
            <v>R7044</v>
          </cell>
          <cell r="B36">
            <v>23.5</v>
          </cell>
          <cell r="D36" t="str">
            <v>60AL2215</v>
          </cell>
          <cell r="E36">
            <v>12</v>
          </cell>
          <cell r="F36" t="str">
            <v>U8/8</v>
          </cell>
          <cell r="G36">
            <v>250</v>
          </cell>
          <cell r="H36" t="e">
            <v>#N/A</v>
          </cell>
          <cell r="I36" t="e">
            <v>#N/A</v>
          </cell>
          <cell r="J36" t="e">
            <v>#N/A</v>
          </cell>
          <cell r="K36">
            <v>4</v>
          </cell>
          <cell r="M36" t="str">
            <v>CO104</v>
          </cell>
          <cell r="N36">
            <v>1</v>
          </cell>
          <cell r="O36">
            <v>2</v>
          </cell>
          <cell r="P36">
            <v>0.66666666666666663</v>
          </cell>
          <cell r="Q36">
            <v>344.5</v>
          </cell>
        </row>
        <row r="37">
          <cell r="A37" t="str">
            <v>Grey</v>
          </cell>
          <cell r="B37">
            <v>24</v>
          </cell>
          <cell r="D37" t="str">
            <v>80114/1</v>
          </cell>
          <cell r="E37">
            <v>20</v>
          </cell>
          <cell r="F37" t="str">
            <v>BZ20</v>
          </cell>
          <cell r="G37">
            <v>250</v>
          </cell>
          <cell r="H37" t="e">
            <v>#N/A</v>
          </cell>
          <cell r="I37" t="e">
            <v>#N/A</v>
          </cell>
          <cell r="J37" t="e">
            <v>#N/A</v>
          </cell>
          <cell r="K37">
            <v>4</v>
          </cell>
          <cell r="M37" t="str">
            <v>CO105</v>
          </cell>
          <cell r="N37">
            <v>6</v>
          </cell>
          <cell r="O37">
            <v>189</v>
          </cell>
          <cell r="P37">
            <v>0.96923076923076923</v>
          </cell>
          <cell r="Q37">
            <v>375.1</v>
          </cell>
        </row>
        <row r="38">
          <cell r="A38" t="str">
            <v>GRISG</v>
          </cell>
          <cell r="B38">
            <v>25</v>
          </cell>
          <cell r="D38" t="str">
            <v>AL11026</v>
          </cell>
          <cell r="E38">
            <v>10</v>
          </cell>
          <cell r="F38" t="str">
            <v>BCS10</v>
          </cell>
          <cell r="G38">
            <v>26</v>
          </cell>
          <cell r="H38">
            <v>0.28860000000000002</v>
          </cell>
          <cell r="I38" t="e">
            <v>#N/A</v>
          </cell>
          <cell r="J38" t="str">
            <v xml:space="preserve"> Emballage</v>
          </cell>
          <cell r="K38">
            <v>5.7720000000000002</v>
          </cell>
          <cell r="M38" t="str">
            <v>CO106</v>
          </cell>
          <cell r="N38">
            <v>1</v>
          </cell>
          <cell r="O38">
            <v>22</v>
          </cell>
          <cell r="P38">
            <v>0.95652173913043481</v>
          </cell>
          <cell r="Q38">
            <v>453.90909090909093</v>
          </cell>
        </row>
        <row r="39">
          <cell r="A39" t="str">
            <v>Green</v>
          </cell>
          <cell r="B39">
            <v>26</v>
          </cell>
          <cell r="D39" t="str">
            <v>AL11144/1,1</v>
          </cell>
          <cell r="E39">
            <v>20</v>
          </cell>
          <cell r="F39" t="str">
            <v>BZ20</v>
          </cell>
          <cell r="G39">
            <v>250</v>
          </cell>
          <cell r="H39" t="e">
            <v>#N/A</v>
          </cell>
          <cell r="I39" t="e">
            <v>#N/A</v>
          </cell>
          <cell r="J39" t="e">
            <v>#N/A</v>
          </cell>
          <cell r="K39">
            <v>2</v>
          </cell>
          <cell r="M39" t="str">
            <v>CO107</v>
          </cell>
          <cell r="N39">
            <v>0</v>
          </cell>
          <cell r="O39">
            <v>43</v>
          </cell>
          <cell r="P39">
            <v>1</v>
          </cell>
          <cell r="Q39">
            <v>121.75</v>
          </cell>
        </row>
        <row r="40">
          <cell r="A40" t="str">
            <v>R6005</v>
          </cell>
          <cell r="B40">
            <v>26.5</v>
          </cell>
          <cell r="D40" t="str">
            <v>AL11144/1,2</v>
          </cell>
          <cell r="E40">
            <v>20</v>
          </cell>
          <cell r="F40" t="str">
            <v>BZ20</v>
          </cell>
          <cell r="G40">
            <v>250</v>
          </cell>
          <cell r="H40" t="e">
            <v>#N/A</v>
          </cell>
          <cell r="I40" t="e">
            <v>#N/A</v>
          </cell>
          <cell r="J40" t="e">
            <v>#N/A</v>
          </cell>
          <cell r="K40">
            <v>2</v>
          </cell>
          <cell r="M40" t="str">
            <v>CO108</v>
          </cell>
          <cell r="N40">
            <v>0</v>
          </cell>
          <cell r="O40">
            <v>8</v>
          </cell>
          <cell r="P40">
            <v>1</v>
          </cell>
          <cell r="Q40">
            <v>98.833333333333329</v>
          </cell>
        </row>
        <row r="41">
          <cell r="A41" t="str">
            <v>Sea</v>
          </cell>
          <cell r="B41">
            <v>27</v>
          </cell>
          <cell r="D41" t="str">
            <v>AL11144/1,3</v>
          </cell>
          <cell r="E41">
            <v>20</v>
          </cell>
          <cell r="F41" t="str">
            <v>BZ20</v>
          </cell>
          <cell r="G41">
            <v>250</v>
          </cell>
          <cell r="H41" t="e">
            <v>#N/A</v>
          </cell>
          <cell r="I41" t="e">
            <v>#N/A</v>
          </cell>
          <cell r="J41" t="e">
            <v>#N/A</v>
          </cell>
          <cell r="K41">
            <v>2</v>
          </cell>
          <cell r="M41" t="str">
            <v>CO110</v>
          </cell>
          <cell r="N41">
            <v>1</v>
          </cell>
          <cell r="O41">
            <v>7</v>
          </cell>
          <cell r="P41">
            <v>0.875</v>
          </cell>
          <cell r="Q41">
            <v>134</v>
          </cell>
        </row>
        <row r="42">
          <cell r="A42" t="str">
            <v>Quartz</v>
          </cell>
          <cell r="B42">
            <v>28</v>
          </cell>
          <cell r="D42" t="str">
            <v>AL11144/1,5</v>
          </cell>
          <cell r="E42">
            <v>20</v>
          </cell>
          <cell r="F42" t="str">
            <v>BZ20</v>
          </cell>
          <cell r="G42">
            <v>250</v>
          </cell>
          <cell r="H42" t="e">
            <v>#N/A</v>
          </cell>
          <cell r="I42" t="e">
            <v>#N/A</v>
          </cell>
          <cell r="J42" t="e">
            <v>#N/A</v>
          </cell>
          <cell r="K42">
            <v>2</v>
          </cell>
          <cell r="M42" t="str">
            <v>CO114</v>
          </cell>
          <cell r="N42">
            <v>1</v>
          </cell>
          <cell r="O42">
            <v>336</v>
          </cell>
          <cell r="P42">
            <v>0.9970326409495549</v>
          </cell>
          <cell r="Q42">
            <v>2162.818181818182</v>
          </cell>
        </row>
        <row r="43">
          <cell r="A43" t="str">
            <v>Otarie</v>
          </cell>
          <cell r="B43">
            <v>29</v>
          </cell>
          <cell r="D43" t="str">
            <v>AL244/1,2</v>
          </cell>
          <cell r="E43">
            <v>13</v>
          </cell>
          <cell r="F43" t="str">
            <v>U20/5</v>
          </cell>
          <cell r="G43">
            <v>250</v>
          </cell>
          <cell r="H43" t="e">
            <v>#N/A</v>
          </cell>
          <cell r="I43" t="e">
            <v>#N/A</v>
          </cell>
          <cell r="J43" t="e">
            <v>#N/A</v>
          </cell>
          <cell r="K43">
            <v>4</v>
          </cell>
          <cell r="M43" t="str">
            <v>CO116</v>
          </cell>
          <cell r="N43">
            <v>770</v>
          </cell>
          <cell r="O43">
            <v>11945.00072</v>
          </cell>
          <cell r="P43">
            <v>0.93944160783342845</v>
          </cell>
          <cell r="Q43">
            <v>851.28571428571433</v>
          </cell>
        </row>
        <row r="44">
          <cell r="A44" t="str">
            <v>COOL</v>
          </cell>
          <cell r="B44">
            <v>30</v>
          </cell>
          <cell r="D44" t="str">
            <v>AL349/1,2</v>
          </cell>
          <cell r="E44">
            <v>20</v>
          </cell>
          <cell r="F44" t="str">
            <v>BZ20</v>
          </cell>
          <cell r="G44">
            <v>250</v>
          </cell>
          <cell r="H44" t="e">
            <v>#N/A</v>
          </cell>
          <cell r="I44" t="e">
            <v>#N/A</v>
          </cell>
          <cell r="J44" t="e">
            <v>#N/A</v>
          </cell>
          <cell r="K44">
            <v>2</v>
          </cell>
          <cell r="M44" t="str">
            <v>CO124</v>
          </cell>
          <cell r="N44">
            <v>216</v>
          </cell>
          <cell r="O44">
            <v>24</v>
          </cell>
          <cell r="P44">
            <v>0.1</v>
          </cell>
          <cell r="Q44">
            <v>37.666666666666664</v>
          </cell>
        </row>
        <row r="45">
          <cell r="A45" t="str">
            <v>R7016</v>
          </cell>
          <cell r="B45">
            <v>31</v>
          </cell>
          <cell r="D45" t="str">
            <v>AL40122</v>
          </cell>
          <cell r="E45">
            <v>9</v>
          </cell>
          <cell r="F45" t="str">
            <v>U20/5</v>
          </cell>
          <cell r="G45">
            <v>129</v>
          </cell>
          <cell r="H45">
            <v>0.357825</v>
          </cell>
          <cell r="I45" t="e">
            <v>#N/A</v>
          </cell>
          <cell r="J45" t="str">
            <v xml:space="preserve"> Emballage-Adhésif</v>
          </cell>
          <cell r="K45">
            <v>7.1564999999999994</v>
          </cell>
          <cell r="M45" t="str">
            <v>AL80114</v>
          </cell>
          <cell r="N45">
            <v>0</v>
          </cell>
          <cell r="O45">
            <v>155</v>
          </cell>
          <cell r="P45">
            <v>1</v>
          </cell>
          <cell r="Q45">
            <v>0</v>
          </cell>
        </row>
        <row r="46">
          <cell r="A46" t="str">
            <v>R8019</v>
          </cell>
          <cell r="B46">
            <v>32</v>
          </cell>
          <cell r="D46" t="str">
            <v>AL40123</v>
          </cell>
          <cell r="E46">
            <v>9</v>
          </cell>
          <cell r="F46" t="str">
            <v>U20/5</v>
          </cell>
          <cell r="G46">
            <v>163</v>
          </cell>
          <cell r="H46">
            <v>0.43874999999999997</v>
          </cell>
          <cell r="I46" t="e">
            <v>#N/A</v>
          </cell>
          <cell r="J46" t="str">
            <v xml:space="preserve"> Emballage-Adhésif</v>
          </cell>
          <cell r="K46">
            <v>8.7750000000000004</v>
          </cell>
          <cell r="M46" t="str">
            <v>AL40122</v>
          </cell>
          <cell r="N46">
            <v>149</v>
          </cell>
          <cell r="O46">
            <v>7</v>
          </cell>
          <cell r="P46">
            <v>4.4871794871794872E-2</v>
          </cell>
          <cell r="Q46">
            <v>27.5</v>
          </cell>
        </row>
        <row r="47">
          <cell r="A47" t="str">
            <v>Bean</v>
          </cell>
          <cell r="B47">
            <v>33</v>
          </cell>
          <cell r="D47" t="str">
            <v>AL40133</v>
          </cell>
          <cell r="E47">
            <v>20</v>
          </cell>
          <cell r="F47" t="str">
            <v>BZ20</v>
          </cell>
          <cell r="G47">
            <v>124</v>
          </cell>
          <cell r="H47">
            <v>4.6800000000000001E-2</v>
          </cell>
          <cell r="I47" t="e">
            <v>#N/A</v>
          </cell>
          <cell r="J47" t="str">
            <v xml:space="preserve"> Emballage</v>
          </cell>
          <cell r="K47">
            <v>0.93599999999999994</v>
          </cell>
          <cell r="M47" t="str">
            <v>AL40123</v>
          </cell>
          <cell r="N47">
            <v>0</v>
          </cell>
          <cell r="O47">
            <v>3</v>
          </cell>
          <cell r="P47">
            <v>1</v>
          </cell>
          <cell r="Q47">
            <v>0</v>
          </cell>
        </row>
        <row r="48">
          <cell r="A48" t="str">
            <v>Sweet</v>
          </cell>
          <cell r="B48">
            <v>35</v>
          </cell>
          <cell r="D48" t="str">
            <v>AL40165</v>
          </cell>
          <cell r="E48">
            <v>13</v>
          </cell>
          <cell r="F48" t="str">
            <v>U20/5</v>
          </cell>
          <cell r="G48">
            <v>27</v>
          </cell>
          <cell r="H48">
            <v>0.23139999999999999</v>
          </cell>
          <cell r="I48" t="e">
            <v>#N/A</v>
          </cell>
          <cell r="J48" t="str">
            <v xml:space="preserve"> Emballage-Adhésif</v>
          </cell>
          <cell r="K48">
            <v>4.6280000000000001</v>
          </cell>
          <cell r="M48" t="str">
            <v>AL40133</v>
          </cell>
          <cell r="N48">
            <v>319</v>
          </cell>
          <cell r="O48">
            <v>43</v>
          </cell>
          <cell r="P48">
            <v>0.11878453038674033</v>
          </cell>
          <cell r="Q48">
            <v>27</v>
          </cell>
        </row>
        <row r="49">
          <cell r="A49" t="str">
            <v>NOCE</v>
          </cell>
          <cell r="B49">
            <v>36</v>
          </cell>
          <cell r="D49" t="str">
            <v>AL40200</v>
          </cell>
          <cell r="E49">
            <v>13</v>
          </cell>
          <cell r="F49" t="str">
            <v>U20/5</v>
          </cell>
          <cell r="G49">
            <v>29</v>
          </cell>
          <cell r="H49">
            <v>0.2535</v>
          </cell>
          <cell r="I49" t="e">
            <v>#N/A</v>
          </cell>
          <cell r="J49" t="str">
            <v xml:space="preserve"> Emballage-Adhésif</v>
          </cell>
          <cell r="K49">
            <v>5.07</v>
          </cell>
          <cell r="M49" t="str">
            <v>AL40165</v>
          </cell>
          <cell r="N49">
            <v>639</v>
          </cell>
          <cell r="O49">
            <v>158</v>
          </cell>
          <cell r="P49">
            <v>0.19824341279799249</v>
          </cell>
          <cell r="Q49">
            <v>73.444444444444443</v>
          </cell>
        </row>
        <row r="50">
          <cell r="A50" t="str">
            <v>R5015</v>
          </cell>
          <cell r="B50">
            <v>36.5</v>
          </cell>
          <cell r="D50" t="str">
            <v>AL40202</v>
          </cell>
          <cell r="E50">
            <v>13</v>
          </cell>
          <cell r="F50" t="str">
            <v>U20/5</v>
          </cell>
          <cell r="G50">
            <v>134</v>
          </cell>
          <cell r="H50">
            <v>0.24082499999999998</v>
          </cell>
          <cell r="I50" t="e">
            <v>#N/A</v>
          </cell>
          <cell r="J50" t="str">
            <v xml:space="preserve"> Emballage-Adhésif</v>
          </cell>
          <cell r="K50">
            <v>4.8164999999999996</v>
          </cell>
          <cell r="M50" t="str">
            <v>AL40200</v>
          </cell>
          <cell r="N50">
            <v>360</v>
          </cell>
          <cell r="O50">
            <v>47</v>
          </cell>
          <cell r="P50">
            <v>0.11547911547911548</v>
          </cell>
          <cell r="Q50">
            <v>92.125</v>
          </cell>
        </row>
        <row r="51">
          <cell r="A51" t="str">
            <v>NOIR</v>
          </cell>
          <cell r="B51">
            <v>37</v>
          </cell>
          <cell r="D51" t="str">
            <v>AL80104</v>
          </cell>
          <cell r="E51">
            <v>13</v>
          </cell>
          <cell r="F51" t="str">
            <v>U20/5</v>
          </cell>
          <cell r="G51">
            <v>126</v>
          </cell>
          <cell r="H51">
            <v>0.20864999999999997</v>
          </cell>
          <cell r="I51" t="e">
            <v>#N/A</v>
          </cell>
          <cell r="J51" t="str">
            <v xml:space="preserve"> Emballage-Adhésif</v>
          </cell>
          <cell r="K51">
            <v>4.173</v>
          </cell>
          <cell r="M51" t="str">
            <v>AL80104</v>
          </cell>
          <cell r="N51">
            <v>149</v>
          </cell>
          <cell r="O51">
            <v>38</v>
          </cell>
          <cell r="P51">
            <v>0.20320855614973263</v>
          </cell>
          <cell r="Q51">
            <v>17.5</v>
          </cell>
        </row>
        <row r="52">
          <cell r="A52" t="str">
            <v>R9005BR</v>
          </cell>
          <cell r="B52">
            <v>37.5</v>
          </cell>
          <cell r="D52" t="str">
            <v>AL80105</v>
          </cell>
          <cell r="E52">
            <v>13</v>
          </cell>
          <cell r="F52" t="str">
            <v>U20/5</v>
          </cell>
          <cell r="G52">
            <v>56</v>
          </cell>
          <cell r="H52">
            <v>0.17615</v>
          </cell>
          <cell r="I52" t="e">
            <v>#N/A</v>
          </cell>
          <cell r="J52" t="str">
            <v xml:space="preserve"> Emballage-Adhésif</v>
          </cell>
          <cell r="K52">
            <v>3.5230000000000001</v>
          </cell>
          <cell r="M52" t="str">
            <v>AL80105</v>
          </cell>
          <cell r="N52">
            <v>165</v>
          </cell>
          <cell r="O52">
            <v>16</v>
          </cell>
          <cell r="P52">
            <v>8.8397790055248615E-2</v>
          </cell>
          <cell r="Q52">
            <v>19.571428571428573</v>
          </cell>
        </row>
        <row r="53">
          <cell r="A53" t="str">
            <v>DARK</v>
          </cell>
          <cell r="B53">
            <v>38</v>
          </cell>
          <cell r="D53" t="str">
            <v>AL80106</v>
          </cell>
          <cell r="E53">
            <v>15</v>
          </cell>
          <cell r="F53" t="str">
            <v>BV15</v>
          </cell>
          <cell r="G53">
            <v>67</v>
          </cell>
          <cell r="H53">
            <v>0.19597499999999995</v>
          </cell>
          <cell r="I53" t="e">
            <v>#N/A</v>
          </cell>
          <cell r="J53" t="str">
            <v xml:space="preserve"> Emballage-Adhésif</v>
          </cell>
          <cell r="K53">
            <v>3.9194999999999998</v>
          </cell>
          <cell r="M53" t="str">
            <v>AL80106</v>
          </cell>
          <cell r="N53">
            <v>310</v>
          </cell>
          <cell r="O53">
            <v>45</v>
          </cell>
          <cell r="P53">
            <v>0.12676056338028169</v>
          </cell>
          <cell r="Q53">
            <v>28.333333333333332</v>
          </cell>
        </row>
        <row r="54">
          <cell r="A54" t="str">
            <v>GAYA</v>
          </cell>
          <cell r="B54">
            <v>39</v>
          </cell>
          <cell r="D54" t="str">
            <v>AL80114</v>
          </cell>
          <cell r="E54">
            <v>20</v>
          </cell>
          <cell r="F54" t="str">
            <v>BZ20</v>
          </cell>
          <cell r="G54">
            <v>250</v>
          </cell>
          <cell r="H54" t="e">
            <v>#N/A</v>
          </cell>
          <cell r="I54" t="e">
            <v>#N/A</v>
          </cell>
          <cell r="J54" t="e">
            <v>#N/A</v>
          </cell>
          <cell r="K54">
            <v>2</v>
          </cell>
          <cell r="M54" t="str">
            <v>AL80114/1</v>
          </cell>
          <cell r="N54">
            <v>1227</v>
          </cell>
          <cell r="O54">
            <v>82</v>
          </cell>
          <cell r="P54">
            <v>6.2643239113827354E-2</v>
          </cell>
          <cell r="Q54">
            <v>54</v>
          </cell>
        </row>
        <row r="55">
          <cell r="A55" t="str">
            <v>R1014</v>
          </cell>
          <cell r="B55" t="str">
            <v>x</v>
          </cell>
          <cell r="D55" t="str">
            <v>AL80114/1</v>
          </cell>
          <cell r="E55">
            <v>20</v>
          </cell>
          <cell r="F55" t="str">
            <v>BH12</v>
          </cell>
          <cell r="G55">
            <v>30</v>
          </cell>
          <cell r="H55">
            <v>6.7275000000000001E-2</v>
          </cell>
          <cell r="I55" t="e">
            <v>#N/A</v>
          </cell>
          <cell r="J55" t="str">
            <v xml:space="preserve"> Emballage</v>
          </cell>
          <cell r="K55">
            <v>1.3454999999999999</v>
          </cell>
          <cell r="M55" t="str">
            <v>AL80120</v>
          </cell>
          <cell r="N55">
            <v>163</v>
          </cell>
          <cell r="O55">
            <v>381</v>
          </cell>
          <cell r="P55">
            <v>0.70036764705882348</v>
          </cell>
          <cell r="Q55">
            <v>7</v>
          </cell>
        </row>
        <row r="56">
          <cell r="A56" t="str">
            <v>R9015</v>
          </cell>
          <cell r="B56" t="str">
            <v>x</v>
          </cell>
          <cell r="D56" t="str">
            <v>AL80120</v>
          </cell>
          <cell r="E56">
            <v>12</v>
          </cell>
          <cell r="F56" t="str">
            <v>BZ20</v>
          </cell>
          <cell r="G56">
            <v>112</v>
          </cell>
          <cell r="H56">
            <v>0.2457</v>
          </cell>
          <cell r="I56" t="e">
            <v>#N/A</v>
          </cell>
          <cell r="J56" t="str">
            <v xml:space="preserve"> Emballage</v>
          </cell>
          <cell r="K56">
            <v>4.9139999999999997</v>
          </cell>
          <cell r="M56" t="str">
            <v>AL80121</v>
          </cell>
          <cell r="N56">
            <v>609</v>
          </cell>
          <cell r="O56">
            <v>43</v>
          </cell>
          <cell r="P56">
            <v>6.5950920245398767E-2</v>
          </cell>
          <cell r="Q56">
            <v>41.666666666666664</v>
          </cell>
        </row>
        <row r="57">
          <cell r="A57" t="str">
            <v>R7021</v>
          </cell>
          <cell r="B57">
            <v>31.5</v>
          </cell>
          <cell r="D57" t="str">
            <v>AL80121</v>
          </cell>
          <cell r="E57">
            <v>12</v>
          </cell>
          <cell r="F57" t="str">
            <v>BH12</v>
          </cell>
          <cell r="G57">
            <v>31</v>
          </cell>
          <cell r="H57">
            <v>0.29022500000000001</v>
          </cell>
          <cell r="I57" t="e">
            <v>#N/A</v>
          </cell>
          <cell r="J57" t="str">
            <v xml:space="preserve"> Emballage</v>
          </cell>
          <cell r="K57">
            <v>5.8045</v>
          </cell>
          <cell r="M57" t="str">
            <v>CSQ101</v>
          </cell>
          <cell r="N57">
            <v>0</v>
          </cell>
          <cell r="O57">
            <v>433</v>
          </cell>
          <cell r="P57">
            <v>1</v>
          </cell>
          <cell r="Q57">
            <v>44.777777777777779</v>
          </cell>
        </row>
        <row r="58">
          <cell r="A58" t="str">
            <v>R3020</v>
          </cell>
          <cell r="B58">
            <v>36.700000000000003</v>
          </cell>
          <cell r="D58" t="str">
            <v>ALL11026</v>
          </cell>
          <cell r="E58">
            <v>10</v>
          </cell>
          <cell r="F58" t="str">
            <v>BCS10</v>
          </cell>
          <cell r="G58">
            <v>250</v>
          </cell>
          <cell r="H58" t="e">
            <v>#N/A</v>
          </cell>
          <cell r="I58" t="e">
            <v>#N/A</v>
          </cell>
          <cell r="J58" t="e">
            <v>#N/A</v>
          </cell>
          <cell r="K58">
            <v>4</v>
          </cell>
          <cell r="M58" t="str">
            <v>CSQ102</v>
          </cell>
          <cell r="N58">
            <v>84</v>
          </cell>
          <cell r="O58">
            <v>1</v>
          </cell>
          <cell r="P58">
            <v>1.1764705882352941E-2</v>
          </cell>
          <cell r="Q58">
            <v>266.66666666666669</v>
          </cell>
        </row>
        <row r="59">
          <cell r="A59" t="str">
            <v>R7023G</v>
          </cell>
          <cell r="B59">
            <v>11.5</v>
          </cell>
          <cell r="D59" t="str">
            <v>ALL11142/1.1</v>
          </cell>
          <cell r="E59">
            <v>20</v>
          </cell>
          <cell r="F59" t="str">
            <v>BZ20</v>
          </cell>
          <cell r="G59">
            <v>117</v>
          </cell>
          <cell r="H59">
            <v>5.1699999999999996E-2</v>
          </cell>
          <cell r="I59" t="e">
            <v>#N/A</v>
          </cell>
          <cell r="J59" t="str">
            <v xml:space="preserve"> Emballage</v>
          </cell>
          <cell r="K59">
            <v>1.034</v>
          </cell>
          <cell r="M59" t="str">
            <v>CSQ103</v>
          </cell>
          <cell r="N59">
            <v>1535</v>
          </cell>
          <cell r="O59">
            <v>4</v>
          </cell>
          <cell r="P59">
            <v>2.5990903183885639E-3</v>
          </cell>
          <cell r="Q59">
            <v>153</v>
          </cell>
        </row>
        <row r="60">
          <cell r="A60" t="str">
            <v>R6002</v>
          </cell>
          <cell r="B60">
            <v>26.4</v>
          </cell>
          <cell r="D60" t="str">
            <v>ALL11144/1.2</v>
          </cell>
          <cell r="E60">
            <v>20</v>
          </cell>
          <cell r="F60" t="str">
            <v>BZ20</v>
          </cell>
          <cell r="G60">
            <v>59</v>
          </cell>
          <cell r="H60">
            <v>4.1299999999999996E-2</v>
          </cell>
          <cell r="I60" t="e">
            <v>#N/A</v>
          </cell>
          <cell r="J60" t="str">
            <v xml:space="preserve"> Emballage</v>
          </cell>
          <cell r="K60">
            <v>0.82599999999999996</v>
          </cell>
          <cell r="M60" t="str">
            <v>CSQ104</v>
          </cell>
          <cell r="N60">
            <v>183</v>
          </cell>
          <cell r="O60">
            <v>7</v>
          </cell>
          <cell r="P60">
            <v>3.6842105263157891E-2</v>
          </cell>
          <cell r="Q60">
            <v>230.63636363636363</v>
          </cell>
        </row>
        <row r="61">
          <cell r="A61" t="str">
            <v>R9006</v>
          </cell>
          <cell r="B61">
            <v>22.2</v>
          </cell>
          <cell r="D61" t="str">
            <v>ALL144/3</v>
          </cell>
          <cell r="E61">
            <v>10</v>
          </cell>
          <cell r="G61">
            <v>250</v>
          </cell>
          <cell r="K61">
            <v>4</v>
          </cell>
          <cell r="M61" t="str">
            <v>CSQ105</v>
          </cell>
          <cell r="N61">
            <v>404</v>
          </cell>
          <cell r="O61">
            <v>4</v>
          </cell>
          <cell r="P61">
            <v>9.8039215686274508E-3</v>
          </cell>
          <cell r="Q61">
            <v>233</v>
          </cell>
        </row>
        <row r="62">
          <cell r="A62" t="str">
            <v>R5012</v>
          </cell>
          <cell r="B62">
            <v>36.4</v>
          </cell>
          <cell r="D62" t="str">
            <v>ALL145/2.8</v>
          </cell>
          <cell r="E62">
            <v>17</v>
          </cell>
          <cell r="K62">
            <v>1.75</v>
          </cell>
          <cell r="M62" t="str">
            <v>CSQ106</v>
          </cell>
          <cell r="N62">
            <v>0</v>
          </cell>
          <cell r="O62">
            <v>12</v>
          </cell>
          <cell r="P62">
            <v>1</v>
          </cell>
          <cell r="Q62">
            <v>254.1</v>
          </cell>
        </row>
        <row r="63">
          <cell r="A63" t="str">
            <v>BRZ</v>
          </cell>
          <cell r="B63">
            <v>11.5</v>
          </cell>
          <cell r="D63" t="str">
            <v>ALL213/1.5</v>
          </cell>
          <cell r="E63">
            <v>20</v>
          </cell>
          <cell r="F63" t="str">
            <v>BZ30</v>
          </cell>
          <cell r="G63">
            <v>250</v>
          </cell>
          <cell r="H63">
            <v>0.30809999999999998</v>
          </cell>
          <cell r="I63" t="e">
            <v>#N/A</v>
          </cell>
          <cell r="J63" t="str">
            <v xml:space="preserve"> Emballage</v>
          </cell>
          <cell r="K63">
            <v>6.1619999999999999</v>
          </cell>
          <cell r="M63" t="str">
            <v>CSQ107</v>
          </cell>
          <cell r="N63">
            <v>2</v>
          </cell>
          <cell r="O63">
            <v>0</v>
          </cell>
          <cell r="P63">
            <v>0</v>
          </cell>
          <cell r="Q63">
            <v>88.111111111111114</v>
          </cell>
        </row>
        <row r="64">
          <cell r="A64" t="str">
            <v>BEECH</v>
          </cell>
          <cell r="B64">
            <v>15.3</v>
          </cell>
          <cell r="D64" t="str">
            <v>ALL244/1.2</v>
          </cell>
          <cell r="E64">
            <v>13</v>
          </cell>
          <cell r="F64" t="str">
            <v>U20/5</v>
          </cell>
          <cell r="G64">
            <v>78</v>
          </cell>
          <cell r="H64">
            <v>0.16314999999999999</v>
          </cell>
          <cell r="I64" t="e">
            <v>#N/A</v>
          </cell>
          <cell r="J64" t="str">
            <v xml:space="preserve"> Emballage</v>
          </cell>
          <cell r="K64">
            <v>3.2629999999999999</v>
          </cell>
          <cell r="M64" t="str">
            <v>CSQ201</v>
          </cell>
          <cell r="N64">
            <v>319</v>
          </cell>
          <cell r="O64">
            <v>10</v>
          </cell>
          <cell r="P64">
            <v>3.0395136778115502E-2</v>
          </cell>
          <cell r="Q64">
            <v>4</v>
          </cell>
        </row>
        <row r="65">
          <cell r="A65" t="str">
            <v>ABRONZE</v>
          </cell>
          <cell r="B65">
            <v>11.4</v>
          </cell>
          <cell r="D65" t="str">
            <v>ALL349/1.5</v>
          </cell>
          <cell r="E65">
            <v>10</v>
          </cell>
          <cell r="G65">
            <v>250</v>
          </cell>
          <cell r="K65">
            <v>4</v>
          </cell>
          <cell r="M65" t="str">
            <v>CSQ108</v>
          </cell>
          <cell r="N65">
            <v>70</v>
          </cell>
          <cell r="O65">
            <v>0</v>
          </cell>
          <cell r="P65">
            <v>0</v>
          </cell>
          <cell r="Q65">
            <v>46.111111111111114</v>
          </cell>
        </row>
        <row r="66">
          <cell r="D66" t="str">
            <v>BL771</v>
          </cell>
          <cell r="E66">
            <v>6</v>
          </cell>
          <cell r="K66">
            <v>14.7</v>
          </cell>
          <cell r="M66" t="str">
            <v>CSQ110</v>
          </cell>
          <cell r="N66">
            <v>113</v>
          </cell>
          <cell r="O66">
            <v>0</v>
          </cell>
          <cell r="P66">
            <v>0</v>
          </cell>
          <cell r="Q66">
            <v>74.166666666666671</v>
          </cell>
        </row>
        <row r="67">
          <cell r="D67" t="str">
            <v>BL774</v>
          </cell>
          <cell r="E67">
            <v>20</v>
          </cell>
          <cell r="K67">
            <v>1.0049999999999999</v>
          </cell>
          <cell r="M67" t="str">
            <v>CSQ114</v>
          </cell>
          <cell r="N67">
            <v>683</v>
          </cell>
          <cell r="O67">
            <v>28</v>
          </cell>
          <cell r="P67">
            <v>3.9381153305203941E-2</v>
          </cell>
          <cell r="Q67">
            <v>351.33333333333331</v>
          </cell>
        </row>
        <row r="68">
          <cell r="D68" t="str">
            <v>BL783</v>
          </cell>
          <cell r="E68">
            <v>20</v>
          </cell>
          <cell r="K68">
            <v>0.42</v>
          </cell>
          <cell r="M68" t="str">
            <v>CSQ116</v>
          </cell>
          <cell r="N68">
            <v>24</v>
          </cell>
          <cell r="O68">
            <v>3810</v>
          </cell>
          <cell r="P68">
            <v>0.99374021909233179</v>
          </cell>
          <cell r="Q68">
            <v>175.55555555555554</v>
          </cell>
        </row>
        <row r="69">
          <cell r="A69" t="str">
            <v>WALID BEN AROUS</v>
          </cell>
          <cell r="B69" t="str">
            <v>à ne pas mettre les détails</v>
          </cell>
          <cell r="D69" t="str">
            <v>BL784</v>
          </cell>
          <cell r="E69">
            <v>20</v>
          </cell>
          <cell r="K69">
            <v>0.28499999999999998</v>
          </cell>
          <cell r="M69" t="str">
            <v>CSQ304</v>
          </cell>
          <cell r="N69">
            <v>487</v>
          </cell>
          <cell r="O69">
            <v>36</v>
          </cell>
          <cell r="P69">
            <v>6.8833652007648183E-2</v>
          </cell>
          <cell r="Q69">
            <v>5.666666666666667</v>
          </cell>
        </row>
        <row r="70">
          <cell r="D70" t="str">
            <v>BL785</v>
          </cell>
          <cell r="E70">
            <v>20</v>
          </cell>
          <cell r="K70">
            <v>0.28499999999999998</v>
          </cell>
          <cell r="M70" t="str">
            <v>CSQ305</v>
          </cell>
          <cell r="N70">
            <v>807</v>
          </cell>
          <cell r="O70">
            <v>6</v>
          </cell>
          <cell r="P70">
            <v>7.3800738007380072E-3</v>
          </cell>
          <cell r="Q70">
            <v>174.77777777777777</v>
          </cell>
        </row>
        <row r="71">
          <cell r="D71" t="str">
            <v>C-04340</v>
          </cell>
          <cell r="E71">
            <v>10</v>
          </cell>
          <cell r="G71">
            <v>250</v>
          </cell>
          <cell r="K71">
            <v>4</v>
          </cell>
          <cell r="M71" t="str">
            <v>CSQ306</v>
          </cell>
          <cell r="N71">
            <v>17</v>
          </cell>
          <cell r="O71">
            <v>1</v>
          </cell>
          <cell r="P71">
            <v>5.5555555555555552E-2</v>
          </cell>
          <cell r="Q71">
            <v>65.8</v>
          </cell>
        </row>
        <row r="72">
          <cell r="D72" t="str">
            <v>C-11132</v>
          </cell>
          <cell r="E72">
            <v>20</v>
          </cell>
          <cell r="K72">
            <v>1</v>
          </cell>
          <cell r="M72" t="str">
            <v>CSQ124</v>
          </cell>
          <cell r="N72">
            <v>308</v>
          </cell>
          <cell r="O72">
            <v>8</v>
          </cell>
          <cell r="P72">
            <v>2.5316455696202531E-2</v>
          </cell>
          <cell r="Q72">
            <v>6.833333333333333</v>
          </cell>
        </row>
        <row r="73">
          <cell r="D73" t="str">
            <v>C-15286</v>
          </cell>
          <cell r="E73">
            <v>13</v>
          </cell>
          <cell r="F73" t="str">
            <v>U20/5</v>
          </cell>
          <cell r="G73">
            <v>250</v>
          </cell>
          <cell r="H73" t="e">
            <v>#N/A</v>
          </cell>
          <cell r="I73" t="e">
            <v>#N/A</v>
          </cell>
          <cell r="J73" t="e">
            <v>#N/A</v>
          </cell>
          <cell r="K73">
            <v>3</v>
          </cell>
          <cell r="M73" t="str">
            <v>CSQ125</v>
          </cell>
          <cell r="N73">
            <v>538</v>
          </cell>
          <cell r="O73">
            <v>7</v>
          </cell>
          <cell r="P73">
            <v>1.2844036697247707E-2</v>
          </cell>
          <cell r="Q73">
            <v>5.8</v>
          </cell>
        </row>
        <row r="74">
          <cell r="D74" t="str">
            <v>C-40104</v>
          </cell>
          <cell r="E74">
            <v>13</v>
          </cell>
          <cell r="F74" t="str">
            <v>BZ20</v>
          </cell>
          <cell r="G74">
            <v>250</v>
          </cell>
          <cell r="H74" t="e">
            <v>#N/A</v>
          </cell>
          <cell r="I74" t="e">
            <v>#N/A</v>
          </cell>
          <cell r="J74" t="e">
            <v>#N/A</v>
          </cell>
          <cell r="K74">
            <v>3</v>
          </cell>
          <cell r="M74" t="str">
            <v>CSQ126</v>
          </cell>
          <cell r="N74">
            <v>51</v>
          </cell>
          <cell r="O74">
            <v>4</v>
          </cell>
          <cell r="P74">
            <v>7.2727272727272724E-2</v>
          </cell>
          <cell r="Q74">
            <v>29.666666666666668</v>
          </cell>
        </row>
        <row r="75">
          <cell r="D75" t="str">
            <v>C-40108</v>
          </cell>
          <cell r="E75">
            <v>20</v>
          </cell>
          <cell r="F75" t="str">
            <v>BZ20</v>
          </cell>
          <cell r="G75">
            <v>250</v>
          </cell>
          <cell r="H75" t="e">
            <v>#N/A</v>
          </cell>
          <cell r="I75" t="e">
            <v>#N/A</v>
          </cell>
          <cell r="J75" t="e">
            <v>#N/A</v>
          </cell>
          <cell r="K75">
            <v>4</v>
          </cell>
          <cell r="M75" t="str">
            <v>CSQ202</v>
          </cell>
          <cell r="N75">
            <v>1034</v>
          </cell>
          <cell r="O75">
            <v>3</v>
          </cell>
          <cell r="P75">
            <v>2.8929604628736743E-3</v>
          </cell>
          <cell r="Q75">
            <v>75.333333333333329</v>
          </cell>
        </row>
        <row r="76">
          <cell r="D76" t="str">
            <v>C-40112</v>
          </cell>
          <cell r="E76">
            <v>14</v>
          </cell>
          <cell r="F76" t="str">
            <v>BZ14</v>
          </cell>
          <cell r="G76">
            <v>250</v>
          </cell>
          <cell r="H76" t="e">
            <v>#N/A</v>
          </cell>
          <cell r="I76" t="e">
            <v>#N/A</v>
          </cell>
          <cell r="J76" t="e">
            <v>#N/A</v>
          </cell>
          <cell r="K76">
            <v>3</v>
          </cell>
          <cell r="M76" t="str">
            <v>CSQ203</v>
          </cell>
          <cell r="N76">
            <v>938</v>
          </cell>
          <cell r="O76">
            <v>1</v>
          </cell>
          <cell r="P76">
            <v>1.0649627263045794E-3</v>
          </cell>
          <cell r="Q76">
            <v>53.2</v>
          </cell>
        </row>
        <row r="77">
          <cell r="D77" t="str">
            <v>C-40121</v>
          </cell>
          <cell r="E77">
            <v>9</v>
          </cell>
          <cell r="F77" t="str">
            <v>U20/5</v>
          </cell>
          <cell r="G77">
            <v>250</v>
          </cell>
          <cell r="H77" t="e">
            <v>#N/A</v>
          </cell>
          <cell r="I77" t="e">
            <v>#N/A</v>
          </cell>
          <cell r="J77" t="e">
            <v>#N/A</v>
          </cell>
          <cell r="K77">
            <v>2</v>
          </cell>
          <cell r="M77" t="str">
            <v>CSQ210</v>
          </cell>
          <cell r="N77">
            <v>451</v>
          </cell>
          <cell r="O77">
            <v>1</v>
          </cell>
          <cell r="P77">
            <v>2.2123893805309734E-3</v>
          </cell>
          <cell r="Q77">
            <v>19</v>
          </cell>
        </row>
        <row r="78">
          <cell r="D78" t="str">
            <v>C-40123</v>
          </cell>
          <cell r="E78">
            <v>20</v>
          </cell>
          <cell r="F78" t="str">
            <v>BZ20</v>
          </cell>
          <cell r="G78">
            <v>250</v>
          </cell>
          <cell r="H78" t="e">
            <v>#N/A</v>
          </cell>
          <cell r="I78" t="e">
            <v>#N/A</v>
          </cell>
          <cell r="J78" t="e">
            <v>#N/A</v>
          </cell>
          <cell r="K78">
            <v>4</v>
          </cell>
          <cell r="M78" t="str">
            <v>CSQ300</v>
          </cell>
          <cell r="N78">
            <v>603</v>
          </cell>
          <cell r="O78">
            <v>10</v>
          </cell>
          <cell r="P78">
            <v>1.6313213703099509E-2</v>
          </cell>
          <cell r="Q78">
            <v>4</v>
          </cell>
        </row>
        <row r="79">
          <cell r="D79" t="str">
            <v>C-40125</v>
          </cell>
          <cell r="E79">
            <v>20</v>
          </cell>
          <cell r="F79" t="str">
            <v>BZ20</v>
          </cell>
          <cell r="G79">
            <v>250</v>
          </cell>
          <cell r="H79" t="e">
            <v>#N/A</v>
          </cell>
          <cell r="I79" t="e">
            <v>#N/A</v>
          </cell>
          <cell r="J79" t="e">
            <v>#N/A</v>
          </cell>
          <cell r="K79">
            <v>4</v>
          </cell>
          <cell r="M79" t="str">
            <v>CSQ301</v>
          </cell>
          <cell r="N79">
            <v>2616</v>
          </cell>
          <cell r="O79">
            <v>21</v>
          </cell>
          <cell r="P79">
            <v>7.9635949943117172E-3</v>
          </cell>
          <cell r="Q79">
            <v>82.777777777777771</v>
          </cell>
        </row>
        <row r="80">
          <cell r="D80" t="str">
            <v>C-40149</v>
          </cell>
          <cell r="E80">
            <v>10</v>
          </cell>
          <cell r="G80">
            <v>250</v>
          </cell>
          <cell r="K80">
            <v>4</v>
          </cell>
          <cell r="M80" t="str">
            <v>CSQ302</v>
          </cell>
          <cell r="N80">
            <v>361</v>
          </cell>
          <cell r="O80">
            <v>2</v>
          </cell>
          <cell r="P80">
            <v>5.5096418732782371E-3</v>
          </cell>
          <cell r="Q80">
            <v>69</v>
          </cell>
        </row>
        <row r="81">
          <cell r="D81" t="str">
            <v>C-40150</v>
          </cell>
          <cell r="E81">
            <v>13</v>
          </cell>
          <cell r="F81" t="str">
            <v>U20/5</v>
          </cell>
          <cell r="G81">
            <v>250</v>
          </cell>
          <cell r="H81" t="e">
            <v>#N/A</v>
          </cell>
          <cell r="I81" t="e">
            <v>#N/A</v>
          </cell>
          <cell r="J81" t="e">
            <v>#N/A</v>
          </cell>
          <cell r="K81">
            <v>2</v>
          </cell>
          <cell r="M81" t="str">
            <v>CSQ303</v>
          </cell>
          <cell r="N81">
            <v>254</v>
          </cell>
          <cell r="O81">
            <v>14</v>
          </cell>
          <cell r="P81">
            <v>5.2238805970149252E-2</v>
          </cell>
          <cell r="Q81">
            <v>3.5</v>
          </cell>
        </row>
        <row r="82">
          <cell r="D82" t="str">
            <v>C-40154</v>
          </cell>
          <cell r="E82">
            <v>9</v>
          </cell>
          <cell r="F82" t="str">
            <v>U20/5</v>
          </cell>
          <cell r="G82">
            <v>250</v>
          </cell>
          <cell r="H82" t="e">
            <v>#N/A</v>
          </cell>
          <cell r="I82" t="e">
            <v>#N/A</v>
          </cell>
          <cell r="J82" t="e">
            <v>#N/A</v>
          </cell>
          <cell r="K82">
            <v>2</v>
          </cell>
          <cell r="M82" t="str">
            <v>CSQ153</v>
          </cell>
          <cell r="N82">
            <v>0</v>
          </cell>
          <cell r="O82">
            <v>0</v>
          </cell>
          <cell r="P82" t="e">
            <v>#DIV/0!</v>
          </cell>
          <cell r="Q82">
            <v>0</v>
          </cell>
        </row>
        <row r="83">
          <cell r="D83" t="str">
            <v>C-40161</v>
          </cell>
          <cell r="E83">
            <v>14</v>
          </cell>
          <cell r="F83" t="str">
            <v>BZ14</v>
          </cell>
          <cell r="G83">
            <v>250</v>
          </cell>
          <cell r="H83">
            <v>0.12479999999999999</v>
          </cell>
          <cell r="K83">
            <v>2.1840000000000002</v>
          </cell>
          <cell r="M83" t="str">
            <v>CSQ539</v>
          </cell>
          <cell r="N83">
            <v>210</v>
          </cell>
          <cell r="O83">
            <v>0</v>
          </cell>
          <cell r="P83">
            <v>0</v>
          </cell>
          <cell r="Q83">
            <v>0</v>
          </cell>
        </row>
        <row r="84">
          <cell r="D84" t="str">
            <v>C-40162</v>
          </cell>
          <cell r="E84">
            <v>14</v>
          </cell>
          <cell r="F84" t="str">
            <v>BZ14</v>
          </cell>
          <cell r="G84">
            <v>250</v>
          </cell>
          <cell r="H84" t="e">
            <v>#N/A</v>
          </cell>
          <cell r="I84" t="e">
            <v>#N/A</v>
          </cell>
          <cell r="J84" t="e">
            <v>#N/A</v>
          </cell>
          <cell r="K84">
            <v>3</v>
          </cell>
          <cell r="M84" t="str">
            <v>CSQ451</v>
          </cell>
          <cell r="N84">
            <v>90</v>
          </cell>
          <cell r="O84">
            <v>-90</v>
          </cell>
          <cell r="P84" t="e">
            <v>#DIV/0!</v>
          </cell>
          <cell r="Q84">
            <v>0</v>
          </cell>
        </row>
        <row r="85">
          <cell r="D85" t="str">
            <v>C-40163</v>
          </cell>
          <cell r="E85">
            <v>14</v>
          </cell>
          <cell r="F85" t="str">
            <v>BZ14</v>
          </cell>
          <cell r="G85">
            <v>250</v>
          </cell>
          <cell r="H85" t="e">
            <v>#N/A</v>
          </cell>
          <cell r="I85" t="e">
            <v>#N/A</v>
          </cell>
          <cell r="J85" t="e">
            <v>#N/A</v>
          </cell>
          <cell r="K85">
            <v>3</v>
          </cell>
          <cell r="M85" t="str">
            <v>CSQ106</v>
          </cell>
          <cell r="N85">
            <v>0</v>
          </cell>
          <cell r="O85">
            <v>12</v>
          </cell>
          <cell r="P85">
            <v>1</v>
          </cell>
          <cell r="Q85">
            <v>0</v>
          </cell>
        </row>
        <row r="86">
          <cell r="D86" t="str">
            <v>C-40402</v>
          </cell>
          <cell r="E86">
            <v>13</v>
          </cell>
          <cell r="F86" t="str">
            <v>U20/5</v>
          </cell>
          <cell r="G86">
            <v>250</v>
          </cell>
          <cell r="H86" t="e">
            <v>#N/A</v>
          </cell>
          <cell r="I86" t="e">
            <v>#N/A</v>
          </cell>
          <cell r="J86" t="e">
            <v>#N/A</v>
          </cell>
          <cell r="K86">
            <v>2</v>
          </cell>
          <cell r="M86" t="str">
            <v>CSQ450</v>
          </cell>
          <cell r="N86">
            <v>139</v>
          </cell>
          <cell r="O86">
            <v>-139</v>
          </cell>
          <cell r="P86" t="e">
            <v>#DIV/0!</v>
          </cell>
          <cell r="Q86">
            <v>0</v>
          </cell>
        </row>
        <row r="87">
          <cell r="D87" t="str">
            <v>C-40406</v>
          </cell>
          <cell r="E87">
            <v>13</v>
          </cell>
          <cell r="F87" t="str">
            <v>U20/5</v>
          </cell>
          <cell r="G87">
            <v>250</v>
          </cell>
          <cell r="H87" t="e">
            <v>#N/A</v>
          </cell>
          <cell r="I87" t="e">
            <v>#N/A</v>
          </cell>
          <cell r="J87" t="e">
            <v>#N/A</v>
          </cell>
          <cell r="K87">
            <v>2</v>
          </cell>
          <cell r="M87" t="str">
            <v>EC22104</v>
          </cell>
          <cell r="N87">
            <v>68</v>
          </cell>
          <cell r="O87">
            <v>30</v>
          </cell>
          <cell r="P87">
            <v>0.30612244897959184</v>
          </cell>
          <cell r="Q87">
            <v>109.6</v>
          </cell>
        </row>
        <row r="88">
          <cell r="D88" t="str">
            <v>C-45AL1110</v>
          </cell>
          <cell r="E88">
            <v>10</v>
          </cell>
          <cell r="G88">
            <v>250</v>
          </cell>
          <cell r="K88">
            <v>4</v>
          </cell>
          <cell r="M88" t="str">
            <v>EC22106</v>
          </cell>
          <cell r="N88">
            <v>803</v>
          </cell>
          <cell r="O88">
            <v>534</v>
          </cell>
          <cell r="P88">
            <v>0.39940164547494389</v>
          </cell>
          <cell r="Q88">
            <v>180</v>
          </cell>
        </row>
        <row r="89">
          <cell r="D89" t="str">
            <v>C-45al1210</v>
          </cell>
          <cell r="E89">
            <v>10</v>
          </cell>
          <cell r="G89">
            <v>250</v>
          </cell>
          <cell r="K89">
            <v>4</v>
          </cell>
          <cell r="M89" t="str">
            <v>EC22112</v>
          </cell>
          <cell r="N89">
            <v>463</v>
          </cell>
          <cell r="O89">
            <v>46</v>
          </cell>
          <cell r="P89">
            <v>9.0373280943025547E-2</v>
          </cell>
          <cell r="Q89">
            <v>56.111111111111114</v>
          </cell>
        </row>
        <row r="90">
          <cell r="D90" t="str">
            <v>C-45AL1512</v>
          </cell>
          <cell r="E90">
            <v>10</v>
          </cell>
          <cell r="G90">
            <v>250</v>
          </cell>
          <cell r="K90">
            <v>4</v>
          </cell>
          <cell r="M90" t="str">
            <v>EC40100</v>
          </cell>
          <cell r="N90">
            <v>218</v>
          </cell>
          <cell r="O90">
            <v>53</v>
          </cell>
          <cell r="P90">
            <v>0.19557195571955718</v>
          </cell>
          <cell r="Q90">
            <v>2247.5454545454545</v>
          </cell>
        </row>
        <row r="91">
          <cell r="D91" t="str">
            <v>C-52003</v>
          </cell>
          <cell r="E91">
            <v>5</v>
          </cell>
          <cell r="F91" t="str">
            <v>U20/5</v>
          </cell>
          <cell r="G91">
            <v>250</v>
          </cell>
          <cell r="H91" t="e">
            <v>#N/A</v>
          </cell>
          <cell r="I91" t="e">
            <v>#N/A</v>
          </cell>
          <cell r="J91" t="e">
            <v>#N/A</v>
          </cell>
          <cell r="K91">
            <v>6</v>
          </cell>
          <cell r="M91" t="str">
            <v>EC40102</v>
          </cell>
          <cell r="N91">
            <v>186</v>
          </cell>
          <cell r="O91">
            <v>5</v>
          </cell>
          <cell r="P91">
            <v>2.6178010471204188E-2</v>
          </cell>
          <cell r="Q91">
            <v>824.22222222222217</v>
          </cell>
        </row>
        <row r="92">
          <cell r="D92" t="str">
            <v>C-52006</v>
          </cell>
          <cell r="E92">
            <v>5</v>
          </cell>
          <cell r="F92" t="str">
            <v>U20/5</v>
          </cell>
          <cell r="G92">
            <v>250</v>
          </cell>
          <cell r="H92" t="e">
            <v>#N/A</v>
          </cell>
          <cell r="I92" t="e">
            <v>#N/A</v>
          </cell>
          <cell r="J92" t="e">
            <v>#N/A</v>
          </cell>
          <cell r="K92">
            <v>6</v>
          </cell>
          <cell r="M92" t="str">
            <v>EC40104</v>
          </cell>
          <cell r="N92">
            <v>6</v>
          </cell>
          <cell r="O92">
            <v>2</v>
          </cell>
          <cell r="P92">
            <v>0.25</v>
          </cell>
          <cell r="Q92">
            <v>150.71428571428572</v>
          </cell>
        </row>
        <row r="93">
          <cell r="D93" t="str">
            <v>C-52021</v>
          </cell>
          <cell r="E93">
            <v>10</v>
          </cell>
          <cell r="G93">
            <v>250</v>
          </cell>
          <cell r="K93">
            <v>4</v>
          </cell>
          <cell r="M93" t="str">
            <v>EC40107</v>
          </cell>
          <cell r="N93">
            <v>5450</v>
          </cell>
          <cell r="O93">
            <v>329</v>
          </cell>
          <cell r="P93">
            <v>5.6930264751687144E-2</v>
          </cell>
          <cell r="Q93">
            <v>423</v>
          </cell>
        </row>
        <row r="94">
          <cell r="D94" t="str">
            <v>C-60AL2110</v>
          </cell>
          <cell r="E94">
            <v>10</v>
          </cell>
          <cell r="G94">
            <v>250</v>
          </cell>
          <cell r="K94">
            <v>4</v>
          </cell>
          <cell r="M94" t="str">
            <v>EC40112</v>
          </cell>
          <cell r="N94">
            <v>23</v>
          </cell>
          <cell r="O94">
            <v>7</v>
          </cell>
          <cell r="P94">
            <v>0.23333333333333334</v>
          </cell>
          <cell r="Q94">
            <v>268.39999999999998</v>
          </cell>
        </row>
        <row r="95">
          <cell r="D95" t="str">
            <v>C-67103</v>
          </cell>
          <cell r="E95">
            <v>12</v>
          </cell>
          <cell r="F95" t="str">
            <v>BH12</v>
          </cell>
          <cell r="G95">
            <v>250</v>
          </cell>
          <cell r="H95" t="e">
            <v>#N/A</v>
          </cell>
          <cell r="I95" t="e">
            <v>#N/A</v>
          </cell>
          <cell r="J95" t="e">
            <v>#N/A</v>
          </cell>
          <cell r="K95">
            <v>2</v>
          </cell>
          <cell r="M95" t="str">
            <v>EC40121</v>
          </cell>
          <cell r="N95">
            <v>0</v>
          </cell>
          <cell r="O95">
            <v>0</v>
          </cell>
          <cell r="P95" t="e">
            <v>#DIV/0!</v>
          </cell>
          <cell r="Q95">
            <v>272.25</v>
          </cell>
        </row>
        <row r="96">
          <cell r="D96" t="str">
            <v>C-67104</v>
          </cell>
          <cell r="E96">
            <v>13</v>
          </cell>
          <cell r="F96" t="str">
            <v>U20/5</v>
          </cell>
          <cell r="G96">
            <v>250</v>
          </cell>
          <cell r="H96" t="e">
            <v>#N/A</v>
          </cell>
          <cell r="I96" t="e">
            <v>#N/A</v>
          </cell>
          <cell r="J96" t="e">
            <v>#N/A</v>
          </cell>
          <cell r="K96">
            <v>3</v>
          </cell>
          <cell r="M96" t="str">
            <v>EC40148</v>
          </cell>
          <cell r="N96">
            <v>0</v>
          </cell>
          <cell r="O96">
            <v>26</v>
          </cell>
          <cell r="P96">
            <v>1</v>
          </cell>
          <cell r="Q96">
            <v>317.5</v>
          </cell>
        </row>
        <row r="97">
          <cell r="D97" t="str">
            <v>C-67105</v>
          </cell>
          <cell r="E97">
            <v>13</v>
          </cell>
          <cell r="F97" t="str">
            <v>U20/5</v>
          </cell>
          <cell r="G97">
            <v>250</v>
          </cell>
          <cell r="H97" t="e">
            <v>#N/A</v>
          </cell>
          <cell r="I97" t="e">
            <v>#N/A</v>
          </cell>
          <cell r="J97" t="e">
            <v>#N/A</v>
          </cell>
          <cell r="K97">
            <v>3</v>
          </cell>
          <cell r="M97" t="str">
            <v>EC40154</v>
          </cell>
          <cell r="N97">
            <v>392</v>
          </cell>
          <cell r="O97">
            <v>5</v>
          </cell>
          <cell r="P97">
            <v>1.2594458438287154E-2</v>
          </cell>
          <cell r="Q97">
            <v>102.83333333333333</v>
          </cell>
        </row>
        <row r="98">
          <cell r="D98" t="str">
            <v>C-67106</v>
          </cell>
          <cell r="E98">
            <v>15</v>
          </cell>
          <cell r="F98" t="str">
            <v>BV15</v>
          </cell>
          <cell r="G98">
            <v>250</v>
          </cell>
          <cell r="H98" t="e">
            <v>#N/A</v>
          </cell>
          <cell r="I98" t="e">
            <v>#N/A</v>
          </cell>
          <cell r="J98" t="e">
            <v>#N/A</v>
          </cell>
          <cell r="K98">
            <v>3</v>
          </cell>
          <cell r="M98" t="str">
            <v>EC40165</v>
          </cell>
          <cell r="N98">
            <v>0</v>
          </cell>
          <cell r="O98">
            <v>0</v>
          </cell>
          <cell r="P98" t="e">
            <v>#DIV/0!</v>
          </cell>
          <cell r="Q98">
            <v>0</v>
          </cell>
        </row>
        <row r="99">
          <cell r="D99" t="str">
            <v>C-67107</v>
          </cell>
          <cell r="E99">
            <v>20</v>
          </cell>
          <cell r="F99" t="str">
            <v>BZ20</v>
          </cell>
          <cell r="G99">
            <v>250</v>
          </cell>
          <cell r="H99" t="e">
            <v>#N/A</v>
          </cell>
          <cell r="I99" t="e">
            <v>#N/A</v>
          </cell>
          <cell r="J99" t="e">
            <v>#N/A</v>
          </cell>
          <cell r="K99">
            <v>2</v>
          </cell>
          <cell r="M99" t="str">
            <v>EC40166</v>
          </cell>
          <cell r="N99">
            <v>1063</v>
          </cell>
          <cell r="O99">
            <v>7</v>
          </cell>
          <cell r="P99">
            <v>6.5420560747663555E-3</v>
          </cell>
          <cell r="Q99">
            <v>2305.5454545454545</v>
          </cell>
        </row>
        <row r="100">
          <cell r="D100" t="str">
            <v>C-67108</v>
          </cell>
          <cell r="E100">
            <v>20</v>
          </cell>
          <cell r="F100" t="str">
            <v>BZ20</v>
          </cell>
          <cell r="G100">
            <v>250</v>
          </cell>
          <cell r="H100" t="e">
            <v>#N/A</v>
          </cell>
          <cell r="I100" t="e">
            <v>#N/A</v>
          </cell>
          <cell r="J100" t="e">
            <v>#N/A</v>
          </cell>
          <cell r="K100">
            <v>2</v>
          </cell>
          <cell r="M100" t="str">
            <v>EC40402</v>
          </cell>
          <cell r="N100">
            <v>1556</v>
          </cell>
          <cell r="O100">
            <v>238</v>
          </cell>
          <cell r="P100">
            <v>0.1326644370122631</v>
          </cell>
          <cell r="Q100">
            <v>1635.090909090909</v>
          </cell>
        </row>
        <row r="101">
          <cell r="D101" t="str">
            <v>C-67114</v>
          </cell>
          <cell r="E101">
            <v>20</v>
          </cell>
          <cell r="F101" t="str">
            <v>BZ20</v>
          </cell>
          <cell r="G101">
            <v>250</v>
          </cell>
          <cell r="H101" t="e">
            <v>#N/A</v>
          </cell>
          <cell r="I101" t="e">
            <v>#N/A</v>
          </cell>
          <cell r="J101" t="e">
            <v>#N/A</v>
          </cell>
          <cell r="K101">
            <v>2</v>
          </cell>
          <cell r="M101" t="str">
            <v>EC40404</v>
          </cell>
          <cell r="N101">
            <v>1778</v>
          </cell>
          <cell r="O101">
            <v>133</v>
          </cell>
          <cell r="P101">
            <v>6.95970695970696E-2</v>
          </cell>
          <cell r="Q101">
            <v>1288.0999999999999</v>
          </cell>
        </row>
        <row r="102">
          <cell r="D102" t="str">
            <v>C-6735</v>
          </cell>
          <cell r="E102">
            <v>14</v>
          </cell>
          <cell r="F102" t="str">
            <v>BZ14</v>
          </cell>
          <cell r="G102">
            <v>250</v>
          </cell>
          <cell r="H102" t="e">
            <v>#N/A</v>
          </cell>
          <cell r="I102" t="e">
            <v>#N/A</v>
          </cell>
          <cell r="J102" t="e">
            <v>#N/A</v>
          </cell>
          <cell r="K102">
            <v>3</v>
          </cell>
          <cell r="M102" t="str">
            <v>EC404042</v>
          </cell>
          <cell r="N102">
            <v>0</v>
          </cell>
          <cell r="O102">
            <v>0</v>
          </cell>
          <cell r="P102" t="e">
            <v>#DIV/0!</v>
          </cell>
          <cell r="Q102">
            <v>0</v>
          </cell>
        </row>
        <row r="103">
          <cell r="D103" t="str">
            <v>C-67350</v>
          </cell>
          <cell r="E103">
            <v>14</v>
          </cell>
          <cell r="F103" t="str">
            <v>BZ14</v>
          </cell>
          <cell r="G103">
            <v>250</v>
          </cell>
          <cell r="H103" t="e">
            <v>#N/A</v>
          </cell>
          <cell r="I103" t="e">
            <v>#N/A</v>
          </cell>
          <cell r="J103" t="e">
            <v>#N/A</v>
          </cell>
          <cell r="K103">
            <v>3</v>
          </cell>
          <cell r="M103" t="str">
            <v>EC404041</v>
          </cell>
          <cell r="N103">
            <v>0</v>
          </cell>
          <cell r="O103">
            <v>0</v>
          </cell>
          <cell r="P103" t="e">
            <v>#DIV/0!</v>
          </cell>
          <cell r="Q103">
            <v>0</v>
          </cell>
        </row>
        <row r="104">
          <cell r="D104" t="str">
            <v>C-6736</v>
          </cell>
          <cell r="E104">
            <v>14</v>
          </cell>
          <cell r="F104" t="str">
            <v>BZ14</v>
          </cell>
          <cell r="G104">
            <v>250</v>
          </cell>
          <cell r="H104" t="e">
            <v>#N/A</v>
          </cell>
          <cell r="I104" t="e">
            <v>#N/A</v>
          </cell>
          <cell r="J104" t="e">
            <v>#N/A</v>
          </cell>
          <cell r="K104">
            <v>2</v>
          </cell>
          <cell r="M104" t="str">
            <v>EC67101</v>
          </cell>
          <cell r="N104">
            <v>668</v>
          </cell>
          <cell r="O104">
            <v>118</v>
          </cell>
          <cell r="P104">
            <v>0.15012722646310434</v>
          </cell>
          <cell r="Q104">
            <v>200.44444444444446</v>
          </cell>
        </row>
        <row r="105">
          <cell r="D105" t="str">
            <v>C-AL40122</v>
          </cell>
          <cell r="E105">
            <v>9</v>
          </cell>
          <cell r="F105" t="str">
            <v>U20/5</v>
          </cell>
          <cell r="G105">
            <v>250</v>
          </cell>
          <cell r="H105" t="e">
            <v>#N/A</v>
          </cell>
          <cell r="I105" t="e">
            <v>#N/A</v>
          </cell>
          <cell r="J105" t="e">
            <v>#N/A</v>
          </cell>
          <cell r="K105">
            <v>2</v>
          </cell>
          <cell r="M105" t="str">
            <v>EC67102</v>
          </cell>
          <cell r="N105">
            <v>50</v>
          </cell>
          <cell r="O105">
            <v>1217</v>
          </cell>
          <cell r="P105">
            <v>0.96053670086819254</v>
          </cell>
          <cell r="Q105">
            <v>159.33333333333334</v>
          </cell>
        </row>
        <row r="106">
          <cell r="D106" t="str">
            <v>C-C701</v>
          </cell>
          <cell r="E106">
            <v>10</v>
          </cell>
          <cell r="G106">
            <v>250</v>
          </cell>
          <cell r="K106">
            <v>4</v>
          </cell>
          <cell r="M106" t="str">
            <v>EC67103</v>
          </cell>
          <cell r="N106">
            <v>639</v>
          </cell>
          <cell r="O106">
            <v>141</v>
          </cell>
          <cell r="P106">
            <v>0.18076923076923077</v>
          </cell>
          <cell r="Q106">
            <v>720.75</v>
          </cell>
        </row>
        <row r="107">
          <cell r="D107" t="str">
            <v>C-C702</v>
          </cell>
          <cell r="E107">
            <v>10</v>
          </cell>
          <cell r="G107">
            <v>250</v>
          </cell>
          <cell r="K107">
            <v>4</v>
          </cell>
          <cell r="M107" t="str">
            <v>EC67104</v>
          </cell>
          <cell r="N107">
            <v>4</v>
          </cell>
          <cell r="O107">
            <v>85</v>
          </cell>
          <cell r="P107">
            <v>0.9550561797752809</v>
          </cell>
          <cell r="Q107">
            <v>409.875</v>
          </cell>
        </row>
        <row r="108">
          <cell r="D108" t="str">
            <v>C-C704</v>
          </cell>
          <cell r="E108">
            <v>10</v>
          </cell>
          <cell r="G108">
            <v>250</v>
          </cell>
          <cell r="K108">
            <v>4</v>
          </cell>
          <cell r="M108" t="str">
            <v>EC67105</v>
          </cell>
          <cell r="N108">
            <v>187</v>
          </cell>
          <cell r="O108">
            <v>243</v>
          </cell>
          <cell r="P108">
            <v>0.56511627906976747</v>
          </cell>
          <cell r="Q108">
            <v>520.63636363636363</v>
          </cell>
        </row>
        <row r="109">
          <cell r="D109" t="str">
            <v>C-C707</v>
          </cell>
          <cell r="E109">
            <v>10</v>
          </cell>
          <cell r="G109">
            <v>250</v>
          </cell>
          <cell r="K109">
            <v>4</v>
          </cell>
          <cell r="M109" t="str">
            <v>EC67106</v>
          </cell>
          <cell r="N109">
            <v>0</v>
          </cell>
          <cell r="O109">
            <v>33</v>
          </cell>
          <cell r="P109">
            <v>1</v>
          </cell>
          <cell r="Q109">
            <v>517.5</v>
          </cell>
        </row>
        <row r="110">
          <cell r="D110" t="str">
            <v>C-Cache GS</v>
          </cell>
          <cell r="E110">
            <v>20</v>
          </cell>
          <cell r="K110">
            <v>1</v>
          </cell>
          <cell r="M110" t="str">
            <v>EC80104</v>
          </cell>
          <cell r="N110">
            <v>0</v>
          </cell>
          <cell r="O110">
            <v>358</v>
          </cell>
          <cell r="P110">
            <v>1</v>
          </cell>
          <cell r="Q110">
            <v>5</v>
          </cell>
        </row>
        <row r="111">
          <cell r="D111" t="str">
            <v>C-CO107</v>
          </cell>
          <cell r="E111">
            <v>10</v>
          </cell>
          <cell r="G111">
            <v>250</v>
          </cell>
          <cell r="K111">
            <v>4</v>
          </cell>
          <cell r="M111" t="str">
            <v>EC80105</v>
          </cell>
          <cell r="N111">
            <v>169</v>
          </cell>
          <cell r="O111">
            <v>152</v>
          </cell>
          <cell r="P111">
            <v>0.4735202492211838</v>
          </cell>
          <cell r="Q111">
            <v>0</v>
          </cell>
        </row>
        <row r="112">
          <cell r="D112" t="str">
            <v>C-CO108</v>
          </cell>
          <cell r="E112">
            <v>10</v>
          </cell>
          <cell r="G112">
            <v>250</v>
          </cell>
          <cell r="K112">
            <v>4</v>
          </cell>
          <cell r="M112" t="str">
            <v>EC80106</v>
          </cell>
          <cell r="N112">
            <v>114</v>
          </cell>
          <cell r="O112">
            <v>168</v>
          </cell>
          <cell r="P112">
            <v>0.5957446808510638</v>
          </cell>
          <cell r="Q112">
            <v>0</v>
          </cell>
        </row>
        <row r="113">
          <cell r="D113" t="str">
            <v>C-COR20*20</v>
          </cell>
          <cell r="E113">
            <v>10</v>
          </cell>
          <cell r="G113">
            <v>250</v>
          </cell>
          <cell r="K113">
            <v>4</v>
          </cell>
          <cell r="M113" t="str">
            <v>EC80114</v>
          </cell>
          <cell r="N113">
            <v>238</v>
          </cell>
          <cell r="O113">
            <v>165</v>
          </cell>
          <cell r="P113">
            <v>0.40942928039702231</v>
          </cell>
          <cell r="Q113">
            <v>0</v>
          </cell>
        </row>
        <row r="114">
          <cell r="D114" t="str">
            <v>C-COR25X25</v>
          </cell>
          <cell r="E114">
            <v>10</v>
          </cell>
          <cell r="K114">
            <v>4</v>
          </cell>
          <cell r="M114" t="str">
            <v>EC80120</v>
          </cell>
          <cell r="N114">
            <v>0</v>
          </cell>
          <cell r="O114">
            <v>100</v>
          </cell>
          <cell r="P114">
            <v>1</v>
          </cell>
          <cell r="Q114">
            <v>3</v>
          </cell>
        </row>
        <row r="115">
          <cell r="D115" t="str">
            <v>C-COR30X30</v>
          </cell>
          <cell r="E115">
            <v>10</v>
          </cell>
          <cell r="K115">
            <v>4</v>
          </cell>
          <cell r="M115" t="str">
            <v>EC80121</v>
          </cell>
          <cell r="N115">
            <v>0</v>
          </cell>
          <cell r="O115">
            <v>2</v>
          </cell>
          <cell r="P115">
            <v>1</v>
          </cell>
          <cell r="Q115">
            <v>4</v>
          </cell>
        </row>
        <row r="116">
          <cell r="D116" t="str">
            <v>C-COR40X40</v>
          </cell>
          <cell r="E116">
            <v>10</v>
          </cell>
          <cell r="K116">
            <v>4</v>
          </cell>
          <cell r="M116" t="str">
            <v>FR100</v>
          </cell>
          <cell r="N116">
            <v>1365</v>
          </cell>
          <cell r="O116">
            <v>110</v>
          </cell>
          <cell r="P116">
            <v>7.4576271186440682E-2</v>
          </cell>
          <cell r="Q116">
            <v>812.5</v>
          </cell>
        </row>
        <row r="117">
          <cell r="D117" t="str">
            <v>C-EX451111</v>
          </cell>
          <cell r="E117">
            <v>10</v>
          </cell>
          <cell r="G117">
            <v>250</v>
          </cell>
          <cell r="K117">
            <v>4</v>
          </cell>
          <cell r="M117" t="str">
            <v>FR102</v>
          </cell>
          <cell r="N117">
            <v>58</v>
          </cell>
          <cell r="O117">
            <v>175</v>
          </cell>
          <cell r="P117">
            <v>0.75107296137339052</v>
          </cell>
          <cell r="Q117">
            <v>201.6</v>
          </cell>
        </row>
        <row r="118">
          <cell r="D118" t="str">
            <v>C-EX451113</v>
          </cell>
          <cell r="E118">
            <v>10</v>
          </cell>
          <cell r="G118">
            <v>250</v>
          </cell>
          <cell r="K118">
            <v>4</v>
          </cell>
          <cell r="M118" t="str">
            <v>FR104</v>
          </cell>
          <cell r="N118">
            <v>0</v>
          </cell>
          <cell r="O118">
            <v>27</v>
          </cell>
          <cell r="P118">
            <v>1</v>
          </cell>
          <cell r="Q118">
            <v>105.625</v>
          </cell>
        </row>
        <row r="119">
          <cell r="D119" t="str">
            <v>C-EX451120</v>
          </cell>
          <cell r="E119">
            <v>14</v>
          </cell>
          <cell r="F119" t="str">
            <v>BZ14</v>
          </cell>
          <cell r="G119">
            <v>250</v>
          </cell>
          <cell r="K119">
            <v>4</v>
          </cell>
          <cell r="M119" t="str">
            <v>FR107</v>
          </cell>
          <cell r="N119">
            <v>68</v>
          </cell>
          <cell r="O119">
            <v>272</v>
          </cell>
          <cell r="P119">
            <v>0.8</v>
          </cell>
          <cell r="Q119">
            <v>15.4</v>
          </cell>
        </row>
        <row r="120">
          <cell r="D120" t="str">
            <v>C-EX451121</v>
          </cell>
          <cell r="E120">
            <v>14</v>
          </cell>
          <cell r="F120" t="str">
            <v>BZ14</v>
          </cell>
          <cell r="G120">
            <v>250</v>
          </cell>
          <cell r="K120">
            <v>4</v>
          </cell>
          <cell r="M120" t="str">
            <v>FR108</v>
          </cell>
          <cell r="N120">
            <v>1084</v>
          </cell>
          <cell r="O120">
            <v>62</v>
          </cell>
          <cell r="P120">
            <v>5.4101221640488653E-2</v>
          </cell>
          <cell r="Q120">
            <v>67</v>
          </cell>
        </row>
        <row r="121">
          <cell r="D121" t="str">
            <v>C-EX451124</v>
          </cell>
          <cell r="E121">
            <v>10</v>
          </cell>
          <cell r="G121">
            <v>250</v>
          </cell>
          <cell r="K121">
            <v>4</v>
          </cell>
          <cell r="M121" t="str">
            <v>FR110</v>
          </cell>
          <cell r="N121">
            <v>196</v>
          </cell>
          <cell r="O121">
            <v>51</v>
          </cell>
          <cell r="P121">
            <v>0.20647773279352227</v>
          </cell>
          <cell r="Q121">
            <v>52.125</v>
          </cell>
        </row>
        <row r="122">
          <cell r="D122" t="str">
            <v>C-EX451313</v>
          </cell>
          <cell r="E122">
            <v>10</v>
          </cell>
          <cell r="G122">
            <v>250</v>
          </cell>
          <cell r="K122">
            <v>4</v>
          </cell>
          <cell r="M122" t="str">
            <v>FR111</v>
          </cell>
          <cell r="N122">
            <v>2</v>
          </cell>
          <cell r="O122">
            <v>83</v>
          </cell>
          <cell r="P122">
            <v>0.97647058823529409</v>
          </cell>
          <cell r="Q122">
            <v>341.625</v>
          </cell>
        </row>
        <row r="123">
          <cell r="D123" t="str">
            <v>C-EX451315</v>
          </cell>
          <cell r="E123">
            <v>10</v>
          </cell>
          <cell r="G123">
            <v>250</v>
          </cell>
          <cell r="K123">
            <v>4</v>
          </cell>
          <cell r="M123" t="str">
            <v>FR112</v>
          </cell>
          <cell r="N123">
            <v>205</v>
          </cell>
          <cell r="O123">
            <v>29</v>
          </cell>
          <cell r="P123">
            <v>0.12393162393162394</v>
          </cell>
          <cell r="Q123">
            <v>110.9</v>
          </cell>
        </row>
        <row r="124">
          <cell r="D124" t="str">
            <v>C-EX451320</v>
          </cell>
          <cell r="E124">
            <v>10</v>
          </cell>
          <cell r="G124">
            <v>250</v>
          </cell>
          <cell r="K124">
            <v>4</v>
          </cell>
          <cell r="M124" t="str">
            <v>FR121</v>
          </cell>
          <cell r="N124">
            <v>2</v>
          </cell>
          <cell r="O124">
            <v>60</v>
          </cell>
          <cell r="P124">
            <v>0.967741935483871</v>
          </cell>
          <cell r="Q124">
            <v>108.8</v>
          </cell>
        </row>
        <row r="125">
          <cell r="D125" t="str">
            <v>C-EX451411</v>
          </cell>
          <cell r="E125">
            <v>10</v>
          </cell>
          <cell r="G125">
            <v>250</v>
          </cell>
          <cell r="K125">
            <v>4</v>
          </cell>
          <cell r="M125" t="str">
            <v>FR127</v>
          </cell>
          <cell r="N125">
            <v>21</v>
          </cell>
          <cell r="O125">
            <v>38</v>
          </cell>
          <cell r="P125">
            <v>0.64406779661016944</v>
          </cell>
          <cell r="Q125">
            <v>25.571428571428573</v>
          </cell>
        </row>
        <row r="126">
          <cell r="D126" t="str">
            <v>C-EX602112</v>
          </cell>
          <cell r="E126">
            <v>10</v>
          </cell>
          <cell r="G126">
            <v>250</v>
          </cell>
          <cell r="K126">
            <v>4</v>
          </cell>
          <cell r="M126" t="str">
            <v>FR133</v>
          </cell>
          <cell r="N126">
            <v>31</v>
          </cell>
          <cell r="O126">
            <v>84</v>
          </cell>
          <cell r="P126">
            <v>0.73043478260869565</v>
          </cell>
          <cell r="Q126">
            <v>40.25</v>
          </cell>
        </row>
        <row r="127">
          <cell r="D127" t="str">
            <v>C-EX602210</v>
          </cell>
          <cell r="E127">
            <v>15</v>
          </cell>
          <cell r="F127" t="str">
            <v>BV15</v>
          </cell>
          <cell r="G127">
            <v>250</v>
          </cell>
          <cell r="H127" t="e">
            <v>#N/A</v>
          </cell>
          <cell r="I127" t="e">
            <v>#N/A</v>
          </cell>
          <cell r="J127" t="e">
            <v>#N/A</v>
          </cell>
          <cell r="K127">
            <v>4</v>
          </cell>
          <cell r="M127" t="str">
            <v>FR135</v>
          </cell>
          <cell r="N127">
            <v>113</v>
          </cell>
          <cell r="O127">
            <v>44</v>
          </cell>
          <cell r="P127">
            <v>0.28025477707006369</v>
          </cell>
          <cell r="Q127">
            <v>99</v>
          </cell>
        </row>
        <row r="128">
          <cell r="D128" t="str">
            <v>C-EX602211</v>
          </cell>
          <cell r="E128">
            <v>10</v>
          </cell>
          <cell r="G128">
            <v>250</v>
          </cell>
          <cell r="K128">
            <v>4</v>
          </cell>
          <cell r="M128" t="str">
            <v>FR139</v>
          </cell>
          <cell r="N128">
            <v>0</v>
          </cell>
          <cell r="O128">
            <v>192</v>
          </cell>
          <cell r="P128">
            <v>1</v>
          </cell>
          <cell r="Q128">
            <v>1480</v>
          </cell>
        </row>
        <row r="129">
          <cell r="D129" t="str">
            <v>C-EX602212</v>
          </cell>
          <cell r="E129">
            <v>13</v>
          </cell>
          <cell r="F129" t="str">
            <v>U20/5</v>
          </cell>
          <cell r="G129">
            <v>250</v>
          </cell>
          <cell r="H129" t="e">
            <v>#N/A</v>
          </cell>
          <cell r="I129" t="e">
            <v>#N/A</v>
          </cell>
          <cell r="J129" t="e">
            <v>#N/A</v>
          </cell>
          <cell r="K129">
            <v>3</v>
          </cell>
          <cell r="M129" t="str">
            <v>FR147</v>
          </cell>
          <cell r="N129">
            <v>4</v>
          </cell>
          <cell r="O129">
            <v>0</v>
          </cell>
          <cell r="P129">
            <v>0</v>
          </cell>
          <cell r="Q129">
            <v>0</v>
          </cell>
        </row>
        <row r="130">
          <cell r="D130" t="str">
            <v>C-FERMETURE</v>
          </cell>
          <cell r="E130">
            <v>10</v>
          </cell>
          <cell r="G130">
            <v>250</v>
          </cell>
          <cell r="K130">
            <v>4</v>
          </cell>
          <cell r="M130" t="str">
            <v>FR148</v>
          </cell>
          <cell r="N130">
            <v>18</v>
          </cell>
          <cell r="O130">
            <v>21</v>
          </cell>
          <cell r="P130">
            <v>0.53846153846153844</v>
          </cell>
          <cell r="Q130">
            <v>92.285714285714292</v>
          </cell>
        </row>
        <row r="131">
          <cell r="D131" t="str">
            <v>C-FR104</v>
          </cell>
          <cell r="E131">
            <v>10</v>
          </cell>
          <cell r="G131">
            <v>250</v>
          </cell>
          <cell r="K131">
            <v>4</v>
          </cell>
          <cell r="M131" t="str">
            <v>FR149</v>
          </cell>
          <cell r="N131">
            <v>0</v>
          </cell>
          <cell r="O131">
            <v>26</v>
          </cell>
          <cell r="P131">
            <v>1</v>
          </cell>
          <cell r="Q131">
            <v>25</v>
          </cell>
        </row>
        <row r="132">
          <cell r="D132" t="str">
            <v>C-FR108</v>
          </cell>
          <cell r="E132">
            <v>20</v>
          </cell>
          <cell r="F132" t="str">
            <v>BZ20</v>
          </cell>
          <cell r="G132">
            <v>250</v>
          </cell>
          <cell r="H132" t="e">
            <v>#N/A</v>
          </cell>
          <cell r="I132" t="e">
            <v>#N/A</v>
          </cell>
          <cell r="J132" t="e">
            <v>#N/A</v>
          </cell>
          <cell r="K132">
            <v>4</v>
          </cell>
          <cell r="M132" t="str">
            <v>FR150</v>
          </cell>
          <cell r="N132">
            <v>0</v>
          </cell>
          <cell r="O132">
            <v>13</v>
          </cell>
          <cell r="P132">
            <v>1</v>
          </cell>
          <cell r="Q132">
            <v>659.22222222222217</v>
          </cell>
        </row>
        <row r="133">
          <cell r="D133" t="str">
            <v>C-FR150</v>
          </cell>
          <cell r="E133">
            <v>13</v>
          </cell>
          <cell r="F133" t="str">
            <v>U20/5</v>
          </cell>
          <cell r="G133">
            <v>37</v>
          </cell>
          <cell r="H133">
            <v>0.29093999999999998</v>
          </cell>
          <cell r="I133">
            <v>3.375</v>
          </cell>
          <cell r="J133" t="str">
            <v xml:space="preserve"> Emballage-Adhésif</v>
          </cell>
          <cell r="K133">
            <v>6.4024999999999999</v>
          </cell>
          <cell r="M133" t="str">
            <v>FR151</v>
          </cell>
          <cell r="N133">
            <v>37</v>
          </cell>
          <cell r="O133">
            <v>29</v>
          </cell>
          <cell r="P133">
            <v>0.43939393939393939</v>
          </cell>
          <cell r="Q133">
            <v>32</v>
          </cell>
        </row>
        <row r="134">
          <cell r="D134" t="str">
            <v>C-FR402</v>
          </cell>
          <cell r="E134">
            <v>13</v>
          </cell>
          <cell r="F134" t="str">
            <v>U20/5</v>
          </cell>
          <cell r="G134">
            <v>10</v>
          </cell>
          <cell r="H134">
            <v>0.32447999999999994</v>
          </cell>
          <cell r="I134">
            <v>3.375</v>
          </cell>
          <cell r="J134" t="str">
            <v xml:space="preserve"> Emballage-Adhésif</v>
          </cell>
          <cell r="K134">
            <v>5.7394999999999996</v>
          </cell>
          <cell r="M134" t="str">
            <v>FR154</v>
          </cell>
          <cell r="N134">
            <v>0</v>
          </cell>
          <cell r="O134">
            <v>2</v>
          </cell>
          <cell r="P134">
            <v>1</v>
          </cell>
          <cell r="Q134">
            <v>72.5</v>
          </cell>
        </row>
        <row r="135">
          <cell r="D135" t="str">
            <v>C-FSQ124</v>
          </cell>
          <cell r="E135">
            <v>13</v>
          </cell>
          <cell r="F135" t="str">
            <v>U20/5</v>
          </cell>
          <cell r="G135">
            <v>250</v>
          </cell>
          <cell r="H135">
            <v>0.29405999999999999</v>
          </cell>
          <cell r="I135">
            <v>2.25</v>
          </cell>
          <cell r="K135">
            <v>4.4395000000000007</v>
          </cell>
          <cell r="M135" t="str">
            <v>FR155</v>
          </cell>
          <cell r="N135">
            <v>52</v>
          </cell>
          <cell r="O135">
            <v>65</v>
          </cell>
          <cell r="P135">
            <v>0.55555555555555558</v>
          </cell>
          <cell r="Q135">
            <v>8.6666666666666661</v>
          </cell>
        </row>
        <row r="136">
          <cell r="D136" t="str">
            <v>C-FSQ403</v>
          </cell>
          <cell r="E136">
            <v>13</v>
          </cell>
          <cell r="F136" t="str">
            <v>U20/5</v>
          </cell>
          <cell r="G136">
            <v>250</v>
          </cell>
          <cell r="H136">
            <v>0.30575999999999998</v>
          </cell>
          <cell r="I136">
            <v>3.375</v>
          </cell>
          <cell r="K136">
            <v>7.1110000000000007</v>
          </cell>
          <cell r="M136" t="str">
            <v>FR156</v>
          </cell>
          <cell r="N136">
            <v>4</v>
          </cell>
          <cell r="O136">
            <v>50</v>
          </cell>
          <cell r="P136">
            <v>0.92592592592592593</v>
          </cell>
          <cell r="Q136">
            <v>20.666666666666668</v>
          </cell>
        </row>
        <row r="137">
          <cell r="D137" t="str">
            <v>C-GC GRAND MODEL</v>
          </cell>
          <cell r="E137">
            <v>20</v>
          </cell>
          <cell r="F137" t="str">
            <v>BZ20</v>
          </cell>
          <cell r="G137">
            <v>250</v>
          </cell>
          <cell r="H137" t="e">
            <v>#N/A</v>
          </cell>
          <cell r="I137" t="e">
            <v>#N/A</v>
          </cell>
          <cell r="J137" t="e">
            <v>#N/A</v>
          </cell>
          <cell r="K137">
            <v>4</v>
          </cell>
          <cell r="M137" t="str">
            <v>FR161</v>
          </cell>
          <cell r="N137">
            <v>46</v>
          </cell>
          <cell r="O137">
            <v>48</v>
          </cell>
          <cell r="P137">
            <v>0.51063829787234039</v>
          </cell>
          <cell r="Q137">
            <v>24.285714285714285</v>
          </cell>
        </row>
        <row r="138">
          <cell r="D138" t="str">
            <v>C-GC PETIT MODEL</v>
          </cell>
          <cell r="E138">
            <v>20</v>
          </cell>
          <cell r="F138" t="str">
            <v>BZ20</v>
          </cell>
          <cell r="G138">
            <v>72</v>
          </cell>
          <cell r="H138">
            <v>8.4499999999999992E-2</v>
          </cell>
          <cell r="I138" t="e">
            <v>#N/A</v>
          </cell>
          <cell r="J138" t="str">
            <v xml:space="preserve"> Emballage</v>
          </cell>
          <cell r="K138">
            <v>1.69</v>
          </cell>
          <cell r="M138" t="str">
            <v>FR164</v>
          </cell>
          <cell r="N138">
            <v>49</v>
          </cell>
          <cell r="O138">
            <v>62</v>
          </cell>
          <cell r="P138">
            <v>0.55855855855855852</v>
          </cell>
          <cell r="Q138">
            <v>26.625</v>
          </cell>
        </row>
        <row r="139">
          <cell r="D139" t="str">
            <v>C-GL058</v>
          </cell>
          <cell r="E139">
            <v>20</v>
          </cell>
          <cell r="F139" t="str">
            <v>BZ20</v>
          </cell>
          <cell r="G139">
            <v>250</v>
          </cell>
          <cell r="H139" t="e">
            <v>#N/A</v>
          </cell>
          <cell r="I139" t="e">
            <v>#N/A</v>
          </cell>
          <cell r="J139" t="e">
            <v>#N/A</v>
          </cell>
          <cell r="K139">
            <v>4</v>
          </cell>
          <cell r="M139" t="str">
            <v>FR166</v>
          </cell>
          <cell r="N139">
            <v>437</v>
          </cell>
          <cell r="O139">
            <v>77</v>
          </cell>
          <cell r="P139">
            <v>0.14980544747081712</v>
          </cell>
          <cell r="Q139">
            <v>435.66666666666669</v>
          </cell>
        </row>
        <row r="140">
          <cell r="D140" t="str">
            <v>CL3002</v>
          </cell>
          <cell r="E140">
            <v>20</v>
          </cell>
          <cell r="K140">
            <v>0</v>
          </cell>
          <cell r="M140" t="str">
            <v>FR168</v>
          </cell>
          <cell r="N140">
            <v>355</v>
          </cell>
          <cell r="O140">
            <v>229</v>
          </cell>
          <cell r="P140">
            <v>0.39212328767123289</v>
          </cell>
          <cell r="Q140">
            <v>0</v>
          </cell>
        </row>
        <row r="141">
          <cell r="D141" t="str">
            <v>CL3003</v>
          </cell>
          <cell r="E141">
            <v>20</v>
          </cell>
          <cell r="K141">
            <v>0</v>
          </cell>
          <cell r="M141" t="str">
            <v>FR401</v>
          </cell>
          <cell r="N141">
            <v>569</v>
          </cell>
          <cell r="O141">
            <v>156</v>
          </cell>
          <cell r="P141">
            <v>0.21517241379310345</v>
          </cell>
          <cell r="Q141">
            <v>38.75</v>
          </cell>
        </row>
        <row r="142">
          <cell r="D142" t="str">
            <v>CL6419</v>
          </cell>
          <cell r="E142">
            <v>10</v>
          </cell>
          <cell r="G142">
            <v>250</v>
          </cell>
          <cell r="K142">
            <v>4</v>
          </cell>
          <cell r="M142" t="str">
            <v>FR402</v>
          </cell>
          <cell r="N142">
            <v>0</v>
          </cell>
          <cell r="O142">
            <v>20</v>
          </cell>
          <cell r="P142">
            <v>1</v>
          </cell>
          <cell r="Q142">
            <v>898.4545454545455</v>
          </cell>
        </row>
        <row r="143">
          <cell r="D143" t="str">
            <v>C-LM-757</v>
          </cell>
          <cell r="E143">
            <v>17</v>
          </cell>
          <cell r="F143" t="str">
            <v>BCD17</v>
          </cell>
          <cell r="G143">
            <v>250</v>
          </cell>
          <cell r="H143" t="e">
            <v>#N/A</v>
          </cell>
          <cell r="I143" t="e">
            <v>#N/A</v>
          </cell>
          <cell r="J143" t="e">
            <v>#N/A</v>
          </cell>
          <cell r="K143">
            <v>4</v>
          </cell>
          <cell r="M143" t="str">
            <v>FR403</v>
          </cell>
          <cell r="N143">
            <v>316</v>
          </cell>
          <cell r="O143">
            <v>107</v>
          </cell>
          <cell r="P143">
            <v>0.25295508274231676</v>
          </cell>
          <cell r="Q143">
            <v>34.875</v>
          </cell>
        </row>
        <row r="144">
          <cell r="D144" t="str">
            <v>C-LM-79</v>
          </cell>
          <cell r="E144">
            <v>14</v>
          </cell>
          <cell r="F144" t="str">
            <v>BZ14</v>
          </cell>
          <cell r="G144">
            <v>250</v>
          </cell>
          <cell r="H144">
            <v>0.20748</v>
          </cell>
          <cell r="I144">
            <v>3</v>
          </cell>
          <cell r="J144" t="str">
            <v xml:space="preserve"> Emballage</v>
          </cell>
          <cell r="K144">
            <v>3</v>
          </cell>
          <cell r="M144" t="str">
            <v>FR404</v>
          </cell>
          <cell r="N144">
            <v>2331</v>
          </cell>
          <cell r="O144">
            <v>176</v>
          </cell>
          <cell r="P144">
            <v>7.0203430394894295E-2</v>
          </cell>
          <cell r="Q144">
            <v>578.90909090909088</v>
          </cell>
        </row>
        <row r="145">
          <cell r="D145" t="str">
            <v>CO101</v>
          </cell>
          <cell r="E145">
            <v>12</v>
          </cell>
          <cell r="F145" t="str">
            <v>BH12</v>
          </cell>
          <cell r="G145">
            <v>52</v>
          </cell>
          <cell r="H145">
            <v>0.31278</v>
          </cell>
          <cell r="I145">
            <v>3.375</v>
          </cell>
          <cell r="J145" t="str">
            <v xml:space="preserve"> Emballage</v>
          </cell>
          <cell r="K145">
            <v>6.0775000000000006</v>
          </cell>
          <cell r="M145" t="str">
            <v>FR406</v>
          </cell>
          <cell r="N145">
            <v>0</v>
          </cell>
          <cell r="O145">
            <v>76</v>
          </cell>
          <cell r="P145">
            <v>1</v>
          </cell>
          <cell r="Q145">
            <v>57.857142857142854</v>
          </cell>
        </row>
        <row r="146">
          <cell r="D146" t="str">
            <v>CO102</v>
          </cell>
          <cell r="E146">
            <v>12</v>
          </cell>
          <cell r="F146" t="str">
            <v>BH12</v>
          </cell>
          <cell r="G146">
            <v>25</v>
          </cell>
          <cell r="H146">
            <v>0.35958000000000001</v>
          </cell>
          <cell r="I146">
            <v>4.2749999999999995</v>
          </cell>
          <cell r="J146" t="str">
            <v xml:space="preserve"> Emballage</v>
          </cell>
          <cell r="K146">
            <v>6.7664999999999997</v>
          </cell>
          <cell r="M146" t="str">
            <v>FR410</v>
          </cell>
          <cell r="N146">
            <v>0</v>
          </cell>
          <cell r="O146">
            <v>0</v>
          </cell>
          <cell r="P146" t="e">
            <v>#DIV/0!</v>
          </cell>
          <cell r="Q146">
            <v>0</v>
          </cell>
        </row>
        <row r="147">
          <cell r="D147" t="str">
            <v>CO103</v>
          </cell>
          <cell r="E147">
            <v>12</v>
          </cell>
          <cell r="F147" t="str">
            <v>BH12</v>
          </cell>
          <cell r="G147">
            <v>16</v>
          </cell>
          <cell r="H147">
            <v>0.39233999999999997</v>
          </cell>
          <cell r="I147">
            <v>4.2749999999999995</v>
          </cell>
          <cell r="J147" t="str">
            <v xml:space="preserve"> Emballage</v>
          </cell>
          <cell r="K147">
            <v>7.293000000000001</v>
          </cell>
          <cell r="M147" t="str">
            <v>FR411</v>
          </cell>
          <cell r="N147">
            <v>0</v>
          </cell>
          <cell r="O147">
            <v>0</v>
          </cell>
          <cell r="P147" t="e">
            <v>#DIV/0!</v>
          </cell>
          <cell r="Q147">
            <v>0</v>
          </cell>
        </row>
        <row r="148">
          <cell r="D148" t="str">
            <v>CO104</v>
          </cell>
          <cell r="E148">
            <v>13</v>
          </cell>
          <cell r="F148" t="str">
            <v>U20/5</v>
          </cell>
          <cell r="G148">
            <v>20</v>
          </cell>
          <cell r="H148">
            <v>0.22619999999999996</v>
          </cell>
          <cell r="I148">
            <v>3</v>
          </cell>
          <cell r="J148" t="str">
            <v xml:space="preserve"> Emballage-Adhésif</v>
          </cell>
          <cell r="K148">
            <v>4.7059999999999995</v>
          </cell>
          <cell r="M148" t="str">
            <v>AL11026</v>
          </cell>
          <cell r="N148">
            <v>12</v>
          </cell>
          <cell r="O148">
            <v>20</v>
          </cell>
          <cell r="P148">
            <v>0.625</v>
          </cell>
          <cell r="Q148">
            <v>222.375</v>
          </cell>
        </row>
        <row r="149">
          <cell r="D149" t="str">
            <v>CO105</v>
          </cell>
          <cell r="E149">
            <v>13</v>
          </cell>
          <cell r="F149" t="str">
            <v>U20/5</v>
          </cell>
          <cell r="G149">
            <v>22</v>
          </cell>
          <cell r="H149">
            <v>0.15756000000000001</v>
          </cell>
          <cell r="I149">
            <v>2.25</v>
          </cell>
          <cell r="J149" t="str">
            <v xml:space="preserve"> Emballage-Adhésif</v>
          </cell>
          <cell r="K149">
            <v>3.5685000000000002</v>
          </cell>
          <cell r="M149" t="str">
            <v>AL40202</v>
          </cell>
          <cell r="N149">
            <v>118</v>
          </cell>
          <cell r="O149">
            <v>34</v>
          </cell>
          <cell r="P149">
            <v>0.22368421052631579</v>
          </cell>
          <cell r="Q149">
            <v>1</v>
          </cell>
        </row>
        <row r="150">
          <cell r="D150" t="str">
            <v>CO106</v>
          </cell>
          <cell r="E150">
            <v>15</v>
          </cell>
          <cell r="F150" t="str">
            <v>BV15</v>
          </cell>
          <cell r="G150">
            <v>18</v>
          </cell>
          <cell r="H150">
            <v>0.26363999999999999</v>
          </cell>
          <cell r="I150">
            <v>3</v>
          </cell>
          <cell r="J150" t="str">
            <v xml:space="preserve"> Emballage-Adhésif</v>
          </cell>
          <cell r="K150">
            <v>4.3029999999999999</v>
          </cell>
          <cell r="M150" t="str">
            <v>Mr020</v>
          </cell>
          <cell r="N150">
            <v>0</v>
          </cell>
          <cell r="O150">
            <v>0</v>
          </cell>
          <cell r="P150" t="e">
            <v>#DIV/0!</v>
          </cell>
          <cell r="Q150">
            <v>0</v>
          </cell>
        </row>
        <row r="151">
          <cell r="D151" t="str">
            <v>CO107</v>
          </cell>
          <cell r="E151">
            <v>13</v>
          </cell>
          <cell r="F151" t="str">
            <v>U20/5</v>
          </cell>
          <cell r="G151">
            <v>51</v>
          </cell>
          <cell r="H151">
            <v>0.33228000000000002</v>
          </cell>
          <cell r="I151">
            <v>3.375</v>
          </cell>
          <cell r="J151" t="str">
            <v xml:space="preserve"> Emballage</v>
          </cell>
          <cell r="K151">
            <v>5.2844999999999995</v>
          </cell>
          <cell r="M151" t="str">
            <v>FSQ100</v>
          </cell>
          <cell r="N151">
            <v>611</v>
          </cell>
          <cell r="O151">
            <v>20</v>
          </cell>
          <cell r="P151">
            <v>3.1695721077654518E-2</v>
          </cell>
          <cell r="Q151">
            <v>85.333333333333329</v>
          </cell>
        </row>
        <row r="152">
          <cell r="D152" t="str">
            <v>CO108</v>
          </cell>
          <cell r="E152">
            <v>13</v>
          </cell>
          <cell r="F152" t="str">
            <v>U20/5</v>
          </cell>
          <cell r="G152">
            <v>98</v>
          </cell>
          <cell r="H152">
            <v>0.26598000000000005</v>
          </cell>
          <cell r="I152">
            <v>3.375</v>
          </cell>
          <cell r="J152" t="str">
            <v xml:space="preserve"> Emballage-Adhésif</v>
          </cell>
          <cell r="K152">
            <v>6.2139999999999995</v>
          </cell>
          <cell r="M152" t="str">
            <v>FSQ153</v>
          </cell>
          <cell r="N152">
            <v>48</v>
          </cell>
          <cell r="O152">
            <v>0</v>
          </cell>
          <cell r="P152">
            <v>0</v>
          </cell>
          <cell r="Q152">
            <v>4.666666666666667</v>
          </cell>
        </row>
        <row r="153">
          <cell r="D153" t="str">
            <v>CO110</v>
          </cell>
          <cell r="E153">
            <v>6</v>
          </cell>
          <cell r="F153" t="str">
            <v>BH12</v>
          </cell>
          <cell r="G153">
            <v>94</v>
          </cell>
          <cell r="H153">
            <v>0.68171999999999999</v>
          </cell>
          <cell r="I153">
            <v>6</v>
          </cell>
          <cell r="J153" t="str">
            <v xml:space="preserve"> Emballage</v>
          </cell>
          <cell r="K153">
            <v>10.679500000000001</v>
          </cell>
          <cell r="M153" t="str">
            <v>FSQ102</v>
          </cell>
          <cell r="N153">
            <v>667</v>
          </cell>
          <cell r="O153">
            <v>83</v>
          </cell>
          <cell r="P153">
            <v>0.11066666666666666</v>
          </cell>
          <cell r="Q153">
            <v>13.857142857142858</v>
          </cell>
        </row>
        <row r="154">
          <cell r="D154" t="str">
            <v>CO114</v>
          </cell>
          <cell r="E154">
            <v>20</v>
          </cell>
          <cell r="F154" t="str">
            <v>BZ20</v>
          </cell>
          <cell r="G154">
            <v>3</v>
          </cell>
          <cell r="H154">
            <v>6.8639999999999993E-2</v>
          </cell>
          <cell r="I154">
            <v>2.25</v>
          </cell>
          <cell r="J154" t="str">
            <v xml:space="preserve"> Emballage</v>
          </cell>
          <cell r="K154">
            <v>0.90350000000000008</v>
          </cell>
          <cell r="M154" t="str">
            <v>FSQ104</v>
          </cell>
          <cell r="N154">
            <v>437</v>
          </cell>
          <cell r="O154">
            <v>2</v>
          </cell>
          <cell r="P154">
            <v>4.5558086560364463E-3</v>
          </cell>
          <cell r="Q154">
            <v>13</v>
          </cell>
        </row>
        <row r="155">
          <cell r="D155" t="str">
            <v>CO116</v>
          </cell>
          <cell r="E155" t="str">
            <v>anodisé</v>
          </cell>
          <cell r="F155" t="str">
            <v>BZ20</v>
          </cell>
          <cell r="G155">
            <v>14</v>
          </cell>
          <cell r="H155">
            <v>4.2899999999999994E-2</v>
          </cell>
          <cell r="I155">
            <v>0.75</v>
          </cell>
          <cell r="J155" t="str">
            <v>Non</v>
          </cell>
          <cell r="K155">
            <v>0.69550000000000001</v>
          </cell>
          <cell r="M155" t="str">
            <v>FSQ110</v>
          </cell>
          <cell r="N155">
            <v>1067</v>
          </cell>
          <cell r="O155">
            <v>5</v>
          </cell>
          <cell r="P155">
            <v>4.6641791044776115E-3</v>
          </cell>
          <cell r="Q155">
            <v>41</v>
          </cell>
        </row>
        <row r="156">
          <cell r="D156" t="str">
            <v>CO124</v>
          </cell>
          <cell r="E156">
            <v>20</v>
          </cell>
          <cell r="F156" t="str">
            <v>BZ20</v>
          </cell>
          <cell r="G156">
            <v>89</v>
          </cell>
          <cell r="H156">
            <v>0.10218000000000001</v>
          </cell>
          <cell r="I156">
            <v>2.25</v>
          </cell>
          <cell r="J156" t="str">
            <v>Non</v>
          </cell>
          <cell r="K156">
            <v>1.742</v>
          </cell>
          <cell r="M156" t="str">
            <v>FSQ111</v>
          </cell>
          <cell r="N156">
            <v>999</v>
          </cell>
          <cell r="O156">
            <v>3</v>
          </cell>
          <cell r="P156">
            <v>2.9940119760479044E-3</v>
          </cell>
          <cell r="Q156">
            <v>103.33333333333333</v>
          </cell>
        </row>
        <row r="157">
          <cell r="D157" t="str">
            <v>C-PA7714</v>
          </cell>
          <cell r="E157">
            <v>14</v>
          </cell>
          <cell r="F157" t="str">
            <v>BZ14</v>
          </cell>
          <cell r="G157">
            <v>250</v>
          </cell>
          <cell r="H157" t="e">
            <v>#N/A</v>
          </cell>
          <cell r="I157" t="e">
            <v>#N/A</v>
          </cell>
          <cell r="J157" t="e">
            <v>#N/A</v>
          </cell>
          <cell r="K157">
            <v>3</v>
          </cell>
          <cell r="M157" t="str">
            <v>FSQ112</v>
          </cell>
          <cell r="N157">
            <v>182</v>
          </cell>
          <cell r="O157">
            <v>3</v>
          </cell>
          <cell r="P157">
            <v>1.6216216216216217E-2</v>
          </cell>
          <cell r="Q157">
            <v>27.714285714285715</v>
          </cell>
        </row>
        <row r="158">
          <cell r="D158" t="str">
            <v>C-PAUM</v>
          </cell>
          <cell r="E158">
            <v>800</v>
          </cell>
          <cell r="K158">
            <v>0.5</v>
          </cell>
          <cell r="M158" t="str">
            <v>FSQ121</v>
          </cell>
          <cell r="N158">
            <v>116</v>
          </cell>
          <cell r="O158">
            <v>0</v>
          </cell>
          <cell r="P158">
            <v>0</v>
          </cell>
          <cell r="Q158">
            <v>22.888888888888889</v>
          </cell>
        </row>
        <row r="159">
          <cell r="D159" t="str">
            <v>C-remplissage</v>
          </cell>
          <cell r="E159">
            <v>10</v>
          </cell>
          <cell r="K159">
            <v>4</v>
          </cell>
          <cell r="M159" t="str">
            <v>FSQ122</v>
          </cell>
          <cell r="N159">
            <v>38</v>
          </cell>
          <cell r="O159">
            <v>0</v>
          </cell>
          <cell r="P159">
            <v>0</v>
          </cell>
          <cell r="Q159">
            <v>23.375</v>
          </cell>
        </row>
        <row r="160">
          <cell r="D160" t="str">
            <v>C-SAF704</v>
          </cell>
          <cell r="E160">
            <v>13</v>
          </cell>
          <cell r="F160" t="str">
            <v>U20/5</v>
          </cell>
          <cell r="G160">
            <v>250</v>
          </cell>
          <cell r="H160" t="e">
            <v>#N/A</v>
          </cell>
          <cell r="I160" t="e">
            <v>#N/A</v>
          </cell>
          <cell r="J160" t="e">
            <v>#N/A</v>
          </cell>
          <cell r="K160">
            <v>3</v>
          </cell>
          <cell r="M160" t="str">
            <v>FSQ124</v>
          </cell>
          <cell r="N160">
            <v>0</v>
          </cell>
          <cell r="O160">
            <v>0</v>
          </cell>
          <cell r="P160" t="e">
            <v>#DIV/0!</v>
          </cell>
          <cell r="Q160">
            <v>95.75</v>
          </cell>
        </row>
        <row r="161">
          <cell r="D161" t="str">
            <v>C-SAF706</v>
          </cell>
          <cell r="E161">
            <v>5</v>
          </cell>
          <cell r="F161" t="str">
            <v>U20/5</v>
          </cell>
          <cell r="G161">
            <v>250</v>
          </cell>
          <cell r="H161" t="e">
            <v>#N/A</v>
          </cell>
          <cell r="I161" t="e">
            <v>#N/A</v>
          </cell>
          <cell r="J161" t="e">
            <v>#N/A</v>
          </cell>
          <cell r="K161">
            <v>9</v>
          </cell>
          <cell r="M161" t="str">
            <v>FSQ130</v>
          </cell>
          <cell r="N161">
            <v>56</v>
          </cell>
          <cell r="O161">
            <v>8</v>
          </cell>
          <cell r="P161">
            <v>0.125</v>
          </cell>
          <cell r="Q161">
            <v>1.6666666666666667</v>
          </cell>
        </row>
        <row r="162">
          <cell r="D162" t="str">
            <v>CSQ101</v>
          </cell>
          <cell r="E162">
            <v>12</v>
          </cell>
          <cell r="F162" t="str">
            <v>BH12</v>
          </cell>
          <cell r="G162">
            <v>123</v>
          </cell>
          <cell r="H162">
            <v>0.30770999999999998</v>
          </cell>
          <cell r="I162">
            <v>3.375</v>
          </cell>
          <cell r="J162" t="str">
            <v xml:space="preserve"> Emballage</v>
          </cell>
          <cell r="K162">
            <v>5.8630000000000004</v>
          </cell>
          <cell r="M162" t="str">
            <v>FSQ131</v>
          </cell>
          <cell r="N162">
            <v>159</v>
          </cell>
          <cell r="O162">
            <v>5</v>
          </cell>
          <cell r="P162">
            <v>3.048780487804878E-2</v>
          </cell>
          <cell r="Q162">
            <v>64.599999999999994</v>
          </cell>
        </row>
        <row r="163">
          <cell r="D163" t="str">
            <v>CSQ102</v>
          </cell>
          <cell r="E163">
            <v>12</v>
          </cell>
          <cell r="F163" t="str">
            <v>BH12</v>
          </cell>
          <cell r="G163">
            <v>81</v>
          </cell>
          <cell r="H163">
            <v>0.35427599999999998</v>
          </cell>
          <cell r="I163">
            <v>4.2749999999999995</v>
          </cell>
          <cell r="J163" t="str">
            <v xml:space="preserve"> Emballage</v>
          </cell>
          <cell r="K163">
            <v>6.5064999999999991</v>
          </cell>
          <cell r="M163" t="str">
            <v>FSQ139</v>
          </cell>
          <cell r="N163">
            <v>2404</v>
          </cell>
          <cell r="O163">
            <v>14</v>
          </cell>
          <cell r="P163">
            <v>5.7899090157154673E-3</v>
          </cell>
          <cell r="Q163">
            <v>157.22222222222223</v>
          </cell>
        </row>
        <row r="164">
          <cell r="D164" t="str">
            <v>CSQ103</v>
          </cell>
          <cell r="E164">
            <v>12</v>
          </cell>
          <cell r="F164" t="str">
            <v>BH12</v>
          </cell>
          <cell r="G164">
            <v>70</v>
          </cell>
          <cell r="H164">
            <v>0.31621199999999999</v>
          </cell>
          <cell r="I164">
            <v>4.2749999999999995</v>
          </cell>
          <cell r="J164" t="str">
            <v xml:space="preserve"> Emballage</v>
          </cell>
          <cell r="K164">
            <v>6.0255000000000001</v>
          </cell>
          <cell r="M164" t="str">
            <v>FSQ132</v>
          </cell>
          <cell r="N164">
            <v>0</v>
          </cell>
          <cell r="O164">
            <v>0</v>
          </cell>
          <cell r="P164" t="e">
            <v>#DIV/0!</v>
          </cell>
          <cell r="Q164">
            <v>10.166666666666666</v>
          </cell>
        </row>
        <row r="165">
          <cell r="D165" t="str">
            <v>CSQ104</v>
          </cell>
          <cell r="E165">
            <v>13</v>
          </cell>
          <cell r="F165" t="str">
            <v>U20/5</v>
          </cell>
          <cell r="G165">
            <v>58</v>
          </cell>
          <cell r="H165">
            <v>0.23969400000000002</v>
          </cell>
          <cell r="I165">
            <v>3</v>
          </cell>
          <cell r="J165" t="str">
            <v xml:space="preserve"> Emballage-Adhésif</v>
          </cell>
          <cell r="K165">
            <v>4.7774999999999999</v>
          </cell>
          <cell r="M165" t="str">
            <v>FSQ149</v>
          </cell>
          <cell r="N165">
            <v>40</v>
          </cell>
          <cell r="O165">
            <v>3</v>
          </cell>
          <cell r="P165">
            <v>6.9767441860465115E-2</v>
          </cell>
          <cell r="Q165">
            <v>7.4</v>
          </cell>
        </row>
        <row r="166">
          <cell r="D166" t="str">
            <v>CSQ105</v>
          </cell>
          <cell r="E166">
            <v>13</v>
          </cell>
          <cell r="F166" t="str">
            <v>U20/5</v>
          </cell>
          <cell r="G166">
            <v>63</v>
          </cell>
          <cell r="H166">
            <v>0.16528200000000001</v>
          </cell>
          <cell r="I166">
            <v>2.25</v>
          </cell>
          <cell r="J166" t="str">
            <v xml:space="preserve"> Emballage-Adhésif</v>
          </cell>
          <cell r="K166">
            <v>3.6659999999999995</v>
          </cell>
          <cell r="M166" t="str">
            <v>FSQ150</v>
          </cell>
          <cell r="N166">
            <v>784</v>
          </cell>
          <cell r="O166">
            <v>124</v>
          </cell>
          <cell r="P166">
            <v>0.13656387665198239</v>
          </cell>
          <cell r="Q166">
            <v>16.666666666666668</v>
          </cell>
        </row>
        <row r="167">
          <cell r="D167" t="str">
            <v>CSQ106</v>
          </cell>
          <cell r="E167">
            <v>15</v>
          </cell>
          <cell r="F167" t="str">
            <v>BV15</v>
          </cell>
          <cell r="G167">
            <v>44</v>
          </cell>
          <cell r="H167">
            <v>0.26410799999999995</v>
          </cell>
          <cell r="I167">
            <v>3</v>
          </cell>
          <cell r="J167" t="str">
            <v xml:space="preserve"> Emballage-Adhésif</v>
          </cell>
          <cell r="K167">
            <v>4.1470000000000002</v>
          </cell>
          <cell r="M167" t="str">
            <v>FSQ156</v>
          </cell>
          <cell r="N167">
            <v>258</v>
          </cell>
          <cell r="O167">
            <v>1</v>
          </cell>
          <cell r="P167">
            <v>3.8610038610038611E-3</v>
          </cell>
          <cell r="Q167">
            <v>3.8333333333333335</v>
          </cell>
        </row>
        <row r="168">
          <cell r="D168" t="str">
            <v>CSQ107</v>
          </cell>
          <cell r="E168">
            <v>13</v>
          </cell>
          <cell r="F168" t="str">
            <v>U20/5</v>
          </cell>
          <cell r="G168">
            <v>75</v>
          </cell>
          <cell r="H168">
            <v>0.217776</v>
          </cell>
          <cell r="I168">
            <v>3.375</v>
          </cell>
          <cell r="J168" t="str">
            <v xml:space="preserve"> Emballage-Adhésif</v>
          </cell>
          <cell r="K168">
            <v>7.2280000000000006</v>
          </cell>
          <cell r="M168" t="str">
            <v>FSQ163</v>
          </cell>
          <cell r="N168">
            <v>92</v>
          </cell>
          <cell r="O168">
            <v>0</v>
          </cell>
          <cell r="P168">
            <v>0</v>
          </cell>
          <cell r="Q168">
            <v>4.2</v>
          </cell>
        </row>
        <row r="169">
          <cell r="D169" t="str">
            <v>CSQ108</v>
          </cell>
          <cell r="E169">
            <v>13</v>
          </cell>
          <cell r="F169" t="str">
            <v>U20/5</v>
          </cell>
          <cell r="G169">
            <v>99</v>
          </cell>
          <cell r="H169">
            <v>0.27791399999999999</v>
          </cell>
          <cell r="I169">
            <v>3.375</v>
          </cell>
          <cell r="J169" t="str">
            <v xml:space="preserve"> Emballage-Adhésif</v>
          </cell>
          <cell r="K169">
            <v>6.6364999999999998</v>
          </cell>
          <cell r="M169" t="str">
            <v>FSQ164</v>
          </cell>
          <cell r="N169">
            <v>610</v>
          </cell>
          <cell r="O169">
            <v>2</v>
          </cell>
          <cell r="P169">
            <v>3.2679738562091504E-3</v>
          </cell>
          <cell r="Q169">
            <v>1.6666666666666667</v>
          </cell>
        </row>
        <row r="170">
          <cell r="D170" t="str">
            <v>CSQ110</v>
          </cell>
          <cell r="E170">
            <v>6</v>
          </cell>
          <cell r="F170" t="str">
            <v>BH12</v>
          </cell>
          <cell r="G170">
            <v>113</v>
          </cell>
          <cell r="H170">
            <v>0.46449000000000001</v>
          </cell>
          <cell r="I170">
            <v>6</v>
          </cell>
          <cell r="J170" t="str">
            <v xml:space="preserve"> Emballage</v>
          </cell>
          <cell r="K170">
            <v>9.4314999999999998</v>
          </cell>
          <cell r="M170" t="str">
            <v>FSQ165</v>
          </cell>
          <cell r="N170">
            <v>161</v>
          </cell>
          <cell r="O170">
            <v>0</v>
          </cell>
          <cell r="P170">
            <v>0</v>
          </cell>
          <cell r="Q170">
            <v>0</v>
          </cell>
        </row>
        <row r="171">
          <cell r="D171" t="str">
            <v>CSQ114</v>
          </cell>
          <cell r="E171">
            <v>20</v>
          </cell>
          <cell r="F171" t="str">
            <v>BZ20</v>
          </cell>
          <cell r="G171">
            <v>34</v>
          </cell>
          <cell r="H171">
            <v>6.9419999999999996E-2</v>
          </cell>
          <cell r="I171">
            <v>2.25</v>
          </cell>
          <cell r="J171" t="str">
            <v xml:space="preserve"> Emballage</v>
          </cell>
          <cell r="K171">
            <v>0.91000000000000014</v>
          </cell>
          <cell r="M171" t="str">
            <v>FSQ401</v>
          </cell>
          <cell r="N171">
            <v>768</v>
          </cell>
          <cell r="O171">
            <v>2</v>
          </cell>
          <cell r="P171">
            <v>2.5974025974025974E-3</v>
          </cell>
          <cell r="Q171">
            <v>104.18181818181819</v>
          </cell>
        </row>
        <row r="172">
          <cell r="D172" t="str">
            <v>CSQ116</v>
          </cell>
          <cell r="E172" t="str">
            <v>anodisé</v>
          </cell>
          <cell r="F172" t="str">
            <v>BZ20</v>
          </cell>
          <cell r="G172">
            <v>64.5</v>
          </cell>
          <cell r="H172">
            <v>2.6208000000000002E-2</v>
          </cell>
          <cell r="I172">
            <v>0.75</v>
          </cell>
          <cell r="J172" t="e">
            <v>#N/A</v>
          </cell>
          <cell r="K172">
            <v>1.2610000000000001</v>
          </cell>
          <cell r="M172" t="str">
            <v>FSQ402</v>
          </cell>
          <cell r="N172">
            <v>14</v>
          </cell>
          <cell r="O172">
            <v>5</v>
          </cell>
          <cell r="P172">
            <v>0.26315789473684209</v>
          </cell>
          <cell r="Q172">
            <v>15</v>
          </cell>
        </row>
        <row r="173">
          <cell r="D173" t="str">
            <v>CSQ124</v>
          </cell>
          <cell r="E173">
            <v>20</v>
          </cell>
          <cell r="F173" t="str">
            <v>BZ20</v>
          </cell>
          <cell r="G173">
            <v>137</v>
          </cell>
          <cell r="H173">
            <v>0.12269400000000001</v>
          </cell>
          <cell r="I173">
            <v>2.25</v>
          </cell>
          <cell r="J173" t="str">
            <v xml:space="preserve"> Emballage</v>
          </cell>
          <cell r="K173">
            <v>1.3259999999999998</v>
          </cell>
          <cell r="M173" t="str">
            <v>FSQ541</v>
          </cell>
          <cell r="N173">
            <v>38</v>
          </cell>
          <cell r="O173">
            <v>2</v>
          </cell>
          <cell r="P173">
            <v>0.05</v>
          </cell>
          <cell r="Q173">
            <v>0</v>
          </cell>
        </row>
        <row r="174">
          <cell r="D174" t="str">
            <v>CSQ125</v>
          </cell>
          <cell r="E174">
            <v>20</v>
          </cell>
          <cell r="F174" t="str">
            <v>BZ20</v>
          </cell>
          <cell r="G174">
            <v>141</v>
          </cell>
          <cell r="H174">
            <v>4.1339999999999995E-2</v>
          </cell>
          <cell r="I174">
            <v>0.75</v>
          </cell>
          <cell r="J174" t="str">
            <v xml:space="preserve"> Emballage</v>
          </cell>
          <cell r="K174">
            <v>0.52</v>
          </cell>
          <cell r="M174" t="str">
            <v>FSQ531</v>
          </cell>
          <cell r="N174">
            <v>134</v>
          </cell>
          <cell r="O174">
            <v>2</v>
          </cell>
          <cell r="P174">
            <v>1.4705882352941176E-2</v>
          </cell>
          <cell r="Q174">
            <v>0</v>
          </cell>
        </row>
        <row r="175">
          <cell r="D175" t="str">
            <v>CSQ126</v>
          </cell>
          <cell r="E175">
            <v>20</v>
          </cell>
          <cell r="F175" t="str">
            <v>BZ20</v>
          </cell>
          <cell r="G175">
            <v>150</v>
          </cell>
          <cell r="H175">
            <v>0.10046399999999998</v>
          </cell>
          <cell r="I175">
            <v>0.75</v>
          </cell>
          <cell r="J175" t="str">
            <v xml:space="preserve"> Emballage</v>
          </cell>
          <cell r="K175">
            <v>1.5859999999999999</v>
          </cell>
          <cell r="M175" t="str">
            <v>FSQ532</v>
          </cell>
          <cell r="N175">
            <v>200</v>
          </cell>
          <cell r="O175">
            <v>0</v>
          </cell>
          <cell r="P175">
            <v>0</v>
          </cell>
          <cell r="Q175">
            <v>0</v>
          </cell>
        </row>
        <row r="176">
          <cell r="D176" t="str">
            <v>CSQ153</v>
          </cell>
          <cell r="E176">
            <v>12</v>
          </cell>
          <cell r="G176">
            <v>250</v>
          </cell>
          <cell r="H176">
            <v>0.10139999999999999</v>
          </cell>
          <cell r="I176">
            <v>1.125</v>
          </cell>
          <cell r="K176">
            <v>1.8480000000000001</v>
          </cell>
          <cell r="M176" t="str">
            <v>CSQ537</v>
          </cell>
          <cell r="N176">
            <v>800</v>
          </cell>
          <cell r="O176">
            <v>16</v>
          </cell>
          <cell r="P176">
            <v>1.9607843137254902E-2</v>
          </cell>
          <cell r="Q176">
            <v>0</v>
          </cell>
        </row>
        <row r="177">
          <cell r="D177" t="str">
            <v>CSQ201</v>
          </cell>
          <cell r="E177">
            <v>12</v>
          </cell>
          <cell r="F177" t="str">
            <v>BH12</v>
          </cell>
          <cell r="G177">
            <v>145</v>
          </cell>
          <cell r="H177">
            <v>0.24889800000000004</v>
          </cell>
          <cell r="I177">
            <v>2.25</v>
          </cell>
          <cell r="J177" t="str">
            <v xml:space="preserve"> Emballage-Adhésif</v>
          </cell>
          <cell r="K177">
            <v>4.9595000000000002</v>
          </cell>
          <cell r="M177" t="str">
            <v>CSQ538</v>
          </cell>
          <cell r="N177">
            <v>256</v>
          </cell>
          <cell r="O177">
            <v>0</v>
          </cell>
          <cell r="P177">
            <v>0</v>
          </cell>
          <cell r="Q177">
            <v>0</v>
          </cell>
        </row>
        <row r="178">
          <cell r="D178" t="str">
            <v>CSQ202</v>
          </cell>
          <cell r="E178">
            <v>12</v>
          </cell>
          <cell r="F178" t="str">
            <v>BH12</v>
          </cell>
          <cell r="G178">
            <v>77</v>
          </cell>
          <cell r="H178">
            <v>0.29569800000000007</v>
          </cell>
          <cell r="I178">
            <v>2.25</v>
          </cell>
          <cell r="J178" t="str">
            <v xml:space="preserve"> Emballage-Adhésif</v>
          </cell>
          <cell r="K178">
            <v>5.6094999999999997</v>
          </cell>
          <cell r="M178" t="str">
            <v>FSQ108</v>
          </cell>
          <cell r="N178">
            <v>500</v>
          </cell>
          <cell r="O178">
            <v>6</v>
          </cell>
          <cell r="P178">
            <v>1.1857707509881422E-2</v>
          </cell>
          <cell r="Q178">
            <v>0</v>
          </cell>
        </row>
        <row r="179">
          <cell r="D179" t="str">
            <v>CSQ203</v>
          </cell>
          <cell r="E179">
            <v>12</v>
          </cell>
          <cell r="F179" t="str">
            <v>BH12</v>
          </cell>
          <cell r="G179">
            <v>79</v>
          </cell>
          <cell r="H179">
            <v>0.25763400000000003</v>
          </cell>
          <cell r="I179">
            <v>2.25</v>
          </cell>
          <cell r="J179" t="str">
            <v xml:space="preserve"> Emballage-Adhésif</v>
          </cell>
          <cell r="K179">
            <v>5.1284999999999998</v>
          </cell>
          <cell r="M179" t="str">
            <v>FSQ460</v>
          </cell>
          <cell r="N179">
            <v>150</v>
          </cell>
          <cell r="O179">
            <v>0</v>
          </cell>
          <cell r="P179">
            <v>0</v>
          </cell>
          <cell r="Q179">
            <v>0</v>
          </cell>
        </row>
        <row r="180">
          <cell r="D180" t="str">
            <v>CSQ210</v>
          </cell>
          <cell r="E180">
            <v>12</v>
          </cell>
          <cell r="F180" t="str">
            <v>BH12</v>
          </cell>
          <cell r="G180">
            <v>135</v>
          </cell>
          <cell r="H180">
            <v>0.39982800000000007</v>
          </cell>
          <cell r="I180">
            <v>4.2749999999999995</v>
          </cell>
          <cell r="J180" t="str">
            <v xml:space="preserve"> Emballage-Adhésif</v>
          </cell>
          <cell r="K180">
            <v>8.4109999999999996</v>
          </cell>
          <cell r="M180" t="str">
            <v>FSQ534</v>
          </cell>
          <cell r="N180">
            <v>495</v>
          </cell>
          <cell r="O180">
            <v>3</v>
          </cell>
          <cell r="P180">
            <v>6.024096385542169E-3</v>
          </cell>
          <cell r="Q180">
            <v>0</v>
          </cell>
        </row>
        <row r="181">
          <cell r="D181" t="str">
            <v>CSQ300</v>
          </cell>
          <cell r="E181">
            <v>20</v>
          </cell>
          <cell r="F181" t="str">
            <v>BZ20</v>
          </cell>
          <cell r="G181">
            <v>103</v>
          </cell>
          <cell r="H181">
            <v>8.5019999999999998E-2</v>
          </cell>
          <cell r="I181">
            <v>0.75</v>
          </cell>
          <cell r="J181" t="str">
            <v xml:space="preserve"> Emballage</v>
          </cell>
          <cell r="K181">
            <v>1.1895</v>
          </cell>
          <cell r="M181" t="str">
            <v>FSQ535</v>
          </cell>
          <cell r="N181">
            <v>147</v>
          </cell>
          <cell r="O181">
            <v>0</v>
          </cell>
          <cell r="P181">
            <v>0</v>
          </cell>
          <cell r="Q181">
            <v>0</v>
          </cell>
        </row>
        <row r="182">
          <cell r="D182" t="str">
            <v>CSQ301</v>
          </cell>
          <cell r="E182">
            <v>20</v>
          </cell>
          <cell r="F182" t="str">
            <v>BZ20</v>
          </cell>
          <cell r="G182">
            <v>65</v>
          </cell>
          <cell r="H182">
            <v>8.4239999999999995E-2</v>
          </cell>
          <cell r="I182">
            <v>0.75</v>
          </cell>
          <cell r="J182" t="str">
            <v xml:space="preserve"> Emballage</v>
          </cell>
          <cell r="K182">
            <v>1.3130000000000002</v>
          </cell>
          <cell r="M182" t="str">
            <v>FSQ536</v>
          </cell>
          <cell r="N182">
            <v>196</v>
          </cell>
          <cell r="O182">
            <v>-176</v>
          </cell>
          <cell r="P182">
            <v>-8.8000000000000007</v>
          </cell>
          <cell r="Q182">
            <v>0</v>
          </cell>
        </row>
        <row r="183">
          <cell r="D183" t="str">
            <v>CSQ302</v>
          </cell>
          <cell r="E183">
            <v>20</v>
          </cell>
          <cell r="F183" t="str">
            <v>BZ20</v>
          </cell>
          <cell r="G183">
            <v>85</v>
          </cell>
          <cell r="H183">
            <v>8.4239999999999995E-2</v>
          </cell>
          <cell r="I183">
            <v>0.75</v>
          </cell>
          <cell r="J183" t="str">
            <v xml:space="preserve"> Emballage</v>
          </cell>
          <cell r="K183">
            <v>1.157</v>
          </cell>
          <cell r="M183" t="str">
            <v>FSQ403</v>
          </cell>
          <cell r="N183">
            <v>326</v>
          </cell>
          <cell r="O183">
            <v>1</v>
          </cell>
          <cell r="P183">
            <v>3.0581039755351682E-3</v>
          </cell>
          <cell r="Q183">
            <v>95.666666666666671</v>
          </cell>
        </row>
        <row r="184">
          <cell r="D184" t="str">
            <v>CSQ303</v>
          </cell>
          <cell r="E184">
            <v>20</v>
          </cell>
          <cell r="F184" t="str">
            <v>BZ20</v>
          </cell>
          <cell r="G184">
            <v>161</v>
          </cell>
          <cell r="H184">
            <v>6.9264000000000006E-2</v>
          </cell>
          <cell r="I184">
            <v>0.75</v>
          </cell>
          <cell r="J184" t="str">
            <v xml:space="preserve"> Emballage</v>
          </cell>
          <cell r="K184">
            <v>1.079</v>
          </cell>
          <cell r="M184" t="str">
            <v>FSQ404</v>
          </cell>
          <cell r="N184">
            <v>32</v>
          </cell>
          <cell r="O184">
            <v>1</v>
          </cell>
          <cell r="P184">
            <v>3.0303030303030304E-2</v>
          </cell>
          <cell r="Q184">
            <v>18.399999999999999</v>
          </cell>
        </row>
        <row r="185">
          <cell r="D185" t="str">
            <v>CSQ304</v>
          </cell>
          <cell r="E185">
            <v>20</v>
          </cell>
          <cell r="F185" t="str">
            <v>BZ20</v>
          </cell>
          <cell r="G185">
            <v>130</v>
          </cell>
          <cell r="H185">
            <v>9.9839999999999998E-2</v>
          </cell>
          <cell r="I185">
            <v>0.75</v>
          </cell>
          <cell r="J185" t="str">
            <v xml:space="preserve"> Emballage</v>
          </cell>
          <cell r="K185">
            <v>1.157</v>
          </cell>
          <cell r="M185" t="str">
            <v>FSQ405</v>
          </cell>
          <cell r="N185">
            <v>292</v>
          </cell>
          <cell r="O185">
            <v>5</v>
          </cell>
          <cell r="P185">
            <v>1.6835016835016835E-2</v>
          </cell>
          <cell r="Q185">
            <v>10.199999999999999</v>
          </cell>
        </row>
        <row r="186">
          <cell r="D186" t="str">
            <v>CSQ305</v>
          </cell>
          <cell r="E186">
            <v>20</v>
          </cell>
          <cell r="F186" t="str">
            <v>BZ20</v>
          </cell>
          <cell r="G186">
            <v>96</v>
          </cell>
          <cell r="H186">
            <v>9.9839999999999998E-2</v>
          </cell>
          <cell r="I186">
            <v>0.75</v>
          </cell>
          <cell r="J186" t="str">
            <v xml:space="preserve"> Emballage</v>
          </cell>
          <cell r="K186">
            <v>1.56</v>
          </cell>
          <cell r="M186" t="str">
            <v>FSQ406</v>
          </cell>
          <cell r="N186">
            <v>40</v>
          </cell>
          <cell r="O186">
            <v>0</v>
          </cell>
          <cell r="P186">
            <v>0</v>
          </cell>
          <cell r="Q186">
            <v>4</v>
          </cell>
        </row>
        <row r="187">
          <cell r="D187" t="str">
            <v>CSQ306</v>
          </cell>
          <cell r="E187">
            <v>20</v>
          </cell>
          <cell r="F187" t="str">
            <v>BZ20</v>
          </cell>
          <cell r="G187">
            <v>88</v>
          </cell>
          <cell r="H187">
            <v>9.2039999999999983E-2</v>
          </cell>
          <cell r="I187">
            <v>0.75</v>
          </cell>
          <cell r="J187" t="str">
            <v xml:space="preserve"> Emballage</v>
          </cell>
          <cell r="K187">
            <v>1.4039999999999999</v>
          </cell>
          <cell r="M187" t="str">
            <v>FSQ408</v>
          </cell>
          <cell r="N187">
            <v>257</v>
          </cell>
          <cell r="O187">
            <v>11</v>
          </cell>
          <cell r="P187">
            <v>4.1044776119402986E-2</v>
          </cell>
          <cell r="Q187">
            <v>8.8571428571428577</v>
          </cell>
        </row>
        <row r="188">
          <cell r="D188" t="str">
            <v>C-TPR101</v>
          </cell>
          <cell r="E188">
            <v>12</v>
          </cell>
          <cell r="F188" t="str">
            <v>BH12</v>
          </cell>
          <cell r="G188">
            <v>250</v>
          </cell>
          <cell r="H188" t="e">
            <v>#N/A</v>
          </cell>
          <cell r="I188" t="e">
            <v>#N/A</v>
          </cell>
          <cell r="J188" t="e">
            <v>#N/A</v>
          </cell>
          <cell r="K188">
            <v>2</v>
          </cell>
          <cell r="M188" t="str">
            <v>FSQ500</v>
          </cell>
          <cell r="N188">
            <v>32</v>
          </cell>
          <cell r="O188">
            <v>0</v>
          </cell>
          <cell r="P188">
            <v>0</v>
          </cell>
          <cell r="Q188">
            <v>0</v>
          </cell>
        </row>
        <row r="189">
          <cell r="D189" t="str">
            <v>C-TPR754</v>
          </cell>
          <cell r="E189">
            <v>10</v>
          </cell>
          <cell r="G189">
            <v>250</v>
          </cell>
          <cell r="K189">
            <v>4</v>
          </cell>
          <cell r="M189" t="str">
            <v>BL770</v>
          </cell>
          <cell r="N189">
            <v>0</v>
          </cell>
          <cell r="O189">
            <v>0</v>
          </cell>
          <cell r="P189" t="e">
            <v>#DIV/0!</v>
          </cell>
          <cell r="Q189">
            <v>0</v>
          </cell>
        </row>
        <row r="190">
          <cell r="D190" t="str">
            <v>C-tube 16</v>
          </cell>
          <cell r="E190">
            <v>13</v>
          </cell>
          <cell r="F190" t="str">
            <v>U20/5</v>
          </cell>
          <cell r="G190">
            <v>250</v>
          </cell>
          <cell r="H190" t="e">
            <v>#N/A</v>
          </cell>
          <cell r="I190" t="e">
            <v>#N/A</v>
          </cell>
          <cell r="J190" t="e">
            <v>#N/A</v>
          </cell>
          <cell r="K190">
            <v>2</v>
          </cell>
          <cell r="M190" t="str">
            <v>BL771</v>
          </cell>
          <cell r="N190">
            <v>0</v>
          </cell>
          <cell r="O190">
            <v>0</v>
          </cell>
          <cell r="P190" t="e">
            <v>#DIV/0!</v>
          </cell>
          <cell r="Q190">
            <v>0</v>
          </cell>
        </row>
        <row r="191">
          <cell r="D191" t="str">
            <v>C-TUBE C 40X50</v>
          </cell>
          <cell r="E191">
            <v>13</v>
          </cell>
          <cell r="F191" t="str">
            <v>U20/5</v>
          </cell>
          <cell r="G191">
            <v>250</v>
          </cell>
          <cell r="H191" t="e">
            <v>#N/A</v>
          </cell>
          <cell r="I191" t="e">
            <v>#N/A</v>
          </cell>
          <cell r="J191" t="e">
            <v>#N/A</v>
          </cell>
          <cell r="K191">
            <v>2</v>
          </cell>
          <cell r="M191" t="str">
            <v>BL772</v>
          </cell>
          <cell r="N191">
            <v>0</v>
          </cell>
          <cell r="O191">
            <v>0</v>
          </cell>
          <cell r="P191" t="e">
            <v>#DIV/0!</v>
          </cell>
          <cell r="Q191">
            <v>0</v>
          </cell>
        </row>
        <row r="192">
          <cell r="D192" t="str">
            <v>E4600-522</v>
          </cell>
          <cell r="E192">
            <v>20</v>
          </cell>
          <cell r="K192">
            <v>0.185</v>
          </cell>
          <cell r="M192" t="str">
            <v>BL773</v>
          </cell>
          <cell r="N192">
            <v>0</v>
          </cell>
          <cell r="O192">
            <v>0</v>
          </cell>
          <cell r="P192" t="e">
            <v>#DIV/0!</v>
          </cell>
          <cell r="Q192">
            <v>0</v>
          </cell>
        </row>
        <row r="193">
          <cell r="D193" t="str">
            <v>EC22104</v>
          </cell>
          <cell r="E193" t="str">
            <v>vérifier</v>
          </cell>
          <cell r="F193" t="str">
            <v>BH12</v>
          </cell>
          <cell r="G193">
            <v>21</v>
          </cell>
          <cell r="H193">
            <v>0.23335</v>
          </cell>
          <cell r="I193" t="e">
            <v>#N/A</v>
          </cell>
          <cell r="J193" t="str">
            <v xml:space="preserve"> Emballage</v>
          </cell>
          <cell r="K193">
            <v>4.6669999999999998</v>
          </cell>
          <cell r="M193" t="str">
            <v>BL774</v>
          </cell>
          <cell r="N193">
            <v>0</v>
          </cell>
          <cell r="O193">
            <v>0</v>
          </cell>
          <cell r="P193" t="e">
            <v>#DIV/0!</v>
          </cell>
          <cell r="Q193">
            <v>0</v>
          </cell>
        </row>
        <row r="194">
          <cell r="D194" t="str">
            <v>EC22106</v>
          </cell>
          <cell r="E194">
            <v>13</v>
          </cell>
          <cell r="F194" t="str">
            <v>U20/5</v>
          </cell>
          <cell r="G194">
            <v>47</v>
          </cell>
          <cell r="H194">
            <v>0.22035000000000002</v>
          </cell>
          <cell r="I194" t="e">
            <v>#N/A</v>
          </cell>
          <cell r="J194" t="str">
            <v xml:space="preserve"> Emballage-Adhésif</v>
          </cell>
          <cell r="K194">
            <v>4.407</v>
          </cell>
          <cell r="M194" t="str">
            <v>BL775</v>
          </cell>
          <cell r="N194">
            <v>0</v>
          </cell>
          <cell r="O194">
            <v>0</v>
          </cell>
          <cell r="P194" t="e">
            <v>#DIV/0!</v>
          </cell>
          <cell r="Q194">
            <v>0</v>
          </cell>
        </row>
        <row r="195">
          <cell r="D195" t="str">
            <v>EC22112</v>
          </cell>
          <cell r="E195">
            <v>20</v>
          </cell>
          <cell r="F195" t="str">
            <v>BZ20</v>
          </cell>
          <cell r="G195">
            <v>71</v>
          </cell>
          <cell r="H195">
            <v>7.9949999999999993E-2</v>
          </cell>
          <cell r="I195" t="e">
            <v>#N/A</v>
          </cell>
          <cell r="J195" t="str">
            <v xml:space="preserve"> Emballage</v>
          </cell>
          <cell r="K195">
            <v>1.599</v>
          </cell>
          <cell r="M195" t="str">
            <v>BL776</v>
          </cell>
          <cell r="N195">
            <v>0</v>
          </cell>
          <cell r="O195">
            <v>0</v>
          </cell>
          <cell r="P195" t="e">
            <v>#DIV/0!</v>
          </cell>
          <cell r="Q195">
            <v>0</v>
          </cell>
        </row>
        <row r="196">
          <cell r="D196" t="str">
            <v>Ec40100</v>
          </cell>
          <cell r="E196">
            <v>13</v>
          </cell>
          <cell r="F196" t="str">
            <v>U20/5</v>
          </cell>
          <cell r="G196">
            <v>4</v>
          </cell>
          <cell r="H196">
            <v>0.26052000000000003</v>
          </cell>
          <cell r="I196">
            <v>3.375</v>
          </cell>
          <cell r="J196" t="str">
            <v xml:space="preserve"> Emballage-Adhésif</v>
          </cell>
          <cell r="K196">
            <v>4.1340000000000003</v>
          </cell>
          <cell r="M196" t="str">
            <v>FSQ501</v>
          </cell>
          <cell r="N196">
            <v>0</v>
          </cell>
          <cell r="O196">
            <v>3</v>
          </cell>
          <cell r="P196">
            <v>1</v>
          </cell>
          <cell r="Q196">
            <v>0</v>
          </cell>
        </row>
        <row r="197">
          <cell r="D197" t="str">
            <v>EC40102</v>
          </cell>
          <cell r="E197">
            <v>13</v>
          </cell>
          <cell r="F197" t="str">
            <v>U20/5</v>
          </cell>
          <cell r="G197">
            <v>17</v>
          </cell>
          <cell r="H197">
            <v>0.19422</v>
          </cell>
          <cell r="I197">
            <v>2.25</v>
          </cell>
          <cell r="J197" t="str">
            <v xml:space="preserve"> Emballage-Adhésif</v>
          </cell>
          <cell r="K197">
            <v>3.2825000000000002</v>
          </cell>
          <cell r="M197" t="str">
            <v>FSQ521</v>
          </cell>
          <cell r="N197">
            <v>322</v>
          </cell>
          <cell r="O197">
            <v>4</v>
          </cell>
          <cell r="P197">
            <v>1.2269938650306749E-2</v>
          </cell>
          <cell r="Q197">
            <v>0</v>
          </cell>
        </row>
        <row r="198">
          <cell r="D198" t="str">
            <v>EC40104</v>
          </cell>
          <cell r="E198">
            <v>13</v>
          </cell>
          <cell r="F198" t="str">
            <v>U20/5</v>
          </cell>
          <cell r="G198">
            <v>42</v>
          </cell>
          <cell r="H198">
            <v>0.28625999999999996</v>
          </cell>
          <cell r="I198">
            <v>3.375</v>
          </cell>
          <cell r="J198" t="str">
            <v xml:space="preserve"> Emballage-Adhésif</v>
          </cell>
          <cell r="K198">
            <v>5.7004999999999999</v>
          </cell>
          <cell r="M198" t="str">
            <v>FSQ502</v>
          </cell>
          <cell r="N198">
            <v>155</v>
          </cell>
          <cell r="O198">
            <v>4</v>
          </cell>
          <cell r="P198">
            <v>2.5157232704402517E-2</v>
          </cell>
          <cell r="Q198">
            <v>0</v>
          </cell>
        </row>
        <row r="199">
          <cell r="D199" t="str">
            <v>EC40107</v>
          </cell>
          <cell r="E199">
            <v>20</v>
          </cell>
          <cell r="F199" t="str">
            <v>BZ20</v>
          </cell>
          <cell r="G199">
            <v>38</v>
          </cell>
          <cell r="H199">
            <v>3.5879999999999995E-2</v>
          </cell>
          <cell r="I199">
            <v>1.125</v>
          </cell>
          <cell r="J199" t="str">
            <v xml:space="preserve"> Emballage</v>
          </cell>
          <cell r="K199">
            <v>0.67599999999999993</v>
          </cell>
          <cell r="M199" t="str">
            <v>FSQ510</v>
          </cell>
          <cell r="N199">
            <v>340</v>
          </cell>
          <cell r="O199">
            <v>0</v>
          </cell>
          <cell r="P199">
            <v>0</v>
          </cell>
          <cell r="Q199">
            <v>0</v>
          </cell>
        </row>
        <row r="200">
          <cell r="D200" t="str">
            <v>EC40112</v>
          </cell>
          <cell r="E200">
            <v>14</v>
          </cell>
          <cell r="F200" t="str">
            <v>BZ14</v>
          </cell>
          <cell r="G200">
            <v>35</v>
          </cell>
          <cell r="H200">
            <v>0.27221999999999996</v>
          </cell>
          <cell r="I200">
            <v>3.375</v>
          </cell>
          <cell r="J200" t="str">
            <v xml:space="preserve"> Emballage-Adhésif</v>
          </cell>
          <cell r="K200">
            <v>4.16</v>
          </cell>
          <cell r="M200" t="str">
            <v>FSQ520</v>
          </cell>
          <cell r="N200">
            <v>241</v>
          </cell>
          <cell r="O200">
            <v>0</v>
          </cell>
          <cell r="P200">
            <v>0</v>
          </cell>
          <cell r="Q200">
            <v>0</v>
          </cell>
        </row>
        <row r="201">
          <cell r="D201" t="str">
            <v>EC40121</v>
          </cell>
          <cell r="E201">
            <v>9</v>
          </cell>
          <cell r="F201" t="str">
            <v>U20/5</v>
          </cell>
          <cell r="G201">
            <v>43</v>
          </cell>
          <cell r="H201">
            <v>0.38532</v>
          </cell>
          <cell r="I201">
            <v>4.2749999999999995</v>
          </cell>
          <cell r="J201" t="str">
            <v xml:space="preserve"> Emballage-Adhésif</v>
          </cell>
          <cell r="K201">
            <v>8.7554999999999996</v>
          </cell>
          <cell r="M201" t="str">
            <v>FSQ530</v>
          </cell>
          <cell r="N201">
            <v>259</v>
          </cell>
          <cell r="O201">
            <v>12</v>
          </cell>
          <cell r="P201">
            <v>4.4280442804428041E-2</v>
          </cell>
          <cell r="Q201">
            <v>0</v>
          </cell>
        </row>
        <row r="202">
          <cell r="D202" t="str">
            <v>EC40148</v>
          </cell>
          <cell r="E202">
            <v>13</v>
          </cell>
          <cell r="F202" t="str">
            <v>U20/5</v>
          </cell>
          <cell r="G202">
            <v>39</v>
          </cell>
          <cell r="H202">
            <v>0.26130000000000003</v>
          </cell>
          <cell r="I202">
            <v>3</v>
          </cell>
          <cell r="J202" t="str">
            <v xml:space="preserve"> Emballage-Adhésif</v>
          </cell>
          <cell r="K202">
            <v>4.1989999999999998</v>
          </cell>
          <cell r="M202" t="str">
            <v>FSQ540</v>
          </cell>
          <cell r="N202">
            <v>218</v>
          </cell>
          <cell r="O202">
            <v>1</v>
          </cell>
          <cell r="P202">
            <v>4.5662100456621002E-3</v>
          </cell>
          <cell r="Q202">
            <v>0</v>
          </cell>
        </row>
        <row r="203">
          <cell r="D203" t="str">
            <v>EC40154</v>
          </cell>
          <cell r="E203">
            <v>9</v>
          </cell>
          <cell r="F203" t="str">
            <v>U20/5</v>
          </cell>
          <cell r="G203">
            <v>86</v>
          </cell>
          <cell r="H203">
            <v>0.38375999999999999</v>
          </cell>
          <cell r="I203">
            <v>4.2749999999999995</v>
          </cell>
          <cell r="J203" t="str">
            <v xml:space="preserve"> Emballage-Adhésif</v>
          </cell>
          <cell r="K203">
            <v>8.7100000000000009</v>
          </cell>
          <cell r="M203" t="str">
            <v>DS001</v>
          </cell>
          <cell r="N203">
            <v>0</v>
          </cell>
          <cell r="O203">
            <v>54</v>
          </cell>
          <cell r="P203">
            <v>1</v>
          </cell>
          <cell r="Q203">
            <v>0</v>
          </cell>
        </row>
        <row r="204">
          <cell r="D204" t="str">
            <v>EC40165</v>
          </cell>
          <cell r="E204">
            <v>13</v>
          </cell>
          <cell r="F204" t="str">
            <v>U20/5</v>
          </cell>
          <cell r="G204">
            <v>87</v>
          </cell>
          <cell r="H204">
            <v>0.12323999999999999</v>
          </cell>
          <cell r="I204">
            <v>0</v>
          </cell>
          <cell r="J204" t="str">
            <v xml:space="preserve"> Emballage-Adhésif</v>
          </cell>
          <cell r="K204">
            <v>4.0625</v>
          </cell>
          <cell r="M204" t="str">
            <v>DS002</v>
          </cell>
          <cell r="N204">
            <v>901</v>
          </cell>
          <cell r="O204">
            <v>-901</v>
          </cell>
          <cell r="P204" t="e">
            <v>#DIV/0!</v>
          </cell>
          <cell r="Q204">
            <v>0</v>
          </cell>
        </row>
        <row r="205">
          <cell r="D205" t="str">
            <v>EC40166</v>
          </cell>
          <cell r="E205">
            <v>20</v>
          </cell>
          <cell r="F205" t="str">
            <v>BZ20</v>
          </cell>
          <cell r="G205">
            <v>2</v>
          </cell>
          <cell r="H205">
            <v>0.29171999999999998</v>
          </cell>
          <cell r="I205">
            <v>2.25</v>
          </cell>
          <cell r="J205" t="str">
            <v xml:space="preserve"> Emballage</v>
          </cell>
          <cell r="K205">
            <v>1.482</v>
          </cell>
          <cell r="M205" t="str">
            <v>DS003</v>
          </cell>
          <cell r="N205">
            <v>1069</v>
          </cell>
          <cell r="O205">
            <v>-1069</v>
          </cell>
          <cell r="P205" t="e">
            <v>#DIV/0!</v>
          </cell>
          <cell r="Q205">
            <v>0</v>
          </cell>
        </row>
        <row r="206">
          <cell r="D206" t="str">
            <v>EC40402</v>
          </cell>
          <cell r="E206">
            <v>13</v>
          </cell>
          <cell r="F206" t="str">
            <v>U20/5</v>
          </cell>
          <cell r="G206">
            <v>6</v>
          </cell>
          <cell r="H206">
            <v>0.32447999999999994</v>
          </cell>
          <cell r="I206">
            <v>3.375</v>
          </cell>
          <cell r="J206" t="str">
            <v xml:space="preserve"> Emballage-Adhésif</v>
          </cell>
          <cell r="K206">
            <v>4.2250000000000005</v>
          </cell>
          <cell r="M206" t="str">
            <v>DS004</v>
          </cell>
          <cell r="N206">
            <v>68</v>
          </cell>
          <cell r="O206">
            <v>0</v>
          </cell>
          <cell r="P206">
            <v>0</v>
          </cell>
          <cell r="Q206">
            <v>0</v>
          </cell>
        </row>
        <row r="207">
          <cell r="D207" t="str">
            <v>EC40404</v>
          </cell>
          <cell r="E207">
            <v>13</v>
          </cell>
          <cell r="F207" t="str">
            <v>U20/5</v>
          </cell>
          <cell r="G207">
            <v>11</v>
          </cell>
          <cell r="H207">
            <v>0.28157999999999994</v>
          </cell>
          <cell r="I207">
            <v>3</v>
          </cell>
          <cell r="J207" t="str">
            <v xml:space="preserve"> Emballage-Adhésif</v>
          </cell>
          <cell r="K207">
            <v>4.8879999999999999</v>
          </cell>
          <cell r="M207" t="str">
            <v>PIV001</v>
          </cell>
          <cell r="N207">
            <v>35</v>
          </cell>
          <cell r="O207">
            <v>-35</v>
          </cell>
          <cell r="P207" t="e">
            <v>#DIV/0!</v>
          </cell>
          <cell r="Q207">
            <v>0</v>
          </cell>
        </row>
        <row r="208">
          <cell r="D208" t="str">
            <v>EC40404/1</v>
          </cell>
          <cell r="E208">
            <v>13</v>
          </cell>
          <cell r="F208" t="str">
            <v>U20/5</v>
          </cell>
          <cell r="G208">
            <v>11</v>
          </cell>
          <cell r="H208">
            <v>0.28157999999999994</v>
          </cell>
          <cell r="I208">
            <v>3</v>
          </cell>
          <cell r="J208" t="str">
            <v xml:space="preserve"> Emballage-Adhésif</v>
          </cell>
          <cell r="K208">
            <v>4.8879999999999999</v>
          </cell>
          <cell r="M208" t="str">
            <v>PIV002</v>
          </cell>
          <cell r="N208">
            <v>70</v>
          </cell>
          <cell r="O208">
            <v>-70</v>
          </cell>
          <cell r="P208" t="e">
            <v>#DIV/0!</v>
          </cell>
          <cell r="Q208">
            <v>0</v>
          </cell>
        </row>
        <row r="209">
          <cell r="D209" t="str">
            <v>EC404042</v>
          </cell>
          <cell r="E209">
            <v>14</v>
          </cell>
          <cell r="K209">
            <v>3.9649999999999999</v>
          </cell>
          <cell r="M209" t="str">
            <v>PIV003</v>
          </cell>
          <cell r="N209">
            <v>42</v>
          </cell>
          <cell r="O209">
            <v>-42</v>
          </cell>
          <cell r="P209" t="e">
            <v>#DIV/0!</v>
          </cell>
          <cell r="Q209">
            <v>0</v>
          </cell>
        </row>
        <row r="210">
          <cell r="D210" t="str">
            <v>EC6007</v>
          </cell>
          <cell r="E210">
            <v>14</v>
          </cell>
          <cell r="K210">
            <v>1</v>
          </cell>
          <cell r="M210" t="str">
            <v>PIV004</v>
          </cell>
          <cell r="N210">
            <v>62</v>
          </cell>
          <cell r="O210">
            <v>-62</v>
          </cell>
          <cell r="P210" t="e">
            <v>#DIV/0!</v>
          </cell>
          <cell r="Q210">
            <v>0</v>
          </cell>
        </row>
        <row r="211">
          <cell r="D211" t="str">
            <v>EC67101</v>
          </cell>
          <cell r="E211">
            <v>12</v>
          </cell>
          <cell r="F211" t="str">
            <v>BH12</v>
          </cell>
          <cell r="G211">
            <v>57</v>
          </cell>
          <cell r="H211">
            <v>0.31278</v>
          </cell>
          <cell r="I211">
            <v>3.375</v>
          </cell>
          <cell r="J211" t="str">
            <v xml:space="preserve"> Emballage</v>
          </cell>
          <cell r="K211">
            <v>4.9855</v>
          </cell>
          <cell r="M211" t="str">
            <v>PIV005</v>
          </cell>
          <cell r="N211">
            <v>97</v>
          </cell>
          <cell r="O211">
            <v>-97</v>
          </cell>
          <cell r="P211" t="e">
            <v>#DIV/0!</v>
          </cell>
          <cell r="Q211">
            <v>0</v>
          </cell>
        </row>
        <row r="212">
          <cell r="D212" t="str">
            <v>EC67102</v>
          </cell>
          <cell r="E212">
            <v>12</v>
          </cell>
          <cell r="F212" t="str">
            <v>BH12</v>
          </cell>
          <cell r="G212">
            <v>53</v>
          </cell>
          <cell r="H212">
            <v>0.35958000000000001</v>
          </cell>
          <cell r="I212">
            <v>4.2749999999999995</v>
          </cell>
          <cell r="J212" t="str">
            <v xml:space="preserve"> Emballage</v>
          </cell>
          <cell r="K212">
            <v>5.6355000000000004</v>
          </cell>
          <cell r="M212" t="str">
            <v>PIV006</v>
          </cell>
          <cell r="N212">
            <v>175</v>
          </cell>
          <cell r="O212">
            <v>-175</v>
          </cell>
          <cell r="P212" t="e">
            <v>#DIV/0!</v>
          </cell>
          <cell r="Q212">
            <v>0</v>
          </cell>
        </row>
        <row r="213">
          <cell r="D213" t="str">
            <v>EC67103</v>
          </cell>
          <cell r="E213">
            <v>12</v>
          </cell>
          <cell r="F213" t="str">
            <v>BH12</v>
          </cell>
          <cell r="G213">
            <v>15</v>
          </cell>
          <cell r="H213">
            <v>0.39233999999999997</v>
          </cell>
          <cell r="I213">
            <v>4.2749999999999995</v>
          </cell>
          <cell r="J213" t="str">
            <v xml:space="preserve"> Emballage</v>
          </cell>
          <cell r="K213">
            <v>6.0449999999999999</v>
          </cell>
          <cell r="M213" t="str">
            <v>PIV007</v>
          </cell>
          <cell r="N213">
            <v>1230</v>
          </cell>
          <cell r="O213">
            <v>-1230</v>
          </cell>
          <cell r="P213" t="e">
            <v>#DIV/0!</v>
          </cell>
          <cell r="Q213">
            <v>0</v>
          </cell>
        </row>
        <row r="214">
          <cell r="D214" t="str">
            <v>EC67104</v>
          </cell>
          <cell r="E214">
            <v>13</v>
          </cell>
          <cell r="F214" t="str">
            <v>U20/5</v>
          </cell>
          <cell r="G214">
            <v>36</v>
          </cell>
          <cell r="H214">
            <v>0.22619999999999996</v>
          </cell>
          <cell r="I214">
            <v>3</v>
          </cell>
          <cell r="J214" t="str">
            <v xml:space="preserve"> Emballage-Adhésif</v>
          </cell>
          <cell r="K214">
            <v>3.8739999999999997</v>
          </cell>
          <cell r="M214" t="str">
            <v>KLHS7415</v>
          </cell>
          <cell r="N214">
            <v>0</v>
          </cell>
          <cell r="O214">
            <v>0</v>
          </cell>
          <cell r="P214" t="e">
            <v>#DIV/0!</v>
          </cell>
          <cell r="Q214">
            <v>0</v>
          </cell>
        </row>
        <row r="215">
          <cell r="D215" t="str">
            <v>EC67105</v>
          </cell>
          <cell r="E215">
            <v>13</v>
          </cell>
          <cell r="F215" t="str">
            <v>U20/5</v>
          </cell>
          <cell r="G215">
            <v>32</v>
          </cell>
          <cell r="H215">
            <v>0.15756000000000001</v>
          </cell>
          <cell r="I215">
            <v>2.25</v>
          </cell>
          <cell r="J215" t="str">
            <v xml:space="preserve"> Emballage-Adhésif</v>
          </cell>
          <cell r="K215">
            <v>2.9445000000000001</v>
          </cell>
          <cell r="M215" t="str">
            <v>KLHS7418</v>
          </cell>
          <cell r="N215">
            <v>0</v>
          </cell>
          <cell r="O215">
            <v>0</v>
          </cell>
          <cell r="P215" t="e">
            <v>#DIV/0!</v>
          </cell>
          <cell r="Q215">
            <v>0</v>
          </cell>
        </row>
        <row r="216">
          <cell r="D216" t="str">
            <v>EC67106</v>
          </cell>
          <cell r="E216">
            <v>15</v>
          </cell>
          <cell r="F216" t="str">
            <v>BV15</v>
          </cell>
          <cell r="G216">
            <v>33</v>
          </cell>
          <cell r="H216">
            <v>0.26363999999999999</v>
          </cell>
          <cell r="I216">
            <v>3</v>
          </cell>
          <cell r="J216" t="str">
            <v xml:space="preserve"> Emballage-Adhésif</v>
          </cell>
          <cell r="K216">
            <v>3.5425000000000004</v>
          </cell>
          <cell r="M216" t="str">
            <v>KLHS7419</v>
          </cell>
          <cell r="N216">
            <v>0</v>
          </cell>
          <cell r="O216">
            <v>0</v>
          </cell>
          <cell r="P216" t="e">
            <v>#DIV/0!</v>
          </cell>
          <cell r="Q216">
            <v>0</v>
          </cell>
        </row>
        <row r="217">
          <cell r="D217" t="str">
            <v>EC80104</v>
          </cell>
          <cell r="E217">
            <v>13</v>
          </cell>
          <cell r="F217" t="str">
            <v>U20/5</v>
          </cell>
          <cell r="G217">
            <v>62</v>
          </cell>
          <cell r="H217">
            <v>0.16457999999999998</v>
          </cell>
          <cell r="I217">
            <v>3.375</v>
          </cell>
          <cell r="J217" t="str">
            <v xml:space="preserve"> Emballage-Adhésif</v>
          </cell>
          <cell r="K217">
            <v>4.0105000000000004</v>
          </cell>
          <cell r="M217" t="str">
            <v>KL7401</v>
          </cell>
          <cell r="N217">
            <v>0</v>
          </cell>
          <cell r="O217">
            <v>0</v>
          </cell>
          <cell r="P217" t="e">
            <v>#DIV/0!</v>
          </cell>
          <cell r="Q217">
            <v>0</v>
          </cell>
        </row>
        <row r="218">
          <cell r="D218" t="str">
            <v>EC80105</v>
          </cell>
          <cell r="E218">
            <v>13</v>
          </cell>
          <cell r="F218" t="str">
            <v>U20/5</v>
          </cell>
          <cell r="G218">
            <v>136</v>
          </cell>
          <cell r="H218">
            <v>0.25974000000000003</v>
          </cell>
          <cell r="I218">
            <v>3.375</v>
          </cell>
          <cell r="J218" t="str">
            <v xml:space="preserve"> Emballage-Adhésif</v>
          </cell>
          <cell r="K218">
            <v>3.2825000000000002</v>
          </cell>
          <cell r="M218" t="str">
            <v>KL7402</v>
          </cell>
          <cell r="N218">
            <v>0</v>
          </cell>
          <cell r="O218">
            <v>0</v>
          </cell>
          <cell r="P218" t="e">
            <v>#DIV/0!</v>
          </cell>
          <cell r="Q218">
            <v>0</v>
          </cell>
        </row>
        <row r="219">
          <cell r="D219" t="str">
            <v>EC80106</v>
          </cell>
          <cell r="E219">
            <v>15</v>
          </cell>
          <cell r="F219" t="str">
            <v>BV15</v>
          </cell>
          <cell r="G219">
            <v>80</v>
          </cell>
          <cell r="H219">
            <v>9.1260000000000008E-2</v>
          </cell>
          <cell r="I219">
            <v>6</v>
          </cell>
          <cell r="J219" t="str">
            <v xml:space="preserve"> Emballage-Adhésif</v>
          </cell>
          <cell r="K219">
            <v>3.6075000000000004</v>
          </cell>
          <cell r="M219" t="str">
            <v>KL7403</v>
          </cell>
          <cell r="N219">
            <v>0</v>
          </cell>
          <cell r="O219">
            <v>0</v>
          </cell>
          <cell r="P219" t="e">
            <v>#DIV/0!</v>
          </cell>
          <cell r="Q219">
            <v>0</v>
          </cell>
        </row>
        <row r="220">
          <cell r="D220" t="str">
            <v>EC80114</v>
          </cell>
          <cell r="E220">
            <v>20</v>
          </cell>
          <cell r="F220" t="str">
            <v>BZ20</v>
          </cell>
          <cell r="G220">
            <v>46</v>
          </cell>
          <cell r="H220">
            <v>0.25194</v>
          </cell>
          <cell r="I220">
            <v>2.25</v>
          </cell>
          <cell r="J220" t="str">
            <v xml:space="preserve"> Emballage</v>
          </cell>
          <cell r="K220">
            <v>1.04</v>
          </cell>
          <cell r="M220" t="str">
            <v>KL7404</v>
          </cell>
          <cell r="N220">
            <v>0</v>
          </cell>
          <cell r="O220">
            <v>0</v>
          </cell>
          <cell r="P220" t="e">
            <v>#DIV/0!</v>
          </cell>
          <cell r="Q220">
            <v>0</v>
          </cell>
        </row>
        <row r="221">
          <cell r="D221" t="str">
            <v>EC80120</v>
          </cell>
          <cell r="E221">
            <v>12</v>
          </cell>
          <cell r="F221" t="str">
            <v>BH12</v>
          </cell>
          <cell r="G221">
            <v>139</v>
          </cell>
          <cell r="H221">
            <v>0.29874000000000001</v>
          </cell>
          <cell r="I221">
            <v>0.75</v>
          </cell>
          <cell r="J221" t="str">
            <v xml:space="preserve"> Emballage</v>
          </cell>
          <cell r="K221">
            <v>4.8879999999999999</v>
          </cell>
          <cell r="M221" t="str">
            <v>KL7405</v>
          </cell>
          <cell r="N221">
            <v>0</v>
          </cell>
          <cell r="O221">
            <v>1</v>
          </cell>
          <cell r="P221">
            <v>1</v>
          </cell>
          <cell r="Q221">
            <v>0</v>
          </cell>
        </row>
        <row r="222">
          <cell r="D222" t="str">
            <v>EC80121</v>
          </cell>
          <cell r="E222">
            <v>12</v>
          </cell>
          <cell r="F222" t="str">
            <v>BH12</v>
          </cell>
          <cell r="G222">
            <v>110</v>
          </cell>
          <cell r="H222">
            <v>0.29874000000000001</v>
          </cell>
          <cell r="I222">
            <v>2.25</v>
          </cell>
          <cell r="J222" t="str">
            <v xml:space="preserve"> Emballage</v>
          </cell>
          <cell r="K222">
            <v>5.5380000000000003</v>
          </cell>
          <cell r="M222" t="str">
            <v>KL7406</v>
          </cell>
          <cell r="N222">
            <v>0</v>
          </cell>
          <cell r="O222">
            <v>0</v>
          </cell>
          <cell r="P222" t="e">
            <v>#DIV/0!</v>
          </cell>
          <cell r="Q222">
            <v>0</v>
          </cell>
        </row>
        <row r="223">
          <cell r="D223" t="str">
            <v>ECGL248</v>
          </cell>
          <cell r="E223">
            <v>20</v>
          </cell>
          <cell r="K223">
            <v>2</v>
          </cell>
          <cell r="M223" t="str">
            <v>KL7407</v>
          </cell>
          <cell r="N223">
            <v>0</v>
          </cell>
          <cell r="O223">
            <v>0</v>
          </cell>
          <cell r="P223" t="e">
            <v>#DIV/0!</v>
          </cell>
          <cell r="Q223">
            <v>0</v>
          </cell>
        </row>
        <row r="224">
          <cell r="D224" t="str">
            <v>FR100</v>
          </cell>
          <cell r="E224">
            <v>13</v>
          </cell>
          <cell r="F224" t="str">
            <v>U20/5</v>
          </cell>
          <cell r="G224">
            <v>12</v>
          </cell>
          <cell r="H224">
            <v>0.26052000000000003</v>
          </cell>
          <cell r="I224">
            <v>3.375</v>
          </cell>
          <cell r="J224" t="str">
            <v xml:space="preserve"> Emballage-Adhésif</v>
          </cell>
          <cell r="K224">
            <v>5.4209999999999994</v>
          </cell>
          <cell r="M224" t="str">
            <v>KL7409</v>
          </cell>
          <cell r="N224">
            <v>0</v>
          </cell>
          <cell r="O224">
            <v>0</v>
          </cell>
          <cell r="P224" t="e">
            <v>#DIV/0!</v>
          </cell>
          <cell r="Q224">
            <v>0</v>
          </cell>
        </row>
        <row r="225">
          <cell r="D225" t="str">
            <v>FR102</v>
          </cell>
          <cell r="E225">
            <v>13</v>
          </cell>
          <cell r="F225" t="str">
            <v>U20/5</v>
          </cell>
          <cell r="G225">
            <v>23</v>
          </cell>
          <cell r="H225">
            <v>0.19422</v>
          </cell>
          <cell r="I225">
            <v>2.25</v>
          </cell>
          <cell r="J225" t="str">
            <v xml:space="preserve"> Emballage-Adhésif</v>
          </cell>
          <cell r="K225">
            <v>4.3875000000000002</v>
          </cell>
          <cell r="M225" t="str">
            <v>KL7410</v>
          </cell>
          <cell r="N225">
            <v>0</v>
          </cell>
          <cell r="O225">
            <v>0</v>
          </cell>
          <cell r="P225" t="e">
            <v>#DIV/0!</v>
          </cell>
          <cell r="Q225">
            <v>0</v>
          </cell>
        </row>
        <row r="226">
          <cell r="D226" t="str">
            <v>FR104</v>
          </cell>
          <cell r="E226">
            <v>13</v>
          </cell>
          <cell r="F226" t="str">
            <v>U20/5</v>
          </cell>
          <cell r="G226">
            <v>50</v>
          </cell>
          <cell r="H226">
            <v>0.28625999999999996</v>
          </cell>
          <cell r="I226">
            <v>3.375</v>
          </cell>
          <cell r="J226" t="str">
            <v xml:space="preserve"> Emballage-Adhésif</v>
          </cell>
          <cell r="K226">
            <v>7.1695000000000002</v>
          </cell>
          <cell r="M226" t="str">
            <v>KL7412</v>
          </cell>
          <cell r="N226">
            <v>0</v>
          </cell>
          <cell r="O226">
            <v>1</v>
          </cell>
          <cell r="P226">
            <v>1</v>
          </cell>
          <cell r="Q226">
            <v>0</v>
          </cell>
        </row>
        <row r="227">
          <cell r="D227" t="str">
            <v>FR107</v>
          </cell>
          <cell r="E227">
            <v>20</v>
          </cell>
          <cell r="F227" t="str">
            <v>BZ20</v>
          </cell>
          <cell r="G227">
            <v>55</v>
          </cell>
          <cell r="H227">
            <v>3.5879999999999995E-2</v>
          </cell>
          <cell r="I227">
            <v>1.125</v>
          </cell>
          <cell r="J227" t="str">
            <v xml:space="preserve"> Emballage</v>
          </cell>
          <cell r="K227">
            <v>0.96849999999999992</v>
          </cell>
          <cell r="M227" t="str">
            <v>KL7413</v>
          </cell>
          <cell r="N227">
            <v>0</v>
          </cell>
          <cell r="O227">
            <v>0</v>
          </cell>
          <cell r="P227" t="e">
            <v>#DIV/0!</v>
          </cell>
          <cell r="Q227">
            <v>0</v>
          </cell>
        </row>
        <row r="228">
          <cell r="D228" t="str">
            <v>FR108</v>
          </cell>
          <cell r="E228">
            <v>20</v>
          </cell>
          <cell r="F228" t="str">
            <v>BZ20</v>
          </cell>
          <cell r="G228">
            <v>76</v>
          </cell>
          <cell r="H228">
            <v>5.8499999999999996E-2</v>
          </cell>
          <cell r="I228">
            <v>1.125</v>
          </cell>
          <cell r="J228" t="str">
            <v xml:space="preserve"> Emballage</v>
          </cell>
          <cell r="K228">
            <v>0.89050000000000007</v>
          </cell>
          <cell r="M228" t="str">
            <v>KL7414</v>
          </cell>
          <cell r="N228">
            <v>0</v>
          </cell>
          <cell r="O228">
            <v>0</v>
          </cell>
          <cell r="P228" t="e">
            <v>#DIV/0!</v>
          </cell>
          <cell r="Q228">
            <v>0</v>
          </cell>
        </row>
        <row r="229">
          <cell r="D229" t="str">
            <v>FR110</v>
          </cell>
          <cell r="E229">
            <v>20</v>
          </cell>
          <cell r="F229" t="str">
            <v>BZ20</v>
          </cell>
          <cell r="G229">
            <v>73</v>
          </cell>
          <cell r="H229">
            <v>0.12479999999999999</v>
          </cell>
          <cell r="I229">
            <v>1.125</v>
          </cell>
          <cell r="J229" t="str">
            <v xml:space="preserve"> Emballage</v>
          </cell>
          <cell r="K229">
            <v>1.7030000000000001</v>
          </cell>
          <cell r="M229" t="str">
            <v>KL7416</v>
          </cell>
          <cell r="N229">
            <v>0</v>
          </cell>
          <cell r="O229">
            <v>0</v>
          </cell>
          <cell r="P229" t="e">
            <v>#DIV/0!</v>
          </cell>
          <cell r="Q229">
            <v>0</v>
          </cell>
        </row>
        <row r="230">
          <cell r="D230" t="str">
            <v>FR111</v>
          </cell>
          <cell r="E230">
            <v>20</v>
          </cell>
          <cell r="F230" t="str">
            <v>BZ20</v>
          </cell>
          <cell r="G230">
            <v>41</v>
          </cell>
          <cell r="H230">
            <v>0.12558</v>
          </cell>
          <cell r="I230">
            <v>1.125</v>
          </cell>
          <cell r="J230" t="str">
            <v xml:space="preserve"> Emballage</v>
          </cell>
          <cell r="K230">
            <v>1.7030000000000001</v>
          </cell>
          <cell r="M230" t="str">
            <v>KL7417</v>
          </cell>
          <cell r="N230">
            <v>0</v>
          </cell>
          <cell r="O230">
            <v>0</v>
          </cell>
          <cell r="P230" t="e">
            <v>#DIV/0!</v>
          </cell>
          <cell r="Q230">
            <v>0</v>
          </cell>
        </row>
        <row r="231">
          <cell r="D231" t="str">
            <v>FR112</v>
          </cell>
          <cell r="E231">
            <v>14</v>
          </cell>
          <cell r="F231" t="str">
            <v>BZ14</v>
          </cell>
          <cell r="G231">
            <v>48</v>
          </cell>
          <cell r="H231">
            <v>0.27221999999999996</v>
          </cell>
          <cell r="I231">
            <v>3.375</v>
          </cell>
          <cell r="J231" t="str">
            <v xml:space="preserve"> Emballage-Adhésif</v>
          </cell>
          <cell r="K231">
            <v>4.5175000000000001</v>
          </cell>
          <cell r="M231" t="str">
            <v>LM-757</v>
          </cell>
          <cell r="N231">
            <v>26981</v>
          </cell>
          <cell r="O231">
            <v>313</v>
          </cell>
          <cell r="P231">
            <v>1.1467721843628636E-2</v>
          </cell>
          <cell r="Q231">
            <v>13391.545454545454</v>
          </cell>
        </row>
        <row r="232">
          <cell r="D232" t="str">
            <v>FR121</v>
          </cell>
          <cell r="E232">
            <v>9</v>
          </cell>
          <cell r="F232" t="str">
            <v>U20/5</v>
          </cell>
          <cell r="G232">
            <v>100</v>
          </cell>
          <cell r="H232">
            <v>0.38532</v>
          </cell>
          <cell r="I232">
            <v>4.2749999999999995</v>
          </cell>
          <cell r="J232" t="str">
            <v xml:space="preserve"> Emballage-Adhésif</v>
          </cell>
          <cell r="K232">
            <v>11.173500000000001</v>
          </cell>
          <cell r="M232" t="str">
            <v>LM-FVS</v>
          </cell>
          <cell r="N232">
            <v>0</v>
          </cell>
          <cell r="O232">
            <v>0</v>
          </cell>
          <cell r="P232" t="e">
            <v>#DIV/0!</v>
          </cell>
          <cell r="Q232">
            <v>0</v>
          </cell>
        </row>
        <row r="233">
          <cell r="D233" t="str">
            <v>FR123</v>
          </cell>
          <cell r="E233">
            <v>20</v>
          </cell>
          <cell r="F233" t="str">
            <v>BZ20</v>
          </cell>
          <cell r="G233">
            <v>250</v>
          </cell>
          <cell r="H233" t="e">
            <v>#N/A</v>
          </cell>
          <cell r="I233" t="e">
            <v>#N/A</v>
          </cell>
          <cell r="J233" t="e">
            <v>#N/A</v>
          </cell>
          <cell r="K233">
            <v>1</v>
          </cell>
          <cell r="M233" t="str">
            <v>LM-S758</v>
          </cell>
          <cell r="N233">
            <v>1989</v>
          </cell>
          <cell r="O233">
            <v>69</v>
          </cell>
          <cell r="P233">
            <v>3.3527696793002916E-2</v>
          </cell>
          <cell r="Q233">
            <v>1750.6</v>
          </cell>
        </row>
        <row r="234">
          <cell r="D234" t="str">
            <v>FR127</v>
          </cell>
          <cell r="E234">
            <v>20</v>
          </cell>
          <cell r="F234" t="str">
            <v>BZ20</v>
          </cell>
          <cell r="G234">
            <v>119</v>
          </cell>
          <cell r="H234">
            <v>0.10842</v>
          </cell>
          <cell r="I234">
            <v>1.125</v>
          </cell>
          <cell r="J234" t="str">
            <v xml:space="preserve"> Emballage</v>
          </cell>
          <cell r="K234">
            <v>1.9955000000000001</v>
          </cell>
          <cell r="M234" t="str">
            <v>GL058</v>
          </cell>
          <cell r="N234">
            <v>0</v>
          </cell>
          <cell r="O234">
            <v>48</v>
          </cell>
          <cell r="P234">
            <v>1</v>
          </cell>
          <cell r="Q234">
            <v>0</v>
          </cell>
        </row>
        <row r="235">
          <cell r="D235" t="str">
            <v>FR130</v>
          </cell>
          <cell r="E235">
            <v>14</v>
          </cell>
          <cell r="F235" t="str">
            <v>BZ14</v>
          </cell>
          <cell r="G235">
            <v>160</v>
          </cell>
          <cell r="H235">
            <v>0.26676000000000005</v>
          </cell>
          <cell r="I235">
            <v>2.25</v>
          </cell>
          <cell r="J235" t="str">
            <v xml:space="preserve"> Emballage-Adhésif</v>
          </cell>
          <cell r="K235">
            <v>4.3875000000000002</v>
          </cell>
          <cell r="M235" t="str">
            <v>GL-MB</v>
          </cell>
          <cell r="N235">
            <v>74</v>
          </cell>
          <cell r="O235">
            <v>1</v>
          </cell>
          <cell r="P235">
            <v>1.3333333333333334E-2</v>
          </cell>
          <cell r="Q235">
            <v>33.6</v>
          </cell>
        </row>
        <row r="236">
          <cell r="D236" t="str">
            <v>FR133</v>
          </cell>
          <cell r="E236">
            <v>20</v>
          </cell>
          <cell r="F236" t="str">
            <v>BZ20</v>
          </cell>
          <cell r="G236">
            <v>97</v>
          </cell>
          <cell r="H236">
            <v>8.8139999999999996E-2</v>
          </cell>
          <cell r="I236">
            <v>1.125</v>
          </cell>
          <cell r="J236" t="str">
            <v xml:space="preserve"> Emballage</v>
          </cell>
          <cell r="K236">
            <v>1.43</v>
          </cell>
          <cell r="M236" t="str">
            <v>GL180</v>
          </cell>
          <cell r="N236">
            <v>787</v>
          </cell>
          <cell r="O236">
            <v>390</v>
          </cell>
          <cell r="P236">
            <v>0.33135089209855567</v>
          </cell>
          <cell r="Q236">
            <v>257.71428571428572</v>
          </cell>
        </row>
        <row r="237">
          <cell r="D237" t="str">
            <v>FR135</v>
          </cell>
          <cell r="E237">
            <v>20</v>
          </cell>
          <cell r="F237" t="str">
            <v>BZ20</v>
          </cell>
          <cell r="G237">
            <v>45</v>
          </cell>
          <cell r="H237">
            <v>0.11621999999999999</v>
          </cell>
          <cell r="I237">
            <v>1.125</v>
          </cell>
          <cell r="J237" t="str">
            <v xml:space="preserve"> Emballage</v>
          </cell>
          <cell r="K237">
            <v>1.5794999999999999</v>
          </cell>
          <cell r="M237" t="str">
            <v>GL11060/248</v>
          </cell>
          <cell r="N237">
            <v>12345</v>
          </cell>
          <cell r="O237">
            <v>30</v>
          </cell>
          <cell r="P237">
            <v>2.4242424242424242E-3</v>
          </cell>
          <cell r="Q237">
            <v>2112.7272727272725</v>
          </cell>
        </row>
        <row r="238">
          <cell r="D238" t="str">
            <v>FR139</v>
          </cell>
          <cell r="E238">
            <v>20</v>
          </cell>
          <cell r="F238" t="str">
            <v>BZ20</v>
          </cell>
          <cell r="G238">
            <v>9</v>
          </cell>
          <cell r="H238">
            <v>0.13181999999999999</v>
          </cell>
          <cell r="I238">
            <v>1.125</v>
          </cell>
          <cell r="J238" t="str">
            <v xml:space="preserve"> Emballage</v>
          </cell>
          <cell r="K238">
            <v>1.794</v>
          </cell>
          <cell r="M238" t="str">
            <v>LM-F79/100</v>
          </cell>
          <cell r="N238">
            <v>176</v>
          </cell>
          <cell r="O238">
            <v>0</v>
          </cell>
          <cell r="P238">
            <v>0</v>
          </cell>
          <cell r="Q238">
            <v>0.23076923076923078</v>
          </cell>
        </row>
        <row r="239">
          <cell r="D239" t="str">
            <v>FR147</v>
          </cell>
          <cell r="E239">
            <v>13</v>
          </cell>
          <cell r="F239" t="str">
            <v>U20/5</v>
          </cell>
          <cell r="G239">
            <v>158</v>
          </cell>
          <cell r="H239">
            <v>0.23087999999999997</v>
          </cell>
          <cell r="I239">
            <v>3</v>
          </cell>
          <cell r="J239" t="str">
            <v xml:space="preserve"> Emballage-Adhésif</v>
          </cell>
          <cell r="K239">
            <v>4.9530000000000003</v>
          </cell>
          <cell r="M239" t="str">
            <v>GLLM100.6</v>
          </cell>
          <cell r="N239">
            <v>0</v>
          </cell>
          <cell r="O239">
            <v>0</v>
          </cell>
          <cell r="P239" t="e">
            <v>#DIV/0!</v>
          </cell>
          <cell r="Q239">
            <v>0</v>
          </cell>
        </row>
        <row r="240">
          <cell r="D240" t="str">
            <v>FR148</v>
          </cell>
          <cell r="E240">
            <v>13</v>
          </cell>
          <cell r="F240" t="str">
            <v>U20/5</v>
          </cell>
          <cell r="G240">
            <v>60</v>
          </cell>
          <cell r="H240">
            <v>0.26130000000000003</v>
          </cell>
          <cell r="I240">
            <v>3</v>
          </cell>
          <cell r="J240" t="str">
            <v xml:space="preserve"> Emballage-Adhésif</v>
          </cell>
          <cell r="K240">
            <v>5.3754999999999997</v>
          </cell>
          <cell r="M240" t="str">
            <v>LM-F45</v>
          </cell>
          <cell r="N240">
            <v>9154</v>
          </cell>
          <cell r="O240">
            <v>222</v>
          </cell>
          <cell r="P240">
            <v>2.3677474402730374E-2</v>
          </cell>
          <cell r="Q240">
            <v>292.46153846153845</v>
          </cell>
        </row>
        <row r="241">
          <cell r="D241" t="str">
            <v>FR149</v>
          </cell>
          <cell r="E241">
            <v>13</v>
          </cell>
          <cell r="F241" t="str">
            <v>U20/5</v>
          </cell>
          <cell r="G241">
            <v>106</v>
          </cell>
          <cell r="H241">
            <v>0.22307999999999997</v>
          </cell>
          <cell r="I241">
            <v>3</v>
          </cell>
          <cell r="J241" t="str">
            <v xml:space="preserve"> Emballage-Adhésif</v>
          </cell>
          <cell r="K241">
            <v>5.4470000000000001</v>
          </cell>
          <cell r="M241" t="str">
            <v>ECGL248</v>
          </cell>
          <cell r="N241">
            <v>0</v>
          </cell>
          <cell r="O241">
            <v>0</v>
          </cell>
          <cell r="P241" t="e">
            <v>#DIV/0!</v>
          </cell>
          <cell r="Q241">
            <v>0</v>
          </cell>
        </row>
        <row r="242">
          <cell r="D242" t="str">
            <v>FR150</v>
          </cell>
          <cell r="E242">
            <v>13</v>
          </cell>
          <cell r="F242" t="str">
            <v>U20/5</v>
          </cell>
          <cell r="G242">
            <v>37</v>
          </cell>
          <cell r="H242">
            <v>0.29093999999999998</v>
          </cell>
          <cell r="I242">
            <v>3.375</v>
          </cell>
          <cell r="J242" t="str">
            <v xml:space="preserve"> Emballage-Adhésif</v>
          </cell>
          <cell r="K242">
            <v>6.4024999999999999</v>
          </cell>
          <cell r="M242" t="str">
            <v>LMOR-36</v>
          </cell>
          <cell r="N242">
            <v>447</v>
          </cell>
          <cell r="O242">
            <v>-438</v>
          </cell>
          <cell r="P242">
            <v>-48.666666666666664</v>
          </cell>
          <cell r="Q242">
            <v>0</v>
          </cell>
        </row>
        <row r="243">
          <cell r="D243" t="str">
            <v>FR151</v>
          </cell>
          <cell r="E243">
            <v>13</v>
          </cell>
          <cell r="F243" t="str">
            <v>U20/5</v>
          </cell>
          <cell r="G243">
            <v>120</v>
          </cell>
          <cell r="H243">
            <v>0.28703999999999996</v>
          </cell>
          <cell r="I243">
            <v>3.375</v>
          </cell>
          <cell r="J243" t="str">
            <v xml:space="preserve"> Emballage-Adhésif</v>
          </cell>
          <cell r="K243">
            <v>6.3635000000000002</v>
          </cell>
          <cell r="M243" t="str">
            <v>LMOR-58</v>
          </cell>
          <cell r="N243">
            <v>1153</v>
          </cell>
          <cell r="O243">
            <v>-1078</v>
          </cell>
          <cell r="P243">
            <v>-14.373333333333333</v>
          </cell>
          <cell r="Q243">
            <v>0</v>
          </cell>
        </row>
        <row r="244">
          <cell r="D244" t="str">
            <v>FR153</v>
          </cell>
          <cell r="E244">
            <v>20</v>
          </cell>
          <cell r="G244">
            <v>250</v>
          </cell>
          <cell r="H244">
            <v>0.10608000000000001</v>
          </cell>
          <cell r="I244">
            <v>1.125</v>
          </cell>
          <cell r="K244">
            <v>2.0474999999999999</v>
          </cell>
          <cell r="M244" t="str">
            <v>LMOR-19</v>
          </cell>
          <cell r="N244">
            <v>890</v>
          </cell>
          <cell r="O244">
            <v>-811</v>
          </cell>
          <cell r="P244">
            <v>-10.265822784810126</v>
          </cell>
          <cell r="Q244">
            <v>0</v>
          </cell>
        </row>
        <row r="245">
          <cell r="D245" t="str">
            <v>FR154</v>
          </cell>
          <cell r="E245">
            <v>9</v>
          </cell>
          <cell r="F245" t="str">
            <v>U20/5</v>
          </cell>
          <cell r="G245">
            <v>93</v>
          </cell>
          <cell r="H245">
            <v>0.38375999999999999</v>
          </cell>
          <cell r="I245">
            <v>4.2749999999999995</v>
          </cell>
          <cell r="J245" t="str">
            <v xml:space="preserve"> Emballage-Adhésif</v>
          </cell>
          <cell r="K245">
            <v>11.206</v>
          </cell>
          <cell r="M245" t="str">
            <v>LMOR-65</v>
          </cell>
          <cell r="N245">
            <v>112</v>
          </cell>
          <cell r="O245">
            <v>-112</v>
          </cell>
          <cell r="P245" t="e">
            <v>#DIV/0!</v>
          </cell>
          <cell r="Q245">
            <v>0</v>
          </cell>
        </row>
        <row r="246">
          <cell r="D246" t="str">
            <v>FR155</v>
          </cell>
          <cell r="E246">
            <v>9</v>
          </cell>
          <cell r="F246" t="str">
            <v>U20/5</v>
          </cell>
          <cell r="G246">
            <v>107</v>
          </cell>
          <cell r="H246">
            <v>0.38453999999999999</v>
          </cell>
          <cell r="I246">
            <v>4.2749999999999995</v>
          </cell>
          <cell r="J246" t="str">
            <v xml:space="preserve"> Emballage-Adhésif</v>
          </cell>
          <cell r="K246">
            <v>12.915500000000002</v>
          </cell>
          <cell r="M246" t="str">
            <v>LMOR-59</v>
          </cell>
          <cell r="N246">
            <v>89</v>
          </cell>
          <cell r="O246">
            <v>-87</v>
          </cell>
          <cell r="P246">
            <v>-43.5</v>
          </cell>
          <cell r="Q246">
            <v>0</v>
          </cell>
        </row>
        <row r="247">
          <cell r="D247" t="str">
            <v>FR156</v>
          </cell>
          <cell r="E247">
            <v>9</v>
          </cell>
          <cell r="F247" t="str">
            <v>U20/5</v>
          </cell>
          <cell r="G247">
            <v>142</v>
          </cell>
          <cell r="H247">
            <v>0.33695999999999998</v>
          </cell>
          <cell r="I247">
            <v>4.2749999999999995</v>
          </cell>
          <cell r="J247" t="str">
            <v xml:space="preserve"> Emballage-Adhésif</v>
          </cell>
          <cell r="K247">
            <v>10.224499999999999</v>
          </cell>
          <cell r="M247" t="str">
            <v>LMOR-24</v>
          </cell>
          <cell r="N247">
            <v>107</v>
          </cell>
          <cell r="O247">
            <v>-105</v>
          </cell>
          <cell r="P247">
            <v>-52.5</v>
          </cell>
          <cell r="Q247">
            <v>0</v>
          </cell>
        </row>
        <row r="248">
          <cell r="D248" t="str">
            <v>FR161</v>
          </cell>
          <cell r="E248">
            <v>14</v>
          </cell>
          <cell r="F248" t="str">
            <v>BZ14</v>
          </cell>
          <cell r="G248">
            <v>90</v>
          </cell>
          <cell r="H248">
            <v>0.12479999999999999</v>
          </cell>
          <cell r="I248">
            <v>2.25</v>
          </cell>
          <cell r="J248" t="str">
            <v xml:space="preserve"> Emballage</v>
          </cell>
          <cell r="K248">
            <v>2.1840000000000002</v>
          </cell>
          <cell r="M248" t="str">
            <v>LMMO-757</v>
          </cell>
          <cell r="N248">
            <v>0</v>
          </cell>
          <cell r="O248">
            <v>0</v>
          </cell>
          <cell r="P248" t="e">
            <v>#DIV/0!</v>
          </cell>
          <cell r="Q248">
            <v>0</v>
          </cell>
        </row>
        <row r="249">
          <cell r="D249" t="str">
            <v>FR162</v>
          </cell>
          <cell r="E249">
            <v>14</v>
          </cell>
          <cell r="F249" t="str">
            <v>BZ14</v>
          </cell>
          <cell r="G249">
            <v>250</v>
          </cell>
          <cell r="H249">
            <v>0.21528</v>
          </cell>
          <cell r="I249">
            <v>3</v>
          </cell>
          <cell r="J249" t="e">
            <v>#N/A</v>
          </cell>
          <cell r="K249">
            <v>3.5999999999999996</v>
          </cell>
          <cell r="M249" t="str">
            <v>LMMO-S758</v>
          </cell>
          <cell r="N249">
            <v>0</v>
          </cell>
          <cell r="O249">
            <v>0</v>
          </cell>
          <cell r="P249" t="e">
            <v>#DIV/0!</v>
          </cell>
          <cell r="Q249">
            <v>0</v>
          </cell>
        </row>
        <row r="250">
          <cell r="D250" t="str">
            <v>FR164</v>
          </cell>
          <cell r="E250">
            <v>14</v>
          </cell>
          <cell r="F250" t="str">
            <v>BZ14</v>
          </cell>
          <cell r="G250">
            <v>83</v>
          </cell>
          <cell r="H250">
            <v>0.12323999999999999</v>
          </cell>
          <cell r="I250">
            <v>3</v>
          </cell>
          <cell r="J250" t="str">
            <v xml:space="preserve"> Emballage</v>
          </cell>
          <cell r="K250">
            <v>3.5945000000000005</v>
          </cell>
          <cell r="M250" t="str">
            <v>GL11060</v>
          </cell>
          <cell r="N250">
            <v>0</v>
          </cell>
          <cell r="O250">
            <v>0</v>
          </cell>
          <cell r="P250" t="e">
            <v>#DIV/0!</v>
          </cell>
          <cell r="Q250">
            <v>0</v>
          </cell>
        </row>
        <row r="251">
          <cell r="D251" t="str">
            <v>FR166</v>
          </cell>
          <cell r="E251">
            <v>20</v>
          </cell>
          <cell r="F251" t="str">
            <v>BZ20</v>
          </cell>
          <cell r="G251">
            <v>13</v>
          </cell>
          <cell r="H251">
            <v>0.12323999999999999</v>
          </cell>
          <cell r="I251">
            <v>2.25</v>
          </cell>
          <cell r="J251" t="str">
            <v xml:space="preserve"> Emballage</v>
          </cell>
          <cell r="K251">
            <v>1.6705000000000001</v>
          </cell>
          <cell r="M251" t="str">
            <v>GL248</v>
          </cell>
          <cell r="N251">
            <v>0</v>
          </cell>
          <cell r="O251">
            <v>0</v>
          </cell>
          <cell r="P251" t="e">
            <v>#DIV/0!</v>
          </cell>
          <cell r="Q251">
            <v>0</v>
          </cell>
        </row>
        <row r="252">
          <cell r="D252" t="str">
            <v>FR168</v>
          </cell>
          <cell r="E252">
            <v>20</v>
          </cell>
          <cell r="F252" t="str">
            <v>BZ20</v>
          </cell>
          <cell r="G252">
            <v>84</v>
          </cell>
          <cell r="H252">
            <v>0.29171999999999998</v>
          </cell>
          <cell r="I252">
            <v>1.125</v>
          </cell>
          <cell r="J252" t="str">
            <v xml:space="preserve"> Emballage</v>
          </cell>
          <cell r="K252">
            <v>1.5859999999999999</v>
          </cell>
          <cell r="M252" t="str">
            <v>GLLM79</v>
          </cell>
          <cell r="N252">
            <v>0</v>
          </cell>
          <cell r="O252">
            <v>0</v>
          </cell>
          <cell r="P252" t="e">
            <v>#DIV/0!</v>
          </cell>
          <cell r="Q252">
            <v>0</v>
          </cell>
        </row>
        <row r="253">
          <cell r="D253" t="str">
            <v>FR401</v>
          </cell>
          <cell r="E253">
            <v>13</v>
          </cell>
          <cell r="F253" t="str">
            <v>U20/5</v>
          </cell>
          <cell r="G253">
            <v>49</v>
          </cell>
          <cell r="H253">
            <v>0.28859999999999997</v>
          </cell>
          <cell r="I253">
            <v>3.375</v>
          </cell>
          <cell r="J253" t="str">
            <v xml:space="preserve"> Emballage-Adhésif</v>
          </cell>
          <cell r="K253">
            <v>5.8760000000000003</v>
          </cell>
          <cell r="M253" t="str">
            <v>LM-55</v>
          </cell>
          <cell r="N253">
            <v>1210</v>
          </cell>
          <cell r="O253">
            <v>-1210</v>
          </cell>
          <cell r="P253" t="e">
            <v>#DIV/0!</v>
          </cell>
          <cell r="Q253">
            <v>0</v>
          </cell>
        </row>
        <row r="254">
          <cell r="D254" t="str">
            <v>FR402</v>
          </cell>
          <cell r="E254">
            <v>13</v>
          </cell>
          <cell r="F254" t="str">
            <v>U20/5</v>
          </cell>
          <cell r="G254">
            <v>10</v>
          </cell>
          <cell r="H254">
            <v>0.32447999999999994</v>
          </cell>
          <cell r="I254">
            <v>3.375</v>
          </cell>
          <cell r="J254" t="str">
            <v xml:space="preserve"> Emballage-Adhésif</v>
          </cell>
          <cell r="K254">
            <v>5.7394999999999996</v>
          </cell>
          <cell r="M254" t="str">
            <v>LM-55A</v>
          </cell>
          <cell r="N254">
            <v>389</v>
          </cell>
          <cell r="O254">
            <v>1326</v>
          </cell>
          <cell r="P254">
            <v>0.77317784256559763</v>
          </cell>
          <cell r="Q254">
            <v>0</v>
          </cell>
        </row>
        <row r="255">
          <cell r="D255" t="str">
            <v>FR403</v>
          </cell>
          <cell r="E255">
            <v>13</v>
          </cell>
          <cell r="F255" t="str">
            <v>U20/5</v>
          </cell>
          <cell r="G255">
            <v>92</v>
          </cell>
          <cell r="H255">
            <v>0.29561999999999994</v>
          </cell>
          <cell r="I255">
            <v>3.375</v>
          </cell>
          <cell r="J255" t="str">
            <v xml:space="preserve"> Emballage-Adhésif</v>
          </cell>
          <cell r="K255">
            <v>7.2474999999999996</v>
          </cell>
          <cell r="M255" t="str">
            <v>LM-60</v>
          </cell>
          <cell r="N255">
            <v>0</v>
          </cell>
          <cell r="O255">
            <v>0</v>
          </cell>
          <cell r="P255" t="e">
            <v>#DIV/0!</v>
          </cell>
          <cell r="Q255">
            <v>0</v>
          </cell>
        </row>
        <row r="256">
          <cell r="D256" t="str">
            <v>FR404</v>
          </cell>
          <cell r="E256">
            <v>13</v>
          </cell>
          <cell r="F256" t="str">
            <v>U20/5</v>
          </cell>
          <cell r="G256">
            <v>19</v>
          </cell>
          <cell r="H256">
            <v>0.28157999999999994</v>
          </cell>
          <cell r="I256">
            <v>3</v>
          </cell>
          <cell r="J256" t="str">
            <v xml:space="preserve"> Emballage-Adhésif</v>
          </cell>
          <cell r="K256">
            <v>5.9670000000000005</v>
          </cell>
          <cell r="M256" t="str">
            <v>LM-60A</v>
          </cell>
          <cell r="N256">
            <v>0</v>
          </cell>
          <cell r="O256">
            <v>2978</v>
          </cell>
          <cell r="P256">
            <v>1</v>
          </cell>
          <cell r="Q256">
            <v>0</v>
          </cell>
        </row>
        <row r="257">
          <cell r="D257" t="str">
            <v>FR406</v>
          </cell>
          <cell r="E257">
            <v>13</v>
          </cell>
          <cell r="F257" t="str">
            <v>U20/5</v>
          </cell>
          <cell r="G257">
            <v>74</v>
          </cell>
          <cell r="H257">
            <v>0.28157999999999994</v>
          </cell>
          <cell r="I257">
            <v>3</v>
          </cell>
          <cell r="J257" t="str">
            <v xml:space="preserve"> Emballage-Adhésif</v>
          </cell>
          <cell r="K257">
            <v>5.7460000000000004</v>
          </cell>
          <cell r="M257" t="str">
            <v>LM-62</v>
          </cell>
          <cell r="N257">
            <v>0</v>
          </cell>
          <cell r="O257">
            <v>0</v>
          </cell>
          <cell r="P257" t="e">
            <v>#DIV/0!</v>
          </cell>
          <cell r="Q257">
            <v>0</v>
          </cell>
        </row>
        <row r="258">
          <cell r="D258" t="str">
            <v>FR410</v>
          </cell>
          <cell r="E258">
            <v>20</v>
          </cell>
          <cell r="F258" t="str">
            <v>BZ20</v>
          </cell>
          <cell r="G258">
            <v>154</v>
          </cell>
          <cell r="H258">
            <v>8.8139999999999996E-2</v>
          </cell>
          <cell r="I258">
            <v>1.125</v>
          </cell>
          <cell r="J258" t="str">
            <v xml:space="preserve"> Emballage</v>
          </cell>
          <cell r="K258">
            <v>1.4755</v>
          </cell>
          <cell r="M258" t="str">
            <v>LM-79</v>
          </cell>
          <cell r="N258">
            <v>0</v>
          </cell>
          <cell r="O258">
            <v>0</v>
          </cell>
          <cell r="P258" t="e">
            <v>#DIV/0!</v>
          </cell>
          <cell r="Q258">
            <v>0</v>
          </cell>
        </row>
        <row r="259">
          <cell r="D259" t="str">
            <v>FR411</v>
          </cell>
          <cell r="E259">
            <v>20</v>
          </cell>
          <cell r="F259" t="str">
            <v>BZ20</v>
          </cell>
          <cell r="G259">
            <v>165</v>
          </cell>
          <cell r="H259">
            <v>7.0980000000000001E-2</v>
          </cell>
          <cell r="I259">
            <v>1.125</v>
          </cell>
          <cell r="J259" t="str">
            <v xml:space="preserve"> Emballage</v>
          </cell>
          <cell r="K259">
            <v>1.2024999999999999</v>
          </cell>
          <cell r="M259" t="str">
            <v>LM-F</v>
          </cell>
          <cell r="N259">
            <v>0</v>
          </cell>
          <cell r="O259">
            <v>0</v>
          </cell>
          <cell r="P259" t="e">
            <v>#DIV/0!</v>
          </cell>
          <cell r="Q259">
            <v>0</v>
          </cell>
        </row>
        <row r="260">
          <cell r="D260" t="str">
            <v>FSQ100</v>
          </cell>
          <cell r="E260">
            <v>13</v>
          </cell>
          <cell r="F260" t="str">
            <v>U20/5</v>
          </cell>
          <cell r="G260">
            <v>115</v>
          </cell>
          <cell r="H260">
            <v>0.25662000000000001</v>
          </cell>
          <cell r="I260">
            <v>3.375</v>
          </cell>
          <cell r="J260" t="str">
            <v xml:space="preserve"> Emballage-Adhésif</v>
          </cell>
          <cell r="K260">
            <v>4.992</v>
          </cell>
          <cell r="M260" t="str">
            <v>LM-FR</v>
          </cell>
          <cell r="N260">
            <v>0</v>
          </cell>
          <cell r="O260">
            <v>0</v>
          </cell>
          <cell r="P260" t="e">
            <v>#DIV/0!</v>
          </cell>
          <cell r="Q260">
            <v>0</v>
          </cell>
        </row>
        <row r="261">
          <cell r="D261" t="str">
            <v>FSQ102</v>
          </cell>
          <cell r="E261">
            <v>13</v>
          </cell>
          <cell r="F261" t="str">
            <v>U20/5</v>
          </cell>
          <cell r="G261">
            <v>114</v>
          </cell>
          <cell r="H261">
            <v>0.19422</v>
          </cell>
          <cell r="I261">
            <v>2.25</v>
          </cell>
          <cell r="J261" t="str">
            <v xml:space="preserve"> Emballage-Adhésif</v>
          </cell>
          <cell r="K261">
            <v>4.3029999999999999</v>
          </cell>
          <cell r="M261" t="str">
            <v>LM-SR</v>
          </cell>
          <cell r="N261">
            <v>0</v>
          </cell>
          <cell r="O261">
            <v>0</v>
          </cell>
          <cell r="P261" t="e">
            <v>#DIV/0!</v>
          </cell>
          <cell r="Q261">
            <v>0</v>
          </cell>
        </row>
        <row r="262">
          <cell r="D262" t="str">
            <v>FSQ104</v>
          </cell>
          <cell r="E262">
            <v>13</v>
          </cell>
          <cell r="F262" t="str">
            <v>U20/5</v>
          </cell>
          <cell r="G262">
            <v>118</v>
          </cell>
          <cell r="H262">
            <v>0.28235999999999994</v>
          </cell>
          <cell r="I262">
            <v>3.375</v>
          </cell>
          <cell r="J262" t="str">
            <v xml:space="preserve"> Emballage-Adhésif</v>
          </cell>
          <cell r="K262">
            <v>7.0394999999999994</v>
          </cell>
          <cell r="M262" t="str">
            <v>LMDP-100</v>
          </cell>
          <cell r="N262">
            <v>167</v>
          </cell>
          <cell r="O262">
            <v>1</v>
          </cell>
          <cell r="P262">
            <v>5.9523809523809521E-3</v>
          </cell>
          <cell r="Q262">
            <v>0</v>
          </cell>
        </row>
        <row r="263">
          <cell r="D263" t="str">
            <v>FSQ107</v>
          </cell>
          <cell r="E263">
            <v>20</v>
          </cell>
          <cell r="F263" t="str">
            <v>BZ20</v>
          </cell>
          <cell r="G263">
            <v>250</v>
          </cell>
          <cell r="H263">
            <v>3.5879999999999995E-2</v>
          </cell>
          <cell r="I263">
            <v>1.125</v>
          </cell>
          <cell r="J263" t="str">
            <v xml:space="preserve"> Emballage</v>
          </cell>
          <cell r="K263">
            <v>0.96899999999999997</v>
          </cell>
          <cell r="M263" t="str">
            <v>LMDPF-100</v>
          </cell>
          <cell r="N263">
            <v>234</v>
          </cell>
          <cell r="O263">
            <v>0</v>
          </cell>
          <cell r="P263">
            <v>0</v>
          </cell>
          <cell r="Q263">
            <v>0</v>
          </cell>
        </row>
        <row r="264">
          <cell r="D264" t="str">
            <v>FSQ108</v>
          </cell>
          <cell r="E264">
            <v>20</v>
          </cell>
          <cell r="F264" t="str">
            <v>BZ20</v>
          </cell>
          <cell r="G264">
            <v>250</v>
          </cell>
          <cell r="H264">
            <v>5.8499999999999996E-2</v>
          </cell>
          <cell r="I264">
            <v>1.125</v>
          </cell>
          <cell r="J264" t="str">
            <v xml:space="preserve"> Emballage</v>
          </cell>
          <cell r="K264">
            <v>1.8460000000000001</v>
          </cell>
          <cell r="M264" t="str">
            <v>LM-F/6</v>
          </cell>
          <cell r="N264">
            <v>4160</v>
          </cell>
          <cell r="O264">
            <v>-3395</v>
          </cell>
          <cell r="P264">
            <v>-4.4379084967320264</v>
          </cell>
          <cell r="Q264">
            <v>1927.6</v>
          </cell>
        </row>
        <row r="265">
          <cell r="D265" t="str">
            <v>FSQ110</v>
          </cell>
          <cell r="E265">
            <v>20</v>
          </cell>
          <cell r="F265" t="str">
            <v>BZ20</v>
          </cell>
          <cell r="G265">
            <v>116</v>
          </cell>
          <cell r="H265">
            <v>0.1326</v>
          </cell>
          <cell r="I265">
            <v>1.125</v>
          </cell>
          <cell r="J265" t="str">
            <v xml:space="preserve"> Emballage</v>
          </cell>
          <cell r="K265">
            <v>1.8784999999999998</v>
          </cell>
          <cell r="M265" t="str">
            <v>MR014</v>
          </cell>
          <cell r="N265">
            <v>0</v>
          </cell>
          <cell r="O265">
            <v>0</v>
          </cell>
          <cell r="P265" t="e">
            <v>#DIV/0!</v>
          </cell>
          <cell r="Q265">
            <v>0</v>
          </cell>
        </row>
        <row r="266">
          <cell r="D266" t="str">
            <v>FSQ111</v>
          </cell>
          <cell r="E266">
            <v>20</v>
          </cell>
          <cell r="F266" t="str">
            <v>BZ20</v>
          </cell>
          <cell r="G266">
            <v>64</v>
          </cell>
          <cell r="H266">
            <v>0.12792000000000001</v>
          </cell>
          <cell r="I266">
            <v>1.125</v>
          </cell>
          <cell r="J266" t="str">
            <v xml:space="preserve"> Emballage</v>
          </cell>
          <cell r="K266">
            <v>1.8459999999999999</v>
          </cell>
          <cell r="M266" t="str">
            <v>Mr003</v>
          </cell>
          <cell r="N266">
            <v>0</v>
          </cell>
          <cell r="O266">
            <v>0</v>
          </cell>
          <cell r="P266" t="e">
            <v>#DIV/0!</v>
          </cell>
          <cell r="Q266">
            <v>0</v>
          </cell>
        </row>
        <row r="267">
          <cell r="D267" t="str">
            <v>FSQ112</v>
          </cell>
          <cell r="E267">
            <v>12</v>
          </cell>
          <cell r="F267" t="str">
            <v>U8/8</v>
          </cell>
          <cell r="G267">
            <v>121</v>
          </cell>
          <cell r="H267">
            <v>0.21528</v>
          </cell>
          <cell r="I267">
            <v>3.375</v>
          </cell>
          <cell r="J267" t="str">
            <v xml:space="preserve"> Emballage-Adhésif</v>
          </cell>
          <cell r="K267">
            <v>5.1870000000000003</v>
          </cell>
          <cell r="M267" t="str">
            <v>LM-80</v>
          </cell>
          <cell r="N267">
            <v>0</v>
          </cell>
          <cell r="O267">
            <v>0</v>
          </cell>
          <cell r="P267" t="e">
            <v>#DIV/0!</v>
          </cell>
          <cell r="Q267">
            <v>0</v>
          </cell>
        </row>
        <row r="268">
          <cell r="D268" t="str">
            <v>FSQ121</v>
          </cell>
          <cell r="E268">
            <v>9</v>
          </cell>
          <cell r="F268" t="str">
            <v>U20/5</v>
          </cell>
          <cell r="G268">
            <v>122</v>
          </cell>
          <cell r="H268">
            <v>0.34710000000000002</v>
          </cell>
          <cell r="I268">
            <v>4.2749999999999995</v>
          </cell>
          <cell r="J268" t="str">
            <v xml:space="preserve"> Emballage-Adhésif</v>
          </cell>
          <cell r="K268">
            <v>9.0545000000000009</v>
          </cell>
          <cell r="M268" t="str">
            <v>MR014_P6500</v>
          </cell>
          <cell r="N268">
            <v>424</v>
          </cell>
          <cell r="O268">
            <v>71</v>
          </cell>
          <cell r="P268">
            <v>0.14343434343434344</v>
          </cell>
          <cell r="Q268">
            <v>6.4</v>
          </cell>
        </row>
        <row r="269">
          <cell r="D269" t="str">
            <v>FSQ122</v>
          </cell>
          <cell r="E269">
            <v>20</v>
          </cell>
          <cell r="F269" t="str">
            <v>BZ20</v>
          </cell>
          <cell r="G269">
            <v>127</v>
          </cell>
          <cell r="H269">
            <v>0.13181999999999999</v>
          </cell>
          <cell r="I269">
            <v>1.125</v>
          </cell>
          <cell r="J269" t="str">
            <v xml:space="preserve"> Emballage</v>
          </cell>
          <cell r="K269">
            <v>1.9564999999999999</v>
          </cell>
          <cell r="M269" t="str">
            <v>Mr002</v>
          </cell>
          <cell r="N269">
            <v>1473</v>
          </cell>
          <cell r="O269">
            <v>3035</v>
          </cell>
          <cell r="P269">
            <v>0.67324755989352258</v>
          </cell>
          <cell r="Q269">
            <v>947.8</v>
          </cell>
        </row>
        <row r="270">
          <cell r="D270" t="str">
            <v>FSQ124</v>
          </cell>
          <cell r="E270">
            <v>13</v>
          </cell>
          <cell r="F270" t="str">
            <v>U20/5</v>
          </cell>
          <cell r="G270">
            <v>66</v>
          </cell>
          <cell r="H270">
            <v>0.29405999999999999</v>
          </cell>
          <cell r="I270">
            <v>2.25</v>
          </cell>
          <cell r="J270" t="str">
            <v xml:space="preserve"> Emballage-Adhésif</v>
          </cell>
          <cell r="K270">
            <v>4.4395000000000007</v>
          </cell>
          <cell r="M270" t="str">
            <v>Mr030</v>
          </cell>
          <cell r="N270">
            <v>0</v>
          </cell>
          <cell r="O270">
            <v>2</v>
          </cell>
          <cell r="P270">
            <v>1</v>
          </cell>
          <cell r="Q270">
            <v>92.75</v>
          </cell>
        </row>
        <row r="271">
          <cell r="D271" t="str">
            <v>FSQ130</v>
          </cell>
          <cell r="E271">
            <v>14</v>
          </cell>
          <cell r="F271" t="str">
            <v>BZ14</v>
          </cell>
          <cell r="G271">
            <v>160</v>
          </cell>
          <cell r="H271">
            <v>0.26676000000000005</v>
          </cell>
          <cell r="I271">
            <v>2.25</v>
          </cell>
          <cell r="J271" t="str">
            <v xml:space="preserve"> Emballage-Adhésif</v>
          </cell>
          <cell r="K271">
            <v>4.3875000000000002</v>
          </cell>
          <cell r="M271" t="str">
            <v>Mr006</v>
          </cell>
          <cell r="N271">
            <v>123</v>
          </cell>
          <cell r="O271">
            <v>0</v>
          </cell>
          <cell r="P271">
            <v>0</v>
          </cell>
          <cell r="Q271">
            <v>0</v>
          </cell>
        </row>
        <row r="272">
          <cell r="D272" t="str">
            <v>FSQ131</v>
          </cell>
          <cell r="E272">
            <v>9</v>
          </cell>
          <cell r="F272" t="str">
            <v>U8/8</v>
          </cell>
          <cell r="G272">
            <v>132</v>
          </cell>
          <cell r="H272">
            <v>0.21762000000000001</v>
          </cell>
          <cell r="I272">
            <v>4.2749999999999995</v>
          </cell>
          <cell r="J272" t="str">
            <v xml:space="preserve"> Emballage</v>
          </cell>
          <cell r="K272">
            <v>5.2844999999999995</v>
          </cell>
          <cell r="M272" t="str">
            <v>Mr021</v>
          </cell>
          <cell r="N272">
            <v>0</v>
          </cell>
          <cell r="O272">
            <v>0</v>
          </cell>
          <cell r="P272" t="e">
            <v>#DIV/0!</v>
          </cell>
          <cell r="Q272">
            <v>0</v>
          </cell>
        </row>
        <row r="273">
          <cell r="D273" t="str">
            <v>FSQ132</v>
          </cell>
          <cell r="E273">
            <v>17</v>
          </cell>
          <cell r="F273" t="str">
            <v>BCD17</v>
          </cell>
          <cell r="G273">
            <v>250</v>
          </cell>
          <cell r="H273">
            <v>8.6580000000000004E-2</v>
          </cell>
          <cell r="I273">
            <v>1.125</v>
          </cell>
          <cell r="J273" t="str">
            <v xml:space="preserve"> Emballage</v>
          </cell>
          <cell r="K273">
            <v>2.262</v>
          </cell>
          <cell r="M273" t="str">
            <v>OK4719</v>
          </cell>
          <cell r="N273">
            <v>382</v>
          </cell>
          <cell r="O273">
            <v>-382</v>
          </cell>
          <cell r="P273" t="e">
            <v>#DIV/0!</v>
          </cell>
          <cell r="Q273">
            <v>0</v>
          </cell>
        </row>
        <row r="274">
          <cell r="D274" t="str">
            <v>FSQ139</v>
          </cell>
          <cell r="E274">
            <v>20</v>
          </cell>
          <cell r="F274" t="str">
            <v>BZ20</v>
          </cell>
          <cell r="G274">
            <v>54</v>
          </cell>
          <cell r="H274">
            <v>0.13961999999999999</v>
          </cell>
          <cell r="I274">
            <v>1.125</v>
          </cell>
          <cell r="J274" t="str">
            <v xml:space="preserve"> Emballage</v>
          </cell>
          <cell r="K274">
            <v>2.0019999999999998</v>
          </cell>
          <cell r="M274" t="str">
            <v>OK4721</v>
          </cell>
          <cell r="N274">
            <v>642</v>
          </cell>
          <cell r="O274">
            <v>0</v>
          </cell>
          <cell r="P274">
            <v>0</v>
          </cell>
          <cell r="Q274">
            <v>0</v>
          </cell>
        </row>
        <row r="275">
          <cell r="D275" t="str">
            <v>fsq148</v>
          </cell>
          <cell r="E275">
            <v>14</v>
          </cell>
          <cell r="K275">
            <v>5.0119999999999996</v>
          </cell>
          <cell r="M275" t="str">
            <v>OK4701P2</v>
          </cell>
          <cell r="N275">
            <v>551</v>
          </cell>
          <cell r="O275">
            <v>-551</v>
          </cell>
          <cell r="P275" t="e">
            <v>#DIV/0!</v>
          </cell>
          <cell r="Q275">
            <v>0</v>
          </cell>
        </row>
        <row r="276">
          <cell r="D276" t="str">
            <v>FSQ149</v>
          </cell>
          <cell r="E276">
            <v>13</v>
          </cell>
          <cell r="F276" t="str">
            <v>U20/5</v>
          </cell>
          <cell r="G276">
            <v>149</v>
          </cell>
          <cell r="H276">
            <v>0.21995999999999996</v>
          </cell>
          <cell r="I276">
            <v>3.375</v>
          </cell>
          <cell r="J276" t="str">
            <v xml:space="preserve"> Emballage-Adhésif</v>
          </cell>
          <cell r="K276">
            <v>5.2650000000000006</v>
          </cell>
          <cell r="M276" t="str">
            <v>OK4702P1</v>
          </cell>
          <cell r="N276">
            <v>225</v>
          </cell>
          <cell r="O276">
            <v>-225</v>
          </cell>
          <cell r="P276" t="e">
            <v>#DIV/0!</v>
          </cell>
          <cell r="Q276">
            <v>0</v>
          </cell>
        </row>
        <row r="277">
          <cell r="D277" t="str">
            <v>FSQ150</v>
          </cell>
          <cell r="E277">
            <v>13</v>
          </cell>
          <cell r="F277" t="str">
            <v>U20/5</v>
          </cell>
          <cell r="G277">
            <v>140</v>
          </cell>
          <cell r="H277">
            <v>0.41105999999999998</v>
          </cell>
          <cell r="I277">
            <v>3.375</v>
          </cell>
          <cell r="J277" t="str">
            <v xml:space="preserve"> Emballage-Adhésif</v>
          </cell>
          <cell r="K277">
            <v>5.9735000000000005</v>
          </cell>
          <cell r="M277" t="str">
            <v>OK4702P2</v>
          </cell>
          <cell r="N277">
            <v>786</v>
          </cell>
          <cell r="O277">
            <v>-786</v>
          </cell>
          <cell r="P277" t="e">
            <v>#DIV/0!</v>
          </cell>
          <cell r="Q277">
            <v>0</v>
          </cell>
        </row>
        <row r="278">
          <cell r="D278" t="str">
            <v>FSQ153</v>
          </cell>
          <cell r="E278">
            <v>20</v>
          </cell>
          <cell r="F278" t="str">
            <v>BZ20</v>
          </cell>
          <cell r="G278">
            <v>151</v>
          </cell>
          <cell r="H278">
            <v>9.9774999999999989E-2</v>
          </cell>
          <cell r="I278" t="e">
            <v>#N/A</v>
          </cell>
          <cell r="J278" t="str">
            <v xml:space="preserve"> Emballage</v>
          </cell>
          <cell r="K278">
            <v>1.9955000000000001</v>
          </cell>
          <cell r="M278" t="str">
            <v>OK4703P1</v>
          </cell>
          <cell r="N278">
            <v>67</v>
          </cell>
          <cell r="O278">
            <v>-67</v>
          </cell>
          <cell r="P278" t="e">
            <v>#DIV/0!</v>
          </cell>
          <cell r="Q278">
            <v>0</v>
          </cell>
        </row>
        <row r="279">
          <cell r="D279" t="str">
            <v>FSQ156</v>
          </cell>
          <cell r="E279">
            <v>9</v>
          </cell>
          <cell r="F279" t="str">
            <v>U20/5</v>
          </cell>
          <cell r="G279">
            <v>153</v>
          </cell>
          <cell r="H279">
            <v>0.32915999999999995</v>
          </cell>
          <cell r="I279">
            <v>4.2749999999999995</v>
          </cell>
          <cell r="J279" t="str">
            <v xml:space="preserve"> Emballage-Adhésif</v>
          </cell>
          <cell r="K279">
            <v>10.179</v>
          </cell>
          <cell r="M279" t="str">
            <v>OK4703P2</v>
          </cell>
          <cell r="N279">
            <v>463</v>
          </cell>
          <cell r="O279">
            <v>-463</v>
          </cell>
          <cell r="P279" t="e">
            <v>#DIV/0!</v>
          </cell>
          <cell r="Q279">
            <v>0</v>
          </cell>
        </row>
        <row r="280">
          <cell r="D280" t="str">
            <v>FSQ163</v>
          </cell>
          <cell r="E280">
            <v>13</v>
          </cell>
          <cell r="F280" t="str">
            <v>U20/5</v>
          </cell>
          <cell r="G280">
            <v>152</v>
          </cell>
          <cell r="H280">
            <v>9.8279999999999992E-2</v>
          </cell>
          <cell r="I280">
            <v>2.25</v>
          </cell>
          <cell r="J280" t="str">
            <v xml:space="preserve"> Emballage</v>
          </cell>
          <cell r="K280">
            <v>4.1924999999999999</v>
          </cell>
          <cell r="M280" t="str">
            <v>OK4704P2</v>
          </cell>
          <cell r="N280">
            <v>471</v>
          </cell>
          <cell r="O280">
            <v>-471</v>
          </cell>
          <cell r="P280" t="e">
            <v>#DIV/0!</v>
          </cell>
          <cell r="Q280">
            <v>0</v>
          </cell>
        </row>
        <row r="281">
          <cell r="D281" t="str">
            <v>FSQ164</v>
          </cell>
          <cell r="E281">
            <v>20</v>
          </cell>
          <cell r="F281" t="str">
            <v>BZ20</v>
          </cell>
          <cell r="G281">
            <v>146</v>
          </cell>
          <cell r="H281">
            <v>0.12792000000000001</v>
          </cell>
          <cell r="I281">
            <v>1.125</v>
          </cell>
          <cell r="J281" t="str">
            <v xml:space="preserve"> Emballage</v>
          </cell>
          <cell r="K281">
            <v>1.9369999999999998</v>
          </cell>
          <cell r="M281" t="str">
            <v>OK4705P2</v>
          </cell>
          <cell r="N281">
            <v>437</v>
          </cell>
          <cell r="O281">
            <v>-437</v>
          </cell>
          <cell r="P281" t="e">
            <v>#DIV/0!</v>
          </cell>
          <cell r="Q281">
            <v>0</v>
          </cell>
        </row>
        <row r="282">
          <cell r="D282" t="str">
            <v>FSQ165</v>
          </cell>
          <cell r="E282">
            <v>13</v>
          </cell>
          <cell r="F282" t="str">
            <v>U20/5</v>
          </cell>
          <cell r="G282">
            <v>162</v>
          </cell>
          <cell r="H282">
            <v>0.34554000000000001</v>
          </cell>
          <cell r="I282">
            <v>2.25</v>
          </cell>
          <cell r="J282" t="str">
            <v xml:space="preserve"> Emballage-Adhésif</v>
          </cell>
          <cell r="K282">
            <v>5.2130000000000001</v>
          </cell>
          <cell r="M282" t="str">
            <v>OK4706P2</v>
          </cell>
          <cell r="N282">
            <v>427</v>
          </cell>
          <cell r="O282">
            <v>-427</v>
          </cell>
          <cell r="P282" t="e">
            <v>#DIV/0!</v>
          </cell>
          <cell r="Q282">
            <v>0</v>
          </cell>
        </row>
        <row r="283">
          <cell r="D283" t="str">
            <v>FSQ401</v>
          </cell>
          <cell r="E283">
            <v>13</v>
          </cell>
          <cell r="F283" t="str">
            <v>U20/5</v>
          </cell>
          <cell r="G283">
            <v>61</v>
          </cell>
          <cell r="H283">
            <v>0.26987999999999995</v>
          </cell>
          <cell r="I283">
            <v>3.375</v>
          </cell>
          <cell r="J283" t="str">
            <v xml:space="preserve"> Emballage-Adhésif</v>
          </cell>
          <cell r="K283">
            <v>5.6355000000000004</v>
          </cell>
          <cell r="M283" t="str">
            <v>OK4707P2</v>
          </cell>
          <cell r="N283">
            <v>217</v>
          </cell>
          <cell r="O283">
            <v>-217</v>
          </cell>
          <cell r="P283" t="e">
            <v>#DIV/0!</v>
          </cell>
          <cell r="Q283">
            <v>0</v>
          </cell>
        </row>
        <row r="284">
          <cell r="D284" t="str">
            <v>FSQ402</v>
          </cell>
          <cell r="E284">
            <v>13</v>
          </cell>
          <cell r="F284" t="str">
            <v>U20/5</v>
          </cell>
          <cell r="G284">
            <v>108</v>
          </cell>
          <cell r="H284">
            <v>0.27377999999999997</v>
          </cell>
          <cell r="I284">
            <v>3.375</v>
          </cell>
          <cell r="J284" t="str">
            <v xml:space="preserve"> Emballage-Adhésif</v>
          </cell>
          <cell r="K284">
            <v>5.5445000000000002</v>
          </cell>
          <cell r="M284" t="str">
            <v>OK4709P2</v>
          </cell>
          <cell r="N284">
            <v>143</v>
          </cell>
          <cell r="O284">
            <v>-143</v>
          </cell>
          <cell r="P284" t="e">
            <v>#DIV/0!</v>
          </cell>
          <cell r="Q284">
            <v>0</v>
          </cell>
        </row>
        <row r="285">
          <cell r="D285" t="str">
            <v>FSQ403</v>
          </cell>
          <cell r="E285">
            <v>13</v>
          </cell>
          <cell r="F285" t="str">
            <v>U20/5</v>
          </cell>
          <cell r="G285">
            <v>109</v>
          </cell>
          <cell r="H285">
            <v>0.30575999999999998</v>
          </cell>
          <cell r="I285">
            <v>3.375</v>
          </cell>
          <cell r="J285" t="str">
            <v xml:space="preserve"> Emballage-Adhésif</v>
          </cell>
          <cell r="K285">
            <v>7.1110000000000007</v>
          </cell>
          <cell r="M285" t="str">
            <v>OK4715</v>
          </cell>
          <cell r="N285">
            <v>0</v>
          </cell>
          <cell r="O285">
            <v>0</v>
          </cell>
          <cell r="P285" t="e">
            <v>#DIV/0!</v>
          </cell>
          <cell r="Q285">
            <v>0</v>
          </cell>
        </row>
        <row r="286">
          <cell r="D286" t="str">
            <v>FSQ404</v>
          </cell>
          <cell r="E286">
            <v>13</v>
          </cell>
          <cell r="F286" t="str">
            <v>U20/5</v>
          </cell>
          <cell r="G286">
            <v>101</v>
          </cell>
          <cell r="H286">
            <v>0.27221999999999996</v>
          </cell>
          <cell r="I286">
            <v>3</v>
          </cell>
          <cell r="J286" t="str">
            <v xml:space="preserve"> Emballage-Adhésif</v>
          </cell>
          <cell r="K286">
            <v>5.7069999999999999</v>
          </cell>
          <cell r="M286" t="str">
            <v>OK4716</v>
          </cell>
          <cell r="N286">
            <v>1199</v>
          </cell>
          <cell r="O286">
            <v>-1198</v>
          </cell>
          <cell r="P286">
            <v>-1198</v>
          </cell>
          <cell r="Q286">
            <v>0</v>
          </cell>
        </row>
        <row r="287">
          <cell r="D287" t="str">
            <v>FSQ405</v>
          </cell>
          <cell r="E287">
            <v>13</v>
          </cell>
          <cell r="F287" t="str">
            <v>U20/5</v>
          </cell>
          <cell r="G287">
            <v>148</v>
          </cell>
          <cell r="H287">
            <v>0.30575999999999998</v>
          </cell>
          <cell r="I287">
            <v>3</v>
          </cell>
          <cell r="J287" t="str">
            <v xml:space="preserve"> Emballage-Adhésif</v>
          </cell>
          <cell r="K287">
            <v>7.1110000000000007</v>
          </cell>
          <cell r="M287" t="str">
            <v>OK4717</v>
          </cell>
          <cell r="N287">
            <v>322</v>
          </cell>
          <cell r="O287">
            <v>-322</v>
          </cell>
          <cell r="P287" t="e">
            <v>#DIV/0!</v>
          </cell>
          <cell r="Q287">
            <v>0</v>
          </cell>
        </row>
        <row r="288">
          <cell r="D288" t="str">
            <v>FSQ406</v>
          </cell>
          <cell r="E288">
            <v>13</v>
          </cell>
          <cell r="F288" t="str">
            <v>U20/5</v>
          </cell>
          <cell r="G288">
            <v>131</v>
          </cell>
          <cell r="H288">
            <v>0.25817999999999997</v>
          </cell>
          <cell r="I288">
            <v>3.375</v>
          </cell>
          <cell r="J288" t="str">
            <v xml:space="preserve"> Emballage-Adhésif</v>
          </cell>
          <cell r="K288">
            <v>5.46</v>
          </cell>
          <cell r="M288" t="str">
            <v>OK4718</v>
          </cell>
          <cell r="N288">
            <v>159</v>
          </cell>
          <cell r="O288">
            <v>0</v>
          </cell>
          <cell r="P288">
            <v>0</v>
          </cell>
          <cell r="Q288">
            <v>0</v>
          </cell>
        </row>
        <row r="289">
          <cell r="D289" t="str">
            <v>FSQ408</v>
          </cell>
          <cell r="E289">
            <v>13</v>
          </cell>
          <cell r="F289" t="str">
            <v>U20/5</v>
          </cell>
          <cell r="G289">
            <v>133</v>
          </cell>
          <cell r="H289">
            <v>0.22931999999999997</v>
          </cell>
          <cell r="I289">
            <v>3.375</v>
          </cell>
          <cell r="J289" t="str">
            <v xml:space="preserve"> Emballage-Adhésif</v>
          </cell>
          <cell r="K289">
            <v>5.3949999999999996</v>
          </cell>
          <cell r="M289" t="str">
            <v>OK4722</v>
          </cell>
          <cell r="N289">
            <v>517</v>
          </cell>
          <cell r="O289">
            <v>-498</v>
          </cell>
          <cell r="P289">
            <v>-26.210526315789473</v>
          </cell>
          <cell r="Q289">
            <v>0</v>
          </cell>
        </row>
        <row r="290">
          <cell r="D290" t="str">
            <v>FSQ501</v>
          </cell>
          <cell r="E290">
            <v>14</v>
          </cell>
          <cell r="K290">
            <v>3</v>
          </cell>
          <cell r="M290" t="str">
            <v>OK4723_3</v>
          </cell>
          <cell r="N290">
            <v>4</v>
          </cell>
          <cell r="O290">
            <v>-4</v>
          </cell>
          <cell r="P290" t="e">
            <v>#DIV/0!</v>
          </cell>
          <cell r="Q290">
            <v>0</v>
          </cell>
        </row>
        <row r="291">
          <cell r="D291" t="str">
            <v>FSQ502</v>
          </cell>
          <cell r="E291">
            <v>14</v>
          </cell>
          <cell r="K291">
            <v>5.8440000000000003</v>
          </cell>
          <cell r="M291" t="str">
            <v>OK4723</v>
          </cell>
          <cell r="N291">
            <v>1677</v>
          </cell>
          <cell r="O291">
            <v>4</v>
          </cell>
          <cell r="P291">
            <v>2.3795359904818562E-3</v>
          </cell>
          <cell r="Q291">
            <v>0</v>
          </cell>
        </row>
        <row r="292">
          <cell r="D292" t="str">
            <v>FSQ510</v>
          </cell>
          <cell r="E292">
            <v>14</v>
          </cell>
          <cell r="K292">
            <v>6.4870000000000001</v>
          </cell>
          <cell r="M292" t="str">
            <v>OK4724_3</v>
          </cell>
          <cell r="N292">
            <v>0</v>
          </cell>
          <cell r="O292">
            <v>0</v>
          </cell>
          <cell r="P292" t="e">
            <v>#DIV/0!</v>
          </cell>
          <cell r="Q292">
            <v>0</v>
          </cell>
        </row>
        <row r="293">
          <cell r="D293" t="str">
            <v>FSQ520</v>
          </cell>
          <cell r="E293">
            <v>14</v>
          </cell>
          <cell r="K293">
            <v>3</v>
          </cell>
          <cell r="M293" t="str">
            <v>SP6016P2</v>
          </cell>
          <cell r="N293">
            <v>120</v>
          </cell>
          <cell r="O293">
            <v>-120</v>
          </cell>
          <cell r="P293" t="e">
            <v>#DIV/0!</v>
          </cell>
          <cell r="Q293">
            <v>0</v>
          </cell>
        </row>
        <row r="294">
          <cell r="D294" t="str">
            <v>FSQ521</v>
          </cell>
          <cell r="E294">
            <v>12</v>
          </cell>
          <cell r="K294">
            <v>5.6289999999999996</v>
          </cell>
          <cell r="M294" t="str">
            <v>SP6017P2</v>
          </cell>
          <cell r="N294">
            <v>1209</v>
          </cell>
          <cell r="O294">
            <v>-1209</v>
          </cell>
          <cell r="P294" t="e">
            <v>#DIV/0!</v>
          </cell>
          <cell r="Q294">
            <v>0</v>
          </cell>
        </row>
        <row r="295">
          <cell r="D295" t="str">
            <v>FSQ530</v>
          </cell>
          <cell r="E295">
            <v>14</v>
          </cell>
          <cell r="K295">
            <v>3</v>
          </cell>
          <cell r="M295" t="str">
            <v>OK4704P1</v>
          </cell>
          <cell r="N295">
            <v>49</v>
          </cell>
          <cell r="O295">
            <v>-49</v>
          </cell>
          <cell r="P295" t="e">
            <v>#DIV/0!</v>
          </cell>
          <cell r="Q295">
            <v>0</v>
          </cell>
        </row>
        <row r="296">
          <cell r="D296" t="str">
            <v>FSQ532</v>
          </cell>
          <cell r="E296">
            <v>14</v>
          </cell>
          <cell r="K296">
            <v>3</v>
          </cell>
          <cell r="M296" t="str">
            <v>OK4705P1</v>
          </cell>
          <cell r="N296">
            <v>103</v>
          </cell>
          <cell r="O296">
            <v>-103</v>
          </cell>
          <cell r="P296" t="e">
            <v>#DIV/0!</v>
          </cell>
          <cell r="Q296">
            <v>0</v>
          </cell>
        </row>
        <row r="297">
          <cell r="D297" t="str">
            <v>FSQ540</v>
          </cell>
          <cell r="E297">
            <v>12</v>
          </cell>
          <cell r="K297">
            <v>7.4560000000000004</v>
          </cell>
          <cell r="M297" t="str">
            <v>OK4706P1</v>
          </cell>
          <cell r="N297">
            <v>24</v>
          </cell>
          <cell r="O297">
            <v>-24</v>
          </cell>
          <cell r="P297" t="e">
            <v>#DIV/0!</v>
          </cell>
          <cell r="Q297">
            <v>0</v>
          </cell>
        </row>
        <row r="298">
          <cell r="D298" t="str">
            <v>FSQ541</v>
          </cell>
          <cell r="E298">
            <v>20</v>
          </cell>
          <cell r="K298">
            <v>2.0219999999999998</v>
          </cell>
          <cell r="M298" t="str">
            <v>OK4707P1</v>
          </cell>
          <cell r="N298">
            <v>42</v>
          </cell>
          <cell r="O298">
            <v>-42</v>
          </cell>
          <cell r="P298" t="e">
            <v>#DIV/0!</v>
          </cell>
          <cell r="Q298">
            <v>0</v>
          </cell>
        </row>
        <row r="299">
          <cell r="D299" t="str">
            <v>GL058</v>
          </cell>
          <cell r="E299">
            <v>20</v>
          </cell>
          <cell r="F299" t="str">
            <v>BZ20</v>
          </cell>
          <cell r="G299">
            <v>28</v>
          </cell>
          <cell r="H299">
            <v>9.4899999999999998E-2</v>
          </cell>
          <cell r="I299" t="e">
            <v>#N/A</v>
          </cell>
          <cell r="J299" t="str">
            <v xml:space="preserve"> Emballage</v>
          </cell>
          <cell r="K299">
            <v>1.8979999999999999</v>
          </cell>
          <cell r="M299" t="str">
            <v>OK4724</v>
          </cell>
          <cell r="N299">
            <v>1025</v>
          </cell>
          <cell r="O299">
            <v>-1025</v>
          </cell>
          <cell r="P299" t="e">
            <v>#DIV/0!</v>
          </cell>
          <cell r="Q299">
            <v>0</v>
          </cell>
        </row>
        <row r="300">
          <cell r="D300" t="str">
            <v>GL11060/248</v>
          </cell>
          <cell r="E300">
            <v>20</v>
          </cell>
          <cell r="F300" t="str">
            <v>BZ20</v>
          </cell>
          <cell r="G300">
            <v>8</v>
          </cell>
          <cell r="H300">
            <v>0.12317499999999999</v>
          </cell>
          <cell r="I300" t="e">
            <v>#N/A</v>
          </cell>
          <cell r="J300" t="str">
            <v xml:space="preserve"> Emballage</v>
          </cell>
          <cell r="K300">
            <v>2.4634999999999998</v>
          </cell>
          <cell r="M300" t="str">
            <v>OK4701P1</v>
          </cell>
          <cell r="N300">
            <v>253</v>
          </cell>
          <cell r="O300">
            <v>-253</v>
          </cell>
          <cell r="P300" t="e">
            <v>#DIV/0!</v>
          </cell>
          <cell r="Q300">
            <v>0</v>
          </cell>
        </row>
        <row r="301">
          <cell r="D301" t="str">
            <v>GL180</v>
          </cell>
          <cell r="E301">
            <v>20</v>
          </cell>
          <cell r="F301" t="str">
            <v>BZ20</v>
          </cell>
          <cell r="G301">
            <v>72</v>
          </cell>
          <cell r="H301">
            <v>8.4499999999999992E-2</v>
          </cell>
          <cell r="I301" t="e">
            <v>#N/A</v>
          </cell>
          <cell r="J301" t="str">
            <v xml:space="preserve"> Emballage</v>
          </cell>
          <cell r="K301">
            <v>1.69</v>
          </cell>
          <cell r="M301" t="str">
            <v>OK4725</v>
          </cell>
          <cell r="N301">
            <v>161</v>
          </cell>
          <cell r="O301">
            <v>-161</v>
          </cell>
          <cell r="P301" t="e">
            <v>#DIV/0!</v>
          </cell>
          <cell r="Q301">
            <v>0</v>
          </cell>
        </row>
        <row r="302">
          <cell r="D302" t="str">
            <v>GLLM100.6.5</v>
          </cell>
          <cell r="E302">
            <v>10</v>
          </cell>
          <cell r="K302">
            <v>10.050000000000001</v>
          </cell>
          <cell r="M302" t="str">
            <v>ALL10093/1</v>
          </cell>
          <cell r="N302">
            <v>11</v>
          </cell>
          <cell r="O302">
            <v>17</v>
          </cell>
          <cell r="P302">
            <v>0.6071428571428571</v>
          </cell>
          <cell r="Q302">
            <v>20</v>
          </cell>
        </row>
        <row r="303">
          <cell r="D303" t="str">
            <v>GL-MB</v>
          </cell>
          <cell r="E303">
            <v>12</v>
          </cell>
          <cell r="F303" t="str">
            <v>U8/8</v>
          </cell>
          <cell r="G303">
            <v>82</v>
          </cell>
          <cell r="H303">
            <v>0.18459999999999999</v>
          </cell>
          <cell r="I303" t="e">
            <v>#N/A</v>
          </cell>
          <cell r="J303" t="str">
            <v xml:space="preserve"> Emballage</v>
          </cell>
          <cell r="K303">
            <v>3.6919999999999997</v>
          </cell>
          <cell r="M303" t="str">
            <v>ALL11142/1.1</v>
          </cell>
          <cell r="N303">
            <v>115</v>
          </cell>
          <cell r="O303">
            <v>174</v>
          </cell>
          <cell r="P303">
            <v>0.60207612456747406</v>
          </cell>
          <cell r="Q303">
            <v>21.4</v>
          </cell>
        </row>
        <row r="304">
          <cell r="D304" t="str">
            <v>INNER PROFILE</v>
          </cell>
          <cell r="E304">
            <v>10</v>
          </cell>
          <cell r="G304">
            <v>1</v>
          </cell>
          <cell r="K304">
            <v>4</v>
          </cell>
          <cell r="M304" t="str">
            <v>ALL11142/1.5</v>
          </cell>
          <cell r="N304">
            <v>0</v>
          </cell>
          <cell r="O304">
            <v>0</v>
          </cell>
          <cell r="P304" t="e">
            <v>#DIV/0!</v>
          </cell>
          <cell r="Q304">
            <v>0</v>
          </cell>
        </row>
        <row r="305">
          <cell r="D305" t="str">
            <v>KL7401</v>
          </cell>
          <cell r="E305">
            <v>14</v>
          </cell>
          <cell r="K305">
            <v>1.179</v>
          </cell>
          <cell r="M305" t="str">
            <v>ALL11144/1.2</v>
          </cell>
          <cell r="N305">
            <v>0</v>
          </cell>
          <cell r="O305">
            <v>41</v>
          </cell>
          <cell r="P305">
            <v>1</v>
          </cell>
          <cell r="Q305">
            <v>141.5</v>
          </cell>
        </row>
        <row r="306">
          <cell r="D306" t="str">
            <v>KL7402</v>
          </cell>
          <cell r="E306">
            <v>9</v>
          </cell>
          <cell r="K306">
            <v>11.452999999999999</v>
          </cell>
          <cell r="M306" t="str">
            <v>ALL11144/2</v>
          </cell>
          <cell r="N306">
            <v>0</v>
          </cell>
          <cell r="O306">
            <v>0</v>
          </cell>
          <cell r="P306" t="e">
            <v>#DIV/0!</v>
          </cell>
          <cell r="Q306">
            <v>0</v>
          </cell>
        </row>
        <row r="307">
          <cell r="D307" t="str">
            <v>KL7403</v>
          </cell>
          <cell r="E307">
            <v>9</v>
          </cell>
          <cell r="K307">
            <v>10.16</v>
          </cell>
          <cell r="M307" t="str">
            <v>ALL124/1.5</v>
          </cell>
          <cell r="N307">
            <v>173</v>
          </cell>
          <cell r="O307">
            <v>105</v>
          </cell>
          <cell r="P307">
            <v>0.37769784172661869</v>
          </cell>
          <cell r="Q307">
            <v>0</v>
          </cell>
        </row>
        <row r="308">
          <cell r="D308" t="str">
            <v>KL7404</v>
          </cell>
          <cell r="E308">
            <v>9</v>
          </cell>
          <cell r="K308">
            <v>11.265000000000001</v>
          </cell>
          <cell r="M308" t="str">
            <v>ALL144/3</v>
          </cell>
          <cell r="N308">
            <v>0</v>
          </cell>
          <cell r="O308">
            <v>0</v>
          </cell>
          <cell r="P308" t="e">
            <v>#DIV/0!</v>
          </cell>
          <cell r="Q308">
            <v>0</v>
          </cell>
        </row>
        <row r="309">
          <cell r="D309" t="str">
            <v>KL7405</v>
          </cell>
          <cell r="E309">
            <v>9</v>
          </cell>
          <cell r="K309">
            <v>13.689</v>
          </cell>
          <cell r="M309" t="str">
            <v>ALL145/1.3</v>
          </cell>
          <cell r="N309">
            <v>0</v>
          </cell>
          <cell r="O309">
            <v>0</v>
          </cell>
          <cell r="P309" t="e">
            <v>#DIV/0!</v>
          </cell>
          <cell r="Q309">
            <v>0</v>
          </cell>
        </row>
        <row r="310">
          <cell r="D310" t="str">
            <v>KL7407</v>
          </cell>
          <cell r="E310">
            <v>9</v>
          </cell>
          <cell r="K310">
            <v>17.934000000000001</v>
          </cell>
          <cell r="M310" t="str">
            <v>ALL145/2.8</v>
          </cell>
          <cell r="N310">
            <v>261</v>
          </cell>
          <cell r="O310">
            <v>2</v>
          </cell>
          <cell r="P310">
            <v>7.6045627376425855E-3</v>
          </cell>
          <cell r="Q310">
            <v>15.6</v>
          </cell>
        </row>
        <row r="311">
          <cell r="D311" t="str">
            <v>KL7412</v>
          </cell>
          <cell r="E311">
            <v>13</v>
          </cell>
          <cell r="K311">
            <v>5.2329999999999997</v>
          </cell>
          <cell r="M311" t="str">
            <v>ALL145/4</v>
          </cell>
          <cell r="N311">
            <v>23</v>
          </cell>
          <cell r="O311">
            <v>0</v>
          </cell>
          <cell r="P311">
            <v>0</v>
          </cell>
          <cell r="Q311">
            <v>300.5</v>
          </cell>
        </row>
        <row r="312">
          <cell r="D312" t="str">
            <v>KL7417</v>
          </cell>
          <cell r="E312">
            <v>9</v>
          </cell>
          <cell r="K312">
            <v>9.8219999999999992</v>
          </cell>
          <cell r="M312" t="str">
            <v>ALL213/1.5</v>
          </cell>
          <cell r="N312">
            <v>0</v>
          </cell>
          <cell r="O312">
            <v>4</v>
          </cell>
          <cell r="P312">
            <v>1</v>
          </cell>
          <cell r="Q312">
            <v>47.2</v>
          </cell>
        </row>
        <row r="313">
          <cell r="D313" t="str">
            <v>KL7420</v>
          </cell>
          <cell r="E313">
            <v>9</v>
          </cell>
          <cell r="K313">
            <v>1.885</v>
          </cell>
          <cell r="M313" t="str">
            <v>ALL244/1.2</v>
          </cell>
          <cell r="N313">
            <v>0</v>
          </cell>
          <cell r="O313">
            <v>8</v>
          </cell>
          <cell r="P313">
            <v>1</v>
          </cell>
          <cell r="Q313">
            <v>2144</v>
          </cell>
        </row>
        <row r="314">
          <cell r="D314" t="str">
            <v>LM-100</v>
          </cell>
          <cell r="E314">
            <v>10</v>
          </cell>
          <cell r="F314" t="str">
            <v>BCS10</v>
          </cell>
          <cell r="G314">
            <v>250</v>
          </cell>
          <cell r="H314">
            <v>0.26208000000000004</v>
          </cell>
          <cell r="I314">
            <v>3.375</v>
          </cell>
          <cell r="J314" t="str">
            <v xml:space="preserve"> Emballage</v>
          </cell>
          <cell r="K314">
            <v>4</v>
          </cell>
          <cell r="M314" t="str">
            <v>ALL244/1.5</v>
          </cell>
          <cell r="N314">
            <v>0</v>
          </cell>
          <cell r="O314">
            <v>0</v>
          </cell>
          <cell r="P314" t="e">
            <v>#DIV/0!</v>
          </cell>
          <cell r="Q314">
            <v>0</v>
          </cell>
        </row>
        <row r="315">
          <cell r="D315" t="str">
            <v>LM-100.5</v>
          </cell>
          <cell r="E315">
            <v>12</v>
          </cell>
          <cell r="G315">
            <v>250</v>
          </cell>
          <cell r="H315">
            <v>0.26208000000000004</v>
          </cell>
          <cell r="I315">
            <v>3.375</v>
          </cell>
          <cell r="K315">
            <v>4.43</v>
          </cell>
          <cell r="M315" t="str">
            <v>ALL316/6</v>
          </cell>
          <cell r="N315">
            <v>0</v>
          </cell>
          <cell r="O315">
            <v>0</v>
          </cell>
          <cell r="P315" t="e">
            <v>#DIV/0!</v>
          </cell>
          <cell r="Q315">
            <v>2</v>
          </cell>
        </row>
        <row r="316">
          <cell r="D316" t="str">
            <v>LM-100.6</v>
          </cell>
          <cell r="E316">
            <v>12</v>
          </cell>
          <cell r="G316">
            <v>250</v>
          </cell>
          <cell r="H316">
            <v>0.26208000000000004</v>
          </cell>
          <cell r="I316">
            <v>3.375</v>
          </cell>
          <cell r="K316">
            <v>4.43</v>
          </cell>
          <cell r="M316" t="str">
            <v>ALL349/1.5</v>
          </cell>
          <cell r="N316">
            <v>3</v>
          </cell>
          <cell r="O316">
            <v>24</v>
          </cell>
          <cell r="P316">
            <v>0.88888888888888884</v>
          </cell>
          <cell r="Q316">
            <v>1781</v>
          </cell>
        </row>
        <row r="317">
          <cell r="D317" t="str">
            <v>LM-100.A</v>
          </cell>
          <cell r="E317">
            <v>10</v>
          </cell>
          <cell r="G317">
            <v>250</v>
          </cell>
          <cell r="H317">
            <v>0.26208000000000004</v>
          </cell>
          <cell r="I317">
            <v>3.375</v>
          </cell>
          <cell r="K317">
            <v>4</v>
          </cell>
          <cell r="M317" t="str">
            <v>ALL714/4</v>
          </cell>
          <cell r="N317">
            <v>0</v>
          </cell>
          <cell r="O317">
            <v>0</v>
          </cell>
          <cell r="P317" t="e">
            <v>#DIV/0!</v>
          </cell>
          <cell r="Q317">
            <v>0</v>
          </cell>
        </row>
        <row r="318">
          <cell r="D318" t="str">
            <v>LM-100.MA</v>
          </cell>
          <cell r="E318">
            <v>10</v>
          </cell>
          <cell r="G318">
            <v>250</v>
          </cell>
          <cell r="H318">
            <v>0.26208000000000004</v>
          </cell>
          <cell r="I318">
            <v>3.375</v>
          </cell>
          <cell r="K318">
            <v>4</v>
          </cell>
          <cell r="M318" t="str">
            <v>ALL723/2</v>
          </cell>
          <cell r="N318">
            <v>0</v>
          </cell>
          <cell r="O318">
            <v>25</v>
          </cell>
          <cell r="P318">
            <v>1</v>
          </cell>
          <cell r="Q318">
            <v>0</v>
          </cell>
        </row>
        <row r="319">
          <cell r="D319" t="str">
            <v>LM-40</v>
          </cell>
          <cell r="E319">
            <v>20</v>
          </cell>
          <cell r="F319" t="str">
            <v>BZ20</v>
          </cell>
          <cell r="G319">
            <v>250</v>
          </cell>
          <cell r="H319">
            <v>8.5019999999999998E-2</v>
          </cell>
          <cell r="I319">
            <v>2.25</v>
          </cell>
          <cell r="J319" t="e">
            <v>#N/A</v>
          </cell>
          <cell r="K319">
            <v>1.653</v>
          </cell>
          <cell r="M319" t="str">
            <v>ALL724/2</v>
          </cell>
          <cell r="N319">
            <v>60</v>
          </cell>
          <cell r="O319">
            <v>65</v>
          </cell>
          <cell r="P319">
            <v>0.52</v>
          </cell>
          <cell r="Q319">
            <v>150</v>
          </cell>
        </row>
        <row r="320">
          <cell r="D320" t="str">
            <v>LM-48</v>
          </cell>
          <cell r="E320">
            <v>17</v>
          </cell>
          <cell r="G320">
            <v>250</v>
          </cell>
          <cell r="H320">
            <v>9.8279999999999992E-2</v>
          </cell>
          <cell r="I320">
            <v>2.25</v>
          </cell>
          <cell r="K320">
            <v>1.825</v>
          </cell>
          <cell r="M320" t="str">
            <v>ALL727/1.2</v>
          </cell>
          <cell r="N320">
            <v>0</v>
          </cell>
          <cell r="O320">
            <v>0</v>
          </cell>
          <cell r="P320" t="e">
            <v>#DIV/0!</v>
          </cell>
          <cell r="Q320">
            <v>0</v>
          </cell>
        </row>
        <row r="321">
          <cell r="D321" t="str">
            <v>LM-55</v>
          </cell>
          <cell r="E321">
            <v>17</v>
          </cell>
          <cell r="F321" t="str">
            <v>BCD17</v>
          </cell>
          <cell r="G321">
            <v>250</v>
          </cell>
          <cell r="H321">
            <v>0.16925999999999999</v>
          </cell>
          <cell r="I321">
            <v>2.25</v>
          </cell>
          <cell r="J321" t="str">
            <v xml:space="preserve"> Emballage</v>
          </cell>
          <cell r="K321">
            <v>3.569</v>
          </cell>
          <cell r="M321" t="str">
            <v>ALL727/2</v>
          </cell>
          <cell r="N321">
            <v>0</v>
          </cell>
          <cell r="O321">
            <v>0</v>
          </cell>
          <cell r="P321" t="e">
            <v>#DIV/0!</v>
          </cell>
          <cell r="Q321">
            <v>0</v>
          </cell>
        </row>
        <row r="322">
          <cell r="D322" t="str">
            <v>LM-55A</v>
          </cell>
          <cell r="E322">
            <v>17</v>
          </cell>
          <cell r="F322" t="str">
            <v>BCD17</v>
          </cell>
          <cell r="G322">
            <v>250</v>
          </cell>
          <cell r="H322">
            <v>0.16925999999999999</v>
          </cell>
          <cell r="I322">
            <v>2.25</v>
          </cell>
          <cell r="J322" t="str">
            <v xml:space="preserve"> Emballage</v>
          </cell>
          <cell r="K322">
            <v>2</v>
          </cell>
          <cell r="M322" t="str">
            <v>PL101</v>
          </cell>
          <cell r="N322">
            <v>263</v>
          </cell>
          <cell r="O322">
            <v>1</v>
          </cell>
          <cell r="P322">
            <v>3.787878787878788E-3</v>
          </cell>
          <cell r="Q322">
            <v>0</v>
          </cell>
        </row>
        <row r="323">
          <cell r="D323" t="str">
            <v>LM-60</v>
          </cell>
          <cell r="E323">
            <v>17</v>
          </cell>
          <cell r="F323" t="str">
            <v>BCD17</v>
          </cell>
          <cell r="G323">
            <v>250</v>
          </cell>
          <cell r="H323">
            <v>0.156</v>
          </cell>
          <cell r="I323">
            <v>2.25</v>
          </cell>
          <cell r="J323" t="str">
            <v xml:space="preserve"> Emballage</v>
          </cell>
          <cell r="K323">
            <v>3.07</v>
          </cell>
          <cell r="M323" t="str">
            <v>PL102</v>
          </cell>
          <cell r="N323">
            <v>189</v>
          </cell>
          <cell r="O323">
            <v>0</v>
          </cell>
          <cell r="P323">
            <v>0</v>
          </cell>
          <cell r="Q323">
            <v>0</v>
          </cell>
        </row>
        <row r="324">
          <cell r="D324" t="str">
            <v>LM-60A</v>
          </cell>
          <cell r="E324">
            <v>17</v>
          </cell>
          <cell r="F324" t="str">
            <v>BCD17</v>
          </cell>
          <cell r="G324">
            <v>250</v>
          </cell>
          <cell r="H324" t="e">
            <v>#N/A</v>
          </cell>
          <cell r="I324" t="e">
            <v>#N/A</v>
          </cell>
          <cell r="J324" t="e">
            <v>#N/A</v>
          </cell>
          <cell r="K324">
            <v>2</v>
          </cell>
          <cell r="M324" t="str">
            <v>PL103</v>
          </cell>
          <cell r="N324">
            <v>1396</v>
          </cell>
          <cell r="O324">
            <v>8</v>
          </cell>
          <cell r="P324">
            <v>5.6980056980056983E-3</v>
          </cell>
          <cell r="Q324">
            <v>0</v>
          </cell>
        </row>
        <row r="325">
          <cell r="D325" t="str">
            <v>LM-62</v>
          </cell>
          <cell r="E325">
            <v>17</v>
          </cell>
          <cell r="F325" t="str">
            <v>BCD17</v>
          </cell>
          <cell r="G325">
            <v>250</v>
          </cell>
          <cell r="H325" t="e">
            <v>#N/A</v>
          </cell>
          <cell r="I325" t="e">
            <v>#N/A</v>
          </cell>
          <cell r="J325" t="e">
            <v>#N/A</v>
          </cell>
          <cell r="K325">
            <v>2</v>
          </cell>
          <cell r="M325" t="str">
            <v>PL105</v>
          </cell>
          <cell r="N325">
            <v>667</v>
          </cell>
          <cell r="O325">
            <v>-667</v>
          </cell>
          <cell r="P325" t="e">
            <v>#DIV/0!</v>
          </cell>
          <cell r="Q325">
            <v>0</v>
          </cell>
        </row>
        <row r="326">
          <cell r="D326" t="str">
            <v>LM-757</v>
          </cell>
          <cell r="E326">
            <v>17</v>
          </cell>
          <cell r="F326" t="str">
            <v>BCD17</v>
          </cell>
          <cell r="G326">
            <v>1</v>
          </cell>
          <cell r="H326">
            <v>0.156</v>
          </cell>
          <cell r="I326">
            <v>2.25</v>
          </cell>
          <cell r="J326" t="str">
            <v xml:space="preserve"> Emballage</v>
          </cell>
          <cell r="K326">
            <v>2.7559999999999998</v>
          </cell>
          <cell r="M326" t="str">
            <v>PL106</v>
          </cell>
          <cell r="N326">
            <v>658</v>
          </cell>
          <cell r="O326">
            <v>-656</v>
          </cell>
          <cell r="P326">
            <v>-328</v>
          </cell>
          <cell r="Q326">
            <v>0</v>
          </cell>
        </row>
        <row r="327">
          <cell r="D327" t="str">
            <v>LM-79</v>
          </cell>
          <cell r="E327">
            <v>14</v>
          </cell>
          <cell r="F327" t="str">
            <v>BZ14</v>
          </cell>
          <cell r="G327">
            <v>250</v>
          </cell>
          <cell r="H327">
            <v>0.20748</v>
          </cell>
          <cell r="I327">
            <v>3</v>
          </cell>
          <cell r="J327" t="str">
            <v xml:space="preserve"> Emballage</v>
          </cell>
          <cell r="K327">
            <v>4.548</v>
          </cell>
          <cell r="M327" t="str">
            <v>PL108</v>
          </cell>
          <cell r="N327">
            <v>624</v>
          </cell>
          <cell r="O327">
            <v>0</v>
          </cell>
          <cell r="P327">
            <v>0</v>
          </cell>
          <cell r="Q327">
            <v>0</v>
          </cell>
        </row>
        <row r="328">
          <cell r="D328" t="str">
            <v>LM-79A</v>
          </cell>
          <cell r="E328">
            <v>14</v>
          </cell>
          <cell r="F328" t="str">
            <v>BZ14</v>
          </cell>
          <cell r="G328">
            <v>250</v>
          </cell>
          <cell r="H328">
            <v>0.20748</v>
          </cell>
          <cell r="I328">
            <v>3</v>
          </cell>
          <cell r="J328" t="str">
            <v xml:space="preserve"> Emballage</v>
          </cell>
          <cell r="K328">
            <v>4.548</v>
          </cell>
          <cell r="M328" t="str">
            <v>PL109</v>
          </cell>
          <cell r="N328">
            <v>528</v>
          </cell>
          <cell r="O328">
            <v>0</v>
          </cell>
          <cell r="P328">
            <v>0</v>
          </cell>
          <cell r="Q328">
            <v>0</v>
          </cell>
        </row>
        <row r="329">
          <cell r="D329" t="str">
            <v>LMDP-100</v>
          </cell>
          <cell r="E329">
            <v>14</v>
          </cell>
          <cell r="K329">
            <v>7.02</v>
          </cell>
          <cell r="M329" t="str">
            <v>PL110</v>
          </cell>
          <cell r="N329">
            <v>488</v>
          </cell>
          <cell r="O329">
            <v>0</v>
          </cell>
          <cell r="P329">
            <v>0</v>
          </cell>
          <cell r="Q329">
            <v>0</v>
          </cell>
        </row>
        <row r="330">
          <cell r="D330" t="str">
            <v>LMDPF-100</v>
          </cell>
          <cell r="E330">
            <v>20</v>
          </cell>
          <cell r="K330">
            <v>1.8460000000000001</v>
          </cell>
          <cell r="M330" t="str">
            <v>PL111</v>
          </cell>
          <cell r="N330">
            <v>218</v>
          </cell>
          <cell r="O330">
            <v>0</v>
          </cell>
          <cell r="P330">
            <v>0</v>
          </cell>
          <cell r="Q330">
            <v>0</v>
          </cell>
        </row>
        <row r="331">
          <cell r="D331" t="str">
            <v>LM-F</v>
          </cell>
          <cell r="E331">
            <v>17</v>
          </cell>
          <cell r="F331" t="str">
            <v>BCD17</v>
          </cell>
          <cell r="G331">
            <v>250</v>
          </cell>
          <cell r="H331">
            <v>0.12636</v>
          </cell>
          <cell r="I331">
            <v>2.25</v>
          </cell>
          <cell r="K331">
            <v>2.8405</v>
          </cell>
          <cell r="M331" t="str">
            <v>PL112</v>
          </cell>
          <cell r="N331">
            <v>235</v>
          </cell>
          <cell r="O331">
            <v>0</v>
          </cell>
          <cell r="P331">
            <v>0</v>
          </cell>
          <cell r="Q331">
            <v>0</v>
          </cell>
        </row>
        <row r="332">
          <cell r="D332" t="str">
            <v>LM-F/6</v>
          </cell>
          <cell r="E332">
            <v>17</v>
          </cell>
          <cell r="F332" t="str">
            <v>BCD17</v>
          </cell>
          <cell r="G332">
            <v>10.5</v>
          </cell>
          <cell r="H332">
            <v>0.14202500000000001</v>
          </cell>
          <cell r="I332" t="e">
            <v>#N/A</v>
          </cell>
          <cell r="J332" t="str">
            <v xml:space="preserve"> Emballage</v>
          </cell>
          <cell r="K332">
            <v>2.8405</v>
          </cell>
          <cell r="M332" t="str">
            <v>PL113</v>
          </cell>
          <cell r="N332">
            <v>315</v>
          </cell>
          <cell r="O332">
            <v>0</v>
          </cell>
          <cell r="P332">
            <v>0</v>
          </cell>
          <cell r="Q332">
            <v>0</v>
          </cell>
        </row>
        <row r="333">
          <cell r="D333" t="str">
            <v>LM-F100</v>
          </cell>
          <cell r="E333">
            <v>12</v>
          </cell>
          <cell r="G333">
            <v>250</v>
          </cell>
          <cell r="H333">
            <v>0.20592000000000002</v>
          </cell>
          <cell r="I333">
            <v>3</v>
          </cell>
          <cell r="K333">
            <v>6.32</v>
          </cell>
          <cell r="M333" t="str">
            <v>PL114</v>
          </cell>
          <cell r="N333">
            <v>277</v>
          </cell>
          <cell r="O333">
            <v>0</v>
          </cell>
          <cell r="P333">
            <v>0</v>
          </cell>
          <cell r="Q333">
            <v>0</v>
          </cell>
        </row>
        <row r="334">
          <cell r="D334" t="str">
            <v>LM-F41</v>
          </cell>
          <cell r="E334">
            <v>17</v>
          </cell>
          <cell r="G334">
            <v>250</v>
          </cell>
          <cell r="H334">
            <v>9.5939999999999998E-2</v>
          </cell>
          <cell r="I334">
            <v>2.25</v>
          </cell>
          <cell r="K334">
            <v>1.859</v>
          </cell>
          <cell r="M334" t="str">
            <v>PL116</v>
          </cell>
          <cell r="N334">
            <v>64</v>
          </cell>
          <cell r="O334">
            <v>-64</v>
          </cell>
          <cell r="P334" t="e">
            <v>#DIV/0!</v>
          </cell>
          <cell r="Q334">
            <v>0</v>
          </cell>
        </row>
        <row r="335">
          <cell r="D335" t="str">
            <v>LM-F45</v>
          </cell>
          <cell r="E335">
            <v>20</v>
          </cell>
          <cell r="K335">
            <v>2.19</v>
          </cell>
          <cell r="M335" t="str">
            <v>PL104</v>
          </cell>
          <cell r="N335">
            <v>75</v>
          </cell>
          <cell r="O335">
            <v>-75</v>
          </cell>
          <cell r="P335" t="e">
            <v>#DIV/0!</v>
          </cell>
          <cell r="Q335">
            <v>0</v>
          </cell>
        </row>
        <row r="336">
          <cell r="D336" t="str">
            <v>LM-F50</v>
          </cell>
          <cell r="E336">
            <v>17</v>
          </cell>
          <cell r="F336" t="str">
            <v>BCD17</v>
          </cell>
          <cell r="G336">
            <v>250</v>
          </cell>
          <cell r="H336">
            <v>0.11856</v>
          </cell>
          <cell r="I336">
            <v>2.25</v>
          </cell>
          <cell r="J336" t="e">
            <v>#N/A</v>
          </cell>
          <cell r="K336">
            <v>2.8</v>
          </cell>
          <cell r="M336" t="str">
            <v>PL107</v>
          </cell>
          <cell r="N336">
            <v>281</v>
          </cell>
          <cell r="O336">
            <v>-276</v>
          </cell>
          <cell r="P336">
            <v>-55.2</v>
          </cell>
          <cell r="Q336">
            <v>0</v>
          </cell>
        </row>
        <row r="337">
          <cell r="D337" t="str">
            <v>LM-F79/100</v>
          </cell>
          <cell r="E337">
            <v>10</v>
          </cell>
          <cell r="F337" t="str">
            <v>BCS10</v>
          </cell>
          <cell r="G337">
            <v>147</v>
          </cell>
          <cell r="H337">
            <v>0.20592000000000002</v>
          </cell>
          <cell r="I337">
            <v>3</v>
          </cell>
          <cell r="J337" t="str">
            <v xml:space="preserve"> Emballage</v>
          </cell>
          <cell r="K337">
            <v>6.3179999999999996</v>
          </cell>
          <cell r="M337" t="str">
            <v>Pr6314</v>
          </cell>
          <cell r="N337">
            <v>125</v>
          </cell>
          <cell r="O337">
            <v>0</v>
          </cell>
          <cell r="P337">
            <v>0</v>
          </cell>
          <cell r="Q337">
            <v>0</v>
          </cell>
        </row>
        <row r="338">
          <cell r="D338" t="str">
            <v>LM-FR</v>
          </cell>
          <cell r="E338">
            <v>17</v>
          </cell>
          <cell r="F338" t="str">
            <v>BCD17</v>
          </cell>
          <cell r="G338">
            <v>250</v>
          </cell>
          <cell r="H338" t="e">
            <v>#N/A</v>
          </cell>
          <cell r="I338" t="e">
            <v>#N/A</v>
          </cell>
          <cell r="J338" t="e">
            <v>#N/A</v>
          </cell>
          <cell r="K338">
            <v>2</v>
          </cell>
          <cell r="M338" t="str">
            <v>Pr6311</v>
          </cell>
          <cell r="N338">
            <v>387</v>
          </cell>
          <cell r="O338">
            <v>0</v>
          </cell>
          <cell r="P338">
            <v>0</v>
          </cell>
          <cell r="Q338">
            <v>0</v>
          </cell>
        </row>
        <row r="339">
          <cell r="D339" t="str">
            <v>LM-FVS</v>
          </cell>
          <cell r="E339">
            <v>17</v>
          </cell>
          <cell r="F339" t="str">
            <v>BCD17</v>
          </cell>
          <cell r="G339">
            <v>156</v>
          </cell>
          <cell r="H339">
            <v>0.13519999999999999</v>
          </cell>
          <cell r="I339" t="e">
            <v>#N/A</v>
          </cell>
          <cell r="J339" t="str">
            <v xml:space="preserve"> Emballage</v>
          </cell>
          <cell r="K339">
            <v>2.7039999999999997</v>
          </cell>
          <cell r="M339" t="str">
            <v>Pr6301</v>
          </cell>
          <cell r="N339">
            <v>0</v>
          </cell>
          <cell r="O339">
            <v>1809</v>
          </cell>
          <cell r="P339">
            <v>1</v>
          </cell>
          <cell r="Q339">
            <v>0</v>
          </cell>
        </row>
        <row r="340">
          <cell r="D340" t="str">
            <v>LMMO-757</v>
          </cell>
          <cell r="E340">
            <v>17</v>
          </cell>
          <cell r="F340" t="str">
            <v>BCD17</v>
          </cell>
          <cell r="G340">
            <v>1</v>
          </cell>
          <cell r="H340">
            <v>0.156</v>
          </cell>
          <cell r="I340">
            <v>2.25</v>
          </cell>
          <cell r="J340" t="str">
            <v xml:space="preserve"> Emballage</v>
          </cell>
          <cell r="K340">
            <v>2.7559999999999998</v>
          </cell>
          <cell r="M340" t="str">
            <v>Pr6301P1</v>
          </cell>
          <cell r="N340">
            <v>113</v>
          </cell>
          <cell r="O340">
            <v>-113</v>
          </cell>
          <cell r="P340" t="e">
            <v>#DIV/0!</v>
          </cell>
          <cell r="Q340">
            <v>0</v>
          </cell>
        </row>
        <row r="341">
          <cell r="D341" t="str">
            <v>LMMO-S758</v>
          </cell>
          <cell r="E341">
            <v>20</v>
          </cell>
          <cell r="F341" t="str">
            <v>BZ20</v>
          </cell>
          <cell r="G341">
            <v>5</v>
          </cell>
          <cell r="H341">
            <v>6.0839999999999998E-2</v>
          </cell>
          <cell r="I341">
            <v>1.125</v>
          </cell>
          <cell r="J341" t="str">
            <v xml:space="preserve"> Emballage</v>
          </cell>
          <cell r="K341">
            <v>1.3259999999999998</v>
          </cell>
          <cell r="M341" t="str">
            <v>Pr6301P2</v>
          </cell>
          <cell r="N341">
            <v>55</v>
          </cell>
          <cell r="O341">
            <v>-55</v>
          </cell>
          <cell r="P341" t="e">
            <v>#DIV/0!</v>
          </cell>
          <cell r="Q341">
            <v>0</v>
          </cell>
        </row>
        <row r="342">
          <cell r="D342" t="str">
            <v>LM-S40</v>
          </cell>
          <cell r="E342">
            <v>20</v>
          </cell>
          <cell r="F342" t="str">
            <v>BZ20</v>
          </cell>
          <cell r="G342">
            <v>250</v>
          </cell>
          <cell r="H342">
            <v>4.6800000000000001E-2</v>
          </cell>
          <cell r="I342">
            <v>1.125</v>
          </cell>
          <cell r="J342" t="e">
            <v>#N/A</v>
          </cell>
          <cell r="K342">
            <v>0.84199999999999997</v>
          </cell>
          <cell r="M342" t="str">
            <v>Pr6302P1</v>
          </cell>
          <cell r="N342">
            <v>133</v>
          </cell>
          <cell r="O342">
            <v>-133</v>
          </cell>
          <cell r="P342" t="e">
            <v>#DIV/0!</v>
          </cell>
          <cell r="Q342">
            <v>0</v>
          </cell>
        </row>
        <row r="343">
          <cell r="D343" t="str">
            <v>LM-S48</v>
          </cell>
          <cell r="E343">
            <v>20</v>
          </cell>
          <cell r="G343">
            <v>250</v>
          </cell>
          <cell r="H343">
            <v>5.7719999999999994E-2</v>
          </cell>
          <cell r="I343">
            <v>1.125</v>
          </cell>
          <cell r="K343">
            <v>1.034</v>
          </cell>
          <cell r="M343" t="str">
            <v>Pr6303</v>
          </cell>
          <cell r="N343">
            <v>0</v>
          </cell>
          <cell r="O343">
            <v>99</v>
          </cell>
          <cell r="P343">
            <v>1</v>
          </cell>
          <cell r="Q343">
            <v>0</v>
          </cell>
        </row>
        <row r="344">
          <cell r="D344" t="str">
            <v>LM-S758</v>
          </cell>
          <cell r="E344">
            <v>20</v>
          </cell>
          <cell r="F344" t="str">
            <v>BZ20</v>
          </cell>
          <cell r="G344">
            <v>5</v>
          </cell>
          <cell r="H344">
            <v>6.0839999999999998E-2</v>
          </cell>
          <cell r="I344">
            <v>1.125</v>
          </cell>
          <cell r="J344" t="str">
            <v xml:space="preserve"> Emballage</v>
          </cell>
          <cell r="K344">
            <v>1.3259999999999998</v>
          </cell>
          <cell r="M344" t="str">
            <v>Pr6303P2</v>
          </cell>
          <cell r="N344">
            <v>99</v>
          </cell>
          <cell r="O344">
            <v>-99</v>
          </cell>
          <cell r="P344" t="e">
            <v>#DIV/0!</v>
          </cell>
          <cell r="Q344">
            <v>0</v>
          </cell>
        </row>
        <row r="345">
          <cell r="D345" t="str">
            <v>LM-SR</v>
          </cell>
          <cell r="E345">
            <v>17</v>
          </cell>
          <cell r="F345" t="str">
            <v>BCD17</v>
          </cell>
          <cell r="G345">
            <v>250</v>
          </cell>
          <cell r="H345" t="e">
            <v>#N/A</v>
          </cell>
          <cell r="I345" t="e">
            <v>#N/A</v>
          </cell>
          <cell r="J345" t="e">
            <v>#N/A</v>
          </cell>
          <cell r="K345">
            <v>2</v>
          </cell>
          <cell r="M345" t="str">
            <v>Pr6304</v>
          </cell>
          <cell r="N345">
            <v>0</v>
          </cell>
          <cell r="O345">
            <v>98</v>
          </cell>
          <cell r="P345">
            <v>1</v>
          </cell>
          <cell r="Q345">
            <v>0</v>
          </cell>
        </row>
        <row r="346">
          <cell r="D346" t="str">
            <v>MR002</v>
          </cell>
          <cell r="E346">
            <v>9</v>
          </cell>
          <cell r="F346" t="str">
            <v>U20/5</v>
          </cell>
          <cell r="G346">
            <v>105</v>
          </cell>
          <cell r="H346">
            <v>0.32915999999999995</v>
          </cell>
          <cell r="I346">
            <v>4.2749999999999995</v>
          </cell>
          <cell r="J346" t="str">
            <v xml:space="preserve"> Emballage-Adhésif</v>
          </cell>
          <cell r="K346">
            <v>11.934000000000001</v>
          </cell>
          <cell r="M346" t="str">
            <v>Pr6304P1</v>
          </cell>
          <cell r="N346">
            <v>96</v>
          </cell>
          <cell r="O346">
            <v>-96</v>
          </cell>
          <cell r="P346" t="e">
            <v>#DIV/0!</v>
          </cell>
          <cell r="Q346">
            <v>0</v>
          </cell>
        </row>
        <row r="347">
          <cell r="D347" t="str">
            <v>MR003</v>
          </cell>
          <cell r="E347">
            <v>5</v>
          </cell>
          <cell r="F347" t="str">
            <v>U20/5</v>
          </cell>
          <cell r="G347">
            <v>250</v>
          </cell>
          <cell r="H347" t="e">
            <v>#N/A</v>
          </cell>
          <cell r="I347" t="e">
            <v>#N/A</v>
          </cell>
          <cell r="J347" t="e">
            <v>#N/A</v>
          </cell>
          <cell r="K347">
            <v>6</v>
          </cell>
          <cell r="M347" t="str">
            <v>Pr6305</v>
          </cell>
          <cell r="N347">
            <v>0</v>
          </cell>
          <cell r="O347">
            <v>58</v>
          </cell>
          <cell r="P347">
            <v>1</v>
          </cell>
          <cell r="Q347">
            <v>0</v>
          </cell>
        </row>
        <row r="348">
          <cell r="D348" t="str">
            <v>MR006</v>
          </cell>
          <cell r="E348">
            <v>10</v>
          </cell>
          <cell r="G348">
            <v>250</v>
          </cell>
          <cell r="H348">
            <v>0.32915999999999995</v>
          </cell>
          <cell r="I348">
            <v>4.2749999999999995</v>
          </cell>
          <cell r="K348">
            <v>11.8</v>
          </cell>
          <cell r="M348" t="str">
            <v>Pr6305P1</v>
          </cell>
          <cell r="N348">
            <v>53</v>
          </cell>
          <cell r="O348">
            <v>-53</v>
          </cell>
          <cell r="P348" t="e">
            <v>#DIV/0!</v>
          </cell>
          <cell r="Q348">
            <v>0</v>
          </cell>
        </row>
        <row r="349">
          <cell r="D349" t="str">
            <v>MR009</v>
          </cell>
          <cell r="E349">
            <v>12</v>
          </cell>
          <cell r="F349" t="str">
            <v>U20/5</v>
          </cell>
          <cell r="G349">
            <v>250</v>
          </cell>
          <cell r="H349">
            <v>0.37127999999999994</v>
          </cell>
          <cell r="I349">
            <v>4.2749999999999995</v>
          </cell>
          <cell r="J349" t="str">
            <v xml:space="preserve"> Emballage-Adhésif</v>
          </cell>
          <cell r="K349">
            <v>14.7</v>
          </cell>
          <cell r="M349" t="str">
            <v>Pr6307</v>
          </cell>
          <cell r="N349">
            <v>0</v>
          </cell>
          <cell r="O349">
            <v>148</v>
          </cell>
          <cell r="P349">
            <v>1</v>
          </cell>
          <cell r="Q349">
            <v>0</v>
          </cell>
        </row>
        <row r="350">
          <cell r="D350" t="str">
            <v>MR009_P6500</v>
          </cell>
          <cell r="E350">
            <v>8</v>
          </cell>
          <cell r="F350" t="str">
            <v>U20/5</v>
          </cell>
          <cell r="G350">
            <v>250</v>
          </cell>
          <cell r="H350" t="e">
            <v>#N/A</v>
          </cell>
          <cell r="I350" t="e">
            <v>#N/A</v>
          </cell>
          <cell r="J350" t="e">
            <v>#N/A</v>
          </cell>
          <cell r="K350">
            <v>6</v>
          </cell>
          <cell r="M350" t="str">
            <v>Pr6307P1</v>
          </cell>
          <cell r="N350">
            <v>140</v>
          </cell>
          <cell r="O350">
            <v>-140</v>
          </cell>
          <cell r="P350" t="e">
            <v>#DIV/0!</v>
          </cell>
          <cell r="Q350">
            <v>0</v>
          </cell>
        </row>
        <row r="351">
          <cell r="D351" t="str">
            <v>MR011</v>
          </cell>
          <cell r="E351">
            <v>12</v>
          </cell>
          <cell r="F351" t="str">
            <v>U20/5</v>
          </cell>
          <cell r="G351">
            <v>250</v>
          </cell>
          <cell r="H351">
            <v>0.23243999999999998</v>
          </cell>
          <cell r="I351">
            <v>3</v>
          </cell>
          <cell r="J351" t="e">
            <v>#N/A</v>
          </cell>
          <cell r="K351">
            <v>8.6</v>
          </cell>
          <cell r="M351" t="str">
            <v>Pr6308</v>
          </cell>
          <cell r="N351">
            <v>0</v>
          </cell>
          <cell r="O351">
            <v>162</v>
          </cell>
          <cell r="P351">
            <v>1</v>
          </cell>
          <cell r="Q351">
            <v>0</v>
          </cell>
        </row>
        <row r="352">
          <cell r="D352" t="str">
            <v>MR013</v>
          </cell>
          <cell r="E352">
            <v>10</v>
          </cell>
          <cell r="G352">
            <v>250</v>
          </cell>
          <cell r="H352">
            <v>0.22541999999999998</v>
          </cell>
          <cell r="I352">
            <v>3</v>
          </cell>
          <cell r="K352">
            <v>8.5609999999999999</v>
          </cell>
          <cell r="M352" t="str">
            <v>Pr6308P2</v>
          </cell>
          <cell r="N352">
            <v>162</v>
          </cell>
          <cell r="O352">
            <v>-162</v>
          </cell>
          <cell r="P352" t="e">
            <v>#DIV/0!</v>
          </cell>
          <cell r="Q352">
            <v>0</v>
          </cell>
        </row>
        <row r="353">
          <cell r="D353" t="str">
            <v>MR014</v>
          </cell>
          <cell r="E353">
            <v>8</v>
          </cell>
          <cell r="G353">
            <v>250</v>
          </cell>
          <cell r="H353">
            <v>0.27221999999999996</v>
          </cell>
          <cell r="I353">
            <v>3.375</v>
          </cell>
          <cell r="K353">
            <v>10.667</v>
          </cell>
          <cell r="M353" t="str">
            <v>Pr6309</v>
          </cell>
          <cell r="N353">
            <v>76</v>
          </cell>
          <cell r="O353">
            <v>0</v>
          </cell>
          <cell r="P353">
            <v>0</v>
          </cell>
          <cell r="Q353">
            <v>0</v>
          </cell>
        </row>
        <row r="354">
          <cell r="D354" t="str">
            <v>MR014_P6500</v>
          </cell>
          <cell r="E354">
            <v>8</v>
          </cell>
          <cell r="F354" t="str">
            <v>U20/5</v>
          </cell>
          <cell r="G354">
            <v>250</v>
          </cell>
          <cell r="H354">
            <v>0.53007499999999996</v>
          </cell>
          <cell r="I354" t="e">
            <v>#N/A</v>
          </cell>
          <cell r="J354" t="str">
            <v xml:space="preserve"> Emballage-Adhésif</v>
          </cell>
          <cell r="K354">
            <v>10.6015</v>
          </cell>
          <cell r="M354" t="str">
            <v>Pr6310</v>
          </cell>
          <cell r="N354">
            <v>66</v>
          </cell>
          <cell r="O354">
            <v>0</v>
          </cell>
          <cell r="P354">
            <v>0</v>
          </cell>
          <cell r="Q354">
            <v>0</v>
          </cell>
        </row>
        <row r="355">
          <cell r="D355" t="str">
            <v>MR030</v>
          </cell>
          <cell r="E355">
            <v>12</v>
          </cell>
          <cell r="F355" t="str">
            <v>U8/8</v>
          </cell>
          <cell r="G355">
            <v>69</v>
          </cell>
          <cell r="H355">
            <v>0.16691999999999999</v>
          </cell>
          <cell r="I355">
            <v>2.25</v>
          </cell>
          <cell r="J355" t="str">
            <v xml:space="preserve"> Emballage-Adhésif</v>
          </cell>
          <cell r="K355">
            <v>5.1480000000000006</v>
          </cell>
          <cell r="M355" t="str">
            <v>Pr6315</v>
          </cell>
          <cell r="N355">
            <v>182</v>
          </cell>
          <cell r="O355">
            <v>-182</v>
          </cell>
          <cell r="P355" t="e">
            <v>#DIV/0!</v>
          </cell>
          <cell r="Q355">
            <v>0</v>
          </cell>
        </row>
        <row r="356">
          <cell r="D356" t="str">
            <v>MR031</v>
          </cell>
          <cell r="E356">
            <v>10</v>
          </cell>
          <cell r="G356">
            <v>250</v>
          </cell>
          <cell r="H356">
            <v>0.22463999999999998</v>
          </cell>
          <cell r="I356">
            <v>3</v>
          </cell>
          <cell r="K356">
            <v>5.0049999999999999</v>
          </cell>
          <cell r="M356" t="str">
            <v>IN-A 4501</v>
          </cell>
          <cell r="N356">
            <v>72</v>
          </cell>
          <cell r="O356">
            <v>-72</v>
          </cell>
          <cell r="P356" t="e">
            <v>#DIV/0!</v>
          </cell>
          <cell r="Q356">
            <v>0</v>
          </cell>
        </row>
        <row r="357">
          <cell r="D357" t="str">
            <v>MR032</v>
          </cell>
          <cell r="E357">
            <v>10</v>
          </cell>
          <cell r="G357">
            <v>250</v>
          </cell>
          <cell r="H357">
            <v>0.25584000000000001</v>
          </cell>
          <cell r="I357">
            <v>3</v>
          </cell>
          <cell r="K357">
            <v>6.9809999999999999</v>
          </cell>
          <cell r="M357" t="str">
            <v>IN-A 4502</v>
          </cell>
          <cell r="N357">
            <v>64</v>
          </cell>
          <cell r="O357">
            <v>-64</v>
          </cell>
          <cell r="P357" t="e">
            <v>#DIV/0!</v>
          </cell>
          <cell r="Q357">
            <v>0</v>
          </cell>
        </row>
        <row r="358">
          <cell r="D358" t="str">
            <v>MR033</v>
          </cell>
          <cell r="E358">
            <v>10</v>
          </cell>
          <cell r="G358">
            <v>250</v>
          </cell>
          <cell r="H358">
            <v>0.24959999999999999</v>
          </cell>
          <cell r="I358">
            <v>3.375</v>
          </cell>
          <cell r="K358">
            <v>6.1950000000000003</v>
          </cell>
          <cell r="M358" t="str">
            <v>IN-A 4503</v>
          </cell>
          <cell r="N358">
            <v>54</v>
          </cell>
          <cell r="O358">
            <v>-54</v>
          </cell>
          <cell r="P358" t="e">
            <v>#DIV/0!</v>
          </cell>
          <cell r="Q358">
            <v>0</v>
          </cell>
        </row>
        <row r="359">
          <cell r="D359" t="str">
            <v>MR036</v>
          </cell>
          <cell r="E359">
            <v>10</v>
          </cell>
          <cell r="G359">
            <v>250</v>
          </cell>
          <cell r="H359">
            <v>0.24959999999999999</v>
          </cell>
          <cell r="I359">
            <v>3</v>
          </cell>
          <cell r="K359">
            <v>6.0620000000000003</v>
          </cell>
          <cell r="M359" t="str">
            <v>IN-A 4504</v>
          </cell>
          <cell r="N359">
            <v>5</v>
          </cell>
          <cell r="O359">
            <v>-5</v>
          </cell>
          <cell r="P359" t="e">
            <v>#DIV/0!</v>
          </cell>
          <cell r="Q359">
            <v>0</v>
          </cell>
        </row>
        <row r="360">
          <cell r="D360" t="str">
            <v>MR038</v>
          </cell>
          <cell r="E360">
            <v>10</v>
          </cell>
          <cell r="G360">
            <v>250</v>
          </cell>
          <cell r="H360">
            <v>0.33149999999999996</v>
          </cell>
          <cell r="I360">
            <v>4.2749999999999995</v>
          </cell>
          <cell r="K360">
            <v>8.593</v>
          </cell>
          <cell r="M360" t="str">
            <v>IN-A 4505</v>
          </cell>
          <cell r="N360">
            <v>73</v>
          </cell>
          <cell r="O360">
            <v>-73</v>
          </cell>
          <cell r="P360" t="e">
            <v>#DIV/0!</v>
          </cell>
          <cell r="Q360">
            <v>0</v>
          </cell>
        </row>
        <row r="361">
          <cell r="D361" t="str">
            <v>MR045</v>
          </cell>
          <cell r="E361">
            <v>20</v>
          </cell>
          <cell r="G361">
            <v>250</v>
          </cell>
          <cell r="H361">
            <v>5.0699999999999994</v>
          </cell>
          <cell r="I361">
            <v>1.125</v>
          </cell>
          <cell r="K361">
            <v>1.4239999999999999</v>
          </cell>
          <cell r="M361" t="str">
            <v>IN-A 4506</v>
          </cell>
          <cell r="N361">
            <v>87</v>
          </cell>
          <cell r="O361">
            <v>-87</v>
          </cell>
          <cell r="P361" t="e">
            <v>#DIV/0!</v>
          </cell>
          <cell r="Q361">
            <v>0</v>
          </cell>
        </row>
        <row r="362">
          <cell r="D362" t="str">
            <v>OK4716</v>
          </cell>
          <cell r="E362">
            <v>20</v>
          </cell>
          <cell r="K362">
            <v>1.8460000000000001</v>
          </cell>
          <cell r="M362" t="str">
            <v>IN-A 4507</v>
          </cell>
          <cell r="N362">
            <v>80</v>
          </cell>
          <cell r="O362">
            <v>-80</v>
          </cell>
          <cell r="P362" t="e">
            <v>#DIV/0!</v>
          </cell>
          <cell r="Q362">
            <v>0</v>
          </cell>
        </row>
        <row r="363">
          <cell r="D363" t="str">
            <v>OK4717</v>
          </cell>
          <cell r="E363">
            <v>20</v>
          </cell>
          <cell r="K363">
            <v>1.859</v>
          </cell>
          <cell r="M363" t="str">
            <v>IN-A 4508</v>
          </cell>
          <cell r="N363">
            <v>92</v>
          </cell>
          <cell r="O363">
            <v>-92</v>
          </cell>
          <cell r="P363" t="e">
            <v>#DIV/0!</v>
          </cell>
          <cell r="Q363">
            <v>0</v>
          </cell>
        </row>
        <row r="364">
          <cell r="D364" t="str">
            <v>OK4718</v>
          </cell>
          <cell r="E364">
            <v>20</v>
          </cell>
          <cell r="K364">
            <v>2.7890000000000001</v>
          </cell>
          <cell r="M364" t="str">
            <v>IN-A 4510</v>
          </cell>
          <cell r="N364">
            <v>102</v>
          </cell>
          <cell r="O364">
            <v>-102</v>
          </cell>
          <cell r="P364" t="e">
            <v>#DIV/0!</v>
          </cell>
          <cell r="Q364">
            <v>0</v>
          </cell>
        </row>
        <row r="365">
          <cell r="D365" t="str">
            <v>OK4722</v>
          </cell>
          <cell r="E365">
            <v>20</v>
          </cell>
          <cell r="K365">
            <v>1.8720000000000001</v>
          </cell>
          <cell r="M365" t="str">
            <v>IN-A 4511</v>
          </cell>
          <cell r="N365">
            <v>83</v>
          </cell>
          <cell r="O365">
            <v>-83</v>
          </cell>
          <cell r="P365" t="e">
            <v>#DIV/0!</v>
          </cell>
          <cell r="Q365">
            <v>0</v>
          </cell>
        </row>
        <row r="366">
          <cell r="D366" t="str">
            <v>P010</v>
          </cell>
          <cell r="E366">
            <v>12</v>
          </cell>
          <cell r="F366" t="str">
            <v>U8/8</v>
          </cell>
          <cell r="G366">
            <v>91</v>
          </cell>
          <cell r="H366">
            <v>0.22853999999999997</v>
          </cell>
          <cell r="I366">
            <v>2.25</v>
          </cell>
          <cell r="J366" t="str">
            <v xml:space="preserve"> Emballage</v>
          </cell>
          <cell r="K366">
            <v>5.7264999999999997</v>
          </cell>
          <cell r="M366" t="str">
            <v>IN-C 4501</v>
          </cell>
          <cell r="N366">
            <v>72</v>
          </cell>
          <cell r="O366">
            <v>-72</v>
          </cell>
          <cell r="P366" t="e">
            <v>#DIV/0!</v>
          </cell>
          <cell r="Q366">
            <v>0</v>
          </cell>
        </row>
        <row r="367">
          <cell r="D367" t="str">
            <v>P013</v>
          </cell>
          <cell r="E367">
            <v>20</v>
          </cell>
          <cell r="K367">
            <v>1.1040000000000001</v>
          </cell>
          <cell r="M367" t="str">
            <v>IN-C 4502</v>
          </cell>
          <cell r="N367">
            <v>64</v>
          </cell>
          <cell r="O367">
            <v>-64</v>
          </cell>
          <cell r="P367" t="e">
            <v>#DIV/0!</v>
          </cell>
          <cell r="Q367">
            <v>0</v>
          </cell>
        </row>
        <row r="368">
          <cell r="D368" t="str">
            <v>P031</v>
          </cell>
          <cell r="E368">
            <v>14</v>
          </cell>
          <cell r="F368" t="str">
            <v>BZ14</v>
          </cell>
          <cell r="G368">
            <v>24</v>
          </cell>
          <cell r="H368">
            <v>0.18329999999999996</v>
          </cell>
          <cell r="I368">
            <v>3</v>
          </cell>
          <cell r="J368" t="str">
            <v xml:space="preserve"> Emballage</v>
          </cell>
          <cell r="K368">
            <v>3.1654999999999998</v>
          </cell>
          <cell r="M368" t="str">
            <v>IN-C 4503</v>
          </cell>
          <cell r="N368">
            <v>54</v>
          </cell>
          <cell r="O368">
            <v>-54</v>
          </cell>
          <cell r="P368" t="e">
            <v>#DIV/0!</v>
          </cell>
          <cell r="Q368">
            <v>0</v>
          </cell>
        </row>
        <row r="369">
          <cell r="D369" t="str">
            <v>P039</v>
          </cell>
          <cell r="E369">
            <v>14</v>
          </cell>
          <cell r="F369" t="str">
            <v>BZ14</v>
          </cell>
          <cell r="G369">
            <v>138</v>
          </cell>
          <cell r="H369">
            <v>0.20592000000000002</v>
          </cell>
          <cell r="I369">
            <v>3</v>
          </cell>
          <cell r="J369" t="str">
            <v xml:space="preserve"> Emballage</v>
          </cell>
          <cell r="K369">
            <v>3.2044999999999999</v>
          </cell>
          <cell r="M369" t="str">
            <v>IN-C 4504</v>
          </cell>
          <cell r="N369">
            <v>5</v>
          </cell>
          <cell r="O369">
            <v>-5</v>
          </cell>
          <cell r="P369" t="e">
            <v>#DIV/0!</v>
          </cell>
          <cell r="Q369">
            <v>0</v>
          </cell>
        </row>
        <row r="370">
          <cell r="D370" t="str">
            <v>P057</v>
          </cell>
          <cell r="E370">
            <v>14</v>
          </cell>
          <cell r="F370" t="str">
            <v>BZ14</v>
          </cell>
          <cell r="G370">
            <v>250</v>
          </cell>
          <cell r="H370" t="e">
            <v>#N/A</v>
          </cell>
          <cell r="I370" t="e">
            <v>#N/A</v>
          </cell>
          <cell r="J370" t="e">
            <v>#N/A</v>
          </cell>
          <cell r="K370">
            <v>3</v>
          </cell>
          <cell r="M370" t="str">
            <v>IN-C 4505</v>
          </cell>
          <cell r="N370">
            <v>73</v>
          </cell>
          <cell r="O370">
            <v>-73</v>
          </cell>
          <cell r="P370" t="e">
            <v>#DIV/0!</v>
          </cell>
          <cell r="Q370">
            <v>0</v>
          </cell>
        </row>
        <row r="371">
          <cell r="D371" t="str">
            <v>P057 Piece</v>
          </cell>
          <cell r="E371">
            <v>800</v>
          </cell>
          <cell r="G371">
            <v>250</v>
          </cell>
          <cell r="K371">
            <v>2.1000000000000001E-2</v>
          </cell>
          <cell r="M371" t="str">
            <v>IN-C 4506</v>
          </cell>
          <cell r="N371">
            <v>87</v>
          </cell>
          <cell r="O371">
            <v>-87</v>
          </cell>
          <cell r="P371" t="e">
            <v>#DIV/0!</v>
          </cell>
          <cell r="Q371">
            <v>0</v>
          </cell>
        </row>
        <row r="372">
          <cell r="D372" t="str">
            <v>P057/25</v>
          </cell>
          <cell r="E372">
            <v>14</v>
          </cell>
          <cell r="G372">
            <v>250</v>
          </cell>
          <cell r="H372">
            <v>0.18329999999999996</v>
          </cell>
          <cell r="I372">
            <v>2.25</v>
          </cell>
          <cell r="K372">
            <v>5.9344999999999999</v>
          </cell>
          <cell r="M372" t="str">
            <v>IN-C 4507</v>
          </cell>
          <cell r="N372">
            <v>80</v>
          </cell>
          <cell r="O372">
            <v>-80</v>
          </cell>
          <cell r="P372" t="e">
            <v>#DIV/0!</v>
          </cell>
          <cell r="Q372">
            <v>0</v>
          </cell>
        </row>
        <row r="373">
          <cell r="D373" t="str">
            <v>P063</v>
          </cell>
          <cell r="E373">
            <v>14</v>
          </cell>
          <cell r="F373" t="str">
            <v>BZ14</v>
          </cell>
          <cell r="G373">
            <v>250</v>
          </cell>
          <cell r="H373" t="e">
            <v>#N/A</v>
          </cell>
          <cell r="I373" t="e">
            <v>#N/A</v>
          </cell>
          <cell r="J373" t="e">
            <v>#N/A</v>
          </cell>
          <cell r="K373">
            <v>3</v>
          </cell>
          <cell r="M373" t="str">
            <v>IN-C 4508</v>
          </cell>
          <cell r="N373">
            <v>92</v>
          </cell>
          <cell r="O373">
            <v>-92</v>
          </cell>
          <cell r="P373" t="e">
            <v>#DIV/0!</v>
          </cell>
          <cell r="Q373">
            <v>0</v>
          </cell>
        </row>
        <row r="374">
          <cell r="D374" t="str">
            <v>P063/25</v>
          </cell>
          <cell r="E374">
            <v>14</v>
          </cell>
          <cell r="G374">
            <v>250</v>
          </cell>
          <cell r="H374">
            <v>0.18329999999999996</v>
          </cell>
          <cell r="I374">
            <v>2.25</v>
          </cell>
          <cell r="K374">
            <v>9.0284999999999993</v>
          </cell>
          <cell r="M374" t="str">
            <v>IN-C 4509</v>
          </cell>
          <cell r="N374">
            <v>576</v>
          </cell>
          <cell r="O374">
            <v>-576</v>
          </cell>
          <cell r="P374" t="e">
            <v>#DIV/0!</v>
          </cell>
          <cell r="Q374">
            <v>0</v>
          </cell>
        </row>
        <row r="375">
          <cell r="D375" t="str">
            <v>P063-Piece</v>
          </cell>
          <cell r="E375">
            <v>10</v>
          </cell>
          <cell r="G375">
            <v>250</v>
          </cell>
          <cell r="K375">
            <v>4</v>
          </cell>
          <cell r="M375" t="str">
            <v>FSQ148</v>
          </cell>
          <cell r="N375">
            <v>0</v>
          </cell>
          <cell r="O375">
            <v>0</v>
          </cell>
          <cell r="P375" t="e">
            <v>#DIV/0!</v>
          </cell>
          <cell r="Q375">
            <v>0</v>
          </cell>
        </row>
        <row r="376">
          <cell r="D376" t="str">
            <v>p7015410</v>
          </cell>
          <cell r="E376">
            <v>14</v>
          </cell>
          <cell r="K376">
            <v>1.01</v>
          </cell>
          <cell r="M376" t="str">
            <v>FSQ151</v>
          </cell>
          <cell r="N376">
            <v>0</v>
          </cell>
          <cell r="O376">
            <v>0</v>
          </cell>
          <cell r="P376" t="e">
            <v>#DIV/0!</v>
          </cell>
          <cell r="Q376">
            <v>0</v>
          </cell>
        </row>
        <row r="377">
          <cell r="D377" t="str">
            <v>PA540-777</v>
          </cell>
          <cell r="E377">
            <v>10</v>
          </cell>
          <cell r="K377">
            <v>8.3279999999999994</v>
          </cell>
          <cell r="M377" t="str">
            <v>PI456</v>
          </cell>
          <cell r="N377">
            <v>0</v>
          </cell>
          <cell r="O377">
            <v>0</v>
          </cell>
          <cell r="P377" t="e">
            <v>#DIV/0!</v>
          </cell>
          <cell r="Q377">
            <v>0</v>
          </cell>
        </row>
        <row r="378">
          <cell r="D378" t="str">
            <v>Paillasses</v>
          </cell>
          <cell r="E378">
            <v>15</v>
          </cell>
          <cell r="G378">
            <v>250</v>
          </cell>
          <cell r="K378">
            <v>4</v>
          </cell>
          <cell r="M378" t="str">
            <v>KL7421HS-1.2</v>
          </cell>
          <cell r="N378">
            <v>0</v>
          </cell>
          <cell r="O378">
            <v>0</v>
          </cell>
          <cell r="P378" t="e">
            <v>#DIV/0!</v>
          </cell>
          <cell r="Q378">
            <v>0</v>
          </cell>
        </row>
        <row r="379">
          <cell r="D379" t="str">
            <v>PCN40-45</v>
          </cell>
          <cell r="E379">
            <v>800</v>
          </cell>
          <cell r="K379">
            <v>0.5</v>
          </cell>
          <cell r="M379" t="str">
            <v>KL7421HS-2.5</v>
          </cell>
          <cell r="N379">
            <v>0</v>
          </cell>
          <cell r="O379">
            <v>0</v>
          </cell>
          <cell r="P379" t="e">
            <v>#DIV/0!</v>
          </cell>
          <cell r="Q379">
            <v>0</v>
          </cell>
        </row>
        <row r="380">
          <cell r="D380" t="str">
            <v>PCN40-45</v>
          </cell>
          <cell r="E380">
            <v>800</v>
          </cell>
          <cell r="K380">
            <v>0.123</v>
          </cell>
          <cell r="M380" t="str">
            <v>KL7421HS-3</v>
          </cell>
          <cell r="N380">
            <v>0</v>
          </cell>
          <cell r="O380">
            <v>0</v>
          </cell>
          <cell r="P380" t="e">
            <v>#DIV/0!</v>
          </cell>
          <cell r="Q380">
            <v>0</v>
          </cell>
        </row>
        <row r="381">
          <cell r="D381" t="str">
            <v>PL101</v>
          </cell>
          <cell r="E381">
            <v>20</v>
          </cell>
          <cell r="K381">
            <v>0.90600000000000003</v>
          </cell>
          <cell r="M381" t="str">
            <v>SP6015P1-1.2</v>
          </cell>
          <cell r="N381">
            <v>0</v>
          </cell>
          <cell r="O381">
            <v>0</v>
          </cell>
          <cell r="P381" t="e">
            <v>#DIV/0!</v>
          </cell>
          <cell r="Q381">
            <v>0</v>
          </cell>
        </row>
        <row r="382">
          <cell r="D382" t="str">
            <v>PL102</v>
          </cell>
          <cell r="E382">
            <v>20</v>
          </cell>
          <cell r="K382">
            <v>1.04</v>
          </cell>
          <cell r="M382" t="str">
            <v>SP6015P1-2.5</v>
          </cell>
          <cell r="N382">
            <v>0</v>
          </cell>
          <cell r="O382">
            <v>0</v>
          </cell>
          <cell r="P382" t="e">
            <v>#DIV/0!</v>
          </cell>
          <cell r="Q382">
            <v>0</v>
          </cell>
        </row>
        <row r="383">
          <cell r="D383" t="str">
            <v>PL103</v>
          </cell>
          <cell r="E383">
            <v>20</v>
          </cell>
          <cell r="K383">
            <v>0.66600000000000004</v>
          </cell>
          <cell r="M383" t="str">
            <v>SP6015P1-3</v>
          </cell>
          <cell r="N383">
            <v>0</v>
          </cell>
          <cell r="O383">
            <v>0</v>
          </cell>
          <cell r="P383" t="e">
            <v>#DIV/0!</v>
          </cell>
          <cell r="Q383">
            <v>0</v>
          </cell>
        </row>
        <row r="384">
          <cell r="D384" t="str">
            <v>PL106</v>
          </cell>
          <cell r="E384">
            <v>20</v>
          </cell>
          <cell r="K384">
            <v>2.7719999999999998</v>
          </cell>
          <cell r="M384" t="str">
            <v>PI451</v>
          </cell>
          <cell r="N384">
            <v>0</v>
          </cell>
          <cell r="O384">
            <v>0</v>
          </cell>
          <cell r="P384" t="e">
            <v>#DIV/0!</v>
          </cell>
          <cell r="Q384">
            <v>0</v>
          </cell>
        </row>
        <row r="385">
          <cell r="D385" t="str">
            <v>PL108</v>
          </cell>
          <cell r="E385">
            <v>10</v>
          </cell>
          <cell r="K385">
            <v>10.824</v>
          </cell>
          <cell r="M385" t="str">
            <v>PI452</v>
          </cell>
          <cell r="N385">
            <v>0</v>
          </cell>
          <cell r="O385">
            <v>0</v>
          </cell>
          <cell r="P385" t="e">
            <v>#DIV/0!</v>
          </cell>
          <cell r="Q385">
            <v>0</v>
          </cell>
        </row>
        <row r="386">
          <cell r="D386" t="str">
            <v>PL109</v>
          </cell>
          <cell r="E386">
            <v>20</v>
          </cell>
          <cell r="K386">
            <v>2.286</v>
          </cell>
          <cell r="M386" t="str">
            <v>PI453</v>
          </cell>
          <cell r="N386">
            <v>0</v>
          </cell>
          <cell r="O386">
            <v>0</v>
          </cell>
          <cell r="P386" t="e">
            <v>#DIV/0!</v>
          </cell>
          <cell r="Q386">
            <v>0</v>
          </cell>
        </row>
        <row r="387">
          <cell r="D387" t="str">
            <v>PL110</v>
          </cell>
          <cell r="E387">
            <v>14</v>
          </cell>
          <cell r="K387">
            <v>6.3</v>
          </cell>
          <cell r="M387" t="str">
            <v>PI454</v>
          </cell>
          <cell r="N387">
            <v>0</v>
          </cell>
          <cell r="O387">
            <v>0</v>
          </cell>
          <cell r="P387" t="e">
            <v>#DIV/0!</v>
          </cell>
          <cell r="Q387">
            <v>0</v>
          </cell>
        </row>
        <row r="388">
          <cell r="D388" t="str">
            <v>PL111</v>
          </cell>
          <cell r="E388">
            <v>14</v>
          </cell>
          <cell r="K388">
            <v>5.8019999999999996</v>
          </cell>
          <cell r="M388" t="str">
            <v>PI455</v>
          </cell>
          <cell r="N388">
            <v>0</v>
          </cell>
          <cell r="O388">
            <v>0</v>
          </cell>
          <cell r="P388" t="e">
            <v>#DIV/0!</v>
          </cell>
          <cell r="Q388">
            <v>0</v>
          </cell>
        </row>
        <row r="389">
          <cell r="D389" t="str">
            <v>PL112</v>
          </cell>
          <cell r="E389">
            <v>13</v>
          </cell>
          <cell r="K389">
            <v>7.6950000000000003</v>
          </cell>
          <cell r="M389" t="str">
            <v>DIFF31-1-1</v>
          </cell>
          <cell r="N389">
            <v>0</v>
          </cell>
          <cell r="O389">
            <v>0</v>
          </cell>
          <cell r="P389" t="e">
            <v>#DIV/0!</v>
          </cell>
          <cell r="Q389">
            <v>0</v>
          </cell>
        </row>
        <row r="390">
          <cell r="D390" t="str">
            <v>PL114</v>
          </cell>
          <cell r="E390">
            <v>20</v>
          </cell>
          <cell r="K390">
            <v>1.5</v>
          </cell>
          <cell r="M390" t="str">
            <v>DIFF31-1-2</v>
          </cell>
          <cell r="N390">
            <v>0</v>
          </cell>
          <cell r="O390">
            <v>0</v>
          </cell>
          <cell r="P390" t="e">
            <v>#DIV/0!</v>
          </cell>
          <cell r="Q390">
            <v>0</v>
          </cell>
        </row>
        <row r="391">
          <cell r="D391" t="str">
            <v>Pr6301</v>
          </cell>
          <cell r="E391">
            <v>9</v>
          </cell>
          <cell r="K391">
            <v>11.109</v>
          </cell>
          <cell r="M391" t="str">
            <v>DIFF31-2</v>
          </cell>
          <cell r="N391">
            <v>0</v>
          </cell>
          <cell r="O391">
            <v>0</v>
          </cell>
          <cell r="P391" t="e">
            <v>#DIV/0!</v>
          </cell>
          <cell r="Q391">
            <v>0</v>
          </cell>
        </row>
        <row r="392">
          <cell r="D392" t="str">
            <v>Pr6302</v>
          </cell>
          <cell r="E392">
            <v>10</v>
          </cell>
          <cell r="K392">
            <v>11.967000000000001</v>
          </cell>
          <cell r="M392" t="str">
            <v>SP6015P1</v>
          </cell>
          <cell r="N392">
            <v>329</v>
          </cell>
          <cell r="O392">
            <v>-329</v>
          </cell>
          <cell r="P392" t="e">
            <v>#DIV/0!</v>
          </cell>
          <cell r="Q392">
            <v>0</v>
          </cell>
        </row>
        <row r="393">
          <cell r="D393" t="str">
            <v>Pr6303</v>
          </cell>
          <cell r="E393">
            <v>6</v>
          </cell>
          <cell r="K393">
            <v>15</v>
          </cell>
          <cell r="M393" t="str">
            <v>SP6018P1</v>
          </cell>
          <cell r="N393">
            <v>688</v>
          </cell>
          <cell r="O393">
            <v>-688</v>
          </cell>
          <cell r="P393" t="e">
            <v>#DIV/0!</v>
          </cell>
          <cell r="Q393">
            <v>0</v>
          </cell>
        </row>
        <row r="394">
          <cell r="D394" t="str">
            <v>Pr6304</v>
          </cell>
          <cell r="E394">
            <v>10</v>
          </cell>
          <cell r="K394">
            <v>8.6579999999999995</v>
          </cell>
          <cell r="M394" t="str">
            <v>SP6018P2</v>
          </cell>
          <cell r="N394">
            <v>671</v>
          </cell>
          <cell r="O394">
            <v>-671</v>
          </cell>
          <cell r="P394" t="e">
            <v>#DIV/0!</v>
          </cell>
          <cell r="Q394">
            <v>0</v>
          </cell>
        </row>
        <row r="395">
          <cell r="D395" t="str">
            <v>Pr6305</v>
          </cell>
          <cell r="E395">
            <v>12</v>
          </cell>
          <cell r="K395">
            <v>7.9820000000000002</v>
          </cell>
          <cell r="M395" t="str">
            <v>SP6019P1</v>
          </cell>
          <cell r="N395">
            <v>195</v>
          </cell>
          <cell r="O395">
            <v>-195</v>
          </cell>
          <cell r="P395" t="e">
            <v>#DIV/0!</v>
          </cell>
          <cell r="Q395">
            <v>0</v>
          </cell>
        </row>
        <row r="396">
          <cell r="D396" t="str">
            <v>Pr6307</v>
          </cell>
          <cell r="E396">
            <v>13</v>
          </cell>
          <cell r="K396">
            <v>5.2130000000000001</v>
          </cell>
          <cell r="M396" t="str">
            <v>KL7420</v>
          </cell>
          <cell r="N396">
            <v>811</v>
          </cell>
          <cell r="O396">
            <v>5</v>
          </cell>
          <cell r="P396">
            <v>6.1274509803921568E-3</v>
          </cell>
          <cell r="Q396">
            <v>0</v>
          </cell>
        </row>
        <row r="397">
          <cell r="D397" t="str">
            <v>Pr6308</v>
          </cell>
          <cell r="E397">
            <v>6</v>
          </cell>
          <cell r="K397">
            <v>15.009</v>
          </cell>
          <cell r="M397" t="str">
            <v>SP6001</v>
          </cell>
          <cell r="N397">
            <v>0</v>
          </cell>
          <cell r="O397" t="str">
            <v xml:space="preserve"> </v>
          </cell>
          <cell r="P397" t="e">
            <v>#VALUE!</v>
          </cell>
          <cell r="Q397">
            <v>0</v>
          </cell>
        </row>
        <row r="398">
          <cell r="D398" t="str">
            <v>Pr6310</v>
          </cell>
          <cell r="E398">
            <v>20</v>
          </cell>
          <cell r="K398">
            <v>2.262</v>
          </cell>
          <cell r="M398" t="str">
            <v>SP6001P1</v>
          </cell>
          <cell r="N398">
            <v>280</v>
          </cell>
          <cell r="O398">
            <v>-280</v>
          </cell>
          <cell r="P398" t="e">
            <v>#DIV/0!</v>
          </cell>
          <cell r="Q398">
            <v>0</v>
          </cell>
        </row>
        <row r="399">
          <cell r="D399" t="str">
            <v>Pr6311</v>
          </cell>
          <cell r="E399">
            <v>20</v>
          </cell>
          <cell r="K399">
            <v>1.736</v>
          </cell>
          <cell r="M399" t="str">
            <v>SP6002</v>
          </cell>
          <cell r="N399">
            <v>0</v>
          </cell>
          <cell r="O399">
            <v>2</v>
          </cell>
          <cell r="P399">
            <v>1</v>
          </cell>
          <cell r="Q399">
            <v>0</v>
          </cell>
        </row>
        <row r="400">
          <cell r="D400" t="str">
            <v>PRN40-45</v>
          </cell>
          <cell r="E400">
            <v>800</v>
          </cell>
          <cell r="K400">
            <v>0.5</v>
          </cell>
          <cell r="M400" t="str">
            <v>SP6002P1</v>
          </cell>
          <cell r="N400">
            <v>612</v>
          </cell>
          <cell r="O400">
            <v>-612</v>
          </cell>
          <cell r="P400" t="e">
            <v>#DIV/0!</v>
          </cell>
          <cell r="Q400">
            <v>0</v>
          </cell>
        </row>
        <row r="401">
          <cell r="D401" t="str">
            <v>PS6007</v>
          </cell>
          <cell r="E401">
            <v>14</v>
          </cell>
          <cell r="K401">
            <v>1</v>
          </cell>
          <cell r="M401" t="str">
            <v>SP6003</v>
          </cell>
          <cell r="N401">
            <v>0</v>
          </cell>
          <cell r="O401">
            <v>0</v>
          </cell>
          <cell r="P401" t="e">
            <v>#DIV/0!</v>
          </cell>
          <cell r="Q401">
            <v>0</v>
          </cell>
        </row>
        <row r="402">
          <cell r="D402" t="str">
            <v>SP6001</v>
          </cell>
          <cell r="E402">
            <v>14</v>
          </cell>
          <cell r="K402">
            <v>8.1509999999999998</v>
          </cell>
          <cell r="M402" t="str">
            <v>SP6003P1</v>
          </cell>
          <cell r="N402">
            <v>534</v>
          </cell>
          <cell r="O402">
            <v>-534</v>
          </cell>
          <cell r="P402" t="e">
            <v>#DIV/0!</v>
          </cell>
          <cell r="Q402">
            <v>0</v>
          </cell>
        </row>
        <row r="403">
          <cell r="D403" t="str">
            <v>SP6002</v>
          </cell>
          <cell r="E403">
            <v>20</v>
          </cell>
          <cell r="K403">
            <v>1.6659999999999999</v>
          </cell>
          <cell r="M403" t="str">
            <v>SP6004P1</v>
          </cell>
          <cell r="N403">
            <v>392</v>
          </cell>
          <cell r="O403">
            <v>-392</v>
          </cell>
          <cell r="P403" t="e">
            <v>#DIV/0!</v>
          </cell>
          <cell r="Q403">
            <v>0</v>
          </cell>
        </row>
        <row r="404">
          <cell r="D404" t="str">
            <v>SP6003</v>
          </cell>
          <cell r="E404">
            <v>20</v>
          </cell>
          <cell r="K404">
            <v>1.484</v>
          </cell>
          <cell r="M404" t="str">
            <v>SP6005P1</v>
          </cell>
          <cell r="N404">
            <v>123</v>
          </cell>
          <cell r="O404">
            <v>-123</v>
          </cell>
          <cell r="P404" t="e">
            <v>#DIV/0!</v>
          </cell>
          <cell r="Q404">
            <v>0</v>
          </cell>
        </row>
        <row r="405">
          <cell r="D405" t="str">
            <v>SP6004</v>
          </cell>
          <cell r="E405">
            <v>20</v>
          </cell>
          <cell r="K405">
            <v>1.6539999999999999</v>
          </cell>
          <cell r="M405" t="str">
            <v>SP6006P1</v>
          </cell>
          <cell r="N405">
            <v>343</v>
          </cell>
          <cell r="O405">
            <v>-343</v>
          </cell>
          <cell r="P405" t="e">
            <v>#DIV/0!</v>
          </cell>
          <cell r="Q405">
            <v>0</v>
          </cell>
        </row>
        <row r="406">
          <cell r="D406" t="str">
            <v>SP6005</v>
          </cell>
          <cell r="E406">
            <v>20</v>
          </cell>
          <cell r="K406">
            <v>2.0099999999999998</v>
          </cell>
          <cell r="M406" t="str">
            <v>SP6007</v>
          </cell>
          <cell r="N406">
            <v>0</v>
          </cell>
          <cell r="O406">
            <v>0</v>
          </cell>
          <cell r="P406" t="e">
            <v>#DIV/0!</v>
          </cell>
          <cell r="Q406">
            <v>0</v>
          </cell>
        </row>
        <row r="407">
          <cell r="D407" t="str">
            <v>SP6006</v>
          </cell>
          <cell r="E407">
            <v>20</v>
          </cell>
          <cell r="K407">
            <v>1.3879999999999999</v>
          </cell>
          <cell r="M407" t="str">
            <v>SP6007P1</v>
          </cell>
          <cell r="N407">
            <v>155</v>
          </cell>
          <cell r="O407">
            <v>-155</v>
          </cell>
          <cell r="P407" t="e">
            <v>#DIV/0!</v>
          </cell>
          <cell r="Q407">
            <v>0</v>
          </cell>
        </row>
        <row r="408">
          <cell r="D408" t="str">
            <v>T054-12</v>
          </cell>
          <cell r="E408">
            <v>800</v>
          </cell>
          <cell r="K408">
            <v>1.4999999999999999E-2</v>
          </cell>
          <cell r="M408" t="str">
            <v>SP6009P1</v>
          </cell>
          <cell r="N408">
            <v>98</v>
          </cell>
          <cell r="O408">
            <v>-98</v>
          </cell>
          <cell r="P408" t="e">
            <v>#DIV/0!</v>
          </cell>
          <cell r="Q408">
            <v>0</v>
          </cell>
        </row>
        <row r="409">
          <cell r="D409" t="str">
            <v>Tringle G6005791(T1120020)</v>
          </cell>
          <cell r="E409">
            <v>20</v>
          </cell>
          <cell r="F409" t="str">
            <v>TTT</v>
          </cell>
          <cell r="G409">
            <v>250</v>
          </cell>
          <cell r="K409">
            <v>4</v>
          </cell>
          <cell r="M409" t="str">
            <v>SP6009P2</v>
          </cell>
          <cell r="N409">
            <v>103</v>
          </cell>
          <cell r="O409">
            <v>-103</v>
          </cell>
          <cell r="P409" t="e">
            <v>#DIV/0!</v>
          </cell>
          <cell r="Q409">
            <v>0</v>
          </cell>
        </row>
        <row r="410">
          <cell r="D410" t="str">
            <v>Tringle G6005792(T1120025</v>
          </cell>
          <cell r="E410">
            <v>20</v>
          </cell>
          <cell r="F410" t="str">
            <v>TTT</v>
          </cell>
          <cell r="G410">
            <v>250</v>
          </cell>
          <cell r="K410">
            <v>4</v>
          </cell>
          <cell r="M410" t="str">
            <v>SP6010P2</v>
          </cell>
          <cell r="N410">
            <v>56</v>
          </cell>
          <cell r="O410">
            <v>-56</v>
          </cell>
          <cell r="P410" t="e">
            <v>#DIV/0!</v>
          </cell>
          <cell r="Q410">
            <v>0</v>
          </cell>
        </row>
        <row r="411">
          <cell r="D411" t="str">
            <v>BL772</v>
          </cell>
          <cell r="E411">
            <v>6</v>
          </cell>
          <cell r="K411">
            <v>17.38</v>
          </cell>
          <cell r="M411" t="str">
            <v>SP6012P1</v>
          </cell>
          <cell r="N411">
            <v>113</v>
          </cell>
          <cell r="O411">
            <v>-113</v>
          </cell>
          <cell r="P411" t="e">
            <v>#DIV/0!</v>
          </cell>
          <cell r="Q411">
            <v>0</v>
          </cell>
        </row>
        <row r="412">
          <cell r="D412" t="str">
            <v>AL15401</v>
          </cell>
          <cell r="E412">
            <v>6</v>
          </cell>
          <cell r="K412">
            <v>19.760999999999999</v>
          </cell>
          <cell r="M412" t="str">
            <v>DIFF-SL300-1</v>
          </cell>
          <cell r="O412">
            <v>0</v>
          </cell>
          <cell r="P412" t="e">
            <v>#DIV/0!</v>
          </cell>
          <cell r="Q412">
            <v>0</v>
          </cell>
        </row>
        <row r="413">
          <cell r="D413" t="str">
            <v>AL15403</v>
          </cell>
          <cell r="E413">
            <v>10</v>
          </cell>
          <cell r="K413">
            <v>12.163</v>
          </cell>
          <cell r="M413" t="str">
            <v>CL3002</v>
          </cell>
          <cell r="N413">
            <v>231</v>
          </cell>
          <cell r="O413">
            <v>-231</v>
          </cell>
          <cell r="P413" t="e">
            <v>#DIV/0!</v>
          </cell>
          <cell r="Q413">
            <v>0</v>
          </cell>
        </row>
        <row r="414">
          <cell r="D414" t="str">
            <v>AL15404</v>
          </cell>
          <cell r="E414">
            <v>14</v>
          </cell>
          <cell r="K414">
            <v>7.6210000000000004</v>
          </cell>
          <cell r="M414" t="str">
            <v>CL3003</v>
          </cell>
          <cell r="N414">
            <v>203</v>
          </cell>
          <cell r="O414">
            <v>-203</v>
          </cell>
          <cell r="P414" t="e">
            <v>#DIV/0!</v>
          </cell>
          <cell r="Q414">
            <v>0</v>
          </cell>
        </row>
        <row r="415">
          <cell r="D415" t="str">
            <v>AL15413</v>
          </cell>
          <cell r="E415">
            <v>14</v>
          </cell>
          <cell r="K415">
            <v>3.3180000000000001</v>
          </cell>
          <cell r="M415" t="str">
            <v>CL3004</v>
          </cell>
          <cell r="N415">
            <v>125</v>
          </cell>
          <cell r="O415">
            <v>-125</v>
          </cell>
          <cell r="P415" t="e">
            <v>#DIV/0!</v>
          </cell>
          <cell r="Q415">
            <v>0</v>
          </cell>
        </row>
        <row r="416">
          <cell r="D416" t="str">
            <v>AL15415</v>
          </cell>
          <cell r="E416">
            <v>14</v>
          </cell>
          <cell r="K416">
            <v>3.2130000000000001</v>
          </cell>
          <cell r="M416" t="str">
            <v>GLMV2100</v>
          </cell>
          <cell r="O416">
            <v>0</v>
          </cell>
          <cell r="P416" t="e">
            <v>#DIV/0!</v>
          </cell>
          <cell r="Q416">
            <v>0</v>
          </cell>
        </row>
        <row r="417">
          <cell r="D417" t="str">
            <v>AL15416</v>
          </cell>
          <cell r="E417">
            <v>20</v>
          </cell>
          <cell r="K417">
            <v>1.58</v>
          </cell>
        </row>
        <row r="418">
          <cell r="D418" t="str">
            <v>DS001</v>
          </cell>
          <cell r="E418">
            <v>20</v>
          </cell>
          <cell r="K418">
            <v>1.2809999999999999</v>
          </cell>
        </row>
        <row r="419">
          <cell r="D419" t="str">
            <v>P007</v>
          </cell>
          <cell r="E419">
            <v>20</v>
          </cell>
          <cell r="K419">
            <v>1.58</v>
          </cell>
          <cell r="O419" t="str">
            <v xml:space="preserve">   </v>
          </cell>
        </row>
        <row r="420">
          <cell r="D420" t="str">
            <v>P006</v>
          </cell>
          <cell r="E420">
            <v>14</v>
          </cell>
          <cell r="K420">
            <v>1</v>
          </cell>
        </row>
        <row r="421">
          <cell r="D421" t="str">
            <v>OK4719</v>
          </cell>
          <cell r="E421">
            <v>20</v>
          </cell>
          <cell r="K421">
            <v>0.91</v>
          </cell>
        </row>
        <row r="422">
          <cell r="D422" t="str">
            <v>OK4721</v>
          </cell>
          <cell r="E422">
            <v>20</v>
          </cell>
          <cell r="K422">
            <v>1.7749999999999999</v>
          </cell>
        </row>
        <row r="423">
          <cell r="D423" t="str">
            <v>MR021</v>
          </cell>
          <cell r="E423">
            <v>14</v>
          </cell>
          <cell r="K423">
            <v>4.9249999999999998</v>
          </cell>
        </row>
        <row r="424">
          <cell r="D424" t="str">
            <v>CSQ538</v>
          </cell>
          <cell r="E424">
            <v>12</v>
          </cell>
          <cell r="K424">
            <v>5.2779999999999996</v>
          </cell>
        </row>
        <row r="425">
          <cell r="D425" t="str">
            <v>CSQ538</v>
          </cell>
          <cell r="E425">
            <v>12</v>
          </cell>
          <cell r="K425">
            <v>5.2779999999999996</v>
          </cell>
        </row>
        <row r="426">
          <cell r="D426" t="str">
            <v>FSQ460</v>
          </cell>
          <cell r="E426">
            <v>20</v>
          </cell>
          <cell r="K426">
            <v>2.4180000000000001</v>
          </cell>
        </row>
        <row r="427">
          <cell r="D427" t="str">
            <v>FSQ534</v>
          </cell>
          <cell r="E427">
            <v>20</v>
          </cell>
          <cell r="K427">
            <v>2.0219999999999998</v>
          </cell>
        </row>
        <row r="428">
          <cell r="D428" t="str">
            <v>FSQ534</v>
          </cell>
          <cell r="E428">
            <v>20</v>
          </cell>
          <cell r="K428">
            <v>2.0219999999999998</v>
          </cell>
        </row>
        <row r="429">
          <cell r="D429" t="str">
            <v>FSQ535</v>
          </cell>
          <cell r="E429">
            <v>14</v>
          </cell>
          <cell r="K429">
            <v>4.5694999999999997</v>
          </cell>
        </row>
        <row r="430">
          <cell r="D430" t="str">
            <v>KLHS7421</v>
          </cell>
          <cell r="E430">
            <v>20</v>
          </cell>
          <cell r="K430">
            <v>0.1</v>
          </cell>
        </row>
        <row r="431">
          <cell r="D431" t="str">
            <v>PL105</v>
          </cell>
          <cell r="E431">
            <v>20</v>
          </cell>
          <cell r="K431">
            <v>2.298</v>
          </cell>
        </row>
        <row r="432">
          <cell r="D432" t="str">
            <v>PL105</v>
          </cell>
          <cell r="E432">
            <v>20</v>
          </cell>
          <cell r="K432">
            <v>2.298</v>
          </cell>
        </row>
        <row r="433">
          <cell r="D433" t="str">
            <v>DS004</v>
          </cell>
          <cell r="E433">
            <v>20</v>
          </cell>
          <cell r="K433">
            <v>0.67200000000000004</v>
          </cell>
        </row>
        <row r="434">
          <cell r="D434" t="str">
            <v>DS004</v>
          </cell>
          <cell r="E434">
            <v>20</v>
          </cell>
          <cell r="K434">
            <v>0.67200000000000004</v>
          </cell>
        </row>
        <row r="435">
          <cell r="D435" t="str">
            <v>FSQ460</v>
          </cell>
          <cell r="E435">
            <v>20</v>
          </cell>
          <cell r="K435">
            <v>2.4180000000000001</v>
          </cell>
        </row>
        <row r="436">
          <cell r="D436" t="str">
            <v>FSQ534</v>
          </cell>
          <cell r="E436">
            <v>20</v>
          </cell>
          <cell r="K436">
            <v>2.0219999999999998</v>
          </cell>
        </row>
        <row r="437">
          <cell r="D437" t="str">
            <v>FSQ535</v>
          </cell>
          <cell r="E437">
            <v>14</v>
          </cell>
          <cell r="K437">
            <v>4.5694999999999997</v>
          </cell>
        </row>
        <row r="438">
          <cell r="D438" t="str">
            <v>FSQ536</v>
          </cell>
          <cell r="E438">
            <v>12</v>
          </cell>
          <cell r="K438">
            <v>5.5315000000000003</v>
          </cell>
        </row>
        <row r="439">
          <cell r="D439" t="str">
            <v>PI451</v>
          </cell>
          <cell r="E439">
            <v>20</v>
          </cell>
          <cell r="K439">
            <v>1.1579999999999999</v>
          </cell>
        </row>
        <row r="440">
          <cell r="D440" t="str">
            <v>PI452</v>
          </cell>
          <cell r="E440">
            <v>14</v>
          </cell>
          <cell r="K440">
            <v>4.7880000000000003</v>
          </cell>
        </row>
        <row r="441">
          <cell r="D441" t="str">
            <v>PI453</v>
          </cell>
          <cell r="E441">
            <v>12</v>
          </cell>
          <cell r="K441">
            <v>5.1420000000000003</v>
          </cell>
        </row>
        <row r="442">
          <cell r="D442" t="str">
            <v>PI455</v>
          </cell>
          <cell r="E442">
            <v>14</v>
          </cell>
          <cell r="K442">
            <v>4.8780000000000001</v>
          </cell>
        </row>
        <row r="443">
          <cell r="D443" t="str">
            <v>FSQ534</v>
          </cell>
          <cell r="E443">
            <v>20</v>
          </cell>
          <cell r="K443">
            <v>2.0219999999999998</v>
          </cell>
        </row>
        <row r="444">
          <cell r="D444" t="str">
            <v>AL15410</v>
          </cell>
          <cell r="E444">
            <v>5</v>
          </cell>
          <cell r="K444">
            <v>10.162000000000001</v>
          </cell>
        </row>
        <row r="445">
          <cell r="D445" t="str">
            <v>AL15411</v>
          </cell>
          <cell r="E445">
            <v>14</v>
          </cell>
          <cell r="K445">
            <v>3.9609999999999999</v>
          </cell>
        </row>
        <row r="446">
          <cell r="D446" t="str">
            <v>AL15412</v>
          </cell>
          <cell r="E446">
            <v>14</v>
          </cell>
          <cell r="K446">
            <v>3.6659999999999999</v>
          </cell>
        </row>
        <row r="447">
          <cell r="D447" t="str">
            <v>AL15418</v>
          </cell>
          <cell r="E447">
            <v>20</v>
          </cell>
          <cell r="K447">
            <v>0.98599999999999999</v>
          </cell>
        </row>
        <row r="448">
          <cell r="D448" t="str">
            <v>AL15420</v>
          </cell>
          <cell r="E448">
            <v>5</v>
          </cell>
          <cell r="K448">
            <v>19.760999999999999</v>
          </cell>
        </row>
        <row r="449">
          <cell r="D449" t="str">
            <v>AL15422</v>
          </cell>
          <cell r="E449">
            <v>5</v>
          </cell>
          <cell r="K449">
            <v>19.760999999999999</v>
          </cell>
        </row>
        <row r="450">
          <cell r="D450" t="str">
            <v>CSQ537</v>
          </cell>
          <cell r="E450">
            <v>10</v>
          </cell>
          <cell r="K450">
            <v>6.1950000000000003</v>
          </cell>
        </row>
        <row r="451">
          <cell r="D451" t="str">
            <v>DS004-120</v>
          </cell>
          <cell r="E451">
            <v>20</v>
          </cell>
          <cell r="K451">
            <v>0.67200000000000004</v>
          </cell>
        </row>
        <row r="452">
          <cell r="D452" t="str">
            <v>f50-200</v>
          </cell>
          <cell r="E452">
            <v>10</v>
          </cell>
          <cell r="K452">
            <v>5.0199999999999996</v>
          </cell>
        </row>
        <row r="453">
          <cell r="D453" t="str">
            <v>KL7406</v>
          </cell>
          <cell r="E453">
            <v>10</v>
          </cell>
          <cell r="K453">
            <v>8.7360000000000007</v>
          </cell>
        </row>
        <row r="454">
          <cell r="D454" t="str">
            <v>OK4720</v>
          </cell>
          <cell r="E454">
            <v>14</v>
          </cell>
          <cell r="K454">
            <v>3.5619999999999998</v>
          </cell>
        </row>
        <row r="455">
          <cell r="D455" t="str">
            <v>TC40x40x1</v>
          </cell>
          <cell r="E455">
            <v>14</v>
          </cell>
          <cell r="K455">
            <v>4.056</v>
          </cell>
        </row>
        <row r="456">
          <cell r="D456" t="str">
            <v>PL113</v>
          </cell>
          <cell r="E456">
            <v>10</v>
          </cell>
          <cell r="K456">
            <v>5.63</v>
          </cell>
        </row>
        <row r="457">
          <cell r="D457" t="str">
            <v>OK4725</v>
          </cell>
          <cell r="E457">
            <v>20</v>
          </cell>
          <cell r="K457">
            <v>1.63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7279-27D0-4671-BEE5-19B0D98F1E74}">
  <dimension ref="A1:AE604"/>
  <sheetViews>
    <sheetView tabSelected="1" topLeftCell="A554" zoomScale="70" zoomScaleNormal="70" workbookViewId="0">
      <selection activeCell="AA605" sqref="AA605"/>
    </sheetView>
  </sheetViews>
  <sheetFormatPr baseColWidth="10" defaultRowHeight="15" x14ac:dyDescent="0.25"/>
  <sheetData>
    <row r="1" spans="1:31" ht="30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8" t="s">
        <v>29</v>
      </c>
      <c r="AE1" s="9"/>
    </row>
    <row r="2" spans="1:31" x14ac:dyDescent="0.25">
      <c r="A2" s="10" t="s">
        <v>30</v>
      </c>
      <c r="B2" s="11">
        <v>46261.546631944446</v>
      </c>
      <c r="C2" s="12" t="s">
        <v>31</v>
      </c>
      <c r="D2" s="12" t="s">
        <v>32</v>
      </c>
      <c r="E2" s="13" t="str">
        <f t="shared" ref="E2:E65" si="0">_xlfn.TEXTBEFORE(D2, "-", -1, 1, , D2)</f>
        <v>CO104</v>
      </c>
      <c r="F2" s="14" t="str">
        <f t="shared" ref="F2:F65" si="1">_xlfn.TEXTAFTER(D2, "-", -1, 1, , "")</f>
        <v>FRENE</v>
      </c>
      <c r="G2" s="14">
        <f>+VLOOKUP(F2,[1]base!A:B,2,0)</f>
        <v>0.5</v>
      </c>
      <c r="H2" s="14">
        <v>1</v>
      </c>
      <c r="I2" s="14">
        <v>1</v>
      </c>
      <c r="J2" s="14"/>
      <c r="K2" s="14" t="s">
        <v>33</v>
      </c>
      <c r="L2" s="14" t="s">
        <v>34</v>
      </c>
      <c r="M2" s="14" t="s">
        <v>35</v>
      </c>
      <c r="N2" s="14">
        <v>1</v>
      </c>
      <c r="O2" s="14">
        <v>1</v>
      </c>
      <c r="P2" s="14">
        <v>0</v>
      </c>
      <c r="Q2" s="14">
        <v>0</v>
      </c>
      <c r="R2" s="14">
        <v>0</v>
      </c>
      <c r="S2" s="14"/>
      <c r="T2" s="15">
        <v>1</v>
      </c>
      <c r="U2" s="16"/>
      <c r="V2" s="17">
        <v>701</v>
      </c>
      <c r="W2" s="17">
        <f t="shared" ref="W2:W65" si="2">(T2+U2)*V2</f>
        <v>701</v>
      </c>
      <c r="X2" s="17">
        <f t="shared" ref="X2:X65" si="3">+W2*0.052</f>
        <v>36.451999999999998</v>
      </c>
      <c r="Y2" s="17">
        <v>706</v>
      </c>
      <c r="Z2" s="17">
        <f t="shared" ref="Z2:Z65" si="4">ROUNDUP(T2/Y2,0)</f>
        <v>1</v>
      </c>
      <c r="AA2" s="17">
        <f t="shared" ref="AA2:AA65" si="5">+Z2*0.0666666666666667</f>
        <v>6.6666666666666693E-2</v>
      </c>
      <c r="AB2" s="17">
        <f>+VLOOKUP(E2,[1]base!M:N,2,0)</f>
        <v>1</v>
      </c>
      <c r="AC2" s="17">
        <f>+VLOOKUP(E2,[1]base!M:Q,5,0)</f>
        <v>344.5</v>
      </c>
      <c r="AD2" s="18">
        <f>+VLOOKUP(E2,[1]base!M:P,4,0)</f>
        <v>0.66666666666666663</v>
      </c>
      <c r="AE2" s="19">
        <f t="shared" ref="AE2:AE65" si="6">+AB2*(30%-AD2)</f>
        <v>-0.36666666666666664</v>
      </c>
    </row>
    <row r="3" spans="1:31" x14ac:dyDescent="0.25">
      <c r="A3" s="10" t="s">
        <v>30</v>
      </c>
      <c r="B3" s="11">
        <v>46261.546631944446</v>
      </c>
      <c r="C3" s="12" t="s">
        <v>31</v>
      </c>
      <c r="D3" s="12" t="s">
        <v>36</v>
      </c>
      <c r="E3" s="13" t="str">
        <f t="shared" si="0"/>
        <v>CO105</v>
      </c>
      <c r="F3" s="14" t="str">
        <f t="shared" si="1"/>
        <v>FRENE</v>
      </c>
      <c r="G3" s="14">
        <f>+VLOOKUP(F3,[1]base!A:B,2,0)</f>
        <v>0.5</v>
      </c>
      <c r="H3" s="14">
        <v>1</v>
      </c>
      <c r="I3" s="14">
        <v>1</v>
      </c>
      <c r="J3" s="14"/>
      <c r="K3" s="14" t="s">
        <v>33</v>
      </c>
      <c r="L3" s="14" t="s">
        <v>37</v>
      </c>
      <c r="M3" s="14" t="s">
        <v>35</v>
      </c>
      <c r="N3" s="14">
        <v>1</v>
      </c>
      <c r="O3" s="14">
        <v>1</v>
      </c>
      <c r="P3" s="14">
        <v>0</v>
      </c>
      <c r="Q3" s="14">
        <v>0</v>
      </c>
      <c r="R3" s="14">
        <v>0</v>
      </c>
      <c r="S3" s="14"/>
      <c r="T3" s="15">
        <v>1</v>
      </c>
      <c r="U3" s="16"/>
      <c r="V3" s="17">
        <v>702</v>
      </c>
      <c r="W3" s="17">
        <f t="shared" si="2"/>
        <v>702</v>
      </c>
      <c r="X3" s="17">
        <f t="shared" si="3"/>
        <v>36.503999999999998</v>
      </c>
      <c r="Y3" s="17">
        <v>707</v>
      </c>
      <c r="Z3" s="17">
        <f t="shared" si="4"/>
        <v>1</v>
      </c>
      <c r="AA3" s="17">
        <f t="shared" si="5"/>
        <v>6.6666666666666693E-2</v>
      </c>
      <c r="AB3" s="17">
        <f>+VLOOKUP(E3,[1]base!M:N,2,0)</f>
        <v>6</v>
      </c>
      <c r="AC3" s="17">
        <f>+VLOOKUP(E3,[1]base!M:Q,5,0)</f>
        <v>375.1</v>
      </c>
      <c r="AD3" s="18">
        <f>+VLOOKUP(E3,[1]base!M:P,4,0)</f>
        <v>0.96923076923076923</v>
      </c>
      <c r="AE3" s="19">
        <f t="shared" si="6"/>
        <v>-4.0153846153846153</v>
      </c>
    </row>
    <row r="4" spans="1:31" x14ac:dyDescent="0.25">
      <c r="A4" s="10" t="s">
        <v>38</v>
      </c>
      <c r="B4" s="11">
        <v>46268.40115740741</v>
      </c>
      <c r="C4" s="12" t="s">
        <v>39</v>
      </c>
      <c r="D4" s="12" t="s">
        <v>40</v>
      </c>
      <c r="E4" s="13" t="str">
        <f t="shared" si="0"/>
        <v>FR148</v>
      </c>
      <c r="F4" s="14" t="str">
        <f t="shared" si="1"/>
        <v>FRENE</v>
      </c>
      <c r="G4" s="14">
        <f>+VLOOKUP(F4,[1]base!A:B,2,0)</f>
        <v>0.5</v>
      </c>
      <c r="H4" s="14">
        <v>1</v>
      </c>
      <c r="I4" s="14">
        <v>1</v>
      </c>
      <c r="J4" s="14"/>
      <c r="K4" s="14" t="s">
        <v>33</v>
      </c>
      <c r="L4" s="14" t="s">
        <v>41</v>
      </c>
      <c r="M4" s="14" t="s">
        <v>35</v>
      </c>
      <c r="N4" s="14">
        <v>1</v>
      </c>
      <c r="O4" s="14">
        <v>1</v>
      </c>
      <c r="P4" s="14">
        <v>0</v>
      </c>
      <c r="Q4" s="14">
        <v>0</v>
      </c>
      <c r="R4" s="14">
        <v>0</v>
      </c>
      <c r="S4" s="14"/>
      <c r="T4" s="15">
        <v>1</v>
      </c>
      <c r="U4" s="16"/>
      <c r="V4" s="17">
        <v>1082</v>
      </c>
      <c r="W4" s="17">
        <f t="shared" si="2"/>
        <v>1082</v>
      </c>
      <c r="X4" s="17">
        <f t="shared" si="3"/>
        <v>56.263999999999996</v>
      </c>
      <c r="Y4" s="17">
        <v>1087</v>
      </c>
      <c r="Z4" s="17">
        <f t="shared" si="4"/>
        <v>1</v>
      </c>
      <c r="AA4" s="17">
        <f t="shared" si="5"/>
        <v>6.6666666666666693E-2</v>
      </c>
      <c r="AB4" s="17">
        <f>+VLOOKUP(E4,[1]base!M:N,2,0)</f>
        <v>18</v>
      </c>
      <c r="AC4" s="17">
        <f>+VLOOKUP(E4,[1]base!M:Q,5,0)</f>
        <v>92.285714285714292</v>
      </c>
      <c r="AD4" s="18">
        <f>+VLOOKUP(E4,[1]base!M:P,4,0)</f>
        <v>0.53846153846153844</v>
      </c>
      <c r="AE4" s="19">
        <f t="shared" si="6"/>
        <v>-4.2923076923076922</v>
      </c>
    </row>
    <row r="5" spans="1:31" x14ac:dyDescent="0.25">
      <c r="A5" s="10" t="s">
        <v>42</v>
      </c>
      <c r="B5" s="11">
        <v>46263.282349537039</v>
      </c>
      <c r="C5" s="12" t="s">
        <v>43</v>
      </c>
      <c r="D5" s="12" t="s">
        <v>44</v>
      </c>
      <c r="E5" s="13" t="str">
        <f t="shared" si="0"/>
        <v>AL80104</v>
      </c>
      <c r="F5" s="14" t="str">
        <f t="shared" si="1"/>
        <v>FRENE</v>
      </c>
      <c r="G5" s="14">
        <f>+VLOOKUP(F5,[1]base!A:B,2,0)</f>
        <v>0.5</v>
      </c>
      <c r="H5" s="14">
        <v>1</v>
      </c>
      <c r="I5" s="14">
        <v>1</v>
      </c>
      <c r="J5" s="14"/>
      <c r="K5" s="14" t="s">
        <v>33</v>
      </c>
      <c r="L5" s="14" t="s">
        <v>45</v>
      </c>
      <c r="M5" s="14" t="s">
        <v>35</v>
      </c>
      <c r="N5" s="14">
        <v>1</v>
      </c>
      <c r="O5" s="14">
        <v>1</v>
      </c>
      <c r="P5" s="14">
        <v>0</v>
      </c>
      <c r="Q5" s="14">
        <v>0</v>
      </c>
      <c r="R5" s="14">
        <v>0</v>
      </c>
      <c r="S5" s="14"/>
      <c r="T5" s="15">
        <v>1</v>
      </c>
      <c r="U5" s="16"/>
      <c r="V5" s="17">
        <v>741</v>
      </c>
      <c r="W5" s="17">
        <f t="shared" si="2"/>
        <v>741</v>
      </c>
      <c r="X5" s="17">
        <f t="shared" si="3"/>
        <v>38.531999999999996</v>
      </c>
      <c r="Y5" s="17">
        <v>746</v>
      </c>
      <c r="Z5" s="17">
        <f t="shared" si="4"/>
        <v>1</v>
      </c>
      <c r="AA5" s="17">
        <f t="shared" si="5"/>
        <v>6.6666666666666693E-2</v>
      </c>
      <c r="AB5" s="17">
        <f>+VLOOKUP(E5,[1]base!M:N,2,0)</f>
        <v>149</v>
      </c>
      <c r="AC5" s="17">
        <f>+VLOOKUP(E5,[1]base!M:Q,5,0)</f>
        <v>17.5</v>
      </c>
      <c r="AD5" s="18">
        <f>+VLOOKUP(E5,[1]base!M:P,4,0)</f>
        <v>0.20320855614973263</v>
      </c>
      <c r="AE5" s="19">
        <f t="shared" si="6"/>
        <v>14.421925133689836</v>
      </c>
    </row>
    <row r="6" spans="1:31" x14ac:dyDescent="0.25">
      <c r="A6" s="10" t="s">
        <v>42</v>
      </c>
      <c r="B6" s="11">
        <v>46263.282349537039</v>
      </c>
      <c r="C6" s="12" t="s">
        <v>43</v>
      </c>
      <c r="D6" s="12" t="s">
        <v>46</v>
      </c>
      <c r="E6" s="13" t="str">
        <f t="shared" si="0"/>
        <v>AL80120</v>
      </c>
      <c r="F6" s="14" t="str">
        <f t="shared" si="1"/>
        <v>FRENE</v>
      </c>
      <c r="G6" s="14">
        <f>+VLOOKUP(F6,[1]base!A:B,2,0)</f>
        <v>0.5</v>
      </c>
      <c r="H6" s="14">
        <v>2</v>
      </c>
      <c r="I6" s="14">
        <v>2</v>
      </c>
      <c r="J6" s="14"/>
      <c r="K6" s="14" t="s">
        <v>33</v>
      </c>
      <c r="L6" s="14" t="s">
        <v>47</v>
      </c>
      <c r="M6" s="14" t="s">
        <v>35</v>
      </c>
      <c r="N6" s="14">
        <v>2</v>
      </c>
      <c r="O6" s="14">
        <v>2</v>
      </c>
      <c r="P6" s="14">
        <v>0</v>
      </c>
      <c r="Q6" s="14">
        <v>0</v>
      </c>
      <c r="R6" s="14">
        <v>0</v>
      </c>
      <c r="S6" s="14"/>
      <c r="T6" s="15">
        <v>2</v>
      </c>
      <c r="U6" s="16"/>
      <c r="V6" s="17">
        <v>744</v>
      </c>
      <c r="W6" s="17">
        <f t="shared" si="2"/>
        <v>1488</v>
      </c>
      <c r="X6" s="17">
        <f t="shared" si="3"/>
        <v>77.375999999999991</v>
      </c>
      <c r="Y6" s="17">
        <v>749</v>
      </c>
      <c r="Z6" s="17">
        <f t="shared" si="4"/>
        <v>1</v>
      </c>
      <c r="AA6" s="17">
        <f t="shared" si="5"/>
        <v>6.6666666666666693E-2</v>
      </c>
      <c r="AB6" s="17">
        <f>+VLOOKUP(E6,[1]base!M:N,2,0)</f>
        <v>163</v>
      </c>
      <c r="AC6" s="17">
        <f>+VLOOKUP(E6,[1]base!M:Q,5,0)</f>
        <v>7</v>
      </c>
      <c r="AD6" s="18">
        <f>+VLOOKUP(E6,[1]base!M:P,4,0)</f>
        <v>0.70036764705882348</v>
      </c>
      <c r="AE6" s="19">
        <f t="shared" si="6"/>
        <v>-65.259926470588226</v>
      </c>
    </row>
    <row r="7" spans="1:31" x14ac:dyDescent="0.25">
      <c r="A7" s="10" t="s">
        <v>42</v>
      </c>
      <c r="B7" s="11">
        <v>46263.282349537039</v>
      </c>
      <c r="C7" s="12" t="s">
        <v>43</v>
      </c>
      <c r="D7" s="12" t="s">
        <v>48</v>
      </c>
      <c r="E7" s="13" t="str">
        <f t="shared" si="0"/>
        <v>AL80105</v>
      </c>
      <c r="F7" s="14" t="str">
        <f t="shared" si="1"/>
        <v>FRENE</v>
      </c>
      <c r="G7" s="14">
        <f>+VLOOKUP(F7,[1]base!A:B,2,0)</f>
        <v>0.5</v>
      </c>
      <c r="H7" s="14">
        <v>1</v>
      </c>
      <c r="I7" s="14">
        <v>1</v>
      </c>
      <c r="J7" s="14"/>
      <c r="K7" s="14" t="s">
        <v>33</v>
      </c>
      <c r="L7" s="14" t="s">
        <v>49</v>
      </c>
      <c r="M7" s="14" t="s">
        <v>35</v>
      </c>
      <c r="N7" s="14">
        <v>1</v>
      </c>
      <c r="O7" s="14">
        <v>1</v>
      </c>
      <c r="P7" s="14">
        <v>0</v>
      </c>
      <c r="Q7" s="14">
        <v>0</v>
      </c>
      <c r="R7" s="14">
        <v>0</v>
      </c>
      <c r="S7" s="14"/>
      <c r="T7" s="15">
        <v>1</v>
      </c>
      <c r="U7" s="16"/>
      <c r="V7" s="17">
        <v>743</v>
      </c>
      <c r="W7" s="17">
        <f t="shared" si="2"/>
        <v>743</v>
      </c>
      <c r="X7" s="17">
        <f t="shared" si="3"/>
        <v>38.635999999999996</v>
      </c>
      <c r="Y7" s="17">
        <v>748</v>
      </c>
      <c r="Z7" s="17">
        <f t="shared" si="4"/>
        <v>1</v>
      </c>
      <c r="AA7" s="17">
        <f t="shared" si="5"/>
        <v>6.6666666666666693E-2</v>
      </c>
      <c r="AB7" s="17">
        <f>+VLOOKUP(E7,[1]base!M:N,2,0)</f>
        <v>165</v>
      </c>
      <c r="AC7" s="17">
        <f>+VLOOKUP(E7,[1]base!M:Q,5,0)</f>
        <v>19.571428571428573</v>
      </c>
      <c r="AD7" s="18">
        <f>+VLOOKUP(E7,[1]base!M:P,4,0)</f>
        <v>8.8397790055248615E-2</v>
      </c>
      <c r="AE7" s="19">
        <f t="shared" si="6"/>
        <v>34.914364640883974</v>
      </c>
    </row>
    <row r="8" spans="1:31" x14ac:dyDescent="0.25">
      <c r="A8" s="10" t="s">
        <v>38</v>
      </c>
      <c r="B8" s="11">
        <v>46268.40115740741</v>
      </c>
      <c r="C8" s="12" t="s">
        <v>39</v>
      </c>
      <c r="D8" s="12" t="s">
        <v>50</v>
      </c>
      <c r="E8" s="13" t="str">
        <f t="shared" si="0"/>
        <v>EC67105</v>
      </c>
      <c r="F8" s="14" t="str">
        <f t="shared" si="1"/>
        <v>FRENE</v>
      </c>
      <c r="G8" s="14">
        <f>+VLOOKUP(F8,[1]base!A:B,2,0)</f>
        <v>0.5</v>
      </c>
      <c r="H8" s="14">
        <v>4</v>
      </c>
      <c r="I8" s="14">
        <v>4</v>
      </c>
      <c r="J8" s="14"/>
      <c r="K8" s="14" t="s">
        <v>33</v>
      </c>
      <c r="L8" s="14" t="s">
        <v>51</v>
      </c>
      <c r="M8" s="14" t="s">
        <v>35</v>
      </c>
      <c r="N8" s="14">
        <v>4</v>
      </c>
      <c r="O8" s="14">
        <v>4</v>
      </c>
      <c r="P8" s="14">
        <v>0</v>
      </c>
      <c r="Q8" s="14">
        <v>0</v>
      </c>
      <c r="R8" s="14">
        <v>0</v>
      </c>
      <c r="S8" s="14"/>
      <c r="T8" s="15">
        <v>4</v>
      </c>
      <c r="U8" s="16"/>
      <c r="V8" s="17">
        <v>1079</v>
      </c>
      <c r="W8" s="17">
        <f t="shared" si="2"/>
        <v>4316</v>
      </c>
      <c r="X8" s="17">
        <f t="shared" si="3"/>
        <v>224.43199999999999</v>
      </c>
      <c r="Y8" s="17">
        <v>1084</v>
      </c>
      <c r="Z8" s="17">
        <f t="shared" si="4"/>
        <v>1</v>
      </c>
      <c r="AA8" s="17">
        <f t="shared" si="5"/>
        <v>6.6666666666666693E-2</v>
      </c>
      <c r="AB8" s="17">
        <f>+VLOOKUP(E8,[1]base!M:N,2,0)</f>
        <v>187</v>
      </c>
      <c r="AC8" s="17">
        <f>+VLOOKUP(E8,[1]base!M:Q,5,0)</f>
        <v>520.63636363636363</v>
      </c>
      <c r="AD8" s="18">
        <f>+VLOOKUP(E8,[1]base!M:P,4,0)</f>
        <v>0.56511627906976747</v>
      </c>
      <c r="AE8" s="19">
        <f t="shared" si="6"/>
        <v>-49.576744186046518</v>
      </c>
    </row>
    <row r="9" spans="1:31" x14ac:dyDescent="0.25">
      <c r="A9" s="10" t="s">
        <v>38</v>
      </c>
      <c r="B9" s="11">
        <v>46268.40115740741</v>
      </c>
      <c r="C9" s="12" t="s">
        <v>39</v>
      </c>
      <c r="D9" s="12" t="s">
        <v>52</v>
      </c>
      <c r="E9" s="13" t="str">
        <f t="shared" si="0"/>
        <v>FR112</v>
      </c>
      <c r="F9" s="14" t="str">
        <f t="shared" si="1"/>
        <v>FRENE</v>
      </c>
      <c r="G9" s="14">
        <f>+VLOOKUP(F9,[1]base!A:B,2,0)</f>
        <v>0.5</v>
      </c>
      <c r="H9" s="14">
        <v>1</v>
      </c>
      <c r="I9" s="14">
        <v>1</v>
      </c>
      <c r="J9" s="14"/>
      <c r="K9" s="14" t="s">
        <v>33</v>
      </c>
      <c r="L9" s="14" t="s">
        <v>53</v>
      </c>
      <c r="M9" s="14" t="s">
        <v>35</v>
      </c>
      <c r="N9" s="14">
        <v>1</v>
      </c>
      <c r="O9" s="14">
        <v>1</v>
      </c>
      <c r="P9" s="14">
        <v>0</v>
      </c>
      <c r="Q9" s="14">
        <v>0</v>
      </c>
      <c r="R9" s="14">
        <v>0</v>
      </c>
      <c r="S9" s="14"/>
      <c r="T9" s="15">
        <v>1</v>
      </c>
      <c r="U9" s="16"/>
      <c r="V9" s="17">
        <v>1081</v>
      </c>
      <c r="W9" s="17">
        <f t="shared" si="2"/>
        <v>1081</v>
      </c>
      <c r="X9" s="17">
        <f t="shared" si="3"/>
        <v>56.211999999999996</v>
      </c>
      <c r="Y9" s="17">
        <v>1086</v>
      </c>
      <c r="Z9" s="17">
        <f t="shared" si="4"/>
        <v>1</v>
      </c>
      <c r="AA9" s="17">
        <f t="shared" si="5"/>
        <v>6.6666666666666693E-2</v>
      </c>
      <c r="AB9" s="17">
        <f>+VLOOKUP(E9,[1]base!M:N,2,0)</f>
        <v>205</v>
      </c>
      <c r="AC9" s="17">
        <f>+VLOOKUP(E9,[1]base!M:Q,5,0)</f>
        <v>110.9</v>
      </c>
      <c r="AD9" s="18">
        <f>+VLOOKUP(E9,[1]base!M:P,4,0)</f>
        <v>0.12393162393162394</v>
      </c>
      <c r="AE9" s="19">
        <f t="shared" si="6"/>
        <v>36.09401709401709</v>
      </c>
    </row>
    <row r="10" spans="1:31" x14ac:dyDescent="0.25">
      <c r="A10" s="10" t="s">
        <v>42</v>
      </c>
      <c r="B10" s="11">
        <v>46263.282349537039</v>
      </c>
      <c r="C10" s="12" t="s">
        <v>43</v>
      </c>
      <c r="D10" s="12" t="s">
        <v>54</v>
      </c>
      <c r="E10" s="13" t="str">
        <f t="shared" si="0"/>
        <v>AL80106</v>
      </c>
      <c r="F10" s="14" t="str">
        <f t="shared" si="1"/>
        <v>FRENE</v>
      </c>
      <c r="G10" s="14">
        <f>+VLOOKUP(F10,[1]base!A:B,2,0)</f>
        <v>0.5</v>
      </c>
      <c r="H10" s="14">
        <v>3</v>
      </c>
      <c r="I10" s="14">
        <v>3</v>
      </c>
      <c r="J10" s="14"/>
      <c r="K10" s="14" t="s">
        <v>33</v>
      </c>
      <c r="L10" s="14" t="s">
        <v>55</v>
      </c>
      <c r="M10" s="14" t="s">
        <v>35</v>
      </c>
      <c r="N10" s="14">
        <v>3</v>
      </c>
      <c r="O10" s="14">
        <v>3</v>
      </c>
      <c r="P10" s="14">
        <v>0</v>
      </c>
      <c r="Q10" s="14">
        <v>0</v>
      </c>
      <c r="R10" s="14">
        <v>0</v>
      </c>
      <c r="S10" s="14"/>
      <c r="T10" s="15">
        <v>3</v>
      </c>
      <c r="U10" s="16"/>
      <c r="V10" s="17">
        <v>745</v>
      </c>
      <c r="W10" s="17">
        <f t="shared" si="2"/>
        <v>2235</v>
      </c>
      <c r="X10" s="17">
        <f t="shared" si="3"/>
        <v>116.22</v>
      </c>
      <c r="Y10" s="17">
        <v>750</v>
      </c>
      <c r="Z10" s="17">
        <f t="shared" si="4"/>
        <v>1</v>
      </c>
      <c r="AA10" s="17">
        <f t="shared" si="5"/>
        <v>6.6666666666666693E-2</v>
      </c>
      <c r="AB10" s="17">
        <f>+VLOOKUP(E10,[1]base!M:N,2,0)</f>
        <v>310</v>
      </c>
      <c r="AC10" s="17">
        <f>+VLOOKUP(E10,[1]base!M:Q,5,0)</f>
        <v>28.333333333333332</v>
      </c>
      <c r="AD10" s="18">
        <f>+VLOOKUP(E10,[1]base!M:P,4,0)</f>
        <v>0.12676056338028169</v>
      </c>
      <c r="AE10" s="19">
        <f t="shared" si="6"/>
        <v>53.704225352112672</v>
      </c>
    </row>
    <row r="11" spans="1:31" x14ac:dyDescent="0.25">
      <c r="A11" s="10" t="s">
        <v>56</v>
      </c>
      <c r="B11" s="11">
        <v>46267.311238425929</v>
      </c>
      <c r="C11" s="12" t="s">
        <v>57</v>
      </c>
      <c r="D11" s="12" t="s">
        <v>58</v>
      </c>
      <c r="E11" s="13" t="str">
        <f t="shared" si="0"/>
        <v>FR166</v>
      </c>
      <c r="F11" s="14" t="str">
        <f t="shared" si="1"/>
        <v>FRENE</v>
      </c>
      <c r="G11" s="14">
        <f>+VLOOKUP(F11,[1]base!A:B,2,0)</f>
        <v>0.5</v>
      </c>
      <c r="H11" s="14">
        <v>3</v>
      </c>
      <c r="I11" s="14">
        <v>3</v>
      </c>
      <c r="J11" s="14"/>
      <c r="K11" s="14" t="s">
        <v>33</v>
      </c>
      <c r="L11" s="14" t="s">
        <v>59</v>
      </c>
      <c r="M11" s="14" t="s">
        <v>35</v>
      </c>
      <c r="N11" s="14">
        <v>3</v>
      </c>
      <c r="O11" s="14">
        <v>3</v>
      </c>
      <c r="P11" s="14">
        <v>0</v>
      </c>
      <c r="Q11" s="14">
        <v>0</v>
      </c>
      <c r="R11" s="14">
        <v>2</v>
      </c>
      <c r="S11" s="14"/>
      <c r="T11" s="15">
        <v>3</v>
      </c>
      <c r="U11" s="16"/>
      <c r="V11" s="17">
        <v>970</v>
      </c>
      <c r="W11" s="17">
        <f t="shared" si="2"/>
        <v>2910</v>
      </c>
      <c r="X11" s="17">
        <f t="shared" si="3"/>
        <v>151.32</v>
      </c>
      <c r="Y11" s="17">
        <v>975</v>
      </c>
      <c r="Z11" s="17">
        <f t="shared" si="4"/>
        <v>1</v>
      </c>
      <c r="AA11" s="17">
        <f t="shared" si="5"/>
        <v>6.6666666666666693E-2</v>
      </c>
      <c r="AB11" s="17">
        <f>+VLOOKUP(E11,[1]base!M:N,2,0)</f>
        <v>437</v>
      </c>
      <c r="AC11" s="17">
        <f>+VLOOKUP(E11,[1]base!M:Q,5,0)</f>
        <v>435.66666666666669</v>
      </c>
      <c r="AD11" s="18">
        <f>+VLOOKUP(E11,[1]base!M:P,4,0)</f>
        <v>0.14980544747081712</v>
      </c>
      <c r="AE11" s="19">
        <f t="shared" si="6"/>
        <v>65.635019455252916</v>
      </c>
    </row>
    <row r="12" spans="1:31" x14ac:dyDescent="0.25">
      <c r="A12" s="10" t="s">
        <v>42</v>
      </c>
      <c r="B12" s="11">
        <v>46263.282349537039</v>
      </c>
      <c r="C12" s="12" t="s">
        <v>43</v>
      </c>
      <c r="D12" s="12" t="s">
        <v>60</v>
      </c>
      <c r="E12" s="13" t="str">
        <f t="shared" si="0"/>
        <v>AL80121</v>
      </c>
      <c r="F12" s="14" t="str">
        <f t="shared" si="1"/>
        <v>FRENE</v>
      </c>
      <c r="G12" s="14">
        <f>+VLOOKUP(F12,[1]base!A:B,2,0)</f>
        <v>0.5</v>
      </c>
      <c r="H12" s="14">
        <v>3</v>
      </c>
      <c r="I12" s="14">
        <v>3</v>
      </c>
      <c r="J12" s="14"/>
      <c r="K12" s="14" t="s">
        <v>33</v>
      </c>
      <c r="L12" s="14" t="s">
        <v>61</v>
      </c>
      <c r="M12" s="14" t="s">
        <v>35</v>
      </c>
      <c r="N12" s="14">
        <v>3</v>
      </c>
      <c r="O12" s="14">
        <v>3</v>
      </c>
      <c r="P12" s="14">
        <v>0</v>
      </c>
      <c r="Q12" s="14">
        <v>0</v>
      </c>
      <c r="R12" s="14">
        <v>0</v>
      </c>
      <c r="S12" s="14"/>
      <c r="T12" s="15">
        <v>3</v>
      </c>
      <c r="U12" s="16"/>
      <c r="V12" s="17">
        <v>742</v>
      </c>
      <c r="W12" s="17">
        <f t="shared" si="2"/>
        <v>2226</v>
      </c>
      <c r="X12" s="17">
        <f t="shared" si="3"/>
        <v>115.752</v>
      </c>
      <c r="Y12" s="17">
        <v>747</v>
      </c>
      <c r="Z12" s="17">
        <f t="shared" si="4"/>
        <v>1</v>
      </c>
      <c r="AA12" s="17">
        <f t="shared" si="5"/>
        <v>6.6666666666666693E-2</v>
      </c>
      <c r="AB12" s="17">
        <f>+VLOOKUP(E12,[1]base!M:N,2,0)</f>
        <v>609</v>
      </c>
      <c r="AC12" s="17">
        <f>+VLOOKUP(E12,[1]base!M:Q,5,0)</f>
        <v>41.666666666666664</v>
      </c>
      <c r="AD12" s="18">
        <f>+VLOOKUP(E12,[1]base!M:P,4,0)</f>
        <v>6.5950920245398767E-2</v>
      </c>
      <c r="AE12" s="19">
        <f t="shared" si="6"/>
        <v>142.53588957055214</v>
      </c>
    </row>
    <row r="13" spans="1:31" x14ac:dyDescent="0.25">
      <c r="A13" s="10" t="s">
        <v>56</v>
      </c>
      <c r="B13" s="11">
        <v>46267.311238425929</v>
      </c>
      <c r="C13" s="12" t="s">
        <v>57</v>
      </c>
      <c r="D13" s="12" t="s">
        <v>62</v>
      </c>
      <c r="E13" s="13" t="str">
        <f t="shared" si="0"/>
        <v>FR108</v>
      </c>
      <c r="F13" s="14" t="str">
        <f t="shared" si="1"/>
        <v>FRENE</v>
      </c>
      <c r="G13" s="14">
        <f>+VLOOKUP(F13,[1]base!A:B,2,0)</f>
        <v>0.5</v>
      </c>
      <c r="H13" s="14">
        <v>2</v>
      </c>
      <c r="I13" s="14">
        <v>2</v>
      </c>
      <c r="J13" s="14"/>
      <c r="K13" s="14" t="s">
        <v>33</v>
      </c>
      <c r="L13" s="14" t="s">
        <v>63</v>
      </c>
      <c r="M13" s="14" t="s">
        <v>35</v>
      </c>
      <c r="N13" s="14">
        <v>2</v>
      </c>
      <c r="O13" s="14">
        <v>2</v>
      </c>
      <c r="P13" s="14">
        <v>0</v>
      </c>
      <c r="Q13" s="14">
        <v>0</v>
      </c>
      <c r="R13" s="14">
        <v>0</v>
      </c>
      <c r="S13" s="14"/>
      <c r="T13" s="15">
        <v>2</v>
      </c>
      <c r="U13" s="16"/>
      <c r="V13" s="17">
        <v>969</v>
      </c>
      <c r="W13" s="17">
        <f t="shared" si="2"/>
        <v>1938</v>
      </c>
      <c r="X13" s="17">
        <f t="shared" si="3"/>
        <v>100.776</v>
      </c>
      <c r="Y13" s="17">
        <v>974</v>
      </c>
      <c r="Z13" s="17">
        <f t="shared" si="4"/>
        <v>1</v>
      </c>
      <c r="AA13" s="17">
        <f t="shared" si="5"/>
        <v>6.6666666666666693E-2</v>
      </c>
      <c r="AB13" s="17">
        <f>+VLOOKUP(E13,[1]base!M:N,2,0)</f>
        <v>1084</v>
      </c>
      <c r="AC13" s="17">
        <f>+VLOOKUP(E13,[1]base!M:Q,5,0)</f>
        <v>67</v>
      </c>
      <c r="AD13" s="18">
        <f>+VLOOKUP(E13,[1]base!M:P,4,0)</f>
        <v>5.4101221640488653E-2</v>
      </c>
      <c r="AE13" s="19">
        <f t="shared" si="6"/>
        <v>266.55427574171028</v>
      </c>
    </row>
    <row r="14" spans="1:31" x14ac:dyDescent="0.25">
      <c r="A14" s="10" t="s">
        <v>56</v>
      </c>
      <c r="B14" s="11">
        <v>46267.311238425929</v>
      </c>
      <c r="C14" s="12" t="s">
        <v>57</v>
      </c>
      <c r="D14" s="12" t="s">
        <v>64</v>
      </c>
      <c r="E14" s="13" t="str">
        <f t="shared" si="0"/>
        <v>FR100</v>
      </c>
      <c r="F14" s="14" t="str">
        <f t="shared" si="1"/>
        <v>FRENE</v>
      </c>
      <c r="G14" s="14">
        <f>+VLOOKUP(F14,[1]base!A:B,2,0)</f>
        <v>0.5</v>
      </c>
      <c r="H14" s="14">
        <v>4</v>
      </c>
      <c r="I14" s="14">
        <v>4</v>
      </c>
      <c r="J14" s="14"/>
      <c r="K14" s="14" t="s">
        <v>33</v>
      </c>
      <c r="L14" s="14" t="s">
        <v>65</v>
      </c>
      <c r="M14" s="14" t="s">
        <v>35</v>
      </c>
      <c r="N14" s="14">
        <v>4</v>
      </c>
      <c r="O14" s="14">
        <v>4</v>
      </c>
      <c r="P14" s="14">
        <v>0</v>
      </c>
      <c r="Q14" s="14">
        <v>0</v>
      </c>
      <c r="R14" s="14">
        <v>1</v>
      </c>
      <c r="S14" s="14"/>
      <c r="T14" s="15">
        <v>4</v>
      </c>
      <c r="U14" s="16"/>
      <c r="V14" s="17">
        <v>968</v>
      </c>
      <c r="W14" s="17">
        <f t="shared" si="2"/>
        <v>3872</v>
      </c>
      <c r="X14" s="17">
        <f t="shared" si="3"/>
        <v>201.34399999999999</v>
      </c>
      <c r="Y14" s="17">
        <v>973</v>
      </c>
      <c r="Z14" s="17">
        <f t="shared" si="4"/>
        <v>1</v>
      </c>
      <c r="AA14" s="17">
        <f t="shared" si="5"/>
        <v>6.6666666666666693E-2</v>
      </c>
      <c r="AB14" s="17">
        <f>+VLOOKUP(E14,[1]base!M:N,2,0)</f>
        <v>1365</v>
      </c>
      <c r="AC14" s="17">
        <f>+VLOOKUP(E14,[1]base!M:Q,5,0)</f>
        <v>812.5</v>
      </c>
      <c r="AD14" s="18">
        <f>+VLOOKUP(E14,[1]base!M:P,4,0)</f>
        <v>7.4576271186440682E-2</v>
      </c>
      <c r="AE14" s="19">
        <f t="shared" si="6"/>
        <v>307.70338983050846</v>
      </c>
    </row>
    <row r="15" spans="1:31" x14ac:dyDescent="0.25">
      <c r="A15" s="10" t="s">
        <v>38</v>
      </c>
      <c r="B15" s="11">
        <v>46268.40115740741</v>
      </c>
      <c r="C15" s="12" t="s">
        <v>39</v>
      </c>
      <c r="D15" s="12" t="s">
        <v>64</v>
      </c>
      <c r="E15" s="13" t="str">
        <f t="shared" si="0"/>
        <v>FR100</v>
      </c>
      <c r="F15" s="14" t="str">
        <f t="shared" si="1"/>
        <v>FRENE</v>
      </c>
      <c r="G15" s="14">
        <f>+VLOOKUP(F15,[1]base!A:B,2,0)</f>
        <v>0.5</v>
      </c>
      <c r="H15" s="14">
        <v>3</v>
      </c>
      <c r="I15" s="14">
        <v>3</v>
      </c>
      <c r="J15" s="14"/>
      <c r="K15" s="14" t="s">
        <v>33</v>
      </c>
      <c r="L15" s="14" t="s">
        <v>66</v>
      </c>
      <c r="M15" s="14" t="s">
        <v>35</v>
      </c>
      <c r="N15" s="14">
        <v>3</v>
      </c>
      <c r="O15" s="14">
        <v>3</v>
      </c>
      <c r="P15" s="14">
        <v>0</v>
      </c>
      <c r="Q15" s="14">
        <v>0</v>
      </c>
      <c r="R15" s="14">
        <v>1</v>
      </c>
      <c r="S15" s="14"/>
      <c r="T15" s="15">
        <v>3</v>
      </c>
      <c r="U15" s="16"/>
      <c r="V15" s="17">
        <v>1080</v>
      </c>
      <c r="W15" s="17">
        <f t="shared" si="2"/>
        <v>3240</v>
      </c>
      <c r="X15" s="17">
        <f t="shared" si="3"/>
        <v>168.48</v>
      </c>
      <c r="Y15" s="17">
        <v>1085</v>
      </c>
      <c r="Z15" s="17">
        <f t="shared" si="4"/>
        <v>1</v>
      </c>
      <c r="AA15" s="17">
        <f t="shared" si="5"/>
        <v>6.6666666666666693E-2</v>
      </c>
      <c r="AB15" s="17">
        <f>+VLOOKUP(E15,[1]base!M:N,2,0)</f>
        <v>1365</v>
      </c>
      <c r="AC15" s="17">
        <f>+VLOOKUP(E15,[1]base!M:Q,5,0)</f>
        <v>812.5</v>
      </c>
      <c r="AD15" s="18">
        <f>+VLOOKUP(E15,[1]base!M:P,4,0)</f>
        <v>7.4576271186440682E-2</v>
      </c>
      <c r="AE15" s="19">
        <f t="shared" si="6"/>
        <v>307.70338983050846</v>
      </c>
    </row>
    <row r="16" spans="1:31" x14ac:dyDescent="0.25">
      <c r="A16" s="10" t="s">
        <v>38</v>
      </c>
      <c r="B16" s="11">
        <v>46268.40115740741</v>
      </c>
      <c r="C16" s="12" t="s">
        <v>39</v>
      </c>
      <c r="D16" s="12" t="s">
        <v>67</v>
      </c>
      <c r="E16" s="13" t="str">
        <f t="shared" si="0"/>
        <v>FR404</v>
      </c>
      <c r="F16" s="14" t="str">
        <f t="shared" si="1"/>
        <v>FRENE</v>
      </c>
      <c r="G16" s="14">
        <f>+VLOOKUP(F16,[1]base!A:B,2,0)</f>
        <v>0.5</v>
      </c>
      <c r="H16" s="14">
        <v>5</v>
      </c>
      <c r="I16" s="14">
        <v>5</v>
      </c>
      <c r="J16" s="14"/>
      <c r="K16" s="14" t="s">
        <v>33</v>
      </c>
      <c r="L16" s="14" t="s">
        <v>68</v>
      </c>
      <c r="M16" s="14" t="s">
        <v>35</v>
      </c>
      <c r="N16" s="14">
        <v>5</v>
      </c>
      <c r="O16" s="14">
        <v>5</v>
      </c>
      <c r="P16" s="14">
        <v>0</v>
      </c>
      <c r="Q16" s="14">
        <v>0</v>
      </c>
      <c r="R16" s="14">
        <v>0</v>
      </c>
      <c r="S16" s="14"/>
      <c r="T16" s="15">
        <v>5</v>
      </c>
      <c r="U16" s="16"/>
      <c r="V16" s="17">
        <v>1083</v>
      </c>
      <c r="W16" s="17">
        <f t="shared" si="2"/>
        <v>5415</v>
      </c>
      <c r="X16" s="17">
        <f t="shared" si="3"/>
        <v>281.58</v>
      </c>
      <c r="Y16" s="17">
        <v>1088</v>
      </c>
      <c r="Z16" s="17">
        <f t="shared" si="4"/>
        <v>1</v>
      </c>
      <c r="AA16" s="17">
        <f t="shared" si="5"/>
        <v>6.6666666666666693E-2</v>
      </c>
      <c r="AB16" s="17">
        <f>+VLOOKUP(E16,[1]base!M:N,2,0)</f>
        <v>2331</v>
      </c>
      <c r="AC16" s="17">
        <f>+VLOOKUP(E16,[1]base!M:Q,5,0)</f>
        <v>578.90909090909088</v>
      </c>
      <c r="AD16" s="18">
        <f>+VLOOKUP(E16,[1]base!M:P,4,0)</f>
        <v>7.0203430394894295E-2</v>
      </c>
      <c r="AE16" s="19">
        <f t="shared" si="6"/>
        <v>535.65580374950139</v>
      </c>
    </row>
    <row r="17" spans="1:31" x14ac:dyDescent="0.25">
      <c r="A17" s="10" t="s">
        <v>69</v>
      </c>
      <c r="B17" s="11">
        <v>46228.394548611112</v>
      </c>
      <c r="C17" s="12" t="s">
        <v>70</v>
      </c>
      <c r="D17" s="12" t="s">
        <v>71</v>
      </c>
      <c r="E17" s="13" t="str">
        <f t="shared" si="0"/>
        <v>CSQ101</v>
      </c>
      <c r="F17" s="14" t="str">
        <f t="shared" si="1"/>
        <v>BLC</v>
      </c>
      <c r="G17" s="14">
        <f>+VLOOKUP(F17,[1]base!A:B,2,0)</f>
        <v>1</v>
      </c>
      <c r="H17" s="14">
        <v>3</v>
      </c>
      <c r="I17" s="14">
        <v>3</v>
      </c>
      <c r="J17" s="14"/>
      <c r="K17" s="14" t="s">
        <v>72</v>
      </c>
      <c r="L17" s="14" t="s">
        <v>73</v>
      </c>
      <c r="M17" s="14" t="s">
        <v>35</v>
      </c>
      <c r="N17" s="14">
        <v>3</v>
      </c>
      <c r="O17" s="14">
        <v>3</v>
      </c>
      <c r="P17" s="14">
        <v>0</v>
      </c>
      <c r="Q17" s="14">
        <v>3</v>
      </c>
      <c r="R17" s="14">
        <v>4</v>
      </c>
      <c r="S17" s="14"/>
      <c r="T17" s="15"/>
      <c r="U17" s="16">
        <v>3</v>
      </c>
      <c r="V17" s="17">
        <v>286</v>
      </c>
      <c r="W17" s="17">
        <f t="shared" si="2"/>
        <v>858</v>
      </c>
      <c r="X17" s="17">
        <f t="shared" si="3"/>
        <v>44.616</v>
      </c>
      <c r="Y17" s="17">
        <v>291</v>
      </c>
      <c r="Z17" s="17">
        <f t="shared" si="4"/>
        <v>0</v>
      </c>
      <c r="AA17" s="17">
        <f t="shared" si="5"/>
        <v>0</v>
      </c>
      <c r="AB17" s="17">
        <f>+VLOOKUP(E17,[1]base!M:N,2,0)</f>
        <v>0</v>
      </c>
      <c r="AC17" s="17">
        <f>+VLOOKUP(E17,[1]base!M:Q,5,0)</f>
        <v>44.777777777777779</v>
      </c>
      <c r="AD17" s="18">
        <f>+VLOOKUP(E17,[1]base!M:P,4,0)</f>
        <v>1</v>
      </c>
      <c r="AE17" s="19">
        <f t="shared" si="6"/>
        <v>0</v>
      </c>
    </row>
    <row r="18" spans="1:31" x14ac:dyDescent="0.25">
      <c r="A18" s="20" t="s">
        <v>74</v>
      </c>
      <c r="B18" s="11">
        <v>46199.498495370368</v>
      </c>
      <c r="C18" s="12" t="s">
        <v>39</v>
      </c>
      <c r="D18" s="12" t="s">
        <v>75</v>
      </c>
      <c r="E18" s="13" t="str">
        <f t="shared" si="0"/>
        <v>EC40148</v>
      </c>
      <c r="F18" s="14" t="str">
        <f t="shared" si="1"/>
        <v>BLC</v>
      </c>
      <c r="G18" s="14">
        <f>+VLOOKUP(F18,[1]base!A:B,2,0)</f>
        <v>1</v>
      </c>
      <c r="H18" s="14">
        <v>60</v>
      </c>
      <c r="I18" s="14">
        <v>18</v>
      </c>
      <c r="J18" s="14"/>
      <c r="K18" s="14" t="s">
        <v>72</v>
      </c>
      <c r="L18" s="14" t="s">
        <v>76</v>
      </c>
      <c r="M18" s="14" t="s">
        <v>77</v>
      </c>
      <c r="N18" s="14"/>
      <c r="O18" s="14"/>
      <c r="P18" s="14"/>
      <c r="Q18" s="14">
        <v>30</v>
      </c>
      <c r="R18" s="14">
        <v>4</v>
      </c>
      <c r="S18" s="14"/>
      <c r="T18" s="15">
        <v>14</v>
      </c>
      <c r="U18" s="16">
        <v>4</v>
      </c>
      <c r="V18" s="17">
        <v>55</v>
      </c>
      <c r="W18" s="17">
        <f t="shared" si="2"/>
        <v>990</v>
      </c>
      <c r="X18" s="17">
        <f t="shared" si="3"/>
        <v>51.48</v>
      </c>
      <c r="Y18" s="17">
        <v>60</v>
      </c>
      <c r="Z18" s="17">
        <f t="shared" si="4"/>
        <v>1</v>
      </c>
      <c r="AA18" s="17">
        <f t="shared" si="5"/>
        <v>6.6666666666666693E-2</v>
      </c>
      <c r="AB18" s="17">
        <f>+VLOOKUP(E18,[1]base!M:N,2,0)</f>
        <v>0</v>
      </c>
      <c r="AC18" s="17">
        <f>+VLOOKUP(E18,[1]base!M:Q,5,0)</f>
        <v>317.5</v>
      </c>
      <c r="AD18" s="18">
        <f>+VLOOKUP(E18,[1]base!M:P,4,0)</f>
        <v>1</v>
      </c>
      <c r="AE18" s="19">
        <f t="shared" si="6"/>
        <v>0</v>
      </c>
    </row>
    <row r="19" spans="1:31" x14ac:dyDescent="0.25">
      <c r="A19" s="20" t="s">
        <v>78</v>
      </c>
      <c r="B19" s="11">
        <v>46210.339687500003</v>
      </c>
      <c r="C19" s="12" t="s">
        <v>39</v>
      </c>
      <c r="D19" s="12" t="s">
        <v>75</v>
      </c>
      <c r="E19" s="13" t="str">
        <f t="shared" si="0"/>
        <v>EC40148</v>
      </c>
      <c r="F19" s="14" t="str">
        <f t="shared" si="1"/>
        <v>BLC</v>
      </c>
      <c r="G19" s="14">
        <f>+VLOOKUP(F19,[1]base!A:B,2,0)</f>
        <v>1</v>
      </c>
      <c r="H19" s="14">
        <v>30</v>
      </c>
      <c r="I19" s="14">
        <v>19</v>
      </c>
      <c r="J19" s="14"/>
      <c r="K19" s="14" t="s">
        <v>33</v>
      </c>
      <c r="L19" s="14" t="s">
        <v>76</v>
      </c>
      <c r="M19" s="14" t="s">
        <v>77</v>
      </c>
      <c r="N19" s="14"/>
      <c r="O19" s="14"/>
      <c r="P19" s="14"/>
      <c r="Q19" s="14">
        <v>0</v>
      </c>
      <c r="R19" s="14">
        <v>4</v>
      </c>
      <c r="S19" s="14"/>
      <c r="T19" s="15">
        <v>19</v>
      </c>
      <c r="U19" s="16"/>
      <c r="V19" s="17">
        <v>85</v>
      </c>
      <c r="W19" s="17">
        <f t="shared" si="2"/>
        <v>1615</v>
      </c>
      <c r="X19" s="17">
        <f t="shared" si="3"/>
        <v>83.97999999999999</v>
      </c>
      <c r="Y19" s="17">
        <v>90</v>
      </c>
      <c r="Z19" s="17">
        <f t="shared" si="4"/>
        <v>1</v>
      </c>
      <c r="AA19" s="17">
        <f t="shared" si="5"/>
        <v>6.6666666666666693E-2</v>
      </c>
      <c r="AB19" s="17">
        <f>+VLOOKUP(E19,[1]base!M:N,2,0)</f>
        <v>0</v>
      </c>
      <c r="AC19" s="17">
        <f>+VLOOKUP(E19,[1]base!M:Q,5,0)</f>
        <v>317.5</v>
      </c>
      <c r="AD19" s="18">
        <f>+VLOOKUP(E19,[1]base!M:P,4,0)</f>
        <v>1</v>
      </c>
      <c r="AE19" s="19">
        <f t="shared" si="6"/>
        <v>0</v>
      </c>
    </row>
    <row r="20" spans="1:31" x14ac:dyDescent="0.25">
      <c r="A20" s="20" t="s">
        <v>79</v>
      </c>
      <c r="B20" s="11">
        <v>46217.613946759258</v>
      </c>
      <c r="C20" s="12" t="s">
        <v>80</v>
      </c>
      <c r="D20" s="12" t="s">
        <v>81</v>
      </c>
      <c r="E20" s="13" t="str">
        <f t="shared" si="0"/>
        <v>FR402</v>
      </c>
      <c r="F20" s="14" t="str">
        <f t="shared" si="1"/>
        <v>BLC</v>
      </c>
      <c r="G20" s="14">
        <f>+VLOOKUP(F20,[1]base!A:B,2,0)</f>
        <v>1</v>
      </c>
      <c r="H20" s="14">
        <v>20</v>
      </c>
      <c r="I20" s="14">
        <v>7</v>
      </c>
      <c r="J20" s="14"/>
      <c r="K20" s="14" t="s">
        <v>72</v>
      </c>
      <c r="L20" s="14" t="s">
        <v>76</v>
      </c>
      <c r="M20" s="14" t="s">
        <v>77</v>
      </c>
      <c r="N20" s="14"/>
      <c r="O20" s="14"/>
      <c r="P20" s="14"/>
      <c r="Q20" s="14">
        <v>10</v>
      </c>
      <c r="R20" s="14">
        <v>0</v>
      </c>
      <c r="S20" s="14"/>
      <c r="T20" s="15">
        <v>7</v>
      </c>
      <c r="U20" s="16"/>
      <c r="V20" s="17">
        <v>113</v>
      </c>
      <c r="W20" s="17">
        <f t="shared" si="2"/>
        <v>791</v>
      </c>
      <c r="X20" s="17">
        <f t="shared" si="3"/>
        <v>41.131999999999998</v>
      </c>
      <c r="Y20" s="17">
        <v>118</v>
      </c>
      <c r="Z20" s="17">
        <f t="shared" si="4"/>
        <v>1</v>
      </c>
      <c r="AA20" s="17">
        <f t="shared" si="5"/>
        <v>6.6666666666666693E-2</v>
      </c>
      <c r="AB20" s="17">
        <f>+VLOOKUP(E20,[1]base!M:N,2,0)</f>
        <v>0</v>
      </c>
      <c r="AC20" s="17">
        <f>+VLOOKUP(E20,[1]base!M:Q,5,0)</f>
        <v>898.4545454545455</v>
      </c>
      <c r="AD20" s="18">
        <f>+VLOOKUP(E20,[1]base!M:P,4,0)</f>
        <v>1</v>
      </c>
      <c r="AE20" s="19">
        <f t="shared" si="6"/>
        <v>0</v>
      </c>
    </row>
    <row r="21" spans="1:31" x14ac:dyDescent="0.25">
      <c r="A21" s="10" t="s">
        <v>82</v>
      </c>
      <c r="B21" s="11">
        <v>46220.385347222225</v>
      </c>
      <c r="C21" s="12" t="s">
        <v>83</v>
      </c>
      <c r="D21" s="12" t="s">
        <v>84</v>
      </c>
      <c r="E21" s="13" t="str">
        <f t="shared" si="0"/>
        <v>CO104</v>
      </c>
      <c r="F21" s="14" t="str">
        <f t="shared" si="1"/>
        <v>BLC</v>
      </c>
      <c r="G21" s="14">
        <f>+VLOOKUP(F21,[1]base!A:B,2,0)</f>
        <v>1</v>
      </c>
      <c r="H21" s="14">
        <v>10</v>
      </c>
      <c r="I21" s="14">
        <v>10</v>
      </c>
      <c r="J21" s="14"/>
      <c r="K21" s="14" t="s">
        <v>72</v>
      </c>
      <c r="L21" s="14" t="s">
        <v>76</v>
      </c>
      <c r="M21" s="14" t="s">
        <v>77</v>
      </c>
      <c r="N21" s="14"/>
      <c r="O21" s="14"/>
      <c r="P21" s="14"/>
      <c r="Q21" s="14">
        <v>10</v>
      </c>
      <c r="R21" s="14">
        <v>0</v>
      </c>
      <c r="S21" s="14"/>
      <c r="T21" s="15">
        <v>10</v>
      </c>
      <c r="U21" s="16"/>
      <c r="V21" s="17">
        <v>159</v>
      </c>
      <c r="W21" s="17">
        <f t="shared" si="2"/>
        <v>1590</v>
      </c>
      <c r="X21" s="17">
        <f t="shared" si="3"/>
        <v>82.679999999999993</v>
      </c>
      <c r="Y21" s="17">
        <v>164</v>
      </c>
      <c r="Z21" s="17">
        <f t="shared" si="4"/>
        <v>1</v>
      </c>
      <c r="AA21" s="17">
        <f t="shared" si="5"/>
        <v>6.6666666666666693E-2</v>
      </c>
      <c r="AB21" s="17">
        <f>+VLOOKUP(E21,[1]base!M:N,2,0)</f>
        <v>1</v>
      </c>
      <c r="AC21" s="17">
        <f>+VLOOKUP(E21,[1]base!M:Q,5,0)</f>
        <v>344.5</v>
      </c>
      <c r="AD21" s="18">
        <f>+VLOOKUP(E21,[1]base!M:P,4,0)</f>
        <v>0.66666666666666663</v>
      </c>
      <c r="AE21" s="19">
        <f t="shared" si="6"/>
        <v>-0.36666666666666664</v>
      </c>
    </row>
    <row r="22" spans="1:31" x14ac:dyDescent="0.25">
      <c r="A22" s="10" t="s">
        <v>85</v>
      </c>
      <c r="B22" s="11">
        <v>46232.636412037034</v>
      </c>
      <c r="C22" s="12" t="s">
        <v>86</v>
      </c>
      <c r="D22" s="12" t="s">
        <v>84</v>
      </c>
      <c r="E22" s="13" t="str">
        <f t="shared" si="0"/>
        <v>CO104</v>
      </c>
      <c r="F22" s="14" t="str">
        <f t="shared" si="1"/>
        <v>BLC</v>
      </c>
      <c r="G22" s="14">
        <f>+VLOOKUP(F22,[1]base!A:B,2,0)</f>
        <v>1</v>
      </c>
      <c r="H22" s="14">
        <v>8</v>
      </c>
      <c r="I22" s="14">
        <v>8</v>
      </c>
      <c r="J22" s="14"/>
      <c r="K22" s="14" t="s">
        <v>72</v>
      </c>
      <c r="L22" s="14" t="s">
        <v>76</v>
      </c>
      <c r="M22" s="14" t="s">
        <v>77</v>
      </c>
      <c r="N22" s="14"/>
      <c r="O22" s="14"/>
      <c r="P22" s="14"/>
      <c r="Q22" s="14">
        <v>12</v>
      </c>
      <c r="R22" s="14">
        <v>0</v>
      </c>
      <c r="S22" s="14"/>
      <c r="T22" s="15">
        <v>8</v>
      </c>
      <c r="U22" s="16"/>
      <c r="V22" s="17">
        <v>315</v>
      </c>
      <c r="W22" s="17">
        <f t="shared" si="2"/>
        <v>2520</v>
      </c>
      <c r="X22" s="17">
        <f t="shared" si="3"/>
        <v>131.04</v>
      </c>
      <c r="Y22" s="17">
        <v>320</v>
      </c>
      <c r="Z22" s="17">
        <f t="shared" si="4"/>
        <v>1</v>
      </c>
      <c r="AA22" s="17">
        <f t="shared" si="5"/>
        <v>6.6666666666666693E-2</v>
      </c>
      <c r="AB22" s="17">
        <f>+VLOOKUP(E22,[1]base!M:N,2,0)</f>
        <v>1</v>
      </c>
      <c r="AC22" s="17">
        <f>+VLOOKUP(E22,[1]base!M:Q,5,0)</f>
        <v>344.5</v>
      </c>
      <c r="AD22" s="18">
        <f>+VLOOKUP(E22,[1]base!M:P,4,0)</f>
        <v>0.66666666666666663</v>
      </c>
      <c r="AE22" s="19">
        <f t="shared" si="6"/>
        <v>-0.36666666666666664</v>
      </c>
    </row>
    <row r="23" spans="1:31" x14ac:dyDescent="0.25">
      <c r="A23" s="10" t="s">
        <v>87</v>
      </c>
      <c r="B23" s="11">
        <v>46235.515706018516</v>
      </c>
      <c r="C23" s="12" t="s">
        <v>88</v>
      </c>
      <c r="D23" s="12" t="s">
        <v>84</v>
      </c>
      <c r="E23" s="13" t="str">
        <f t="shared" si="0"/>
        <v>CO104</v>
      </c>
      <c r="F23" s="14" t="str">
        <f t="shared" si="1"/>
        <v>BLC</v>
      </c>
      <c r="G23" s="14">
        <f>+VLOOKUP(F23,[1]base!A:B,2,0)</f>
        <v>1</v>
      </c>
      <c r="H23" s="14">
        <v>10</v>
      </c>
      <c r="I23" s="14">
        <v>10</v>
      </c>
      <c r="J23" s="14"/>
      <c r="K23" s="14" t="s">
        <v>72</v>
      </c>
      <c r="L23" s="14" t="s">
        <v>76</v>
      </c>
      <c r="M23" s="14" t="s">
        <v>77</v>
      </c>
      <c r="N23" s="14"/>
      <c r="O23" s="14"/>
      <c r="P23" s="14"/>
      <c r="Q23" s="14">
        <v>10</v>
      </c>
      <c r="R23" s="14">
        <v>0</v>
      </c>
      <c r="S23" s="14"/>
      <c r="T23" s="15">
        <v>10</v>
      </c>
      <c r="U23" s="16"/>
      <c r="V23" s="17">
        <v>339</v>
      </c>
      <c r="W23" s="17">
        <f t="shared" si="2"/>
        <v>3390</v>
      </c>
      <c r="X23" s="17">
        <f t="shared" si="3"/>
        <v>176.28</v>
      </c>
      <c r="Y23" s="17">
        <v>344</v>
      </c>
      <c r="Z23" s="17">
        <f t="shared" si="4"/>
        <v>1</v>
      </c>
      <c r="AA23" s="17">
        <f t="shared" si="5"/>
        <v>6.6666666666666693E-2</v>
      </c>
      <c r="AB23" s="17">
        <f>+VLOOKUP(E23,[1]base!M:N,2,0)</f>
        <v>1</v>
      </c>
      <c r="AC23" s="17">
        <f>+VLOOKUP(E23,[1]base!M:Q,5,0)</f>
        <v>344.5</v>
      </c>
      <c r="AD23" s="18">
        <f>+VLOOKUP(E23,[1]base!M:P,4,0)</f>
        <v>0.66666666666666663</v>
      </c>
      <c r="AE23" s="19">
        <f t="shared" si="6"/>
        <v>-0.36666666666666664</v>
      </c>
    </row>
    <row r="24" spans="1:31" x14ac:dyDescent="0.25">
      <c r="A24" s="20" t="s">
        <v>89</v>
      </c>
      <c r="B24" s="11">
        <v>46212.477118055554</v>
      </c>
      <c r="C24" s="12" t="s">
        <v>39</v>
      </c>
      <c r="D24" s="12" t="s">
        <v>90</v>
      </c>
      <c r="E24" s="13" t="str">
        <f t="shared" si="0"/>
        <v>EC40104</v>
      </c>
      <c r="F24" s="14" t="str">
        <f t="shared" si="1"/>
        <v>BLC</v>
      </c>
      <c r="G24" s="14">
        <f>+VLOOKUP(F24,[1]base!A:B,2,0)</f>
        <v>1</v>
      </c>
      <c r="H24" s="14">
        <v>30</v>
      </c>
      <c r="I24" s="14">
        <v>18</v>
      </c>
      <c r="J24" s="14"/>
      <c r="K24" s="14" t="s">
        <v>72</v>
      </c>
      <c r="L24" s="14" t="s">
        <v>76</v>
      </c>
      <c r="M24" s="14" t="s">
        <v>77</v>
      </c>
      <c r="N24" s="14"/>
      <c r="O24" s="14"/>
      <c r="P24" s="14"/>
      <c r="Q24" s="14">
        <v>10</v>
      </c>
      <c r="R24" s="14">
        <v>2</v>
      </c>
      <c r="S24" s="14"/>
      <c r="T24" s="15">
        <v>6</v>
      </c>
      <c r="U24" s="16"/>
      <c r="V24" s="17">
        <v>94</v>
      </c>
      <c r="W24" s="17">
        <f t="shared" si="2"/>
        <v>564</v>
      </c>
      <c r="X24" s="17">
        <f t="shared" si="3"/>
        <v>29.327999999999999</v>
      </c>
      <c r="Y24" s="17">
        <v>99</v>
      </c>
      <c r="Z24" s="17">
        <f t="shared" si="4"/>
        <v>1</v>
      </c>
      <c r="AA24" s="17">
        <f t="shared" si="5"/>
        <v>6.6666666666666693E-2</v>
      </c>
      <c r="AB24" s="17">
        <f>+VLOOKUP(E24,[1]base!M:N,2,0)</f>
        <v>6</v>
      </c>
      <c r="AC24" s="17">
        <f>+VLOOKUP(E24,[1]base!M:Q,5,0)</f>
        <v>150.71428571428572</v>
      </c>
      <c r="AD24" s="18">
        <f>+VLOOKUP(E24,[1]base!M:P,4,0)</f>
        <v>0.25</v>
      </c>
      <c r="AE24" s="19">
        <f t="shared" si="6"/>
        <v>0.29999999999999993</v>
      </c>
    </row>
    <row r="25" spans="1:31" x14ac:dyDescent="0.25">
      <c r="A25" s="10" t="s">
        <v>91</v>
      </c>
      <c r="B25" s="11">
        <v>46267.551539351851</v>
      </c>
      <c r="C25" s="12" t="s">
        <v>39</v>
      </c>
      <c r="D25" s="12" t="s">
        <v>90</v>
      </c>
      <c r="E25" s="13" t="str">
        <f t="shared" si="0"/>
        <v>EC40104</v>
      </c>
      <c r="F25" s="14" t="str">
        <f t="shared" si="1"/>
        <v>BLC</v>
      </c>
      <c r="G25" s="14">
        <f>+VLOOKUP(F25,[1]base!A:B,2,0)</f>
        <v>1</v>
      </c>
      <c r="H25" s="14">
        <v>60</v>
      </c>
      <c r="I25" s="14">
        <v>60</v>
      </c>
      <c r="J25" s="14"/>
      <c r="K25" s="14" t="s">
        <v>33</v>
      </c>
      <c r="L25" s="14" t="s">
        <v>76</v>
      </c>
      <c r="M25" s="14" t="s">
        <v>77</v>
      </c>
      <c r="N25" s="14"/>
      <c r="O25" s="14"/>
      <c r="P25" s="14"/>
      <c r="Q25" s="14">
        <v>0</v>
      </c>
      <c r="R25" s="14">
        <v>2</v>
      </c>
      <c r="S25" s="14"/>
      <c r="T25" s="15">
        <v>60</v>
      </c>
      <c r="U25" s="16"/>
      <c r="V25" s="17">
        <v>1036</v>
      </c>
      <c r="W25" s="17">
        <f t="shared" si="2"/>
        <v>62160</v>
      </c>
      <c r="X25" s="17">
        <f t="shared" si="3"/>
        <v>3232.3199999999997</v>
      </c>
      <c r="Y25" s="17">
        <v>1041</v>
      </c>
      <c r="Z25" s="17">
        <f t="shared" si="4"/>
        <v>1</v>
      </c>
      <c r="AA25" s="17">
        <f t="shared" si="5"/>
        <v>6.6666666666666693E-2</v>
      </c>
      <c r="AB25" s="17">
        <f>+VLOOKUP(E25,[1]base!M:N,2,0)</f>
        <v>6</v>
      </c>
      <c r="AC25" s="17">
        <f>+VLOOKUP(E25,[1]base!M:Q,5,0)</f>
        <v>150.71428571428572</v>
      </c>
      <c r="AD25" s="18">
        <f>+VLOOKUP(E25,[1]base!M:P,4,0)</f>
        <v>0.25</v>
      </c>
      <c r="AE25" s="19">
        <f t="shared" si="6"/>
        <v>0.29999999999999993</v>
      </c>
    </row>
    <row r="26" spans="1:31" x14ac:dyDescent="0.25">
      <c r="A26" s="20" t="s">
        <v>92</v>
      </c>
      <c r="B26" s="11">
        <v>46212.510960648149</v>
      </c>
      <c r="C26" s="12" t="s">
        <v>39</v>
      </c>
      <c r="D26" s="12" t="s">
        <v>93</v>
      </c>
      <c r="E26" s="13" t="str">
        <f t="shared" si="0"/>
        <v>AL11026</v>
      </c>
      <c r="F26" s="14" t="str">
        <f t="shared" si="1"/>
        <v>BLC</v>
      </c>
      <c r="G26" s="14">
        <f>+VLOOKUP(F26,[1]base!A:B,2,0)</f>
        <v>1</v>
      </c>
      <c r="H26" s="14">
        <v>40</v>
      </c>
      <c r="I26" s="14">
        <v>10</v>
      </c>
      <c r="J26" s="14"/>
      <c r="K26" s="14" t="s">
        <v>72</v>
      </c>
      <c r="L26" s="14" t="s">
        <v>76</v>
      </c>
      <c r="M26" s="14" t="s">
        <v>77</v>
      </c>
      <c r="N26" s="14"/>
      <c r="O26" s="14"/>
      <c r="P26" s="14"/>
      <c r="Q26" s="14">
        <v>44</v>
      </c>
      <c r="R26" s="14">
        <v>20</v>
      </c>
      <c r="S26" s="14"/>
      <c r="T26" s="15">
        <v>10</v>
      </c>
      <c r="U26" s="16"/>
      <c r="V26" s="17">
        <v>102</v>
      </c>
      <c r="W26" s="17">
        <f t="shared" si="2"/>
        <v>1020</v>
      </c>
      <c r="X26" s="17">
        <f t="shared" si="3"/>
        <v>53.04</v>
      </c>
      <c r="Y26" s="17">
        <v>107</v>
      </c>
      <c r="Z26" s="17">
        <f t="shared" si="4"/>
        <v>1</v>
      </c>
      <c r="AA26" s="17">
        <f t="shared" si="5"/>
        <v>6.6666666666666693E-2</v>
      </c>
      <c r="AB26" s="17">
        <f>+VLOOKUP(E26,[1]base!M:N,2,0)</f>
        <v>12</v>
      </c>
      <c r="AC26" s="17">
        <f>+VLOOKUP(E26,[1]base!M:Q,5,0)</f>
        <v>222.375</v>
      </c>
      <c r="AD26" s="18">
        <f>+VLOOKUP(E26,[1]base!M:P,4,0)</f>
        <v>0.625</v>
      </c>
      <c r="AE26" s="19">
        <f t="shared" si="6"/>
        <v>-3.9000000000000004</v>
      </c>
    </row>
    <row r="27" spans="1:31" x14ac:dyDescent="0.25">
      <c r="A27" s="10" t="s">
        <v>94</v>
      </c>
      <c r="B27" s="11">
        <v>46266.490532407406</v>
      </c>
      <c r="C27" s="12" t="s">
        <v>95</v>
      </c>
      <c r="D27" s="12" t="s">
        <v>96</v>
      </c>
      <c r="E27" s="13" t="str">
        <f t="shared" si="0"/>
        <v>CO103</v>
      </c>
      <c r="F27" s="14" t="str">
        <f t="shared" si="1"/>
        <v>BLC</v>
      </c>
      <c r="G27" s="14">
        <f>+VLOOKUP(F27,[1]base!A:B,2,0)</f>
        <v>1</v>
      </c>
      <c r="H27" s="14">
        <v>20</v>
      </c>
      <c r="I27" s="14">
        <v>20</v>
      </c>
      <c r="J27" s="14"/>
      <c r="K27" s="14" t="s">
        <v>33</v>
      </c>
      <c r="L27" s="14" t="s">
        <v>76</v>
      </c>
      <c r="M27" s="14" t="s">
        <v>77</v>
      </c>
      <c r="N27" s="14"/>
      <c r="O27" s="14"/>
      <c r="P27" s="14"/>
      <c r="Q27" s="14">
        <v>0</v>
      </c>
      <c r="R27" s="14">
        <v>81</v>
      </c>
      <c r="S27" s="14"/>
      <c r="T27" s="15">
        <v>20</v>
      </c>
      <c r="U27" s="16"/>
      <c r="V27" s="17">
        <v>927</v>
      </c>
      <c r="W27" s="17">
        <f t="shared" si="2"/>
        <v>18540</v>
      </c>
      <c r="X27" s="17">
        <f t="shared" si="3"/>
        <v>964.07999999999993</v>
      </c>
      <c r="Y27" s="17">
        <v>932</v>
      </c>
      <c r="Z27" s="17">
        <f t="shared" si="4"/>
        <v>1</v>
      </c>
      <c r="AA27" s="17">
        <f t="shared" si="5"/>
        <v>6.6666666666666693E-2</v>
      </c>
      <c r="AB27" s="17">
        <f>+VLOOKUP(E27,[1]base!M:N,2,0)</f>
        <v>13</v>
      </c>
      <c r="AC27" s="17">
        <f>+VLOOKUP(E27,[1]base!M:Q,5,0)</f>
        <v>593.63636363636363</v>
      </c>
      <c r="AD27" s="18">
        <f>+VLOOKUP(E27,[1]base!M:P,4,0)</f>
        <v>0.90647482014388492</v>
      </c>
      <c r="AE27" s="19">
        <f t="shared" si="6"/>
        <v>-7.8841726618705046</v>
      </c>
    </row>
    <row r="28" spans="1:31" x14ac:dyDescent="0.25">
      <c r="A28" s="20" t="s">
        <v>79</v>
      </c>
      <c r="B28" s="11">
        <v>46217.613946759258</v>
      </c>
      <c r="C28" s="12" t="s">
        <v>80</v>
      </c>
      <c r="D28" s="12" t="s">
        <v>97</v>
      </c>
      <c r="E28" s="13" t="str">
        <f t="shared" si="0"/>
        <v>FR148</v>
      </c>
      <c r="F28" s="14" t="str">
        <f t="shared" si="1"/>
        <v>BLC</v>
      </c>
      <c r="G28" s="14">
        <f>+VLOOKUP(F28,[1]base!A:B,2,0)</f>
        <v>1</v>
      </c>
      <c r="H28" s="14">
        <v>10</v>
      </c>
      <c r="I28" s="14">
        <v>1</v>
      </c>
      <c r="J28" s="14"/>
      <c r="K28" s="14" t="s">
        <v>33</v>
      </c>
      <c r="L28" s="14" t="s">
        <v>76</v>
      </c>
      <c r="M28" s="14" t="s">
        <v>77</v>
      </c>
      <c r="N28" s="14"/>
      <c r="O28" s="14"/>
      <c r="P28" s="14"/>
      <c r="Q28" s="14">
        <v>0</v>
      </c>
      <c r="R28" s="14">
        <v>0</v>
      </c>
      <c r="S28" s="14"/>
      <c r="T28" s="15">
        <v>1</v>
      </c>
      <c r="U28" s="16"/>
      <c r="V28" s="17">
        <v>112</v>
      </c>
      <c r="W28" s="17">
        <f t="shared" si="2"/>
        <v>112</v>
      </c>
      <c r="X28" s="17">
        <f t="shared" si="3"/>
        <v>5.8239999999999998</v>
      </c>
      <c r="Y28" s="17">
        <v>117</v>
      </c>
      <c r="Z28" s="17">
        <f t="shared" si="4"/>
        <v>1</v>
      </c>
      <c r="AA28" s="17">
        <f t="shared" si="5"/>
        <v>6.6666666666666693E-2</v>
      </c>
      <c r="AB28" s="17">
        <f>+VLOOKUP(E28,[1]base!M:N,2,0)</f>
        <v>18</v>
      </c>
      <c r="AC28" s="17">
        <f>+VLOOKUP(E28,[1]base!M:Q,5,0)</f>
        <v>92.285714285714292</v>
      </c>
      <c r="AD28" s="18">
        <f>+VLOOKUP(E28,[1]base!M:P,4,0)</f>
        <v>0.53846153846153844</v>
      </c>
      <c r="AE28" s="19">
        <f t="shared" si="6"/>
        <v>-4.2923076923076922</v>
      </c>
    </row>
    <row r="29" spans="1:31" x14ac:dyDescent="0.25">
      <c r="A29" s="10" t="s">
        <v>98</v>
      </c>
      <c r="B29" s="11">
        <v>46220.346666666665</v>
      </c>
      <c r="C29" s="12" t="s">
        <v>70</v>
      </c>
      <c r="D29" s="12" t="s">
        <v>97</v>
      </c>
      <c r="E29" s="13" t="str">
        <f t="shared" si="0"/>
        <v>FR148</v>
      </c>
      <c r="F29" s="14" t="str">
        <f t="shared" si="1"/>
        <v>BLC</v>
      </c>
      <c r="G29" s="14">
        <f>+VLOOKUP(F29,[1]base!A:B,2,0)</f>
        <v>1</v>
      </c>
      <c r="H29" s="14">
        <v>30</v>
      </c>
      <c r="I29" s="14">
        <v>16</v>
      </c>
      <c r="J29" s="14"/>
      <c r="K29" s="14" t="s">
        <v>33</v>
      </c>
      <c r="L29" s="14" t="s">
        <v>76</v>
      </c>
      <c r="M29" s="14" t="s">
        <v>77</v>
      </c>
      <c r="N29" s="14"/>
      <c r="O29" s="14"/>
      <c r="P29" s="14"/>
      <c r="Q29" s="14">
        <v>0</v>
      </c>
      <c r="R29" s="14">
        <v>0</v>
      </c>
      <c r="S29" s="14"/>
      <c r="T29" s="15">
        <v>16</v>
      </c>
      <c r="U29" s="16"/>
      <c r="V29" s="17">
        <v>155</v>
      </c>
      <c r="W29" s="17">
        <f t="shared" si="2"/>
        <v>2480</v>
      </c>
      <c r="X29" s="17">
        <f t="shared" si="3"/>
        <v>128.96</v>
      </c>
      <c r="Y29" s="17">
        <v>160</v>
      </c>
      <c r="Z29" s="17">
        <f t="shared" si="4"/>
        <v>1</v>
      </c>
      <c r="AA29" s="17">
        <f t="shared" si="5"/>
        <v>6.6666666666666693E-2</v>
      </c>
      <c r="AB29" s="17">
        <f>+VLOOKUP(E29,[1]base!M:N,2,0)</f>
        <v>18</v>
      </c>
      <c r="AC29" s="17">
        <f>+VLOOKUP(E29,[1]base!M:Q,5,0)</f>
        <v>92.285714285714292</v>
      </c>
      <c r="AD29" s="18">
        <f>+VLOOKUP(E29,[1]base!M:P,4,0)</f>
        <v>0.53846153846153844</v>
      </c>
      <c r="AE29" s="19">
        <f t="shared" si="6"/>
        <v>-4.2923076923076922</v>
      </c>
    </row>
    <row r="30" spans="1:31" x14ac:dyDescent="0.25">
      <c r="A30" s="10" t="s">
        <v>99</v>
      </c>
      <c r="B30" s="11">
        <v>46238.533275462964</v>
      </c>
      <c r="C30" s="12" t="s">
        <v>70</v>
      </c>
      <c r="D30" s="12" t="s">
        <v>97</v>
      </c>
      <c r="E30" s="13" t="str">
        <f t="shared" si="0"/>
        <v>FR148</v>
      </c>
      <c r="F30" s="14" t="str">
        <f t="shared" si="1"/>
        <v>BLC</v>
      </c>
      <c r="G30" s="14">
        <f>+VLOOKUP(F30,[1]base!A:B,2,0)</f>
        <v>1</v>
      </c>
      <c r="H30" s="14">
        <v>10</v>
      </c>
      <c r="I30" s="14">
        <v>10</v>
      </c>
      <c r="J30" s="14"/>
      <c r="K30" s="14" t="s">
        <v>72</v>
      </c>
      <c r="L30" s="14" t="s">
        <v>76</v>
      </c>
      <c r="M30" s="14" t="s">
        <v>77</v>
      </c>
      <c r="N30" s="14"/>
      <c r="O30" s="14"/>
      <c r="P30" s="14"/>
      <c r="Q30" s="14">
        <v>12</v>
      </c>
      <c r="R30" s="14">
        <v>0</v>
      </c>
      <c r="S30" s="14">
        <v>6</v>
      </c>
      <c r="T30" s="15">
        <v>10</v>
      </c>
      <c r="U30" s="16"/>
      <c r="V30" s="17">
        <v>368</v>
      </c>
      <c r="W30" s="17">
        <f t="shared" si="2"/>
        <v>3680</v>
      </c>
      <c r="X30" s="17">
        <f t="shared" si="3"/>
        <v>191.35999999999999</v>
      </c>
      <c r="Y30" s="17">
        <v>373</v>
      </c>
      <c r="Z30" s="17">
        <f t="shared" si="4"/>
        <v>1</v>
      </c>
      <c r="AA30" s="17">
        <f t="shared" si="5"/>
        <v>6.6666666666666693E-2</v>
      </c>
      <c r="AB30" s="17">
        <f>+VLOOKUP(E30,[1]base!M:N,2,0)</f>
        <v>18</v>
      </c>
      <c r="AC30" s="17">
        <f>+VLOOKUP(E30,[1]base!M:Q,5,0)</f>
        <v>92.285714285714292</v>
      </c>
      <c r="AD30" s="18">
        <f>+VLOOKUP(E30,[1]base!M:P,4,0)</f>
        <v>0.53846153846153844</v>
      </c>
      <c r="AE30" s="19">
        <f t="shared" si="6"/>
        <v>-4.2923076923076922</v>
      </c>
    </row>
    <row r="31" spans="1:31" x14ac:dyDescent="0.25">
      <c r="A31" s="10" t="s">
        <v>100</v>
      </c>
      <c r="B31" s="11">
        <v>46249.302256944444</v>
      </c>
      <c r="C31" s="12" t="s">
        <v>86</v>
      </c>
      <c r="D31" s="12" t="s">
        <v>97</v>
      </c>
      <c r="E31" s="13" t="str">
        <f t="shared" si="0"/>
        <v>FR148</v>
      </c>
      <c r="F31" s="14" t="str">
        <f t="shared" si="1"/>
        <v>BLC</v>
      </c>
      <c r="G31" s="14">
        <f>+VLOOKUP(F31,[1]base!A:B,2,0)</f>
        <v>1</v>
      </c>
      <c r="H31" s="14">
        <v>4</v>
      </c>
      <c r="I31" s="14">
        <v>4</v>
      </c>
      <c r="J31" s="14"/>
      <c r="K31" s="14" t="s">
        <v>33</v>
      </c>
      <c r="L31" s="14" t="s">
        <v>76</v>
      </c>
      <c r="M31" s="14" t="s">
        <v>77</v>
      </c>
      <c r="N31" s="14"/>
      <c r="O31" s="14"/>
      <c r="P31" s="14"/>
      <c r="Q31" s="14">
        <v>0</v>
      </c>
      <c r="R31" s="14">
        <v>0</v>
      </c>
      <c r="S31" s="14"/>
      <c r="T31" s="15">
        <v>4</v>
      </c>
      <c r="U31" s="16"/>
      <c r="V31" s="17">
        <v>491</v>
      </c>
      <c r="W31" s="17">
        <f t="shared" si="2"/>
        <v>1964</v>
      </c>
      <c r="X31" s="17">
        <f t="shared" si="3"/>
        <v>102.128</v>
      </c>
      <c r="Y31" s="17">
        <v>496</v>
      </c>
      <c r="Z31" s="17">
        <f t="shared" si="4"/>
        <v>1</v>
      </c>
      <c r="AA31" s="17">
        <f t="shared" si="5"/>
        <v>6.6666666666666693E-2</v>
      </c>
      <c r="AB31" s="17">
        <f>+VLOOKUP(E31,[1]base!M:N,2,0)</f>
        <v>18</v>
      </c>
      <c r="AC31" s="17">
        <f>+VLOOKUP(E31,[1]base!M:Q,5,0)</f>
        <v>92.285714285714292</v>
      </c>
      <c r="AD31" s="18">
        <f>+VLOOKUP(E31,[1]base!M:P,4,0)</f>
        <v>0.53846153846153844</v>
      </c>
      <c r="AE31" s="19">
        <f t="shared" si="6"/>
        <v>-4.2923076923076922</v>
      </c>
    </row>
    <row r="32" spans="1:31" x14ac:dyDescent="0.25">
      <c r="A32" s="10" t="s">
        <v>101</v>
      </c>
      <c r="B32" s="11">
        <v>46246.522766203707</v>
      </c>
      <c r="C32" s="12" t="s">
        <v>102</v>
      </c>
      <c r="D32" s="12" t="s">
        <v>97</v>
      </c>
      <c r="E32" s="13" t="str">
        <f t="shared" si="0"/>
        <v>FR148</v>
      </c>
      <c r="F32" s="14" t="str">
        <f t="shared" si="1"/>
        <v>BLC</v>
      </c>
      <c r="G32" s="14">
        <f>+VLOOKUP(F32,[1]base!A:B,2,0)</f>
        <v>1</v>
      </c>
      <c r="H32" s="14">
        <v>10</v>
      </c>
      <c r="I32" s="14">
        <v>10</v>
      </c>
      <c r="J32" s="14"/>
      <c r="K32" s="14" t="s">
        <v>33</v>
      </c>
      <c r="L32" s="14" t="s">
        <v>103</v>
      </c>
      <c r="M32" s="14" t="s">
        <v>35</v>
      </c>
      <c r="N32" s="14">
        <v>10</v>
      </c>
      <c r="O32" s="14">
        <v>10</v>
      </c>
      <c r="P32" s="14">
        <v>0</v>
      </c>
      <c r="Q32" s="14">
        <v>0</v>
      </c>
      <c r="R32" s="14">
        <v>0</v>
      </c>
      <c r="S32" s="14"/>
      <c r="T32" s="15">
        <v>10</v>
      </c>
      <c r="U32" s="16"/>
      <c r="V32" s="17">
        <v>449</v>
      </c>
      <c r="W32" s="17">
        <f t="shared" si="2"/>
        <v>4490</v>
      </c>
      <c r="X32" s="17">
        <f t="shared" si="3"/>
        <v>233.48</v>
      </c>
      <c r="Y32" s="17">
        <v>454</v>
      </c>
      <c r="Z32" s="17">
        <f t="shared" si="4"/>
        <v>1</v>
      </c>
      <c r="AA32" s="17">
        <f t="shared" si="5"/>
        <v>6.6666666666666693E-2</v>
      </c>
      <c r="AB32" s="17">
        <f>+VLOOKUP(E32,[1]base!M:N,2,0)</f>
        <v>18</v>
      </c>
      <c r="AC32" s="17">
        <f>+VLOOKUP(E32,[1]base!M:Q,5,0)</f>
        <v>92.285714285714292</v>
      </c>
      <c r="AD32" s="18">
        <f>+VLOOKUP(E32,[1]base!M:P,4,0)</f>
        <v>0.53846153846153844</v>
      </c>
      <c r="AE32" s="19">
        <f t="shared" si="6"/>
        <v>-4.2923076923076922</v>
      </c>
    </row>
    <row r="33" spans="1:31" x14ac:dyDescent="0.25">
      <c r="A33" s="20" t="s">
        <v>104</v>
      </c>
      <c r="B33" s="11">
        <v>46209.432268518518</v>
      </c>
      <c r="C33" s="12" t="s">
        <v>57</v>
      </c>
      <c r="D33" s="12" t="s">
        <v>105</v>
      </c>
      <c r="E33" s="13" t="str">
        <f t="shared" si="0"/>
        <v>EC40112</v>
      </c>
      <c r="F33" s="14" t="str">
        <f t="shared" si="1"/>
        <v>BLC</v>
      </c>
      <c r="G33" s="14">
        <f>+VLOOKUP(F33,[1]base!A:B,2,0)</f>
        <v>1</v>
      </c>
      <c r="H33" s="14">
        <v>12</v>
      </c>
      <c r="I33" s="14">
        <v>2</v>
      </c>
      <c r="J33" s="14"/>
      <c r="K33" s="14" t="s">
        <v>33</v>
      </c>
      <c r="L33" s="14" t="s">
        <v>76</v>
      </c>
      <c r="M33" s="14" t="s">
        <v>77</v>
      </c>
      <c r="N33" s="14"/>
      <c r="O33" s="14"/>
      <c r="P33" s="14"/>
      <c r="Q33" s="14">
        <v>0</v>
      </c>
      <c r="R33" s="14">
        <v>13</v>
      </c>
      <c r="S33" s="14"/>
      <c r="T33" s="15">
        <v>2</v>
      </c>
      <c r="U33" s="16"/>
      <c r="V33" s="17">
        <v>77</v>
      </c>
      <c r="W33" s="17">
        <f t="shared" si="2"/>
        <v>154</v>
      </c>
      <c r="X33" s="17">
        <f t="shared" si="3"/>
        <v>8.0079999999999991</v>
      </c>
      <c r="Y33" s="17">
        <v>82</v>
      </c>
      <c r="Z33" s="17">
        <f t="shared" si="4"/>
        <v>1</v>
      </c>
      <c r="AA33" s="17">
        <f t="shared" si="5"/>
        <v>6.6666666666666693E-2</v>
      </c>
      <c r="AB33" s="17">
        <f>+VLOOKUP(E33,[1]base!M:N,2,0)</f>
        <v>23</v>
      </c>
      <c r="AC33" s="17">
        <f>+VLOOKUP(E33,[1]base!M:Q,5,0)</f>
        <v>268.39999999999998</v>
      </c>
      <c r="AD33" s="18">
        <f>+VLOOKUP(E33,[1]base!M:P,4,0)</f>
        <v>0.23333333333333334</v>
      </c>
      <c r="AE33" s="19">
        <f t="shared" si="6"/>
        <v>1.533333333333333</v>
      </c>
    </row>
    <row r="34" spans="1:31" x14ac:dyDescent="0.25">
      <c r="A34" s="10" t="s">
        <v>106</v>
      </c>
      <c r="B34" s="11">
        <v>46226.41915509259</v>
      </c>
      <c r="C34" s="12" t="s">
        <v>107</v>
      </c>
      <c r="D34" s="12" t="s">
        <v>105</v>
      </c>
      <c r="E34" s="13" t="str">
        <f t="shared" si="0"/>
        <v>EC40112</v>
      </c>
      <c r="F34" s="14" t="str">
        <f t="shared" si="1"/>
        <v>BLC</v>
      </c>
      <c r="G34" s="14">
        <f>+VLOOKUP(F34,[1]base!A:B,2,0)</f>
        <v>1</v>
      </c>
      <c r="H34" s="14">
        <v>10</v>
      </c>
      <c r="I34" s="14">
        <v>10</v>
      </c>
      <c r="J34" s="14"/>
      <c r="K34" s="14" t="s">
        <v>72</v>
      </c>
      <c r="L34" s="14" t="s">
        <v>76</v>
      </c>
      <c r="M34" s="14" t="s">
        <v>77</v>
      </c>
      <c r="N34" s="14"/>
      <c r="O34" s="14"/>
      <c r="P34" s="14"/>
      <c r="Q34" s="14">
        <v>10</v>
      </c>
      <c r="R34" s="14">
        <v>13</v>
      </c>
      <c r="S34" s="14"/>
      <c r="T34" s="15">
        <v>10</v>
      </c>
      <c r="U34" s="16"/>
      <c r="V34" s="17">
        <v>236</v>
      </c>
      <c r="W34" s="17">
        <f t="shared" si="2"/>
        <v>2360</v>
      </c>
      <c r="X34" s="17">
        <f t="shared" si="3"/>
        <v>122.72</v>
      </c>
      <c r="Y34" s="17">
        <v>241</v>
      </c>
      <c r="Z34" s="17">
        <f t="shared" si="4"/>
        <v>1</v>
      </c>
      <c r="AA34" s="17">
        <f t="shared" si="5"/>
        <v>6.6666666666666693E-2</v>
      </c>
      <c r="AB34" s="17">
        <f>+VLOOKUP(E34,[1]base!M:N,2,0)</f>
        <v>23</v>
      </c>
      <c r="AC34" s="17">
        <f>+VLOOKUP(E34,[1]base!M:Q,5,0)</f>
        <v>268.39999999999998</v>
      </c>
      <c r="AD34" s="18">
        <f>+VLOOKUP(E34,[1]base!M:P,4,0)</f>
        <v>0.23333333333333334</v>
      </c>
      <c r="AE34" s="19">
        <f t="shared" si="6"/>
        <v>1.533333333333333</v>
      </c>
    </row>
    <row r="35" spans="1:31" x14ac:dyDescent="0.25">
      <c r="A35" s="10" t="s">
        <v>108</v>
      </c>
      <c r="B35" s="11">
        <v>46231.577476851853</v>
      </c>
      <c r="C35" s="12" t="s">
        <v>39</v>
      </c>
      <c r="D35" s="12" t="s">
        <v>105</v>
      </c>
      <c r="E35" s="13" t="str">
        <f t="shared" si="0"/>
        <v>EC40112</v>
      </c>
      <c r="F35" s="14" t="str">
        <f t="shared" si="1"/>
        <v>BLC</v>
      </c>
      <c r="G35" s="14">
        <f>+VLOOKUP(F35,[1]base!A:B,2,0)</f>
        <v>1</v>
      </c>
      <c r="H35" s="14">
        <v>40</v>
      </c>
      <c r="I35" s="14">
        <v>40</v>
      </c>
      <c r="J35" s="14"/>
      <c r="K35" s="14" t="s">
        <v>33</v>
      </c>
      <c r="L35" s="14" t="s">
        <v>76</v>
      </c>
      <c r="M35" s="14" t="s">
        <v>77</v>
      </c>
      <c r="N35" s="14"/>
      <c r="O35" s="14"/>
      <c r="P35" s="14"/>
      <c r="Q35" s="14">
        <v>0</v>
      </c>
      <c r="R35" s="14">
        <v>13</v>
      </c>
      <c r="S35" s="14"/>
      <c r="T35" s="15">
        <v>40</v>
      </c>
      <c r="U35" s="16"/>
      <c r="V35" s="17">
        <v>308</v>
      </c>
      <c r="W35" s="17">
        <f t="shared" si="2"/>
        <v>12320</v>
      </c>
      <c r="X35" s="17">
        <f t="shared" si="3"/>
        <v>640.64</v>
      </c>
      <c r="Y35" s="17">
        <v>313</v>
      </c>
      <c r="Z35" s="17">
        <f t="shared" si="4"/>
        <v>1</v>
      </c>
      <c r="AA35" s="17">
        <f t="shared" si="5"/>
        <v>6.6666666666666693E-2</v>
      </c>
      <c r="AB35" s="17">
        <f>+VLOOKUP(E35,[1]base!M:N,2,0)</f>
        <v>23</v>
      </c>
      <c r="AC35" s="17">
        <f>+VLOOKUP(E35,[1]base!M:Q,5,0)</f>
        <v>268.39999999999998</v>
      </c>
      <c r="AD35" s="18">
        <f>+VLOOKUP(E35,[1]base!M:P,4,0)</f>
        <v>0.23333333333333334</v>
      </c>
      <c r="AE35" s="19">
        <f t="shared" si="6"/>
        <v>1.533333333333333</v>
      </c>
    </row>
    <row r="36" spans="1:31" x14ac:dyDescent="0.25">
      <c r="A36" s="10" t="s">
        <v>109</v>
      </c>
      <c r="B36" s="11">
        <v>46233.326342592591</v>
      </c>
      <c r="C36" s="12" t="s">
        <v>86</v>
      </c>
      <c r="D36" s="12" t="s">
        <v>105</v>
      </c>
      <c r="E36" s="13" t="str">
        <f t="shared" si="0"/>
        <v>EC40112</v>
      </c>
      <c r="F36" s="14" t="str">
        <f t="shared" si="1"/>
        <v>BLC</v>
      </c>
      <c r="G36" s="14">
        <f>+VLOOKUP(F36,[1]base!A:B,2,0)</f>
        <v>1</v>
      </c>
      <c r="H36" s="14">
        <v>8</v>
      </c>
      <c r="I36" s="14">
        <v>8</v>
      </c>
      <c r="J36" s="14"/>
      <c r="K36" s="14" t="s">
        <v>33</v>
      </c>
      <c r="L36" s="14" t="s">
        <v>76</v>
      </c>
      <c r="M36" s="14" t="s">
        <v>77</v>
      </c>
      <c r="N36" s="14"/>
      <c r="O36" s="14"/>
      <c r="P36" s="14"/>
      <c r="Q36" s="14">
        <v>0</v>
      </c>
      <c r="R36" s="14">
        <v>13</v>
      </c>
      <c r="S36" s="14"/>
      <c r="T36" s="15">
        <v>8</v>
      </c>
      <c r="U36" s="16"/>
      <c r="V36" s="17">
        <v>319</v>
      </c>
      <c r="W36" s="17">
        <f t="shared" si="2"/>
        <v>2552</v>
      </c>
      <c r="X36" s="17">
        <f t="shared" si="3"/>
        <v>132.70400000000001</v>
      </c>
      <c r="Y36" s="17">
        <v>324</v>
      </c>
      <c r="Z36" s="17">
        <f t="shared" si="4"/>
        <v>1</v>
      </c>
      <c r="AA36" s="17">
        <f t="shared" si="5"/>
        <v>6.6666666666666693E-2</v>
      </c>
      <c r="AB36" s="17">
        <f>+VLOOKUP(E36,[1]base!M:N,2,0)</f>
        <v>23</v>
      </c>
      <c r="AC36" s="17">
        <f>+VLOOKUP(E36,[1]base!M:Q,5,0)</f>
        <v>268.39999999999998</v>
      </c>
      <c r="AD36" s="18">
        <f>+VLOOKUP(E36,[1]base!M:P,4,0)</f>
        <v>0.23333333333333334</v>
      </c>
      <c r="AE36" s="19">
        <f t="shared" si="6"/>
        <v>1.533333333333333</v>
      </c>
    </row>
    <row r="37" spans="1:31" x14ac:dyDescent="0.25">
      <c r="A37" s="10" t="s">
        <v>110</v>
      </c>
      <c r="B37" s="11">
        <v>46233.394189814811</v>
      </c>
      <c r="C37" s="12" t="s">
        <v>95</v>
      </c>
      <c r="D37" s="12" t="s">
        <v>105</v>
      </c>
      <c r="E37" s="13" t="str">
        <f t="shared" si="0"/>
        <v>EC40112</v>
      </c>
      <c r="F37" s="14" t="str">
        <f t="shared" si="1"/>
        <v>BLC</v>
      </c>
      <c r="G37" s="14">
        <f>+VLOOKUP(F37,[1]base!A:B,2,0)</f>
        <v>1</v>
      </c>
      <c r="H37" s="14">
        <v>18</v>
      </c>
      <c r="I37" s="14">
        <v>18</v>
      </c>
      <c r="J37" s="14"/>
      <c r="K37" s="14" t="s">
        <v>33</v>
      </c>
      <c r="L37" s="14" t="s">
        <v>76</v>
      </c>
      <c r="M37" s="14" t="s">
        <v>77</v>
      </c>
      <c r="N37" s="14"/>
      <c r="O37" s="14"/>
      <c r="P37" s="14"/>
      <c r="Q37" s="14">
        <v>0</v>
      </c>
      <c r="R37" s="14">
        <v>13</v>
      </c>
      <c r="S37" s="14"/>
      <c r="T37" s="15">
        <v>18</v>
      </c>
      <c r="U37" s="16"/>
      <c r="V37" s="17">
        <v>320</v>
      </c>
      <c r="W37" s="17">
        <f t="shared" si="2"/>
        <v>5760</v>
      </c>
      <c r="X37" s="17">
        <f t="shared" si="3"/>
        <v>299.52</v>
      </c>
      <c r="Y37" s="17">
        <v>325</v>
      </c>
      <c r="Z37" s="17">
        <f t="shared" si="4"/>
        <v>1</v>
      </c>
      <c r="AA37" s="17">
        <f t="shared" si="5"/>
        <v>6.6666666666666693E-2</v>
      </c>
      <c r="AB37" s="17">
        <f>+VLOOKUP(E37,[1]base!M:N,2,0)</f>
        <v>23</v>
      </c>
      <c r="AC37" s="17">
        <f>+VLOOKUP(E37,[1]base!M:Q,5,0)</f>
        <v>268.39999999999998</v>
      </c>
      <c r="AD37" s="18">
        <f>+VLOOKUP(E37,[1]base!M:P,4,0)</f>
        <v>0.23333333333333334</v>
      </c>
      <c r="AE37" s="19">
        <f t="shared" si="6"/>
        <v>1.533333333333333</v>
      </c>
    </row>
    <row r="38" spans="1:31" x14ac:dyDescent="0.25">
      <c r="A38" s="10" t="s">
        <v>111</v>
      </c>
      <c r="B38" s="11">
        <v>46240.550856481481</v>
      </c>
      <c r="C38" s="12" t="s">
        <v>112</v>
      </c>
      <c r="D38" s="12" t="s">
        <v>105</v>
      </c>
      <c r="E38" s="13" t="str">
        <f t="shared" si="0"/>
        <v>EC40112</v>
      </c>
      <c r="F38" s="14" t="str">
        <f t="shared" si="1"/>
        <v>BLC</v>
      </c>
      <c r="G38" s="14">
        <f>+VLOOKUP(F38,[1]base!A:B,2,0)</f>
        <v>1</v>
      </c>
      <c r="H38" s="14">
        <v>20</v>
      </c>
      <c r="I38" s="14">
        <v>20</v>
      </c>
      <c r="J38" s="14"/>
      <c r="K38" s="14" t="s">
        <v>33</v>
      </c>
      <c r="L38" s="14" t="s">
        <v>76</v>
      </c>
      <c r="M38" s="14" t="s">
        <v>77</v>
      </c>
      <c r="N38" s="14"/>
      <c r="O38" s="14"/>
      <c r="P38" s="14"/>
      <c r="Q38" s="14">
        <v>0</v>
      </c>
      <c r="R38" s="14">
        <v>13</v>
      </c>
      <c r="S38" s="14"/>
      <c r="T38" s="15">
        <v>20</v>
      </c>
      <c r="U38" s="16"/>
      <c r="V38" s="17">
        <v>384</v>
      </c>
      <c r="W38" s="17">
        <f t="shared" si="2"/>
        <v>7680</v>
      </c>
      <c r="X38" s="17">
        <f t="shared" si="3"/>
        <v>399.35999999999996</v>
      </c>
      <c r="Y38" s="17">
        <v>389</v>
      </c>
      <c r="Z38" s="17">
        <f t="shared" si="4"/>
        <v>1</v>
      </c>
      <c r="AA38" s="17">
        <f t="shared" si="5"/>
        <v>6.6666666666666693E-2</v>
      </c>
      <c r="AB38" s="17">
        <f>+VLOOKUP(E38,[1]base!M:N,2,0)</f>
        <v>23</v>
      </c>
      <c r="AC38" s="17">
        <f>+VLOOKUP(E38,[1]base!M:Q,5,0)</f>
        <v>268.39999999999998</v>
      </c>
      <c r="AD38" s="18">
        <f>+VLOOKUP(E38,[1]base!M:P,4,0)</f>
        <v>0.23333333333333334</v>
      </c>
      <c r="AE38" s="19">
        <f t="shared" si="6"/>
        <v>1.533333333333333</v>
      </c>
    </row>
    <row r="39" spans="1:31" x14ac:dyDescent="0.25">
      <c r="A39" s="10" t="s">
        <v>113</v>
      </c>
      <c r="B39" s="11">
        <v>46246.568078703705</v>
      </c>
      <c r="C39" s="12" t="s">
        <v>39</v>
      </c>
      <c r="D39" s="12" t="s">
        <v>105</v>
      </c>
      <c r="E39" s="13" t="str">
        <f t="shared" si="0"/>
        <v>EC40112</v>
      </c>
      <c r="F39" s="14" t="str">
        <f t="shared" si="1"/>
        <v>BLC</v>
      </c>
      <c r="G39" s="14">
        <f>+VLOOKUP(F39,[1]base!A:B,2,0)</f>
        <v>1</v>
      </c>
      <c r="H39" s="14">
        <v>50</v>
      </c>
      <c r="I39" s="14">
        <v>50</v>
      </c>
      <c r="J39" s="14"/>
      <c r="K39" s="14" t="s">
        <v>33</v>
      </c>
      <c r="L39" s="14" t="s">
        <v>76</v>
      </c>
      <c r="M39" s="14" t="s">
        <v>77</v>
      </c>
      <c r="N39" s="14"/>
      <c r="O39" s="14"/>
      <c r="P39" s="14"/>
      <c r="Q39" s="14">
        <v>0</v>
      </c>
      <c r="R39" s="14">
        <v>13</v>
      </c>
      <c r="S39" s="14"/>
      <c r="T39" s="15">
        <v>50</v>
      </c>
      <c r="U39" s="16"/>
      <c r="V39" s="17">
        <v>454</v>
      </c>
      <c r="W39" s="17">
        <f t="shared" si="2"/>
        <v>22700</v>
      </c>
      <c r="X39" s="17">
        <f t="shared" si="3"/>
        <v>1180.3999999999999</v>
      </c>
      <c r="Y39" s="17">
        <v>459</v>
      </c>
      <c r="Z39" s="17">
        <f t="shared" si="4"/>
        <v>1</v>
      </c>
      <c r="AA39" s="17">
        <f t="shared" si="5"/>
        <v>6.6666666666666693E-2</v>
      </c>
      <c r="AB39" s="17">
        <f>+VLOOKUP(E39,[1]base!M:N,2,0)</f>
        <v>23</v>
      </c>
      <c r="AC39" s="17">
        <f>+VLOOKUP(E39,[1]base!M:Q,5,0)</f>
        <v>268.39999999999998</v>
      </c>
      <c r="AD39" s="18">
        <f>+VLOOKUP(E39,[1]base!M:P,4,0)</f>
        <v>0.23333333333333334</v>
      </c>
      <c r="AE39" s="19">
        <f t="shared" si="6"/>
        <v>1.533333333333333</v>
      </c>
    </row>
    <row r="40" spans="1:31" x14ac:dyDescent="0.25">
      <c r="A40" s="10" t="s">
        <v>114</v>
      </c>
      <c r="B40" s="11">
        <v>46248.412974537037</v>
      </c>
      <c r="C40" s="12" t="s">
        <v>115</v>
      </c>
      <c r="D40" s="12" t="s">
        <v>105</v>
      </c>
      <c r="E40" s="13" t="str">
        <f t="shared" si="0"/>
        <v>EC40112</v>
      </c>
      <c r="F40" s="14" t="str">
        <f t="shared" si="1"/>
        <v>BLC</v>
      </c>
      <c r="G40" s="14">
        <f>+VLOOKUP(F40,[1]base!A:B,2,0)</f>
        <v>1</v>
      </c>
      <c r="H40" s="14">
        <v>4</v>
      </c>
      <c r="I40" s="14">
        <v>4</v>
      </c>
      <c r="J40" s="14"/>
      <c r="K40" s="14" t="s">
        <v>33</v>
      </c>
      <c r="L40" s="14" t="s">
        <v>116</v>
      </c>
      <c r="M40" s="14" t="s">
        <v>35</v>
      </c>
      <c r="N40" s="14">
        <v>4</v>
      </c>
      <c r="O40" s="14">
        <v>4</v>
      </c>
      <c r="P40" s="14">
        <v>0</v>
      </c>
      <c r="Q40" s="14">
        <v>0</v>
      </c>
      <c r="R40" s="14">
        <v>13</v>
      </c>
      <c r="S40" s="14"/>
      <c r="T40" s="15">
        <v>4</v>
      </c>
      <c r="U40" s="16"/>
      <c r="V40" s="17">
        <v>485</v>
      </c>
      <c r="W40" s="17">
        <f t="shared" si="2"/>
        <v>1940</v>
      </c>
      <c r="X40" s="17">
        <f t="shared" si="3"/>
        <v>100.88</v>
      </c>
      <c r="Y40" s="17">
        <v>490</v>
      </c>
      <c r="Z40" s="17">
        <f t="shared" si="4"/>
        <v>1</v>
      </c>
      <c r="AA40" s="17">
        <f t="shared" si="5"/>
        <v>6.6666666666666693E-2</v>
      </c>
      <c r="AB40" s="17">
        <f>+VLOOKUP(E40,[1]base!M:N,2,0)</f>
        <v>23</v>
      </c>
      <c r="AC40" s="17">
        <f>+VLOOKUP(E40,[1]base!M:Q,5,0)</f>
        <v>268.39999999999998</v>
      </c>
      <c r="AD40" s="18">
        <f>+VLOOKUP(E40,[1]base!M:P,4,0)</f>
        <v>0.23333333333333334</v>
      </c>
      <c r="AE40" s="19">
        <f t="shared" si="6"/>
        <v>1.533333333333333</v>
      </c>
    </row>
    <row r="41" spans="1:31" x14ac:dyDescent="0.25">
      <c r="A41" s="10" t="s">
        <v>117</v>
      </c>
      <c r="B41" s="11">
        <v>46261.508750000001</v>
      </c>
      <c r="C41" s="12" t="s">
        <v>86</v>
      </c>
      <c r="D41" s="12" t="s">
        <v>118</v>
      </c>
      <c r="E41" s="13" t="str">
        <f t="shared" si="0"/>
        <v>FSQ122</v>
      </c>
      <c r="F41" s="14" t="str">
        <f t="shared" si="1"/>
        <v>BLC</v>
      </c>
      <c r="G41" s="14">
        <f>+VLOOKUP(F41,[1]base!A:B,2,0)</f>
        <v>1</v>
      </c>
      <c r="H41" s="14">
        <v>4</v>
      </c>
      <c r="I41" s="14">
        <v>4</v>
      </c>
      <c r="J41" s="14"/>
      <c r="K41" s="14" t="s">
        <v>33</v>
      </c>
      <c r="L41" s="14" t="s">
        <v>119</v>
      </c>
      <c r="M41" s="14" t="s">
        <v>35</v>
      </c>
      <c r="N41" s="14">
        <v>4</v>
      </c>
      <c r="O41" s="14">
        <v>4</v>
      </c>
      <c r="P41" s="14">
        <v>0</v>
      </c>
      <c r="Q41" s="14">
        <v>0</v>
      </c>
      <c r="R41" s="14">
        <v>0</v>
      </c>
      <c r="S41" s="14"/>
      <c r="T41" s="15">
        <v>4</v>
      </c>
      <c r="U41" s="16"/>
      <c r="V41" s="17">
        <v>692</v>
      </c>
      <c r="W41" s="17">
        <f t="shared" si="2"/>
        <v>2768</v>
      </c>
      <c r="X41" s="17">
        <f t="shared" si="3"/>
        <v>143.93600000000001</v>
      </c>
      <c r="Y41" s="17">
        <v>697</v>
      </c>
      <c r="Z41" s="17">
        <f t="shared" si="4"/>
        <v>1</v>
      </c>
      <c r="AA41" s="17">
        <f t="shared" si="5"/>
        <v>6.6666666666666693E-2</v>
      </c>
      <c r="AB41" s="17">
        <f>+VLOOKUP(E41,[1]base!M:N,2,0)</f>
        <v>38</v>
      </c>
      <c r="AC41" s="17">
        <f>+VLOOKUP(E41,[1]base!M:Q,5,0)</f>
        <v>23.375</v>
      </c>
      <c r="AD41" s="18">
        <f>+VLOOKUP(E41,[1]base!M:P,4,0)</f>
        <v>0</v>
      </c>
      <c r="AE41" s="19">
        <f t="shared" si="6"/>
        <v>11.4</v>
      </c>
    </row>
    <row r="42" spans="1:31" x14ac:dyDescent="0.25">
      <c r="A42" s="10" t="s">
        <v>117</v>
      </c>
      <c r="B42" s="11">
        <v>46261.508750000001</v>
      </c>
      <c r="C42" s="12" t="s">
        <v>86</v>
      </c>
      <c r="D42" s="12" t="s">
        <v>120</v>
      </c>
      <c r="E42" s="13" t="str">
        <f t="shared" si="0"/>
        <v>FSQ406</v>
      </c>
      <c r="F42" s="14" t="str">
        <f t="shared" si="1"/>
        <v>BLC</v>
      </c>
      <c r="G42" s="14">
        <f>+VLOOKUP(F42,[1]base!A:B,2,0)</f>
        <v>1</v>
      </c>
      <c r="H42" s="14">
        <v>8</v>
      </c>
      <c r="I42" s="14">
        <v>8</v>
      </c>
      <c r="J42" s="14"/>
      <c r="K42" s="14" t="s">
        <v>33</v>
      </c>
      <c r="L42" s="14" t="s">
        <v>121</v>
      </c>
      <c r="M42" s="14" t="s">
        <v>35</v>
      </c>
      <c r="N42" s="14">
        <v>8</v>
      </c>
      <c r="O42" s="14">
        <v>8</v>
      </c>
      <c r="P42" s="14">
        <v>0</v>
      </c>
      <c r="Q42" s="14">
        <v>0</v>
      </c>
      <c r="R42" s="14">
        <v>0</v>
      </c>
      <c r="S42" s="14"/>
      <c r="T42" s="15">
        <v>8</v>
      </c>
      <c r="U42" s="16"/>
      <c r="V42" s="17">
        <v>700</v>
      </c>
      <c r="W42" s="17">
        <f t="shared" si="2"/>
        <v>5600</v>
      </c>
      <c r="X42" s="17">
        <f t="shared" si="3"/>
        <v>291.2</v>
      </c>
      <c r="Y42" s="17">
        <v>705</v>
      </c>
      <c r="Z42" s="17">
        <f t="shared" si="4"/>
        <v>1</v>
      </c>
      <c r="AA42" s="17">
        <f t="shared" si="5"/>
        <v>6.6666666666666693E-2</v>
      </c>
      <c r="AB42" s="17">
        <f>+VLOOKUP(E42,[1]base!M:N,2,0)</f>
        <v>40</v>
      </c>
      <c r="AC42" s="17">
        <f>+VLOOKUP(E42,[1]base!M:Q,5,0)</f>
        <v>4</v>
      </c>
      <c r="AD42" s="18">
        <f>+VLOOKUP(E42,[1]base!M:P,4,0)</f>
        <v>0</v>
      </c>
      <c r="AE42" s="19">
        <f t="shared" si="6"/>
        <v>12</v>
      </c>
    </row>
    <row r="43" spans="1:31" x14ac:dyDescent="0.25">
      <c r="A43" s="20" t="s">
        <v>74</v>
      </c>
      <c r="B43" s="11">
        <v>46199.498495370368</v>
      </c>
      <c r="C43" s="12" t="s">
        <v>39</v>
      </c>
      <c r="D43" s="12" t="s">
        <v>122</v>
      </c>
      <c r="E43" s="13" t="str">
        <f t="shared" si="0"/>
        <v>EC67102</v>
      </c>
      <c r="F43" s="14" t="str">
        <f t="shared" si="1"/>
        <v>BLC</v>
      </c>
      <c r="G43" s="14">
        <f>+VLOOKUP(F43,[1]base!A:B,2,0)</f>
        <v>1</v>
      </c>
      <c r="H43" s="14">
        <v>40</v>
      </c>
      <c r="I43" s="14">
        <v>30</v>
      </c>
      <c r="J43" s="14"/>
      <c r="K43" s="14" t="s">
        <v>72</v>
      </c>
      <c r="L43" s="14" t="s">
        <v>76</v>
      </c>
      <c r="M43" s="14" t="s">
        <v>77</v>
      </c>
      <c r="N43" s="14"/>
      <c r="O43" s="14"/>
      <c r="P43" s="14"/>
      <c r="Q43" s="14">
        <v>40</v>
      </c>
      <c r="R43" s="14">
        <v>30</v>
      </c>
      <c r="S43" s="14"/>
      <c r="T43" s="15">
        <v>30</v>
      </c>
      <c r="U43" s="16"/>
      <c r="V43" s="17">
        <v>57</v>
      </c>
      <c r="W43" s="17">
        <f t="shared" si="2"/>
        <v>1710</v>
      </c>
      <c r="X43" s="17">
        <f t="shared" si="3"/>
        <v>88.92</v>
      </c>
      <c r="Y43" s="17">
        <v>62</v>
      </c>
      <c r="Z43" s="17">
        <f t="shared" si="4"/>
        <v>1</v>
      </c>
      <c r="AA43" s="17">
        <f t="shared" si="5"/>
        <v>6.6666666666666693E-2</v>
      </c>
      <c r="AB43" s="17">
        <f>+VLOOKUP(E43,[1]base!M:N,2,0)</f>
        <v>50</v>
      </c>
      <c r="AC43" s="17">
        <f>+VLOOKUP(E43,[1]base!M:Q,5,0)</f>
        <v>159.33333333333334</v>
      </c>
      <c r="AD43" s="18">
        <f>+VLOOKUP(E43,[1]base!M:P,4,0)</f>
        <v>0.96053670086819254</v>
      </c>
      <c r="AE43" s="19">
        <f t="shared" si="6"/>
        <v>-33.026835043409633</v>
      </c>
    </row>
    <row r="44" spans="1:31" x14ac:dyDescent="0.25">
      <c r="A44" s="10" t="s">
        <v>123</v>
      </c>
      <c r="B44" s="11">
        <v>46220.474386574075</v>
      </c>
      <c r="C44" s="12" t="s">
        <v>124</v>
      </c>
      <c r="D44" s="12" t="s">
        <v>122</v>
      </c>
      <c r="E44" s="13" t="str">
        <f t="shared" si="0"/>
        <v>EC67102</v>
      </c>
      <c r="F44" s="14" t="str">
        <f t="shared" si="1"/>
        <v>BLC</v>
      </c>
      <c r="G44" s="14">
        <f>+VLOOKUP(F44,[1]base!A:B,2,0)</f>
        <v>1</v>
      </c>
      <c r="H44" s="14">
        <v>10</v>
      </c>
      <c r="I44" s="14">
        <v>5</v>
      </c>
      <c r="J44" s="14"/>
      <c r="K44" s="14" t="s">
        <v>72</v>
      </c>
      <c r="L44" s="14" t="s">
        <v>76</v>
      </c>
      <c r="M44" s="14" t="s">
        <v>77</v>
      </c>
      <c r="N44" s="14"/>
      <c r="O44" s="14"/>
      <c r="P44" s="14"/>
      <c r="Q44" s="14">
        <v>5</v>
      </c>
      <c r="R44" s="14">
        <v>30</v>
      </c>
      <c r="S44" s="14">
        <v>4</v>
      </c>
      <c r="T44" s="15">
        <v>5</v>
      </c>
      <c r="U44" s="16"/>
      <c r="V44" s="17">
        <v>163</v>
      </c>
      <c r="W44" s="17">
        <f t="shared" si="2"/>
        <v>815</v>
      </c>
      <c r="X44" s="17">
        <f t="shared" si="3"/>
        <v>42.379999999999995</v>
      </c>
      <c r="Y44" s="17">
        <v>168</v>
      </c>
      <c r="Z44" s="17">
        <f t="shared" si="4"/>
        <v>1</v>
      </c>
      <c r="AA44" s="17">
        <f t="shared" si="5"/>
        <v>6.6666666666666693E-2</v>
      </c>
      <c r="AB44" s="17">
        <f>+VLOOKUP(E44,[1]base!M:N,2,0)</f>
        <v>50</v>
      </c>
      <c r="AC44" s="17">
        <f>+VLOOKUP(E44,[1]base!M:Q,5,0)</f>
        <v>159.33333333333334</v>
      </c>
      <c r="AD44" s="18">
        <f>+VLOOKUP(E44,[1]base!M:P,4,0)</f>
        <v>0.96053670086819254</v>
      </c>
      <c r="AE44" s="19">
        <f t="shared" si="6"/>
        <v>-33.026835043409633</v>
      </c>
    </row>
    <row r="45" spans="1:31" x14ac:dyDescent="0.25">
      <c r="A45" s="10" t="s">
        <v>125</v>
      </c>
      <c r="B45" s="11">
        <v>46253.521597222221</v>
      </c>
      <c r="C45" s="12" t="s">
        <v>126</v>
      </c>
      <c r="D45" s="12" t="s">
        <v>122</v>
      </c>
      <c r="E45" s="13" t="str">
        <f t="shared" si="0"/>
        <v>EC67102</v>
      </c>
      <c r="F45" s="14" t="str">
        <f t="shared" si="1"/>
        <v>BLC</v>
      </c>
      <c r="G45" s="14">
        <f>+VLOOKUP(F45,[1]base!A:B,2,0)</f>
        <v>1</v>
      </c>
      <c r="H45" s="14">
        <v>20</v>
      </c>
      <c r="I45" s="14">
        <v>20</v>
      </c>
      <c r="J45" s="14"/>
      <c r="K45" s="14" t="s">
        <v>33</v>
      </c>
      <c r="L45" s="14" t="s">
        <v>76</v>
      </c>
      <c r="M45" s="14" t="s">
        <v>77</v>
      </c>
      <c r="N45" s="14"/>
      <c r="O45" s="14"/>
      <c r="P45" s="14"/>
      <c r="Q45" s="14">
        <v>0</v>
      </c>
      <c r="R45" s="14">
        <v>30</v>
      </c>
      <c r="S45" s="14">
        <v>4</v>
      </c>
      <c r="T45" s="15">
        <v>20</v>
      </c>
      <c r="U45" s="16"/>
      <c r="V45" s="17">
        <v>530</v>
      </c>
      <c r="W45" s="17">
        <f t="shared" si="2"/>
        <v>10600</v>
      </c>
      <c r="X45" s="17">
        <f t="shared" si="3"/>
        <v>551.19999999999993</v>
      </c>
      <c r="Y45" s="17">
        <v>535</v>
      </c>
      <c r="Z45" s="17">
        <f t="shared" si="4"/>
        <v>1</v>
      </c>
      <c r="AA45" s="17">
        <f t="shared" si="5"/>
        <v>6.6666666666666693E-2</v>
      </c>
      <c r="AB45" s="17">
        <f>+VLOOKUP(E45,[1]base!M:N,2,0)</f>
        <v>50</v>
      </c>
      <c r="AC45" s="17">
        <f>+VLOOKUP(E45,[1]base!M:Q,5,0)</f>
        <v>159.33333333333334</v>
      </c>
      <c r="AD45" s="18">
        <f>+VLOOKUP(E45,[1]base!M:P,4,0)</f>
        <v>0.96053670086819254</v>
      </c>
      <c r="AE45" s="19">
        <f t="shared" si="6"/>
        <v>-33.026835043409633</v>
      </c>
    </row>
    <row r="46" spans="1:31" x14ac:dyDescent="0.25">
      <c r="A46" s="10" t="s">
        <v>101</v>
      </c>
      <c r="B46" s="11">
        <v>46246.522766203707</v>
      </c>
      <c r="C46" s="12" t="s">
        <v>102</v>
      </c>
      <c r="D46" s="12" t="s">
        <v>127</v>
      </c>
      <c r="E46" s="13" t="str">
        <f t="shared" si="0"/>
        <v>CSQ126</v>
      </c>
      <c r="F46" s="14" t="str">
        <f t="shared" si="1"/>
        <v>BLC</v>
      </c>
      <c r="G46" s="14">
        <f>+VLOOKUP(F46,[1]base!A:B,2,0)</f>
        <v>1</v>
      </c>
      <c r="H46" s="14">
        <v>30</v>
      </c>
      <c r="I46" s="14">
        <v>30</v>
      </c>
      <c r="J46" s="14"/>
      <c r="K46" s="14" t="s">
        <v>33</v>
      </c>
      <c r="L46" s="14" t="s">
        <v>128</v>
      </c>
      <c r="M46" s="14" t="s">
        <v>35</v>
      </c>
      <c r="N46" s="14">
        <v>30</v>
      </c>
      <c r="O46" s="14">
        <v>30</v>
      </c>
      <c r="P46" s="14">
        <v>0</v>
      </c>
      <c r="Q46" s="14">
        <v>0</v>
      </c>
      <c r="R46" s="14">
        <v>4</v>
      </c>
      <c r="S46" s="14"/>
      <c r="T46" s="15">
        <v>30</v>
      </c>
      <c r="U46" s="16"/>
      <c r="V46" s="17">
        <v>445</v>
      </c>
      <c r="W46" s="17">
        <f t="shared" si="2"/>
        <v>13350</v>
      </c>
      <c r="X46" s="17">
        <f t="shared" si="3"/>
        <v>694.19999999999993</v>
      </c>
      <c r="Y46" s="17">
        <v>450</v>
      </c>
      <c r="Z46" s="17">
        <f t="shared" si="4"/>
        <v>1</v>
      </c>
      <c r="AA46" s="17">
        <f t="shared" si="5"/>
        <v>6.6666666666666693E-2</v>
      </c>
      <c r="AB46" s="17">
        <f>+VLOOKUP(E46,[1]base!M:N,2,0)</f>
        <v>51</v>
      </c>
      <c r="AC46" s="17">
        <f>+VLOOKUP(E46,[1]base!M:Q,5,0)</f>
        <v>29.666666666666668</v>
      </c>
      <c r="AD46" s="18">
        <f>+VLOOKUP(E46,[1]base!M:P,4,0)</f>
        <v>7.2727272727272724E-2</v>
      </c>
      <c r="AE46" s="19">
        <f t="shared" si="6"/>
        <v>11.59090909090909</v>
      </c>
    </row>
    <row r="47" spans="1:31" x14ac:dyDescent="0.25">
      <c r="A47" s="20" t="s">
        <v>129</v>
      </c>
      <c r="B47" s="11">
        <v>46178.600636574076</v>
      </c>
      <c r="C47" s="12" t="s">
        <v>130</v>
      </c>
      <c r="D47" s="12" t="s">
        <v>131</v>
      </c>
      <c r="E47" s="13" t="str">
        <f t="shared" si="0"/>
        <v>FR102</v>
      </c>
      <c r="F47" s="14" t="str">
        <f t="shared" si="1"/>
        <v>BLC</v>
      </c>
      <c r="G47" s="14">
        <f>+VLOOKUP(F47,[1]base!A:B,2,0)</f>
        <v>1</v>
      </c>
      <c r="H47" s="14">
        <v>36</v>
      </c>
      <c r="I47" s="14">
        <v>36</v>
      </c>
      <c r="J47" s="14"/>
      <c r="K47" s="14" t="s">
        <v>72</v>
      </c>
      <c r="L47" s="14" t="s">
        <v>76</v>
      </c>
      <c r="M47" s="14" t="s">
        <v>77</v>
      </c>
      <c r="N47" s="14"/>
      <c r="O47" s="14"/>
      <c r="P47" s="14"/>
      <c r="Q47" s="14">
        <v>18</v>
      </c>
      <c r="R47" s="14">
        <v>0</v>
      </c>
      <c r="S47" s="14"/>
      <c r="T47" s="15">
        <v>36</v>
      </c>
      <c r="U47" s="16"/>
      <c r="V47" s="17">
        <v>5</v>
      </c>
      <c r="W47" s="17">
        <f t="shared" si="2"/>
        <v>180</v>
      </c>
      <c r="X47" s="17">
        <f t="shared" si="3"/>
        <v>9.36</v>
      </c>
      <c r="Y47" s="17">
        <v>10</v>
      </c>
      <c r="Z47" s="17">
        <f t="shared" si="4"/>
        <v>4</v>
      </c>
      <c r="AA47" s="17">
        <f t="shared" si="5"/>
        <v>0.26666666666666677</v>
      </c>
      <c r="AB47" s="17">
        <f>+VLOOKUP(E47,[1]base!M:N,2,0)</f>
        <v>58</v>
      </c>
      <c r="AC47" s="17">
        <f>+VLOOKUP(E47,[1]base!M:Q,5,0)</f>
        <v>201.6</v>
      </c>
      <c r="AD47" s="18">
        <f>+VLOOKUP(E47,[1]base!M:P,4,0)</f>
        <v>0.75107296137339052</v>
      </c>
      <c r="AE47" s="19">
        <f t="shared" si="6"/>
        <v>-26.162231759656652</v>
      </c>
    </row>
    <row r="48" spans="1:31" x14ac:dyDescent="0.25">
      <c r="A48" s="20" t="s">
        <v>132</v>
      </c>
      <c r="B48" s="11">
        <v>46212.484976851854</v>
      </c>
      <c r="C48" s="12" t="s">
        <v>39</v>
      </c>
      <c r="D48" s="12" t="s">
        <v>131</v>
      </c>
      <c r="E48" s="13" t="str">
        <f t="shared" si="0"/>
        <v>FR102</v>
      </c>
      <c r="F48" s="14" t="str">
        <f t="shared" si="1"/>
        <v>BLC</v>
      </c>
      <c r="G48" s="14">
        <f>+VLOOKUP(F48,[1]base!A:B,2,0)</f>
        <v>1</v>
      </c>
      <c r="H48" s="14">
        <v>36</v>
      </c>
      <c r="I48" s="14">
        <v>24</v>
      </c>
      <c r="J48" s="14"/>
      <c r="K48" s="14" t="s">
        <v>72</v>
      </c>
      <c r="L48" s="14" t="s">
        <v>76</v>
      </c>
      <c r="M48" s="14" t="s">
        <v>77</v>
      </c>
      <c r="N48" s="14"/>
      <c r="O48" s="14"/>
      <c r="P48" s="14"/>
      <c r="Q48" s="14">
        <v>60</v>
      </c>
      <c r="R48" s="14">
        <v>0</v>
      </c>
      <c r="S48" s="14"/>
      <c r="T48" s="15">
        <v>24</v>
      </c>
      <c r="U48" s="16"/>
      <c r="V48" s="17">
        <v>98</v>
      </c>
      <c r="W48" s="17">
        <f t="shared" si="2"/>
        <v>2352</v>
      </c>
      <c r="X48" s="17">
        <f t="shared" si="3"/>
        <v>122.30399999999999</v>
      </c>
      <c r="Y48" s="17">
        <v>103</v>
      </c>
      <c r="Z48" s="17">
        <f t="shared" si="4"/>
        <v>1</v>
      </c>
      <c r="AA48" s="17">
        <f t="shared" si="5"/>
        <v>6.6666666666666693E-2</v>
      </c>
      <c r="AB48" s="17">
        <f>+VLOOKUP(E48,[1]base!M:N,2,0)</f>
        <v>58</v>
      </c>
      <c r="AC48" s="17">
        <f>+VLOOKUP(E48,[1]base!M:Q,5,0)</f>
        <v>201.6</v>
      </c>
      <c r="AD48" s="18">
        <f>+VLOOKUP(E48,[1]base!M:P,4,0)</f>
        <v>0.75107296137339052</v>
      </c>
      <c r="AE48" s="19">
        <f t="shared" si="6"/>
        <v>-26.162231759656652</v>
      </c>
    </row>
    <row r="49" spans="1:31" x14ac:dyDescent="0.25">
      <c r="A49" s="10" t="s">
        <v>98</v>
      </c>
      <c r="B49" s="11">
        <v>46220.346666666665</v>
      </c>
      <c r="C49" s="12" t="s">
        <v>70</v>
      </c>
      <c r="D49" s="12" t="s">
        <v>131</v>
      </c>
      <c r="E49" s="13" t="str">
        <f t="shared" si="0"/>
        <v>FR102</v>
      </c>
      <c r="F49" s="14" t="str">
        <f t="shared" si="1"/>
        <v>BLC</v>
      </c>
      <c r="G49" s="14">
        <f>+VLOOKUP(F49,[1]base!A:B,2,0)</f>
        <v>1</v>
      </c>
      <c r="H49" s="14">
        <v>40</v>
      </c>
      <c r="I49" s="14">
        <v>5</v>
      </c>
      <c r="J49" s="14"/>
      <c r="K49" s="14" t="s">
        <v>33</v>
      </c>
      <c r="L49" s="14" t="s">
        <v>76</v>
      </c>
      <c r="M49" s="14" t="s">
        <v>77</v>
      </c>
      <c r="N49" s="14"/>
      <c r="O49" s="14"/>
      <c r="P49" s="14"/>
      <c r="Q49" s="14">
        <v>0</v>
      </c>
      <c r="R49" s="14">
        <v>0</v>
      </c>
      <c r="S49" s="14"/>
      <c r="T49" s="15">
        <v>5</v>
      </c>
      <c r="U49" s="16"/>
      <c r="V49" s="17">
        <v>153</v>
      </c>
      <c r="W49" s="17">
        <f t="shared" si="2"/>
        <v>765</v>
      </c>
      <c r="X49" s="17">
        <f t="shared" si="3"/>
        <v>39.78</v>
      </c>
      <c r="Y49" s="17">
        <v>158</v>
      </c>
      <c r="Z49" s="17">
        <f t="shared" si="4"/>
        <v>1</v>
      </c>
      <c r="AA49" s="17">
        <f t="shared" si="5"/>
        <v>6.6666666666666693E-2</v>
      </c>
      <c r="AB49" s="17">
        <f>+VLOOKUP(E49,[1]base!M:N,2,0)</f>
        <v>58</v>
      </c>
      <c r="AC49" s="17">
        <f>+VLOOKUP(E49,[1]base!M:Q,5,0)</f>
        <v>201.6</v>
      </c>
      <c r="AD49" s="18">
        <f>+VLOOKUP(E49,[1]base!M:P,4,0)</f>
        <v>0.75107296137339052</v>
      </c>
      <c r="AE49" s="19">
        <f t="shared" si="6"/>
        <v>-26.162231759656652</v>
      </c>
    </row>
    <row r="50" spans="1:31" x14ac:dyDescent="0.25">
      <c r="A50" s="10" t="s">
        <v>133</v>
      </c>
      <c r="B50" s="11">
        <v>46225.289189814815</v>
      </c>
      <c r="C50" s="12" t="s">
        <v>134</v>
      </c>
      <c r="D50" s="12" t="s">
        <v>131</v>
      </c>
      <c r="E50" s="13" t="str">
        <f t="shared" si="0"/>
        <v>FR102</v>
      </c>
      <c r="F50" s="14" t="str">
        <f t="shared" si="1"/>
        <v>BLC</v>
      </c>
      <c r="G50" s="14">
        <f>+VLOOKUP(F50,[1]base!A:B,2,0)</f>
        <v>1</v>
      </c>
      <c r="H50" s="14">
        <v>32</v>
      </c>
      <c r="I50" s="14">
        <v>14</v>
      </c>
      <c r="J50" s="14"/>
      <c r="K50" s="14" t="s">
        <v>33</v>
      </c>
      <c r="L50" s="14" t="s">
        <v>76</v>
      </c>
      <c r="M50" s="14" t="s">
        <v>77</v>
      </c>
      <c r="N50" s="14"/>
      <c r="O50" s="14"/>
      <c r="P50" s="14"/>
      <c r="Q50" s="14">
        <v>0</v>
      </c>
      <c r="R50" s="14">
        <v>0</v>
      </c>
      <c r="S50" s="14"/>
      <c r="T50" s="15">
        <v>14</v>
      </c>
      <c r="U50" s="16"/>
      <c r="V50" s="17">
        <v>179</v>
      </c>
      <c r="W50" s="17">
        <f t="shared" si="2"/>
        <v>2506</v>
      </c>
      <c r="X50" s="17">
        <f t="shared" si="3"/>
        <v>130.31199999999998</v>
      </c>
      <c r="Y50" s="17">
        <v>184</v>
      </c>
      <c r="Z50" s="17">
        <f t="shared" si="4"/>
        <v>1</v>
      </c>
      <c r="AA50" s="17">
        <f t="shared" si="5"/>
        <v>6.6666666666666693E-2</v>
      </c>
      <c r="AB50" s="17">
        <f>+VLOOKUP(E50,[1]base!M:N,2,0)</f>
        <v>58</v>
      </c>
      <c r="AC50" s="17">
        <f>+VLOOKUP(E50,[1]base!M:Q,5,0)</f>
        <v>201.6</v>
      </c>
      <c r="AD50" s="18">
        <f>+VLOOKUP(E50,[1]base!M:P,4,0)</f>
        <v>0.75107296137339052</v>
      </c>
      <c r="AE50" s="19">
        <f t="shared" si="6"/>
        <v>-26.162231759656652</v>
      </c>
    </row>
    <row r="51" spans="1:31" x14ac:dyDescent="0.25">
      <c r="A51" s="10" t="s">
        <v>133</v>
      </c>
      <c r="B51" s="11">
        <v>46225.289189814815</v>
      </c>
      <c r="C51" s="12" t="s">
        <v>134</v>
      </c>
      <c r="D51" s="12" t="s">
        <v>131</v>
      </c>
      <c r="E51" s="13" t="str">
        <f t="shared" si="0"/>
        <v>FR102</v>
      </c>
      <c r="F51" s="14" t="str">
        <f t="shared" si="1"/>
        <v>BLC</v>
      </c>
      <c r="G51" s="14">
        <f>+VLOOKUP(F51,[1]base!A:B,2,0)</f>
        <v>1</v>
      </c>
      <c r="H51" s="14">
        <v>3</v>
      </c>
      <c r="I51" s="14">
        <v>3</v>
      </c>
      <c r="J51" s="14"/>
      <c r="K51" s="14" t="s">
        <v>33</v>
      </c>
      <c r="L51" s="14" t="s">
        <v>76</v>
      </c>
      <c r="M51" s="14" t="s">
        <v>77</v>
      </c>
      <c r="N51" s="14"/>
      <c r="O51" s="14"/>
      <c r="P51" s="14"/>
      <c r="Q51" s="14">
        <v>0</v>
      </c>
      <c r="R51" s="14">
        <v>0</v>
      </c>
      <c r="S51" s="14"/>
      <c r="T51" s="15">
        <v>3</v>
      </c>
      <c r="U51" s="16"/>
      <c r="V51" s="17">
        <v>180</v>
      </c>
      <c r="W51" s="17">
        <f t="shared" si="2"/>
        <v>540</v>
      </c>
      <c r="X51" s="17">
        <f t="shared" si="3"/>
        <v>28.08</v>
      </c>
      <c r="Y51" s="17">
        <v>185</v>
      </c>
      <c r="Z51" s="17">
        <f t="shared" si="4"/>
        <v>1</v>
      </c>
      <c r="AA51" s="17">
        <f t="shared" si="5"/>
        <v>6.6666666666666693E-2</v>
      </c>
      <c r="AB51" s="17">
        <f>+VLOOKUP(E51,[1]base!M:N,2,0)</f>
        <v>58</v>
      </c>
      <c r="AC51" s="17">
        <f>+VLOOKUP(E51,[1]base!M:Q,5,0)</f>
        <v>201.6</v>
      </c>
      <c r="AD51" s="18">
        <f>+VLOOKUP(E51,[1]base!M:P,4,0)</f>
        <v>0.75107296137339052</v>
      </c>
      <c r="AE51" s="19">
        <f t="shared" si="6"/>
        <v>-26.162231759656652</v>
      </c>
    </row>
    <row r="52" spans="1:31" x14ac:dyDescent="0.25">
      <c r="A52" s="10" t="s">
        <v>106</v>
      </c>
      <c r="B52" s="11">
        <v>46226.41915509259</v>
      </c>
      <c r="C52" s="12" t="s">
        <v>107</v>
      </c>
      <c r="D52" s="12" t="s">
        <v>131</v>
      </c>
      <c r="E52" s="13" t="str">
        <f t="shared" si="0"/>
        <v>FR102</v>
      </c>
      <c r="F52" s="14" t="str">
        <f t="shared" si="1"/>
        <v>BLC</v>
      </c>
      <c r="G52" s="14">
        <f>+VLOOKUP(F52,[1]base!A:B,2,0)</f>
        <v>1</v>
      </c>
      <c r="H52" s="14">
        <v>32</v>
      </c>
      <c r="I52" s="14">
        <v>32</v>
      </c>
      <c r="J52" s="14"/>
      <c r="K52" s="14" t="s">
        <v>72</v>
      </c>
      <c r="L52" s="14" t="s">
        <v>76</v>
      </c>
      <c r="M52" s="14" t="s">
        <v>77</v>
      </c>
      <c r="N52" s="14"/>
      <c r="O52" s="14"/>
      <c r="P52" s="14"/>
      <c r="Q52" s="14">
        <v>24</v>
      </c>
      <c r="R52" s="14">
        <v>0</v>
      </c>
      <c r="S52" s="14"/>
      <c r="T52" s="15">
        <v>32</v>
      </c>
      <c r="U52" s="16"/>
      <c r="V52" s="17">
        <v>240</v>
      </c>
      <c r="W52" s="17">
        <f t="shared" si="2"/>
        <v>7680</v>
      </c>
      <c r="X52" s="17">
        <f t="shared" si="3"/>
        <v>399.35999999999996</v>
      </c>
      <c r="Y52" s="17">
        <v>245</v>
      </c>
      <c r="Z52" s="17">
        <f t="shared" si="4"/>
        <v>1</v>
      </c>
      <c r="AA52" s="17">
        <f t="shared" si="5"/>
        <v>6.6666666666666693E-2</v>
      </c>
      <c r="AB52" s="17">
        <f>+VLOOKUP(E52,[1]base!M:N,2,0)</f>
        <v>58</v>
      </c>
      <c r="AC52" s="17">
        <f>+VLOOKUP(E52,[1]base!M:Q,5,0)</f>
        <v>201.6</v>
      </c>
      <c r="AD52" s="18">
        <f>+VLOOKUP(E52,[1]base!M:P,4,0)</f>
        <v>0.75107296137339052</v>
      </c>
      <c r="AE52" s="19">
        <f t="shared" si="6"/>
        <v>-26.162231759656652</v>
      </c>
    </row>
    <row r="53" spans="1:31" x14ac:dyDescent="0.25">
      <c r="A53" s="10" t="s">
        <v>135</v>
      </c>
      <c r="B53" s="11">
        <v>46228.27648148148</v>
      </c>
      <c r="C53" s="12" t="s">
        <v>130</v>
      </c>
      <c r="D53" s="12" t="s">
        <v>131</v>
      </c>
      <c r="E53" s="13" t="str">
        <f t="shared" si="0"/>
        <v>FR102</v>
      </c>
      <c r="F53" s="14" t="str">
        <f t="shared" si="1"/>
        <v>BLC</v>
      </c>
      <c r="G53" s="14">
        <f>+VLOOKUP(F53,[1]base!A:B,2,0)</f>
        <v>1</v>
      </c>
      <c r="H53" s="14">
        <v>20</v>
      </c>
      <c r="I53" s="14">
        <v>20</v>
      </c>
      <c r="J53" s="14"/>
      <c r="K53" s="14" t="s">
        <v>33</v>
      </c>
      <c r="L53" s="14" t="s">
        <v>76</v>
      </c>
      <c r="M53" s="14" t="s">
        <v>77</v>
      </c>
      <c r="N53" s="14"/>
      <c r="O53" s="14"/>
      <c r="P53" s="14"/>
      <c r="Q53" s="14">
        <v>0</v>
      </c>
      <c r="R53" s="14">
        <v>0</v>
      </c>
      <c r="S53" s="14"/>
      <c r="T53" s="15">
        <v>20</v>
      </c>
      <c r="U53" s="16"/>
      <c r="V53" s="17">
        <v>267</v>
      </c>
      <c r="W53" s="17">
        <f t="shared" si="2"/>
        <v>5340</v>
      </c>
      <c r="X53" s="17">
        <f t="shared" si="3"/>
        <v>277.68</v>
      </c>
      <c r="Y53" s="17">
        <v>272</v>
      </c>
      <c r="Z53" s="17">
        <f t="shared" si="4"/>
        <v>1</v>
      </c>
      <c r="AA53" s="17">
        <f t="shared" si="5"/>
        <v>6.6666666666666693E-2</v>
      </c>
      <c r="AB53" s="17">
        <f>+VLOOKUP(E53,[1]base!M:N,2,0)</f>
        <v>58</v>
      </c>
      <c r="AC53" s="17">
        <f>+VLOOKUP(E53,[1]base!M:Q,5,0)</f>
        <v>201.6</v>
      </c>
      <c r="AD53" s="18">
        <f>+VLOOKUP(E53,[1]base!M:P,4,0)</f>
        <v>0.75107296137339052</v>
      </c>
      <c r="AE53" s="19">
        <f t="shared" si="6"/>
        <v>-26.162231759656652</v>
      </c>
    </row>
    <row r="54" spans="1:31" x14ac:dyDescent="0.25">
      <c r="A54" s="10" t="s">
        <v>110</v>
      </c>
      <c r="B54" s="11">
        <v>46233.394189814811</v>
      </c>
      <c r="C54" s="12" t="s">
        <v>95</v>
      </c>
      <c r="D54" s="12" t="s">
        <v>131</v>
      </c>
      <c r="E54" s="13" t="str">
        <f t="shared" si="0"/>
        <v>FR102</v>
      </c>
      <c r="F54" s="14" t="str">
        <f t="shared" si="1"/>
        <v>BLC</v>
      </c>
      <c r="G54" s="14">
        <f>+VLOOKUP(F54,[1]base!A:B,2,0)</f>
        <v>1</v>
      </c>
      <c r="H54" s="14">
        <v>18</v>
      </c>
      <c r="I54" s="14">
        <v>18</v>
      </c>
      <c r="J54" s="14">
        <v>-8</v>
      </c>
      <c r="K54" s="14" t="s">
        <v>72</v>
      </c>
      <c r="L54" s="14" t="s">
        <v>76</v>
      </c>
      <c r="M54" s="14" t="s">
        <v>77</v>
      </c>
      <c r="N54" s="14"/>
      <c r="O54" s="14"/>
      <c r="P54" s="14"/>
      <c r="Q54" s="14">
        <v>18</v>
      </c>
      <c r="R54" s="14">
        <v>0</v>
      </c>
      <c r="S54" s="14"/>
      <c r="T54" s="15">
        <v>18</v>
      </c>
      <c r="U54" s="16"/>
      <c r="V54" s="17">
        <v>321</v>
      </c>
      <c r="W54" s="17">
        <f t="shared" si="2"/>
        <v>5778</v>
      </c>
      <c r="X54" s="17">
        <f t="shared" si="3"/>
        <v>300.45599999999996</v>
      </c>
      <c r="Y54" s="17">
        <v>326</v>
      </c>
      <c r="Z54" s="17">
        <f t="shared" si="4"/>
        <v>1</v>
      </c>
      <c r="AA54" s="17">
        <f t="shared" si="5"/>
        <v>6.6666666666666693E-2</v>
      </c>
      <c r="AB54" s="17">
        <f>+VLOOKUP(E54,[1]base!M:N,2,0)</f>
        <v>58</v>
      </c>
      <c r="AC54" s="17">
        <f>+VLOOKUP(E54,[1]base!M:Q,5,0)</f>
        <v>201.6</v>
      </c>
      <c r="AD54" s="18">
        <f>+VLOOKUP(E54,[1]base!M:P,4,0)</f>
        <v>0.75107296137339052</v>
      </c>
      <c r="AE54" s="19">
        <f t="shared" si="6"/>
        <v>-26.162231759656652</v>
      </c>
    </row>
    <row r="55" spans="1:31" x14ac:dyDescent="0.25">
      <c r="A55" s="10" t="s">
        <v>99</v>
      </c>
      <c r="B55" s="11">
        <v>46238.533275462964</v>
      </c>
      <c r="C55" s="12" t="s">
        <v>70</v>
      </c>
      <c r="D55" s="12" t="s">
        <v>131</v>
      </c>
      <c r="E55" s="13" t="str">
        <f t="shared" si="0"/>
        <v>FR102</v>
      </c>
      <c r="F55" s="14" t="str">
        <f t="shared" si="1"/>
        <v>BLC</v>
      </c>
      <c r="G55" s="14">
        <f>+VLOOKUP(F55,[1]base!A:B,2,0)</f>
        <v>1</v>
      </c>
      <c r="H55" s="14">
        <v>24</v>
      </c>
      <c r="I55" s="14">
        <v>24</v>
      </c>
      <c r="J55" s="14"/>
      <c r="K55" s="14" t="s">
        <v>33</v>
      </c>
      <c r="L55" s="14" t="s">
        <v>76</v>
      </c>
      <c r="M55" s="14" t="s">
        <v>77</v>
      </c>
      <c r="N55" s="14"/>
      <c r="O55" s="14"/>
      <c r="P55" s="14"/>
      <c r="Q55" s="14">
        <v>0</v>
      </c>
      <c r="R55" s="14">
        <v>0</v>
      </c>
      <c r="S55" s="14"/>
      <c r="T55" s="15">
        <v>24</v>
      </c>
      <c r="U55" s="16"/>
      <c r="V55" s="17">
        <v>367</v>
      </c>
      <c r="W55" s="17">
        <f t="shared" si="2"/>
        <v>8808</v>
      </c>
      <c r="X55" s="17">
        <f t="shared" si="3"/>
        <v>458.01599999999996</v>
      </c>
      <c r="Y55" s="17">
        <v>372</v>
      </c>
      <c r="Z55" s="17">
        <f t="shared" si="4"/>
        <v>1</v>
      </c>
      <c r="AA55" s="17">
        <f t="shared" si="5"/>
        <v>6.6666666666666693E-2</v>
      </c>
      <c r="AB55" s="17">
        <f>+VLOOKUP(E55,[1]base!M:N,2,0)</f>
        <v>58</v>
      </c>
      <c r="AC55" s="17">
        <f>+VLOOKUP(E55,[1]base!M:Q,5,0)</f>
        <v>201.6</v>
      </c>
      <c r="AD55" s="18">
        <f>+VLOOKUP(E55,[1]base!M:P,4,0)</f>
        <v>0.75107296137339052</v>
      </c>
      <c r="AE55" s="19">
        <f t="shared" si="6"/>
        <v>-26.162231759656652</v>
      </c>
    </row>
    <row r="56" spans="1:31" x14ac:dyDescent="0.25">
      <c r="A56" s="10" t="s">
        <v>136</v>
      </c>
      <c r="B56" s="11">
        <v>46244.318136574075</v>
      </c>
      <c r="C56" s="12" t="s">
        <v>130</v>
      </c>
      <c r="D56" s="12" t="s">
        <v>131</v>
      </c>
      <c r="E56" s="13" t="str">
        <f t="shared" si="0"/>
        <v>FR102</v>
      </c>
      <c r="F56" s="14" t="str">
        <f t="shared" si="1"/>
        <v>BLC</v>
      </c>
      <c r="G56" s="14">
        <f>+VLOOKUP(F56,[1]base!A:B,2,0)</f>
        <v>1</v>
      </c>
      <c r="H56" s="14">
        <v>10</v>
      </c>
      <c r="I56" s="14">
        <v>10</v>
      </c>
      <c r="J56" s="14"/>
      <c r="K56" s="14" t="s">
        <v>33</v>
      </c>
      <c r="L56" s="14" t="s">
        <v>76</v>
      </c>
      <c r="M56" s="14" t="s">
        <v>77</v>
      </c>
      <c r="N56" s="14"/>
      <c r="O56" s="14"/>
      <c r="P56" s="14"/>
      <c r="Q56" s="14">
        <v>0</v>
      </c>
      <c r="R56" s="14">
        <v>0</v>
      </c>
      <c r="S56" s="14"/>
      <c r="T56" s="15">
        <v>10</v>
      </c>
      <c r="U56" s="16"/>
      <c r="V56" s="17">
        <v>432</v>
      </c>
      <c r="W56" s="17">
        <f t="shared" si="2"/>
        <v>4320</v>
      </c>
      <c r="X56" s="17">
        <f t="shared" si="3"/>
        <v>224.64</v>
      </c>
      <c r="Y56" s="17">
        <v>437</v>
      </c>
      <c r="Z56" s="17">
        <f t="shared" si="4"/>
        <v>1</v>
      </c>
      <c r="AA56" s="17">
        <f t="shared" si="5"/>
        <v>6.6666666666666693E-2</v>
      </c>
      <c r="AB56" s="17">
        <f>+VLOOKUP(E56,[1]base!M:N,2,0)</f>
        <v>58</v>
      </c>
      <c r="AC56" s="17">
        <f>+VLOOKUP(E56,[1]base!M:Q,5,0)</f>
        <v>201.6</v>
      </c>
      <c r="AD56" s="18">
        <f>+VLOOKUP(E56,[1]base!M:P,4,0)</f>
        <v>0.75107296137339052</v>
      </c>
      <c r="AE56" s="19">
        <f t="shared" si="6"/>
        <v>-26.162231759656652</v>
      </c>
    </row>
    <row r="57" spans="1:31" x14ac:dyDescent="0.25">
      <c r="A57" s="10" t="s">
        <v>100</v>
      </c>
      <c r="B57" s="11">
        <v>46249.302256944444</v>
      </c>
      <c r="C57" s="12" t="s">
        <v>86</v>
      </c>
      <c r="D57" s="12" t="s">
        <v>131</v>
      </c>
      <c r="E57" s="13" t="str">
        <f t="shared" si="0"/>
        <v>FR102</v>
      </c>
      <c r="F57" s="14" t="str">
        <f t="shared" si="1"/>
        <v>BLC</v>
      </c>
      <c r="G57" s="14">
        <f>+VLOOKUP(F57,[1]base!A:B,2,0)</f>
        <v>1</v>
      </c>
      <c r="H57" s="14">
        <v>12</v>
      </c>
      <c r="I57" s="14">
        <v>12</v>
      </c>
      <c r="J57" s="14"/>
      <c r="K57" s="14" t="s">
        <v>33</v>
      </c>
      <c r="L57" s="14" t="s">
        <v>76</v>
      </c>
      <c r="M57" s="14" t="s">
        <v>77</v>
      </c>
      <c r="N57" s="14"/>
      <c r="O57" s="14"/>
      <c r="P57" s="14"/>
      <c r="Q57" s="14">
        <v>0</v>
      </c>
      <c r="R57" s="14">
        <v>0</v>
      </c>
      <c r="S57" s="14"/>
      <c r="T57" s="15">
        <v>12</v>
      </c>
      <c r="U57" s="16"/>
      <c r="V57" s="17">
        <v>489</v>
      </c>
      <c r="W57" s="17">
        <f t="shared" si="2"/>
        <v>5868</v>
      </c>
      <c r="X57" s="17">
        <f t="shared" si="3"/>
        <v>305.13599999999997</v>
      </c>
      <c r="Y57" s="17">
        <v>494</v>
      </c>
      <c r="Z57" s="17">
        <f t="shared" si="4"/>
        <v>1</v>
      </c>
      <c r="AA57" s="17">
        <f t="shared" si="5"/>
        <v>6.6666666666666693E-2</v>
      </c>
      <c r="AB57" s="17">
        <f>+VLOOKUP(E57,[1]base!M:N,2,0)</f>
        <v>58</v>
      </c>
      <c r="AC57" s="17">
        <f>+VLOOKUP(E57,[1]base!M:Q,5,0)</f>
        <v>201.6</v>
      </c>
      <c r="AD57" s="18">
        <f>+VLOOKUP(E57,[1]base!M:P,4,0)</f>
        <v>0.75107296137339052</v>
      </c>
      <c r="AE57" s="19">
        <f t="shared" si="6"/>
        <v>-26.162231759656652</v>
      </c>
    </row>
    <row r="58" spans="1:31" x14ac:dyDescent="0.25">
      <c r="A58" s="10" t="s">
        <v>137</v>
      </c>
      <c r="B58" s="11">
        <v>46249.348900462966</v>
      </c>
      <c r="C58" s="12" t="s">
        <v>138</v>
      </c>
      <c r="D58" s="12" t="s">
        <v>131</v>
      </c>
      <c r="E58" s="13" t="str">
        <f t="shared" si="0"/>
        <v>FR102</v>
      </c>
      <c r="F58" s="14" t="str">
        <f t="shared" si="1"/>
        <v>BLC</v>
      </c>
      <c r="G58" s="14">
        <f>+VLOOKUP(F58,[1]base!A:B,2,0)</f>
        <v>1</v>
      </c>
      <c r="H58" s="14">
        <v>10</v>
      </c>
      <c r="I58" s="14">
        <v>10</v>
      </c>
      <c r="J58" s="14"/>
      <c r="K58" s="14" t="s">
        <v>33</v>
      </c>
      <c r="L58" s="14" t="s">
        <v>76</v>
      </c>
      <c r="M58" s="14" t="s">
        <v>77</v>
      </c>
      <c r="N58" s="14"/>
      <c r="O58" s="14"/>
      <c r="P58" s="14"/>
      <c r="Q58" s="14">
        <v>0</v>
      </c>
      <c r="R58" s="14">
        <v>0</v>
      </c>
      <c r="S58" s="14"/>
      <c r="T58" s="15">
        <v>10</v>
      </c>
      <c r="U58" s="16"/>
      <c r="V58" s="17">
        <v>502</v>
      </c>
      <c r="W58" s="17">
        <f t="shared" si="2"/>
        <v>5020</v>
      </c>
      <c r="X58" s="17">
        <f t="shared" si="3"/>
        <v>261.03999999999996</v>
      </c>
      <c r="Y58" s="17">
        <v>507</v>
      </c>
      <c r="Z58" s="17">
        <f t="shared" si="4"/>
        <v>1</v>
      </c>
      <c r="AA58" s="17">
        <f t="shared" si="5"/>
        <v>6.6666666666666693E-2</v>
      </c>
      <c r="AB58" s="17">
        <f>+VLOOKUP(E58,[1]base!M:N,2,0)</f>
        <v>58</v>
      </c>
      <c r="AC58" s="17">
        <f>+VLOOKUP(E58,[1]base!M:Q,5,0)</f>
        <v>201.6</v>
      </c>
      <c r="AD58" s="18">
        <f>+VLOOKUP(E58,[1]base!M:P,4,0)</f>
        <v>0.75107296137339052</v>
      </c>
      <c r="AE58" s="19">
        <f t="shared" si="6"/>
        <v>-26.162231759656652</v>
      </c>
    </row>
    <row r="59" spans="1:31" x14ac:dyDescent="0.25">
      <c r="A59" s="10" t="s">
        <v>94</v>
      </c>
      <c r="B59" s="11">
        <v>46266.490532407406</v>
      </c>
      <c r="C59" s="12" t="s">
        <v>95</v>
      </c>
      <c r="D59" s="12" t="s">
        <v>131</v>
      </c>
      <c r="E59" s="13" t="str">
        <f t="shared" si="0"/>
        <v>FR102</v>
      </c>
      <c r="F59" s="14" t="str">
        <f t="shared" si="1"/>
        <v>BLC</v>
      </c>
      <c r="G59" s="14">
        <f>+VLOOKUP(F59,[1]base!A:B,2,0)</f>
        <v>1</v>
      </c>
      <c r="H59" s="14">
        <v>10</v>
      </c>
      <c r="I59" s="14">
        <v>10</v>
      </c>
      <c r="J59" s="14"/>
      <c r="K59" s="14" t="s">
        <v>33</v>
      </c>
      <c r="L59" s="14" t="s">
        <v>76</v>
      </c>
      <c r="M59" s="14" t="s">
        <v>77</v>
      </c>
      <c r="N59" s="14"/>
      <c r="O59" s="14"/>
      <c r="P59" s="14"/>
      <c r="Q59" s="14">
        <v>0</v>
      </c>
      <c r="R59" s="14">
        <v>0</v>
      </c>
      <c r="S59" s="14">
        <v>9</v>
      </c>
      <c r="T59" s="15">
        <v>10</v>
      </c>
      <c r="U59" s="16"/>
      <c r="V59" s="17">
        <v>937</v>
      </c>
      <c r="W59" s="17">
        <f t="shared" si="2"/>
        <v>9370</v>
      </c>
      <c r="X59" s="17">
        <f t="shared" si="3"/>
        <v>487.23999999999995</v>
      </c>
      <c r="Y59" s="17">
        <v>942</v>
      </c>
      <c r="Z59" s="17">
        <f t="shared" si="4"/>
        <v>1</v>
      </c>
      <c r="AA59" s="17">
        <f t="shared" si="5"/>
        <v>6.6666666666666693E-2</v>
      </c>
      <c r="AB59" s="17">
        <f>+VLOOKUP(E59,[1]base!M:N,2,0)</f>
        <v>58</v>
      </c>
      <c r="AC59" s="17">
        <f>+VLOOKUP(E59,[1]base!M:Q,5,0)</f>
        <v>201.6</v>
      </c>
      <c r="AD59" s="18">
        <f>+VLOOKUP(E59,[1]base!M:P,4,0)</f>
        <v>0.75107296137339052</v>
      </c>
      <c r="AE59" s="19">
        <f t="shared" si="6"/>
        <v>-26.162231759656652</v>
      </c>
    </row>
    <row r="60" spans="1:31" x14ac:dyDescent="0.25">
      <c r="A60" s="10" t="s">
        <v>139</v>
      </c>
      <c r="B60" s="11">
        <v>46268.400879629633</v>
      </c>
      <c r="C60" s="12" t="s">
        <v>39</v>
      </c>
      <c r="D60" s="12" t="s">
        <v>131</v>
      </c>
      <c r="E60" s="13" t="str">
        <f t="shared" si="0"/>
        <v>FR102</v>
      </c>
      <c r="F60" s="14" t="str">
        <f t="shared" si="1"/>
        <v>BLC</v>
      </c>
      <c r="G60" s="14">
        <f>+VLOOKUP(F60,[1]base!A:B,2,0)</f>
        <v>1</v>
      </c>
      <c r="H60" s="14">
        <v>9</v>
      </c>
      <c r="I60" s="14">
        <v>9</v>
      </c>
      <c r="J60" s="14"/>
      <c r="K60" s="14" t="s">
        <v>33</v>
      </c>
      <c r="L60" s="14" t="s">
        <v>76</v>
      </c>
      <c r="M60" s="14" t="s">
        <v>77</v>
      </c>
      <c r="N60" s="14"/>
      <c r="O60" s="14"/>
      <c r="P60" s="14"/>
      <c r="Q60" s="14">
        <v>0</v>
      </c>
      <c r="R60" s="14">
        <v>0</v>
      </c>
      <c r="S60" s="14"/>
      <c r="T60" s="15">
        <v>9</v>
      </c>
      <c r="U60" s="16"/>
      <c r="V60" s="17">
        <v>1071</v>
      </c>
      <c r="W60" s="17">
        <f t="shared" si="2"/>
        <v>9639</v>
      </c>
      <c r="X60" s="17">
        <f t="shared" si="3"/>
        <v>501.22799999999995</v>
      </c>
      <c r="Y60" s="17">
        <v>1076</v>
      </c>
      <c r="Z60" s="17">
        <f t="shared" si="4"/>
        <v>1</v>
      </c>
      <c r="AA60" s="17">
        <f t="shared" si="5"/>
        <v>6.6666666666666693E-2</v>
      </c>
      <c r="AB60" s="17">
        <f>+VLOOKUP(E60,[1]base!M:N,2,0)</f>
        <v>58</v>
      </c>
      <c r="AC60" s="17">
        <f>+VLOOKUP(E60,[1]base!M:Q,5,0)</f>
        <v>201.6</v>
      </c>
      <c r="AD60" s="18">
        <f>+VLOOKUP(E60,[1]base!M:P,4,0)</f>
        <v>0.75107296137339052</v>
      </c>
      <c r="AE60" s="19">
        <f t="shared" si="6"/>
        <v>-26.162231759656652</v>
      </c>
    </row>
    <row r="61" spans="1:31" x14ac:dyDescent="0.25">
      <c r="A61" s="10" t="s">
        <v>140</v>
      </c>
      <c r="B61" s="11">
        <v>46249.409236111111</v>
      </c>
      <c r="C61" s="12" t="s">
        <v>31</v>
      </c>
      <c r="D61" s="12" t="s">
        <v>131</v>
      </c>
      <c r="E61" s="13" t="str">
        <f t="shared" si="0"/>
        <v>FR102</v>
      </c>
      <c r="F61" s="14" t="str">
        <f t="shared" si="1"/>
        <v>BLC</v>
      </c>
      <c r="G61" s="14">
        <f>+VLOOKUP(F61,[1]base!A:B,2,0)</f>
        <v>1</v>
      </c>
      <c r="H61" s="14">
        <v>15</v>
      </c>
      <c r="I61" s="14">
        <v>15</v>
      </c>
      <c r="J61" s="14"/>
      <c r="K61" s="14" t="s">
        <v>33</v>
      </c>
      <c r="L61" s="14" t="s">
        <v>141</v>
      </c>
      <c r="M61" s="14" t="s">
        <v>35</v>
      </c>
      <c r="N61" s="14">
        <v>15</v>
      </c>
      <c r="O61" s="14">
        <v>15</v>
      </c>
      <c r="P61" s="14">
        <v>0</v>
      </c>
      <c r="Q61" s="14">
        <v>0</v>
      </c>
      <c r="R61" s="14">
        <v>0</v>
      </c>
      <c r="S61" s="14"/>
      <c r="T61" s="15">
        <v>15</v>
      </c>
      <c r="U61" s="16"/>
      <c r="V61" s="17">
        <v>506</v>
      </c>
      <c r="W61" s="17">
        <f t="shared" si="2"/>
        <v>7590</v>
      </c>
      <c r="X61" s="17">
        <f t="shared" si="3"/>
        <v>394.68</v>
      </c>
      <c r="Y61" s="17">
        <v>511</v>
      </c>
      <c r="Z61" s="17">
        <f t="shared" si="4"/>
        <v>1</v>
      </c>
      <c r="AA61" s="17">
        <f t="shared" si="5"/>
        <v>6.6666666666666693E-2</v>
      </c>
      <c r="AB61" s="17">
        <f>+VLOOKUP(E61,[1]base!M:N,2,0)</f>
        <v>58</v>
      </c>
      <c r="AC61" s="17">
        <f>+VLOOKUP(E61,[1]base!M:Q,5,0)</f>
        <v>201.6</v>
      </c>
      <c r="AD61" s="18">
        <f>+VLOOKUP(E61,[1]base!M:P,4,0)</f>
        <v>0.75107296137339052</v>
      </c>
      <c r="AE61" s="19">
        <f t="shared" si="6"/>
        <v>-26.162231759656652</v>
      </c>
    </row>
    <row r="62" spans="1:31" x14ac:dyDescent="0.25">
      <c r="A62" s="10" t="s">
        <v>142</v>
      </c>
      <c r="B62" s="11">
        <v>46252.518969907411</v>
      </c>
      <c r="C62" s="12" t="s">
        <v>143</v>
      </c>
      <c r="D62" s="12" t="s">
        <v>131</v>
      </c>
      <c r="E62" s="13" t="str">
        <f t="shared" si="0"/>
        <v>FR102</v>
      </c>
      <c r="F62" s="14" t="str">
        <f t="shared" si="1"/>
        <v>BLC</v>
      </c>
      <c r="G62" s="14">
        <f>+VLOOKUP(F62,[1]base!A:B,2,0)</f>
        <v>1</v>
      </c>
      <c r="H62" s="14">
        <v>20</v>
      </c>
      <c r="I62" s="14">
        <v>20</v>
      </c>
      <c r="J62" s="14"/>
      <c r="K62" s="14" t="s">
        <v>33</v>
      </c>
      <c r="L62" s="14" t="s">
        <v>144</v>
      </c>
      <c r="M62" s="14" t="s">
        <v>35</v>
      </c>
      <c r="N62" s="14">
        <v>20</v>
      </c>
      <c r="O62" s="14">
        <v>20</v>
      </c>
      <c r="P62" s="14">
        <v>0</v>
      </c>
      <c r="Q62" s="14">
        <v>0</v>
      </c>
      <c r="R62" s="14">
        <v>0</v>
      </c>
      <c r="S62" s="14"/>
      <c r="T62" s="15">
        <v>20</v>
      </c>
      <c r="U62" s="16"/>
      <c r="V62" s="17">
        <v>520</v>
      </c>
      <c r="W62" s="17">
        <f t="shared" si="2"/>
        <v>10400</v>
      </c>
      <c r="X62" s="17">
        <f t="shared" si="3"/>
        <v>540.79999999999995</v>
      </c>
      <c r="Y62" s="17">
        <v>525</v>
      </c>
      <c r="Z62" s="17">
        <f t="shared" si="4"/>
        <v>1</v>
      </c>
      <c r="AA62" s="17">
        <f t="shared" si="5"/>
        <v>6.6666666666666693E-2</v>
      </c>
      <c r="AB62" s="17">
        <f>+VLOOKUP(E62,[1]base!M:N,2,0)</f>
        <v>58</v>
      </c>
      <c r="AC62" s="17">
        <f>+VLOOKUP(E62,[1]base!M:Q,5,0)</f>
        <v>201.6</v>
      </c>
      <c r="AD62" s="18">
        <f>+VLOOKUP(E62,[1]base!M:P,4,0)</f>
        <v>0.75107296137339052</v>
      </c>
      <c r="AE62" s="19">
        <f t="shared" si="6"/>
        <v>-26.162231759656652</v>
      </c>
    </row>
    <row r="63" spans="1:31" x14ac:dyDescent="0.25">
      <c r="A63" s="10" t="s">
        <v>145</v>
      </c>
      <c r="B63" s="11">
        <v>46263.380335648151</v>
      </c>
      <c r="C63" s="12" t="s">
        <v>146</v>
      </c>
      <c r="D63" s="12" t="s">
        <v>147</v>
      </c>
      <c r="E63" s="13" t="str">
        <f t="shared" si="0"/>
        <v>EC22104</v>
      </c>
      <c r="F63" s="14" t="str">
        <f t="shared" si="1"/>
        <v>BLC</v>
      </c>
      <c r="G63" s="14">
        <f>+VLOOKUP(F63,[1]base!A:B,2,0)</f>
        <v>1</v>
      </c>
      <c r="H63" s="14">
        <v>60</v>
      </c>
      <c r="I63" s="14">
        <v>60</v>
      </c>
      <c r="J63" s="14"/>
      <c r="K63" s="14" t="s">
        <v>33</v>
      </c>
      <c r="L63" s="14" t="s">
        <v>148</v>
      </c>
      <c r="M63" s="14" t="s">
        <v>35</v>
      </c>
      <c r="N63" s="14">
        <v>60</v>
      </c>
      <c r="O63" s="14">
        <v>60</v>
      </c>
      <c r="P63" s="14">
        <v>0</v>
      </c>
      <c r="Q63" s="14">
        <v>0</v>
      </c>
      <c r="R63" s="14">
        <v>0</v>
      </c>
      <c r="S63" s="14"/>
      <c r="T63" s="15">
        <v>60</v>
      </c>
      <c r="U63" s="16"/>
      <c r="V63" s="17">
        <v>771</v>
      </c>
      <c r="W63" s="17">
        <f t="shared" si="2"/>
        <v>46260</v>
      </c>
      <c r="X63" s="17">
        <f t="shared" si="3"/>
        <v>2405.52</v>
      </c>
      <c r="Y63" s="17">
        <v>776</v>
      </c>
      <c r="Z63" s="17">
        <f t="shared" si="4"/>
        <v>1</v>
      </c>
      <c r="AA63" s="17">
        <f t="shared" si="5"/>
        <v>6.6666666666666693E-2</v>
      </c>
      <c r="AB63" s="17">
        <f>+VLOOKUP(E63,[1]base!M:N,2,0)</f>
        <v>68</v>
      </c>
      <c r="AC63" s="17">
        <f>+VLOOKUP(E63,[1]base!M:Q,5,0)</f>
        <v>109.6</v>
      </c>
      <c r="AD63" s="18">
        <f>+VLOOKUP(E63,[1]base!M:P,4,0)</f>
        <v>0.30612244897959184</v>
      </c>
      <c r="AE63" s="19">
        <f t="shared" si="6"/>
        <v>-0.41632653061224612</v>
      </c>
    </row>
    <row r="64" spans="1:31" x14ac:dyDescent="0.25">
      <c r="A64" s="20" t="s">
        <v>149</v>
      </c>
      <c r="B64" s="11">
        <v>46153.412511574075</v>
      </c>
      <c r="C64" s="12" t="s">
        <v>39</v>
      </c>
      <c r="D64" s="12" t="s">
        <v>150</v>
      </c>
      <c r="E64" s="13" t="str">
        <f t="shared" si="0"/>
        <v>CSQ108</v>
      </c>
      <c r="F64" s="14" t="str">
        <f t="shared" si="1"/>
        <v>BLC</v>
      </c>
      <c r="G64" s="14">
        <f>+VLOOKUP(F64,[1]base!A:B,2,0)</f>
        <v>1</v>
      </c>
      <c r="H64" s="14">
        <v>20</v>
      </c>
      <c r="I64" s="14">
        <v>4</v>
      </c>
      <c r="J64" s="14"/>
      <c r="K64" s="14" t="s">
        <v>72</v>
      </c>
      <c r="L64" s="14" t="s">
        <v>76</v>
      </c>
      <c r="M64" s="14" t="s">
        <v>77</v>
      </c>
      <c r="N64" s="14"/>
      <c r="O64" s="14"/>
      <c r="P64" s="14"/>
      <c r="Q64" s="14">
        <v>15</v>
      </c>
      <c r="R64" s="14">
        <v>0</v>
      </c>
      <c r="S64" s="14"/>
      <c r="T64" s="15">
        <v>4</v>
      </c>
      <c r="U64" s="16"/>
      <c r="V64" s="17">
        <v>5</v>
      </c>
      <c r="W64" s="17">
        <f t="shared" si="2"/>
        <v>20</v>
      </c>
      <c r="X64" s="17">
        <f t="shared" si="3"/>
        <v>1.04</v>
      </c>
      <c r="Y64" s="17">
        <v>10</v>
      </c>
      <c r="Z64" s="17">
        <f t="shared" si="4"/>
        <v>1</v>
      </c>
      <c r="AA64" s="17">
        <f t="shared" si="5"/>
        <v>6.6666666666666693E-2</v>
      </c>
      <c r="AB64" s="17">
        <f>+VLOOKUP(E64,[1]base!M:N,2,0)</f>
        <v>70</v>
      </c>
      <c r="AC64" s="17">
        <f>+VLOOKUP(E64,[1]base!M:Q,5,0)</f>
        <v>46.111111111111114</v>
      </c>
      <c r="AD64" s="18">
        <f>+VLOOKUP(E64,[1]base!M:P,4,0)</f>
        <v>0</v>
      </c>
      <c r="AE64" s="19">
        <f t="shared" si="6"/>
        <v>21</v>
      </c>
    </row>
    <row r="65" spans="1:31" x14ac:dyDescent="0.25">
      <c r="A65" s="10" t="s">
        <v>101</v>
      </c>
      <c r="B65" s="11">
        <v>46246.522766203707</v>
      </c>
      <c r="C65" s="12" t="s">
        <v>102</v>
      </c>
      <c r="D65" s="12" t="s">
        <v>150</v>
      </c>
      <c r="E65" s="13" t="str">
        <f t="shared" si="0"/>
        <v>CSQ108</v>
      </c>
      <c r="F65" s="14" t="str">
        <f t="shared" si="1"/>
        <v>BLC</v>
      </c>
      <c r="G65" s="14">
        <f>+VLOOKUP(F65,[1]base!A:B,2,0)</f>
        <v>1</v>
      </c>
      <c r="H65" s="14">
        <v>20</v>
      </c>
      <c r="I65" s="14">
        <v>20</v>
      </c>
      <c r="J65" s="14"/>
      <c r="K65" s="14" t="s">
        <v>33</v>
      </c>
      <c r="L65" s="14" t="s">
        <v>151</v>
      </c>
      <c r="M65" s="14" t="s">
        <v>35</v>
      </c>
      <c r="N65" s="14">
        <v>20</v>
      </c>
      <c r="O65" s="14">
        <v>20</v>
      </c>
      <c r="P65" s="14">
        <v>0</v>
      </c>
      <c r="Q65" s="14">
        <v>0</v>
      </c>
      <c r="R65" s="14">
        <v>0</v>
      </c>
      <c r="S65" s="14"/>
      <c r="T65" s="15">
        <v>20</v>
      </c>
      <c r="U65" s="16"/>
      <c r="V65" s="17">
        <v>447</v>
      </c>
      <c r="W65" s="17">
        <f t="shared" si="2"/>
        <v>8940</v>
      </c>
      <c r="X65" s="17">
        <f t="shared" si="3"/>
        <v>464.88</v>
      </c>
      <c r="Y65" s="17">
        <v>452</v>
      </c>
      <c r="Z65" s="17">
        <f t="shared" si="4"/>
        <v>1</v>
      </c>
      <c r="AA65" s="17">
        <f t="shared" si="5"/>
        <v>6.6666666666666693E-2</v>
      </c>
      <c r="AB65" s="17">
        <f>+VLOOKUP(E65,[1]base!M:N,2,0)</f>
        <v>70</v>
      </c>
      <c r="AC65" s="17">
        <f>+VLOOKUP(E65,[1]base!M:Q,5,0)</f>
        <v>46.111111111111114</v>
      </c>
      <c r="AD65" s="18">
        <f>+VLOOKUP(E65,[1]base!M:P,4,0)</f>
        <v>0</v>
      </c>
      <c r="AE65" s="19">
        <f t="shared" si="6"/>
        <v>21</v>
      </c>
    </row>
    <row r="66" spans="1:31" x14ac:dyDescent="0.25">
      <c r="A66" s="10" t="s">
        <v>117</v>
      </c>
      <c r="B66" s="11">
        <v>46261.508750000001</v>
      </c>
      <c r="C66" s="12" t="s">
        <v>86</v>
      </c>
      <c r="D66" s="12" t="s">
        <v>150</v>
      </c>
      <c r="E66" s="13" t="str">
        <f t="shared" ref="E66:E129" si="7">_xlfn.TEXTBEFORE(D66, "-", -1, 1, , D66)</f>
        <v>CSQ108</v>
      </c>
      <c r="F66" s="14" t="str">
        <f t="shared" ref="F66:F129" si="8">_xlfn.TEXTAFTER(D66, "-", -1, 1, , "")</f>
        <v>BLC</v>
      </c>
      <c r="G66" s="14">
        <f>+VLOOKUP(F66,[1]base!A:B,2,0)</f>
        <v>1</v>
      </c>
      <c r="H66" s="14">
        <v>4</v>
      </c>
      <c r="I66" s="14">
        <v>4</v>
      </c>
      <c r="J66" s="14"/>
      <c r="K66" s="14" t="s">
        <v>33</v>
      </c>
      <c r="L66" s="14" t="s">
        <v>152</v>
      </c>
      <c r="M66" s="14" t="s">
        <v>35</v>
      </c>
      <c r="N66" s="14">
        <v>4</v>
      </c>
      <c r="O66" s="14">
        <v>4</v>
      </c>
      <c r="P66" s="14">
        <v>0</v>
      </c>
      <c r="Q66" s="14">
        <v>0</v>
      </c>
      <c r="R66" s="14">
        <v>0</v>
      </c>
      <c r="S66" s="14"/>
      <c r="T66" s="15">
        <v>4</v>
      </c>
      <c r="U66" s="16"/>
      <c r="V66" s="17">
        <v>691</v>
      </c>
      <c r="W66" s="17">
        <f t="shared" ref="W66:W129" si="9">(T66+U66)*V66</f>
        <v>2764</v>
      </c>
      <c r="X66" s="17">
        <f t="shared" ref="X66:X129" si="10">+W66*0.052</f>
        <v>143.72799999999998</v>
      </c>
      <c r="Y66" s="17">
        <v>696</v>
      </c>
      <c r="Z66" s="17">
        <f t="shared" ref="Z66:Z129" si="11">ROUNDUP(T66/Y66,0)</f>
        <v>1</v>
      </c>
      <c r="AA66" s="17">
        <f t="shared" ref="AA66:AA129" si="12">+Z66*0.0666666666666667</f>
        <v>6.6666666666666693E-2</v>
      </c>
      <c r="AB66" s="17">
        <f>+VLOOKUP(E66,[1]base!M:N,2,0)</f>
        <v>70</v>
      </c>
      <c r="AC66" s="17">
        <f>+VLOOKUP(E66,[1]base!M:Q,5,0)</f>
        <v>46.111111111111114</v>
      </c>
      <c r="AD66" s="18">
        <f>+VLOOKUP(E66,[1]base!M:P,4,0)</f>
        <v>0</v>
      </c>
      <c r="AE66" s="19">
        <f t="shared" ref="AE66:AE129" si="13">+AB66*(30%-AD66)</f>
        <v>21</v>
      </c>
    </row>
    <row r="67" spans="1:31" x14ac:dyDescent="0.25">
      <c r="A67" s="10" t="s">
        <v>153</v>
      </c>
      <c r="B67" s="11">
        <v>46247.387997685182</v>
      </c>
      <c r="C67" s="12" t="s">
        <v>57</v>
      </c>
      <c r="D67" s="12" t="s">
        <v>154</v>
      </c>
      <c r="E67" s="13" t="str">
        <f t="shared" si="7"/>
        <v>GL-MB</v>
      </c>
      <c r="F67" s="14" t="str">
        <f t="shared" si="8"/>
        <v>BLC</v>
      </c>
      <c r="G67" s="14">
        <f>+VLOOKUP(F67,[1]base!A:B,2,0)</f>
        <v>1</v>
      </c>
      <c r="H67" s="14">
        <v>30</v>
      </c>
      <c r="I67" s="14">
        <v>30</v>
      </c>
      <c r="J67" s="14"/>
      <c r="K67" s="14" t="s">
        <v>33</v>
      </c>
      <c r="L67" s="14" t="s">
        <v>155</v>
      </c>
      <c r="M67" s="14" t="s">
        <v>35</v>
      </c>
      <c r="N67" s="14">
        <v>30</v>
      </c>
      <c r="O67" s="14">
        <v>30</v>
      </c>
      <c r="P67" s="14">
        <v>0</v>
      </c>
      <c r="Q67" s="14">
        <v>0</v>
      </c>
      <c r="R67" s="14">
        <v>0</v>
      </c>
      <c r="S67" s="14"/>
      <c r="T67" s="15">
        <v>30</v>
      </c>
      <c r="U67" s="16"/>
      <c r="V67" s="17">
        <v>464</v>
      </c>
      <c r="W67" s="17">
        <f t="shared" si="9"/>
        <v>13920</v>
      </c>
      <c r="X67" s="17">
        <f t="shared" si="10"/>
        <v>723.83999999999992</v>
      </c>
      <c r="Y67" s="17">
        <v>469</v>
      </c>
      <c r="Z67" s="17">
        <f t="shared" si="11"/>
        <v>1</v>
      </c>
      <c r="AA67" s="17">
        <f t="shared" si="12"/>
        <v>6.6666666666666693E-2</v>
      </c>
      <c r="AB67" s="17">
        <f>+VLOOKUP(E67,[1]base!M:N,2,0)</f>
        <v>74</v>
      </c>
      <c r="AC67" s="17">
        <f>+VLOOKUP(E67,[1]base!M:Q,5,0)</f>
        <v>33.6</v>
      </c>
      <c r="AD67" s="18">
        <f>+VLOOKUP(E67,[1]base!M:P,4,0)</f>
        <v>1.3333333333333334E-2</v>
      </c>
      <c r="AE67" s="19">
        <f t="shared" si="13"/>
        <v>21.213333333333335</v>
      </c>
    </row>
    <row r="68" spans="1:31" x14ac:dyDescent="0.25">
      <c r="A68" s="10" t="s">
        <v>100</v>
      </c>
      <c r="B68" s="11">
        <v>46249.302256944444</v>
      </c>
      <c r="C68" s="12" t="s">
        <v>86</v>
      </c>
      <c r="D68" s="12" t="s">
        <v>154</v>
      </c>
      <c r="E68" s="13" t="str">
        <f t="shared" si="7"/>
        <v>GL-MB</v>
      </c>
      <c r="F68" s="14" t="str">
        <f t="shared" si="8"/>
        <v>BLC</v>
      </c>
      <c r="G68" s="14">
        <f>+VLOOKUP(F68,[1]base!A:B,2,0)</f>
        <v>1</v>
      </c>
      <c r="H68" s="14">
        <v>10</v>
      </c>
      <c r="I68" s="14">
        <v>10</v>
      </c>
      <c r="J68" s="14"/>
      <c r="K68" s="14" t="s">
        <v>33</v>
      </c>
      <c r="L68" s="14" t="s">
        <v>156</v>
      </c>
      <c r="M68" s="14" t="s">
        <v>35</v>
      </c>
      <c r="N68" s="14">
        <v>10</v>
      </c>
      <c r="O68" s="14">
        <v>10</v>
      </c>
      <c r="P68" s="14">
        <v>0</v>
      </c>
      <c r="Q68" s="14">
        <v>0</v>
      </c>
      <c r="R68" s="14">
        <v>0</v>
      </c>
      <c r="S68" s="14"/>
      <c r="T68" s="15">
        <v>10</v>
      </c>
      <c r="U68" s="16"/>
      <c r="V68" s="17">
        <v>494</v>
      </c>
      <c r="W68" s="17">
        <f t="shared" si="9"/>
        <v>4940</v>
      </c>
      <c r="X68" s="17">
        <f t="shared" si="10"/>
        <v>256.88</v>
      </c>
      <c r="Y68" s="17">
        <v>499</v>
      </c>
      <c r="Z68" s="17">
        <f t="shared" si="11"/>
        <v>1</v>
      </c>
      <c r="AA68" s="17">
        <f t="shared" si="12"/>
        <v>6.6666666666666693E-2</v>
      </c>
      <c r="AB68" s="17">
        <f>+VLOOKUP(E68,[1]base!M:N,2,0)</f>
        <v>74</v>
      </c>
      <c r="AC68" s="17">
        <f>+VLOOKUP(E68,[1]base!M:Q,5,0)</f>
        <v>33.6</v>
      </c>
      <c r="AD68" s="18">
        <f>+VLOOKUP(E68,[1]base!M:P,4,0)</f>
        <v>1.3333333333333334E-2</v>
      </c>
      <c r="AE68" s="19">
        <f t="shared" si="13"/>
        <v>21.213333333333335</v>
      </c>
    </row>
    <row r="69" spans="1:31" x14ac:dyDescent="0.25">
      <c r="A69" s="20" t="s">
        <v>149</v>
      </c>
      <c r="B69" s="11">
        <v>46153.412511574075</v>
      </c>
      <c r="C69" s="12" t="s">
        <v>39</v>
      </c>
      <c r="D69" s="12" t="s">
        <v>157</v>
      </c>
      <c r="E69" s="13" t="str">
        <f t="shared" si="7"/>
        <v>CSQ102</v>
      </c>
      <c r="F69" s="14" t="str">
        <f t="shared" si="8"/>
        <v>BLC</v>
      </c>
      <c r="G69" s="14">
        <f>+VLOOKUP(F69,[1]base!A:B,2,0)</f>
        <v>1</v>
      </c>
      <c r="H69" s="14">
        <v>80</v>
      </c>
      <c r="I69" s="14">
        <v>80</v>
      </c>
      <c r="J69" s="14"/>
      <c r="K69" s="14" t="s">
        <v>72</v>
      </c>
      <c r="L69" s="14" t="s">
        <v>76</v>
      </c>
      <c r="M69" s="14" t="s">
        <v>77</v>
      </c>
      <c r="N69" s="14"/>
      <c r="O69" s="14"/>
      <c r="P69" s="14"/>
      <c r="Q69" s="14">
        <v>40</v>
      </c>
      <c r="R69" s="14">
        <v>1</v>
      </c>
      <c r="S69" s="14"/>
      <c r="T69" s="15">
        <v>80</v>
      </c>
      <c r="U69" s="16"/>
      <c r="V69" s="17">
        <v>5</v>
      </c>
      <c r="W69" s="17">
        <f t="shared" si="9"/>
        <v>400</v>
      </c>
      <c r="X69" s="17">
        <f t="shared" si="10"/>
        <v>20.8</v>
      </c>
      <c r="Y69" s="17">
        <v>10</v>
      </c>
      <c r="Z69" s="17">
        <f t="shared" si="11"/>
        <v>8</v>
      </c>
      <c r="AA69" s="17">
        <f t="shared" si="12"/>
        <v>0.53333333333333355</v>
      </c>
      <c r="AB69" s="17">
        <f>+VLOOKUP(E69,[1]base!M:N,2,0)</f>
        <v>84</v>
      </c>
      <c r="AC69" s="17">
        <f>+VLOOKUP(E69,[1]base!M:Q,5,0)</f>
        <v>266.66666666666669</v>
      </c>
      <c r="AD69" s="18">
        <f>+VLOOKUP(E69,[1]base!M:P,4,0)</f>
        <v>1.1764705882352941E-2</v>
      </c>
      <c r="AE69" s="19">
        <f t="shared" si="13"/>
        <v>24.211764705882352</v>
      </c>
    </row>
    <row r="70" spans="1:31" x14ac:dyDescent="0.25">
      <c r="A70" s="10" t="s">
        <v>101</v>
      </c>
      <c r="B70" s="11">
        <v>46246.522766203707</v>
      </c>
      <c r="C70" s="12" t="s">
        <v>102</v>
      </c>
      <c r="D70" s="12" t="s">
        <v>157</v>
      </c>
      <c r="E70" s="13" t="str">
        <f t="shared" si="7"/>
        <v>CSQ102</v>
      </c>
      <c r="F70" s="14" t="str">
        <f t="shared" si="8"/>
        <v>BLC</v>
      </c>
      <c r="G70" s="14">
        <f>+VLOOKUP(F70,[1]base!A:B,2,0)</f>
        <v>1</v>
      </c>
      <c r="H70" s="14">
        <v>60</v>
      </c>
      <c r="I70" s="14">
        <v>60</v>
      </c>
      <c r="J70" s="14"/>
      <c r="K70" s="14" t="s">
        <v>33</v>
      </c>
      <c r="L70" s="14" t="s">
        <v>158</v>
      </c>
      <c r="M70" s="14" t="s">
        <v>35</v>
      </c>
      <c r="N70" s="14">
        <v>60</v>
      </c>
      <c r="O70" s="14">
        <v>60</v>
      </c>
      <c r="P70" s="14">
        <v>0</v>
      </c>
      <c r="Q70" s="14">
        <v>0</v>
      </c>
      <c r="R70" s="14">
        <v>1</v>
      </c>
      <c r="S70" s="14"/>
      <c r="T70" s="15">
        <v>60</v>
      </c>
      <c r="U70" s="16"/>
      <c r="V70" s="17">
        <v>444</v>
      </c>
      <c r="W70" s="17">
        <f t="shared" si="9"/>
        <v>26640</v>
      </c>
      <c r="X70" s="17">
        <f t="shared" si="10"/>
        <v>1385.28</v>
      </c>
      <c r="Y70" s="17">
        <v>449</v>
      </c>
      <c r="Z70" s="17">
        <f t="shared" si="11"/>
        <v>1</v>
      </c>
      <c r="AA70" s="17">
        <f t="shared" si="12"/>
        <v>6.6666666666666693E-2</v>
      </c>
      <c r="AB70" s="17">
        <f>+VLOOKUP(E70,[1]base!M:N,2,0)</f>
        <v>84</v>
      </c>
      <c r="AC70" s="17">
        <f>+VLOOKUP(E70,[1]base!M:Q,5,0)</f>
        <v>266.66666666666669</v>
      </c>
      <c r="AD70" s="18">
        <f>+VLOOKUP(E70,[1]base!M:P,4,0)</f>
        <v>1.1764705882352941E-2</v>
      </c>
      <c r="AE70" s="19">
        <f t="shared" si="13"/>
        <v>24.211764705882352</v>
      </c>
    </row>
    <row r="71" spans="1:31" x14ac:dyDescent="0.25">
      <c r="A71" s="10" t="s">
        <v>159</v>
      </c>
      <c r="B71" s="11">
        <v>46248.315150462964</v>
      </c>
      <c r="C71" s="12" t="s">
        <v>70</v>
      </c>
      <c r="D71" s="12" t="s">
        <v>157</v>
      </c>
      <c r="E71" s="13" t="str">
        <f t="shared" si="7"/>
        <v>CSQ102</v>
      </c>
      <c r="F71" s="14" t="str">
        <f t="shared" si="8"/>
        <v>BLC</v>
      </c>
      <c r="G71" s="14">
        <f>+VLOOKUP(F71,[1]base!A:B,2,0)</f>
        <v>1</v>
      </c>
      <c r="H71" s="14">
        <v>15</v>
      </c>
      <c r="I71" s="14">
        <v>15</v>
      </c>
      <c r="J71" s="14"/>
      <c r="K71" s="14" t="s">
        <v>33</v>
      </c>
      <c r="L71" s="14" t="s">
        <v>160</v>
      </c>
      <c r="M71" s="14" t="s">
        <v>35</v>
      </c>
      <c r="N71" s="14">
        <v>15</v>
      </c>
      <c r="O71" s="14">
        <v>15</v>
      </c>
      <c r="P71" s="14">
        <v>0</v>
      </c>
      <c r="Q71" s="14">
        <v>0</v>
      </c>
      <c r="R71" s="14">
        <v>1</v>
      </c>
      <c r="S71" s="14"/>
      <c r="T71" s="15">
        <v>15</v>
      </c>
      <c r="U71" s="16"/>
      <c r="V71" s="17">
        <v>480</v>
      </c>
      <c r="W71" s="17">
        <f t="shared" si="9"/>
        <v>7200</v>
      </c>
      <c r="X71" s="17">
        <f t="shared" si="10"/>
        <v>374.4</v>
      </c>
      <c r="Y71" s="17">
        <v>485</v>
      </c>
      <c r="Z71" s="17">
        <f t="shared" si="11"/>
        <v>1</v>
      </c>
      <c r="AA71" s="17">
        <f t="shared" si="12"/>
        <v>6.6666666666666693E-2</v>
      </c>
      <c r="AB71" s="17">
        <f>+VLOOKUP(E71,[1]base!M:N,2,0)</f>
        <v>84</v>
      </c>
      <c r="AC71" s="17">
        <f>+VLOOKUP(E71,[1]base!M:Q,5,0)</f>
        <v>266.66666666666669</v>
      </c>
      <c r="AD71" s="18">
        <f>+VLOOKUP(E71,[1]base!M:P,4,0)</f>
        <v>1.1764705882352941E-2</v>
      </c>
      <c r="AE71" s="19">
        <f t="shared" si="13"/>
        <v>24.211764705882352</v>
      </c>
    </row>
    <row r="72" spans="1:31" x14ac:dyDescent="0.25">
      <c r="A72" s="10" t="s">
        <v>117</v>
      </c>
      <c r="B72" s="11">
        <v>46261.508750000001</v>
      </c>
      <c r="C72" s="12" t="s">
        <v>86</v>
      </c>
      <c r="D72" s="12" t="s">
        <v>157</v>
      </c>
      <c r="E72" s="13" t="str">
        <f t="shared" si="7"/>
        <v>CSQ102</v>
      </c>
      <c r="F72" s="14" t="str">
        <f t="shared" si="8"/>
        <v>BLC</v>
      </c>
      <c r="G72" s="14">
        <f>+VLOOKUP(F72,[1]base!A:B,2,0)</f>
        <v>1</v>
      </c>
      <c r="H72" s="14">
        <v>2</v>
      </c>
      <c r="I72" s="14">
        <v>2</v>
      </c>
      <c r="J72" s="14"/>
      <c r="K72" s="14" t="s">
        <v>33</v>
      </c>
      <c r="L72" s="14" t="s">
        <v>161</v>
      </c>
      <c r="M72" s="14" t="s">
        <v>35</v>
      </c>
      <c r="N72" s="14">
        <v>2</v>
      </c>
      <c r="O72" s="14">
        <v>2</v>
      </c>
      <c r="P72" s="14">
        <v>0</v>
      </c>
      <c r="Q72" s="14">
        <v>0</v>
      </c>
      <c r="R72" s="14">
        <v>1</v>
      </c>
      <c r="S72" s="14"/>
      <c r="T72" s="15">
        <v>2</v>
      </c>
      <c r="U72" s="16"/>
      <c r="V72" s="17">
        <v>690</v>
      </c>
      <c r="W72" s="17">
        <f t="shared" si="9"/>
        <v>1380</v>
      </c>
      <c r="X72" s="17">
        <f t="shared" si="10"/>
        <v>71.759999999999991</v>
      </c>
      <c r="Y72" s="17">
        <v>695</v>
      </c>
      <c r="Z72" s="17">
        <f t="shared" si="11"/>
        <v>1</v>
      </c>
      <c r="AA72" s="17">
        <f t="shared" si="12"/>
        <v>6.6666666666666693E-2</v>
      </c>
      <c r="AB72" s="17">
        <f>+VLOOKUP(E72,[1]base!M:N,2,0)</f>
        <v>84</v>
      </c>
      <c r="AC72" s="17">
        <f>+VLOOKUP(E72,[1]base!M:Q,5,0)</f>
        <v>266.66666666666669</v>
      </c>
      <c r="AD72" s="18">
        <f>+VLOOKUP(E72,[1]base!M:P,4,0)</f>
        <v>1.1764705882352941E-2</v>
      </c>
      <c r="AE72" s="19">
        <f t="shared" si="13"/>
        <v>24.211764705882352</v>
      </c>
    </row>
    <row r="73" spans="1:31" x14ac:dyDescent="0.25">
      <c r="A73" s="10" t="s">
        <v>162</v>
      </c>
      <c r="B73" s="11">
        <v>46266.406585648147</v>
      </c>
      <c r="C73" s="12" t="s">
        <v>102</v>
      </c>
      <c r="D73" s="12" t="s">
        <v>157</v>
      </c>
      <c r="E73" s="13" t="str">
        <f t="shared" si="7"/>
        <v>CSQ102</v>
      </c>
      <c r="F73" s="14" t="str">
        <f t="shared" si="8"/>
        <v>BLC</v>
      </c>
      <c r="G73" s="14">
        <f>+VLOOKUP(F73,[1]base!A:B,2,0)</f>
        <v>1</v>
      </c>
      <c r="H73" s="14">
        <v>50</v>
      </c>
      <c r="I73" s="14">
        <v>50</v>
      </c>
      <c r="J73" s="14"/>
      <c r="K73" s="14" t="s">
        <v>33</v>
      </c>
      <c r="L73" s="14" t="s">
        <v>163</v>
      </c>
      <c r="M73" s="14" t="s">
        <v>35</v>
      </c>
      <c r="N73" s="14">
        <v>50</v>
      </c>
      <c r="O73" s="14">
        <v>50</v>
      </c>
      <c r="P73" s="14">
        <v>0</v>
      </c>
      <c r="Q73" s="14">
        <v>0</v>
      </c>
      <c r="R73" s="14">
        <v>1</v>
      </c>
      <c r="S73" s="14"/>
      <c r="T73" s="15">
        <v>50</v>
      </c>
      <c r="U73" s="16"/>
      <c r="V73" s="17">
        <v>878</v>
      </c>
      <c r="W73" s="17">
        <f t="shared" si="9"/>
        <v>43900</v>
      </c>
      <c r="X73" s="17">
        <f t="shared" si="10"/>
        <v>2282.7999999999997</v>
      </c>
      <c r="Y73" s="17">
        <v>883</v>
      </c>
      <c r="Z73" s="17">
        <f t="shared" si="11"/>
        <v>1</v>
      </c>
      <c r="AA73" s="17">
        <f t="shared" si="12"/>
        <v>6.6666666666666693E-2</v>
      </c>
      <c r="AB73" s="17">
        <f>+VLOOKUP(E73,[1]base!M:N,2,0)</f>
        <v>84</v>
      </c>
      <c r="AC73" s="17">
        <f>+VLOOKUP(E73,[1]base!M:Q,5,0)</f>
        <v>266.66666666666669</v>
      </c>
      <c r="AD73" s="18">
        <f>+VLOOKUP(E73,[1]base!M:P,4,0)</f>
        <v>1.1764705882352941E-2</v>
      </c>
      <c r="AE73" s="19">
        <f t="shared" si="13"/>
        <v>24.211764705882352</v>
      </c>
    </row>
    <row r="74" spans="1:31" x14ac:dyDescent="0.25">
      <c r="A74" s="10" t="s">
        <v>106</v>
      </c>
      <c r="B74" s="11">
        <v>46226.41915509259</v>
      </c>
      <c r="C74" s="12" t="s">
        <v>107</v>
      </c>
      <c r="D74" s="12" t="s">
        <v>164</v>
      </c>
      <c r="E74" s="13" t="str">
        <f t="shared" si="7"/>
        <v>FR135</v>
      </c>
      <c r="F74" s="14" t="str">
        <f t="shared" si="8"/>
        <v>BLC</v>
      </c>
      <c r="G74" s="14">
        <f>+VLOOKUP(F74,[1]base!A:B,2,0)</f>
        <v>1</v>
      </c>
      <c r="H74" s="14">
        <v>100</v>
      </c>
      <c r="I74" s="14">
        <v>80</v>
      </c>
      <c r="J74" s="14"/>
      <c r="K74" s="14" t="s">
        <v>72</v>
      </c>
      <c r="L74" s="14" t="s">
        <v>76</v>
      </c>
      <c r="M74" s="14" t="s">
        <v>77</v>
      </c>
      <c r="N74" s="14"/>
      <c r="O74" s="14"/>
      <c r="P74" s="14"/>
      <c r="Q74" s="14">
        <v>50</v>
      </c>
      <c r="R74" s="14">
        <v>12</v>
      </c>
      <c r="S74" s="14"/>
      <c r="T74" s="15">
        <v>80</v>
      </c>
      <c r="U74" s="16"/>
      <c r="V74" s="17">
        <v>243</v>
      </c>
      <c r="W74" s="17">
        <f t="shared" si="9"/>
        <v>19440</v>
      </c>
      <c r="X74" s="17">
        <f t="shared" si="10"/>
        <v>1010.88</v>
      </c>
      <c r="Y74" s="17">
        <v>248</v>
      </c>
      <c r="Z74" s="17">
        <f t="shared" si="11"/>
        <v>1</v>
      </c>
      <c r="AA74" s="17">
        <f t="shared" si="12"/>
        <v>6.6666666666666693E-2</v>
      </c>
      <c r="AB74" s="17">
        <f>+VLOOKUP(E74,[1]base!M:N,2,0)</f>
        <v>113</v>
      </c>
      <c r="AC74" s="17">
        <f>+VLOOKUP(E74,[1]base!M:Q,5,0)</f>
        <v>99</v>
      </c>
      <c r="AD74" s="18">
        <f>+VLOOKUP(E74,[1]base!M:P,4,0)</f>
        <v>0.28025477707006369</v>
      </c>
      <c r="AE74" s="19">
        <f t="shared" si="13"/>
        <v>2.2312101910828019</v>
      </c>
    </row>
    <row r="75" spans="1:31" x14ac:dyDescent="0.25">
      <c r="A75" s="10" t="s">
        <v>165</v>
      </c>
      <c r="B75" s="11">
        <v>46255.317893518521</v>
      </c>
      <c r="C75" s="12" t="s">
        <v>83</v>
      </c>
      <c r="D75" s="12" t="s">
        <v>166</v>
      </c>
      <c r="E75" s="13" t="str">
        <f t="shared" si="7"/>
        <v>LMDP-100</v>
      </c>
      <c r="F75" s="14" t="str">
        <f t="shared" si="8"/>
        <v>BLC</v>
      </c>
      <c r="G75" s="14">
        <f>+VLOOKUP(F75,[1]base!A:B,2,0)</f>
        <v>1</v>
      </c>
      <c r="H75" s="14">
        <v>27</v>
      </c>
      <c r="I75" s="14">
        <v>27</v>
      </c>
      <c r="J75" s="14"/>
      <c r="K75" s="14" t="s">
        <v>33</v>
      </c>
      <c r="L75" s="14" t="s">
        <v>167</v>
      </c>
      <c r="M75" s="14" t="s">
        <v>35</v>
      </c>
      <c r="N75" s="14">
        <v>27</v>
      </c>
      <c r="O75" s="14">
        <v>27</v>
      </c>
      <c r="P75" s="14">
        <v>0</v>
      </c>
      <c r="Q75" s="14">
        <v>0</v>
      </c>
      <c r="R75" s="14">
        <v>0</v>
      </c>
      <c r="S75" s="14"/>
      <c r="T75" s="15">
        <v>27</v>
      </c>
      <c r="U75" s="16"/>
      <c r="V75" s="17">
        <v>555</v>
      </c>
      <c r="W75" s="17">
        <f t="shared" si="9"/>
        <v>14985</v>
      </c>
      <c r="X75" s="17">
        <f t="shared" si="10"/>
        <v>779.21999999999991</v>
      </c>
      <c r="Y75" s="17">
        <v>560</v>
      </c>
      <c r="Z75" s="17">
        <f t="shared" si="11"/>
        <v>1</v>
      </c>
      <c r="AA75" s="17">
        <f t="shared" si="12"/>
        <v>6.6666666666666693E-2</v>
      </c>
      <c r="AB75" s="17">
        <f>+VLOOKUP(E75,[1]base!M:N,2,0)</f>
        <v>167</v>
      </c>
      <c r="AC75" s="17">
        <f>+VLOOKUP(E75,[1]base!M:Q,5,0)</f>
        <v>0</v>
      </c>
      <c r="AD75" s="18">
        <f>+VLOOKUP(E75,[1]base!M:P,4,0)</f>
        <v>5.9523809523809521E-3</v>
      </c>
      <c r="AE75" s="19">
        <f t="shared" si="13"/>
        <v>49.105952380952381</v>
      </c>
    </row>
    <row r="76" spans="1:31" x14ac:dyDescent="0.25">
      <c r="A76" s="10" t="s">
        <v>168</v>
      </c>
      <c r="B76" s="11">
        <v>46262.462083333332</v>
      </c>
      <c r="C76" s="12" t="s">
        <v>169</v>
      </c>
      <c r="D76" s="12" t="s">
        <v>166</v>
      </c>
      <c r="E76" s="13" t="str">
        <f t="shared" si="7"/>
        <v>LMDP-100</v>
      </c>
      <c r="F76" s="14" t="str">
        <f t="shared" si="8"/>
        <v>BLC</v>
      </c>
      <c r="G76" s="14">
        <f>+VLOOKUP(F76,[1]base!A:B,2,0)</f>
        <v>1</v>
      </c>
      <c r="H76" s="14">
        <v>60</v>
      </c>
      <c r="I76" s="14">
        <v>60</v>
      </c>
      <c r="J76" s="14"/>
      <c r="K76" s="14" t="s">
        <v>33</v>
      </c>
      <c r="L76" s="14" t="s">
        <v>170</v>
      </c>
      <c r="M76" s="14" t="s">
        <v>35</v>
      </c>
      <c r="N76" s="14">
        <v>60</v>
      </c>
      <c r="O76" s="14">
        <v>60</v>
      </c>
      <c r="P76" s="14">
        <v>0</v>
      </c>
      <c r="Q76" s="14">
        <v>0</v>
      </c>
      <c r="R76" s="14">
        <v>0</v>
      </c>
      <c r="S76" s="14"/>
      <c r="T76" s="15">
        <v>60</v>
      </c>
      <c r="U76" s="16"/>
      <c r="V76" s="17">
        <v>726</v>
      </c>
      <c r="W76" s="17">
        <f t="shared" si="9"/>
        <v>43560</v>
      </c>
      <c r="X76" s="17">
        <f t="shared" si="10"/>
        <v>2265.12</v>
      </c>
      <c r="Y76" s="17">
        <v>731</v>
      </c>
      <c r="Z76" s="17">
        <f t="shared" si="11"/>
        <v>1</v>
      </c>
      <c r="AA76" s="17">
        <f t="shared" si="12"/>
        <v>6.6666666666666693E-2</v>
      </c>
      <c r="AB76" s="17">
        <f>+VLOOKUP(E76,[1]base!M:N,2,0)</f>
        <v>167</v>
      </c>
      <c r="AC76" s="17">
        <f>+VLOOKUP(E76,[1]base!M:Q,5,0)</f>
        <v>0</v>
      </c>
      <c r="AD76" s="18">
        <f>+VLOOKUP(E76,[1]base!M:P,4,0)</f>
        <v>5.9523809523809521E-3</v>
      </c>
      <c r="AE76" s="19">
        <f t="shared" si="13"/>
        <v>49.105952380952381</v>
      </c>
    </row>
    <row r="77" spans="1:31" x14ac:dyDescent="0.25">
      <c r="A77" s="20" t="s">
        <v>171</v>
      </c>
      <c r="B77" s="11">
        <v>46132.367129629631</v>
      </c>
      <c r="C77" s="12" t="s">
        <v>31</v>
      </c>
      <c r="D77" s="12" t="s">
        <v>172</v>
      </c>
      <c r="E77" s="13" t="str">
        <f t="shared" si="7"/>
        <v>CO101</v>
      </c>
      <c r="F77" s="14" t="str">
        <f t="shared" si="8"/>
        <v>BLC</v>
      </c>
      <c r="G77" s="14">
        <f>+VLOOKUP(F77,[1]base!A:B,2,0)</f>
        <v>1</v>
      </c>
      <c r="H77" s="14">
        <v>28</v>
      </c>
      <c r="I77" s="14">
        <v>28</v>
      </c>
      <c r="J77" s="14"/>
      <c r="K77" s="14" t="s">
        <v>33</v>
      </c>
      <c r="L77" s="14" t="s">
        <v>76</v>
      </c>
      <c r="M77" s="14" t="s">
        <v>77</v>
      </c>
      <c r="N77" s="14"/>
      <c r="O77" s="14"/>
      <c r="P77" s="14"/>
      <c r="Q77" s="14">
        <v>0</v>
      </c>
      <c r="R77" s="14">
        <v>124</v>
      </c>
      <c r="S77" s="14"/>
      <c r="T77" s="15">
        <v>28</v>
      </c>
      <c r="U77" s="16"/>
      <c r="V77" s="17">
        <f>+VLOOKUP(E77,[1]base!D:K,8,0)</f>
        <v>6.0775000000000006</v>
      </c>
      <c r="W77" s="17">
        <f t="shared" si="9"/>
        <v>170.17000000000002</v>
      </c>
      <c r="X77" s="17">
        <f t="shared" si="10"/>
        <v>8.8488400000000009</v>
      </c>
      <c r="Y77" s="17">
        <f>+VLOOKUP(E77,[1]base!D:E,2,0)</f>
        <v>12</v>
      </c>
      <c r="Z77" s="17">
        <f t="shared" si="11"/>
        <v>3</v>
      </c>
      <c r="AA77" s="17">
        <f t="shared" si="12"/>
        <v>0.20000000000000007</v>
      </c>
      <c r="AB77" s="17">
        <f>+VLOOKUP(E77,[1]base!M:N,2,0)</f>
        <v>173</v>
      </c>
      <c r="AC77" s="17">
        <f>+VLOOKUP(E77,[1]base!M:Q,5,0)</f>
        <v>108.55555555555556</v>
      </c>
      <c r="AD77" s="18">
        <f>+VLOOKUP(E77,[1]base!M:P,4,0)</f>
        <v>0.35205992509363299</v>
      </c>
      <c r="AE77" s="19">
        <f t="shared" si="13"/>
        <v>-9.0063670411985086</v>
      </c>
    </row>
    <row r="78" spans="1:31" x14ac:dyDescent="0.25">
      <c r="A78" s="10" t="s">
        <v>173</v>
      </c>
      <c r="B78" s="11">
        <v>46254.370798611111</v>
      </c>
      <c r="C78" s="12" t="s">
        <v>39</v>
      </c>
      <c r="D78" s="12" t="s">
        <v>174</v>
      </c>
      <c r="E78" s="13" t="str">
        <f t="shared" si="7"/>
        <v>FSQ112</v>
      </c>
      <c r="F78" s="14" t="str">
        <f t="shared" si="8"/>
        <v>BLC</v>
      </c>
      <c r="G78" s="14">
        <f>+VLOOKUP(F78,[1]base!A:B,2,0)</f>
        <v>1</v>
      </c>
      <c r="H78" s="14">
        <v>3</v>
      </c>
      <c r="I78" s="14">
        <v>3</v>
      </c>
      <c r="J78" s="14"/>
      <c r="K78" s="14" t="s">
        <v>33</v>
      </c>
      <c r="L78" s="14" t="s">
        <v>175</v>
      </c>
      <c r="M78" s="14" t="s">
        <v>35</v>
      </c>
      <c r="N78" s="14">
        <v>3</v>
      </c>
      <c r="O78" s="14">
        <v>3</v>
      </c>
      <c r="P78" s="14">
        <v>0</v>
      </c>
      <c r="Q78" s="14">
        <v>0</v>
      </c>
      <c r="R78" s="14">
        <v>0</v>
      </c>
      <c r="S78" s="14"/>
      <c r="T78" s="15">
        <v>3</v>
      </c>
      <c r="U78" s="16"/>
      <c r="V78" s="17">
        <v>541</v>
      </c>
      <c r="W78" s="17">
        <f t="shared" si="9"/>
        <v>1623</v>
      </c>
      <c r="X78" s="17">
        <f t="shared" si="10"/>
        <v>84.396000000000001</v>
      </c>
      <c r="Y78" s="17">
        <v>546</v>
      </c>
      <c r="Z78" s="17">
        <f t="shared" si="11"/>
        <v>1</v>
      </c>
      <c r="AA78" s="17">
        <f t="shared" si="12"/>
        <v>6.6666666666666693E-2</v>
      </c>
      <c r="AB78" s="17">
        <f>+VLOOKUP(E78,[1]base!M:N,2,0)</f>
        <v>182</v>
      </c>
      <c r="AC78" s="17">
        <f>+VLOOKUP(E78,[1]base!M:Q,5,0)</f>
        <v>27.714285714285715</v>
      </c>
      <c r="AD78" s="18">
        <f>+VLOOKUP(E78,[1]base!M:P,4,0)</f>
        <v>1.6216216216216217E-2</v>
      </c>
      <c r="AE78" s="19">
        <f t="shared" si="13"/>
        <v>51.648648648648646</v>
      </c>
    </row>
    <row r="79" spans="1:31" x14ac:dyDescent="0.25">
      <c r="A79" s="10" t="s">
        <v>117</v>
      </c>
      <c r="B79" s="11">
        <v>46261.508750000001</v>
      </c>
      <c r="C79" s="12" t="s">
        <v>86</v>
      </c>
      <c r="D79" s="12" t="s">
        <v>174</v>
      </c>
      <c r="E79" s="13" t="str">
        <f t="shared" si="7"/>
        <v>FSQ112</v>
      </c>
      <c r="F79" s="14" t="str">
        <f t="shared" si="8"/>
        <v>BLC</v>
      </c>
      <c r="G79" s="14">
        <f>+VLOOKUP(F79,[1]base!A:B,2,0)</f>
        <v>1</v>
      </c>
      <c r="H79" s="14">
        <v>4</v>
      </c>
      <c r="I79" s="14">
        <v>4</v>
      </c>
      <c r="J79" s="14"/>
      <c r="K79" s="14" t="s">
        <v>33</v>
      </c>
      <c r="L79" s="14" t="s">
        <v>176</v>
      </c>
      <c r="M79" s="14" t="s">
        <v>35</v>
      </c>
      <c r="N79" s="14">
        <v>4</v>
      </c>
      <c r="O79" s="14">
        <v>4</v>
      </c>
      <c r="P79" s="14">
        <v>0</v>
      </c>
      <c r="Q79" s="14">
        <v>0</v>
      </c>
      <c r="R79" s="14">
        <v>0</v>
      </c>
      <c r="S79" s="14"/>
      <c r="T79" s="15">
        <v>4</v>
      </c>
      <c r="U79" s="16"/>
      <c r="V79" s="17">
        <v>694</v>
      </c>
      <c r="W79" s="17">
        <f t="shared" si="9"/>
        <v>2776</v>
      </c>
      <c r="X79" s="17">
        <f t="shared" si="10"/>
        <v>144.352</v>
      </c>
      <c r="Y79" s="17">
        <v>699</v>
      </c>
      <c r="Z79" s="17">
        <f t="shared" si="11"/>
        <v>1</v>
      </c>
      <c r="AA79" s="17">
        <f t="shared" si="12"/>
        <v>6.6666666666666693E-2</v>
      </c>
      <c r="AB79" s="17">
        <f>+VLOOKUP(E79,[1]base!M:N,2,0)</f>
        <v>182</v>
      </c>
      <c r="AC79" s="17">
        <f>+VLOOKUP(E79,[1]base!M:Q,5,0)</f>
        <v>27.714285714285715</v>
      </c>
      <c r="AD79" s="18">
        <f>+VLOOKUP(E79,[1]base!M:P,4,0)</f>
        <v>1.6216216216216217E-2</v>
      </c>
      <c r="AE79" s="19">
        <f t="shared" si="13"/>
        <v>51.648648648648646</v>
      </c>
    </row>
    <row r="80" spans="1:31" x14ac:dyDescent="0.25">
      <c r="A80" s="10" t="s">
        <v>159</v>
      </c>
      <c r="B80" s="11">
        <v>46248.315150462964</v>
      </c>
      <c r="C80" s="12" t="s">
        <v>70</v>
      </c>
      <c r="D80" s="12" t="s">
        <v>177</v>
      </c>
      <c r="E80" s="13" t="str">
        <f t="shared" si="7"/>
        <v>CSQ104</v>
      </c>
      <c r="F80" s="14" t="str">
        <f t="shared" si="8"/>
        <v>BLC</v>
      </c>
      <c r="G80" s="14">
        <f>+VLOOKUP(F80,[1]base!A:B,2,0)</f>
        <v>1</v>
      </c>
      <c r="H80" s="14">
        <v>30</v>
      </c>
      <c r="I80" s="14">
        <v>30</v>
      </c>
      <c r="J80" s="14"/>
      <c r="K80" s="14" t="s">
        <v>33</v>
      </c>
      <c r="L80" s="14" t="s">
        <v>178</v>
      </c>
      <c r="M80" s="14" t="s">
        <v>35</v>
      </c>
      <c r="N80" s="14">
        <v>30</v>
      </c>
      <c r="O80" s="14">
        <v>30</v>
      </c>
      <c r="P80" s="14">
        <v>0</v>
      </c>
      <c r="Q80" s="14">
        <v>0</v>
      </c>
      <c r="R80" s="14">
        <v>0</v>
      </c>
      <c r="S80" s="14"/>
      <c r="T80" s="15">
        <v>30</v>
      </c>
      <c r="U80" s="16"/>
      <c r="V80" s="17">
        <v>477</v>
      </c>
      <c r="W80" s="17">
        <f t="shared" si="9"/>
        <v>14310</v>
      </c>
      <c r="X80" s="17">
        <f t="shared" si="10"/>
        <v>744.12</v>
      </c>
      <c r="Y80" s="17">
        <v>482</v>
      </c>
      <c r="Z80" s="17">
        <f t="shared" si="11"/>
        <v>1</v>
      </c>
      <c r="AA80" s="17">
        <f t="shared" si="12"/>
        <v>6.6666666666666693E-2</v>
      </c>
      <c r="AB80" s="17">
        <f>+VLOOKUP(E80,[1]base!M:N,2,0)</f>
        <v>183</v>
      </c>
      <c r="AC80" s="17">
        <f>+VLOOKUP(E80,[1]base!M:Q,5,0)</f>
        <v>230.63636363636363</v>
      </c>
      <c r="AD80" s="18">
        <f>+VLOOKUP(E80,[1]base!M:P,4,0)</f>
        <v>3.6842105263157891E-2</v>
      </c>
      <c r="AE80" s="19">
        <f t="shared" si="13"/>
        <v>48.157894736842103</v>
      </c>
    </row>
    <row r="81" spans="1:31" x14ac:dyDescent="0.25">
      <c r="A81" s="10" t="s">
        <v>117</v>
      </c>
      <c r="B81" s="11">
        <v>46261.508750000001</v>
      </c>
      <c r="C81" s="12" t="s">
        <v>86</v>
      </c>
      <c r="D81" s="12" t="s">
        <v>177</v>
      </c>
      <c r="E81" s="13" t="str">
        <f t="shared" si="7"/>
        <v>CSQ104</v>
      </c>
      <c r="F81" s="14" t="str">
        <f t="shared" si="8"/>
        <v>BLC</v>
      </c>
      <c r="G81" s="14">
        <f>+VLOOKUP(F81,[1]base!A:B,2,0)</f>
        <v>1</v>
      </c>
      <c r="H81" s="14">
        <v>12</v>
      </c>
      <c r="I81" s="14">
        <v>12</v>
      </c>
      <c r="J81" s="14"/>
      <c r="K81" s="14" t="s">
        <v>33</v>
      </c>
      <c r="L81" s="14" t="s">
        <v>179</v>
      </c>
      <c r="M81" s="14" t="s">
        <v>35</v>
      </c>
      <c r="N81" s="14">
        <v>12</v>
      </c>
      <c r="O81" s="14">
        <v>12</v>
      </c>
      <c r="P81" s="14">
        <v>0</v>
      </c>
      <c r="Q81" s="14">
        <v>0</v>
      </c>
      <c r="R81" s="14">
        <v>0</v>
      </c>
      <c r="S81" s="14"/>
      <c r="T81" s="15">
        <v>12</v>
      </c>
      <c r="U81" s="16"/>
      <c r="V81" s="17">
        <v>686</v>
      </c>
      <c r="W81" s="17">
        <f t="shared" si="9"/>
        <v>8232</v>
      </c>
      <c r="X81" s="17">
        <f t="shared" si="10"/>
        <v>428.06399999999996</v>
      </c>
      <c r="Y81" s="17">
        <v>691</v>
      </c>
      <c r="Z81" s="17">
        <f t="shared" si="11"/>
        <v>1</v>
      </c>
      <c r="AA81" s="17">
        <f t="shared" si="12"/>
        <v>6.6666666666666693E-2</v>
      </c>
      <c r="AB81" s="17">
        <f>+VLOOKUP(E81,[1]base!M:N,2,0)</f>
        <v>183</v>
      </c>
      <c r="AC81" s="17">
        <f>+VLOOKUP(E81,[1]base!M:Q,5,0)</f>
        <v>230.63636363636363</v>
      </c>
      <c r="AD81" s="18">
        <f>+VLOOKUP(E81,[1]base!M:P,4,0)</f>
        <v>3.6842105263157891E-2</v>
      </c>
      <c r="AE81" s="19">
        <f t="shared" si="13"/>
        <v>48.157894736842103</v>
      </c>
    </row>
    <row r="82" spans="1:31" x14ac:dyDescent="0.25">
      <c r="A82" s="20" t="s">
        <v>171</v>
      </c>
      <c r="B82" s="11">
        <v>46132.367129629631</v>
      </c>
      <c r="C82" s="12" t="s">
        <v>31</v>
      </c>
      <c r="D82" s="12" t="s">
        <v>180</v>
      </c>
      <c r="E82" s="13" t="str">
        <f t="shared" si="7"/>
        <v>EC40102</v>
      </c>
      <c r="F82" s="14" t="str">
        <f t="shared" si="8"/>
        <v>BLC</v>
      </c>
      <c r="G82" s="14">
        <f>+VLOOKUP(F82,[1]base!A:B,2,0)</f>
        <v>1</v>
      </c>
      <c r="H82" s="14">
        <v>20</v>
      </c>
      <c r="I82" s="14">
        <v>20</v>
      </c>
      <c r="J82" s="14"/>
      <c r="K82" s="14" t="s">
        <v>33</v>
      </c>
      <c r="L82" s="14" t="s">
        <v>76</v>
      </c>
      <c r="M82" s="14" t="s">
        <v>77</v>
      </c>
      <c r="N82" s="14"/>
      <c r="O82" s="14"/>
      <c r="P82" s="14"/>
      <c r="Q82" s="14">
        <v>0</v>
      </c>
      <c r="R82" s="14">
        <v>207</v>
      </c>
      <c r="S82" s="14"/>
      <c r="T82" s="15">
        <v>20</v>
      </c>
      <c r="U82" s="16"/>
      <c r="V82" s="17">
        <v>5</v>
      </c>
      <c r="W82" s="17">
        <f t="shared" si="9"/>
        <v>100</v>
      </c>
      <c r="X82" s="17">
        <f t="shared" si="10"/>
        <v>5.2</v>
      </c>
      <c r="Y82" s="17">
        <v>10</v>
      </c>
      <c r="Z82" s="17">
        <f t="shared" si="11"/>
        <v>2</v>
      </c>
      <c r="AA82" s="17">
        <f t="shared" si="12"/>
        <v>0.13333333333333339</v>
      </c>
      <c r="AB82" s="17">
        <f>+VLOOKUP(E82,[1]base!M:N,2,0)</f>
        <v>186</v>
      </c>
      <c r="AC82" s="17">
        <f>+VLOOKUP(E82,[1]base!M:Q,5,0)</f>
        <v>824.22222222222217</v>
      </c>
      <c r="AD82" s="18">
        <f>+VLOOKUP(E82,[1]base!M:P,4,0)</f>
        <v>2.6178010471204188E-2</v>
      </c>
      <c r="AE82" s="19">
        <f t="shared" si="13"/>
        <v>50.930890052356013</v>
      </c>
    </row>
    <row r="83" spans="1:31" x14ac:dyDescent="0.25">
      <c r="A83" s="20" t="s">
        <v>181</v>
      </c>
      <c r="B83" s="11">
        <v>46177.381261574075</v>
      </c>
      <c r="C83" s="12" t="s">
        <v>124</v>
      </c>
      <c r="D83" s="12" t="s">
        <v>180</v>
      </c>
      <c r="E83" s="13" t="str">
        <f t="shared" si="7"/>
        <v>EC40102</v>
      </c>
      <c r="F83" s="14" t="str">
        <f t="shared" si="8"/>
        <v>BLC</v>
      </c>
      <c r="G83" s="14">
        <f>+VLOOKUP(F83,[1]base!A:B,2,0)</f>
        <v>1</v>
      </c>
      <c r="H83" s="14">
        <v>6</v>
      </c>
      <c r="I83" s="14">
        <v>6</v>
      </c>
      <c r="J83" s="14"/>
      <c r="K83" s="14" t="s">
        <v>33</v>
      </c>
      <c r="L83" s="14" t="s">
        <v>76</v>
      </c>
      <c r="M83" s="14" t="s">
        <v>77</v>
      </c>
      <c r="N83" s="14"/>
      <c r="O83" s="14"/>
      <c r="P83" s="14"/>
      <c r="Q83" s="14">
        <v>0</v>
      </c>
      <c r="R83" s="14">
        <v>207</v>
      </c>
      <c r="S83" s="14">
        <v>5</v>
      </c>
      <c r="T83" s="15">
        <v>6</v>
      </c>
      <c r="U83" s="16"/>
      <c r="V83" s="17">
        <v>5</v>
      </c>
      <c r="W83" s="17">
        <f t="shared" si="9"/>
        <v>30</v>
      </c>
      <c r="X83" s="17">
        <f t="shared" si="10"/>
        <v>1.5599999999999998</v>
      </c>
      <c r="Y83" s="17">
        <v>10</v>
      </c>
      <c r="Z83" s="17">
        <f t="shared" si="11"/>
        <v>1</v>
      </c>
      <c r="AA83" s="17">
        <f t="shared" si="12"/>
        <v>6.6666666666666693E-2</v>
      </c>
      <c r="AB83" s="17">
        <f>+VLOOKUP(E83,[1]base!M:N,2,0)</f>
        <v>186</v>
      </c>
      <c r="AC83" s="17">
        <f>+VLOOKUP(E83,[1]base!M:Q,5,0)</f>
        <v>824.22222222222217</v>
      </c>
      <c r="AD83" s="18">
        <f>+VLOOKUP(E83,[1]base!M:P,4,0)</f>
        <v>2.6178010471204188E-2</v>
      </c>
      <c r="AE83" s="19">
        <f t="shared" si="13"/>
        <v>50.930890052356013</v>
      </c>
    </row>
    <row r="84" spans="1:31" x14ac:dyDescent="0.25">
      <c r="A84" s="20" t="s">
        <v>78</v>
      </c>
      <c r="B84" s="11">
        <v>46210.339687500003</v>
      </c>
      <c r="C84" s="12" t="s">
        <v>39</v>
      </c>
      <c r="D84" s="12" t="s">
        <v>180</v>
      </c>
      <c r="E84" s="13" t="str">
        <f t="shared" si="7"/>
        <v>EC40102</v>
      </c>
      <c r="F84" s="14" t="str">
        <f t="shared" si="8"/>
        <v>BLC</v>
      </c>
      <c r="G84" s="14">
        <f>+VLOOKUP(F84,[1]base!A:B,2,0)</f>
        <v>1</v>
      </c>
      <c r="H84" s="14">
        <v>120</v>
      </c>
      <c r="I84" s="14">
        <v>80</v>
      </c>
      <c r="J84" s="14"/>
      <c r="K84" s="14" t="s">
        <v>72</v>
      </c>
      <c r="L84" s="14" t="s">
        <v>76</v>
      </c>
      <c r="M84" s="14" t="s">
        <v>77</v>
      </c>
      <c r="N84" s="14"/>
      <c r="O84" s="14"/>
      <c r="P84" s="14"/>
      <c r="Q84" s="14">
        <v>60</v>
      </c>
      <c r="R84" s="14">
        <v>207</v>
      </c>
      <c r="S84" s="14"/>
      <c r="T84" s="15">
        <v>80</v>
      </c>
      <c r="U84" s="16"/>
      <c r="V84" s="17">
        <v>84</v>
      </c>
      <c r="W84" s="17">
        <f t="shared" si="9"/>
        <v>6720</v>
      </c>
      <c r="X84" s="17">
        <f t="shared" si="10"/>
        <v>349.44</v>
      </c>
      <c r="Y84" s="17">
        <v>89</v>
      </c>
      <c r="Z84" s="17">
        <f t="shared" si="11"/>
        <v>1</v>
      </c>
      <c r="AA84" s="17">
        <f t="shared" si="12"/>
        <v>6.6666666666666693E-2</v>
      </c>
      <c r="AB84" s="17">
        <f>+VLOOKUP(E84,[1]base!M:N,2,0)</f>
        <v>186</v>
      </c>
      <c r="AC84" s="17">
        <f>+VLOOKUP(E84,[1]base!M:Q,5,0)</f>
        <v>824.22222222222217</v>
      </c>
      <c r="AD84" s="18">
        <f>+VLOOKUP(E84,[1]base!M:P,4,0)</f>
        <v>2.6178010471204188E-2</v>
      </c>
      <c r="AE84" s="19">
        <f t="shared" si="13"/>
        <v>50.930890052356013</v>
      </c>
    </row>
    <row r="85" spans="1:31" x14ac:dyDescent="0.25">
      <c r="A85" s="20" t="s">
        <v>89</v>
      </c>
      <c r="B85" s="11">
        <v>46212.477118055554</v>
      </c>
      <c r="C85" s="12" t="s">
        <v>39</v>
      </c>
      <c r="D85" s="12" t="s">
        <v>180</v>
      </c>
      <c r="E85" s="13" t="str">
        <f t="shared" si="7"/>
        <v>EC40102</v>
      </c>
      <c r="F85" s="14" t="str">
        <f t="shared" si="8"/>
        <v>BLC</v>
      </c>
      <c r="G85" s="14">
        <f>+VLOOKUP(F85,[1]base!A:B,2,0)</f>
        <v>1</v>
      </c>
      <c r="H85" s="14">
        <v>120</v>
      </c>
      <c r="I85" s="14">
        <v>100</v>
      </c>
      <c r="J85" s="14"/>
      <c r="K85" s="14" t="s">
        <v>72</v>
      </c>
      <c r="L85" s="14" t="s">
        <v>76</v>
      </c>
      <c r="M85" s="14" t="s">
        <v>77</v>
      </c>
      <c r="N85" s="14"/>
      <c r="O85" s="14"/>
      <c r="P85" s="14"/>
      <c r="Q85" s="14">
        <v>120</v>
      </c>
      <c r="R85" s="14">
        <v>207</v>
      </c>
      <c r="S85" s="14"/>
      <c r="T85" s="15">
        <v>100</v>
      </c>
      <c r="U85" s="16"/>
      <c r="V85" s="17">
        <v>92</v>
      </c>
      <c r="W85" s="17">
        <f t="shared" si="9"/>
        <v>9200</v>
      </c>
      <c r="X85" s="17">
        <f t="shared" si="10"/>
        <v>478.4</v>
      </c>
      <c r="Y85" s="17">
        <v>97</v>
      </c>
      <c r="Z85" s="17">
        <f t="shared" si="11"/>
        <v>2</v>
      </c>
      <c r="AA85" s="17">
        <f t="shared" si="12"/>
        <v>0.13333333333333339</v>
      </c>
      <c r="AB85" s="17">
        <f>+VLOOKUP(E85,[1]base!M:N,2,0)</f>
        <v>186</v>
      </c>
      <c r="AC85" s="17">
        <f>+VLOOKUP(E85,[1]base!M:Q,5,0)</f>
        <v>824.22222222222217</v>
      </c>
      <c r="AD85" s="18">
        <f>+VLOOKUP(E85,[1]base!M:P,4,0)</f>
        <v>2.6178010471204188E-2</v>
      </c>
      <c r="AE85" s="19">
        <f t="shared" si="13"/>
        <v>50.930890052356013</v>
      </c>
    </row>
    <row r="86" spans="1:31" x14ac:dyDescent="0.25">
      <c r="A86" s="10" t="s">
        <v>106</v>
      </c>
      <c r="B86" s="11">
        <v>46226.41915509259</v>
      </c>
      <c r="C86" s="12" t="s">
        <v>107</v>
      </c>
      <c r="D86" s="12" t="s">
        <v>180</v>
      </c>
      <c r="E86" s="13" t="str">
        <f t="shared" si="7"/>
        <v>EC40102</v>
      </c>
      <c r="F86" s="14" t="str">
        <f t="shared" si="8"/>
        <v>BLC</v>
      </c>
      <c r="G86" s="14">
        <f>+VLOOKUP(F86,[1]base!A:B,2,0)</f>
        <v>1</v>
      </c>
      <c r="H86" s="14">
        <v>12</v>
      </c>
      <c r="I86" s="14">
        <v>12</v>
      </c>
      <c r="J86" s="14"/>
      <c r="K86" s="14" t="s">
        <v>72</v>
      </c>
      <c r="L86" s="14" t="s">
        <v>76</v>
      </c>
      <c r="M86" s="14" t="s">
        <v>77</v>
      </c>
      <c r="N86" s="14"/>
      <c r="O86" s="14"/>
      <c r="P86" s="14"/>
      <c r="Q86" s="14">
        <v>16</v>
      </c>
      <c r="R86" s="14">
        <v>207</v>
      </c>
      <c r="S86" s="14"/>
      <c r="T86" s="15">
        <v>12</v>
      </c>
      <c r="U86" s="16"/>
      <c r="V86" s="17">
        <v>235</v>
      </c>
      <c r="W86" s="17">
        <f t="shared" si="9"/>
        <v>2820</v>
      </c>
      <c r="X86" s="17">
        <f t="shared" si="10"/>
        <v>146.63999999999999</v>
      </c>
      <c r="Y86" s="17">
        <v>240</v>
      </c>
      <c r="Z86" s="17">
        <f t="shared" si="11"/>
        <v>1</v>
      </c>
      <c r="AA86" s="17">
        <f t="shared" si="12"/>
        <v>6.6666666666666693E-2</v>
      </c>
      <c r="AB86" s="17">
        <f>+VLOOKUP(E86,[1]base!M:N,2,0)</f>
        <v>186</v>
      </c>
      <c r="AC86" s="17">
        <f>+VLOOKUP(E86,[1]base!M:Q,5,0)</f>
        <v>824.22222222222217</v>
      </c>
      <c r="AD86" s="18">
        <f>+VLOOKUP(E86,[1]base!M:P,4,0)</f>
        <v>2.6178010471204188E-2</v>
      </c>
      <c r="AE86" s="19">
        <f t="shared" si="13"/>
        <v>50.930890052356013</v>
      </c>
    </row>
    <row r="87" spans="1:31" x14ac:dyDescent="0.25">
      <c r="A87" s="10" t="s">
        <v>182</v>
      </c>
      <c r="B87" s="11">
        <v>46228.359699074077</v>
      </c>
      <c r="C87" s="12" t="s">
        <v>183</v>
      </c>
      <c r="D87" s="12" t="s">
        <v>180</v>
      </c>
      <c r="E87" s="13" t="str">
        <f t="shared" si="7"/>
        <v>EC40102</v>
      </c>
      <c r="F87" s="14" t="str">
        <f t="shared" si="8"/>
        <v>BLC</v>
      </c>
      <c r="G87" s="14">
        <f>+VLOOKUP(F87,[1]base!A:B,2,0)</f>
        <v>1</v>
      </c>
      <c r="H87" s="14">
        <v>30</v>
      </c>
      <c r="I87" s="14">
        <v>22</v>
      </c>
      <c r="J87" s="14"/>
      <c r="K87" s="14" t="s">
        <v>33</v>
      </c>
      <c r="L87" s="14" t="s">
        <v>76</v>
      </c>
      <c r="M87" s="14" t="s">
        <v>77</v>
      </c>
      <c r="N87" s="14"/>
      <c r="O87" s="14"/>
      <c r="P87" s="14"/>
      <c r="Q87" s="14">
        <v>0</v>
      </c>
      <c r="R87" s="14">
        <v>207</v>
      </c>
      <c r="S87" s="14"/>
      <c r="T87" s="15">
        <v>22</v>
      </c>
      <c r="U87" s="16"/>
      <c r="V87" s="17">
        <v>281</v>
      </c>
      <c r="W87" s="17">
        <f t="shared" si="9"/>
        <v>6182</v>
      </c>
      <c r="X87" s="17">
        <f t="shared" si="10"/>
        <v>321.464</v>
      </c>
      <c r="Y87" s="17">
        <v>286</v>
      </c>
      <c r="Z87" s="17">
        <f t="shared" si="11"/>
        <v>1</v>
      </c>
      <c r="AA87" s="17">
        <f t="shared" si="12"/>
        <v>6.6666666666666693E-2</v>
      </c>
      <c r="AB87" s="17">
        <f>+VLOOKUP(E87,[1]base!M:N,2,0)</f>
        <v>186</v>
      </c>
      <c r="AC87" s="17">
        <f>+VLOOKUP(E87,[1]base!M:Q,5,0)</f>
        <v>824.22222222222217</v>
      </c>
      <c r="AD87" s="18">
        <f>+VLOOKUP(E87,[1]base!M:P,4,0)</f>
        <v>2.6178010471204188E-2</v>
      </c>
      <c r="AE87" s="19">
        <f t="shared" si="13"/>
        <v>50.930890052356013</v>
      </c>
    </row>
    <row r="88" spans="1:31" x14ac:dyDescent="0.25">
      <c r="A88" s="10" t="s">
        <v>184</v>
      </c>
      <c r="B88" s="11">
        <v>46235.410405092596</v>
      </c>
      <c r="C88" s="12" t="s">
        <v>185</v>
      </c>
      <c r="D88" s="12" t="s">
        <v>180</v>
      </c>
      <c r="E88" s="13" t="str">
        <f t="shared" si="7"/>
        <v>EC40102</v>
      </c>
      <c r="F88" s="14" t="str">
        <f t="shared" si="8"/>
        <v>BLC</v>
      </c>
      <c r="G88" s="14">
        <f>+VLOOKUP(F88,[1]base!A:B,2,0)</f>
        <v>1</v>
      </c>
      <c r="H88" s="14">
        <v>20</v>
      </c>
      <c r="I88" s="14">
        <v>6</v>
      </c>
      <c r="J88" s="14"/>
      <c r="K88" s="14" t="s">
        <v>72</v>
      </c>
      <c r="L88" s="14" t="s">
        <v>76</v>
      </c>
      <c r="M88" s="14" t="s">
        <v>77</v>
      </c>
      <c r="N88" s="14"/>
      <c r="O88" s="14"/>
      <c r="P88" s="14"/>
      <c r="Q88" s="14">
        <v>28</v>
      </c>
      <c r="R88" s="14">
        <v>207</v>
      </c>
      <c r="S88" s="14"/>
      <c r="T88" s="15">
        <v>6</v>
      </c>
      <c r="U88" s="16"/>
      <c r="V88" s="17">
        <v>333</v>
      </c>
      <c r="W88" s="17">
        <f t="shared" si="9"/>
        <v>1998</v>
      </c>
      <c r="X88" s="17">
        <f t="shared" si="10"/>
        <v>103.896</v>
      </c>
      <c r="Y88" s="17">
        <v>338</v>
      </c>
      <c r="Z88" s="17">
        <f t="shared" si="11"/>
        <v>1</v>
      </c>
      <c r="AA88" s="17">
        <f t="shared" si="12"/>
        <v>6.6666666666666693E-2</v>
      </c>
      <c r="AB88" s="17">
        <f>+VLOOKUP(E88,[1]base!M:N,2,0)</f>
        <v>186</v>
      </c>
      <c r="AC88" s="17">
        <f>+VLOOKUP(E88,[1]base!M:Q,5,0)</f>
        <v>824.22222222222217</v>
      </c>
      <c r="AD88" s="18">
        <f>+VLOOKUP(E88,[1]base!M:P,4,0)</f>
        <v>2.6178010471204188E-2</v>
      </c>
      <c r="AE88" s="19">
        <f t="shared" si="13"/>
        <v>50.930890052356013</v>
      </c>
    </row>
    <row r="89" spans="1:31" x14ac:dyDescent="0.25">
      <c r="A89" s="10" t="s">
        <v>87</v>
      </c>
      <c r="B89" s="11">
        <v>46235.515706018516</v>
      </c>
      <c r="C89" s="12" t="s">
        <v>88</v>
      </c>
      <c r="D89" s="12" t="s">
        <v>180</v>
      </c>
      <c r="E89" s="13" t="str">
        <f t="shared" si="7"/>
        <v>EC40102</v>
      </c>
      <c r="F89" s="14" t="str">
        <f t="shared" si="8"/>
        <v>BLC</v>
      </c>
      <c r="G89" s="14">
        <f>+VLOOKUP(F89,[1]base!A:B,2,0)</f>
        <v>1</v>
      </c>
      <c r="H89" s="14">
        <v>30</v>
      </c>
      <c r="I89" s="14">
        <v>30</v>
      </c>
      <c r="J89" s="14"/>
      <c r="K89" s="14" t="s">
        <v>33</v>
      </c>
      <c r="L89" s="14" t="s">
        <v>76</v>
      </c>
      <c r="M89" s="14" t="s">
        <v>77</v>
      </c>
      <c r="N89" s="14"/>
      <c r="O89" s="14"/>
      <c r="P89" s="14"/>
      <c r="Q89" s="14">
        <v>0</v>
      </c>
      <c r="R89" s="14">
        <v>207</v>
      </c>
      <c r="S89" s="14">
        <v>22</v>
      </c>
      <c r="T89" s="15">
        <v>30</v>
      </c>
      <c r="U89" s="16"/>
      <c r="V89" s="17">
        <v>340</v>
      </c>
      <c r="W89" s="17">
        <f t="shared" si="9"/>
        <v>10200</v>
      </c>
      <c r="X89" s="17">
        <f t="shared" si="10"/>
        <v>530.4</v>
      </c>
      <c r="Y89" s="17">
        <v>345</v>
      </c>
      <c r="Z89" s="17">
        <f t="shared" si="11"/>
        <v>1</v>
      </c>
      <c r="AA89" s="17">
        <f t="shared" si="12"/>
        <v>6.6666666666666693E-2</v>
      </c>
      <c r="AB89" s="17">
        <f>+VLOOKUP(E89,[1]base!M:N,2,0)</f>
        <v>186</v>
      </c>
      <c r="AC89" s="17">
        <f>+VLOOKUP(E89,[1]base!M:Q,5,0)</f>
        <v>824.22222222222217</v>
      </c>
      <c r="AD89" s="18">
        <f>+VLOOKUP(E89,[1]base!M:P,4,0)</f>
        <v>2.6178010471204188E-2</v>
      </c>
      <c r="AE89" s="19">
        <f t="shared" si="13"/>
        <v>50.930890052356013</v>
      </c>
    </row>
    <row r="90" spans="1:31" x14ac:dyDescent="0.25">
      <c r="A90" s="10" t="s">
        <v>111</v>
      </c>
      <c r="B90" s="11">
        <v>46240.550856481481</v>
      </c>
      <c r="C90" s="12" t="s">
        <v>112</v>
      </c>
      <c r="D90" s="12" t="s">
        <v>180</v>
      </c>
      <c r="E90" s="13" t="str">
        <f t="shared" si="7"/>
        <v>EC40102</v>
      </c>
      <c r="F90" s="14" t="str">
        <f t="shared" si="8"/>
        <v>BLC</v>
      </c>
      <c r="G90" s="14">
        <f>+VLOOKUP(F90,[1]base!A:B,2,0)</f>
        <v>1</v>
      </c>
      <c r="H90" s="14">
        <v>20</v>
      </c>
      <c r="I90" s="14">
        <v>20</v>
      </c>
      <c r="J90" s="14"/>
      <c r="K90" s="14" t="s">
        <v>33</v>
      </c>
      <c r="L90" s="14" t="s">
        <v>76</v>
      </c>
      <c r="M90" s="14" t="s">
        <v>77</v>
      </c>
      <c r="N90" s="14"/>
      <c r="O90" s="14"/>
      <c r="P90" s="14"/>
      <c r="Q90" s="14">
        <v>0</v>
      </c>
      <c r="R90" s="14">
        <v>207</v>
      </c>
      <c r="S90" s="14"/>
      <c r="T90" s="15">
        <v>20</v>
      </c>
      <c r="U90" s="16"/>
      <c r="V90" s="17">
        <v>383</v>
      </c>
      <c r="W90" s="17">
        <f t="shared" si="9"/>
        <v>7660</v>
      </c>
      <c r="X90" s="17">
        <f t="shared" si="10"/>
        <v>398.32</v>
      </c>
      <c r="Y90" s="17">
        <v>388</v>
      </c>
      <c r="Z90" s="17">
        <f t="shared" si="11"/>
        <v>1</v>
      </c>
      <c r="AA90" s="17">
        <f t="shared" si="12"/>
        <v>6.6666666666666693E-2</v>
      </c>
      <c r="AB90" s="17">
        <f>+VLOOKUP(E90,[1]base!M:N,2,0)</f>
        <v>186</v>
      </c>
      <c r="AC90" s="17">
        <f>+VLOOKUP(E90,[1]base!M:Q,5,0)</f>
        <v>824.22222222222217</v>
      </c>
      <c r="AD90" s="18">
        <f>+VLOOKUP(E90,[1]base!M:P,4,0)</f>
        <v>2.6178010471204188E-2</v>
      </c>
      <c r="AE90" s="19">
        <f t="shared" si="13"/>
        <v>50.930890052356013</v>
      </c>
    </row>
    <row r="91" spans="1:31" x14ac:dyDescent="0.25">
      <c r="A91" s="10" t="s">
        <v>113</v>
      </c>
      <c r="B91" s="11">
        <v>46246.568078703705</v>
      </c>
      <c r="C91" s="12" t="s">
        <v>39</v>
      </c>
      <c r="D91" s="12" t="s">
        <v>180</v>
      </c>
      <c r="E91" s="13" t="str">
        <f t="shared" si="7"/>
        <v>EC40102</v>
      </c>
      <c r="F91" s="14" t="str">
        <f t="shared" si="8"/>
        <v>BLC</v>
      </c>
      <c r="G91" s="14">
        <f>+VLOOKUP(F91,[1]base!A:B,2,0)</f>
        <v>1</v>
      </c>
      <c r="H91" s="14">
        <v>120</v>
      </c>
      <c r="I91" s="14">
        <v>120</v>
      </c>
      <c r="J91" s="14"/>
      <c r="K91" s="14" t="s">
        <v>33</v>
      </c>
      <c r="L91" s="14" t="s">
        <v>76</v>
      </c>
      <c r="M91" s="14" t="s">
        <v>77</v>
      </c>
      <c r="N91" s="14"/>
      <c r="O91" s="14"/>
      <c r="P91" s="14"/>
      <c r="Q91" s="14">
        <v>0</v>
      </c>
      <c r="R91" s="14">
        <v>207</v>
      </c>
      <c r="S91" s="14"/>
      <c r="T91" s="15">
        <v>120</v>
      </c>
      <c r="U91" s="16"/>
      <c r="V91" s="17">
        <v>453</v>
      </c>
      <c r="W91" s="17">
        <f t="shared" si="9"/>
        <v>54360</v>
      </c>
      <c r="X91" s="17">
        <f t="shared" si="10"/>
        <v>2826.72</v>
      </c>
      <c r="Y91" s="17">
        <v>458</v>
      </c>
      <c r="Z91" s="17">
        <f t="shared" si="11"/>
        <v>1</v>
      </c>
      <c r="AA91" s="17">
        <f t="shared" si="12"/>
        <v>6.6666666666666693E-2</v>
      </c>
      <c r="AB91" s="17">
        <f>+VLOOKUP(E91,[1]base!M:N,2,0)</f>
        <v>186</v>
      </c>
      <c r="AC91" s="17">
        <f>+VLOOKUP(E91,[1]base!M:Q,5,0)</f>
        <v>824.22222222222217</v>
      </c>
      <c r="AD91" s="18">
        <f>+VLOOKUP(E91,[1]base!M:P,4,0)</f>
        <v>2.6178010471204188E-2</v>
      </c>
      <c r="AE91" s="19">
        <f t="shared" si="13"/>
        <v>50.930890052356013</v>
      </c>
    </row>
    <row r="92" spans="1:31" x14ac:dyDescent="0.25">
      <c r="A92" s="10" t="s">
        <v>186</v>
      </c>
      <c r="B92" s="11">
        <v>46249.396157407406</v>
      </c>
      <c r="C92" s="12" t="s">
        <v>86</v>
      </c>
      <c r="D92" s="12" t="s">
        <v>180</v>
      </c>
      <c r="E92" s="13" t="str">
        <f t="shared" si="7"/>
        <v>EC40102</v>
      </c>
      <c r="F92" s="14" t="str">
        <f t="shared" si="8"/>
        <v>BLC</v>
      </c>
      <c r="G92" s="14">
        <f>+VLOOKUP(F92,[1]base!A:B,2,0)</f>
        <v>1</v>
      </c>
      <c r="H92" s="14">
        <v>4</v>
      </c>
      <c r="I92" s="14">
        <v>4</v>
      </c>
      <c r="J92" s="14"/>
      <c r="K92" s="14" t="s">
        <v>33</v>
      </c>
      <c r="L92" s="14" t="s">
        <v>76</v>
      </c>
      <c r="M92" s="14" t="s">
        <v>77</v>
      </c>
      <c r="N92" s="14"/>
      <c r="O92" s="14"/>
      <c r="P92" s="14"/>
      <c r="Q92" s="14">
        <v>0</v>
      </c>
      <c r="R92" s="14">
        <v>207</v>
      </c>
      <c r="S92" s="14"/>
      <c r="T92" s="15">
        <v>4</v>
      </c>
      <c r="U92" s="16"/>
      <c r="V92" s="17">
        <v>503</v>
      </c>
      <c r="W92" s="17">
        <f t="shared" si="9"/>
        <v>2012</v>
      </c>
      <c r="X92" s="17">
        <f t="shared" si="10"/>
        <v>104.624</v>
      </c>
      <c r="Y92" s="17">
        <v>508</v>
      </c>
      <c r="Z92" s="17">
        <f t="shared" si="11"/>
        <v>1</v>
      </c>
      <c r="AA92" s="17">
        <f t="shared" si="12"/>
        <v>6.6666666666666693E-2</v>
      </c>
      <c r="AB92" s="17">
        <f>+VLOOKUP(E92,[1]base!M:N,2,0)</f>
        <v>186</v>
      </c>
      <c r="AC92" s="17">
        <f>+VLOOKUP(E92,[1]base!M:Q,5,0)</f>
        <v>824.22222222222217</v>
      </c>
      <c r="AD92" s="18">
        <f>+VLOOKUP(E92,[1]base!M:P,4,0)</f>
        <v>2.6178010471204188E-2</v>
      </c>
      <c r="AE92" s="19">
        <f t="shared" si="13"/>
        <v>50.930890052356013</v>
      </c>
    </row>
    <row r="93" spans="1:31" x14ac:dyDescent="0.25">
      <c r="A93" s="10" t="s">
        <v>125</v>
      </c>
      <c r="B93" s="11">
        <v>46253.521597222221</v>
      </c>
      <c r="C93" s="12" t="s">
        <v>126</v>
      </c>
      <c r="D93" s="12" t="s">
        <v>180</v>
      </c>
      <c r="E93" s="13" t="str">
        <f t="shared" si="7"/>
        <v>EC40102</v>
      </c>
      <c r="F93" s="14" t="str">
        <f t="shared" si="8"/>
        <v>BLC</v>
      </c>
      <c r="G93" s="14">
        <f>+VLOOKUP(F93,[1]base!A:B,2,0)</f>
        <v>1</v>
      </c>
      <c r="H93" s="14">
        <v>36</v>
      </c>
      <c r="I93" s="14">
        <v>36</v>
      </c>
      <c r="J93" s="14"/>
      <c r="K93" s="14" t="s">
        <v>33</v>
      </c>
      <c r="L93" s="14" t="s">
        <v>76</v>
      </c>
      <c r="M93" s="14" t="s">
        <v>77</v>
      </c>
      <c r="N93" s="14"/>
      <c r="O93" s="14"/>
      <c r="P93" s="14"/>
      <c r="Q93" s="14">
        <v>0</v>
      </c>
      <c r="R93" s="14">
        <v>207</v>
      </c>
      <c r="S93" s="14"/>
      <c r="T93" s="15">
        <v>36</v>
      </c>
      <c r="U93" s="16"/>
      <c r="V93" s="17">
        <v>527</v>
      </c>
      <c r="W93" s="17">
        <f t="shared" si="9"/>
        <v>18972</v>
      </c>
      <c r="X93" s="17">
        <f t="shared" si="10"/>
        <v>986.54399999999998</v>
      </c>
      <c r="Y93" s="17">
        <v>532</v>
      </c>
      <c r="Z93" s="17">
        <f t="shared" si="11"/>
        <v>1</v>
      </c>
      <c r="AA93" s="17">
        <f t="shared" si="12"/>
        <v>6.6666666666666693E-2</v>
      </c>
      <c r="AB93" s="17">
        <f>+VLOOKUP(E93,[1]base!M:N,2,0)</f>
        <v>186</v>
      </c>
      <c r="AC93" s="17">
        <f>+VLOOKUP(E93,[1]base!M:Q,5,0)</f>
        <v>824.22222222222217</v>
      </c>
      <c r="AD93" s="18">
        <f>+VLOOKUP(E93,[1]base!M:P,4,0)</f>
        <v>2.6178010471204188E-2</v>
      </c>
      <c r="AE93" s="19">
        <f t="shared" si="13"/>
        <v>50.930890052356013</v>
      </c>
    </row>
    <row r="94" spans="1:31" x14ac:dyDescent="0.25">
      <c r="A94" s="10" t="s">
        <v>145</v>
      </c>
      <c r="B94" s="11">
        <v>46263.380335648151</v>
      </c>
      <c r="C94" s="12" t="s">
        <v>146</v>
      </c>
      <c r="D94" s="12" t="s">
        <v>180</v>
      </c>
      <c r="E94" s="13" t="str">
        <f t="shared" si="7"/>
        <v>EC40102</v>
      </c>
      <c r="F94" s="14" t="str">
        <f t="shared" si="8"/>
        <v>BLC</v>
      </c>
      <c r="G94" s="14">
        <f>+VLOOKUP(F94,[1]base!A:B,2,0)</f>
        <v>1</v>
      </c>
      <c r="H94" s="14">
        <v>30</v>
      </c>
      <c r="I94" s="14">
        <v>30</v>
      </c>
      <c r="J94" s="14"/>
      <c r="K94" s="14" t="s">
        <v>33</v>
      </c>
      <c r="L94" s="14" t="s">
        <v>76</v>
      </c>
      <c r="M94" s="14" t="s">
        <v>77</v>
      </c>
      <c r="N94" s="14"/>
      <c r="O94" s="14"/>
      <c r="P94" s="14"/>
      <c r="Q94" s="14">
        <v>0</v>
      </c>
      <c r="R94" s="14">
        <v>207</v>
      </c>
      <c r="S94" s="14"/>
      <c r="T94" s="15">
        <v>30</v>
      </c>
      <c r="U94" s="16"/>
      <c r="V94" s="17">
        <v>773</v>
      </c>
      <c r="W94" s="17">
        <f t="shared" si="9"/>
        <v>23190</v>
      </c>
      <c r="X94" s="17">
        <f t="shared" si="10"/>
        <v>1205.8799999999999</v>
      </c>
      <c r="Y94" s="17">
        <v>778</v>
      </c>
      <c r="Z94" s="17">
        <f t="shared" si="11"/>
        <v>1</v>
      </c>
      <c r="AA94" s="17">
        <f t="shared" si="12"/>
        <v>6.6666666666666693E-2</v>
      </c>
      <c r="AB94" s="17">
        <f>+VLOOKUP(E94,[1]base!M:N,2,0)</f>
        <v>186</v>
      </c>
      <c r="AC94" s="17">
        <f>+VLOOKUP(E94,[1]base!M:Q,5,0)</f>
        <v>824.22222222222217</v>
      </c>
      <c r="AD94" s="18">
        <f>+VLOOKUP(E94,[1]base!M:P,4,0)</f>
        <v>2.6178010471204188E-2</v>
      </c>
      <c r="AE94" s="19">
        <f t="shared" si="13"/>
        <v>50.930890052356013</v>
      </c>
    </row>
    <row r="95" spans="1:31" x14ac:dyDescent="0.25">
      <c r="A95" s="10" t="s">
        <v>140</v>
      </c>
      <c r="B95" s="11">
        <v>46249.409236111111</v>
      </c>
      <c r="C95" s="12" t="s">
        <v>31</v>
      </c>
      <c r="D95" s="12" t="s">
        <v>180</v>
      </c>
      <c r="E95" s="13" t="str">
        <f t="shared" si="7"/>
        <v>EC40102</v>
      </c>
      <c r="F95" s="14" t="str">
        <f t="shared" si="8"/>
        <v>BLC</v>
      </c>
      <c r="G95" s="14">
        <f>+VLOOKUP(F95,[1]base!A:B,2,0)</f>
        <v>1</v>
      </c>
      <c r="H95" s="14">
        <v>20</v>
      </c>
      <c r="I95" s="14">
        <v>20</v>
      </c>
      <c r="J95" s="14"/>
      <c r="K95" s="14" t="s">
        <v>33</v>
      </c>
      <c r="L95" s="14" t="s">
        <v>187</v>
      </c>
      <c r="M95" s="14" t="s">
        <v>35</v>
      </c>
      <c r="N95" s="14">
        <v>20</v>
      </c>
      <c r="O95" s="14">
        <v>20</v>
      </c>
      <c r="P95" s="14">
        <v>0</v>
      </c>
      <c r="Q95" s="14">
        <v>0</v>
      </c>
      <c r="R95" s="14">
        <v>207</v>
      </c>
      <c r="S95" s="14"/>
      <c r="T95" s="15">
        <v>20</v>
      </c>
      <c r="U95" s="16"/>
      <c r="V95" s="17">
        <v>505</v>
      </c>
      <c r="W95" s="17">
        <f t="shared" si="9"/>
        <v>10100</v>
      </c>
      <c r="X95" s="17">
        <f t="shared" si="10"/>
        <v>525.19999999999993</v>
      </c>
      <c r="Y95" s="17">
        <v>510</v>
      </c>
      <c r="Z95" s="17">
        <f t="shared" si="11"/>
        <v>1</v>
      </c>
      <c r="AA95" s="17">
        <f t="shared" si="12"/>
        <v>6.6666666666666693E-2</v>
      </c>
      <c r="AB95" s="17">
        <f>+VLOOKUP(E95,[1]base!M:N,2,0)</f>
        <v>186</v>
      </c>
      <c r="AC95" s="17">
        <f>+VLOOKUP(E95,[1]base!M:Q,5,0)</f>
        <v>824.22222222222217</v>
      </c>
      <c r="AD95" s="18">
        <f>+VLOOKUP(E95,[1]base!M:P,4,0)</f>
        <v>2.6178010471204188E-2</v>
      </c>
      <c r="AE95" s="19">
        <f t="shared" si="13"/>
        <v>50.930890052356013</v>
      </c>
    </row>
    <row r="96" spans="1:31" x14ac:dyDescent="0.25">
      <c r="A96" s="20" t="s">
        <v>188</v>
      </c>
      <c r="B96" s="11">
        <v>46219.315069444441</v>
      </c>
      <c r="C96" s="12" t="s">
        <v>169</v>
      </c>
      <c r="D96" s="12" t="s">
        <v>189</v>
      </c>
      <c r="E96" s="13" t="str">
        <f t="shared" si="7"/>
        <v>FR112</v>
      </c>
      <c r="F96" s="14" t="str">
        <f t="shared" si="8"/>
        <v>BLC</v>
      </c>
      <c r="G96" s="14">
        <f>+VLOOKUP(F96,[1]base!A:B,2,0)</f>
        <v>1</v>
      </c>
      <c r="H96" s="14">
        <v>12</v>
      </c>
      <c r="I96" s="14">
        <v>12</v>
      </c>
      <c r="J96" s="14"/>
      <c r="K96" s="14" t="s">
        <v>72</v>
      </c>
      <c r="L96" s="14" t="s">
        <v>76</v>
      </c>
      <c r="M96" s="14" t="s">
        <v>77</v>
      </c>
      <c r="N96" s="14"/>
      <c r="O96" s="14"/>
      <c r="P96" s="14"/>
      <c r="Q96" s="14">
        <v>8</v>
      </c>
      <c r="R96" s="14">
        <v>8</v>
      </c>
      <c r="S96" s="14"/>
      <c r="T96" s="15">
        <v>12</v>
      </c>
      <c r="U96" s="16"/>
      <c r="V96" s="17">
        <v>125</v>
      </c>
      <c r="W96" s="17">
        <f t="shared" si="9"/>
        <v>1500</v>
      </c>
      <c r="X96" s="17">
        <f t="shared" si="10"/>
        <v>78</v>
      </c>
      <c r="Y96" s="17">
        <v>130</v>
      </c>
      <c r="Z96" s="17">
        <f t="shared" si="11"/>
        <v>1</v>
      </c>
      <c r="AA96" s="17">
        <f t="shared" si="12"/>
        <v>6.6666666666666693E-2</v>
      </c>
      <c r="AB96" s="17">
        <f>+VLOOKUP(E96,[1]base!M:N,2,0)</f>
        <v>205</v>
      </c>
      <c r="AC96" s="17">
        <f>+VLOOKUP(E96,[1]base!M:Q,5,0)</f>
        <v>110.9</v>
      </c>
      <c r="AD96" s="18">
        <f>+VLOOKUP(E96,[1]base!M:P,4,0)</f>
        <v>0.12393162393162394</v>
      </c>
      <c r="AE96" s="19">
        <f t="shared" si="13"/>
        <v>36.09401709401709</v>
      </c>
    </row>
    <row r="97" spans="1:31" x14ac:dyDescent="0.25">
      <c r="A97" s="10" t="s">
        <v>98</v>
      </c>
      <c r="B97" s="11">
        <v>46220.346666666665</v>
      </c>
      <c r="C97" s="12" t="s">
        <v>70</v>
      </c>
      <c r="D97" s="12" t="s">
        <v>189</v>
      </c>
      <c r="E97" s="13" t="str">
        <f t="shared" si="7"/>
        <v>FR112</v>
      </c>
      <c r="F97" s="14" t="str">
        <f t="shared" si="8"/>
        <v>BLC</v>
      </c>
      <c r="G97" s="14">
        <f>+VLOOKUP(F97,[1]base!A:B,2,0)</f>
        <v>1</v>
      </c>
      <c r="H97" s="14">
        <v>30</v>
      </c>
      <c r="I97" s="14">
        <v>30</v>
      </c>
      <c r="J97" s="14"/>
      <c r="K97" s="14" t="s">
        <v>33</v>
      </c>
      <c r="L97" s="14" t="s">
        <v>76</v>
      </c>
      <c r="M97" s="14" t="s">
        <v>77</v>
      </c>
      <c r="N97" s="14"/>
      <c r="O97" s="14"/>
      <c r="P97" s="14"/>
      <c r="Q97" s="14">
        <v>0</v>
      </c>
      <c r="R97" s="14">
        <v>8</v>
      </c>
      <c r="S97" s="14"/>
      <c r="T97" s="15">
        <v>30</v>
      </c>
      <c r="U97" s="16"/>
      <c r="V97" s="17">
        <v>154</v>
      </c>
      <c r="W97" s="17">
        <f t="shared" si="9"/>
        <v>4620</v>
      </c>
      <c r="X97" s="17">
        <f t="shared" si="10"/>
        <v>240.23999999999998</v>
      </c>
      <c r="Y97" s="17">
        <v>159</v>
      </c>
      <c r="Z97" s="17">
        <f t="shared" si="11"/>
        <v>1</v>
      </c>
      <c r="AA97" s="17">
        <f t="shared" si="12"/>
        <v>6.6666666666666693E-2</v>
      </c>
      <c r="AB97" s="17">
        <f>+VLOOKUP(E97,[1]base!M:N,2,0)</f>
        <v>205</v>
      </c>
      <c r="AC97" s="17">
        <f>+VLOOKUP(E97,[1]base!M:Q,5,0)</f>
        <v>110.9</v>
      </c>
      <c r="AD97" s="18">
        <f>+VLOOKUP(E97,[1]base!M:P,4,0)</f>
        <v>0.12393162393162394</v>
      </c>
      <c r="AE97" s="19">
        <f t="shared" si="13"/>
        <v>36.09401709401709</v>
      </c>
    </row>
    <row r="98" spans="1:31" x14ac:dyDescent="0.25">
      <c r="A98" s="10" t="s">
        <v>133</v>
      </c>
      <c r="B98" s="11">
        <v>46225.289189814815</v>
      </c>
      <c r="C98" s="12" t="s">
        <v>134</v>
      </c>
      <c r="D98" s="12" t="s">
        <v>189</v>
      </c>
      <c r="E98" s="13" t="str">
        <f t="shared" si="7"/>
        <v>FR112</v>
      </c>
      <c r="F98" s="14" t="str">
        <f t="shared" si="8"/>
        <v>BLC</v>
      </c>
      <c r="G98" s="14">
        <f>+VLOOKUP(F98,[1]base!A:B,2,0)</f>
        <v>1</v>
      </c>
      <c r="H98" s="14">
        <v>28</v>
      </c>
      <c r="I98" s="14">
        <v>6</v>
      </c>
      <c r="J98" s="14"/>
      <c r="K98" s="14" t="s">
        <v>33</v>
      </c>
      <c r="L98" s="14" t="s">
        <v>76</v>
      </c>
      <c r="M98" s="14" t="s">
        <v>77</v>
      </c>
      <c r="N98" s="14"/>
      <c r="O98" s="14"/>
      <c r="P98" s="14"/>
      <c r="Q98" s="14">
        <v>0</v>
      </c>
      <c r="R98" s="14">
        <v>8</v>
      </c>
      <c r="S98" s="14"/>
      <c r="T98" s="15">
        <v>6</v>
      </c>
      <c r="U98" s="16"/>
      <c r="V98" s="17">
        <v>181</v>
      </c>
      <c r="W98" s="17">
        <f t="shared" si="9"/>
        <v>1086</v>
      </c>
      <c r="X98" s="17">
        <f t="shared" si="10"/>
        <v>56.471999999999994</v>
      </c>
      <c r="Y98" s="17">
        <v>186</v>
      </c>
      <c r="Z98" s="17">
        <f t="shared" si="11"/>
        <v>1</v>
      </c>
      <c r="AA98" s="17">
        <f t="shared" si="12"/>
        <v>6.6666666666666693E-2</v>
      </c>
      <c r="AB98" s="17">
        <f>+VLOOKUP(E98,[1]base!M:N,2,0)</f>
        <v>205</v>
      </c>
      <c r="AC98" s="17">
        <f>+VLOOKUP(E98,[1]base!M:Q,5,0)</f>
        <v>110.9</v>
      </c>
      <c r="AD98" s="18">
        <f>+VLOOKUP(E98,[1]base!M:P,4,0)</f>
        <v>0.12393162393162394</v>
      </c>
      <c r="AE98" s="19">
        <f t="shared" si="13"/>
        <v>36.09401709401709</v>
      </c>
    </row>
    <row r="99" spans="1:31" x14ac:dyDescent="0.25">
      <c r="A99" s="10" t="s">
        <v>190</v>
      </c>
      <c r="B99" s="11">
        <v>46226.387731481482</v>
      </c>
      <c r="C99" s="12" t="s">
        <v>191</v>
      </c>
      <c r="D99" s="12" t="s">
        <v>189</v>
      </c>
      <c r="E99" s="13" t="str">
        <f t="shared" si="7"/>
        <v>FR112</v>
      </c>
      <c r="F99" s="14" t="str">
        <f t="shared" si="8"/>
        <v>BLC</v>
      </c>
      <c r="G99" s="14">
        <f>+VLOOKUP(F99,[1]base!A:B,2,0)</f>
        <v>1</v>
      </c>
      <c r="H99" s="14">
        <v>2</v>
      </c>
      <c r="I99" s="14">
        <v>2</v>
      </c>
      <c r="J99" s="14"/>
      <c r="K99" s="14" t="s">
        <v>72</v>
      </c>
      <c r="L99" s="14" t="s">
        <v>76</v>
      </c>
      <c r="M99" s="14" t="s">
        <v>77</v>
      </c>
      <c r="N99" s="14"/>
      <c r="O99" s="14"/>
      <c r="P99" s="14"/>
      <c r="Q99" s="14">
        <v>9</v>
      </c>
      <c r="R99" s="14">
        <v>8</v>
      </c>
      <c r="S99" s="14">
        <v>1</v>
      </c>
      <c r="T99" s="15">
        <v>2</v>
      </c>
      <c r="U99" s="16"/>
      <c r="V99" s="17">
        <v>216</v>
      </c>
      <c r="W99" s="17">
        <f t="shared" si="9"/>
        <v>432</v>
      </c>
      <c r="X99" s="17">
        <f t="shared" si="10"/>
        <v>22.463999999999999</v>
      </c>
      <c r="Y99" s="17">
        <v>221</v>
      </c>
      <c r="Z99" s="17">
        <f t="shared" si="11"/>
        <v>1</v>
      </c>
      <c r="AA99" s="17">
        <f t="shared" si="12"/>
        <v>6.6666666666666693E-2</v>
      </c>
      <c r="AB99" s="17">
        <f>+VLOOKUP(E99,[1]base!M:N,2,0)</f>
        <v>205</v>
      </c>
      <c r="AC99" s="17">
        <f>+VLOOKUP(E99,[1]base!M:Q,5,0)</f>
        <v>110.9</v>
      </c>
      <c r="AD99" s="18">
        <f>+VLOOKUP(E99,[1]base!M:P,4,0)</f>
        <v>0.12393162393162394</v>
      </c>
      <c r="AE99" s="19">
        <f t="shared" si="13"/>
        <v>36.09401709401709</v>
      </c>
    </row>
    <row r="100" spans="1:31" x14ac:dyDescent="0.25">
      <c r="A100" s="10" t="s">
        <v>106</v>
      </c>
      <c r="B100" s="11">
        <v>46226.41915509259</v>
      </c>
      <c r="C100" s="12" t="s">
        <v>107</v>
      </c>
      <c r="D100" s="12" t="s">
        <v>189</v>
      </c>
      <c r="E100" s="13" t="str">
        <f t="shared" si="7"/>
        <v>FR112</v>
      </c>
      <c r="F100" s="14" t="str">
        <f t="shared" si="8"/>
        <v>BLC</v>
      </c>
      <c r="G100" s="14">
        <f>+VLOOKUP(F100,[1]base!A:B,2,0)</f>
        <v>1</v>
      </c>
      <c r="H100" s="14">
        <v>32</v>
      </c>
      <c r="I100" s="14">
        <v>26</v>
      </c>
      <c r="J100" s="14"/>
      <c r="K100" s="14" t="s">
        <v>33</v>
      </c>
      <c r="L100" s="14" t="s">
        <v>76</v>
      </c>
      <c r="M100" s="14" t="s">
        <v>77</v>
      </c>
      <c r="N100" s="14"/>
      <c r="O100" s="14"/>
      <c r="P100" s="14"/>
      <c r="Q100" s="14">
        <v>0</v>
      </c>
      <c r="R100" s="14">
        <v>8</v>
      </c>
      <c r="S100" s="14"/>
      <c r="T100" s="15">
        <v>26</v>
      </c>
      <c r="U100" s="16"/>
      <c r="V100" s="17">
        <v>242</v>
      </c>
      <c r="W100" s="17">
        <f t="shared" si="9"/>
        <v>6292</v>
      </c>
      <c r="X100" s="17">
        <f t="shared" si="10"/>
        <v>327.18399999999997</v>
      </c>
      <c r="Y100" s="17">
        <v>247</v>
      </c>
      <c r="Z100" s="17">
        <f t="shared" si="11"/>
        <v>1</v>
      </c>
      <c r="AA100" s="17">
        <f t="shared" si="12"/>
        <v>6.6666666666666693E-2</v>
      </c>
      <c r="AB100" s="17">
        <f>+VLOOKUP(E100,[1]base!M:N,2,0)</f>
        <v>205</v>
      </c>
      <c r="AC100" s="17">
        <f>+VLOOKUP(E100,[1]base!M:Q,5,0)</f>
        <v>110.9</v>
      </c>
      <c r="AD100" s="18">
        <f>+VLOOKUP(E100,[1]base!M:P,4,0)</f>
        <v>0.12393162393162394</v>
      </c>
      <c r="AE100" s="19">
        <f t="shared" si="13"/>
        <v>36.09401709401709</v>
      </c>
    </row>
    <row r="101" spans="1:31" x14ac:dyDescent="0.25">
      <c r="A101" s="10" t="s">
        <v>182</v>
      </c>
      <c r="B101" s="11">
        <v>46228.359699074077</v>
      </c>
      <c r="C101" s="12" t="s">
        <v>183</v>
      </c>
      <c r="D101" s="12" t="s">
        <v>189</v>
      </c>
      <c r="E101" s="13" t="str">
        <f t="shared" si="7"/>
        <v>FR112</v>
      </c>
      <c r="F101" s="14" t="str">
        <f t="shared" si="8"/>
        <v>BLC</v>
      </c>
      <c r="G101" s="14">
        <f>+VLOOKUP(F101,[1]base!A:B,2,0)</f>
        <v>1</v>
      </c>
      <c r="H101" s="14">
        <v>10</v>
      </c>
      <c r="I101" s="14">
        <v>10</v>
      </c>
      <c r="J101" s="14"/>
      <c r="K101" s="14" t="s">
        <v>33</v>
      </c>
      <c r="L101" s="14" t="s">
        <v>76</v>
      </c>
      <c r="M101" s="14" t="s">
        <v>77</v>
      </c>
      <c r="N101" s="14"/>
      <c r="O101" s="14"/>
      <c r="P101" s="14"/>
      <c r="Q101" s="14">
        <v>0</v>
      </c>
      <c r="R101" s="14">
        <v>8</v>
      </c>
      <c r="S101" s="14"/>
      <c r="T101" s="15">
        <v>10</v>
      </c>
      <c r="U101" s="16"/>
      <c r="V101" s="17">
        <v>285</v>
      </c>
      <c r="W101" s="17">
        <f t="shared" si="9"/>
        <v>2850</v>
      </c>
      <c r="X101" s="17">
        <f t="shared" si="10"/>
        <v>148.19999999999999</v>
      </c>
      <c r="Y101" s="17">
        <v>290</v>
      </c>
      <c r="Z101" s="17">
        <f t="shared" si="11"/>
        <v>1</v>
      </c>
      <c r="AA101" s="17">
        <f t="shared" si="12"/>
        <v>6.6666666666666693E-2</v>
      </c>
      <c r="AB101" s="17">
        <f>+VLOOKUP(E101,[1]base!M:N,2,0)</f>
        <v>205</v>
      </c>
      <c r="AC101" s="17">
        <f>+VLOOKUP(E101,[1]base!M:Q,5,0)</f>
        <v>110.9</v>
      </c>
      <c r="AD101" s="18">
        <f>+VLOOKUP(E101,[1]base!M:P,4,0)</f>
        <v>0.12393162393162394</v>
      </c>
      <c r="AE101" s="19">
        <f t="shared" si="13"/>
        <v>36.09401709401709</v>
      </c>
    </row>
    <row r="102" spans="1:31" x14ac:dyDescent="0.25">
      <c r="A102" s="10" t="s">
        <v>192</v>
      </c>
      <c r="B102" s="11">
        <v>46231.506886574076</v>
      </c>
      <c r="C102" s="12" t="s">
        <v>83</v>
      </c>
      <c r="D102" s="12" t="s">
        <v>189</v>
      </c>
      <c r="E102" s="13" t="str">
        <f t="shared" si="7"/>
        <v>FR112</v>
      </c>
      <c r="F102" s="14" t="str">
        <f t="shared" si="8"/>
        <v>BLC</v>
      </c>
      <c r="G102" s="14">
        <f>+VLOOKUP(F102,[1]base!A:B,2,0)</f>
        <v>1</v>
      </c>
      <c r="H102" s="14">
        <v>12</v>
      </c>
      <c r="I102" s="14">
        <v>12</v>
      </c>
      <c r="J102" s="14"/>
      <c r="K102" s="14" t="s">
        <v>33</v>
      </c>
      <c r="L102" s="14" t="s">
        <v>76</v>
      </c>
      <c r="M102" s="14" t="s">
        <v>77</v>
      </c>
      <c r="N102" s="14"/>
      <c r="O102" s="14"/>
      <c r="P102" s="14"/>
      <c r="Q102" s="14">
        <v>0</v>
      </c>
      <c r="R102" s="14">
        <v>8</v>
      </c>
      <c r="S102" s="14"/>
      <c r="T102" s="15">
        <v>12</v>
      </c>
      <c r="U102" s="16"/>
      <c r="V102" s="17">
        <v>304</v>
      </c>
      <c r="W102" s="17">
        <f t="shared" si="9"/>
        <v>3648</v>
      </c>
      <c r="X102" s="17">
        <f t="shared" si="10"/>
        <v>189.696</v>
      </c>
      <c r="Y102" s="17">
        <v>309</v>
      </c>
      <c r="Z102" s="17">
        <f t="shared" si="11"/>
        <v>1</v>
      </c>
      <c r="AA102" s="17">
        <f t="shared" si="12"/>
        <v>6.6666666666666693E-2</v>
      </c>
      <c r="AB102" s="17">
        <f>+VLOOKUP(E102,[1]base!M:N,2,0)</f>
        <v>205</v>
      </c>
      <c r="AC102" s="17">
        <f>+VLOOKUP(E102,[1]base!M:Q,5,0)</f>
        <v>110.9</v>
      </c>
      <c r="AD102" s="18">
        <f>+VLOOKUP(E102,[1]base!M:P,4,0)</f>
        <v>0.12393162393162394</v>
      </c>
      <c r="AE102" s="19">
        <f t="shared" si="13"/>
        <v>36.09401709401709</v>
      </c>
    </row>
    <row r="103" spans="1:31" x14ac:dyDescent="0.25">
      <c r="A103" s="10" t="s">
        <v>85</v>
      </c>
      <c r="B103" s="11">
        <v>46232.636412037034</v>
      </c>
      <c r="C103" s="12" t="s">
        <v>86</v>
      </c>
      <c r="D103" s="12" t="s">
        <v>189</v>
      </c>
      <c r="E103" s="13" t="str">
        <f t="shared" si="7"/>
        <v>FR112</v>
      </c>
      <c r="F103" s="14" t="str">
        <f t="shared" si="8"/>
        <v>BLC</v>
      </c>
      <c r="G103" s="14">
        <f>+VLOOKUP(F103,[1]base!A:B,2,0)</f>
        <v>1</v>
      </c>
      <c r="H103" s="14">
        <v>8</v>
      </c>
      <c r="I103" s="14">
        <v>8</v>
      </c>
      <c r="J103" s="14"/>
      <c r="K103" s="14" t="s">
        <v>33</v>
      </c>
      <c r="L103" s="14" t="s">
        <v>76</v>
      </c>
      <c r="M103" s="14" t="s">
        <v>77</v>
      </c>
      <c r="N103" s="14"/>
      <c r="O103" s="14"/>
      <c r="P103" s="14"/>
      <c r="Q103" s="14">
        <v>0</v>
      </c>
      <c r="R103" s="14">
        <v>8</v>
      </c>
      <c r="S103" s="14"/>
      <c r="T103" s="15">
        <v>8</v>
      </c>
      <c r="U103" s="16"/>
      <c r="V103" s="17">
        <v>317</v>
      </c>
      <c r="W103" s="17">
        <f t="shared" si="9"/>
        <v>2536</v>
      </c>
      <c r="X103" s="17">
        <f t="shared" si="10"/>
        <v>131.87199999999999</v>
      </c>
      <c r="Y103" s="17">
        <v>322</v>
      </c>
      <c r="Z103" s="17">
        <f t="shared" si="11"/>
        <v>1</v>
      </c>
      <c r="AA103" s="17">
        <f t="shared" si="12"/>
        <v>6.6666666666666693E-2</v>
      </c>
      <c r="AB103" s="17">
        <f>+VLOOKUP(E103,[1]base!M:N,2,0)</f>
        <v>205</v>
      </c>
      <c r="AC103" s="17">
        <f>+VLOOKUP(E103,[1]base!M:Q,5,0)</f>
        <v>110.9</v>
      </c>
      <c r="AD103" s="18">
        <f>+VLOOKUP(E103,[1]base!M:P,4,0)</f>
        <v>0.12393162393162394</v>
      </c>
      <c r="AE103" s="19">
        <f t="shared" si="13"/>
        <v>36.09401709401709</v>
      </c>
    </row>
    <row r="104" spans="1:31" x14ac:dyDescent="0.25">
      <c r="A104" s="10" t="s">
        <v>110</v>
      </c>
      <c r="B104" s="11">
        <v>46233.394189814811</v>
      </c>
      <c r="C104" s="12" t="s">
        <v>95</v>
      </c>
      <c r="D104" s="12" t="s">
        <v>189</v>
      </c>
      <c r="E104" s="13" t="str">
        <f t="shared" si="7"/>
        <v>FR112</v>
      </c>
      <c r="F104" s="14" t="str">
        <f t="shared" si="8"/>
        <v>BLC</v>
      </c>
      <c r="G104" s="14">
        <f>+VLOOKUP(F104,[1]base!A:B,2,0)</f>
        <v>1</v>
      </c>
      <c r="H104" s="14">
        <v>20</v>
      </c>
      <c r="I104" s="14">
        <v>20</v>
      </c>
      <c r="J104" s="14"/>
      <c r="K104" s="14" t="s">
        <v>72</v>
      </c>
      <c r="L104" s="14" t="s">
        <v>76</v>
      </c>
      <c r="M104" s="14" t="s">
        <v>77</v>
      </c>
      <c r="N104" s="14"/>
      <c r="O104" s="14"/>
      <c r="P104" s="14"/>
      <c r="Q104" s="14">
        <v>12</v>
      </c>
      <c r="R104" s="14">
        <v>8</v>
      </c>
      <c r="S104" s="14"/>
      <c r="T104" s="15">
        <v>20</v>
      </c>
      <c r="U104" s="16"/>
      <c r="V104" s="17">
        <v>322</v>
      </c>
      <c r="W104" s="17">
        <f t="shared" si="9"/>
        <v>6440</v>
      </c>
      <c r="X104" s="17">
        <f t="shared" si="10"/>
        <v>334.88</v>
      </c>
      <c r="Y104" s="17">
        <v>327</v>
      </c>
      <c r="Z104" s="17">
        <f t="shared" si="11"/>
        <v>1</v>
      </c>
      <c r="AA104" s="17">
        <f t="shared" si="12"/>
        <v>6.6666666666666693E-2</v>
      </c>
      <c r="AB104" s="17">
        <f>+VLOOKUP(E104,[1]base!M:N,2,0)</f>
        <v>205</v>
      </c>
      <c r="AC104" s="17">
        <f>+VLOOKUP(E104,[1]base!M:Q,5,0)</f>
        <v>110.9</v>
      </c>
      <c r="AD104" s="18">
        <f>+VLOOKUP(E104,[1]base!M:P,4,0)</f>
        <v>0.12393162393162394</v>
      </c>
      <c r="AE104" s="19">
        <f t="shared" si="13"/>
        <v>36.09401709401709</v>
      </c>
    </row>
    <row r="105" spans="1:31" x14ac:dyDescent="0.25">
      <c r="A105" s="10" t="s">
        <v>87</v>
      </c>
      <c r="B105" s="11">
        <v>46235.515706018516</v>
      </c>
      <c r="C105" s="12" t="s">
        <v>88</v>
      </c>
      <c r="D105" s="12" t="s">
        <v>189</v>
      </c>
      <c r="E105" s="13" t="str">
        <f t="shared" si="7"/>
        <v>FR112</v>
      </c>
      <c r="F105" s="14" t="str">
        <f t="shared" si="8"/>
        <v>BLC</v>
      </c>
      <c r="G105" s="14">
        <f>+VLOOKUP(F105,[1]base!A:B,2,0)</f>
        <v>1</v>
      </c>
      <c r="H105" s="14">
        <v>18</v>
      </c>
      <c r="I105" s="14">
        <v>18</v>
      </c>
      <c r="J105" s="14"/>
      <c r="K105" s="14" t="s">
        <v>33</v>
      </c>
      <c r="L105" s="14" t="s">
        <v>76</v>
      </c>
      <c r="M105" s="14" t="s">
        <v>77</v>
      </c>
      <c r="N105" s="14"/>
      <c r="O105" s="14"/>
      <c r="P105" s="14"/>
      <c r="Q105" s="14">
        <v>0</v>
      </c>
      <c r="R105" s="14">
        <v>8</v>
      </c>
      <c r="S105" s="14"/>
      <c r="T105" s="15">
        <v>18</v>
      </c>
      <c r="U105" s="16"/>
      <c r="V105" s="17">
        <v>344</v>
      </c>
      <c r="W105" s="17">
        <f t="shared" si="9"/>
        <v>6192</v>
      </c>
      <c r="X105" s="17">
        <f t="shared" si="10"/>
        <v>321.98399999999998</v>
      </c>
      <c r="Y105" s="17">
        <v>349</v>
      </c>
      <c r="Z105" s="17">
        <f t="shared" si="11"/>
        <v>1</v>
      </c>
      <c r="AA105" s="17">
        <f t="shared" si="12"/>
        <v>6.6666666666666693E-2</v>
      </c>
      <c r="AB105" s="17">
        <f>+VLOOKUP(E105,[1]base!M:N,2,0)</f>
        <v>205</v>
      </c>
      <c r="AC105" s="17">
        <f>+VLOOKUP(E105,[1]base!M:Q,5,0)</f>
        <v>110.9</v>
      </c>
      <c r="AD105" s="18">
        <f>+VLOOKUP(E105,[1]base!M:P,4,0)</f>
        <v>0.12393162393162394</v>
      </c>
      <c r="AE105" s="19">
        <f t="shared" si="13"/>
        <v>36.09401709401709</v>
      </c>
    </row>
    <row r="106" spans="1:31" x14ac:dyDescent="0.25">
      <c r="A106" s="10" t="s">
        <v>193</v>
      </c>
      <c r="B106" s="11">
        <v>46242.449386574073</v>
      </c>
      <c r="C106" s="12" t="s">
        <v>70</v>
      </c>
      <c r="D106" s="12" t="s">
        <v>189</v>
      </c>
      <c r="E106" s="13" t="str">
        <f t="shared" si="7"/>
        <v>FR112</v>
      </c>
      <c r="F106" s="14" t="str">
        <f t="shared" si="8"/>
        <v>BLC</v>
      </c>
      <c r="G106" s="14">
        <f>+VLOOKUP(F106,[1]base!A:B,2,0)</f>
        <v>1</v>
      </c>
      <c r="H106" s="14">
        <v>1</v>
      </c>
      <c r="I106" s="14">
        <v>1</v>
      </c>
      <c r="J106" s="14"/>
      <c r="K106" s="14" t="s">
        <v>33</v>
      </c>
      <c r="L106" s="14" t="s">
        <v>76</v>
      </c>
      <c r="M106" s="14" t="s">
        <v>77</v>
      </c>
      <c r="N106" s="14"/>
      <c r="O106" s="14"/>
      <c r="P106" s="14"/>
      <c r="Q106" s="14">
        <v>0</v>
      </c>
      <c r="R106" s="14">
        <v>8</v>
      </c>
      <c r="S106" s="14"/>
      <c r="T106" s="15">
        <v>1</v>
      </c>
      <c r="U106" s="16"/>
      <c r="V106" s="17">
        <v>424</v>
      </c>
      <c r="W106" s="17">
        <f t="shared" si="9"/>
        <v>424</v>
      </c>
      <c r="X106" s="17">
        <f t="shared" si="10"/>
        <v>22.047999999999998</v>
      </c>
      <c r="Y106" s="17">
        <v>429</v>
      </c>
      <c r="Z106" s="17">
        <f t="shared" si="11"/>
        <v>1</v>
      </c>
      <c r="AA106" s="17">
        <f t="shared" si="12"/>
        <v>6.6666666666666693E-2</v>
      </c>
      <c r="AB106" s="17">
        <f>+VLOOKUP(E106,[1]base!M:N,2,0)</f>
        <v>205</v>
      </c>
      <c r="AC106" s="17">
        <f>+VLOOKUP(E106,[1]base!M:Q,5,0)</f>
        <v>110.9</v>
      </c>
      <c r="AD106" s="18">
        <f>+VLOOKUP(E106,[1]base!M:P,4,0)</f>
        <v>0.12393162393162394</v>
      </c>
      <c r="AE106" s="19">
        <f t="shared" si="13"/>
        <v>36.09401709401709</v>
      </c>
    </row>
    <row r="107" spans="1:31" x14ac:dyDescent="0.25">
      <c r="A107" s="10" t="s">
        <v>194</v>
      </c>
      <c r="B107" s="11">
        <v>46242.449664351851</v>
      </c>
      <c r="C107" s="12" t="s">
        <v>70</v>
      </c>
      <c r="D107" s="12" t="s">
        <v>189</v>
      </c>
      <c r="E107" s="13" t="str">
        <f t="shared" si="7"/>
        <v>FR112</v>
      </c>
      <c r="F107" s="14" t="str">
        <f t="shared" si="8"/>
        <v>BLC</v>
      </c>
      <c r="G107" s="14">
        <f>+VLOOKUP(F107,[1]base!A:B,2,0)</f>
        <v>1</v>
      </c>
      <c r="H107" s="14">
        <v>3</v>
      </c>
      <c r="I107" s="14">
        <v>3</v>
      </c>
      <c r="J107" s="14"/>
      <c r="K107" s="14" t="s">
        <v>33</v>
      </c>
      <c r="L107" s="14" t="s">
        <v>76</v>
      </c>
      <c r="M107" s="14" t="s">
        <v>77</v>
      </c>
      <c r="N107" s="14"/>
      <c r="O107" s="14"/>
      <c r="P107" s="14"/>
      <c r="Q107" s="14">
        <v>0</v>
      </c>
      <c r="R107" s="14">
        <v>8</v>
      </c>
      <c r="S107" s="14"/>
      <c r="T107" s="15">
        <v>3</v>
      </c>
      <c r="U107" s="16"/>
      <c r="V107" s="17">
        <v>425</v>
      </c>
      <c r="W107" s="17">
        <f t="shared" si="9"/>
        <v>1275</v>
      </c>
      <c r="X107" s="17">
        <f t="shared" si="10"/>
        <v>66.3</v>
      </c>
      <c r="Y107" s="17">
        <v>430</v>
      </c>
      <c r="Z107" s="17">
        <f t="shared" si="11"/>
        <v>1</v>
      </c>
      <c r="AA107" s="17">
        <f t="shared" si="12"/>
        <v>6.6666666666666693E-2</v>
      </c>
      <c r="AB107" s="17">
        <f>+VLOOKUP(E107,[1]base!M:N,2,0)</f>
        <v>205</v>
      </c>
      <c r="AC107" s="17">
        <f>+VLOOKUP(E107,[1]base!M:Q,5,0)</f>
        <v>110.9</v>
      </c>
      <c r="AD107" s="18">
        <f>+VLOOKUP(E107,[1]base!M:P,4,0)</f>
        <v>0.12393162393162394</v>
      </c>
      <c r="AE107" s="19">
        <f t="shared" si="13"/>
        <v>36.09401709401709</v>
      </c>
    </row>
    <row r="108" spans="1:31" x14ac:dyDescent="0.25">
      <c r="A108" s="10" t="s">
        <v>136</v>
      </c>
      <c r="B108" s="11">
        <v>46244.318136574075</v>
      </c>
      <c r="C108" s="12" t="s">
        <v>130</v>
      </c>
      <c r="D108" s="12" t="s">
        <v>189</v>
      </c>
      <c r="E108" s="13" t="str">
        <f t="shared" si="7"/>
        <v>FR112</v>
      </c>
      <c r="F108" s="14" t="str">
        <f t="shared" si="8"/>
        <v>BLC</v>
      </c>
      <c r="G108" s="14">
        <f>+VLOOKUP(F108,[1]base!A:B,2,0)</f>
        <v>1</v>
      </c>
      <c r="H108" s="14">
        <v>8</v>
      </c>
      <c r="I108" s="14">
        <v>8</v>
      </c>
      <c r="J108" s="14"/>
      <c r="K108" s="14" t="s">
        <v>33</v>
      </c>
      <c r="L108" s="14" t="s">
        <v>76</v>
      </c>
      <c r="M108" s="14" t="s">
        <v>77</v>
      </c>
      <c r="N108" s="14"/>
      <c r="O108" s="14"/>
      <c r="P108" s="14"/>
      <c r="Q108" s="14">
        <v>0</v>
      </c>
      <c r="R108" s="14">
        <v>8</v>
      </c>
      <c r="S108" s="14"/>
      <c r="T108" s="15">
        <v>8</v>
      </c>
      <c r="U108" s="16"/>
      <c r="V108" s="17">
        <v>433</v>
      </c>
      <c r="W108" s="17">
        <f t="shared" si="9"/>
        <v>3464</v>
      </c>
      <c r="X108" s="17">
        <f t="shared" si="10"/>
        <v>180.12799999999999</v>
      </c>
      <c r="Y108" s="17">
        <v>438</v>
      </c>
      <c r="Z108" s="17">
        <f t="shared" si="11"/>
        <v>1</v>
      </c>
      <c r="AA108" s="17">
        <f t="shared" si="12"/>
        <v>6.6666666666666693E-2</v>
      </c>
      <c r="AB108" s="17">
        <f>+VLOOKUP(E108,[1]base!M:N,2,0)</f>
        <v>205</v>
      </c>
      <c r="AC108" s="17">
        <f>+VLOOKUP(E108,[1]base!M:Q,5,0)</f>
        <v>110.9</v>
      </c>
      <c r="AD108" s="18">
        <f>+VLOOKUP(E108,[1]base!M:P,4,0)</f>
        <v>0.12393162393162394</v>
      </c>
      <c r="AE108" s="19">
        <f t="shared" si="13"/>
        <v>36.09401709401709</v>
      </c>
    </row>
    <row r="109" spans="1:31" x14ac:dyDescent="0.25">
      <c r="A109" s="10" t="s">
        <v>195</v>
      </c>
      <c r="B109" s="11">
        <v>46247.620497685188</v>
      </c>
      <c r="C109" s="12" t="s">
        <v>183</v>
      </c>
      <c r="D109" s="12" t="s">
        <v>189</v>
      </c>
      <c r="E109" s="13" t="str">
        <f t="shared" si="7"/>
        <v>FR112</v>
      </c>
      <c r="F109" s="14" t="str">
        <f t="shared" si="8"/>
        <v>BLC</v>
      </c>
      <c r="G109" s="14">
        <f>+VLOOKUP(F109,[1]base!A:B,2,0)</f>
        <v>1</v>
      </c>
      <c r="H109" s="14">
        <v>10</v>
      </c>
      <c r="I109" s="14">
        <v>10</v>
      </c>
      <c r="J109" s="14"/>
      <c r="K109" s="14" t="s">
        <v>33</v>
      </c>
      <c r="L109" s="14" t="s">
        <v>76</v>
      </c>
      <c r="M109" s="14" t="s">
        <v>77</v>
      </c>
      <c r="N109" s="14"/>
      <c r="O109" s="14"/>
      <c r="P109" s="14"/>
      <c r="Q109" s="14">
        <v>0</v>
      </c>
      <c r="R109" s="14">
        <v>8</v>
      </c>
      <c r="S109" s="14"/>
      <c r="T109" s="15">
        <v>10</v>
      </c>
      <c r="U109" s="16"/>
      <c r="V109" s="17">
        <v>474</v>
      </c>
      <c r="W109" s="17">
        <f t="shared" si="9"/>
        <v>4740</v>
      </c>
      <c r="X109" s="17">
        <f t="shared" si="10"/>
        <v>246.48</v>
      </c>
      <c r="Y109" s="17">
        <v>479</v>
      </c>
      <c r="Z109" s="17">
        <f t="shared" si="11"/>
        <v>1</v>
      </c>
      <c r="AA109" s="17">
        <f t="shared" si="12"/>
        <v>6.6666666666666693E-2</v>
      </c>
      <c r="AB109" s="17">
        <f>+VLOOKUP(E109,[1]base!M:N,2,0)</f>
        <v>205</v>
      </c>
      <c r="AC109" s="17">
        <f>+VLOOKUP(E109,[1]base!M:Q,5,0)</f>
        <v>110.9</v>
      </c>
      <c r="AD109" s="18">
        <f>+VLOOKUP(E109,[1]base!M:P,4,0)</f>
        <v>0.12393162393162394</v>
      </c>
      <c r="AE109" s="19">
        <f t="shared" si="13"/>
        <v>36.09401709401709</v>
      </c>
    </row>
    <row r="110" spans="1:31" x14ac:dyDescent="0.25">
      <c r="A110" s="10" t="s">
        <v>100</v>
      </c>
      <c r="B110" s="11">
        <v>46249.302256944444</v>
      </c>
      <c r="C110" s="12" t="s">
        <v>86</v>
      </c>
      <c r="D110" s="12" t="s">
        <v>189</v>
      </c>
      <c r="E110" s="13" t="str">
        <f t="shared" si="7"/>
        <v>FR112</v>
      </c>
      <c r="F110" s="14" t="str">
        <f t="shared" si="8"/>
        <v>BLC</v>
      </c>
      <c r="G110" s="14">
        <f>+VLOOKUP(F110,[1]base!A:B,2,0)</f>
        <v>1</v>
      </c>
      <c r="H110" s="14">
        <v>12</v>
      </c>
      <c r="I110" s="14">
        <v>12</v>
      </c>
      <c r="J110" s="14"/>
      <c r="K110" s="14" t="s">
        <v>33</v>
      </c>
      <c r="L110" s="14" t="s">
        <v>76</v>
      </c>
      <c r="M110" s="14" t="s">
        <v>77</v>
      </c>
      <c r="N110" s="14"/>
      <c r="O110" s="14"/>
      <c r="P110" s="14"/>
      <c r="Q110" s="14">
        <v>0</v>
      </c>
      <c r="R110" s="14">
        <v>8</v>
      </c>
      <c r="S110" s="14"/>
      <c r="T110" s="15">
        <v>12</v>
      </c>
      <c r="U110" s="16"/>
      <c r="V110" s="17">
        <v>490</v>
      </c>
      <c r="W110" s="17">
        <f t="shared" si="9"/>
        <v>5880</v>
      </c>
      <c r="X110" s="17">
        <f t="shared" si="10"/>
        <v>305.76</v>
      </c>
      <c r="Y110" s="17">
        <v>495</v>
      </c>
      <c r="Z110" s="17">
        <f t="shared" si="11"/>
        <v>1</v>
      </c>
      <c r="AA110" s="17">
        <f t="shared" si="12"/>
        <v>6.6666666666666693E-2</v>
      </c>
      <c r="AB110" s="17">
        <f>+VLOOKUP(E110,[1]base!M:N,2,0)</f>
        <v>205</v>
      </c>
      <c r="AC110" s="17">
        <f>+VLOOKUP(E110,[1]base!M:Q,5,0)</f>
        <v>110.9</v>
      </c>
      <c r="AD110" s="18">
        <f>+VLOOKUP(E110,[1]base!M:P,4,0)</f>
        <v>0.12393162393162394</v>
      </c>
      <c r="AE110" s="19">
        <f t="shared" si="13"/>
        <v>36.09401709401709</v>
      </c>
    </row>
    <row r="111" spans="1:31" x14ac:dyDescent="0.25">
      <c r="A111" s="10" t="s">
        <v>94</v>
      </c>
      <c r="B111" s="11">
        <v>46266.490532407406</v>
      </c>
      <c r="C111" s="12" t="s">
        <v>95</v>
      </c>
      <c r="D111" s="12" t="s">
        <v>189</v>
      </c>
      <c r="E111" s="13" t="str">
        <f t="shared" si="7"/>
        <v>FR112</v>
      </c>
      <c r="F111" s="14" t="str">
        <f t="shared" si="8"/>
        <v>BLC</v>
      </c>
      <c r="G111" s="14">
        <f>+VLOOKUP(F111,[1]base!A:B,2,0)</f>
        <v>1</v>
      </c>
      <c r="H111" s="14">
        <v>16</v>
      </c>
      <c r="I111" s="14">
        <v>16</v>
      </c>
      <c r="J111" s="14"/>
      <c r="K111" s="14" t="s">
        <v>33</v>
      </c>
      <c r="L111" s="14" t="s">
        <v>76</v>
      </c>
      <c r="M111" s="14" t="s">
        <v>77</v>
      </c>
      <c r="N111" s="14"/>
      <c r="O111" s="14"/>
      <c r="P111" s="14"/>
      <c r="Q111" s="14">
        <v>0</v>
      </c>
      <c r="R111" s="14">
        <v>8</v>
      </c>
      <c r="S111" s="14"/>
      <c r="T111" s="15">
        <v>16</v>
      </c>
      <c r="U111" s="16"/>
      <c r="V111" s="17">
        <v>942</v>
      </c>
      <c r="W111" s="17">
        <f t="shared" si="9"/>
        <v>15072</v>
      </c>
      <c r="X111" s="17">
        <f t="shared" si="10"/>
        <v>783.74399999999991</v>
      </c>
      <c r="Y111" s="17">
        <v>947</v>
      </c>
      <c r="Z111" s="17">
        <f t="shared" si="11"/>
        <v>1</v>
      </c>
      <c r="AA111" s="17">
        <f t="shared" si="12"/>
        <v>6.6666666666666693E-2</v>
      </c>
      <c r="AB111" s="17">
        <f>+VLOOKUP(E111,[1]base!M:N,2,0)</f>
        <v>205</v>
      </c>
      <c r="AC111" s="17">
        <f>+VLOOKUP(E111,[1]base!M:Q,5,0)</f>
        <v>110.9</v>
      </c>
      <c r="AD111" s="18">
        <f>+VLOOKUP(E111,[1]base!M:P,4,0)</f>
        <v>0.12393162393162394</v>
      </c>
      <c r="AE111" s="19">
        <f t="shared" si="13"/>
        <v>36.09401709401709</v>
      </c>
    </row>
    <row r="112" spans="1:31" x14ac:dyDescent="0.25">
      <c r="A112" s="10" t="s">
        <v>139</v>
      </c>
      <c r="B112" s="11">
        <v>46268.400879629633</v>
      </c>
      <c r="C112" s="12" t="s">
        <v>39</v>
      </c>
      <c r="D112" s="12" t="s">
        <v>189</v>
      </c>
      <c r="E112" s="13" t="str">
        <f t="shared" si="7"/>
        <v>FR112</v>
      </c>
      <c r="F112" s="14" t="str">
        <f t="shared" si="8"/>
        <v>BLC</v>
      </c>
      <c r="G112" s="14">
        <f>+VLOOKUP(F112,[1]base!A:B,2,0)</f>
        <v>1</v>
      </c>
      <c r="H112" s="14">
        <v>10</v>
      </c>
      <c r="I112" s="14">
        <v>10</v>
      </c>
      <c r="J112" s="14"/>
      <c r="K112" s="14" t="s">
        <v>33</v>
      </c>
      <c r="L112" s="14" t="s">
        <v>76</v>
      </c>
      <c r="M112" s="14" t="s">
        <v>77</v>
      </c>
      <c r="N112" s="14"/>
      <c r="O112" s="14"/>
      <c r="P112" s="14"/>
      <c r="Q112" s="14">
        <v>0</v>
      </c>
      <c r="R112" s="14">
        <v>8</v>
      </c>
      <c r="S112" s="14"/>
      <c r="T112" s="15">
        <v>10</v>
      </c>
      <c r="U112" s="16"/>
      <c r="V112" s="17">
        <v>1072</v>
      </c>
      <c r="W112" s="17">
        <f t="shared" si="9"/>
        <v>10720</v>
      </c>
      <c r="X112" s="17">
        <f t="shared" si="10"/>
        <v>557.43999999999994</v>
      </c>
      <c r="Y112" s="17">
        <v>1077</v>
      </c>
      <c r="Z112" s="17">
        <f t="shared" si="11"/>
        <v>1</v>
      </c>
      <c r="AA112" s="17">
        <f t="shared" si="12"/>
        <v>6.6666666666666693E-2</v>
      </c>
      <c r="AB112" s="17">
        <f>+VLOOKUP(E112,[1]base!M:N,2,0)</f>
        <v>205</v>
      </c>
      <c r="AC112" s="17">
        <f>+VLOOKUP(E112,[1]base!M:Q,5,0)</f>
        <v>110.9</v>
      </c>
      <c r="AD112" s="18">
        <f>+VLOOKUP(E112,[1]base!M:P,4,0)</f>
        <v>0.12393162393162394</v>
      </c>
      <c r="AE112" s="19">
        <f t="shared" si="13"/>
        <v>36.09401709401709</v>
      </c>
    </row>
    <row r="113" spans="1:31" x14ac:dyDescent="0.25">
      <c r="A113" s="10" t="s">
        <v>113</v>
      </c>
      <c r="B113" s="11">
        <v>46246.568078703705</v>
      </c>
      <c r="C113" s="12" t="s">
        <v>39</v>
      </c>
      <c r="D113" s="12" t="s">
        <v>189</v>
      </c>
      <c r="E113" s="13" t="str">
        <f t="shared" si="7"/>
        <v>FR112</v>
      </c>
      <c r="F113" s="14" t="str">
        <f t="shared" si="8"/>
        <v>BLC</v>
      </c>
      <c r="G113" s="14">
        <f>+VLOOKUP(F113,[1]base!A:B,2,0)</f>
        <v>1</v>
      </c>
      <c r="H113" s="14">
        <v>30</v>
      </c>
      <c r="I113" s="14">
        <v>30</v>
      </c>
      <c r="J113" s="14"/>
      <c r="K113" s="14" t="s">
        <v>33</v>
      </c>
      <c r="L113" s="14" t="s">
        <v>196</v>
      </c>
      <c r="M113" s="14" t="s">
        <v>35</v>
      </c>
      <c r="N113" s="14">
        <v>30</v>
      </c>
      <c r="O113" s="14">
        <v>30</v>
      </c>
      <c r="P113" s="14">
        <v>0</v>
      </c>
      <c r="Q113" s="14">
        <v>0</v>
      </c>
      <c r="R113" s="14">
        <v>8</v>
      </c>
      <c r="S113" s="14"/>
      <c r="T113" s="15">
        <v>30</v>
      </c>
      <c r="U113" s="16"/>
      <c r="V113" s="17">
        <v>458</v>
      </c>
      <c r="W113" s="17">
        <f t="shared" si="9"/>
        <v>13740</v>
      </c>
      <c r="X113" s="17">
        <f t="shared" si="10"/>
        <v>714.48</v>
      </c>
      <c r="Y113" s="17">
        <v>463</v>
      </c>
      <c r="Z113" s="17">
        <f t="shared" si="11"/>
        <v>1</v>
      </c>
      <c r="AA113" s="17">
        <f t="shared" si="12"/>
        <v>6.6666666666666693E-2</v>
      </c>
      <c r="AB113" s="17">
        <f>+VLOOKUP(E113,[1]base!M:N,2,0)</f>
        <v>205</v>
      </c>
      <c r="AC113" s="17">
        <f>+VLOOKUP(E113,[1]base!M:Q,5,0)</f>
        <v>110.9</v>
      </c>
      <c r="AD113" s="18">
        <f>+VLOOKUP(E113,[1]base!M:P,4,0)</f>
        <v>0.12393162393162394</v>
      </c>
      <c r="AE113" s="19">
        <f t="shared" si="13"/>
        <v>36.09401709401709</v>
      </c>
    </row>
    <row r="114" spans="1:31" x14ac:dyDescent="0.25">
      <c r="A114" s="10" t="s">
        <v>142</v>
      </c>
      <c r="B114" s="11">
        <v>46252.518969907411</v>
      </c>
      <c r="C114" s="12" t="s">
        <v>143</v>
      </c>
      <c r="D114" s="12" t="s">
        <v>189</v>
      </c>
      <c r="E114" s="13" t="str">
        <f t="shared" si="7"/>
        <v>FR112</v>
      </c>
      <c r="F114" s="14" t="str">
        <f t="shared" si="8"/>
        <v>BLC</v>
      </c>
      <c r="G114" s="14">
        <f>+VLOOKUP(F114,[1]base!A:B,2,0)</f>
        <v>1</v>
      </c>
      <c r="H114" s="14">
        <v>20</v>
      </c>
      <c r="I114" s="14">
        <v>20</v>
      </c>
      <c r="J114" s="14"/>
      <c r="K114" s="14" t="s">
        <v>33</v>
      </c>
      <c r="L114" s="14" t="s">
        <v>197</v>
      </c>
      <c r="M114" s="14" t="s">
        <v>35</v>
      </c>
      <c r="N114" s="14">
        <v>20</v>
      </c>
      <c r="O114" s="14">
        <v>20</v>
      </c>
      <c r="P114" s="14">
        <v>0</v>
      </c>
      <c r="Q114" s="14">
        <v>0</v>
      </c>
      <c r="R114" s="14">
        <v>8</v>
      </c>
      <c r="S114" s="14"/>
      <c r="T114" s="15">
        <v>20</v>
      </c>
      <c r="U114" s="16"/>
      <c r="V114" s="17">
        <v>521</v>
      </c>
      <c r="W114" s="17">
        <f t="shared" si="9"/>
        <v>10420</v>
      </c>
      <c r="X114" s="17">
        <f t="shared" si="10"/>
        <v>541.84</v>
      </c>
      <c r="Y114" s="17">
        <v>526</v>
      </c>
      <c r="Z114" s="17">
        <f t="shared" si="11"/>
        <v>1</v>
      </c>
      <c r="AA114" s="17">
        <f t="shared" si="12"/>
        <v>6.6666666666666693E-2</v>
      </c>
      <c r="AB114" s="17">
        <f>+VLOOKUP(E114,[1]base!M:N,2,0)</f>
        <v>205</v>
      </c>
      <c r="AC114" s="17">
        <f>+VLOOKUP(E114,[1]base!M:Q,5,0)</f>
        <v>110.9</v>
      </c>
      <c r="AD114" s="18">
        <f>+VLOOKUP(E114,[1]base!M:P,4,0)</f>
        <v>0.12393162393162394</v>
      </c>
      <c r="AE114" s="19">
        <f t="shared" si="13"/>
        <v>36.09401709401709</v>
      </c>
    </row>
    <row r="115" spans="1:31" x14ac:dyDescent="0.25">
      <c r="A115" s="10" t="s">
        <v>198</v>
      </c>
      <c r="B115" s="11">
        <v>46267.323807870373</v>
      </c>
      <c r="C115" s="12" t="s">
        <v>199</v>
      </c>
      <c r="D115" s="12" t="s">
        <v>189</v>
      </c>
      <c r="E115" s="13" t="str">
        <f t="shared" si="7"/>
        <v>FR112</v>
      </c>
      <c r="F115" s="14" t="str">
        <f t="shared" si="8"/>
        <v>BLC</v>
      </c>
      <c r="G115" s="14">
        <f>+VLOOKUP(F115,[1]base!A:B,2,0)</f>
        <v>1</v>
      </c>
      <c r="H115" s="14">
        <v>10</v>
      </c>
      <c r="I115" s="14">
        <v>10</v>
      </c>
      <c r="J115" s="14"/>
      <c r="K115" s="14" t="s">
        <v>33</v>
      </c>
      <c r="L115" s="14" t="s">
        <v>200</v>
      </c>
      <c r="M115" s="14" t="s">
        <v>35</v>
      </c>
      <c r="N115" s="14">
        <v>10</v>
      </c>
      <c r="O115" s="14">
        <v>10</v>
      </c>
      <c r="P115" s="14">
        <v>0</v>
      </c>
      <c r="Q115" s="14">
        <v>0</v>
      </c>
      <c r="R115" s="14">
        <v>8</v>
      </c>
      <c r="S115" s="14"/>
      <c r="T115" s="15">
        <v>10</v>
      </c>
      <c r="U115" s="16"/>
      <c r="V115" s="17">
        <v>1000</v>
      </c>
      <c r="W115" s="17">
        <f t="shared" si="9"/>
        <v>10000</v>
      </c>
      <c r="X115" s="17">
        <f t="shared" si="10"/>
        <v>520</v>
      </c>
      <c r="Y115" s="17">
        <v>1005</v>
      </c>
      <c r="Z115" s="17">
        <f t="shared" si="11"/>
        <v>1</v>
      </c>
      <c r="AA115" s="17">
        <f t="shared" si="12"/>
        <v>6.6666666666666693E-2</v>
      </c>
      <c r="AB115" s="17">
        <f>+VLOOKUP(E115,[1]base!M:N,2,0)</f>
        <v>205</v>
      </c>
      <c r="AC115" s="17">
        <f>+VLOOKUP(E115,[1]base!M:Q,5,0)</f>
        <v>110.9</v>
      </c>
      <c r="AD115" s="18">
        <f>+VLOOKUP(E115,[1]base!M:P,4,0)</f>
        <v>0.12393162393162394</v>
      </c>
      <c r="AE115" s="19">
        <f t="shared" si="13"/>
        <v>36.09401709401709</v>
      </c>
    </row>
    <row r="116" spans="1:31" x14ac:dyDescent="0.25">
      <c r="A116" s="20" t="s">
        <v>201</v>
      </c>
      <c r="B116" s="11">
        <v>46111.451840277776</v>
      </c>
      <c r="C116" s="12" t="s">
        <v>83</v>
      </c>
      <c r="D116" s="12" t="s">
        <v>202</v>
      </c>
      <c r="E116" s="13" t="str">
        <f t="shared" si="7"/>
        <v>EC40100</v>
      </c>
      <c r="F116" s="14" t="str">
        <f t="shared" si="8"/>
        <v>BLC</v>
      </c>
      <c r="G116" s="14">
        <f>+VLOOKUP(F116,[1]base!A:B,2,0)</f>
        <v>1</v>
      </c>
      <c r="H116" s="14">
        <v>300</v>
      </c>
      <c r="I116" s="14">
        <v>80</v>
      </c>
      <c r="J116" s="14"/>
      <c r="K116" s="14" t="s">
        <v>33</v>
      </c>
      <c r="L116" s="14" t="s">
        <v>76</v>
      </c>
      <c r="M116" s="14" t="s">
        <v>77</v>
      </c>
      <c r="N116" s="14"/>
      <c r="O116" s="14"/>
      <c r="P116" s="14"/>
      <c r="Q116" s="14">
        <v>0</v>
      </c>
      <c r="R116" s="14">
        <v>272</v>
      </c>
      <c r="S116" s="14"/>
      <c r="T116" s="15">
        <v>80</v>
      </c>
      <c r="U116" s="16"/>
      <c r="V116" s="17">
        <f>+VLOOKUP(E116,[1]base!D:K,8,0)</f>
        <v>4.1340000000000003</v>
      </c>
      <c r="W116" s="17">
        <f t="shared" si="9"/>
        <v>330.72</v>
      </c>
      <c r="X116" s="17">
        <f t="shared" si="10"/>
        <v>17.19744</v>
      </c>
      <c r="Y116" s="17">
        <f>+VLOOKUP(E116,[1]base!D:E,2,0)</f>
        <v>13</v>
      </c>
      <c r="Z116" s="17">
        <f t="shared" si="11"/>
        <v>7</v>
      </c>
      <c r="AA116" s="17">
        <f t="shared" si="12"/>
        <v>0.46666666666666684</v>
      </c>
      <c r="AB116" s="17">
        <f>+VLOOKUP(E116,[1]base!M:N,2,0)</f>
        <v>218</v>
      </c>
      <c r="AC116" s="17">
        <f>+VLOOKUP(E116,[1]base!M:Q,5,0)</f>
        <v>2247.5454545454545</v>
      </c>
      <c r="AD116" s="18">
        <f>+VLOOKUP(E116,[1]base!M:P,4,0)</f>
        <v>0.19557195571955718</v>
      </c>
      <c r="AE116" s="19">
        <f t="shared" si="13"/>
        <v>22.765313653136531</v>
      </c>
    </row>
    <row r="117" spans="1:31" x14ac:dyDescent="0.25">
      <c r="A117" s="20" t="s">
        <v>203</v>
      </c>
      <c r="B117" s="11">
        <v>46150.403587962966</v>
      </c>
      <c r="C117" s="12" t="s">
        <v>107</v>
      </c>
      <c r="D117" s="12" t="s">
        <v>202</v>
      </c>
      <c r="E117" s="13" t="str">
        <f t="shared" si="7"/>
        <v>EC40100</v>
      </c>
      <c r="F117" s="14" t="str">
        <f t="shared" si="8"/>
        <v>BLC</v>
      </c>
      <c r="G117" s="14">
        <f>+VLOOKUP(F117,[1]base!A:B,2,0)</f>
        <v>1</v>
      </c>
      <c r="H117" s="14">
        <v>50</v>
      </c>
      <c r="I117" s="14">
        <v>20</v>
      </c>
      <c r="J117" s="14"/>
      <c r="K117" s="14" t="s">
        <v>33</v>
      </c>
      <c r="L117" s="14" t="s">
        <v>76</v>
      </c>
      <c r="M117" s="14" t="s">
        <v>77</v>
      </c>
      <c r="N117" s="14"/>
      <c r="O117" s="14"/>
      <c r="P117" s="14"/>
      <c r="Q117" s="14">
        <v>0</v>
      </c>
      <c r="R117" s="14">
        <v>272</v>
      </c>
      <c r="S117" s="14"/>
      <c r="T117" s="15">
        <v>20</v>
      </c>
      <c r="U117" s="16"/>
      <c r="V117" s="17">
        <v>5</v>
      </c>
      <c r="W117" s="17">
        <f t="shared" si="9"/>
        <v>100</v>
      </c>
      <c r="X117" s="17">
        <f t="shared" si="10"/>
        <v>5.2</v>
      </c>
      <c r="Y117" s="17">
        <v>10</v>
      </c>
      <c r="Z117" s="17">
        <f t="shared" si="11"/>
        <v>2</v>
      </c>
      <c r="AA117" s="17">
        <f t="shared" si="12"/>
        <v>0.13333333333333339</v>
      </c>
      <c r="AB117" s="17">
        <f>+VLOOKUP(E117,[1]base!M:N,2,0)</f>
        <v>218</v>
      </c>
      <c r="AC117" s="17">
        <f>+VLOOKUP(E117,[1]base!M:Q,5,0)</f>
        <v>2247.5454545454545</v>
      </c>
      <c r="AD117" s="18">
        <f>+VLOOKUP(E117,[1]base!M:P,4,0)</f>
        <v>0.19557195571955718</v>
      </c>
      <c r="AE117" s="19">
        <f t="shared" si="13"/>
        <v>22.765313653136531</v>
      </c>
    </row>
    <row r="118" spans="1:31" x14ac:dyDescent="0.25">
      <c r="A118" s="20" t="s">
        <v>204</v>
      </c>
      <c r="B118" s="11">
        <v>46156.310127314813</v>
      </c>
      <c r="C118" s="12" t="s">
        <v>95</v>
      </c>
      <c r="D118" s="12" t="s">
        <v>202</v>
      </c>
      <c r="E118" s="13" t="str">
        <f t="shared" si="7"/>
        <v>EC40100</v>
      </c>
      <c r="F118" s="14" t="str">
        <f t="shared" si="8"/>
        <v>BLC</v>
      </c>
      <c r="G118" s="14">
        <f>+VLOOKUP(F118,[1]base!A:B,2,0)</f>
        <v>1</v>
      </c>
      <c r="H118" s="14">
        <v>40</v>
      </c>
      <c r="I118" s="14">
        <v>20</v>
      </c>
      <c r="J118" s="14"/>
      <c r="K118" s="14" t="s">
        <v>33</v>
      </c>
      <c r="L118" s="14" t="s">
        <v>76</v>
      </c>
      <c r="M118" s="14" t="s">
        <v>77</v>
      </c>
      <c r="N118" s="14"/>
      <c r="O118" s="14"/>
      <c r="P118" s="14"/>
      <c r="Q118" s="14">
        <v>0</v>
      </c>
      <c r="R118" s="14">
        <v>272</v>
      </c>
      <c r="S118" s="14"/>
      <c r="T118" s="15">
        <v>20</v>
      </c>
      <c r="U118" s="16"/>
      <c r="V118" s="17">
        <v>5</v>
      </c>
      <c r="W118" s="17">
        <f t="shared" si="9"/>
        <v>100</v>
      </c>
      <c r="X118" s="17">
        <f t="shared" si="10"/>
        <v>5.2</v>
      </c>
      <c r="Y118" s="17">
        <v>10</v>
      </c>
      <c r="Z118" s="17">
        <f t="shared" si="11"/>
        <v>2</v>
      </c>
      <c r="AA118" s="17">
        <f t="shared" si="12"/>
        <v>0.13333333333333339</v>
      </c>
      <c r="AB118" s="17">
        <f>+VLOOKUP(E118,[1]base!M:N,2,0)</f>
        <v>218</v>
      </c>
      <c r="AC118" s="17">
        <f>+VLOOKUP(E118,[1]base!M:Q,5,0)</f>
        <v>2247.5454545454545</v>
      </c>
      <c r="AD118" s="18">
        <f>+VLOOKUP(E118,[1]base!M:P,4,0)</f>
        <v>0.19557195571955718</v>
      </c>
      <c r="AE118" s="19">
        <f t="shared" si="13"/>
        <v>22.765313653136531</v>
      </c>
    </row>
    <row r="119" spans="1:31" x14ac:dyDescent="0.25">
      <c r="A119" s="20" t="s">
        <v>129</v>
      </c>
      <c r="B119" s="11">
        <v>46178.600636574076</v>
      </c>
      <c r="C119" s="12" t="s">
        <v>130</v>
      </c>
      <c r="D119" s="12" t="s">
        <v>202</v>
      </c>
      <c r="E119" s="13" t="str">
        <f t="shared" si="7"/>
        <v>EC40100</v>
      </c>
      <c r="F119" s="14" t="str">
        <f t="shared" si="8"/>
        <v>BLC</v>
      </c>
      <c r="G119" s="14">
        <f>+VLOOKUP(F119,[1]base!A:B,2,0)</f>
        <v>1</v>
      </c>
      <c r="H119" s="14">
        <v>80</v>
      </c>
      <c r="I119" s="14">
        <v>75</v>
      </c>
      <c r="J119" s="14"/>
      <c r="K119" s="14" t="s">
        <v>72</v>
      </c>
      <c r="L119" s="14" t="s">
        <v>76</v>
      </c>
      <c r="M119" s="14" t="s">
        <v>77</v>
      </c>
      <c r="N119" s="14"/>
      <c r="O119" s="14"/>
      <c r="P119" s="14"/>
      <c r="Q119" s="14">
        <v>50</v>
      </c>
      <c r="R119" s="14">
        <v>272</v>
      </c>
      <c r="S119" s="14"/>
      <c r="T119" s="15">
        <v>75</v>
      </c>
      <c r="U119" s="16"/>
      <c r="V119" s="17">
        <v>5</v>
      </c>
      <c r="W119" s="17">
        <f t="shared" si="9"/>
        <v>375</v>
      </c>
      <c r="X119" s="17">
        <f t="shared" si="10"/>
        <v>19.5</v>
      </c>
      <c r="Y119" s="17">
        <v>10</v>
      </c>
      <c r="Z119" s="17">
        <f t="shared" si="11"/>
        <v>8</v>
      </c>
      <c r="AA119" s="17">
        <f t="shared" si="12"/>
        <v>0.53333333333333355</v>
      </c>
      <c r="AB119" s="17">
        <f>+VLOOKUP(E119,[1]base!M:N,2,0)</f>
        <v>218</v>
      </c>
      <c r="AC119" s="17">
        <f>+VLOOKUP(E119,[1]base!M:Q,5,0)</f>
        <v>2247.5454545454545</v>
      </c>
      <c r="AD119" s="18">
        <f>+VLOOKUP(E119,[1]base!M:P,4,0)</f>
        <v>0.19557195571955718</v>
      </c>
      <c r="AE119" s="19">
        <f t="shared" si="13"/>
        <v>22.765313653136531</v>
      </c>
    </row>
    <row r="120" spans="1:31" x14ac:dyDescent="0.25">
      <c r="A120" s="20" t="s">
        <v>205</v>
      </c>
      <c r="B120" s="11">
        <v>46182.355555555558</v>
      </c>
      <c r="C120" s="12" t="s">
        <v>39</v>
      </c>
      <c r="D120" s="12" t="s">
        <v>202</v>
      </c>
      <c r="E120" s="13" t="str">
        <f t="shared" si="7"/>
        <v>EC40100</v>
      </c>
      <c r="F120" s="14" t="str">
        <f t="shared" si="8"/>
        <v>BLC</v>
      </c>
      <c r="G120" s="14">
        <f>+VLOOKUP(F120,[1]base!A:B,2,0)</f>
        <v>1</v>
      </c>
      <c r="H120" s="14">
        <v>200</v>
      </c>
      <c r="I120" s="14">
        <v>145</v>
      </c>
      <c r="J120" s="14"/>
      <c r="K120" s="14" t="s">
        <v>72</v>
      </c>
      <c r="L120" s="14" t="s">
        <v>76</v>
      </c>
      <c r="M120" s="14" t="s">
        <v>77</v>
      </c>
      <c r="N120" s="14"/>
      <c r="O120" s="14"/>
      <c r="P120" s="14"/>
      <c r="Q120" s="14">
        <v>150</v>
      </c>
      <c r="R120" s="14">
        <v>272</v>
      </c>
      <c r="S120" s="14"/>
      <c r="T120" s="15">
        <v>145</v>
      </c>
      <c r="U120" s="16"/>
      <c r="V120" s="17">
        <v>5</v>
      </c>
      <c r="W120" s="17">
        <f t="shared" si="9"/>
        <v>725</v>
      </c>
      <c r="X120" s="17">
        <f t="shared" si="10"/>
        <v>37.699999999999996</v>
      </c>
      <c r="Y120" s="17">
        <v>10</v>
      </c>
      <c r="Z120" s="17">
        <f t="shared" si="11"/>
        <v>15</v>
      </c>
      <c r="AA120" s="17">
        <f t="shared" si="12"/>
        <v>1.0000000000000004</v>
      </c>
      <c r="AB120" s="17">
        <f>+VLOOKUP(E120,[1]base!M:N,2,0)</f>
        <v>218</v>
      </c>
      <c r="AC120" s="17">
        <f>+VLOOKUP(E120,[1]base!M:Q,5,0)</f>
        <v>2247.5454545454545</v>
      </c>
      <c r="AD120" s="18">
        <f>+VLOOKUP(E120,[1]base!M:P,4,0)</f>
        <v>0.19557195571955718</v>
      </c>
      <c r="AE120" s="19">
        <f t="shared" si="13"/>
        <v>22.765313653136531</v>
      </c>
    </row>
    <row r="121" spans="1:31" x14ac:dyDescent="0.25">
      <c r="A121" s="20" t="s">
        <v>206</v>
      </c>
      <c r="B121" s="11">
        <v>46185.285266203704</v>
      </c>
      <c r="C121" s="12" t="s">
        <v>70</v>
      </c>
      <c r="D121" s="12" t="s">
        <v>202</v>
      </c>
      <c r="E121" s="13" t="str">
        <f t="shared" si="7"/>
        <v>EC40100</v>
      </c>
      <c r="F121" s="14" t="str">
        <f t="shared" si="8"/>
        <v>BLC</v>
      </c>
      <c r="G121" s="14">
        <f>+VLOOKUP(F121,[1]base!A:B,2,0)</f>
        <v>1</v>
      </c>
      <c r="H121" s="14">
        <v>20</v>
      </c>
      <c r="I121" s="14">
        <v>20</v>
      </c>
      <c r="J121" s="14"/>
      <c r="K121" s="14" t="s">
        <v>33</v>
      </c>
      <c r="L121" s="14" t="s">
        <v>76</v>
      </c>
      <c r="M121" s="14" t="s">
        <v>77</v>
      </c>
      <c r="N121" s="14"/>
      <c r="O121" s="14"/>
      <c r="P121" s="14"/>
      <c r="Q121" s="14">
        <v>0</v>
      </c>
      <c r="R121" s="14">
        <v>272</v>
      </c>
      <c r="S121" s="14"/>
      <c r="T121" s="15">
        <v>20</v>
      </c>
      <c r="U121" s="16"/>
      <c r="V121" s="17">
        <v>5</v>
      </c>
      <c r="W121" s="17">
        <f t="shared" si="9"/>
        <v>100</v>
      </c>
      <c r="X121" s="17">
        <f t="shared" si="10"/>
        <v>5.2</v>
      </c>
      <c r="Y121" s="17">
        <v>10</v>
      </c>
      <c r="Z121" s="17">
        <f t="shared" si="11"/>
        <v>2</v>
      </c>
      <c r="AA121" s="17">
        <f t="shared" si="12"/>
        <v>0.13333333333333339</v>
      </c>
      <c r="AB121" s="17">
        <f>+VLOOKUP(E121,[1]base!M:N,2,0)</f>
        <v>218</v>
      </c>
      <c r="AC121" s="17">
        <f>+VLOOKUP(E121,[1]base!M:Q,5,0)</f>
        <v>2247.5454545454545</v>
      </c>
      <c r="AD121" s="18">
        <f>+VLOOKUP(E121,[1]base!M:P,4,0)</f>
        <v>0.19557195571955718</v>
      </c>
      <c r="AE121" s="19">
        <f t="shared" si="13"/>
        <v>22.765313653136531</v>
      </c>
    </row>
    <row r="122" spans="1:31" x14ac:dyDescent="0.25">
      <c r="A122" s="10" t="s">
        <v>98</v>
      </c>
      <c r="B122" s="11">
        <v>46220.346666666665</v>
      </c>
      <c r="C122" s="12" t="s">
        <v>70</v>
      </c>
      <c r="D122" s="12" t="s">
        <v>202</v>
      </c>
      <c r="E122" s="13" t="str">
        <f t="shared" si="7"/>
        <v>EC40100</v>
      </c>
      <c r="F122" s="14" t="str">
        <f t="shared" si="8"/>
        <v>BLC</v>
      </c>
      <c r="G122" s="14">
        <f>+VLOOKUP(F122,[1]base!A:B,2,0)</f>
        <v>1</v>
      </c>
      <c r="H122" s="14">
        <v>100</v>
      </c>
      <c r="I122" s="14">
        <v>50</v>
      </c>
      <c r="J122" s="14"/>
      <c r="K122" s="14" t="s">
        <v>33</v>
      </c>
      <c r="L122" s="14" t="s">
        <v>76</v>
      </c>
      <c r="M122" s="14" t="s">
        <v>77</v>
      </c>
      <c r="N122" s="14"/>
      <c r="O122" s="14"/>
      <c r="P122" s="14"/>
      <c r="Q122" s="14">
        <v>0</v>
      </c>
      <c r="R122" s="14">
        <v>272</v>
      </c>
      <c r="S122" s="14"/>
      <c r="T122" s="15">
        <v>50</v>
      </c>
      <c r="U122" s="16"/>
      <c r="V122" s="17">
        <v>151</v>
      </c>
      <c r="W122" s="17">
        <f t="shared" si="9"/>
        <v>7550</v>
      </c>
      <c r="X122" s="17">
        <f t="shared" si="10"/>
        <v>392.59999999999997</v>
      </c>
      <c r="Y122" s="17">
        <v>156</v>
      </c>
      <c r="Z122" s="17">
        <f t="shared" si="11"/>
        <v>1</v>
      </c>
      <c r="AA122" s="17">
        <f t="shared" si="12"/>
        <v>6.6666666666666693E-2</v>
      </c>
      <c r="AB122" s="17">
        <f>+VLOOKUP(E122,[1]base!M:N,2,0)</f>
        <v>218</v>
      </c>
      <c r="AC122" s="17">
        <f>+VLOOKUP(E122,[1]base!M:Q,5,0)</f>
        <v>2247.5454545454545</v>
      </c>
      <c r="AD122" s="18">
        <f>+VLOOKUP(E122,[1]base!M:P,4,0)</f>
        <v>0.19557195571955718</v>
      </c>
      <c r="AE122" s="19">
        <f t="shared" si="13"/>
        <v>22.765313653136531</v>
      </c>
    </row>
    <row r="123" spans="1:31" x14ac:dyDescent="0.25">
      <c r="A123" s="10" t="s">
        <v>207</v>
      </c>
      <c r="B123" s="11">
        <v>46225.289490740739</v>
      </c>
      <c r="C123" s="12" t="s">
        <v>134</v>
      </c>
      <c r="D123" s="12" t="s">
        <v>202</v>
      </c>
      <c r="E123" s="13" t="str">
        <f t="shared" si="7"/>
        <v>EC40100</v>
      </c>
      <c r="F123" s="14" t="str">
        <f t="shared" si="8"/>
        <v>BLC</v>
      </c>
      <c r="G123" s="14">
        <f>+VLOOKUP(F123,[1]base!A:B,2,0)</f>
        <v>1</v>
      </c>
      <c r="H123" s="14">
        <v>30</v>
      </c>
      <c r="I123" s="14">
        <v>30</v>
      </c>
      <c r="J123" s="14"/>
      <c r="K123" s="14" t="s">
        <v>33</v>
      </c>
      <c r="L123" s="14" t="s">
        <v>76</v>
      </c>
      <c r="M123" s="14" t="s">
        <v>77</v>
      </c>
      <c r="N123" s="14"/>
      <c r="O123" s="14"/>
      <c r="P123" s="14"/>
      <c r="Q123" s="14">
        <v>0</v>
      </c>
      <c r="R123" s="14">
        <v>272</v>
      </c>
      <c r="S123" s="14"/>
      <c r="T123" s="15">
        <v>30</v>
      </c>
      <c r="U123" s="16"/>
      <c r="V123" s="17">
        <v>183</v>
      </c>
      <c r="W123" s="17">
        <f t="shared" si="9"/>
        <v>5490</v>
      </c>
      <c r="X123" s="17">
        <f t="shared" si="10"/>
        <v>285.47999999999996</v>
      </c>
      <c r="Y123" s="17">
        <v>188</v>
      </c>
      <c r="Z123" s="17">
        <f t="shared" si="11"/>
        <v>1</v>
      </c>
      <c r="AA123" s="17">
        <f t="shared" si="12"/>
        <v>6.6666666666666693E-2</v>
      </c>
      <c r="AB123" s="17">
        <f>+VLOOKUP(E123,[1]base!M:N,2,0)</f>
        <v>218</v>
      </c>
      <c r="AC123" s="17">
        <f>+VLOOKUP(E123,[1]base!M:Q,5,0)</f>
        <v>2247.5454545454545</v>
      </c>
      <c r="AD123" s="18">
        <f>+VLOOKUP(E123,[1]base!M:P,4,0)</f>
        <v>0.19557195571955718</v>
      </c>
      <c r="AE123" s="19">
        <f t="shared" si="13"/>
        <v>22.765313653136531</v>
      </c>
    </row>
    <row r="124" spans="1:31" x14ac:dyDescent="0.25">
      <c r="A124" s="10" t="s">
        <v>106</v>
      </c>
      <c r="B124" s="11">
        <v>46226.41915509259</v>
      </c>
      <c r="C124" s="12" t="s">
        <v>107</v>
      </c>
      <c r="D124" s="12" t="s">
        <v>202</v>
      </c>
      <c r="E124" s="13" t="str">
        <f t="shared" si="7"/>
        <v>EC40100</v>
      </c>
      <c r="F124" s="14" t="str">
        <f t="shared" si="8"/>
        <v>BLC</v>
      </c>
      <c r="G124" s="14">
        <f>+VLOOKUP(F124,[1]base!A:B,2,0)</f>
        <v>1</v>
      </c>
      <c r="H124" s="14">
        <v>80</v>
      </c>
      <c r="I124" s="14">
        <v>80</v>
      </c>
      <c r="J124" s="14"/>
      <c r="K124" s="14" t="s">
        <v>72</v>
      </c>
      <c r="L124" s="14" t="s">
        <v>76</v>
      </c>
      <c r="M124" s="14" t="s">
        <v>77</v>
      </c>
      <c r="N124" s="14"/>
      <c r="O124" s="14"/>
      <c r="P124" s="14"/>
      <c r="Q124" s="14">
        <v>30</v>
      </c>
      <c r="R124" s="14">
        <v>272</v>
      </c>
      <c r="S124" s="14"/>
      <c r="T124" s="15">
        <v>80</v>
      </c>
      <c r="U124" s="16"/>
      <c r="V124" s="17">
        <v>237</v>
      </c>
      <c r="W124" s="17">
        <f t="shared" si="9"/>
        <v>18960</v>
      </c>
      <c r="X124" s="17">
        <f t="shared" si="10"/>
        <v>985.92</v>
      </c>
      <c r="Y124" s="17">
        <v>242</v>
      </c>
      <c r="Z124" s="17">
        <f t="shared" si="11"/>
        <v>1</v>
      </c>
      <c r="AA124" s="17">
        <f t="shared" si="12"/>
        <v>6.6666666666666693E-2</v>
      </c>
      <c r="AB124" s="17">
        <f>+VLOOKUP(E124,[1]base!M:N,2,0)</f>
        <v>218</v>
      </c>
      <c r="AC124" s="17">
        <f>+VLOOKUP(E124,[1]base!M:Q,5,0)</f>
        <v>2247.5454545454545</v>
      </c>
      <c r="AD124" s="18">
        <f>+VLOOKUP(E124,[1]base!M:P,4,0)</f>
        <v>0.19557195571955718</v>
      </c>
      <c r="AE124" s="19">
        <f t="shared" si="13"/>
        <v>22.765313653136531</v>
      </c>
    </row>
    <row r="125" spans="1:31" x14ac:dyDescent="0.25">
      <c r="A125" s="10" t="s">
        <v>208</v>
      </c>
      <c r="B125" s="11">
        <v>46226.508958333332</v>
      </c>
      <c r="C125" s="12" t="s">
        <v>31</v>
      </c>
      <c r="D125" s="12" t="s">
        <v>202</v>
      </c>
      <c r="E125" s="13" t="str">
        <f t="shared" si="7"/>
        <v>EC40100</v>
      </c>
      <c r="F125" s="14" t="str">
        <f t="shared" si="8"/>
        <v>BLC</v>
      </c>
      <c r="G125" s="14">
        <f>+VLOOKUP(F125,[1]base!A:B,2,0)</f>
        <v>1</v>
      </c>
      <c r="H125" s="14">
        <v>100</v>
      </c>
      <c r="I125" s="14">
        <v>50</v>
      </c>
      <c r="J125" s="14"/>
      <c r="K125" s="14" t="s">
        <v>72</v>
      </c>
      <c r="L125" s="14" t="s">
        <v>76</v>
      </c>
      <c r="M125" s="14" t="s">
        <v>77</v>
      </c>
      <c r="N125" s="14"/>
      <c r="O125" s="14"/>
      <c r="P125" s="14"/>
      <c r="Q125" s="14">
        <v>100</v>
      </c>
      <c r="R125" s="14">
        <v>272</v>
      </c>
      <c r="S125" s="14"/>
      <c r="T125" s="15">
        <v>50</v>
      </c>
      <c r="U125" s="16"/>
      <c r="V125" s="17">
        <v>255</v>
      </c>
      <c r="W125" s="17">
        <f t="shared" si="9"/>
        <v>12750</v>
      </c>
      <c r="X125" s="17">
        <f t="shared" si="10"/>
        <v>663</v>
      </c>
      <c r="Y125" s="17">
        <v>260</v>
      </c>
      <c r="Z125" s="17">
        <f t="shared" si="11"/>
        <v>1</v>
      </c>
      <c r="AA125" s="17">
        <f t="shared" si="12"/>
        <v>6.6666666666666693E-2</v>
      </c>
      <c r="AB125" s="17">
        <f>+VLOOKUP(E125,[1]base!M:N,2,0)</f>
        <v>218</v>
      </c>
      <c r="AC125" s="17">
        <f>+VLOOKUP(E125,[1]base!M:Q,5,0)</f>
        <v>2247.5454545454545</v>
      </c>
      <c r="AD125" s="18">
        <f>+VLOOKUP(E125,[1]base!M:P,4,0)</f>
        <v>0.19557195571955718</v>
      </c>
      <c r="AE125" s="19">
        <f t="shared" si="13"/>
        <v>22.765313653136531</v>
      </c>
    </row>
    <row r="126" spans="1:31" x14ac:dyDescent="0.25">
      <c r="A126" s="10" t="s">
        <v>209</v>
      </c>
      <c r="B126" s="11">
        <v>46226.566643518519</v>
      </c>
      <c r="C126" s="12" t="s">
        <v>210</v>
      </c>
      <c r="D126" s="12" t="s">
        <v>202</v>
      </c>
      <c r="E126" s="13" t="str">
        <f t="shared" si="7"/>
        <v>EC40100</v>
      </c>
      <c r="F126" s="14" t="str">
        <f t="shared" si="8"/>
        <v>BLC</v>
      </c>
      <c r="G126" s="14">
        <f>+VLOOKUP(F126,[1]base!A:B,2,0)</f>
        <v>1</v>
      </c>
      <c r="H126" s="14">
        <v>50</v>
      </c>
      <c r="I126" s="14">
        <v>50</v>
      </c>
      <c r="J126" s="14"/>
      <c r="K126" s="14" t="s">
        <v>33</v>
      </c>
      <c r="L126" s="14" t="s">
        <v>76</v>
      </c>
      <c r="M126" s="14" t="s">
        <v>77</v>
      </c>
      <c r="N126" s="14"/>
      <c r="O126" s="14"/>
      <c r="P126" s="14"/>
      <c r="Q126" s="14">
        <v>0</v>
      </c>
      <c r="R126" s="14">
        <v>272</v>
      </c>
      <c r="S126" s="14"/>
      <c r="T126" s="15">
        <v>50</v>
      </c>
      <c r="U126" s="16"/>
      <c r="V126" s="17">
        <v>257</v>
      </c>
      <c r="W126" s="17">
        <f t="shared" si="9"/>
        <v>12850</v>
      </c>
      <c r="X126" s="17">
        <f t="shared" si="10"/>
        <v>668.19999999999993</v>
      </c>
      <c r="Y126" s="17">
        <v>262</v>
      </c>
      <c r="Z126" s="17">
        <f t="shared" si="11"/>
        <v>1</v>
      </c>
      <c r="AA126" s="17">
        <f t="shared" si="12"/>
        <v>6.6666666666666693E-2</v>
      </c>
      <c r="AB126" s="17">
        <f>+VLOOKUP(E126,[1]base!M:N,2,0)</f>
        <v>218</v>
      </c>
      <c r="AC126" s="17">
        <f>+VLOOKUP(E126,[1]base!M:Q,5,0)</f>
        <v>2247.5454545454545</v>
      </c>
      <c r="AD126" s="18">
        <f>+VLOOKUP(E126,[1]base!M:P,4,0)</f>
        <v>0.19557195571955718</v>
      </c>
      <c r="AE126" s="19">
        <f t="shared" si="13"/>
        <v>22.765313653136531</v>
      </c>
    </row>
    <row r="127" spans="1:31" x14ac:dyDescent="0.25">
      <c r="A127" s="10" t="s">
        <v>135</v>
      </c>
      <c r="B127" s="11">
        <v>46228.27648148148</v>
      </c>
      <c r="C127" s="12" t="s">
        <v>130</v>
      </c>
      <c r="D127" s="12" t="s">
        <v>202</v>
      </c>
      <c r="E127" s="13" t="str">
        <f t="shared" si="7"/>
        <v>EC40100</v>
      </c>
      <c r="F127" s="14" t="str">
        <f t="shared" si="8"/>
        <v>BLC</v>
      </c>
      <c r="G127" s="14">
        <f>+VLOOKUP(F127,[1]base!A:B,2,0)</f>
        <v>1</v>
      </c>
      <c r="H127" s="14">
        <v>40</v>
      </c>
      <c r="I127" s="14">
        <v>40</v>
      </c>
      <c r="J127" s="14"/>
      <c r="K127" s="14" t="s">
        <v>33</v>
      </c>
      <c r="L127" s="14" t="s">
        <v>76</v>
      </c>
      <c r="M127" s="14" t="s">
        <v>77</v>
      </c>
      <c r="N127" s="14"/>
      <c r="O127" s="14"/>
      <c r="P127" s="14"/>
      <c r="Q127" s="14">
        <v>0</v>
      </c>
      <c r="R127" s="14">
        <v>272</v>
      </c>
      <c r="S127" s="14"/>
      <c r="T127" s="15">
        <v>40</v>
      </c>
      <c r="U127" s="16"/>
      <c r="V127" s="17">
        <v>264</v>
      </c>
      <c r="W127" s="17">
        <f t="shared" si="9"/>
        <v>10560</v>
      </c>
      <c r="X127" s="17">
        <f t="shared" si="10"/>
        <v>549.12</v>
      </c>
      <c r="Y127" s="17">
        <v>269</v>
      </c>
      <c r="Z127" s="17">
        <f t="shared" si="11"/>
        <v>1</v>
      </c>
      <c r="AA127" s="17">
        <f t="shared" si="12"/>
        <v>6.6666666666666693E-2</v>
      </c>
      <c r="AB127" s="17">
        <f>+VLOOKUP(E127,[1]base!M:N,2,0)</f>
        <v>218</v>
      </c>
      <c r="AC127" s="17">
        <f>+VLOOKUP(E127,[1]base!M:Q,5,0)</f>
        <v>2247.5454545454545</v>
      </c>
      <c r="AD127" s="18">
        <f>+VLOOKUP(E127,[1]base!M:P,4,0)</f>
        <v>0.19557195571955718</v>
      </c>
      <c r="AE127" s="19">
        <f t="shared" si="13"/>
        <v>22.765313653136531</v>
      </c>
    </row>
    <row r="128" spans="1:31" x14ac:dyDescent="0.25">
      <c r="A128" s="10" t="s">
        <v>182</v>
      </c>
      <c r="B128" s="11">
        <v>46228.359699074077</v>
      </c>
      <c r="C128" s="12" t="s">
        <v>183</v>
      </c>
      <c r="D128" s="12" t="s">
        <v>202</v>
      </c>
      <c r="E128" s="13" t="str">
        <f t="shared" si="7"/>
        <v>EC40100</v>
      </c>
      <c r="F128" s="14" t="str">
        <f t="shared" si="8"/>
        <v>BLC</v>
      </c>
      <c r="G128" s="14">
        <f>+VLOOKUP(F128,[1]base!A:B,2,0)</f>
        <v>1</v>
      </c>
      <c r="H128" s="14">
        <v>50</v>
      </c>
      <c r="I128" s="14">
        <v>50</v>
      </c>
      <c r="J128" s="14"/>
      <c r="K128" s="14" t="s">
        <v>33</v>
      </c>
      <c r="L128" s="14" t="s">
        <v>76</v>
      </c>
      <c r="M128" s="14" t="s">
        <v>77</v>
      </c>
      <c r="N128" s="14"/>
      <c r="O128" s="14"/>
      <c r="P128" s="14"/>
      <c r="Q128" s="14">
        <v>0</v>
      </c>
      <c r="R128" s="14">
        <v>272</v>
      </c>
      <c r="S128" s="14"/>
      <c r="T128" s="15">
        <v>50</v>
      </c>
      <c r="U128" s="16"/>
      <c r="V128" s="17">
        <v>283</v>
      </c>
      <c r="W128" s="17">
        <f t="shared" si="9"/>
        <v>14150</v>
      </c>
      <c r="X128" s="17">
        <f t="shared" si="10"/>
        <v>735.8</v>
      </c>
      <c r="Y128" s="17">
        <v>288</v>
      </c>
      <c r="Z128" s="17">
        <f t="shared" si="11"/>
        <v>1</v>
      </c>
      <c r="AA128" s="17">
        <f t="shared" si="12"/>
        <v>6.6666666666666693E-2</v>
      </c>
      <c r="AB128" s="17">
        <f>+VLOOKUP(E128,[1]base!M:N,2,0)</f>
        <v>218</v>
      </c>
      <c r="AC128" s="17">
        <f>+VLOOKUP(E128,[1]base!M:Q,5,0)</f>
        <v>2247.5454545454545</v>
      </c>
      <c r="AD128" s="18">
        <f>+VLOOKUP(E128,[1]base!M:P,4,0)</f>
        <v>0.19557195571955718</v>
      </c>
      <c r="AE128" s="19">
        <f t="shared" si="13"/>
        <v>22.765313653136531</v>
      </c>
    </row>
    <row r="129" spans="1:31" x14ac:dyDescent="0.25">
      <c r="A129" s="10" t="s">
        <v>211</v>
      </c>
      <c r="B129" s="11">
        <v>46240.45815972222</v>
      </c>
      <c r="C129" s="12" t="s">
        <v>212</v>
      </c>
      <c r="D129" s="12" t="s">
        <v>202</v>
      </c>
      <c r="E129" s="13" t="str">
        <f t="shared" si="7"/>
        <v>EC40100</v>
      </c>
      <c r="F129" s="14" t="str">
        <f t="shared" si="8"/>
        <v>BLC</v>
      </c>
      <c r="G129" s="14">
        <f>+VLOOKUP(F129,[1]base!A:B,2,0)</f>
        <v>1</v>
      </c>
      <c r="H129" s="14">
        <v>1</v>
      </c>
      <c r="I129" s="14">
        <v>1</v>
      </c>
      <c r="J129" s="14"/>
      <c r="K129" s="14" t="s">
        <v>33</v>
      </c>
      <c r="L129" s="14" t="s">
        <v>76</v>
      </c>
      <c r="M129" s="14" t="s">
        <v>77</v>
      </c>
      <c r="N129" s="14"/>
      <c r="O129" s="14"/>
      <c r="P129" s="14"/>
      <c r="Q129" s="14">
        <v>0</v>
      </c>
      <c r="R129" s="14">
        <v>272</v>
      </c>
      <c r="S129" s="14"/>
      <c r="T129" s="15">
        <v>1</v>
      </c>
      <c r="U129" s="16"/>
      <c r="V129" s="17">
        <v>375</v>
      </c>
      <c r="W129" s="17">
        <f t="shared" si="9"/>
        <v>375</v>
      </c>
      <c r="X129" s="17">
        <f t="shared" si="10"/>
        <v>19.5</v>
      </c>
      <c r="Y129" s="17">
        <v>380</v>
      </c>
      <c r="Z129" s="17">
        <f t="shared" si="11"/>
        <v>1</v>
      </c>
      <c r="AA129" s="17">
        <f t="shared" si="12"/>
        <v>6.6666666666666693E-2</v>
      </c>
      <c r="AB129" s="17">
        <f>+VLOOKUP(E129,[1]base!M:N,2,0)</f>
        <v>218</v>
      </c>
      <c r="AC129" s="17">
        <f>+VLOOKUP(E129,[1]base!M:Q,5,0)</f>
        <v>2247.5454545454545</v>
      </c>
      <c r="AD129" s="18">
        <f>+VLOOKUP(E129,[1]base!M:P,4,0)</f>
        <v>0.19557195571955718</v>
      </c>
      <c r="AE129" s="19">
        <f t="shared" si="13"/>
        <v>22.765313653136531</v>
      </c>
    </row>
    <row r="130" spans="1:31" x14ac:dyDescent="0.25">
      <c r="A130" s="10" t="s">
        <v>111</v>
      </c>
      <c r="B130" s="11">
        <v>46240.550856481481</v>
      </c>
      <c r="C130" s="12" t="s">
        <v>112</v>
      </c>
      <c r="D130" s="12" t="s">
        <v>202</v>
      </c>
      <c r="E130" s="13" t="str">
        <f t="shared" ref="E130:E193" si="14">_xlfn.TEXTBEFORE(D130, "-", -1, 1, , D130)</f>
        <v>EC40100</v>
      </c>
      <c r="F130" s="14" t="str">
        <f t="shared" ref="F130:F193" si="15">_xlfn.TEXTAFTER(D130, "-", -1, 1, , "")</f>
        <v>BLC</v>
      </c>
      <c r="G130" s="14">
        <f>+VLOOKUP(F130,[1]base!A:B,2,0)</f>
        <v>1</v>
      </c>
      <c r="H130" s="14">
        <v>30</v>
      </c>
      <c r="I130" s="14">
        <v>30</v>
      </c>
      <c r="J130" s="14"/>
      <c r="K130" s="14" t="s">
        <v>33</v>
      </c>
      <c r="L130" s="14" t="s">
        <v>76</v>
      </c>
      <c r="M130" s="14" t="s">
        <v>77</v>
      </c>
      <c r="N130" s="14"/>
      <c r="O130" s="14"/>
      <c r="P130" s="14"/>
      <c r="Q130" s="14">
        <v>0</v>
      </c>
      <c r="R130" s="14">
        <v>272</v>
      </c>
      <c r="S130" s="14"/>
      <c r="T130" s="15">
        <v>30</v>
      </c>
      <c r="U130" s="16"/>
      <c r="V130" s="17">
        <v>386</v>
      </c>
      <c r="W130" s="17">
        <f t="shared" ref="W130:W193" si="16">(T130+U130)*V130</f>
        <v>11580</v>
      </c>
      <c r="X130" s="17">
        <f t="shared" ref="X130:X193" si="17">+W130*0.052</f>
        <v>602.16</v>
      </c>
      <c r="Y130" s="17">
        <v>391</v>
      </c>
      <c r="Z130" s="17">
        <f t="shared" ref="Z130:Z193" si="18">ROUNDUP(T130/Y130,0)</f>
        <v>1</v>
      </c>
      <c r="AA130" s="17">
        <f t="shared" ref="AA130:AA193" si="19">+Z130*0.0666666666666667</f>
        <v>6.6666666666666693E-2</v>
      </c>
      <c r="AB130" s="17">
        <f>+VLOOKUP(E130,[1]base!M:N,2,0)</f>
        <v>218</v>
      </c>
      <c r="AC130" s="17">
        <f>+VLOOKUP(E130,[1]base!M:Q,5,0)</f>
        <v>2247.5454545454545</v>
      </c>
      <c r="AD130" s="18">
        <f>+VLOOKUP(E130,[1]base!M:P,4,0)</f>
        <v>0.19557195571955718</v>
      </c>
      <c r="AE130" s="19">
        <f t="shared" ref="AE130:AE193" si="20">+AB130*(30%-AD130)</f>
        <v>22.765313653136531</v>
      </c>
    </row>
    <row r="131" spans="1:31" x14ac:dyDescent="0.25">
      <c r="A131" s="10" t="s">
        <v>213</v>
      </c>
      <c r="B131" s="11">
        <v>46247.480740740742</v>
      </c>
      <c r="C131" s="12" t="s">
        <v>210</v>
      </c>
      <c r="D131" s="12" t="s">
        <v>202</v>
      </c>
      <c r="E131" s="13" t="str">
        <f t="shared" si="14"/>
        <v>EC40100</v>
      </c>
      <c r="F131" s="14" t="str">
        <f t="shared" si="15"/>
        <v>BLC</v>
      </c>
      <c r="G131" s="14">
        <f>+VLOOKUP(F131,[1]base!A:B,2,0)</f>
        <v>1</v>
      </c>
      <c r="H131" s="14">
        <v>30</v>
      </c>
      <c r="I131" s="14">
        <v>30</v>
      </c>
      <c r="J131" s="14"/>
      <c r="K131" s="14" t="s">
        <v>33</v>
      </c>
      <c r="L131" s="14" t="s">
        <v>76</v>
      </c>
      <c r="M131" s="14" t="s">
        <v>77</v>
      </c>
      <c r="N131" s="14"/>
      <c r="O131" s="14"/>
      <c r="P131" s="14"/>
      <c r="Q131" s="14">
        <v>0</v>
      </c>
      <c r="R131" s="14">
        <v>272</v>
      </c>
      <c r="S131" s="14"/>
      <c r="T131" s="15">
        <v>30</v>
      </c>
      <c r="U131" s="16"/>
      <c r="V131" s="17">
        <v>465</v>
      </c>
      <c r="W131" s="17">
        <f t="shared" si="16"/>
        <v>13950</v>
      </c>
      <c r="X131" s="17">
        <f t="shared" si="17"/>
        <v>725.4</v>
      </c>
      <c r="Y131" s="17">
        <v>470</v>
      </c>
      <c r="Z131" s="17">
        <f t="shared" si="18"/>
        <v>1</v>
      </c>
      <c r="AA131" s="17">
        <f t="shared" si="19"/>
        <v>6.6666666666666693E-2</v>
      </c>
      <c r="AB131" s="17">
        <f>+VLOOKUP(E131,[1]base!M:N,2,0)</f>
        <v>218</v>
      </c>
      <c r="AC131" s="17">
        <f>+VLOOKUP(E131,[1]base!M:Q,5,0)</f>
        <v>2247.5454545454545</v>
      </c>
      <c r="AD131" s="18">
        <f>+VLOOKUP(E131,[1]base!M:P,4,0)</f>
        <v>0.19557195571955718</v>
      </c>
      <c r="AE131" s="19">
        <f t="shared" si="20"/>
        <v>22.765313653136531</v>
      </c>
    </row>
    <row r="132" spans="1:31" x14ac:dyDescent="0.25">
      <c r="A132" s="10" t="s">
        <v>214</v>
      </c>
      <c r="B132" s="11">
        <v>46248.279374999998</v>
      </c>
      <c r="C132" s="12" t="s">
        <v>130</v>
      </c>
      <c r="D132" s="12" t="s">
        <v>202</v>
      </c>
      <c r="E132" s="13" t="str">
        <f t="shared" si="14"/>
        <v>EC40100</v>
      </c>
      <c r="F132" s="14" t="str">
        <f t="shared" si="15"/>
        <v>BLC</v>
      </c>
      <c r="G132" s="14">
        <f>+VLOOKUP(F132,[1]base!A:B,2,0)</f>
        <v>1</v>
      </c>
      <c r="H132" s="14">
        <v>15</v>
      </c>
      <c r="I132" s="14">
        <v>15</v>
      </c>
      <c r="J132" s="14"/>
      <c r="K132" s="14" t="s">
        <v>33</v>
      </c>
      <c r="L132" s="14" t="s">
        <v>76</v>
      </c>
      <c r="M132" s="14" t="s">
        <v>77</v>
      </c>
      <c r="N132" s="14"/>
      <c r="O132" s="14"/>
      <c r="P132" s="14"/>
      <c r="Q132" s="14">
        <v>0</v>
      </c>
      <c r="R132" s="14">
        <v>272</v>
      </c>
      <c r="S132" s="14"/>
      <c r="T132" s="15">
        <v>15</v>
      </c>
      <c r="U132" s="16"/>
      <c r="V132" s="17">
        <v>475</v>
      </c>
      <c r="W132" s="17">
        <f t="shared" si="16"/>
        <v>7125</v>
      </c>
      <c r="X132" s="17">
        <f t="shared" si="17"/>
        <v>370.5</v>
      </c>
      <c r="Y132" s="17">
        <v>480</v>
      </c>
      <c r="Z132" s="17">
        <f t="shared" si="18"/>
        <v>1</v>
      </c>
      <c r="AA132" s="17">
        <f t="shared" si="19"/>
        <v>6.6666666666666693E-2</v>
      </c>
      <c r="AB132" s="17">
        <f>+VLOOKUP(E132,[1]base!M:N,2,0)</f>
        <v>218</v>
      </c>
      <c r="AC132" s="17">
        <f>+VLOOKUP(E132,[1]base!M:Q,5,0)</f>
        <v>2247.5454545454545</v>
      </c>
      <c r="AD132" s="18">
        <f>+VLOOKUP(E132,[1]base!M:P,4,0)</f>
        <v>0.19557195571955718</v>
      </c>
      <c r="AE132" s="19">
        <f t="shared" si="20"/>
        <v>22.765313653136531</v>
      </c>
    </row>
    <row r="133" spans="1:31" x14ac:dyDescent="0.25">
      <c r="A133" s="10" t="s">
        <v>215</v>
      </c>
      <c r="B133" s="11">
        <v>46249.311516203707</v>
      </c>
      <c r="C133" s="12" t="s">
        <v>86</v>
      </c>
      <c r="D133" s="12" t="s">
        <v>202</v>
      </c>
      <c r="E133" s="13" t="str">
        <f t="shared" si="14"/>
        <v>EC40100</v>
      </c>
      <c r="F133" s="14" t="str">
        <f t="shared" si="15"/>
        <v>BLC</v>
      </c>
      <c r="G133" s="14">
        <f>+VLOOKUP(F133,[1]base!A:B,2,0)</f>
        <v>1</v>
      </c>
      <c r="H133" s="14">
        <v>30</v>
      </c>
      <c r="I133" s="14">
        <v>30</v>
      </c>
      <c r="J133" s="14"/>
      <c r="K133" s="14" t="s">
        <v>33</v>
      </c>
      <c r="L133" s="14" t="s">
        <v>76</v>
      </c>
      <c r="M133" s="14" t="s">
        <v>77</v>
      </c>
      <c r="N133" s="14"/>
      <c r="O133" s="14"/>
      <c r="P133" s="14"/>
      <c r="Q133" s="14">
        <v>0</v>
      </c>
      <c r="R133" s="14">
        <v>272</v>
      </c>
      <c r="S133" s="14"/>
      <c r="T133" s="15">
        <v>30</v>
      </c>
      <c r="U133" s="16"/>
      <c r="V133" s="17">
        <v>497</v>
      </c>
      <c r="W133" s="17">
        <f t="shared" si="16"/>
        <v>14910</v>
      </c>
      <c r="X133" s="17">
        <f t="shared" si="17"/>
        <v>775.31999999999994</v>
      </c>
      <c r="Y133" s="17">
        <v>502</v>
      </c>
      <c r="Z133" s="17">
        <f t="shared" si="18"/>
        <v>1</v>
      </c>
      <c r="AA133" s="17">
        <f t="shared" si="19"/>
        <v>6.6666666666666693E-2</v>
      </c>
      <c r="AB133" s="17">
        <f>+VLOOKUP(E133,[1]base!M:N,2,0)</f>
        <v>218</v>
      </c>
      <c r="AC133" s="17">
        <f>+VLOOKUP(E133,[1]base!M:Q,5,0)</f>
        <v>2247.5454545454545</v>
      </c>
      <c r="AD133" s="18">
        <f>+VLOOKUP(E133,[1]base!M:P,4,0)</f>
        <v>0.19557195571955718</v>
      </c>
      <c r="AE133" s="19">
        <f t="shared" si="20"/>
        <v>22.765313653136531</v>
      </c>
    </row>
    <row r="134" spans="1:31" x14ac:dyDescent="0.25">
      <c r="A134" s="10" t="s">
        <v>137</v>
      </c>
      <c r="B134" s="11">
        <v>46249.348900462966</v>
      </c>
      <c r="C134" s="12" t="s">
        <v>138</v>
      </c>
      <c r="D134" s="12" t="s">
        <v>202</v>
      </c>
      <c r="E134" s="13" t="str">
        <f t="shared" si="14"/>
        <v>EC40100</v>
      </c>
      <c r="F134" s="14" t="str">
        <f t="shared" si="15"/>
        <v>BLC</v>
      </c>
      <c r="G134" s="14">
        <f>+VLOOKUP(F134,[1]base!A:B,2,0)</f>
        <v>1</v>
      </c>
      <c r="H134" s="14">
        <v>40</v>
      </c>
      <c r="I134" s="14">
        <v>20</v>
      </c>
      <c r="J134" s="14"/>
      <c r="K134" s="14" t="s">
        <v>33</v>
      </c>
      <c r="L134" s="14" t="s">
        <v>76</v>
      </c>
      <c r="M134" s="14" t="s">
        <v>77</v>
      </c>
      <c r="N134" s="14"/>
      <c r="O134" s="14"/>
      <c r="P134" s="14"/>
      <c r="Q134" s="14">
        <v>0</v>
      </c>
      <c r="R134" s="14">
        <v>272</v>
      </c>
      <c r="S134" s="14"/>
      <c r="T134" s="15">
        <v>20</v>
      </c>
      <c r="U134" s="16"/>
      <c r="V134" s="17">
        <v>499</v>
      </c>
      <c r="W134" s="17">
        <f t="shared" si="16"/>
        <v>9980</v>
      </c>
      <c r="X134" s="17">
        <f t="shared" si="17"/>
        <v>518.95999999999992</v>
      </c>
      <c r="Y134" s="17">
        <v>504</v>
      </c>
      <c r="Z134" s="17">
        <f t="shared" si="18"/>
        <v>1</v>
      </c>
      <c r="AA134" s="17">
        <f t="shared" si="19"/>
        <v>6.6666666666666693E-2</v>
      </c>
      <c r="AB134" s="17">
        <f>+VLOOKUP(E134,[1]base!M:N,2,0)</f>
        <v>218</v>
      </c>
      <c r="AC134" s="17">
        <f>+VLOOKUP(E134,[1]base!M:Q,5,0)</f>
        <v>2247.5454545454545</v>
      </c>
      <c r="AD134" s="18">
        <f>+VLOOKUP(E134,[1]base!M:P,4,0)</f>
        <v>0.19557195571955718</v>
      </c>
      <c r="AE134" s="19">
        <f t="shared" si="20"/>
        <v>22.765313653136531</v>
      </c>
    </row>
    <row r="135" spans="1:31" x14ac:dyDescent="0.25">
      <c r="A135" s="10" t="s">
        <v>162</v>
      </c>
      <c r="B135" s="11">
        <v>46266.406585648147</v>
      </c>
      <c r="C135" s="12" t="s">
        <v>102</v>
      </c>
      <c r="D135" s="12" t="s">
        <v>202</v>
      </c>
      <c r="E135" s="13" t="str">
        <f t="shared" si="14"/>
        <v>EC40100</v>
      </c>
      <c r="F135" s="14" t="str">
        <f t="shared" si="15"/>
        <v>BLC</v>
      </c>
      <c r="G135" s="14">
        <f>+VLOOKUP(F135,[1]base!A:B,2,0)</f>
        <v>1</v>
      </c>
      <c r="H135" s="14">
        <v>100</v>
      </c>
      <c r="I135" s="14">
        <v>100</v>
      </c>
      <c r="J135" s="14"/>
      <c r="K135" s="14" t="s">
        <v>33</v>
      </c>
      <c r="L135" s="14" t="s">
        <v>76</v>
      </c>
      <c r="M135" s="14" t="s">
        <v>77</v>
      </c>
      <c r="N135" s="14"/>
      <c r="O135" s="14"/>
      <c r="P135" s="14"/>
      <c r="Q135" s="14">
        <v>0</v>
      </c>
      <c r="R135" s="14">
        <v>272</v>
      </c>
      <c r="S135" s="14">
        <v>50</v>
      </c>
      <c r="T135" s="15">
        <v>100</v>
      </c>
      <c r="U135" s="16"/>
      <c r="V135" s="17">
        <v>880</v>
      </c>
      <c r="W135" s="17">
        <f t="shared" si="16"/>
        <v>88000</v>
      </c>
      <c r="X135" s="17">
        <f t="shared" si="17"/>
        <v>4576</v>
      </c>
      <c r="Y135" s="17">
        <v>885</v>
      </c>
      <c r="Z135" s="17">
        <f t="shared" si="18"/>
        <v>1</v>
      </c>
      <c r="AA135" s="17">
        <f t="shared" si="19"/>
        <v>6.6666666666666693E-2</v>
      </c>
      <c r="AB135" s="17">
        <f>+VLOOKUP(E135,[1]base!M:N,2,0)</f>
        <v>218</v>
      </c>
      <c r="AC135" s="17">
        <f>+VLOOKUP(E135,[1]base!M:Q,5,0)</f>
        <v>2247.5454545454545</v>
      </c>
      <c r="AD135" s="18">
        <f>+VLOOKUP(E135,[1]base!M:P,4,0)</f>
        <v>0.19557195571955718</v>
      </c>
      <c r="AE135" s="19">
        <f t="shared" si="20"/>
        <v>22.765313653136531</v>
      </c>
    </row>
    <row r="136" spans="1:31" x14ac:dyDescent="0.25">
      <c r="A136" s="10" t="s">
        <v>216</v>
      </c>
      <c r="B136" s="11">
        <v>46266.555497685185</v>
      </c>
      <c r="C136" s="12" t="s">
        <v>39</v>
      </c>
      <c r="D136" s="12" t="s">
        <v>202</v>
      </c>
      <c r="E136" s="13" t="str">
        <f t="shared" si="14"/>
        <v>EC40100</v>
      </c>
      <c r="F136" s="14" t="str">
        <f t="shared" si="15"/>
        <v>BLC</v>
      </c>
      <c r="G136" s="14">
        <f>+VLOOKUP(F136,[1]base!A:B,2,0)</f>
        <v>1</v>
      </c>
      <c r="H136" s="14">
        <v>12</v>
      </c>
      <c r="I136" s="14">
        <v>12</v>
      </c>
      <c r="J136" s="14"/>
      <c r="K136" s="14" t="s">
        <v>33</v>
      </c>
      <c r="L136" s="14" t="s">
        <v>76</v>
      </c>
      <c r="M136" s="14" t="s">
        <v>77</v>
      </c>
      <c r="N136" s="14"/>
      <c r="O136" s="14"/>
      <c r="P136" s="14"/>
      <c r="Q136" s="14">
        <v>0</v>
      </c>
      <c r="R136" s="14">
        <v>272</v>
      </c>
      <c r="S136" s="14">
        <v>9</v>
      </c>
      <c r="T136" s="15">
        <v>12</v>
      </c>
      <c r="U136" s="16"/>
      <c r="V136" s="17">
        <v>946</v>
      </c>
      <c r="W136" s="17">
        <f t="shared" si="16"/>
        <v>11352</v>
      </c>
      <c r="X136" s="17">
        <f t="shared" si="17"/>
        <v>590.30399999999997</v>
      </c>
      <c r="Y136" s="17">
        <v>951</v>
      </c>
      <c r="Z136" s="17">
        <f t="shared" si="18"/>
        <v>1</v>
      </c>
      <c r="AA136" s="17">
        <f t="shared" si="19"/>
        <v>6.6666666666666693E-2</v>
      </c>
      <c r="AB136" s="17">
        <f>+VLOOKUP(E136,[1]base!M:N,2,0)</f>
        <v>218</v>
      </c>
      <c r="AC136" s="17">
        <f>+VLOOKUP(E136,[1]base!M:Q,5,0)</f>
        <v>2247.5454545454545</v>
      </c>
      <c r="AD136" s="18">
        <f>+VLOOKUP(E136,[1]base!M:P,4,0)</f>
        <v>0.19557195571955718</v>
      </c>
      <c r="AE136" s="19">
        <f t="shared" si="20"/>
        <v>22.765313653136531</v>
      </c>
    </row>
    <row r="137" spans="1:31" x14ac:dyDescent="0.25">
      <c r="A137" s="10" t="s">
        <v>91</v>
      </c>
      <c r="B137" s="11">
        <v>46267.551539351851</v>
      </c>
      <c r="C137" s="12" t="s">
        <v>39</v>
      </c>
      <c r="D137" s="12" t="s">
        <v>202</v>
      </c>
      <c r="E137" s="13" t="str">
        <f t="shared" si="14"/>
        <v>EC40100</v>
      </c>
      <c r="F137" s="14" t="str">
        <f t="shared" si="15"/>
        <v>BLC</v>
      </c>
      <c r="G137" s="14">
        <f>+VLOOKUP(F137,[1]base!A:B,2,0)</f>
        <v>1</v>
      </c>
      <c r="H137" s="14">
        <v>400</v>
      </c>
      <c r="I137" s="14">
        <v>400</v>
      </c>
      <c r="J137" s="14"/>
      <c r="K137" s="14" t="s">
        <v>33</v>
      </c>
      <c r="L137" s="14" t="s">
        <v>76</v>
      </c>
      <c r="M137" s="14" t="s">
        <v>77</v>
      </c>
      <c r="N137" s="14"/>
      <c r="O137" s="14"/>
      <c r="P137" s="14"/>
      <c r="Q137" s="14">
        <v>0</v>
      </c>
      <c r="R137" s="14">
        <v>272</v>
      </c>
      <c r="S137" s="14"/>
      <c r="T137" s="15">
        <v>400</v>
      </c>
      <c r="U137" s="16"/>
      <c r="V137" s="17">
        <v>1037</v>
      </c>
      <c r="W137" s="17">
        <f t="shared" si="16"/>
        <v>414800</v>
      </c>
      <c r="X137" s="17">
        <f t="shared" si="17"/>
        <v>21569.599999999999</v>
      </c>
      <c r="Y137" s="17">
        <v>1042</v>
      </c>
      <c r="Z137" s="17">
        <f t="shared" si="18"/>
        <v>1</v>
      </c>
      <c r="AA137" s="17">
        <f t="shared" si="19"/>
        <v>6.6666666666666693E-2</v>
      </c>
      <c r="AB137" s="17">
        <f>+VLOOKUP(E137,[1]base!M:N,2,0)</f>
        <v>218</v>
      </c>
      <c r="AC137" s="17">
        <f>+VLOOKUP(E137,[1]base!M:Q,5,0)</f>
        <v>2247.5454545454545</v>
      </c>
      <c r="AD137" s="18">
        <f>+VLOOKUP(E137,[1]base!M:P,4,0)</f>
        <v>0.19557195571955718</v>
      </c>
      <c r="AE137" s="19">
        <f t="shared" si="20"/>
        <v>22.765313653136531</v>
      </c>
    </row>
    <row r="138" spans="1:31" x14ac:dyDescent="0.25">
      <c r="A138" s="10" t="s">
        <v>195</v>
      </c>
      <c r="B138" s="11">
        <v>46247.620497685188</v>
      </c>
      <c r="C138" s="12" t="s">
        <v>183</v>
      </c>
      <c r="D138" s="12" t="s">
        <v>202</v>
      </c>
      <c r="E138" s="13" t="str">
        <f t="shared" si="14"/>
        <v>EC40100</v>
      </c>
      <c r="F138" s="14" t="str">
        <f t="shared" si="15"/>
        <v>BLC</v>
      </c>
      <c r="G138" s="14">
        <f>+VLOOKUP(F138,[1]base!A:B,2,0)</f>
        <v>1</v>
      </c>
      <c r="H138" s="14">
        <v>40</v>
      </c>
      <c r="I138" s="14">
        <v>40</v>
      </c>
      <c r="J138" s="14"/>
      <c r="K138" s="14" t="s">
        <v>33</v>
      </c>
      <c r="L138" s="14" t="s">
        <v>217</v>
      </c>
      <c r="M138" s="14" t="s">
        <v>35</v>
      </c>
      <c r="N138" s="14">
        <v>40</v>
      </c>
      <c r="O138" s="14">
        <v>40</v>
      </c>
      <c r="P138" s="14">
        <v>0</v>
      </c>
      <c r="Q138" s="14">
        <v>0</v>
      </c>
      <c r="R138" s="14">
        <v>272</v>
      </c>
      <c r="S138" s="14"/>
      <c r="T138" s="15">
        <v>40</v>
      </c>
      <c r="U138" s="16"/>
      <c r="V138" s="17">
        <v>471</v>
      </c>
      <c r="W138" s="17">
        <f t="shared" si="16"/>
        <v>18840</v>
      </c>
      <c r="X138" s="17">
        <f t="shared" si="17"/>
        <v>979.68</v>
      </c>
      <c r="Y138" s="17">
        <v>476</v>
      </c>
      <c r="Z138" s="17">
        <f t="shared" si="18"/>
        <v>1</v>
      </c>
      <c r="AA138" s="17">
        <f t="shared" si="19"/>
        <v>6.6666666666666693E-2</v>
      </c>
      <c r="AB138" s="17">
        <f>+VLOOKUP(E138,[1]base!M:N,2,0)</f>
        <v>218</v>
      </c>
      <c r="AC138" s="17">
        <f>+VLOOKUP(E138,[1]base!M:Q,5,0)</f>
        <v>2247.5454545454545</v>
      </c>
      <c r="AD138" s="18">
        <f>+VLOOKUP(E138,[1]base!M:P,4,0)</f>
        <v>0.19557195571955718</v>
      </c>
      <c r="AE138" s="19">
        <f t="shared" si="20"/>
        <v>22.765313653136531</v>
      </c>
    </row>
    <row r="139" spans="1:31" x14ac:dyDescent="0.25">
      <c r="A139" s="10" t="s">
        <v>100</v>
      </c>
      <c r="B139" s="11">
        <v>46249.302256944444</v>
      </c>
      <c r="C139" s="12" t="s">
        <v>86</v>
      </c>
      <c r="D139" s="12" t="s">
        <v>202</v>
      </c>
      <c r="E139" s="13" t="str">
        <f t="shared" si="14"/>
        <v>EC40100</v>
      </c>
      <c r="F139" s="14" t="str">
        <f t="shared" si="15"/>
        <v>BLC</v>
      </c>
      <c r="G139" s="14">
        <f>+VLOOKUP(F139,[1]base!A:B,2,0)</f>
        <v>1</v>
      </c>
      <c r="H139" s="14">
        <v>30</v>
      </c>
      <c r="I139" s="14">
        <v>30</v>
      </c>
      <c r="J139" s="14"/>
      <c r="K139" s="14" t="s">
        <v>33</v>
      </c>
      <c r="L139" s="14" t="s">
        <v>218</v>
      </c>
      <c r="M139" s="14" t="s">
        <v>35</v>
      </c>
      <c r="N139" s="14">
        <v>30</v>
      </c>
      <c r="O139" s="14">
        <v>30</v>
      </c>
      <c r="P139" s="14">
        <v>0</v>
      </c>
      <c r="Q139" s="14">
        <v>0</v>
      </c>
      <c r="R139" s="14">
        <v>272</v>
      </c>
      <c r="S139" s="14"/>
      <c r="T139" s="15">
        <v>30</v>
      </c>
      <c r="U139" s="16"/>
      <c r="V139" s="17">
        <v>488</v>
      </c>
      <c r="W139" s="17">
        <f t="shared" si="16"/>
        <v>14640</v>
      </c>
      <c r="X139" s="17">
        <f t="shared" si="17"/>
        <v>761.28</v>
      </c>
      <c r="Y139" s="17">
        <v>493</v>
      </c>
      <c r="Z139" s="17">
        <f t="shared" si="18"/>
        <v>1</v>
      </c>
      <c r="AA139" s="17">
        <f t="shared" si="19"/>
        <v>6.6666666666666693E-2</v>
      </c>
      <c r="AB139" s="17">
        <f>+VLOOKUP(E139,[1]base!M:N,2,0)</f>
        <v>218</v>
      </c>
      <c r="AC139" s="17">
        <f>+VLOOKUP(E139,[1]base!M:Q,5,0)</f>
        <v>2247.5454545454545</v>
      </c>
      <c r="AD139" s="18">
        <f>+VLOOKUP(E139,[1]base!M:P,4,0)</f>
        <v>0.19557195571955718</v>
      </c>
      <c r="AE139" s="19">
        <f t="shared" si="20"/>
        <v>22.765313653136531</v>
      </c>
    </row>
    <row r="140" spans="1:31" x14ac:dyDescent="0.25">
      <c r="A140" s="10" t="s">
        <v>114</v>
      </c>
      <c r="B140" s="11">
        <v>46248.412974537037</v>
      </c>
      <c r="C140" s="12" t="s">
        <v>115</v>
      </c>
      <c r="D140" s="12" t="s">
        <v>202</v>
      </c>
      <c r="E140" s="13" t="str">
        <f t="shared" si="14"/>
        <v>EC40100</v>
      </c>
      <c r="F140" s="14" t="str">
        <f t="shared" si="15"/>
        <v>BLC</v>
      </c>
      <c r="G140" s="14">
        <f>+VLOOKUP(F140,[1]base!A:B,2,0)</f>
        <v>1</v>
      </c>
      <c r="H140" s="14">
        <v>10</v>
      </c>
      <c r="I140" s="14">
        <v>10</v>
      </c>
      <c r="J140" s="14"/>
      <c r="K140" s="14" t="s">
        <v>33</v>
      </c>
      <c r="L140" s="14" t="s">
        <v>219</v>
      </c>
      <c r="M140" s="14" t="s">
        <v>35</v>
      </c>
      <c r="N140" s="14">
        <v>10</v>
      </c>
      <c r="O140" s="14">
        <v>10</v>
      </c>
      <c r="P140" s="14">
        <v>0</v>
      </c>
      <c r="Q140" s="14">
        <v>0</v>
      </c>
      <c r="R140" s="14">
        <v>272</v>
      </c>
      <c r="S140" s="14"/>
      <c r="T140" s="15">
        <v>10</v>
      </c>
      <c r="U140" s="16"/>
      <c r="V140" s="17">
        <v>486</v>
      </c>
      <c r="W140" s="17">
        <f t="shared" si="16"/>
        <v>4860</v>
      </c>
      <c r="X140" s="17">
        <f t="shared" si="17"/>
        <v>252.72</v>
      </c>
      <c r="Y140" s="17">
        <v>491</v>
      </c>
      <c r="Z140" s="17">
        <f t="shared" si="18"/>
        <v>1</v>
      </c>
      <c r="AA140" s="17">
        <f t="shared" si="19"/>
        <v>6.6666666666666693E-2</v>
      </c>
      <c r="AB140" s="17">
        <f>+VLOOKUP(E140,[1]base!M:N,2,0)</f>
        <v>218</v>
      </c>
      <c r="AC140" s="17">
        <f>+VLOOKUP(E140,[1]base!M:Q,5,0)</f>
        <v>2247.5454545454545</v>
      </c>
      <c r="AD140" s="18">
        <f>+VLOOKUP(E140,[1]base!M:P,4,0)</f>
        <v>0.19557195571955718</v>
      </c>
      <c r="AE140" s="19">
        <f t="shared" si="20"/>
        <v>22.765313653136531</v>
      </c>
    </row>
    <row r="141" spans="1:31" x14ac:dyDescent="0.25">
      <c r="A141" s="20" t="s">
        <v>220</v>
      </c>
      <c r="B141" s="11">
        <v>46184.580937500003</v>
      </c>
      <c r="C141" s="12" t="s">
        <v>130</v>
      </c>
      <c r="D141" s="12" t="s">
        <v>202</v>
      </c>
      <c r="E141" s="13" t="str">
        <f t="shared" si="14"/>
        <v>EC40100</v>
      </c>
      <c r="F141" s="14" t="str">
        <f t="shared" si="15"/>
        <v>BLC</v>
      </c>
      <c r="G141" s="14">
        <f>+VLOOKUP(F141,[1]base!A:B,2,0)</f>
        <v>1</v>
      </c>
      <c r="H141" s="14">
        <v>30</v>
      </c>
      <c r="I141" s="14">
        <v>30</v>
      </c>
      <c r="J141" s="14"/>
      <c r="K141" s="14" t="s">
        <v>33</v>
      </c>
      <c r="L141" s="14" t="s">
        <v>221</v>
      </c>
      <c r="M141" s="14" t="s">
        <v>35</v>
      </c>
      <c r="N141" s="14">
        <v>30</v>
      </c>
      <c r="O141" s="14">
        <v>30</v>
      </c>
      <c r="P141" s="14">
        <v>0</v>
      </c>
      <c r="Q141" s="14">
        <v>0</v>
      </c>
      <c r="R141" s="14">
        <v>272</v>
      </c>
      <c r="S141" s="14"/>
      <c r="T141" s="15">
        <v>30</v>
      </c>
      <c r="U141" s="16"/>
      <c r="V141" s="17">
        <v>5</v>
      </c>
      <c r="W141" s="17">
        <f t="shared" si="16"/>
        <v>150</v>
      </c>
      <c r="X141" s="17">
        <f t="shared" si="17"/>
        <v>7.8</v>
      </c>
      <c r="Y141" s="17">
        <v>10</v>
      </c>
      <c r="Z141" s="17">
        <f t="shared" si="18"/>
        <v>3</v>
      </c>
      <c r="AA141" s="17">
        <f t="shared" si="19"/>
        <v>0.20000000000000007</v>
      </c>
      <c r="AB141" s="17">
        <f>+VLOOKUP(E141,[1]base!M:N,2,0)</f>
        <v>218</v>
      </c>
      <c r="AC141" s="17">
        <f>+VLOOKUP(E141,[1]base!M:Q,5,0)</f>
        <v>2247.5454545454545</v>
      </c>
      <c r="AD141" s="18">
        <f>+VLOOKUP(E141,[1]base!M:P,4,0)</f>
        <v>0.19557195571955718</v>
      </c>
      <c r="AE141" s="19">
        <f t="shared" si="20"/>
        <v>22.765313653136531</v>
      </c>
    </row>
    <row r="142" spans="1:31" x14ac:dyDescent="0.25">
      <c r="A142" s="10" t="s">
        <v>165</v>
      </c>
      <c r="B142" s="11">
        <v>46255.317893518521</v>
      </c>
      <c r="C142" s="12" t="s">
        <v>83</v>
      </c>
      <c r="D142" s="12" t="s">
        <v>222</v>
      </c>
      <c r="E142" s="13" t="str">
        <f t="shared" si="14"/>
        <v>LMDPF-100</v>
      </c>
      <c r="F142" s="14" t="str">
        <f t="shared" si="15"/>
        <v>BLC</v>
      </c>
      <c r="G142" s="14">
        <f>+VLOOKUP(F142,[1]base!A:B,2,0)</f>
        <v>1</v>
      </c>
      <c r="H142" s="14">
        <v>1</v>
      </c>
      <c r="I142" s="14">
        <v>1</v>
      </c>
      <c r="J142" s="14"/>
      <c r="K142" s="14" t="s">
        <v>33</v>
      </c>
      <c r="L142" s="14" t="s">
        <v>223</v>
      </c>
      <c r="M142" s="14" t="s">
        <v>35</v>
      </c>
      <c r="N142" s="14">
        <v>1</v>
      </c>
      <c r="O142" s="14">
        <v>1</v>
      </c>
      <c r="P142" s="14">
        <v>0</v>
      </c>
      <c r="Q142" s="14">
        <v>0</v>
      </c>
      <c r="R142" s="14">
        <v>0</v>
      </c>
      <c r="S142" s="14"/>
      <c r="T142" s="15">
        <v>1</v>
      </c>
      <c r="U142" s="16"/>
      <c r="V142" s="17">
        <v>554</v>
      </c>
      <c r="W142" s="17">
        <f t="shared" si="16"/>
        <v>554</v>
      </c>
      <c r="X142" s="17">
        <f t="shared" si="17"/>
        <v>28.808</v>
      </c>
      <c r="Y142" s="17">
        <v>559</v>
      </c>
      <c r="Z142" s="17">
        <f t="shared" si="18"/>
        <v>1</v>
      </c>
      <c r="AA142" s="17">
        <f t="shared" si="19"/>
        <v>6.6666666666666693E-2</v>
      </c>
      <c r="AB142" s="17">
        <f>+VLOOKUP(E142,[1]base!M:N,2,0)</f>
        <v>234</v>
      </c>
      <c r="AC142" s="17">
        <f>+VLOOKUP(E142,[1]base!M:Q,5,0)</f>
        <v>0</v>
      </c>
      <c r="AD142" s="18">
        <f>+VLOOKUP(E142,[1]base!M:P,4,0)</f>
        <v>0</v>
      </c>
      <c r="AE142" s="19">
        <f t="shared" si="20"/>
        <v>70.2</v>
      </c>
    </row>
    <row r="143" spans="1:31" x14ac:dyDescent="0.25">
      <c r="A143" s="10" t="s">
        <v>173</v>
      </c>
      <c r="B143" s="11">
        <v>46254.370798611111</v>
      </c>
      <c r="C143" s="12" t="s">
        <v>39</v>
      </c>
      <c r="D143" s="12" t="s">
        <v>224</v>
      </c>
      <c r="E143" s="13" t="str">
        <f t="shared" si="14"/>
        <v>FSQ403</v>
      </c>
      <c r="F143" s="14" t="str">
        <f t="shared" si="15"/>
        <v>BLC</v>
      </c>
      <c r="G143" s="14">
        <f>+VLOOKUP(F143,[1]base!A:B,2,0)</f>
        <v>1</v>
      </c>
      <c r="H143" s="14">
        <v>2</v>
      </c>
      <c r="I143" s="14">
        <v>2</v>
      </c>
      <c r="J143" s="14"/>
      <c r="K143" s="14" t="s">
        <v>33</v>
      </c>
      <c r="L143" s="14" t="s">
        <v>225</v>
      </c>
      <c r="M143" s="14" t="s">
        <v>35</v>
      </c>
      <c r="N143" s="14">
        <v>2</v>
      </c>
      <c r="O143" s="14">
        <v>2</v>
      </c>
      <c r="P143" s="14">
        <v>0</v>
      </c>
      <c r="Q143" s="14">
        <v>0</v>
      </c>
      <c r="R143" s="14">
        <v>0</v>
      </c>
      <c r="S143" s="14"/>
      <c r="T143" s="15">
        <v>2</v>
      </c>
      <c r="U143" s="16"/>
      <c r="V143" s="17">
        <v>542</v>
      </c>
      <c r="W143" s="17">
        <f t="shared" si="16"/>
        <v>1084</v>
      </c>
      <c r="X143" s="17">
        <f t="shared" si="17"/>
        <v>56.367999999999995</v>
      </c>
      <c r="Y143" s="17">
        <v>547</v>
      </c>
      <c r="Z143" s="17">
        <f t="shared" si="18"/>
        <v>1</v>
      </c>
      <c r="AA143" s="17">
        <f t="shared" si="19"/>
        <v>6.6666666666666693E-2</v>
      </c>
      <c r="AB143" s="17">
        <f>+VLOOKUP(E143,[1]base!M:N,2,0)</f>
        <v>326</v>
      </c>
      <c r="AC143" s="17">
        <f>+VLOOKUP(E143,[1]base!M:Q,5,0)</f>
        <v>95.666666666666671</v>
      </c>
      <c r="AD143" s="18">
        <f>+VLOOKUP(E143,[1]base!M:P,4,0)</f>
        <v>3.0581039755351682E-3</v>
      </c>
      <c r="AE143" s="19">
        <f t="shared" si="20"/>
        <v>96.80305810397553</v>
      </c>
    </row>
    <row r="144" spans="1:31" x14ac:dyDescent="0.25">
      <c r="A144" s="10" t="s">
        <v>117</v>
      </c>
      <c r="B144" s="11">
        <v>46261.508750000001</v>
      </c>
      <c r="C144" s="12" t="s">
        <v>86</v>
      </c>
      <c r="D144" s="12" t="s">
        <v>224</v>
      </c>
      <c r="E144" s="13" t="str">
        <f t="shared" si="14"/>
        <v>FSQ403</v>
      </c>
      <c r="F144" s="14" t="str">
        <f t="shared" si="15"/>
        <v>BLC</v>
      </c>
      <c r="G144" s="14">
        <f>+VLOOKUP(F144,[1]base!A:B,2,0)</f>
        <v>1</v>
      </c>
      <c r="H144" s="14">
        <v>4</v>
      </c>
      <c r="I144" s="14">
        <v>4</v>
      </c>
      <c r="J144" s="14"/>
      <c r="K144" s="14" t="s">
        <v>33</v>
      </c>
      <c r="L144" s="14" t="s">
        <v>226</v>
      </c>
      <c r="M144" s="14" t="s">
        <v>35</v>
      </c>
      <c r="N144" s="14">
        <v>4</v>
      </c>
      <c r="O144" s="14">
        <v>4</v>
      </c>
      <c r="P144" s="14">
        <v>0</v>
      </c>
      <c r="Q144" s="14">
        <v>0</v>
      </c>
      <c r="R144" s="14">
        <v>0</v>
      </c>
      <c r="S144" s="14"/>
      <c r="T144" s="15">
        <v>4</v>
      </c>
      <c r="U144" s="16"/>
      <c r="V144" s="17">
        <v>699</v>
      </c>
      <c r="W144" s="17">
        <f t="shared" si="16"/>
        <v>2796</v>
      </c>
      <c r="X144" s="17">
        <f t="shared" si="17"/>
        <v>145.392</v>
      </c>
      <c r="Y144" s="17">
        <v>704</v>
      </c>
      <c r="Z144" s="17">
        <f t="shared" si="18"/>
        <v>1</v>
      </c>
      <c r="AA144" s="17">
        <f t="shared" si="19"/>
        <v>6.6666666666666693E-2</v>
      </c>
      <c r="AB144" s="17">
        <f>+VLOOKUP(E144,[1]base!M:N,2,0)</f>
        <v>326</v>
      </c>
      <c r="AC144" s="17">
        <f>+VLOOKUP(E144,[1]base!M:Q,5,0)</f>
        <v>95.666666666666671</v>
      </c>
      <c r="AD144" s="18">
        <f>+VLOOKUP(E144,[1]base!M:P,4,0)</f>
        <v>3.0581039755351682E-3</v>
      </c>
      <c r="AE144" s="19">
        <f t="shared" si="20"/>
        <v>96.80305810397553</v>
      </c>
    </row>
    <row r="145" spans="1:31" x14ac:dyDescent="0.25">
      <c r="A145" s="10" t="s">
        <v>113</v>
      </c>
      <c r="B145" s="11">
        <v>46246.568078703705</v>
      </c>
      <c r="C145" s="12" t="s">
        <v>39</v>
      </c>
      <c r="D145" s="12" t="s">
        <v>227</v>
      </c>
      <c r="E145" s="13" t="str">
        <f t="shared" si="14"/>
        <v>EC40154</v>
      </c>
      <c r="F145" s="14" t="str">
        <f t="shared" si="15"/>
        <v>BLC</v>
      </c>
      <c r="G145" s="14">
        <f>+VLOOKUP(F145,[1]base!A:B,2,0)</f>
        <v>1</v>
      </c>
      <c r="H145" s="14">
        <v>100</v>
      </c>
      <c r="I145" s="14">
        <v>70</v>
      </c>
      <c r="J145" s="14"/>
      <c r="K145" s="14" t="s">
        <v>33</v>
      </c>
      <c r="L145" s="14" t="s">
        <v>76</v>
      </c>
      <c r="M145" s="14" t="s">
        <v>77</v>
      </c>
      <c r="N145" s="14"/>
      <c r="O145" s="14"/>
      <c r="P145" s="14"/>
      <c r="Q145" s="14">
        <v>0</v>
      </c>
      <c r="R145" s="14">
        <v>0</v>
      </c>
      <c r="S145" s="14"/>
      <c r="T145" s="15">
        <v>70</v>
      </c>
      <c r="U145" s="16"/>
      <c r="V145" s="17">
        <v>455</v>
      </c>
      <c r="W145" s="17">
        <f t="shared" si="16"/>
        <v>31850</v>
      </c>
      <c r="X145" s="17">
        <f t="shared" si="17"/>
        <v>1656.1999999999998</v>
      </c>
      <c r="Y145" s="17">
        <v>460</v>
      </c>
      <c r="Z145" s="17">
        <f t="shared" si="18"/>
        <v>1</v>
      </c>
      <c r="AA145" s="17">
        <f t="shared" si="19"/>
        <v>6.6666666666666693E-2</v>
      </c>
      <c r="AB145" s="17">
        <f>+VLOOKUP(E145,[1]base!M:N,2,0)</f>
        <v>392</v>
      </c>
      <c r="AC145" s="17">
        <f>+VLOOKUP(E145,[1]base!M:Q,5,0)</f>
        <v>102.83333333333333</v>
      </c>
      <c r="AD145" s="18">
        <f>+VLOOKUP(E145,[1]base!M:P,4,0)</f>
        <v>1.2594458438287154E-2</v>
      </c>
      <c r="AE145" s="19">
        <f t="shared" si="20"/>
        <v>112.66297229219143</v>
      </c>
    </row>
    <row r="146" spans="1:31" x14ac:dyDescent="0.25">
      <c r="A146" s="10" t="s">
        <v>125</v>
      </c>
      <c r="B146" s="11">
        <v>46253.521597222221</v>
      </c>
      <c r="C146" s="12" t="s">
        <v>126</v>
      </c>
      <c r="D146" s="12" t="s">
        <v>227</v>
      </c>
      <c r="E146" s="13" t="str">
        <f t="shared" si="14"/>
        <v>EC40154</v>
      </c>
      <c r="F146" s="14" t="str">
        <f t="shared" si="15"/>
        <v>BLC</v>
      </c>
      <c r="G146" s="14">
        <f>+VLOOKUP(F146,[1]base!A:B,2,0)</f>
        <v>1</v>
      </c>
      <c r="H146" s="14">
        <v>6</v>
      </c>
      <c r="I146" s="14">
        <v>6</v>
      </c>
      <c r="J146" s="14"/>
      <c r="K146" s="14" t="s">
        <v>33</v>
      </c>
      <c r="L146" s="14" t="s">
        <v>76</v>
      </c>
      <c r="M146" s="14" t="s">
        <v>77</v>
      </c>
      <c r="N146" s="14"/>
      <c r="O146" s="14"/>
      <c r="P146" s="14"/>
      <c r="Q146" s="14">
        <v>0</v>
      </c>
      <c r="R146" s="14">
        <v>0</v>
      </c>
      <c r="S146" s="14">
        <v>4</v>
      </c>
      <c r="T146" s="15">
        <v>6</v>
      </c>
      <c r="U146" s="16"/>
      <c r="V146" s="17">
        <v>528</v>
      </c>
      <c r="W146" s="17">
        <f t="shared" si="16"/>
        <v>3168</v>
      </c>
      <c r="X146" s="17">
        <f t="shared" si="17"/>
        <v>164.73599999999999</v>
      </c>
      <c r="Y146" s="17">
        <v>533</v>
      </c>
      <c r="Z146" s="17">
        <f t="shared" si="18"/>
        <v>1</v>
      </c>
      <c r="AA146" s="17">
        <f t="shared" si="19"/>
        <v>6.6666666666666693E-2</v>
      </c>
      <c r="AB146" s="17">
        <f>+VLOOKUP(E146,[1]base!M:N,2,0)</f>
        <v>392</v>
      </c>
      <c r="AC146" s="17">
        <f>+VLOOKUP(E146,[1]base!M:Q,5,0)</f>
        <v>102.83333333333333</v>
      </c>
      <c r="AD146" s="18">
        <f>+VLOOKUP(E146,[1]base!M:P,4,0)</f>
        <v>1.2594458438287154E-2</v>
      </c>
      <c r="AE146" s="19">
        <f t="shared" si="20"/>
        <v>112.66297229219143</v>
      </c>
    </row>
    <row r="147" spans="1:31" x14ac:dyDescent="0.25">
      <c r="A147" s="10" t="s">
        <v>198</v>
      </c>
      <c r="B147" s="11">
        <v>46267.323807870373</v>
      </c>
      <c r="C147" s="12" t="s">
        <v>199</v>
      </c>
      <c r="D147" s="12" t="s">
        <v>227</v>
      </c>
      <c r="E147" s="13" t="str">
        <f t="shared" si="14"/>
        <v>EC40154</v>
      </c>
      <c r="F147" s="14" t="str">
        <f t="shared" si="15"/>
        <v>BLC</v>
      </c>
      <c r="G147" s="14">
        <f>+VLOOKUP(F147,[1]base!A:B,2,0)</f>
        <v>1</v>
      </c>
      <c r="H147" s="14">
        <v>20</v>
      </c>
      <c r="I147" s="14">
        <v>20</v>
      </c>
      <c r="J147" s="14"/>
      <c r="K147" s="14" t="s">
        <v>33</v>
      </c>
      <c r="L147" s="14" t="s">
        <v>228</v>
      </c>
      <c r="M147" s="14" t="s">
        <v>35</v>
      </c>
      <c r="N147" s="14">
        <v>20</v>
      </c>
      <c r="O147" s="14">
        <v>20</v>
      </c>
      <c r="P147" s="14">
        <v>0</v>
      </c>
      <c r="Q147" s="14">
        <v>0</v>
      </c>
      <c r="R147" s="14">
        <v>0</v>
      </c>
      <c r="S147" s="14"/>
      <c r="T147" s="15">
        <v>20</v>
      </c>
      <c r="U147" s="16"/>
      <c r="V147" s="17">
        <v>998</v>
      </c>
      <c r="W147" s="17">
        <f t="shared" si="16"/>
        <v>19960</v>
      </c>
      <c r="X147" s="17">
        <f t="shared" si="17"/>
        <v>1037.9199999999998</v>
      </c>
      <c r="Y147" s="17">
        <v>1003</v>
      </c>
      <c r="Z147" s="17">
        <f t="shared" si="18"/>
        <v>1</v>
      </c>
      <c r="AA147" s="17">
        <f t="shared" si="19"/>
        <v>6.6666666666666693E-2</v>
      </c>
      <c r="AB147" s="17">
        <f>+VLOOKUP(E147,[1]base!M:N,2,0)</f>
        <v>392</v>
      </c>
      <c r="AC147" s="17">
        <f>+VLOOKUP(E147,[1]base!M:Q,5,0)</f>
        <v>102.83333333333333</v>
      </c>
      <c r="AD147" s="18">
        <f>+VLOOKUP(E147,[1]base!M:P,4,0)</f>
        <v>1.2594458438287154E-2</v>
      </c>
      <c r="AE147" s="19">
        <f t="shared" si="20"/>
        <v>112.66297229219143</v>
      </c>
    </row>
    <row r="148" spans="1:31" x14ac:dyDescent="0.25">
      <c r="A148" s="10" t="s">
        <v>159</v>
      </c>
      <c r="B148" s="11">
        <v>46248.315150462964</v>
      </c>
      <c r="C148" s="12" t="s">
        <v>70</v>
      </c>
      <c r="D148" s="12" t="s">
        <v>229</v>
      </c>
      <c r="E148" s="13" t="str">
        <f t="shared" si="14"/>
        <v>CSQ105</v>
      </c>
      <c r="F148" s="14" t="str">
        <f t="shared" si="15"/>
        <v>blc</v>
      </c>
      <c r="G148" s="14">
        <f>+VLOOKUP(F148,[1]base!A:B,2,0)</f>
        <v>1</v>
      </c>
      <c r="H148" s="14">
        <v>30</v>
      </c>
      <c r="I148" s="14">
        <v>30</v>
      </c>
      <c r="J148" s="14"/>
      <c r="K148" s="14" t="s">
        <v>33</v>
      </c>
      <c r="L148" s="14" t="s">
        <v>230</v>
      </c>
      <c r="M148" s="14" t="s">
        <v>35</v>
      </c>
      <c r="N148" s="14">
        <v>30</v>
      </c>
      <c r="O148" s="14">
        <v>30</v>
      </c>
      <c r="P148" s="14">
        <v>0</v>
      </c>
      <c r="Q148" s="14">
        <v>0</v>
      </c>
      <c r="R148" s="14">
        <v>0</v>
      </c>
      <c r="S148" s="14"/>
      <c r="T148" s="15">
        <v>30</v>
      </c>
      <c r="U148" s="16"/>
      <c r="V148" s="17">
        <v>478</v>
      </c>
      <c r="W148" s="17">
        <f t="shared" si="16"/>
        <v>14340</v>
      </c>
      <c r="X148" s="17">
        <f t="shared" si="17"/>
        <v>745.68</v>
      </c>
      <c r="Y148" s="17">
        <v>483</v>
      </c>
      <c r="Z148" s="17">
        <f t="shared" si="18"/>
        <v>1</v>
      </c>
      <c r="AA148" s="17">
        <f t="shared" si="19"/>
        <v>6.6666666666666693E-2</v>
      </c>
      <c r="AB148" s="17">
        <f>+VLOOKUP(E148,[1]base!M:N,2,0)</f>
        <v>404</v>
      </c>
      <c r="AC148" s="17">
        <f>+VLOOKUP(E148,[1]base!M:Q,5,0)</f>
        <v>233</v>
      </c>
      <c r="AD148" s="18">
        <f>+VLOOKUP(E148,[1]base!M:P,4,0)</f>
        <v>9.8039215686274508E-3</v>
      </c>
      <c r="AE148" s="19">
        <f t="shared" si="20"/>
        <v>117.23921568627449</v>
      </c>
    </row>
    <row r="149" spans="1:31" x14ac:dyDescent="0.25">
      <c r="A149" s="10" t="s">
        <v>117</v>
      </c>
      <c r="B149" s="11">
        <v>46261.508750000001</v>
      </c>
      <c r="C149" s="12" t="s">
        <v>86</v>
      </c>
      <c r="D149" s="12" t="s">
        <v>229</v>
      </c>
      <c r="E149" s="13" t="str">
        <f t="shared" si="14"/>
        <v>CSQ105</v>
      </c>
      <c r="F149" s="14" t="str">
        <f t="shared" si="15"/>
        <v>blc</v>
      </c>
      <c r="G149" s="14">
        <f>+VLOOKUP(F149,[1]base!A:B,2,0)</f>
        <v>1</v>
      </c>
      <c r="H149" s="14">
        <v>12</v>
      </c>
      <c r="I149" s="14">
        <v>12</v>
      </c>
      <c r="J149" s="14"/>
      <c r="K149" s="14" t="s">
        <v>33</v>
      </c>
      <c r="L149" s="14" t="s">
        <v>231</v>
      </c>
      <c r="M149" s="14" t="s">
        <v>35</v>
      </c>
      <c r="N149" s="14">
        <v>12</v>
      </c>
      <c r="O149" s="14">
        <v>12</v>
      </c>
      <c r="P149" s="14">
        <v>0</v>
      </c>
      <c r="Q149" s="14">
        <v>0</v>
      </c>
      <c r="R149" s="14">
        <v>0</v>
      </c>
      <c r="S149" s="14"/>
      <c r="T149" s="15">
        <v>12</v>
      </c>
      <c r="U149" s="16"/>
      <c r="V149" s="17">
        <v>687</v>
      </c>
      <c r="W149" s="17">
        <f t="shared" si="16"/>
        <v>8244</v>
      </c>
      <c r="X149" s="17">
        <f t="shared" si="17"/>
        <v>428.68799999999999</v>
      </c>
      <c r="Y149" s="17">
        <v>692</v>
      </c>
      <c r="Z149" s="17">
        <f t="shared" si="18"/>
        <v>1</v>
      </c>
      <c r="AA149" s="17">
        <f t="shared" si="19"/>
        <v>6.6666666666666693E-2</v>
      </c>
      <c r="AB149" s="17">
        <f>+VLOOKUP(E149,[1]base!M:N,2,0)</f>
        <v>404</v>
      </c>
      <c r="AC149" s="17">
        <f>+VLOOKUP(E149,[1]base!M:Q,5,0)</f>
        <v>233</v>
      </c>
      <c r="AD149" s="18">
        <f>+VLOOKUP(E149,[1]base!M:P,4,0)</f>
        <v>9.8039215686274508E-3</v>
      </c>
      <c r="AE149" s="19">
        <f t="shared" si="20"/>
        <v>117.23921568627449</v>
      </c>
    </row>
    <row r="150" spans="1:31" x14ac:dyDescent="0.25">
      <c r="A150" s="20" t="s">
        <v>171</v>
      </c>
      <c r="B150" s="11">
        <v>46132.367129629631</v>
      </c>
      <c r="C150" s="12" t="s">
        <v>31</v>
      </c>
      <c r="D150" s="12" t="s">
        <v>232</v>
      </c>
      <c r="E150" s="13" t="str">
        <f t="shared" si="14"/>
        <v>FR166</v>
      </c>
      <c r="F150" s="14" t="str">
        <f t="shared" si="15"/>
        <v>BLC</v>
      </c>
      <c r="G150" s="14">
        <f>+VLOOKUP(F150,[1]base!A:B,2,0)</f>
        <v>1</v>
      </c>
      <c r="H150" s="14">
        <v>35</v>
      </c>
      <c r="I150" s="14">
        <v>35</v>
      </c>
      <c r="J150" s="14"/>
      <c r="K150" s="14" t="s">
        <v>33</v>
      </c>
      <c r="L150" s="14" t="s">
        <v>76</v>
      </c>
      <c r="M150" s="14" t="s">
        <v>77</v>
      </c>
      <c r="N150" s="14"/>
      <c r="O150" s="14"/>
      <c r="P150" s="14"/>
      <c r="Q150" s="14">
        <v>0</v>
      </c>
      <c r="R150" s="14">
        <v>0</v>
      </c>
      <c r="S150" s="14"/>
      <c r="T150" s="15">
        <v>35</v>
      </c>
      <c r="U150" s="16"/>
      <c r="V150" s="17">
        <v>5</v>
      </c>
      <c r="W150" s="17">
        <f t="shared" si="16"/>
        <v>175</v>
      </c>
      <c r="X150" s="17">
        <f t="shared" si="17"/>
        <v>9.1</v>
      </c>
      <c r="Y150" s="17">
        <v>10</v>
      </c>
      <c r="Z150" s="17">
        <f t="shared" si="18"/>
        <v>4</v>
      </c>
      <c r="AA150" s="17">
        <f t="shared" si="19"/>
        <v>0.26666666666666677</v>
      </c>
      <c r="AB150" s="17">
        <f>+VLOOKUP(E150,[1]base!M:N,2,0)</f>
        <v>437</v>
      </c>
      <c r="AC150" s="17">
        <f>+VLOOKUP(E150,[1]base!M:Q,5,0)</f>
        <v>435.66666666666669</v>
      </c>
      <c r="AD150" s="18">
        <f>+VLOOKUP(E150,[1]base!M:P,4,0)</f>
        <v>0.14980544747081712</v>
      </c>
      <c r="AE150" s="19">
        <f t="shared" si="20"/>
        <v>65.635019455252916</v>
      </c>
    </row>
    <row r="151" spans="1:31" x14ac:dyDescent="0.25">
      <c r="A151" s="10" t="s">
        <v>106</v>
      </c>
      <c r="B151" s="11">
        <v>46226.41915509259</v>
      </c>
      <c r="C151" s="12" t="s">
        <v>107</v>
      </c>
      <c r="D151" s="12" t="s">
        <v>232</v>
      </c>
      <c r="E151" s="13" t="str">
        <f t="shared" si="14"/>
        <v>FR166</v>
      </c>
      <c r="F151" s="14" t="str">
        <f t="shared" si="15"/>
        <v>BLC</v>
      </c>
      <c r="G151" s="14">
        <f>+VLOOKUP(F151,[1]base!A:B,2,0)</f>
        <v>1</v>
      </c>
      <c r="H151" s="14">
        <v>50</v>
      </c>
      <c r="I151" s="14">
        <v>50</v>
      </c>
      <c r="J151" s="14"/>
      <c r="K151" s="14" t="s">
        <v>72</v>
      </c>
      <c r="L151" s="14" t="s">
        <v>76</v>
      </c>
      <c r="M151" s="14" t="s">
        <v>77</v>
      </c>
      <c r="N151" s="14"/>
      <c r="O151" s="14"/>
      <c r="P151" s="14"/>
      <c r="Q151" s="14">
        <v>50</v>
      </c>
      <c r="R151" s="14">
        <v>0</v>
      </c>
      <c r="S151" s="14"/>
      <c r="T151" s="15">
        <v>50</v>
      </c>
      <c r="U151" s="16"/>
      <c r="V151" s="17">
        <v>245</v>
      </c>
      <c r="W151" s="17">
        <f t="shared" si="16"/>
        <v>12250</v>
      </c>
      <c r="X151" s="17">
        <f t="shared" si="17"/>
        <v>637</v>
      </c>
      <c r="Y151" s="17">
        <v>250</v>
      </c>
      <c r="Z151" s="17">
        <f t="shared" si="18"/>
        <v>1</v>
      </c>
      <c r="AA151" s="17">
        <f t="shared" si="19"/>
        <v>6.6666666666666693E-2</v>
      </c>
      <c r="AB151" s="17">
        <f>+VLOOKUP(E151,[1]base!M:N,2,0)</f>
        <v>437</v>
      </c>
      <c r="AC151" s="17">
        <f>+VLOOKUP(E151,[1]base!M:Q,5,0)</f>
        <v>435.66666666666669</v>
      </c>
      <c r="AD151" s="18">
        <f>+VLOOKUP(E151,[1]base!M:P,4,0)</f>
        <v>0.14980544747081712</v>
      </c>
      <c r="AE151" s="19">
        <f t="shared" si="20"/>
        <v>65.635019455252916</v>
      </c>
    </row>
    <row r="152" spans="1:31" x14ac:dyDescent="0.25">
      <c r="A152" s="10" t="s">
        <v>87</v>
      </c>
      <c r="B152" s="11">
        <v>46235.515706018516</v>
      </c>
      <c r="C152" s="12" t="s">
        <v>88</v>
      </c>
      <c r="D152" s="12" t="s">
        <v>232</v>
      </c>
      <c r="E152" s="13" t="str">
        <f t="shared" si="14"/>
        <v>FR166</v>
      </c>
      <c r="F152" s="14" t="str">
        <f t="shared" si="15"/>
        <v>BLC</v>
      </c>
      <c r="G152" s="14">
        <f>+VLOOKUP(F152,[1]base!A:B,2,0)</f>
        <v>1</v>
      </c>
      <c r="H152" s="14">
        <v>30</v>
      </c>
      <c r="I152" s="14">
        <v>30</v>
      </c>
      <c r="J152" s="14"/>
      <c r="K152" s="14" t="s">
        <v>33</v>
      </c>
      <c r="L152" s="14" t="s">
        <v>76</v>
      </c>
      <c r="M152" s="14" t="s">
        <v>77</v>
      </c>
      <c r="N152" s="14"/>
      <c r="O152" s="14"/>
      <c r="P152" s="14"/>
      <c r="Q152" s="14">
        <v>0</v>
      </c>
      <c r="R152" s="14">
        <v>0</v>
      </c>
      <c r="S152" s="14"/>
      <c r="T152" s="15">
        <v>30</v>
      </c>
      <c r="U152" s="16"/>
      <c r="V152" s="17">
        <v>345</v>
      </c>
      <c r="W152" s="17">
        <f t="shared" si="16"/>
        <v>10350</v>
      </c>
      <c r="X152" s="17">
        <f t="shared" si="17"/>
        <v>538.19999999999993</v>
      </c>
      <c r="Y152" s="17">
        <v>350</v>
      </c>
      <c r="Z152" s="17">
        <f t="shared" si="18"/>
        <v>1</v>
      </c>
      <c r="AA152" s="17">
        <f t="shared" si="19"/>
        <v>6.6666666666666693E-2</v>
      </c>
      <c r="AB152" s="17">
        <f>+VLOOKUP(E152,[1]base!M:N,2,0)</f>
        <v>437</v>
      </c>
      <c r="AC152" s="17">
        <f>+VLOOKUP(E152,[1]base!M:Q,5,0)</f>
        <v>435.66666666666669</v>
      </c>
      <c r="AD152" s="18">
        <f>+VLOOKUP(E152,[1]base!M:P,4,0)</f>
        <v>0.14980544747081712</v>
      </c>
      <c r="AE152" s="19">
        <f t="shared" si="20"/>
        <v>65.635019455252916</v>
      </c>
    </row>
    <row r="153" spans="1:31" x14ac:dyDescent="0.25">
      <c r="A153" s="10" t="s">
        <v>113</v>
      </c>
      <c r="B153" s="11">
        <v>46246.568078703705</v>
      </c>
      <c r="C153" s="12" t="s">
        <v>39</v>
      </c>
      <c r="D153" s="12" t="s">
        <v>232</v>
      </c>
      <c r="E153" s="13" t="str">
        <f t="shared" si="14"/>
        <v>FR166</v>
      </c>
      <c r="F153" s="14" t="str">
        <f t="shared" si="15"/>
        <v>BLC</v>
      </c>
      <c r="G153" s="14">
        <f>+VLOOKUP(F153,[1]base!A:B,2,0)</f>
        <v>1</v>
      </c>
      <c r="H153" s="14">
        <v>100</v>
      </c>
      <c r="I153" s="14">
        <v>100</v>
      </c>
      <c r="J153" s="14"/>
      <c r="K153" s="14" t="s">
        <v>33</v>
      </c>
      <c r="L153" s="14" t="s">
        <v>76</v>
      </c>
      <c r="M153" s="14" t="s">
        <v>77</v>
      </c>
      <c r="N153" s="14"/>
      <c r="O153" s="14"/>
      <c r="P153" s="14"/>
      <c r="Q153" s="14">
        <v>0</v>
      </c>
      <c r="R153" s="14">
        <v>0</v>
      </c>
      <c r="S153" s="14"/>
      <c r="T153" s="15">
        <v>100</v>
      </c>
      <c r="U153" s="16"/>
      <c r="V153" s="17">
        <v>459</v>
      </c>
      <c r="W153" s="17">
        <f t="shared" si="16"/>
        <v>45900</v>
      </c>
      <c r="X153" s="17">
        <f t="shared" si="17"/>
        <v>2386.7999999999997</v>
      </c>
      <c r="Y153" s="17">
        <v>464</v>
      </c>
      <c r="Z153" s="17">
        <f t="shared" si="18"/>
        <v>1</v>
      </c>
      <c r="AA153" s="17">
        <f t="shared" si="19"/>
        <v>6.6666666666666693E-2</v>
      </c>
      <c r="AB153" s="17">
        <f>+VLOOKUP(E153,[1]base!M:N,2,0)</f>
        <v>437</v>
      </c>
      <c r="AC153" s="17">
        <f>+VLOOKUP(E153,[1]base!M:Q,5,0)</f>
        <v>435.66666666666669</v>
      </c>
      <c r="AD153" s="18">
        <f>+VLOOKUP(E153,[1]base!M:P,4,0)</f>
        <v>0.14980544747081712</v>
      </c>
      <c r="AE153" s="19">
        <f t="shared" si="20"/>
        <v>65.635019455252916</v>
      </c>
    </row>
    <row r="154" spans="1:31" x14ac:dyDescent="0.25">
      <c r="A154" s="10" t="s">
        <v>233</v>
      </c>
      <c r="B154" s="11">
        <v>46248.354004629633</v>
      </c>
      <c r="C154" s="12" t="s">
        <v>70</v>
      </c>
      <c r="D154" s="12" t="s">
        <v>232</v>
      </c>
      <c r="E154" s="13" t="str">
        <f t="shared" si="14"/>
        <v>FR166</v>
      </c>
      <c r="F154" s="14" t="str">
        <f t="shared" si="15"/>
        <v>BLC</v>
      </c>
      <c r="G154" s="14">
        <f>+VLOOKUP(F154,[1]base!A:B,2,0)</f>
        <v>1</v>
      </c>
      <c r="H154" s="14">
        <v>10</v>
      </c>
      <c r="I154" s="14">
        <v>10</v>
      </c>
      <c r="J154" s="14"/>
      <c r="K154" s="14" t="s">
        <v>33</v>
      </c>
      <c r="L154" s="14" t="s">
        <v>234</v>
      </c>
      <c r="M154" s="14" t="s">
        <v>35</v>
      </c>
      <c r="N154" s="14">
        <v>10</v>
      </c>
      <c r="O154" s="14">
        <v>10</v>
      </c>
      <c r="P154" s="14">
        <v>0</v>
      </c>
      <c r="Q154" s="14">
        <v>0</v>
      </c>
      <c r="R154" s="14">
        <v>0</v>
      </c>
      <c r="S154" s="14"/>
      <c r="T154" s="15">
        <v>10</v>
      </c>
      <c r="U154" s="16"/>
      <c r="V154" s="17">
        <v>482</v>
      </c>
      <c r="W154" s="17">
        <f t="shared" si="16"/>
        <v>4820</v>
      </c>
      <c r="X154" s="17">
        <f t="shared" si="17"/>
        <v>250.64</v>
      </c>
      <c r="Y154" s="17">
        <v>487</v>
      </c>
      <c r="Z154" s="17">
        <f t="shared" si="18"/>
        <v>1</v>
      </c>
      <c r="AA154" s="17">
        <f t="shared" si="19"/>
        <v>6.6666666666666693E-2</v>
      </c>
      <c r="AB154" s="17">
        <f>+VLOOKUP(E154,[1]base!M:N,2,0)</f>
        <v>437</v>
      </c>
      <c r="AC154" s="17">
        <f>+VLOOKUP(E154,[1]base!M:Q,5,0)</f>
        <v>435.66666666666669</v>
      </c>
      <c r="AD154" s="18">
        <f>+VLOOKUP(E154,[1]base!M:P,4,0)</f>
        <v>0.14980544747081712</v>
      </c>
      <c r="AE154" s="19">
        <f t="shared" si="20"/>
        <v>65.635019455252916</v>
      </c>
    </row>
    <row r="155" spans="1:31" x14ac:dyDescent="0.25">
      <c r="A155" s="10" t="s">
        <v>100</v>
      </c>
      <c r="B155" s="11">
        <v>46249.302256944444</v>
      </c>
      <c r="C155" s="12" t="s">
        <v>86</v>
      </c>
      <c r="D155" s="12" t="s">
        <v>232</v>
      </c>
      <c r="E155" s="13" t="str">
        <f t="shared" si="14"/>
        <v>FR166</v>
      </c>
      <c r="F155" s="14" t="str">
        <f t="shared" si="15"/>
        <v>BLC</v>
      </c>
      <c r="G155" s="14">
        <f>+VLOOKUP(F155,[1]base!A:B,2,0)</f>
        <v>1</v>
      </c>
      <c r="H155" s="14">
        <v>20</v>
      </c>
      <c r="I155" s="14">
        <v>20</v>
      </c>
      <c r="J155" s="14"/>
      <c r="K155" s="14" t="s">
        <v>33</v>
      </c>
      <c r="L155" s="14" t="s">
        <v>235</v>
      </c>
      <c r="M155" s="14" t="s">
        <v>35</v>
      </c>
      <c r="N155" s="14">
        <v>20</v>
      </c>
      <c r="O155" s="14">
        <v>20</v>
      </c>
      <c r="P155" s="14">
        <v>0</v>
      </c>
      <c r="Q155" s="14">
        <v>0</v>
      </c>
      <c r="R155" s="14">
        <v>0</v>
      </c>
      <c r="S155" s="14"/>
      <c r="T155" s="15">
        <v>20</v>
      </c>
      <c r="U155" s="16"/>
      <c r="V155" s="17">
        <v>492</v>
      </c>
      <c r="W155" s="17">
        <f t="shared" si="16"/>
        <v>9840</v>
      </c>
      <c r="X155" s="17">
        <f t="shared" si="17"/>
        <v>511.67999999999995</v>
      </c>
      <c r="Y155" s="17">
        <v>497</v>
      </c>
      <c r="Z155" s="17">
        <f t="shared" si="18"/>
        <v>1</v>
      </c>
      <c r="AA155" s="17">
        <f t="shared" si="19"/>
        <v>6.6666666666666693E-2</v>
      </c>
      <c r="AB155" s="17">
        <f>+VLOOKUP(E155,[1]base!M:N,2,0)</f>
        <v>437</v>
      </c>
      <c r="AC155" s="17">
        <f>+VLOOKUP(E155,[1]base!M:Q,5,0)</f>
        <v>435.66666666666669</v>
      </c>
      <c r="AD155" s="18">
        <f>+VLOOKUP(E155,[1]base!M:P,4,0)</f>
        <v>0.14980544747081712</v>
      </c>
      <c r="AE155" s="19">
        <f t="shared" si="20"/>
        <v>65.635019455252916</v>
      </c>
    </row>
    <row r="156" spans="1:31" x14ac:dyDescent="0.25">
      <c r="A156" s="10" t="s">
        <v>117</v>
      </c>
      <c r="B156" s="11">
        <v>46261.508750000001</v>
      </c>
      <c r="C156" s="12" t="s">
        <v>86</v>
      </c>
      <c r="D156" s="12" t="s">
        <v>236</v>
      </c>
      <c r="E156" s="13" t="str">
        <f t="shared" si="14"/>
        <v>CSQ210</v>
      </c>
      <c r="F156" s="14" t="str">
        <f t="shared" si="15"/>
        <v>BLC</v>
      </c>
      <c r="G156" s="14">
        <f>+VLOOKUP(F156,[1]base!A:B,2,0)</f>
        <v>1</v>
      </c>
      <c r="H156" s="14">
        <v>4</v>
      </c>
      <c r="I156" s="14">
        <v>4</v>
      </c>
      <c r="J156" s="14"/>
      <c r="K156" s="14" t="s">
        <v>33</v>
      </c>
      <c r="L156" s="14" t="s">
        <v>237</v>
      </c>
      <c r="M156" s="14" t="s">
        <v>35</v>
      </c>
      <c r="N156" s="14">
        <v>4</v>
      </c>
      <c r="O156" s="14">
        <v>4</v>
      </c>
      <c r="P156" s="14">
        <v>0</v>
      </c>
      <c r="Q156" s="14">
        <v>0</v>
      </c>
      <c r="R156" s="14">
        <v>0</v>
      </c>
      <c r="S156" s="14"/>
      <c r="T156" s="15">
        <v>4</v>
      </c>
      <c r="U156" s="16"/>
      <c r="V156" s="17">
        <v>688</v>
      </c>
      <c r="W156" s="17">
        <f t="shared" si="16"/>
        <v>2752</v>
      </c>
      <c r="X156" s="17">
        <f t="shared" si="17"/>
        <v>143.10399999999998</v>
      </c>
      <c r="Y156" s="17">
        <v>693</v>
      </c>
      <c r="Z156" s="17">
        <f t="shared" si="18"/>
        <v>1</v>
      </c>
      <c r="AA156" s="17">
        <f t="shared" si="19"/>
        <v>6.6666666666666693E-2</v>
      </c>
      <c r="AB156" s="17">
        <f>+VLOOKUP(E156,[1]base!M:N,2,0)</f>
        <v>451</v>
      </c>
      <c r="AC156" s="17">
        <f>+VLOOKUP(E156,[1]base!M:Q,5,0)</f>
        <v>19</v>
      </c>
      <c r="AD156" s="18">
        <f>+VLOOKUP(E156,[1]base!M:P,4,0)</f>
        <v>2.2123893805309734E-3</v>
      </c>
      <c r="AE156" s="19">
        <f t="shared" si="20"/>
        <v>134.30221238938051</v>
      </c>
    </row>
    <row r="157" spans="1:31" x14ac:dyDescent="0.25">
      <c r="A157" s="10" t="s">
        <v>117</v>
      </c>
      <c r="B157" s="11">
        <v>46261.508750000001</v>
      </c>
      <c r="C157" s="12" t="s">
        <v>86</v>
      </c>
      <c r="D157" s="12" t="s">
        <v>238</v>
      </c>
      <c r="E157" s="13" t="str">
        <f t="shared" si="14"/>
        <v>FSQ100</v>
      </c>
      <c r="F157" s="14" t="str">
        <f t="shared" si="15"/>
        <v>BLC</v>
      </c>
      <c r="G157" s="14">
        <f>+VLOOKUP(F157,[1]base!A:B,2,0)</f>
        <v>1</v>
      </c>
      <c r="H157" s="14">
        <v>10</v>
      </c>
      <c r="I157" s="14">
        <v>10</v>
      </c>
      <c r="J157" s="14"/>
      <c r="K157" s="14" t="s">
        <v>33</v>
      </c>
      <c r="L157" s="14" t="s">
        <v>239</v>
      </c>
      <c r="M157" s="14" t="s">
        <v>35</v>
      </c>
      <c r="N157" s="14">
        <v>10</v>
      </c>
      <c r="O157" s="14">
        <v>10</v>
      </c>
      <c r="P157" s="14">
        <v>0</v>
      </c>
      <c r="Q157" s="14">
        <v>0</v>
      </c>
      <c r="R157" s="14">
        <v>5</v>
      </c>
      <c r="S157" s="14"/>
      <c r="T157" s="15">
        <v>10</v>
      </c>
      <c r="U157" s="16"/>
      <c r="V157" s="17">
        <v>695</v>
      </c>
      <c r="W157" s="17">
        <f t="shared" si="16"/>
        <v>6950</v>
      </c>
      <c r="X157" s="17">
        <f t="shared" si="17"/>
        <v>361.4</v>
      </c>
      <c r="Y157" s="17">
        <v>700</v>
      </c>
      <c r="Z157" s="17">
        <f t="shared" si="18"/>
        <v>1</v>
      </c>
      <c r="AA157" s="17">
        <f t="shared" si="19"/>
        <v>6.6666666666666693E-2</v>
      </c>
      <c r="AB157" s="17">
        <f>+VLOOKUP(E157,[1]base!M:N,2,0)</f>
        <v>611</v>
      </c>
      <c r="AC157" s="17">
        <f>+VLOOKUP(E157,[1]base!M:Q,5,0)</f>
        <v>85.333333333333329</v>
      </c>
      <c r="AD157" s="18">
        <f>+VLOOKUP(E157,[1]base!M:P,4,0)</f>
        <v>3.1695721077654518E-2</v>
      </c>
      <c r="AE157" s="19">
        <f t="shared" si="20"/>
        <v>163.93391442155308</v>
      </c>
    </row>
    <row r="158" spans="1:31" x14ac:dyDescent="0.25">
      <c r="A158" s="10" t="s">
        <v>159</v>
      </c>
      <c r="B158" s="11">
        <v>46248.315150462964</v>
      </c>
      <c r="C158" s="12" t="s">
        <v>70</v>
      </c>
      <c r="D158" s="12" t="s">
        <v>240</v>
      </c>
      <c r="E158" s="13" t="str">
        <f t="shared" si="14"/>
        <v>CSQ114</v>
      </c>
      <c r="F158" s="14" t="str">
        <f t="shared" si="15"/>
        <v>BLC</v>
      </c>
      <c r="G158" s="14">
        <f>+VLOOKUP(F158,[1]base!A:B,2,0)</f>
        <v>1</v>
      </c>
      <c r="H158" s="14">
        <v>50</v>
      </c>
      <c r="I158" s="14">
        <v>50</v>
      </c>
      <c r="J158" s="14"/>
      <c r="K158" s="14" t="s">
        <v>33</v>
      </c>
      <c r="L158" s="14" t="s">
        <v>241</v>
      </c>
      <c r="M158" s="14" t="s">
        <v>35</v>
      </c>
      <c r="N158" s="14">
        <v>50</v>
      </c>
      <c r="O158" s="14">
        <v>50</v>
      </c>
      <c r="P158" s="14">
        <v>0</v>
      </c>
      <c r="Q158" s="14">
        <v>0</v>
      </c>
      <c r="R158" s="14">
        <v>25</v>
      </c>
      <c r="S158" s="14"/>
      <c r="T158" s="15">
        <v>50</v>
      </c>
      <c r="U158" s="16"/>
      <c r="V158" s="17">
        <v>479</v>
      </c>
      <c r="W158" s="17">
        <f t="shared" si="16"/>
        <v>23950</v>
      </c>
      <c r="X158" s="17">
        <f t="shared" si="17"/>
        <v>1245.3999999999999</v>
      </c>
      <c r="Y158" s="17">
        <v>484</v>
      </c>
      <c r="Z158" s="17">
        <f t="shared" si="18"/>
        <v>1</v>
      </c>
      <c r="AA158" s="17">
        <f t="shared" si="19"/>
        <v>6.6666666666666693E-2</v>
      </c>
      <c r="AB158" s="17">
        <f>+VLOOKUP(E158,[1]base!M:N,2,0)</f>
        <v>683</v>
      </c>
      <c r="AC158" s="17">
        <f>+VLOOKUP(E158,[1]base!M:Q,5,0)</f>
        <v>351.33333333333331</v>
      </c>
      <c r="AD158" s="18">
        <f>+VLOOKUP(E158,[1]base!M:P,4,0)</f>
        <v>3.9381153305203941E-2</v>
      </c>
      <c r="AE158" s="19">
        <f t="shared" si="20"/>
        <v>178.00267229254572</v>
      </c>
    </row>
    <row r="159" spans="1:31" x14ac:dyDescent="0.25">
      <c r="A159" s="10" t="s">
        <v>117</v>
      </c>
      <c r="B159" s="11">
        <v>46261.508750000001</v>
      </c>
      <c r="C159" s="12" t="s">
        <v>86</v>
      </c>
      <c r="D159" s="12" t="s">
        <v>242</v>
      </c>
      <c r="E159" s="13" t="str">
        <f t="shared" si="14"/>
        <v>FSQ150</v>
      </c>
      <c r="F159" s="14" t="str">
        <f t="shared" si="15"/>
        <v>BLC</v>
      </c>
      <c r="G159" s="14">
        <f>+VLOOKUP(F159,[1]base!A:B,2,0)</f>
        <v>1</v>
      </c>
      <c r="H159" s="14">
        <v>2</v>
      </c>
      <c r="I159" s="14">
        <v>2</v>
      </c>
      <c r="J159" s="14"/>
      <c r="K159" s="14" t="s">
        <v>33</v>
      </c>
      <c r="L159" s="14" t="s">
        <v>243</v>
      </c>
      <c r="M159" s="14" t="s">
        <v>35</v>
      </c>
      <c r="N159" s="14">
        <v>2</v>
      </c>
      <c r="O159" s="14">
        <v>2</v>
      </c>
      <c r="P159" s="14">
        <v>0</v>
      </c>
      <c r="Q159" s="14">
        <v>0</v>
      </c>
      <c r="R159" s="14">
        <v>2</v>
      </c>
      <c r="S159" s="14"/>
      <c r="T159" s="15">
        <v>2</v>
      </c>
      <c r="U159" s="16"/>
      <c r="V159" s="17">
        <v>697</v>
      </c>
      <c r="W159" s="17">
        <f t="shared" si="16"/>
        <v>1394</v>
      </c>
      <c r="X159" s="17">
        <f t="shared" si="17"/>
        <v>72.488</v>
      </c>
      <c r="Y159" s="17">
        <v>702</v>
      </c>
      <c r="Z159" s="17">
        <f t="shared" si="18"/>
        <v>1</v>
      </c>
      <c r="AA159" s="17">
        <f t="shared" si="19"/>
        <v>6.6666666666666693E-2</v>
      </c>
      <c r="AB159" s="17">
        <f>+VLOOKUP(E159,[1]base!M:N,2,0)</f>
        <v>784</v>
      </c>
      <c r="AC159" s="17">
        <f>+VLOOKUP(E159,[1]base!M:Q,5,0)</f>
        <v>16.666666666666668</v>
      </c>
      <c r="AD159" s="18">
        <f>+VLOOKUP(E159,[1]base!M:P,4,0)</f>
        <v>0.13656387665198239</v>
      </c>
      <c r="AE159" s="19">
        <f t="shared" si="20"/>
        <v>128.13392070484579</v>
      </c>
    </row>
    <row r="160" spans="1:31" x14ac:dyDescent="0.25">
      <c r="A160" s="10" t="s">
        <v>100</v>
      </c>
      <c r="B160" s="11">
        <v>46249.302256944444</v>
      </c>
      <c r="C160" s="12" t="s">
        <v>86</v>
      </c>
      <c r="D160" s="12" t="s">
        <v>244</v>
      </c>
      <c r="E160" s="13" t="str">
        <f t="shared" si="14"/>
        <v>GL180</v>
      </c>
      <c r="F160" s="14" t="str">
        <f t="shared" si="15"/>
        <v>BLC</v>
      </c>
      <c r="G160" s="14">
        <f>+VLOOKUP(F160,[1]base!A:B,2,0)</f>
        <v>1</v>
      </c>
      <c r="H160" s="14">
        <v>10</v>
      </c>
      <c r="I160" s="14">
        <v>10</v>
      </c>
      <c r="J160" s="14">
        <v>-8</v>
      </c>
      <c r="K160" s="14" t="s">
        <v>33</v>
      </c>
      <c r="L160" s="14" t="s">
        <v>76</v>
      </c>
      <c r="M160" s="14" t="s">
        <v>77</v>
      </c>
      <c r="N160" s="14"/>
      <c r="O160" s="14"/>
      <c r="P160" s="14"/>
      <c r="Q160" s="14">
        <v>0</v>
      </c>
      <c r="R160" s="14">
        <v>0</v>
      </c>
      <c r="S160" s="14"/>
      <c r="T160" s="15">
        <v>10</v>
      </c>
      <c r="U160" s="16"/>
      <c r="V160" s="17">
        <v>493</v>
      </c>
      <c r="W160" s="17">
        <f t="shared" si="16"/>
        <v>4930</v>
      </c>
      <c r="X160" s="17">
        <f t="shared" si="17"/>
        <v>256.36</v>
      </c>
      <c r="Y160" s="17">
        <v>498</v>
      </c>
      <c r="Z160" s="17">
        <f t="shared" si="18"/>
        <v>1</v>
      </c>
      <c r="AA160" s="17">
        <f t="shared" si="19"/>
        <v>6.6666666666666693E-2</v>
      </c>
      <c r="AB160" s="17">
        <f>+VLOOKUP(E160,[1]base!M:N,2,0)</f>
        <v>787</v>
      </c>
      <c r="AC160" s="17">
        <f>+VLOOKUP(E160,[1]base!M:Q,5,0)</f>
        <v>257.71428571428572</v>
      </c>
      <c r="AD160" s="18">
        <f>+VLOOKUP(E160,[1]base!M:P,4,0)</f>
        <v>0.33135089209855567</v>
      </c>
      <c r="AE160" s="19">
        <f t="shared" si="20"/>
        <v>-24.673152081563323</v>
      </c>
    </row>
    <row r="161" spans="1:31" x14ac:dyDescent="0.25">
      <c r="A161" s="20" t="s">
        <v>245</v>
      </c>
      <c r="B161" s="11">
        <v>45820.325219907405</v>
      </c>
      <c r="C161" s="12" t="s">
        <v>39</v>
      </c>
      <c r="D161" s="12" t="s">
        <v>246</v>
      </c>
      <c r="E161" s="13" t="str">
        <f t="shared" si="14"/>
        <v>EC22106</v>
      </c>
      <c r="F161" s="14" t="str">
        <f t="shared" si="15"/>
        <v>BLC</v>
      </c>
      <c r="G161" s="14">
        <f>+VLOOKUP(F161,[1]base!A:B,2,0)</f>
        <v>1</v>
      </c>
      <c r="H161" s="14">
        <v>17</v>
      </c>
      <c r="I161" s="14">
        <v>17</v>
      </c>
      <c r="J161" s="14"/>
      <c r="K161" s="14" t="s">
        <v>33</v>
      </c>
      <c r="L161" s="14" t="s">
        <v>76</v>
      </c>
      <c r="M161" s="14" t="s">
        <v>77</v>
      </c>
      <c r="N161" s="14"/>
      <c r="O161" s="14"/>
      <c r="P161" s="14"/>
      <c r="Q161" s="14">
        <v>0</v>
      </c>
      <c r="R161" s="14">
        <v>343</v>
      </c>
      <c r="S161" s="14"/>
      <c r="T161" s="15">
        <v>17</v>
      </c>
      <c r="U161" s="16"/>
      <c r="V161" s="17">
        <f>+VLOOKUP(E161,[1]base!D:K,8,0)</f>
        <v>4.407</v>
      </c>
      <c r="W161" s="17">
        <f t="shared" si="16"/>
        <v>74.918999999999997</v>
      </c>
      <c r="X161" s="17">
        <f t="shared" si="17"/>
        <v>3.8957879999999996</v>
      </c>
      <c r="Y161" s="17">
        <f>+VLOOKUP(E161,[1]base!D:E,2,0)</f>
        <v>13</v>
      </c>
      <c r="Z161" s="17">
        <f t="shared" si="18"/>
        <v>2</v>
      </c>
      <c r="AA161" s="17">
        <f t="shared" si="19"/>
        <v>0.13333333333333339</v>
      </c>
      <c r="AB161" s="17">
        <f>+VLOOKUP(E161,[1]base!M:N,2,0)</f>
        <v>803</v>
      </c>
      <c r="AC161" s="17">
        <f>+VLOOKUP(E161,[1]base!M:Q,5,0)</f>
        <v>180</v>
      </c>
      <c r="AD161" s="18">
        <f>+VLOOKUP(E161,[1]base!M:P,4,0)</f>
        <v>0.39940164547494389</v>
      </c>
      <c r="AE161" s="19">
        <f t="shared" si="20"/>
        <v>-79.819521316379948</v>
      </c>
    </row>
    <row r="162" spans="1:31" x14ac:dyDescent="0.25">
      <c r="A162" s="20" t="s">
        <v>247</v>
      </c>
      <c r="B162" s="11">
        <v>46218.473703703705</v>
      </c>
      <c r="C162" s="12" t="s">
        <v>248</v>
      </c>
      <c r="D162" s="12" t="s">
        <v>246</v>
      </c>
      <c r="E162" s="13" t="str">
        <f t="shared" si="14"/>
        <v>EC22106</v>
      </c>
      <c r="F162" s="14" t="str">
        <f t="shared" si="15"/>
        <v>BLC</v>
      </c>
      <c r="G162" s="14">
        <f>+VLOOKUP(F162,[1]base!A:B,2,0)</f>
        <v>1</v>
      </c>
      <c r="H162" s="14">
        <v>30</v>
      </c>
      <c r="I162" s="14">
        <v>19</v>
      </c>
      <c r="J162" s="14"/>
      <c r="K162" s="14" t="s">
        <v>72</v>
      </c>
      <c r="L162" s="14" t="s">
        <v>76</v>
      </c>
      <c r="M162" s="14" t="s">
        <v>77</v>
      </c>
      <c r="N162" s="14"/>
      <c r="O162" s="14"/>
      <c r="P162" s="14"/>
      <c r="Q162" s="14">
        <v>20</v>
      </c>
      <c r="R162" s="14">
        <v>343</v>
      </c>
      <c r="S162" s="14"/>
      <c r="T162" s="15">
        <v>19</v>
      </c>
      <c r="U162" s="16"/>
      <c r="V162" s="17">
        <v>114</v>
      </c>
      <c r="W162" s="17">
        <f t="shared" si="16"/>
        <v>2166</v>
      </c>
      <c r="X162" s="17">
        <f t="shared" si="17"/>
        <v>112.63199999999999</v>
      </c>
      <c r="Y162" s="17">
        <v>119</v>
      </c>
      <c r="Z162" s="17">
        <f t="shared" si="18"/>
        <v>1</v>
      </c>
      <c r="AA162" s="17">
        <f t="shared" si="19"/>
        <v>6.6666666666666693E-2</v>
      </c>
      <c r="AB162" s="17">
        <f>+VLOOKUP(E162,[1]base!M:N,2,0)</f>
        <v>803</v>
      </c>
      <c r="AC162" s="17">
        <f>+VLOOKUP(E162,[1]base!M:Q,5,0)</f>
        <v>180</v>
      </c>
      <c r="AD162" s="18">
        <f>+VLOOKUP(E162,[1]base!M:P,4,0)</f>
        <v>0.39940164547494389</v>
      </c>
      <c r="AE162" s="19">
        <f t="shared" si="20"/>
        <v>-79.819521316379948</v>
      </c>
    </row>
    <row r="163" spans="1:31" x14ac:dyDescent="0.25">
      <c r="A163" s="10" t="s">
        <v>117</v>
      </c>
      <c r="B163" s="11">
        <v>46261.508750000001</v>
      </c>
      <c r="C163" s="12" t="s">
        <v>86</v>
      </c>
      <c r="D163" s="12" t="s">
        <v>249</v>
      </c>
      <c r="E163" s="13" t="str">
        <f t="shared" si="14"/>
        <v>CSQ305</v>
      </c>
      <c r="F163" s="14" t="str">
        <f t="shared" si="15"/>
        <v>BLC</v>
      </c>
      <c r="G163" s="14">
        <f>+VLOOKUP(F163,[1]base!A:B,2,0)</f>
        <v>1</v>
      </c>
      <c r="H163" s="14">
        <v>8</v>
      </c>
      <c r="I163" s="14">
        <v>8</v>
      </c>
      <c r="J163" s="14"/>
      <c r="K163" s="14" t="s">
        <v>33</v>
      </c>
      <c r="L163" s="14" t="s">
        <v>250</v>
      </c>
      <c r="M163" s="14" t="s">
        <v>35</v>
      </c>
      <c r="N163" s="14">
        <v>8</v>
      </c>
      <c r="O163" s="14">
        <v>8</v>
      </c>
      <c r="P163" s="14">
        <v>0</v>
      </c>
      <c r="Q163" s="14">
        <v>0</v>
      </c>
      <c r="R163" s="14">
        <v>0</v>
      </c>
      <c r="S163" s="14"/>
      <c r="T163" s="15">
        <v>8</v>
      </c>
      <c r="U163" s="16"/>
      <c r="V163" s="17">
        <v>689</v>
      </c>
      <c r="W163" s="17">
        <f t="shared" si="16"/>
        <v>5512</v>
      </c>
      <c r="X163" s="17">
        <f t="shared" si="17"/>
        <v>286.62399999999997</v>
      </c>
      <c r="Y163" s="17">
        <v>694</v>
      </c>
      <c r="Z163" s="17">
        <f t="shared" si="18"/>
        <v>1</v>
      </c>
      <c r="AA163" s="17">
        <f t="shared" si="19"/>
        <v>6.6666666666666693E-2</v>
      </c>
      <c r="AB163" s="17">
        <f>+VLOOKUP(E163,[1]base!M:N,2,0)</f>
        <v>807</v>
      </c>
      <c r="AC163" s="17">
        <f>+VLOOKUP(E163,[1]base!M:Q,5,0)</f>
        <v>174.77777777777777</v>
      </c>
      <c r="AD163" s="18">
        <f>+VLOOKUP(E163,[1]base!M:P,4,0)</f>
        <v>7.3800738007380072E-3</v>
      </c>
      <c r="AE163" s="19">
        <f t="shared" si="20"/>
        <v>236.14428044280442</v>
      </c>
    </row>
    <row r="164" spans="1:31" x14ac:dyDescent="0.25">
      <c r="A164" s="10" t="s">
        <v>117</v>
      </c>
      <c r="B164" s="11">
        <v>46261.508750000001</v>
      </c>
      <c r="C164" s="12" t="s">
        <v>86</v>
      </c>
      <c r="D164" s="12" t="s">
        <v>251</v>
      </c>
      <c r="E164" s="13" t="str">
        <f t="shared" si="14"/>
        <v>FSQ111</v>
      </c>
      <c r="F164" s="14" t="str">
        <f t="shared" si="15"/>
        <v>BLC</v>
      </c>
      <c r="G164" s="14">
        <f>+VLOOKUP(F164,[1]base!A:B,2,0)</f>
        <v>1</v>
      </c>
      <c r="H164" s="14">
        <v>10</v>
      </c>
      <c r="I164" s="14">
        <v>10</v>
      </c>
      <c r="J164" s="14"/>
      <c r="K164" s="14" t="s">
        <v>33</v>
      </c>
      <c r="L164" s="14" t="s">
        <v>252</v>
      </c>
      <c r="M164" s="14" t="s">
        <v>35</v>
      </c>
      <c r="N164" s="14">
        <v>10</v>
      </c>
      <c r="O164" s="14">
        <v>10</v>
      </c>
      <c r="P164" s="14">
        <v>0</v>
      </c>
      <c r="Q164" s="14">
        <v>0</v>
      </c>
      <c r="R164" s="14">
        <v>4</v>
      </c>
      <c r="S164" s="14"/>
      <c r="T164" s="15">
        <v>10</v>
      </c>
      <c r="U164" s="16"/>
      <c r="V164" s="17">
        <v>696</v>
      </c>
      <c r="W164" s="17">
        <f t="shared" si="16"/>
        <v>6960</v>
      </c>
      <c r="X164" s="17">
        <f t="shared" si="17"/>
        <v>361.91999999999996</v>
      </c>
      <c r="Y164" s="17">
        <v>701</v>
      </c>
      <c r="Z164" s="17">
        <f t="shared" si="18"/>
        <v>1</v>
      </c>
      <c r="AA164" s="17">
        <f t="shared" si="19"/>
        <v>6.6666666666666693E-2</v>
      </c>
      <c r="AB164" s="17">
        <f>+VLOOKUP(E164,[1]base!M:N,2,0)</f>
        <v>999</v>
      </c>
      <c r="AC164" s="17">
        <f>+VLOOKUP(E164,[1]base!M:Q,5,0)</f>
        <v>103.33333333333333</v>
      </c>
      <c r="AD164" s="18">
        <f>+VLOOKUP(E164,[1]base!M:P,4,0)</f>
        <v>2.9940119760479044E-3</v>
      </c>
      <c r="AE164" s="19">
        <f t="shared" si="20"/>
        <v>296.7089820359281</v>
      </c>
    </row>
    <row r="165" spans="1:31" x14ac:dyDescent="0.25">
      <c r="A165" s="20" t="s">
        <v>201</v>
      </c>
      <c r="B165" s="11">
        <v>46111.451840277776</v>
      </c>
      <c r="C165" s="12" t="s">
        <v>83</v>
      </c>
      <c r="D165" s="12" t="s">
        <v>253</v>
      </c>
      <c r="E165" s="13" t="str">
        <f t="shared" si="14"/>
        <v>EC40166</v>
      </c>
      <c r="F165" s="14" t="str">
        <f t="shared" si="15"/>
        <v>BLC</v>
      </c>
      <c r="G165" s="14">
        <f>+VLOOKUP(F165,[1]base!A:B,2,0)</f>
        <v>1</v>
      </c>
      <c r="H165" s="14">
        <v>300</v>
      </c>
      <c r="I165" s="14">
        <v>150</v>
      </c>
      <c r="J165" s="14">
        <v>-50</v>
      </c>
      <c r="K165" s="14" t="s">
        <v>33</v>
      </c>
      <c r="L165" s="14" t="s">
        <v>76</v>
      </c>
      <c r="M165" s="14" t="s">
        <v>77</v>
      </c>
      <c r="N165" s="14"/>
      <c r="O165" s="14"/>
      <c r="P165" s="14"/>
      <c r="Q165" s="14">
        <v>0</v>
      </c>
      <c r="R165" s="14">
        <v>193</v>
      </c>
      <c r="S165" s="14"/>
      <c r="T165" s="15">
        <v>150</v>
      </c>
      <c r="U165" s="16"/>
      <c r="V165" s="17">
        <f>+VLOOKUP(E165,[1]base!D:K,8,0)</f>
        <v>1.482</v>
      </c>
      <c r="W165" s="17">
        <f t="shared" si="16"/>
        <v>222.3</v>
      </c>
      <c r="X165" s="17">
        <f t="shared" si="17"/>
        <v>11.5596</v>
      </c>
      <c r="Y165" s="17">
        <f>+VLOOKUP(E165,[1]base!D:E,2,0)</f>
        <v>20</v>
      </c>
      <c r="Z165" s="17">
        <f t="shared" si="18"/>
        <v>8</v>
      </c>
      <c r="AA165" s="17">
        <f t="shared" si="19"/>
        <v>0.53333333333333355</v>
      </c>
      <c r="AB165" s="17">
        <f>+VLOOKUP(E165,[1]base!M:N,2,0)</f>
        <v>1063</v>
      </c>
      <c r="AC165" s="17">
        <f>+VLOOKUP(E165,[1]base!M:Q,5,0)</f>
        <v>2305.5454545454545</v>
      </c>
      <c r="AD165" s="18">
        <f>+VLOOKUP(E165,[1]base!M:P,4,0)</f>
        <v>6.5420560747663555E-3</v>
      </c>
      <c r="AE165" s="19">
        <f t="shared" si="20"/>
        <v>311.94579439252334</v>
      </c>
    </row>
    <row r="166" spans="1:31" x14ac:dyDescent="0.25">
      <c r="A166" s="20" t="s">
        <v>254</v>
      </c>
      <c r="B166" s="11">
        <v>46181.370115740741</v>
      </c>
      <c r="C166" s="12" t="s">
        <v>255</v>
      </c>
      <c r="D166" s="12" t="s">
        <v>253</v>
      </c>
      <c r="E166" s="13" t="str">
        <f t="shared" si="14"/>
        <v>EC40166</v>
      </c>
      <c r="F166" s="14" t="str">
        <f t="shared" si="15"/>
        <v>BLC</v>
      </c>
      <c r="G166" s="14">
        <f>+VLOOKUP(F166,[1]base!A:B,2,0)</f>
        <v>1</v>
      </c>
      <c r="H166" s="14">
        <v>300</v>
      </c>
      <c r="I166" s="14">
        <v>200</v>
      </c>
      <c r="J166" s="14"/>
      <c r="K166" s="14" t="s">
        <v>72</v>
      </c>
      <c r="L166" s="14" t="s">
        <v>76</v>
      </c>
      <c r="M166" s="14" t="s">
        <v>77</v>
      </c>
      <c r="N166" s="14"/>
      <c r="O166" s="14"/>
      <c r="P166" s="14"/>
      <c r="Q166" s="14">
        <v>100</v>
      </c>
      <c r="R166" s="14">
        <v>193</v>
      </c>
      <c r="S166" s="14"/>
      <c r="T166" s="15">
        <v>200</v>
      </c>
      <c r="U166" s="16"/>
      <c r="V166" s="17">
        <v>5</v>
      </c>
      <c r="W166" s="17">
        <f t="shared" si="16"/>
        <v>1000</v>
      </c>
      <c r="X166" s="17">
        <f t="shared" si="17"/>
        <v>52</v>
      </c>
      <c r="Y166" s="17">
        <v>10</v>
      </c>
      <c r="Z166" s="17">
        <f t="shared" si="18"/>
        <v>20</v>
      </c>
      <c r="AA166" s="17">
        <f t="shared" si="19"/>
        <v>1.3333333333333339</v>
      </c>
      <c r="AB166" s="17">
        <f>+VLOOKUP(E166,[1]base!M:N,2,0)</f>
        <v>1063</v>
      </c>
      <c r="AC166" s="17">
        <f>+VLOOKUP(E166,[1]base!M:Q,5,0)</f>
        <v>2305.5454545454545</v>
      </c>
      <c r="AD166" s="18">
        <f>+VLOOKUP(E166,[1]base!M:P,4,0)</f>
        <v>6.5420560747663555E-3</v>
      </c>
      <c r="AE166" s="19">
        <f t="shared" si="20"/>
        <v>311.94579439252334</v>
      </c>
    </row>
    <row r="167" spans="1:31" x14ac:dyDescent="0.25">
      <c r="A167" s="20" t="s">
        <v>256</v>
      </c>
      <c r="B167" s="11">
        <v>46182.646817129629</v>
      </c>
      <c r="C167" s="12" t="s">
        <v>83</v>
      </c>
      <c r="D167" s="12" t="s">
        <v>253</v>
      </c>
      <c r="E167" s="13" t="str">
        <f t="shared" si="14"/>
        <v>EC40166</v>
      </c>
      <c r="F167" s="14" t="str">
        <f t="shared" si="15"/>
        <v>BLC</v>
      </c>
      <c r="G167" s="14">
        <f>+VLOOKUP(F167,[1]base!A:B,2,0)</f>
        <v>1</v>
      </c>
      <c r="H167" s="14">
        <v>100</v>
      </c>
      <c r="I167" s="14">
        <v>50</v>
      </c>
      <c r="J167" s="14"/>
      <c r="K167" s="14" t="s">
        <v>72</v>
      </c>
      <c r="L167" s="14" t="s">
        <v>76</v>
      </c>
      <c r="M167" s="14" t="s">
        <v>77</v>
      </c>
      <c r="N167" s="14"/>
      <c r="O167" s="14"/>
      <c r="P167" s="14"/>
      <c r="Q167" s="14">
        <v>100</v>
      </c>
      <c r="R167" s="14">
        <v>193</v>
      </c>
      <c r="S167" s="14"/>
      <c r="T167" s="15">
        <v>50</v>
      </c>
      <c r="U167" s="16"/>
      <c r="V167" s="17">
        <v>5</v>
      </c>
      <c r="W167" s="17">
        <f t="shared" si="16"/>
        <v>250</v>
      </c>
      <c r="X167" s="17">
        <f t="shared" si="17"/>
        <v>13</v>
      </c>
      <c r="Y167" s="17">
        <v>10</v>
      </c>
      <c r="Z167" s="17">
        <f t="shared" si="18"/>
        <v>5</v>
      </c>
      <c r="AA167" s="17">
        <f t="shared" si="19"/>
        <v>0.33333333333333348</v>
      </c>
      <c r="AB167" s="17">
        <f>+VLOOKUP(E167,[1]base!M:N,2,0)</f>
        <v>1063</v>
      </c>
      <c r="AC167" s="17">
        <f>+VLOOKUP(E167,[1]base!M:Q,5,0)</f>
        <v>2305.5454545454545</v>
      </c>
      <c r="AD167" s="18">
        <f>+VLOOKUP(E167,[1]base!M:P,4,0)</f>
        <v>6.5420560747663555E-3</v>
      </c>
      <c r="AE167" s="19">
        <f t="shared" si="20"/>
        <v>311.94579439252334</v>
      </c>
    </row>
    <row r="168" spans="1:31" x14ac:dyDescent="0.25">
      <c r="A168" s="20" t="s">
        <v>257</v>
      </c>
      <c r="B168" s="11">
        <v>46193.325995370367</v>
      </c>
      <c r="C168" s="12" t="s">
        <v>258</v>
      </c>
      <c r="D168" s="12" t="s">
        <v>253</v>
      </c>
      <c r="E168" s="13" t="str">
        <f t="shared" si="14"/>
        <v>EC40166</v>
      </c>
      <c r="F168" s="14" t="str">
        <f t="shared" si="15"/>
        <v>BLC</v>
      </c>
      <c r="G168" s="14">
        <f>+VLOOKUP(F168,[1]base!A:B,2,0)</f>
        <v>1</v>
      </c>
      <c r="H168" s="14">
        <v>50</v>
      </c>
      <c r="I168" s="14">
        <v>50</v>
      </c>
      <c r="J168" s="14"/>
      <c r="K168" s="14" t="s">
        <v>33</v>
      </c>
      <c r="L168" s="14" t="s">
        <v>76</v>
      </c>
      <c r="M168" s="14" t="s">
        <v>77</v>
      </c>
      <c r="N168" s="14"/>
      <c r="O168" s="14"/>
      <c r="P168" s="14"/>
      <c r="Q168" s="14">
        <v>0</v>
      </c>
      <c r="R168" s="14">
        <v>193</v>
      </c>
      <c r="S168" s="14"/>
      <c r="T168" s="15">
        <v>50</v>
      </c>
      <c r="U168" s="16"/>
      <c r="V168" s="17">
        <v>38</v>
      </c>
      <c r="W168" s="17">
        <f t="shared" si="16"/>
        <v>1900</v>
      </c>
      <c r="X168" s="17">
        <f t="shared" si="17"/>
        <v>98.8</v>
      </c>
      <c r="Y168" s="17">
        <v>43</v>
      </c>
      <c r="Z168" s="17">
        <f t="shared" si="18"/>
        <v>2</v>
      </c>
      <c r="AA168" s="17">
        <f t="shared" si="19"/>
        <v>0.13333333333333339</v>
      </c>
      <c r="AB168" s="17">
        <f>+VLOOKUP(E168,[1]base!M:N,2,0)</f>
        <v>1063</v>
      </c>
      <c r="AC168" s="17">
        <f>+VLOOKUP(E168,[1]base!M:Q,5,0)</f>
        <v>2305.5454545454545</v>
      </c>
      <c r="AD168" s="18">
        <f>+VLOOKUP(E168,[1]base!M:P,4,0)</f>
        <v>6.5420560747663555E-3</v>
      </c>
      <c r="AE168" s="19">
        <f t="shared" si="20"/>
        <v>311.94579439252334</v>
      </c>
    </row>
    <row r="169" spans="1:31" x14ac:dyDescent="0.25">
      <c r="A169" s="20" t="s">
        <v>259</v>
      </c>
      <c r="B169" s="11">
        <v>46199.294722222221</v>
      </c>
      <c r="C169" s="12" t="s">
        <v>130</v>
      </c>
      <c r="D169" s="12" t="s">
        <v>253</v>
      </c>
      <c r="E169" s="13" t="str">
        <f t="shared" si="14"/>
        <v>EC40166</v>
      </c>
      <c r="F169" s="14" t="str">
        <f t="shared" si="15"/>
        <v>BLC</v>
      </c>
      <c r="G169" s="14">
        <f>+VLOOKUP(F169,[1]base!A:B,2,0)</f>
        <v>1</v>
      </c>
      <c r="H169" s="14">
        <v>50</v>
      </c>
      <c r="I169" s="14">
        <v>50</v>
      </c>
      <c r="J169" s="14"/>
      <c r="K169" s="14" t="s">
        <v>33</v>
      </c>
      <c r="L169" s="14" t="s">
        <v>76</v>
      </c>
      <c r="M169" s="14" t="s">
        <v>77</v>
      </c>
      <c r="N169" s="14"/>
      <c r="O169" s="14"/>
      <c r="P169" s="14"/>
      <c r="Q169" s="14">
        <v>0</v>
      </c>
      <c r="R169" s="14">
        <v>193</v>
      </c>
      <c r="S169" s="14"/>
      <c r="T169" s="15">
        <v>50</v>
      </c>
      <c r="U169" s="16"/>
      <c r="V169" s="17">
        <v>54</v>
      </c>
      <c r="W169" s="17">
        <f t="shared" si="16"/>
        <v>2700</v>
      </c>
      <c r="X169" s="17">
        <f t="shared" si="17"/>
        <v>140.4</v>
      </c>
      <c r="Y169" s="17">
        <v>59</v>
      </c>
      <c r="Z169" s="17">
        <f t="shared" si="18"/>
        <v>1</v>
      </c>
      <c r="AA169" s="17">
        <f t="shared" si="19"/>
        <v>6.6666666666666693E-2</v>
      </c>
      <c r="AB169" s="17">
        <f>+VLOOKUP(E169,[1]base!M:N,2,0)</f>
        <v>1063</v>
      </c>
      <c r="AC169" s="17">
        <f>+VLOOKUP(E169,[1]base!M:Q,5,0)</f>
        <v>2305.5454545454545</v>
      </c>
      <c r="AD169" s="18">
        <f>+VLOOKUP(E169,[1]base!M:P,4,0)</f>
        <v>6.5420560747663555E-3</v>
      </c>
      <c r="AE169" s="19">
        <f t="shared" si="20"/>
        <v>311.94579439252334</v>
      </c>
    </row>
    <row r="170" spans="1:31" x14ac:dyDescent="0.25">
      <c r="A170" s="20" t="s">
        <v>74</v>
      </c>
      <c r="B170" s="11">
        <v>46199.498495370368</v>
      </c>
      <c r="C170" s="12" t="s">
        <v>39</v>
      </c>
      <c r="D170" s="12" t="s">
        <v>253</v>
      </c>
      <c r="E170" s="13" t="str">
        <f t="shared" si="14"/>
        <v>EC40166</v>
      </c>
      <c r="F170" s="14" t="str">
        <f t="shared" si="15"/>
        <v>BLC</v>
      </c>
      <c r="G170" s="14">
        <f>+VLOOKUP(F170,[1]base!A:B,2,0)</f>
        <v>1</v>
      </c>
      <c r="H170" s="14">
        <v>200</v>
      </c>
      <c r="I170" s="14">
        <v>200</v>
      </c>
      <c r="J170" s="14"/>
      <c r="K170" s="14" t="s">
        <v>33</v>
      </c>
      <c r="L170" s="14" t="s">
        <v>76</v>
      </c>
      <c r="M170" s="14" t="s">
        <v>77</v>
      </c>
      <c r="N170" s="14"/>
      <c r="O170" s="14"/>
      <c r="P170" s="14"/>
      <c r="Q170" s="14">
        <v>0</v>
      </c>
      <c r="R170" s="14">
        <v>193</v>
      </c>
      <c r="S170" s="14"/>
      <c r="T170" s="15">
        <v>200</v>
      </c>
      <c r="U170" s="16"/>
      <c r="V170" s="17">
        <v>56</v>
      </c>
      <c r="W170" s="17">
        <f t="shared" si="16"/>
        <v>11200</v>
      </c>
      <c r="X170" s="17">
        <f t="shared" si="17"/>
        <v>582.4</v>
      </c>
      <c r="Y170" s="17">
        <v>61</v>
      </c>
      <c r="Z170" s="17">
        <f t="shared" si="18"/>
        <v>4</v>
      </c>
      <c r="AA170" s="17">
        <f t="shared" si="19"/>
        <v>0.26666666666666677</v>
      </c>
      <c r="AB170" s="17">
        <f>+VLOOKUP(E170,[1]base!M:N,2,0)</f>
        <v>1063</v>
      </c>
      <c r="AC170" s="17">
        <f>+VLOOKUP(E170,[1]base!M:Q,5,0)</f>
        <v>2305.5454545454545</v>
      </c>
      <c r="AD170" s="18">
        <f>+VLOOKUP(E170,[1]base!M:P,4,0)</f>
        <v>6.5420560747663555E-3</v>
      </c>
      <c r="AE170" s="19">
        <f t="shared" si="20"/>
        <v>311.94579439252334</v>
      </c>
    </row>
    <row r="171" spans="1:31" x14ac:dyDescent="0.25">
      <c r="A171" s="20" t="s">
        <v>89</v>
      </c>
      <c r="B171" s="11">
        <v>46212.477118055554</v>
      </c>
      <c r="C171" s="12" t="s">
        <v>39</v>
      </c>
      <c r="D171" s="12" t="s">
        <v>253</v>
      </c>
      <c r="E171" s="13" t="str">
        <f t="shared" si="14"/>
        <v>EC40166</v>
      </c>
      <c r="F171" s="14" t="str">
        <f t="shared" si="15"/>
        <v>BLC</v>
      </c>
      <c r="G171" s="14">
        <f>+VLOOKUP(F171,[1]base!A:B,2,0)</f>
        <v>1</v>
      </c>
      <c r="H171" s="14">
        <v>400</v>
      </c>
      <c r="I171" s="14">
        <v>270</v>
      </c>
      <c r="J171" s="14"/>
      <c r="K171" s="14" t="s">
        <v>72</v>
      </c>
      <c r="L171" s="14" t="s">
        <v>76</v>
      </c>
      <c r="M171" s="14" t="s">
        <v>77</v>
      </c>
      <c r="N171" s="14"/>
      <c r="O171" s="14"/>
      <c r="P171" s="14"/>
      <c r="Q171" s="14">
        <v>600</v>
      </c>
      <c r="R171" s="14">
        <v>193</v>
      </c>
      <c r="S171" s="14"/>
      <c r="T171" s="15">
        <v>270</v>
      </c>
      <c r="U171" s="16"/>
      <c r="V171" s="17">
        <v>95</v>
      </c>
      <c r="W171" s="17">
        <f t="shared" si="16"/>
        <v>25650</v>
      </c>
      <c r="X171" s="17">
        <f t="shared" si="17"/>
        <v>1333.8</v>
      </c>
      <c r="Y171" s="17">
        <v>100</v>
      </c>
      <c r="Z171" s="17">
        <f t="shared" si="18"/>
        <v>3</v>
      </c>
      <c r="AA171" s="17">
        <f t="shared" si="19"/>
        <v>0.20000000000000007</v>
      </c>
      <c r="AB171" s="17">
        <f>+VLOOKUP(E171,[1]base!M:N,2,0)</f>
        <v>1063</v>
      </c>
      <c r="AC171" s="17">
        <f>+VLOOKUP(E171,[1]base!M:Q,5,0)</f>
        <v>2305.5454545454545</v>
      </c>
      <c r="AD171" s="18">
        <f>+VLOOKUP(E171,[1]base!M:P,4,0)</f>
        <v>6.5420560747663555E-3</v>
      </c>
      <c r="AE171" s="19">
        <f t="shared" si="20"/>
        <v>311.94579439252334</v>
      </c>
    </row>
    <row r="172" spans="1:31" x14ac:dyDescent="0.25">
      <c r="A172" s="20" t="s">
        <v>247</v>
      </c>
      <c r="B172" s="11">
        <v>46218.473703703705</v>
      </c>
      <c r="C172" s="12" t="s">
        <v>248</v>
      </c>
      <c r="D172" s="12" t="s">
        <v>253</v>
      </c>
      <c r="E172" s="13" t="str">
        <f t="shared" si="14"/>
        <v>EC40166</v>
      </c>
      <c r="F172" s="14" t="str">
        <f t="shared" si="15"/>
        <v>BLC</v>
      </c>
      <c r="G172" s="14">
        <f>+VLOOKUP(F172,[1]base!A:B,2,0)</f>
        <v>1</v>
      </c>
      <c r="H172" s="14">
        <v>100</v>
      </c>
      <c r="I172" s="14">
        <v>10</v>
      </c>
      <c r="J172" s="14"/>
      <c r="K172" s="14" t="s">
        <v>33</v>
      </c>
      <c r="L172" s="14" t="s">
        <v>76</v>
      </c>
      <c r="M172" s="14" t="s">
        <v>77</v>
      </c>
      <c r="N172" s="14"/>
      <c r="O172" s="14"/>
      <c r="P172" s="14"/>
      <c r="Q172" s="14">
        <v>0</v>
      </c>
      <c r="R172" s="14">
        <v>193</v>
      </c>
      <c r="S172" s="14"/>
      <c r="T172" s="15">
        <v>10</v>
      </c>
      <c r="U172" s="16"/>
      <c r="V172" s="17">
        <v>116</v>
      </c>
      <c r="W172" s="17">
        <f t="shared" si="16"/>
        <v>1160</v>
      </c>
      <c r="X172" s="17">
        <f t="shared" si="17"/>
        <v>60.32</v>
      </c>
      <c r="Y172" s="17">
        <v>121</v>
      </c>
      <c r="Z172" s="17">
        <f t="shared" si="18"/>
        <v>1</v>
      </c>
      <c r="AA172" s="17">
        <f t="shared" si="19"/>
        <v>6.6666666666666693E-2</v>
      </c>
      <c r="AB172" s="17">
        <f>+VLOOKUP(E172,[1]base!M:N,2,0)</f>
        <v>1063</v>
      </c>
      <c r="AC172" s="17">
        <f>+VLOOKUP(E172,[1]base!M:Q,5,0)</f>
        <v>2305.5454545454545</v>
      </c>
      <c r="AD172" s="18">
        <f>+VLOOKUP(E172,[1]base!M:P,4,0)</f>
        <v>6.5420560747663555E-3</v>
      </c>
      <c r="AE172" s="19">
        <f t="shared" si="20"/>
        <v>311.94579439252334</v>
      </c>
    </row>
    <row r="173" spans="1:31" x14ac:dyDescent="0.25">
      <c r="A173" s="20" t="s">
        <v>188</v>
      </c>
      <c r="B173" s="11">
        <v>46219.315069444441</v>
      </c>
      <c r="C173" s="12" t="s">
        <v>169</v>
      </c>
      <c r="D173" s="12" t="s">
        <v>253</v>
      </c>
      <c r="E173" s="13" t="str">
        <f t="shared" si="14"/>
        <v>EC40166</v>
      </c>
      <c r="F173" s="14" t="str">
        <f t="shared" si="15"/>
        <v>BLC</v>
      </c>
      <c r="G173" s="14">
        <f>+VLOOKUP(F173,[1]base!A:B,2,0)</f>
        <v>1</v>
      </c>
      <c r="H173" s="14">
        <v>60</v>
      </c>
      <c r="I173" s="14">
        <v>50</v>
      </c>
      <c r="J173" s="14"/>
      <c r="K173" s="14" t="s">
        <v>72</v>
      </c>
      <c r="L173" s="14" t="s">
        <v>76</v>
      </c>
      <c r="M173" s="14" t="s">
        <v>77</v>
      </c>
      <c r="N173" s="14"/>
      <c r="O173" s="14"/>
      <c r="P173" s="14"/>
      <c r="Q173" s="14">
        <v>30</v>
      </c>
      <c r="R173" s="14">
        <v>193</v>
      </c>
      <c r="S173" s="14"/>
      <c r="T173" s="15">
        <v>50</v>
      </c>
      <c r="U173" s="16"/>
      <c r="V173" s="17">
        <v>123</v>
      </c>
      <c r="W173" s="17">
        <f t="shared" si="16"/>
        <v>6150</v>
      </c>
      <c r="X173" s="17">
        <f t="shared" si="17"/>
        <v>319.8</v>
      </c>
      <c r="Y173" s="17">
        <v>128</v>
      </c>
      <c r="Z173" s="17">
        <f t="shared" si="18"/>
        <v>1</v>
      </c>
      <c r="AA173" s="17">
        <f t="shared" si="19"/>
        <v>6.6666666666666693E-2</v>
      </c>
      <c r="AB173" s="17">
        <f>+VLOOKUP(E173,[1]base!M:N,2,0)</f>
        <v>1063</v>
      </c>
      <c r="AC173" s="17">
        <f>+VLOOKUP(E173,[1]base!M:Q,5,0)</f>
        <v>2305.5454545454545</v>
      </c>
      <c r="AD173" s="18">
        <f>+VLOOKUP(E173,[1]base!M:P,4,0)</f>
        <v>6.5420560747663555E-3</v>
      </c>
      <c r="AE173" s="19">
        <f t="shared" si="20"/>
        <v>311.94579439252334</v>
      </c>
    </row>
    <row r="174" spans="1:31" x14ac:dyDescent="0.25">
      <c r="A174" s="10" t="s">
        <v>123</v>
      </c>
      <c r="B174" s="11">
        <v>46220.474386574075</v>
      </c>
      <c r="C174" s="12" t="s">
        <v>124</v>
      </c>
      <c r="D174" s="12" t="s">
        <v>253</v>
      </c>
      <c r="E174" s="13" t="str">
        <f t="shared" si="14"/>
        <v>EC40166</v>
      </c>
      <c r="F174" s="14" t="str">
        <f t="shared" si="15"/>
        <v>BLC</v>
      </c>
      <c r="G174" s="14">
        <f>+VLOOKUP(F174,[1]base!A:B,2,0)</f>
        <v>1</v>
      </c>
      <c r="H174" s="14">
        <v>10</v>
      </c>
      <c r="I174" s="14">
        <v>10</v>
      </c>
      <c r="J174" s="14"/>
      <c r="K174" s="14" t="s">
        <v>33</v>
      </c>
      <c r="L174" s="14" t="s">
        <v>76</v>
      </c>
      <c r="M174" s="14" t="s">
        <v>77</v>
      </c>
      <c r="N174" s="14"/>
      <c r="O174" s="14"/>
      <c r="P174" s="14"/>
      <c r="Q174" s="14">
        <v>0</v>
      </c>
      <c r="R174" s="14">
        <v>193</v>
      </c>
      <c r="S174" s="14"/>
      <c r="T174" s="15">
        <v>10</v>
      </c>
      <c r="U174" s="16"/>
      <c r="V174" s="17">
        <v>162</v>
      </c>
      <c r="W174" s="17">
        <f t="shared" si="16"/>
        <v>1620</v>
      </c>
      <c r="X174" s="17">
        <f t="shared" si="17"/>
        <v>84.24</v>
      </c>
      <c r="Y174" s="17">
        <v>167</v>
      </c>
      <c r="Z174" s="17">
        <f t="shared" si="18"/>
        <v>1</v>
      </c>
      <c r="AA174" s="17">
        <f t="shared" si="19"/>
        <v>6.6666666666666693E-2</v>
      </c>
      <c r="AB174" s="17">
        <f>+VLOOKUP(E174,[1]base!M:N,2,0)</f>
        <v>1063</v>
      </c>
      <c r="AC174" s="17">
        <f>+VLOOKUP(E174,[1]base!M:Q,5,0)</f>
        <v>2305.5454545454545</v>
      </c>
      <c r="AD174" s="18">
        <f>+VLOOKUP(E174,[1]base!M:P,4,0)</f>
        <v>6.5420560747663555E-3</v>
      </c>
      <c r="AE174" s="19">
        <f t="shared" si="20"/>
        <v>311.94579439252334</v>
      </c>
    </row>
    <row r="175" spans="1:31" x14ac:dyDescent="0.25">
      <c r="A175" s="10" t="s">
        <v>260</v>
      </c>
      <c r="B175" s="11">
        <v>46225.543773148151</v>
      </c>
      <c r="C175" s="12" t="s">
        <v>88</v>
      </c>
      <c r="D175" s="12" t="s">
        <v>253</v>
      </c>
      <c r="E175" s="13" t="str">
        <f t="shared" si="14"/>
        <v>EC40166</v>
      </c>
      <c r="F175" s="14" t="str">
        <f t="shared" si="15"/>
        <v>BLC</v>
      </c>
      <c r="G175" s="14">
        <f>+VLOOKUP(F175,[1]base!A:B,2,0)</f>
        <v>1</v>
      </c>
      <c r="H175" s="14">
        <v>40</v>
      </c>
      <c r="I175" s="14">
        <v>40</v>
      </c>
      <c r="J175" s="14"/>
      <c r="K175" s="14" t="s">
        <v>72</v>
      </c>
      <c r="L175" s="14" t="s">
        <v>76</v>
      </c>
      <c r="M175" s="14" t="s">
        <v>77</v>
      </c>
      <c r="N175" s="14"/>
      <c r="O175" s="14"/>
      <c r="P175" s="14"/>
      <c r="Q175" s="14">
        <v>20</v>
      </c>
      <c r="R175" s="14">
        <v>193</v>
      </c>
      <c r="S175" s="14"/>
      <c r="T175" s="15">
        <v>40</v>
      </c>
      <c r="U175" s="16"/>
      <c r="V175" s="17">
        <v>195</v>
      </c>
      <c r="W175" s="17">
        <f t="shared" si="16"/>
        <v>7800</v>
      </c>
      <c r="X175" s="17">
        <f t="shared" si="17"/>
        <v>405.59999999999997</v>
      </c>
      <c r="Y175" s="17">
        <v>200</v>
      </c>
      <c r="Z175" s="17">
        <f t="shared" si="18"/>
        <v>1</v>
      </c>
      <c r="AA175" s="17">
        <f t="shared" si="19"/>
        <v>6.6666666666666693E-2</v>
      </c>
      <c r="AB175" s="17">
        <f>+VLOOKUP(E175,[1]base!M:N,2,0)</f>
        <v>1063</v>
      </c>
      <c r="AC175" s="17">
        <f>+VLOOKUP(E175,[1]base!M:Q,5,0)</f>
        <v>2305.5454545454545</v>
      </c>
      <c r="AD175" s="18">
        <f>+VLOOKUP(E175,[1]base!M:P,4,0)</f>
        <v>6.5420560747663555E-3</v>
      </c>
      <c r="AE175" s="19">
        <f t="shared" si="20"/>
        <v>311.94579439252334</v>
      </c>
    </row>
    <row r="176" spans="1:31" x14ac:dyDescent="0.25">
      <c r="A176" s="10" t="s">
        <v>106</v>
      </c>
      <c r="B176" s="11">
        <v>46226.41915509259</v>
      </c>
      <c r="C176" s="12" t="s">
        <v>107</v>
      </c>
      <c r="D176" s="12" t="s">
        <v>253</v>
      </c>
      <c r="E176" s="13" t="str">
        <f t="shared" si="14"/>
        <v>EC40166</v>
      </c>
      <c r="F176" s="14" t="str">
        <f t="shared" si="15"/>
        <v>BLC</v>
      </c>
      <c r="G176" s="14">
        <f>+VLOOKUP(F176,[1]base!A:B,2,0)</f>
        <v>1</v>
      </c>
      <c r="H176" s="14">
        <v>50</v>
      </c>
      <c r="I176" s="14">
        <v>50</v>
      </c>
      <c r="J176" s="14"/>
      <c r="K176" s="14" t="s">
        <v>72</v>
      </c>
      <c r="L176" s="14" t="s">
        <v>76</v>
      </c>
      <c r="M176" s="14" t="s">
        <v>77</v>
      </c>
      <c r="N176" s="14"/>
      <c r="O176" s="14"/>
      <c r="P176" s="14"/>
      <c r="Q176" s="14">
        <v>20</v>
      </c>
      <c r="R176" s="14">
        <v>193</v>
      </c>
      <c r="S176" s="14"/>
      <c r="T176" s="15">
        <v>50</v>
      </c>
      <c r="U176" s="16"/>
      <c r="V176" s="17">
        <v>238</v>
      </c>
      <c r="W176" s="17">
        <f t="shared" si="16"/>
        <v>11900</v>
      </c>
      <c r="X176" s="17">
        <f t="shared" si="17"/>
        <v>618.79999999999995</v>
      </c>
      <c r="Y176" s="17">
        <v>243</v>
      </c>
      <c r="Z176" s="17">
        <f t="shared" si="18"/>
        <v>1</v>
      </c>
      <c r="AA176" s="17">
        <f t="shared" si="19"/>
        <v>6.6666666666666693E-2</v>
      </c>
      <c r="AB176" s="17">
        <f>+VLOOKUP(E176,[1]base!M:N,2,0)</f>
        <v>1063</v>
      </c>
      <c r="AC176" s="17">
        <f>+VLOOKUP(E176,[1]base!M:Q,5,0)</f>
        <v>2305.5454545454545</v>
      </c>
      <c r="AD176" s="18">
        <f>+VLOOKUP(E176,[1]base!M:P,4,0)</f>
        <v>6.5420560747663555E-3</v>
      </c>
      <c r="AE176" s="19">
        <f t="shared" si="20"/>
        <v>311.94579439252334</v>
      </c>
    </row>
    <row r="177" spans="1:31" x14ac:dyDescent="0.25">
      <c r="A177" s="10" t="s">
        <v>135</v>
      </c>
      <c r="B177" s="11">
        <v>46228.27648148148</v>
      </c>
      <c r="C177" s="12" t="s">
        <v>130</v>
      </c>
      <c r="D177" s="12" t="s">
        <v>253</v>
      </c>
      <c r="E177" s="13" t="str">
        <f t="shared" si="14"/>
        <v>EC40166</v>
      </c>
      <c r="F177" s="14" t="str">
        <f t="shared" si="15"/>
        <v>BLC</v>
      </c>
      <c r="G177" s="14">
        <f>+VLOOKUP(F177,[1]base!A:B,2,0)</f>
        <v>1</v>
      </c>
      <c r="H177" s="14">
        <v>50</v>
      </c>
      <c r="I177" s="14">
        <v>50</v>
      </c>
      <c r="J177" s="14"/>
      <c r="K177" s="14" t="s">
        <v>33</v>
      </c>
      <c r="L177" s="14" t="s">
        <v>76</v>
      </c>
      <c r="M177" s="14" t="s">
        <v>77</v>
      </c>
      <c r="N177" s="14"/>
      <c r="O177" s="14"/>
      <c r="P177" s="14"/>
      <c r="Q177" s="14">
        <v>0</v>
      </c>
      <c r="R177" s="14">
        <v>193</v>
      </c>
      <c r="S177" s="14"/>
      <c r="T177" s="15">
        <v>50</v>
      </c>
      <c r="U177" s="16"/>
      <c r="V177" s="17">
        <v>265</v>
      </c>
      <c r="W177" s="17">
        <f t="shared" si="16"/>
        <v>13250</v>
      </c>
      <c r="X177" s="17">
        <f t="shared" si="17"/>
        <v>689</v>
      </c>
      <c r="Y177" s="17">
        <v>270</v>
      </c>
      <c r="Z177" s="17">
        <f t="shared" si="18"/>
        <v>1</v>
      </c>
      <c r="AA177" s="17">
        <f t="shared" si="19"/>
        <v>6.6666666666666693E-2</v>
      </c>
      <c r="AB177" s="17">
        <f>+VLOOKUP(E177,[1]base!M:N,2,0)</f>
        <v>1063</v>
      </c>
      <c r="AC177" s="17">
        <f>+VLOOKUP(E177,[1]base!M:Q,5,0)</f>
        <v>2305.5454545454545</v>
      </c>
      <c r="AD177" s="18">
        <f>+VLOOKUP(E177,[1]base!M:P,4,0)</f>
        <v>6.5420560747663555E-3</v>
      </c>
      <c r="AE177" s="19">
        <f t="shared" si="20"/>
        <v>311.94579439252334</v>
      </c>
    </row>
    <row r="178" spans="1:31" x14ac:dyDescent="0.25">
      <c r="A178" s="10" t="s">
        <v>182</v>
      </c>
      <c r="B178" s="11">
        <v>46228.359699074077</v>
      </c>
      <c r="C178" s="12" t="s">
        <v>183</v>
      </c>
      <c r="D178" s="12" t="s">
        <v>253</v>
      </c>
      <c r="E178" s="13" t="str">
        <f t="shared" si="14"/>
        <v>EC40166</v>
      </c>
      <c r="F178" s="14" t="str">
        <f t="shared" si="15"/>
        <v>BLC</v>
      </c>
      <c r="G178" s="14">
        <f>+VLOOKUP(F178,[1]base!A:B,2,0)</f>
        <v>1</v>
      </c>
      <c r="H178" s="14">
        <v>50</v>
      </c>
      <c r="I178" s="14">
        <v>6</v>
      </c>
      <c r="J178" s="14"/>
      <c r="K178" s="14" t="s">
        <v>33</v>
      </c>
      <c r="L178" s="14" t="s">
        <v>76</v>
      </c>
      <c r="M178" s="14" t="s">
        <v>77</v>
      </c>
      <c r="N178" s="14"/>
      <c r="O178" s="14"/>
      <c r="P178" s="14"/>
      <c r="Q178" s="14">
        <v>0</v>
      </c>
      <c r="R178" s="14">
        <v>193</v>
      </c>
      <c r="S178" s="14"/>
      <c r="T178" s="15">
        <v>6</v>
      </c>
      <c r="U178" s="16"/>
      <c r="V178" s="17">
        <v>284</v>
      </c>
      <c r="W178" s="17">
        <f t="shared" si="16"/>
        <v>1704</v>
      </c>
      <c r="X178" s="17">
        <f t="shared" si="17"/>
        <v>88.60799999999999</v>
      </c>
      <c r="Y178" s="17">
        <v>289</v>
      </c>
      <c r="Z178" s="17">
        <f t="shared" si="18"/>
        <v>1</v>
      </c>
      <c r="AA178" s="17">
        <f t="shared" si="19"/>
        <v>6.6666666666666693E-2</v>
      </c>
      <c r="AB178" s="17">
        <f>+VLOOKUP(E178,[1]base!M:N,2,0)</f>
        <v>1063</v>
      </c>
      <c r="AC178" s="17">
        <f>+VLOOKUP(E178,[1]base!M:Q,5,0)</f>
        <v>2305.5454545454545</v>
      </c>
      <c r="AD178" s="18">
        <f>+VLOOKUP(E178,[1]base!M:P,4,0)</f>
        <v>6.5420560747663555E-3</v>
      </c>
      <c r="AE178" s="19">
        <f t="shared" si="20"/>
        <v>311.94579439252334</v>
      </c>
    </row>
    <row r="179" spans="1:31" x14ac:dyDescent="0.25">
      <c r="A179" s="10" t="s">
        <v>192</v>
      </c>
      <c r="B179" s="11">
        <v>46231.506886574076</v>
      </c>
      <c r="C179" s="12" t="s">
        <v>83</v>
      </c>
      <c r="D179" s="12" t="s">
        <v>253</v>
      </c>
      <c r="E179" s="13" t="str">
        <f t="shared" si="14"/>
        <v>EC40166</v>
      </c>
      <c r="F179" s="14" t="str">
        <f t="shared" si="15"/>
        <v>BLC</v>
      </c>
      <c r="G179" s="14">
        <f>+VLOOKUP(F179,[1]base!A:B,2,0)</f>
        <v>1</v>
      </c>
      <c r="H179" s="14">
        <v>50</v>
      </c>
      <c r="I179" s="14">
        <v>50</v>
      </c>
      <c r="J179" s="14"/>
      <c r="K179" s="14" t="s">
        <v>33</v>
      </c>
      <c r="L179" s="14" t="s">
        <v>76</v>
      </c>
      <c r="M179" s="14" t="s">
        <v>77</v>
      </c>
      <c r="N179" s="14"/>
      <c r="O179" s="14"/>
      <c r="P179" s="14"/>
      <c r="Q179" s="14">
        <v>0</v>
      </c>
      <c r="R179" s="14">
        <v>193</v>
      </c>
      <c r="S179" s="14"/>
      <c r="T179" s="15">
        <v>50</v>
      </c>
      <c r="U179" s="16"/>
      <c r="V179" s="17">
        <v>302</v>
      </c>
      <c r="W179" s="17">
        <f t="shared" si="16"/>
        <v>15100</v>
      </c>
      <c r="X179" s="17">
        <f t="shared" si="17"/>
        <v>785.19999999999993</v>
      </c>
      <c r="Y179" s="17">
        <v>307</v>
      </c>
      <c r="Z179" s="17">
        <f t="shared" si="18"/>
        <v>1</v>
      </c>
      <c r="AA179" s="17">
        <f t="shared" si="19"/>
        <v>6.6666666666666693E-2</v>
      </c>
      <c r="AB179" s="17">
        <f>+VLOOKUP(E179,[1]base!M:N,2,0)</f>
        <v>1063</v>
      </c>
      <c r="AC179" s="17">
        <f>+VLOOKUP(E179,[1]base!M:Q,5,0)</f>
        <v>2305.5454545454545</v>
      </c>
      <c r="AD179" s="18">
        <f>+VLOOKUP(E179,[1]base!M:P,4,0)</f>
        <v>6.5420560747663555E-3</v>
      </c>
      <c r="AE179" s="19">
        <f t="shared" si="20"/>
        <v>311.94579439252334</v>
      </c>
    </row>
    <row r="180" spans="1:31" x14ac:dyDescent="0.25">
      <c r="A180" s="10" t="s">
        <v>87</v>
      </c>
      <c r="B180" s="11">
        <v>46235.515706018516</v>
      </c>
      <c r="C180" s="12" t="s">
        <v>88</v>
      </c>
      <c r="D180" s="12" t="s">
        <v>253</v>
      </c>
      <c r="E180" s="13" t="str">
        <f t="shared" si="14"/>
        <v>EC40166</v>
      </c>
      <c r="F180" s="14" t="str">
        <f t="shared" si="15"/>
        <v>BLC</v>
      </c>
      <c r="G180" s="14">
        <f>+VLOOKUP(F180,[1]base!A:B,2,0)</f>
        <v>1</v>
      </c>
      <c r="H180" s="14">
        <v>100</v>
      </c>
      <c r="I180" s="14">
        <v>100</v>
      </c>
      <c r="J180" s="14"/>
      <c r="K180" s="14" t="s">
        <v>72</v>
      </c>
      <c r="L180" s="14" t="s">
        <v>76</v>
      </c>
      <c r="M180" s="14" t="s">
        <v>77</v>
      </c>
      <c r="N180" s="14"/>
      <c r="O180" s="14"/>
      <c r="P180" s="14"/>
      <c r="Q180" s="14">
        <v>10</v>
      </c>
      <c r="R180" s="14">
        <v>193</v>
      </c>
      <c r="S180" s="14"/>
      <c r="T180" s="15">
        <v>100</v>
      </c>
      <c r="U180" s="16"/>
      <c r="V180" s="17">
        <v>341</v>
      </c>
      <c r="W180" s="17">
        <f t="shared" si="16"/>
        <v>34100</v>
      </c>
      <c r="X180" s="17">
        <f t="shared" si="17"/>
        <v>1773.1999999999998</v>
      </c>
      <c r="Y180" s="17">
        <v>346</v>
      </c>
      <c r="Z180" s="17">
        <f t="shared" si="18"/>
        <v>1</v>
      </c>
      <c r="AA180" s="17">
        <f t="shared" si="19"/>
        <v>6.6666666666666693E-2</v>
      </c>
      <c r="AB180" s="17">
        <f>+VLOOKUP(E180,[1]base!M:N,2,0)</f>
        <v>1063</v>
      </c>
      <c r="AC180" s="17">
        <f>+VLOOKUP(E180,[1]base!M:Q,5,0)</f>
        <v>2305.5454545454545</v>
      </c>
      <c r="AD180" s="18">
        <f>+VLOOKUP(E180,[1]base!M:P,4,0)</f>
        <v>6.5420560747663555E-3</v>
      </c>
      <c r="AE180" s="19">
        <f t="shared" si="20"/>
        <v>311.94579439252334</v>
      </c>
    </row>
    <row r="181" spans="1:31" x14ac:dyDescent="0.25">
      <c r="A181" s="10" t="s">
        <v>111</v>
      </c>
      <c r="B181" s="11">
        <v>46240.550856481481</v>
      </c>
      <c r="C181" s="12" t="s">
        <v>112</v>
      </c>
      <c r="D181" s="12" t="s">
        <v>253</v>
      </c>
      <c r="E181" s="13" t="str">
        <f t="shared" si="14"/>
        <v>EC40166</v>
      </c>
      <c r="F181" s="14" t="str">
        <f t="shared" si="15"/>
        <v>BLC</v>
      </c>
      <c r="G181" s="14">
        <f>+VLOOKUP(F181,[1]base!A:B,2,0)</f>
        <v>1</v>
      </c>
      <c r="H181" s="14">
        <v>50</v>
      </c>
      <c r="I181" s="14">
        <v>50</v>
      </c>
      <c r="J181" s="14"/>
      <c r="K181" s="14" t="s">
        <v>33</v>
      </c>
      <c r="L181" s="14" t="s">
        <v>76</v>
      </c>
      <c r="M181" s="14" t="s">
        <v>77</v>
      </c>
      <c r="N181" s="14"/>
      <c r="O181" s="14"/>
      <c r="P181" s="14"/>
      <c r="Q181" s="14">
        <v>0</v>
      </c>
      <c r="R181" s="14">
        <v>193</v>
      </c>
      <c r="S181" s="14"/>
      <c r="T181" s="15">
        <v>50</v>
      </c>
      <c r="U181" s="16"/>
      <c r="V181" s="17">
        <v>399</v>
      </c>
      <c r="W181" s="17">
        <f t="shared" si="16"/>
        <v>19950</v>
      </c>
      <c r="X181" s="17">
        <f t="shared" si="17"/>
        <v>1037.3999999999999</v>
      </c>
      <c r="Y181" s="17">
        <v>404</v>
      </c>
      <c r="Z181" s="17">
        <f t="shared" si="18"/>
        <v>1</v>
      </c>
      <c r="AA181" s="17">
        <f t="shared" si="19"/>
        <v>6.6666666666666693E-2</v>
      </c>
      <c r="AB181" s="17">
        <f>+VLOOKUP(E181,[1]base!M:N,2,0)</f>
        <v>1063</v>
      </c>
      <c r="AC181" s="17">
        <f>+VLOOKUP(E181,[1]base!M:Q,5,0)</f>
        <v>2305.5454545454545</v>
      </c>
      <c r="AD181" s="18">
        <f>+VLOOKUP(E181,[1]base!M:P,4,0)</f>
        <v>6.5420560747663555E-3</v>
      </c>
      <c r="AE181" s="19">
        <f t="shared" si="20"/>
        <v>311.94579439252334</v>
      </c>
    </row>
    <row r="182" spans="1:31" x14ac:dyDescent="0.25">
      <c r="A182" s="10" t="s">
        <v>136</v>
      </c>
      <c r="B182" s="11">
        <v>46244.318136574075</v>
      </c>
      <c r="C182" s="12" t="s">
        <v>130</v>
      </c>
      <c r="D182" s="12" t="s">
        <v>253</v>
      </c>
      <c r="E182" s="13" t="str">
        <f t="shared" si="14"/>
        <v>EC40166</v>
      </c>
      <c r="F182" s="14" t="str">
        <f t="shared" si="15"/>
        <v>BLC</v>
      </c>
      <c r="G182" s="14">
        <f>+VLOOKUP(F182,[1]base!A:B,2,0)</f>
        <v>1</v>
      </c>
      <c r="H182" s="14">
        <v>50</v>
      </c>
      <c r="I182" s="14">
        <v>50</v>
      </c>
      <c r="J182" s="14"/>
      <c r="K182" s="14" t="s">
        <v>33</v>
      </c>
      <c r="L182" s="14" t="s">
        <v>76</v>
      </c>
      <c r="M182" s="14" t="s">
        <v>77</v>
      </c>
      <c r="N182" s="14"/>
      <c r="O182" s="14"/>
      <c r="P182" s="14"/>
      <c r="Q182" s="14">
        <v>0</v>
      </c>
      <c r="R182" s="14">
        <v>193</v>
      </c>
      <c r="S182" s="14"/>
      <c r="T182" s="15">
        <v>50</v>
      </c>
      <c r="U182" s="16"/>
      <c r="V182" s="17">
        <v>430</v>
      </c>
      <c r="W182" s="17">
        <f t="shared" si="16"/>
        <v>21500</v>
      </c>
      <c r="X182" s="17">
        <f t="shared" si="17"/>
        <v>1118</v>
      </c>
      <c r="Y182" s="17">
        <v>435</v>
      </c>
      <c r="Z182" s="17">
        <f t="shared" si="18"/>
        <v>1</v>
      </c>
      <c r="AA182" s="17">
        <f t="shared" si="19"/>
        <v>6.6666666666666693E-2</v>
      </c>
      <c r="AB182" s="17">
        <f>+VLOOKUP(E182,[1]base!M:N,2,0)</f>
        <v>1063</v>
      </c>
      <c r="AC182" s="17">
        <f>+VLOOKUP(E182,[1]base!M:Q,5,0)</f>
        <v>2305.5454545454545</v>
      </c>
      <c r="AD182" s="18">
        <f>+VLOOKUP(E182,[1]base!M:P,4,0)</f>
        <v>6.5420560747663555E-3</v>
      </c>
      <c r="AE182" s="19">
        <f t="shared" si="20"/>
        <v>311.94579439252334</v>
      </c>
    </row>
    <row r="183" spans="1:31" x14ac:dyDescent="0.25">
      <c r="A183" s="10" t="s">
        <v>113</v>
      </c>
      <c r="B183" s="11">
        <v>46246.568078703705</v>
      </c>
      <c r="C183" s="12" t="s">
        <v>39</v>
      </c>
      <c r="D183" s="12" t="s">
        <v>253</v>
      </c>
      <c r="E183" s="13" t="str">
        <f t="shared" si="14"/>
        <v>EC40166</v>
      </c>
      <c r="F183" s="14" t="str">
        <f t="shared" si="15"/>
        <v>BLC</v>
      </c>
      <c r="G183" s="14">
        <f>+VLOOKUP(F183,[1]base!A:B,2,0)</f>
        <v>1</v>
      </c>
      <c r="H183" s="14">
        <v>1000</v>
      </c>
      <c r="I183" s="14">
        <v>800</v>
      </c>
      <c r="J183" s="14"/>
      <c r="K183" s="14" t="s">
        <v>33</v>
      </c>
      <c r="L183" s="14" t="s">
        <v>76</v>
      </c>
      <c r="M183" s="14" t="s">
        <v>77</v>
      </c>
      <c r="N183" s="14"/>
      <c r="O183" s="14"/>
      <c r="P183" s="14"/>
      <c r="Q183" s="14">
        <v>0</v>
      </c>
      <c r="R183" s="14">
        <v>193</v>
      </c>
      <c r="S183" s="14"/>
      <c r="T183" s="15">
        <v>800</v>
      </c>
      <c r="U183" s="16"/>
      <c r="V183" s="17">
        <v>456</v>
      </c>
      <c r="W183" s="17">
        <f t="shared" si="16"/>
        <v>364800</v>
      </c>
      <c r="X183" s="17">
        <f t="shared" si="17"/>
        <v>18969.599999999999</v>
      </c>
      <c r="Y183" s="17">
        <v>461</v>
      </c>
      <c r="Z183" s="17">
        <f t="shared" si="18"/>
        <v>2</v>
      </c>
      <c r="AA183" s="17">
        <f t="shared" si="19"/>
        <v>0.13333333333333339</v>
      </c>
      <c r="AB183" s="17">
        <f>+VLOOKUP(E183,[1]base!M:N,2,0)</f>
        <v>1063</v>
      </c>
      <c r="AC183" s="17">
        <f>+VLOOKUP(E183,[1]base!M:Q,5,0)</f>
        <v>2305.5454545454545</v>
      </c>
      <c r="AD183" s="18">
        <f>+VLOOKUP(E183,[1]base!M:P,4,0)</f>
        <v>6.5420560747663555E-3</v>
      </c>
      <c r="AE183" s="19">
        <f t="shared" si="20"/>
        <v>311.94579439252334</v>
      </c>
    </row>
    <row r="184" spans="1:31" x14ac:dyDescent="0.25">
      <c r="A184" s="10" t="s">
        <v>213</v>
      </c>
      <c r="B184" s="11">
        <v>46247.480740740742</v>
      </c>
      <c r="C184" s="12" t="s">
        <v>210</v>
      </c>
      <c r="D184" s="12" t="s">
        <v>253</v>
      </c>
      <c r="E184" s="13" t="str">
        <f t="shared" si="14"/>
        <v>EC40166</v>
      </c>
      <c r="F184" s="14" t="str">
        <f t="shared" si="15"/>
        <v>BLC</v>
      </c>
      <c r="G184" s="14">
        <f>+VLOOKUP(F184,[1]base!A:B,2,0)</f>
        <v>1</v>
      </c>
      <c r="H184" s="14">
        <v>100</v>
      </c>
      <c r="I184" s="14">
        <v>100</v>
      </c>
      <c r="J184" s="14"/>
      <c r="K184" s="14" t="s">
        <v>33</v>
      </c>
      <c r="L184" s="14" t="s">
        <v>76</v>
      </c>
      <c r="M184" s="14" t="s">
        <v>77</v>
      </c>
      <c r="N184" s="14"/>
      <c r="O184" s="14"/>
      <c r="P184" s="14"/>
      <c r="Q184" s="14">
        <v>0</v>
      </c>
      <c r="R184" s="14">
        <v>193</v>
      </c>
      <c r="S184" s="14">
        <v>20</v>
      </c>
      <c r="T184" s="15">
        <v>100</v>
      </c>
      <c r="U184" s="16"/>
      <c r="V184" s="17">
        <v>466</v>
      </c>
      <c r="W184" s="17">
        <f t="shared" si="16"/>
        <v>46600</v>
      </c>
      <c r="X184" s="17">
        <f t="shared" si="17"/>
        <v>2423.1999999999998</v>
      </c>
      <c r="Y184" s="17">
        <v>471</v>
      </c>
      <c r="Z184" s="17">
        <f t="shared" si="18"/>
        <v>1</v>
      </c>
      <c r="AA184" s="17">
        <f t="shared" si="19"/>
        <v>6.6666666666666693E-2</v>
      </c>
      <c r="AB184" s="17">
        <f>+VLOOKUP(E184,[1]base!M:N,2,0)</f>
        <v>1063</v>
      </c>
      <c r="AC184" s="17">
        <f>+VLOOKUP(E184,[1]base!M:Q,5,0)</f>
        <v>2305.5454545454545</v>
      </c>
      <c r="AD184" s="18">
        <f>+VLOOKUP(E184,[1]base!M:P,4,0)</f>
        <v>6.5420560747663555E-3</v>
      </c>
      <c r="AE184" s="19">
        <f t="shared" si="20"/>
        <v>311.94579439252334</v>
      </c>
    </row>
    <row r="185" spans="1:31" x14ac:dyDescent="0.25">
      <c r="A185" s="10" t="s">
        <v>195</v>
      </c>
      <c r="B185" s="11">
        <v>46247.620497685188</v>
      </c>
      <c r="C185" s="12" t="s">
        <v>183</v>
      </c>
      <c r="D185" s="12" t="s">
        <v>253</v>
      </c>
      <c r="E185" s="13" t="str">
        <f t="shared" si="14"/>
        <v>EC40166</v>
      </c>
      <c r="F185" s="14" t="str">
        <f t="shared" si="15"/>
        <v>BLC</v>
      </c>
      <c r="G185" s="14">
        <f>+VLOOKUP(F185,[1]base!A:B,2,0)</f>
        <v>1</v>
      </c>
      <c r="H185" s="14">
        <v>40</v>
      </c>
      <c r="I185" s="14">
        <v>10</v>
      </c>
      <c r="J185" s="14"/>
      <c r="K185" s="14" t="s">
        <v>33</v>
      </c>
      <c r="L185" s="14" t="s">
        <v>76</v>
      </c>
      <c r="M185" s="14" t="s">
        <v>77</v>
      </c>
      <c r="N185" s="14"/>
      <c r="O185" s="14"/>
      <c r="P185" s="14"/>
      <c r="Q185" s="14">
        <v>0</v>
      </c>
      <c r="R185" s="14">
        <v>193</v>
      </c>
      <c r="S185" s="14"/>
      <c r="T185" s="15">
        <v>10</v>
      </c>
      <c r="U185" s="16"/>
      <c r="V185" s="17">
        <v>472</v>
      </c>
      <c r="W185" s="17">
        <f t="shared" si="16"/>
        <v>4720</v>
      </c>
      <c r="X185" s="17">
        <f t="shared" si="17"/>
        <v>245.44</v>
      </c>
      <c r="Y185" s="17">
        <v>477</v>
      </c>
      <c r="Z185" s="17">
        <f t="shared" si="18"/>
        <v>1</v>
      </c>
      <c r="AA185" s="17">
        <f t="shared" si="19"/>
        <v>6.6666666666666693E-2</v>
      </c>
      <c r="AB185" s="17">
        <f>+VLOOKUP(E185,[1]base!M:N,2,0)</f>
        <v>1063</v>
      </c>
      <c r="AC185" s="17">
        <f>+VLOOKUP(E185,[1]base!M:Q,5,0)</f>
        <v>2305.5454545454545</v>
      </c>
      <c r="AD185" s="18">
        <f>+VLOOKUP(E185,[1]base!M:P,4,0)</f>
        <v>6.5420560747663555E-3</v>
      </c>
      <c r="AE185" s="19">
        <f t="shared" si="20"/>
        <v>311.94579439252334</v>
      </c>
    </row>
    <row r="186" spans="1:31" x14ac:dyDescent="0.25">
      <c r="A186" s="10" t="s">
        <v>137</v>
      </c>
      <c r="B186" s="11">
        <v>46249.348900462966</v>
      </c>
      <c r="C186" s="12" t="s">
        <v>138</v>
      </c>
      <c r="D186" s="12" t="s">
        <v>253</v>
      </c>
      <c r="E186" s="13" t="str">
        <f t="shared" si="14"/>
        <v>EC40166</v>
      </c>
      <c r="F186" s="14" t="str">
        <f t="shared" si="15"/>
        <v>BLC</v>
      </c>
      <c r="G186" s="14">
        <f>+VLOOKUP(F186,[1]base!A:B,2,0)</f>
        <v>1</v>
      </c>
      <c r="H186" s="14">
        <v>40</v>
      </c>
      <c r="I186" s="14">
        <v>40</v>
      </c>
      <c r="J186" s="14"/>
      <c r="K186" s="14" t="s">
        <v>33</v>
      </c>
      <c r="L186" s="14" t="s">
        <v>76</v>
      </c>
      <c r="M186" s="14" t="s">
        <v>77</v>
      </c>
      <c r="N186" s="14"/>
      <c r="O186" s="14"/>
      <c r="P186" s="14"/>
      <c r="Q186" s="14">
        <v>0</v>
      </c>
      <c r="R186" s="14">
        <v>193</v>
      </c>
      <c r="S186" s="14"/>
      <c r="T186" s="15">
        <v>40</v>
      </c>
      <c r="U186" s="16"/>
      <c r="V186" s="17">
        <v>500</v>
      </c>
      <c r="W186" s="17">
        <f t="shared" si="16"/>
        <v>20000</v>
      </c>
      <c r="X186" s="17">
        <f t="shared" si="17"/>
        <v>1040</v>
      </c>
      <c r="Y186" s="17">
        <v>505</v>
      </c>
      <c r="Z186" s="17">
        <f t="shared" si="18"/>
        <v>1</v>
      </c>
      <c r="AA186" s="17">
        <f t="shared" si="19"/>
        <v>6.6666666666666693E-2</v>
      </c>
      <c r="AB186" s="17">
        <f>+VLOOKUP(E186,[1]base!M:N,2,0)</f>
        <v>1063</v>
      </c>
      <c r="AC186" s="17">
        <f>+VLOOKUP(E186,[1]base!M:Q,5,0)</f>
        <v>2305.5454545454545</v>
      </c>
      <c r="AD186" s="18">
        <f>+VLOOKUP(E186,[1]base!M:P,4,0)</f>
        <v>6.5420560747663555E-3</v>
      </c>
      <c r="AE186" s="19">
        <f t="shared" si="20"/>
        <v>311.94579439252334</v>
      </c>
    </row>
    <row r="187" spans="1:31" x14ac:dyDescent="0.25">
      <c r="A187" s="10" t="s">
        <v>186</v>
      </c>
      <c r="B187" s="11">
        <v>46249.396157407406</v>
      </c>
      <c r="C187" s="12" t="s">
        <v>86</v>
      </c>
      <c r="D187" s="12" t="s">
        <v>253</v>
      </c>
      <c r="E187" s="13" t="str">
        <f t="shared" si="14"/>
        <v>EC40166</v>
      </c>
      <c r="F187" s="14" t="str">
        <f t="shared" si="15"/>
        <v>BLC</v>
      </c>
      <c r="G187" s="14">
        <f>+VLOOKUP(F187,[1]base!A:B,2,0)</f>
        <v>1</v>
      </c>
      <c r="H187" s="14">
        <v>30</v>
      </c>
      <c r="I187" s="14">
        <v>30</v>
      </c>
      <c r="J187" s="14"/>
      <c r="K187" s="14" t="s">
        <v>33</v>
      </c>
      <c r="L187" s="14" t="s">
        <v>76</v>
      </c>
      <c r="M187" s="14" t="s">
        <v>77</v>
      </c>
      <c r="N187" s="14"/>
      <c r="O187" s="14"/>
      <c r="P187" s="14"/>
      <c r="Q187" s="14">
        <v>0</v>
      </c>
      <c r="R187" s="14">
        <v>193</v>
      </c>
      <c r="S187" s="14"/>
      <c r="T187" s="15">
        <v>30</v>
      </c>
      <c r="U187" s="16"/>
      <c r="V187" s="17">
        <v>504</v>
      </c>
      <c r="W187" s="17">
        <f t="shared" si="16"/>
        <v>15120</v>
      </c>
      <c r="X187" s="17">
        <f t="shared" si="17"/>
        <v>786.24</v>
      </c>
      <c r="Y187" s="17">
        <v>509</v>
      </c>
      <c r="Z187" s="17">
        <f t="shared" si="18"/>
        <v>1</v>
      </c>
      <c r="AA187" s="17">
        <f t="shared" si="19"/>
        <v>6.6666666666666693E-2</v>
      </c>
      <c r="AB187" s="17">
        <f>+VLOOKUP(E187,[1]base!M:N,2,0)</f>
        <v>1063</v>
      </c>
      <c r="AC187" s="17">
        <f>+VLOOKUP(E187,[1]base!M:Q,5,0)</f>
        <v>2305.5454545454545</v>
      </c>
      <c r="AD187" s="18">
        <f>+VLOOKUP(E187,[1]base!M:P,4,0)</f>
        <v>6.5420560747663555E-3</v>
      </c>
      <c r="AE187" s="19">
        <f t="shared" si="20"/>
        <v>311.94579439252334</v>
      </c>
    </row>
    <row r="188" spans="1:31" x14ac:dyDescent="0.25">
      <c r="A188" s="10" t="s">
        <v>125</v>
      </c>
      <c r="B188" s="11">
        <v>46253.521597222221</v>
      </c>
      <c r="C188" s="12" t="s">
        <v>126</v>
      </c>
      <c r="D188" s="12" t="s">
        <v>253</v>
      </c>
      <c r="E188" s="13" t="str">
        <f t="shared" si="14"/>
        <v>EC40166</v>
      </c>
      <c r="F188" s="14" t="str">
        <f t="shared" si="15"/>
        <v>BLC</v>
      </c>
      <c r="G188" s="14">
        <f>+VLOOKUP(F188,[1]base!A:B,2,0)</f>
        <v>1</v>
      </c>
      <c r="H188" s="14">
        <v>50</v>
      </c>
      <c r="I188" s="14">
        <v>50</v>
      </c>
      <c r="J188" s="14"/>
      <c r="K188" s="14" t="s">
        <v>33</v>
      </c>
      <c r="L188" s="14" t="s">
        <v>76</v>
      </c>
      <c r="M188" s="14" t="s">
        <v>77</v>
      </c>
      <c r="N188" s="14"/>
      <c r="O188" s="14"/>
      <c r="P188" s="14"/>
      <c r="Q188" s="14">
        <v>0</v>
      </c>
      <c r="R188" s="14">
        <v>193</v>
      </c>
      <c r="S188" s="14"/>
      <c r="T188" s="15">
        <v>50</v>
      </c>
      <c r="U188" s="16"/>
      <c r="V188" s="17">
        <v>529</v>
      </c>
      <c r="W188" s="17">
        <f t="shared" si="16"/>
        <v>26450</v>
      </c>
      <c r="X188" s="17">
        <f t="shared" si="17"/>
        <v>1375.3999999999999</v>
      </c>
      <c r="Y188" s="17">
        <v>534</v>
      </c>
      <c r="Z188" s="17">
        <f t="shared" si="18"/>
        <v>1</v>
      </c>
      <c r="AA188" s="17">
        <f t="shared" si="19"/>
        <v>6.6666666666666693E-2</v>
      </c>
      <c r="AB188" s="17">
        <f>+VLOOKUP(E188,[1]base!M:N,2,0)</f>
        <v>1063</v>
      </c>
      <c r="AC188" s="17">
        <f>+VLOOKUP(E188,[1]base!M:Q,5,0)</f>
        <v>2305.5454545454545</v>
      </c>
      <c r="AD188" s="18">
        <f>+VLOOKUP(E188,[1]base!M:P,4,0)</f>
        <v>6.5420560747663555E-3</v>
      </c>
      <c r="AE188" s="19">
        <f t="shared" si="20"/>
        <v>311.94579439252334</v>
      </c>
    </row>
    <row r="189" spans="1:31" x14ac:dyDescent="0.25">
      <c r="A189" s="10" t="s">
        <v>261</v>
      </c>
      <c r="B189" s="11">
        <v>46254.525277777779</v>
      </c>
      <c r="C189" s="12" t="s">
        <v>262</v>
      </c>
      <c r="D189" s="12" t="s">
        <v>253</v>
      </c>
      <c r="E189" s="13" t="str">
        <f t="shared" si="14"/>
        <v>EC40166</v>
      </c>
      <c r="F189" s="14" t="str">
        <f t="shared" si="15"/>
        <v>BLC</v>
      </c>
      <c r="G189" s="14">
        <f>+VLOOKUP(F189,[1]base!A:B,2,0)</f>
        <v>1</v>
      </c>
      <c r="H189" s="14">
        <v>100</v>
      </c>
      <c r="I189" s="14">
        <v>50</v>
      </c>
      <c r="J189" s="14"/>
      <c r="K189" s="14" t="s">
        <v>33</v>
      </c>
      <c r="L189" s="14" t="s">
        <v>76</v>
      </c>
      <c r="M189" s="14" t="s">
        <v>77</v>
      </c>
      <c r="N189" s="14"/>
      <c r="O189" s="14"/>
      <c r="P189" s="14"/>
      <c r="Q189" s="14">
        <v>0</v>
      </c>
      <c r="R189" s="14">
        <v>193</v>
      </c>
      <c r="S189" s="14">
        <v>20</v>
      </c>
      <c r="T189" s="15">
        <v>50</v>
      </c>
      <c r="U189" s="16"/>
      <c r="V189" s="17">
        <v>546</v>
      </c>
      <c r="W189" s="17">
        <f t="shared" si="16"/>
        <v>27300</v>
      </c>
      <c r="X189" s="17">
        <f t="shared" si="17"/>
        <v>1419.6</v>
      </c>
      <c r="Y189" s="17">
        <v>551</v>
      </c>
      <c r="Z189" s="17">
        <f t="shared" si="18"/>
        <v>1</v>
      </c>
      <c r="AA189" s="17">
        <f t="shared" si="19"/>
        <v>6.6666666666666693E-2</v>
      </c>
      <c r="AB189" s="17">
        <f>+VLOOKUP(E189,[1]base!M:N,2,0)</f>
        <v>1063</v>
      </c>
      <c r="AC189" s="17">
        <f>+VLOOKUP(E189,[1]base!M:Q,5,0)</f>
        <v>2305.5454545454545</v>
      </c>
      <c r="AD189" s="18">
        <f>+VLOOKUP(E189,[1]base!M:P,4,0)</f>
        <v>6.5420560747663555E-3</v>
      </c>
      <c r="AE189" s="19">
        <f t="shared" si="20"/>
        <v>311.94579439252334</v>
      </c>
    </row>
    <row r="190" spans="1:31" x14ac:dyDescent="0.25">
      <c r="A190" s="10" t="s">
        <v>145</v>
      </c>
      <c r="B190" s="11">
        <v>46263.380335648151</v>
      </c>
      <c r="C190" s="12" t="s">
        <v>146</v>
      </c>
      <c r="D190" s="12" t="s">
        <v>253</v>
      </c>
      <c r="E190" s="13" t="str">
        <f t="shared" si="14"/>
        <v>EC40166</v>
      </c>
      <c r="F190" s="14" t="str">
        <f t="shared" si="15"/>
        <v>BLC</v>
      </c>
      <c r="G190" s="14">
        <f>+VLOOKUP(F190,[1]base!A:B,2,0)</f>
        <v>1</v>
      </c>
      <c r="H190" s="14">
        <v>100</v>
      </c>
      <c r="I190" s="14">
        <v>100</v>
      </c>
      <c r="J190" s="14"/>
      <c r="K190" s="14" t="s">
        <v>33</v>
      </c>
      <c r="L190" s="14" t="s">
        <v>76</v>
      </c>
      <c r="M190" s="14" t="s">
        <v>77</v>
      </c>
      <c r="N190" s="14"/>
      <c r="O190" s="14"/>
      <c r="P190" s="14"/>
      <c r="Q190" s="14">
        <v>0</v>
      </c>
      <c r="R190" s="14">
        <v>193</v>
      </c>
      <c r="S190" s="14">
        <v>85</v>
      </c>
      <c r="T190" s="15">
        <v>100</v>
      </c>
      <c r="U190" s="16"/>
      <c r="V190" s="17">
        <v>774</v>
      </c>
      <c r="W190" s="17">
        <f t="shared" si="16"/>
        <v>77400</v>
      </c>
      <c r="X190" s="17">
        <f t="shared" si="17"/>
        <v>4024.7999999999997</v>
      </c>
      <c r="Y190" s="17">
        <v>779</v>
      </c>
      <c r="Z190" s="17">
        <f t="shared" si="18"/>
        <v>1</v>
      </c>
      <c r="AA190" s="17">
        <f t="shared" si="19"/>
        <v>6.6666666666666693E-2</v>
      </c>
      <c r="AB190" s="17">
        <f>+VLOOKUP(E190,[1]base!M:N,2,0)</f>
        <v>1063</v>
      </c>
      <c r="AC190" s="17">
        <f>+VLOOKUP(E190,[1]base!M:Q,5,0)</f>
        <v>2305.5454545454545</v>
      </c>
      <c r="AD190" s="18">
        <f>+VLOOKUP(E190,[1]base!M:P,4,0)</f>
        <v>6.5420560747663555E-3</v>
      </c>
      <c r="AE190" s="19">
        <f t="shared" si="20"/>
        <v>311.94579439252334</v>
      </c>
    </row>
    <row r="191" spans="1:31" x14ac:dyDescent="0.25">
      <c r="A191" s="10" t="s">
        <v>263</v>
      </c>
      <c r="B191" s="11">
        <v>46265.519386574073</v>
      </c>
      <c r="C191" s="12" t="s">
        <v>258</v>
      </c>
      <c r="D191" s="12" t="s">
        <v>253</v>
      </c>
      <c r="E191" s="13" t="str">
        <f t="shared" si="14"/>
        <v>EC40166</v>
      </c>
      <c r="F191" s="14" t="str">
        <f t="shared" si="15"/>
        <v>BLC</v>
      </c>
      <c r="G191" s="14">
        <f>+VLOOKUP(F191,[1]base!A:B,2,0)</f>
        <v>1</v>
      </c>
      <c r="H191" s="14">
        <v>50</v>
      </c>
      <c r="I191" s="14">
        <v>50</v>
      </c>
      <c r="J191" s="14"/>
      <c r="K191" s="14" t="s">
        <v>33</v>
      </c>
      <c r="L191" s="14" t="s">
        <v>76</v>
      </c>
      <c r="M191" s="14" t="s">
        <v>77</v>
      </c>
      <c r="N191" s="14"/>
      <c r="O191" s="14"/>
      <c r="P191" s="14"/>
      <c r="Q191" s="14">
        <v>0</v>
      </c>
      <c r="R191" s="14">
        <v>193</v>
      </c>
      <c r="S191" s="14"/>
      <c r="T191" s="15">
        <v>50</v>
      </c>
      <c r="U191" s="16"/>
      <c r="V191" s="17">
        <v>840</v>
      </c>
      <c r="W191" s="17">
        <f t="shared" si="16"/>
        <v>42000</v>
      </c>
      <c r="X191" s="17">
        <f t="shared" si="17"/>
        <v>2184</v>
      </c>
      <c r="Y191" s="17">
        <v>845</v>
      </c>
      <c r="Z191" s="17">
        <f t="shared" si="18"/>
        <v>1</v>
      </c>
      <c r="AA191" s="17">
        <f t="shared" si="19"/>
        <v>6.6666666666666693E-2</v>
      </c>
      <c r="AB191" s="17">
        <f>+VLOOKUP(E191,[1]base!M:N,2,0)</f>
        <v>1063</v>
      </c>
      <c r="AC191" s="17">
        <f>+VLOOKUP(E191,[1]base!M:Q,5,0)</f>
        <v>2305.5454545454545</v>
      </c>
      <c r="AD191" s="18">
        <f>+VLOOKUP(E191,[1]base!M:P,4,0)</f>
        <v>6.5420560747663555E-3</v>
      </c>
      <c r="AE191" s="19">
        <f t="shared" si="20"/>
        <v>311.94579439252334</v>
      </c>
    </row>
    <row r="192" spans="1:31" x14ac:dyDescent="0.25">
      <c r="A192" s="10" t="s">
        <v>94</v>
      </c>
      <c r="B192" s="11">
        <v>46266.490532407406</v>
      </c>
      <c r="C192" s="12" t="s">
        <v>95</v>
      </c>
      <c r="D192" s="12" t="s">
        <v>253</v>
      </c>
      <c r="E192" s="13" t="str">
        <f t="shared" si="14"/>
        <v>EC40166</v>
      </c>
      <c r="F192" s="14" t="str">
        <f t="shared" si="15"/>
        <v>BLC</v>
      </c>
      <c r="G192" s="14">
        <f>+VLOOKUP(F192,[1]base!A:B,2,0)</f>
        <v>1</v>
      </c>
      <c r="H192" s="14">
        <v>50</v>
      </c>
      <c r="I192" s="14">
        <v>50</v>
      </c>
      <c r="J192" s="14"/>
      <c r="K192" s="14" t="s">
        <v>33</v>
      </c>
      <c r="L192" s="14" t="s">
        <v>76</v>
      </c>
      <c r="M192" s="14" t="s">
        <v>77</v>
      </c>
      <c r="N192" s="14"/>
      <c r="O192" s="14"/>
      <c r="P192" s="14"/>
      <c r="Q192" s="14">
        <v>0</v>
      </c>
      <c r="R192" s="14">
        <v>193</v>
      </c>
      <c r="S192" s="14">
        <v>22</v>
      </c>
      <c r="T192" s="15">
        <v>50</v>
      </c>
      <c r="U192" s="16"/>
      <c r="V192" s="17">
        <v>933</v>
      </c>
      <c r="W192" s="17">
        <f t="shared" si="16"/>
        <v>46650</v>
      </c>
      <c r="X192" s="17">
        <f t="shared" si="17"/>
        <v>2425.7999999999997</v>
      </c>
      <c r="Y192" s="17">
        <v>938</v>
      </c>
      <c r="Z192" s="17">
        <f t="shared" si="18"/>
        <v>1</v>
      </c>
      <c r="AA192" s="17">
        <f t="shared" si="19"/>
        <v>6.6666666666666693E-2</v>
      </c>
      <c r="AB192" s="17">
        <f>+VLOOKUP(E192,[1]base!M:N,2,0)</f>
        <v>1063</v>
      </c>
      <c r="AC192" s="17">
        <f>+VLOOKUP(E192,[1]base!M:Q,5,0)</f>
        <v>2305.5454545454545</v>
      </c>
      <c r="AD192" s="18">
        <f>+VLOOKUP(E192,[1]base!M:P,4,0)</f>
        <v>6.5420560747663555E-3</v>
      </c>
      <c r="AE192" s="19">
        <f t="shared" si="20"/>
        <v>311.94579439252334</v>
      </c>
    </row>
    <row r="193" spans="1:31" x14ac:dyDescent="0.25">
      <c r="A193" s="10" t="s">
        <v>198</v>
      </c>
      <c r="B193" s="11">
        <v>46267.323807870373</v>
      </c>
      <c r="C193" s="12" t="s">
        <v>199</v>
      </c>
      <c r="D193" s="12" t="s">
        <v>253</v>
      </c>
      <c r="E193" s="13" t="str">
        <f t="shared" si="14"/>
        <v>EC40166</v>
      </c>
      <c r="F193" s="14" t="str">
        <f t="shared" si="15"/>
        <v>BLC</v>
      </c>
      <c r="G193" s="14">
        <f>+VLOOKUP(F193,[1]base!A:B,2,0)</f>
        <v>1</v>
      </c>
      <c r="H193" s="14">
        <v>150</v>
      </c>
      <c r="I193" s="14">
        <v>150</v>
      </c>
      <c r="J193" s="14"/>
      <c r="K193" s="14" t="s">
        <v>33</v>
      </c>
      <c r="L193" s="14" t="s">
        <v>76</v>
      </c>
      <c r="M193" s="14" t="s">
        <v>77</v>
      </c>
      <c r="N193" s="14"/>
      <c r="O193" s="14"/>
      <c r="P193" s="14"/>
      <c r="Q193" s="14">
        <v>0</v>
      </c>
      <c r="R193" s="14">
        <v>193</v>
      </c>
      <c r="S193" s="14">
        <v>100</v>
      </c>
      <c r="T193" s="15">
        <v>150</v>
      </c>
      <c r="U193" s="16"/>
      <c r="V193" s="17">
        <v>999</v>
      </c>
      <c r="W193" s="17">
        <f t="shared" si="16"/>
        <v>149850</v>
      </c>
      <c r="X193" s="17">
        <f t="shared" si="17"/>
        <v>7792.2</v>
      </c>
      <c r="Y193" s="17">
        <v>1004</v>
      </c>
      <c r="Z193" s="17">
        <f t="shared" si="18"/>
        <v>1</v>
      </c>
      <c r="AA193" s="17">
        <f t="shared" si="19"/>
        <v>6.6666666666666693E-2</v>
      </c>
      <c r="AB193" s="17">
        <f>+VLOOKUP(E193,[1]base!M:N,2,0)</f>
        <v>1063</v>
      </c>
      <c r="AC193" s="17">
        <f>+VLOOKUP(E193,[1]base!M:Q,5,0)</f>
        <v>2305.5454545454545</v>
      </c>
      <c r="AD193" s="18">
        <f>+VLOOKUP(E193,[1]base!M:P,4,0)</f>
        <v>6.5420560747663555E-3</v>
      </c>
      <c r="AE193" s="19">
        <f t="shared" si="20"/>
        <v>311.94579439252334</v>
      </c>
    </row>
    <row r="194" spans="1:31" x14ac:dyDescent="0.25">
      <c r="A194" s="10" t="s">
        <v>117</v>
      </c>
      <c r="B194" s="11">
        <v>46261.508750000001</v>
      </c>
      <c r="C194" s="12" t="s">
        <v>86</v>
      </c>
      <c r="D194" s="12" t="s">
        <v>264</v>
      </c>
      <c r="E194" s="13" t="str">
        <f t="shared" ref="E194:E257" si="21">_xlfn.TEXTBEFORE(D194, "-", -1, 1, , D194)</f>
        <v>FSQ110</v>
      </c>
      <c r="F194" s="14" t="str">
        <f t="shared" ref="F194:F257" si="22">_xlfn.TEXTAFTER(D194, "-", -1, 1, , "")</f>
        <v>BLC</v>
      </c>
      <c r="G194" s="14">
        <f>+VLOOKUP(F194,[1]base!A:B,2,0)</f>
        <v>1</v>
      </c>
      <c r="H194" s="14">
        <v>4</v>
      </c>
      <c r="I194" s="14">
        <v>4</v>
      </c>
      <c r="J194" s="14"/>
      <c r="K194" s="14" t="s">
        <v>33</v>
      </c>
      <c r="L194" s="14" t="s">
        <v>265</v>
      </c>
      <c r="M194" s="14" t="s">
        <v>35</v>
      </c>
      <c r="N194" s="14">
        <v>4</v>
      </c>
      <c r="O194" s="14">
        <v>4</v>
      </c>
      <c r="P194" s="14">
        <v>0</v>
      </c>
      <c r="Q194" s="14">
        <v>0</v>
      </c>
      <c r="R194" s="14">
        <v>2</v>
      </c>
      <c r="S194" s="14"/>
      <c r="T194" s="15">
        <v>4</v>
      </c>
      <c r="U194" s="16"/>
      <c r="V194" s="17">
        <v>693</v>
      </c>
      <c r="W194" s="17">
        <f t="shared" ref="W194:W257" si="23">(T194+U194)*V194</f>
        <v>2772</v>
      </c>
      <c r="X194" s="17">
        <f t="shared" ref="X194:X257" si="24">+W194*0.052</f>
        <v>144.14400000000001</v>
      </c>
      <c r="Y194" s="17">
        <v>698</v>
      </c>
      <c r="Z194" s="17">
        <f t="shared" ref="Z194:Z257" si="25">ROUNDUP(T194/Y194,0)</f>
        <v>1</v>
      </c>
      <c r="AA194" s="17">
        <f t="shared" ref="AA194:AA257" si="26">+Z194*0.0666666666666667</f>
        <v>6.6666666666666693E-2</v>
      </c>
      <c r="AB194" s="17">
        <f>+VLOOKUP(E194,[1]base!M:N,2,0)</f>
        <v>1067</v>
      </c>
      <c r="AC194" s="17">
        <f>+VLOOKUP(E194,[1]base!M:Q,5,0)</f>
        <v>41</v>
      </c>
      <c r="AD194" s="18">
        <f>+VLOOKUP(E194,[1]base!M:P,4,0)</f>
        <v>4.6641791044776115E-3</v>
      </c>
      <c r="AE194" s="19">
        <f t="shared" ref="AE194:AE257" si="27">+AB194*(30%-AD194)</f>
        <v>315.12332089552234</v>
      </c>
    </row>
    <row r="195" spans="1:31" x14ac:dyDescent="0.25">
      <c r="A195" s="20" t="s">
        <v>171</v>
      </c>
      <c r="B195" s="11">
        <v>46132.367129629631</v>
      </c>
      <c r="C195" s="12" t="s">
        <v>31</v>
      </c>
      <c r="D195" s="12" t="s">
        <v>266</v>
      </c>
      <c r="E195" s="13" t="str">
        <f t="shared" si="21"/>
        <v>FR100</v>
      </c>
      <c r="F195" s="14" t="str">
        <f t="shared" si="22"/>
        <v>BLC</v>
      </c>
      <c r="G195" s="14">
        <f>+VLOOKUP(F195,[1]base!A:B,2,0)</f>
        <v>1</v>
      </c>
      <c r="H195" s="14">
        <v>30</v>
      </c>
      <c r="I195" s="14">
        <v>28</v>
      </c>
      <c r="J195" s="14"/>
      <c r="K195" s="14" t="s">
        <v>33</v>
      </c>
      <c r="L195" s="14" t="s">
        <v>76</v>
      </c>
      <c r="M195" s="14" t="s">
        <v>77</v>
      </c>
      <c r="N195" s="14"/>
      <c r="O195" s="14"/>
      <c r="P195" s="14"/>
      <c r="Q195" s="14">
        <v>0</v>
      </c>
      <c r="R195" s="14">
        <v>0</v>
      </c>
      <c r="S195" s="14"/>
      <c r="T195" s="15">
        <v>28</v>
      </c>
      <c r="U195" s="16"/>
      <c r="V195" s="17">
        <v>5</v>
      </c>
      <c r="W195" s="17">
        <f t="shared" si="23"/>
        <v>140</v>
      </c>
      <c r="X195" s="17">
        <f t="shared" si="24"/>
        <v>7.2799999999999994</v>
      </c>
      <c r="Y195" s="17">
        <v>10</v>
      </c>
      <c r="Z195" s="17">
        <f t="shared" si="25"/>
        <v>3</v>
      </c>
      <c r="AA195" s="17">
        <f t="shared" si="26"/>
        <v>0.20000000000000007</v>
      </c>
      <c r="AB195" s="17">
        <f>+VLOOKUP(E195,[1]base!M:N,2,0)</f>
        <v>1365</v>
      </c>
      <c r="AC195" s="17">
        <f>+VLOOKUP(E195,[1]base!M:Q,5,0)</f>
        <v>812.5</v>
      </c>
      <c r="AD195" s="18">
        <f>+VLOOKUP(E195,[1]base!M:P,4,0)</f>
        <v>7.4576271186440682E-2</v>
      </c>
      <c r="AE195" s="19">
        <f t="shared" si="27"/>
        <v>307.70338983050846</v>
      </c>
    </row>
    <row r="196" spans="1:31" x14ac:dyDescent="0.25">
      <c r="A196" s="20" t="s">
        <v>206</v>
      </c>
      <c r="B196" s="11">
        <v>46185.285266203704</v>
      </c>
      <c r="C196" s="12" t="s">
        <v>70</v>
      </c>
      <c r="D196" s="12" t="s">
        <v>266</v>
      </c>
      <c r="E196" s="13" t="str">
        <f t="shared" si="21"/>
        <v>FR100</v>
      </c>
      <c r="F196" s="14" t="str">
        <f t="shared" si="22"/>
        <v>BLC</v>
      </c>
      <c r="G196" s="14">
        <f>+VLOOKUP(F196,[1]base!A:B,2,0)</f>
        <v>1</v>
      </c>
      <c r="H196" s="14">
        <v>20</v>
      </c>
      <c r="I196" s="14">
        <v>12</v>
      </c>
      <c r="J196" s="14"/>
      <c r="K196" s="14" t="s">
        <v>33</v>
      </c>
      <c r="L196" s="14" t="s">
        <v>76</v>
      </c>
      <c r="M196" s="14" t="s">
        <v>77</v>
      </c>
      <c r="N196" s="14"/>
      <c r="O196" s="14"/>
      <c r="P196" s="14"/>
      <c r="Q196" s="14">
        <v>0</v>
      </c>
      <c r="R196" s="14">
        <v>0</v>
      </c>
      <c r="S196" s="14"/>
      <c r="T196" s="15">
        <v>12</v>
      </c>
      <c r="U196" s="16"/>
      <c r="V196" s="17">
        <v>5</v>
      </c>
      <c r="W196" s="17">
        <f t="shared" si="23"/>
        <v>60</v>
      </c>
      <c r="X196" s="17">
        <f t="shared" si="24"/>
        <v>3.1199999999999997</v>
      </c>
      <c r="Y196" s="17">
        <v>10</v>
      </c>
      <c r="Z196" s="17">
        <f t="shared" si="25"/>
        <v>2</v>
      </c>
      <c r="AA196" s="17">
        <f t="shared" si="26"/>
        <v>0.13333333333333339</v>
      </c>
      <c r="AB196" s="17">
        <f>+VLOOKUP(E196,[1]base!M:N,2,0)</f>
        <v>1365</v>
      </c>
      <c r="AC196" s="17">
        <f>+VLOOKUP(E196,[1]base!M:Q,5,0)</f>
        <v>812.5</v>
      </c>
      <c r="AD196" s="18">
        <f>+VLOOKUP(E196,[1]base!M:P,4,0)</f>
        <v>7.4576271186440682E-2</v>
      </c>
      <c r="AE196" s="19">
        <f t="shared" si="27"/>
        <v>307.70338983050846</v>
      </c>
    </row>
    <row r="197" spans="1:31" x14ac:dyDescent="0.25">
      <c r="A197" s="20" t="s">
        <v>247</v>
      </c>
      <c r="B197" s="11">
        <v>46218.473703703705</v>
      </c>
      <c r="C197" s="12" t="s">
        <v>248</v>
      </c>
      <c r="D197" s="12" t="s">
        <v>266</v>
      </c>
      <c r="E197" s="13" t="str">
        <f t="shared" si="21"/>
        <v>FR100</v>
      </c>
      <c r="F197" s="14" t="str">
        <f t="shared" si="22"/>
        <v>BLC</v>
      </c>
      <c r="G197" s="14">
        <f>+VLOOKUP(F197,[1]base!A:B,2,0)</f>
        <v>1</v>
      </c>
      <c r="H197" s="14">
        <v>40</v>
      </c>
      <c r="I197" s="14">
        <v>40</v>
      </c>
      <c r="J197" s="14"/>
      <c r="K197" s="14" t="s">
        <v>33</v>
      </c>
      <c r="L197" s="14" t="s">
        <v>76</v>
      </c>
      <c r="M197" s="14" t="s">
        <v>77</v>
      </c>
      <c r="N197" s="14"/>
      <c r="O197" s="14"/>
      <c r="P197" s="14"/>
      <c r="Q197" s="14">
        <v>0</v>
      </c>
      <c r="R197" s="14">
        <v>0</v>
      </c>
      <c r="S197" s="14"/>
      <c r="T197" s="15">
        <v>40</v>
      </c>
      <c r="U197" s="16"/>
      <c r="V197" s="17">
        <v>117</v>
      </c>
      <c r="W197" s="17">
        <f t="shared" si="23"/>
        <v>4680</v>
      </c>
      <c r="X197" s="17">
        <f t="shared" si="24"/>
        <v>243.35999999999999</v>
      </c>
      <c r="Y197" s="17">
        <v>122</v>
      </c>
      <c r="Z197" s="17">
        <f t="shared" si="25"/>
        <v>1</v>
      </c>
      <c r="AA197" s="17">
        <f t="shared" si="26"/>
        <v>6.6666666666666693E-2</v>
      </c>
      <c r="AB197" s="17">
        <f>+VLOOKUP(E197,[1]base!M:N,2,0)</f>
        <v>1365</v>
      </c>
      <c r="AC197" s="17">
        <f>+VLOOKUP(E197,[1]base!M:Q,5,0)</f>
        <v>812.5</v>
      </c>
      <c r="AD197" s="18">
        <f>+VLOOKUP(E197,[1]base!M:P,4,0)</f>
        <v>7.4576271186440682E-2</v>
      </c>
      <c r="AE197" s="19">
        <f t="shared" si="27"/>
        <v>307.70338983050846</v>
      </c>
    </row>
    <row r="198" spans="1:31" x14ac:dyDescent="0.25">
      <c r="A198" s="10" t="s">
        <v>98</v>
      </c>
      <c r="B198" s="11">
        <v>46220.346666666665</v>
      </c>
      <c r="C198" s="12" t="s">
        <v>70</v>
      </c>
      <c r="D198" s="12" t="s">
        <v>266</v>
      </c>
      <c r="E198" s="13" t="str">
        <f t="shared" si="21"/>
        <v>FR100</v>
      </c>
      <c r="F198" s="14" t="str">
        <f t="shared" si="22"/>
        <v>BLC</v>
      </c>
      <c r="G198" s="14">
        <f>+VLOOKUP(F198,[1]base!A:B,2,0)</f>
        <v>1</v>
      </c>
      <c r="H198" s="14">
        <v>200</v>
      </c>
      <c r="I198" s="14">
        <v>180</v>
      </c>
      <c r="J198" s="14"/>
      <c r="K198" s="14" t="s">
        <v>33</v>
      </c>
      <c r="L198" s="14" t="s">
        <v>76</v>
      </c>
      <c r="M198" s="14" t="s">
        <v>77</v>
      </c>
      <c r="N198" s="14"/>
      <c r="O198" s="14"/>
      <c r="P198" s="14"/>
      <c r="Q198" s="14">
        <v>0</v>
      </c>
      <c r="R198" s="14">
        <v>0</v>
      </c>
      <c r="S198" s="14"/>
      <c r="T198" s="15">
        <v>180</v>
      </c>
      <c r="U198" s="16"/>
      <c r="V198" s="17">
        <v>152</v>
      </c>
      <c r="W198" s="17">
        <f t="shared" si="23"/>
        <v>27360</v>
      </c>
      <c r="X198" s="17">
        <f t="shared" si="24"/>
        <v>1422.72</v>
      </c>
      <c r="Y198" s="17">
        <v>157</v>
      </c>
      <c r="Z198" s="17">
        <f t="shared" si="25"/>
        <v>2</v>
      </c>
      <c r="AA198" s="17">
        <f t="shared" si="26"/>
        <v>0.13333333333333339</v>
      </c>
      <c r="AB198" s="17">
        <f>+VLOOKUP(E198,[1]base!M:N,2,0)</f>
        <v>1365</v>
      </c>
      <c r="AC198" s="17">
        <f>+VLOOKUP(E198,[1]base!M:Q,5,0)</f>
        <v>812.5</v>
      </c>
      <c r="AD198" s="18">
        <f>+VLOOKUP(E198,[1]base!M:P,4,0)</f>
        <v>7.4576271186440682E-2</v>
      </c>
      <c r="AE198" s="19">
        <f t="shared" si="27"/>
        <v>307.70338983050846</v>
      </c>
    </row>
    <row r="199" spans="1:31" x14ac:dyDescent="0.25">
      <c r="A199" s="10" t="s">
        <v>190</v>
      </c>
      <c r="B199" s="11">
        <v>46226.387731481482</v>
      </c>
      <c r="C199" s="12" t="s">
        <v>191</v>
      </c>
      <c r="D199" s="12" t="s">
        <v>266</v>
      </c>
      <c r="E199" s="13" t="str">
        <f t="shared" si="21"/>
        <v>FR100</v>
      </c>
      <c r="F199" s="14" t="str">
        <f t="shared" si="22"/>
        <v>BLC</v>
      </c>
      <c r="G199" s="14">
        <f>+VLOOKUP(F199,[1]base!A:B,2,0)</f>
        <v>1</v>
      </c>
      <c r="H199" s="14">
        <v>14</v>
      </c>
      <c r="I199" s="14">
        <v>14</v>
      </c>
      <c r="J199" s="14"/>
      <c r="K199" s="14" t="s">
        <v>72</v>
      </c>
      <c r="L199" s="14" t="s">
        <v>76</v>
      </c>
      <c r="M199" s="14" t="s">
        <v>77</v>
      </c>
      <c r="N199" s="14"/>
      <c r="O199" s="14"/>
      <c r="P199" s="14"/>
      <c r="Q199" s="14">
        <v>53</v>
      </c>
      <c r="R199" s="14">
        <v>0</v>
      </c>
      <c r="S199" s="14">
        <v>13</v>
      </c>
      <c r="T199" s="15">
        <v>14</v>
      </c>
      <c r="U199" s="16"/>
      <c r="V199" s="17">
        <v>212</v>
      </c>
      <c r="W199" s="17">
        <f t="shared" si="23"/>
        <v>2968</v>
      </c>
      <c r="X199" s="17">
        <f t="shared" si="24"/>
        <v>154.33599999999998</v>
      </c>
      <c r="Y199" s="17">
        <v>217</v>
      </c>
      <c r="Z199" s="17">
        <f t="shared" si="25"/>
        <v>1</v>
      </c>
      <c r="AA199" s="17">
        <f t="shared" si="26"/>
        <v>6.6666666666666693E-2</v>
      </c>
      <c r="AB199" s="17">
        <f>+VLOOKUP(E199,[1]base!M:N,2,0)</f>
        <v>1365</v>
      </c>
      <c r="AC199" s="17">
        <f>+VLOOKUP(E199,[1]base!M:Q,5,0)</f>
        <v>812.5</v>
      </c>
      <c r="AD199" s="18">
        <f>+VLOOKUP(E199,[1]base!M:P,4,0)</f>
        <v>7.4576271186440682E-2</v>
      </c>
      <c r="AE199" s="19">
        <f t="shared" si="27"/>
        <v>307.70338983050846</v>
      </c>
    </row>
    <row r="200" spans="1:31" x14ac:dyDescent="0.25">
      <c r="A200" s="10" t="s">
        <v>106</v>
      </c>
      <c r="B200" s="11">
        <v>46226.41915509259</v>
      </c>
      <c r="C200" s="12" t="s">
        <v>107</v>
      </c>
      <c r="D200" s="12" t="s">
        <v>266</v>
      </c>
      <c r="E200" s="13" t="str">
        <f t="shared" si="21"/>
        <v>FR100</v>
      </c>
      <c r="F200" s="14" t="str">
        <f t="shared" si="22"/>
        <v>BLC</v>
      </c>
      <c r="G200" s="14">
        <f>+VLOOKUP(F200,[1]base!A:B,2,0)</f>
        <v>1</v>
      </c>
      <c r="H200" s="14">
        <v>80</v>
      </c>
      <c r="I200" s="14">
        <v>80</v>
      </c>
      <c r="J200" s="14"/>
      <c r="K200" s="14" t="s">
        <v>72</v>
      </c>
      <c r="L200" s="14" t="s">
        <v>76</v>
      </c>
      <c r="M200" s="14" t="s">
        <v>77</v>
      </c>
      <c r="N200" s="14"/>
      <c r="O200" s="14"/>
      <c r="P200" s="14"/>
      <c r="Q200" s="14">
        <v>100</v>
      </c>
      <c r="R200" s="14">
        <v>0</v>
      </c>
      <c r="S200" s="14"/>
      <c r="T200" s="15">
        <v>80</v>
      </c>
      <c r="U200" s="16"/>
      <c r="V200" s="17">
        <v>239</v>
      </c>
      <c r="W200" s="17">
        <f t="shared" si="23"/>
        <v>19120</v>
      </c>
      <c r="X200" s="17">
        <f t="shared" si="24"/>
        <v>994.24</v>
      </c>
      <c r="Y200" s="17">
        <v>244</v>
      </c>
      <c r="Z200" s="17">
        <f t="shared" si="25"/>
        <v>1</v>
      </c>
      <c r="AA200" s="17">
        <f t="shared" si="26"/>
        <v>6.6666666666666693E-2</v>
      </c>
      <c r="AB200" s="17">
        <f>+VLOOKUP(E200,[1]base!M:N,2,0)</f>
        <v>1365</v>
      </c>
      <c r="AC200" s="17">
        <f>+VLOOKUP(E200,[1]base!M:Q,5,0)</f>
        <v>812.5</v>
      </c>
      <c r="AD200" s="18">
        <f>+VLOOKUP(E200,[1]base!M:P,4,0)</f>
        <v>7.4576271186440682E-2</v>
      </c>
      <c r="AE200" s="19">
        <f t="shared" si="27"/>
        <v>307.70338983050846</v>
      </c>
    </row>
    <row r="201" spans="1:31" x14ac:dyDescent="0.25">
      <c r="A201" s="10" t="s">
        <v>192</v>
      </c>
      <c r="B201" s="11">
        <v>46231.506886574076</v>
      </c>
      <c r="C201" s="12" t="s">
        <v>83</v>
      </c>
      <c r="D201" s="12" t="s">
        <v>266</v>
      </c>
      <c r="E201" s="13" t="str">
        <f t="shared" si="21"/>
        <v>FR100</v>
      </c>
      <c r="F201" s="14" t="str">
        <f t="shared" si="22"/>
        <v>BLC</v>
      </c>
      <c r="G201" s="14">
        <f>+VLOOKUP(F201,[1]base!A:B,2,0)</f>
        <v>1</v>
      </c>
      <c r="H201" s="14">
        <v>50</v>
      </c>
      <c r="I201" s="14">
        <v>30</v>
      </c>
      <c r="J201" s="14"/>
      <c r="K201" s="14" t="s">
        <v>72</v>
      </c>
      <c r="L201" s="14" t="s">
        <v>76</v>
      </c>
      <c r="M201" s="14" t="s">
        <v>77</v>
      </c>
      <c r="N201" s="14"/>
      <c r="O201" s="14"/>
      <c r="P201" s="14"/>
      <c r="Q201" s="14">
        <v>28</v>
      </c>
      <c r="R201" s="14">
        <v>0</v>
      </c>
      <c r="S201" s="14"/>
      <c r="T201" s="15">
        <v>30</v>
      </c>
      <c r="U201" s="16"/>
      <c r="V201" s="17">
        <v>303</v>
      </c>
      <c r="W201" s="17">
        <f t="shared" si="23"/>
        <v>9090</v>
      </c>
      <c r="X201" s="17">
        <f t="shared" si="24"/>
        <v>472.67999999999995</v>
      </c>
      <c r="Y201" s="17">
        <v>308</v>
      </c>
      <c r="Z201" s="17">
        <f t="shared" si="25"/>
        <v>1</v>
      </c>
      <c r="AA201" s="17">
        <f t="shared" si="26"/>
        <v>6.6666666666666693E-2</v>
      </c>
      <c r="AB201" s="17">
        <f>+VLOOKUP(E201,[1]base!M:N,2,0)</f>
        <v>1365</v>
      </c>
      <c r="AC201" s="17">
        <f>+VLOOKUP(E201,[1]base!M:Q,5,0)</f>
        <v>812.5</v>
      </c>
      <c r="AD201" s="18">
        <f>+VLOOKUP(E201,[1]base!M:P,4,0)</f>
        <v>7.4576271186440682E-2</v>
      </c>
      <c r="AE201" s="19">
        <f t="shared" si="27"/>
        <v>307.70338983050846</v>
      </c>
    </row>
    <row r="202" spans="1:31" x14ac:dyDescent="0.25">
      <c r="A202" s="10" t="s">
        <v>108</v>
      </c>
      <c r="B202" s="11">
        <v>46231.577476851853</v>
      </c>
      <c r="C202" s="12" t="s">
        <v>39</v>
      </c>
      <c r="D202" s="12" t="s">
        <v>266</v>
      </c>
      <c r="E202" s="13" t="str">
        <f t="shared" si="21"/>
        <v>FR100</v>
      </c>
      <c r="F202" s="14" t="str">
        <f t="shared" si="22"/>
        <v>BLC</v>
      </c>
      <c r="G202" s="14">
        <f>+VLOOKUP(F202,[1]base!A:B,2,0)</f>
        <v>1</v>
      </c>
      <c r="H202" s="14">
        <v>100</v>
      </c>
      <c r="I202" s="14">
        <v>48</v>
      </c>
      <c r="J202" s="14"/>
      <c r="K202" s="14" t="s">
        <v>72</v>
      </c>
      <c r="L202" s="14" t="s">
        <v>76</v>
      </c>
      <c r="M202" s="14" t="s">
        <v>77</v>
      </c>
      <c r="N202" s="14"/>
      <c r="O202" s="14"/>
      <c r="P202" s="14"/>
      <c r="Q202" s="14">
        <v>120</v>
      </c>
      <c r="R202" s="14">
        <v>0</v>
      </c>
      <c r="S202" s="14"/>
      <c r="T202" s="15">
        <v>48</v>
      </c>
      <c r="U202" s="16"/>
      <c r="V202" s="17">
        <v>309</v>
      </c>
      <c r="W202" s="17">
        <f t="shared" si="23"/>
        <v>14832</v>
      </c>
      <c r="X202" s="17">
        <f t="shared" si="24"/>
        <v>771.26400000000001</v>
      </c>
      <c r="Y202" s="17">
        <v>314</v>
      </c>
      <c r="Z202" s="17">
        <f t="shared" si="25"/>
        <v>1</v>
      </c>
      <c r="AA202" s="17">
        <f t="shared" si="26"/>
        <v>6.6666666666666693E-2</v>
      </c>
      <c r="AB202" s="17">
        <f>+VLOOKUP(E202,[1]base!M:N,2,0)</f>
        <v>1365</v>
      </c>
      <c r="AC202" s="17">
        <f>+VLOOKUP(E202,[1]base!M:Q,5,0)</f>
        <v>812.5</v>
      </c>
      <c r="AD202" s="18">
        <f>+VLOOKUP(E202,[1]base!M:P,4,0)</f>
        <v>7.4576271186440682E-2</v>
      </c>
      <c r="AE202" s="19">
        <f t="shared" si="27"/>
        <v>307.70338983050846</v>
      </c>
    </row>
    <row r="203" spans="1:31" x14ac:dyDescent="0.25">
      <c r="A203" s="10" t="s">
        <v>267</v>
      </c>
      <c r="B203" s="11">
        <v>46234.300497685188</v>
      </c>
      <c r="C203" s="12" t="s">
        <v>169</v>
      </c>
      <c r="D203" s="12" t="s">
        <v>266</v>
      </c>
      <c r="E203" s="13" t="str">
        <f t="shared" si="21"/>
        <v>FR100</v>
      </c>
      <c r="F203" s="14" t="str">
        <f t="shared" si="22"/>
        <v>BLC</v>
      </c>
      <c r="G203" s="14">
        <f>+VLOOKUP(F203,[1]base!A:B,2,0)</f>
        <v>1</v>
      </c>
      <c r="H203" s="14">
        <v>40</v>
      </c>
      <c r="I203" s="14">
        <v>4</v>
      </c>
      <c r="J203" s="14"/>
      <c r="K203" s="14" t="s">
        <v>72</v>
      </c>
      <c r="L203" s="14" t="s">
        <v>76</v>
      </c>
      <c r="M203" s="14" t="s">
        <v>77</v>
      </c>
      <c r="N203" s="14"/>
      <c r="O203" s="14"/>
      <c r="P203" s="14"/>
      <c r="Q203" s="14">
        <v>32</v>
      </c>
      <c r="R203" s="14">
        <v>0</v>
      </c>
      <c r="S203" s="14"/>
      <c r="T203" s="15">
        <v>4</v>
      </c>
      <c r="U203" s="16"/>
      <c r="V203" s="17">
        <v>329</v>
      </c>
      <c r="W203" s="17">
        <f t="shared" si="23"/>
        <v>1316</v>
      </c>
      <c r="X203" s="17">
        <f t="shared" si="24"/>
        <v>68.432000000000002</v>
      </c>
      <c r="Y203" s="17">
        <v>334</v>
      </c>
      <c r="Z203" s="17">
        <f t="shared" si="25"/>
        <v>1</v>
      </c>
      <c r="AA203" s="17">
        <f t="shared" si="26"/>
        <v>6.6666666666666693E-2</v>
      </c>
      <c r="AB203" s="17">
        <f>+VLOOKUP(E203,[1]base!M:N,2,0)</f>
        <v>1365</v>
      </c>
      <c r="AC203" s="17">
        <f>+VLOOKUP(E203,[1]base!M:Q,5,0)</f>
        <v>812.5</v>
      </c>
      <c r="AD203" s="18">
        <f>+VLOOKUP(E203,[1]base!M:P,4,0)</f>
        <v>7.4576271186440682E-2</v>
      </c>
      <c r="AE203" s="19">
        <f t="shared" si="27"/>
        <v>307.70338983050846</v>
      </c>
    </row>
    <row r="204" spans="1:31" x14ac:dyDescent="0.25">
      <c r="A204" s="10" t="s">
        <v>87</v>
      </c>
      <c r="B204" s="11">
        <v>46235.515706018516</v>
      </c>
      <c r="C204" s="12" t="s">
        <v>88</v>
      </c>
      <c r="D204" s="12" t="s">
        <v>266</v>
      </c>
      <c r="E204" s="13" t="str">
        <f t="shared" si="21"/>
        <v>FR100</v>
      </c>
      <c r="F204" s="14" t="str">
        <f t="shared" si="22"/>
        <v>BLC</v>
      </c>
      <c r="G204" s="14">
        <f>+VLOOKUP(F204,[1]base!A:B,2,0)</f>
        <v>1</v>
      </c>
      <c r="H204" s="14">
        <v>75</v>
      </c>
      <c r="I204" s="14">
        <v>75</v>
      </c>
      <c r="J204" s="14"/>
      <c r="K204" s="14" t="s">
        <v>72</v>
      </c>
      <c r="L204" s="14" t="s">
        <v>76</v>
      </c>
      <c r="M204" s="14" t="s">
        <v>77</v>
      </c>
      <c r="N204" s="14"/>
      <c r="O204" s="14"/>
      <c r="P204" s="14"/>
      <c r="Q204" s="14">
        <v>30</v>
      </c>
      <c r="R204" s="14">
        <v>0</v>
      </c>
      <c r="S204" s="14"/>
      <c r="T204" s="15">
        <v>75</v>
      </c>
      <c r="U204" s="16"/>
      <c r="V204" s="17">
        <v>343</v>
      </c>
      <c r="W204" s="17">
        <f t="shared" si="23"/>
        <v>25725</v>
      </c>
      <c r="X204" s="17">
        <f t="shared" si="24"/>
        <v>1337.7</v>
      </c>
      <c r="Y204" s="17">
        <v>348</v>
      </c>
      <c r="Z204" s="17">
        <f t="shared" si="25"/>
        <v>1</v>
      </c>
      <c r="AA204" s="17">
        <f t="shared" si="26"/>
        <v>6.6666666666666693E-2</v>
      </c>
      <c r="AB204" s="17">
        <f>+VLOOKUP(E204,[1]base!M:N,2,0)</f>
        <v>1365</v>
      </c>
      <c r="AC204" s="17">
        <f>+VLOOKUP(E204,[1]base!M:Q,5,0)</f>
        <v>812.5</v>
      </c>
      <c r="AD204" s="18">
        <f>+VLOOKUP(E204,[1]base!M:P,4,0)</f>
        <v>7.4576271186440682E-2</v>
      </c>
      <c r="AE204" s="19">
        <f t="shared" si="27"/>
        <v>307.70338983050846</v>
      </c>
    </row>
    <row r="205" spans="1:31" x14ac:dyDescent="0.25">
      <c r="A205" s="10" t="s">
        <v>99</v>
      </c>
      <c r="B205" s="11">
        <v>46238.533275462964</v>
      </c>
      <c r="C205" s="12" t="s">
        <v>70</v>
      </c>
      <c r="D205" s="12" t="s">
        <v>266</v>
      </c>
      <c r="E205" s="13" t="str">
        <f t="shared" si="21"/>
        <v>FR100</v>
      </c>
      <c r="F205" s="14" t="str">
        <f t="shared" si="22"/>
        <v>BLC</v>
      </c>
      <c r="G205" s="14">
        <f>+VLOOKUP(F205,[1]base!A:B,2,0)</f>
        <v>1</v>
      </c>
      <c r="H205" s="14">
        <v>80</v>
      </c>
      <c r="I205" s="14">
        <v>80</v>
      </c>
      <c r="J205" s="14"/>
      <c r="K205" s="14" t="s">
        <v>33</v>
      </c>
      <c r="L205" s="14" t="s">
        <v>76</v>
      </c>
      <c r="M205" s="14" t="s">
        <v>77</v>
      </c>
      <c r="N205" s="14"/>
      <c r="O205" s="14"/>
      <c r="P205" s="14"/>
      <c r="Q205" s="14">
        <v>0</v>
      </c>
      <c r="R205" s="14">
        <v>0</v>
      </c>
      <c r="S205" s="14"/>
      <c r="T205" s="15">
        <v>80</v>
      </c>
      <c r="U205" s="16"/>
      <c r="V205" s="17">
        <v>365</v>
      </c>
      <c r="W205" s="17">
        <f t="shared" si="23"/>
        <v>29200</v>
      </c>
      <c r="X205" s="17">
        <f t="shared" si="24"/>
        <v>1518.3999999999999</v>
      </c>
      <c r="Y205" s="17">
        <v>370</v>
      </c>
      <c r="Z205" s="17">
        <f t="shared" si="25"/>
        <v>1</v>
      </c>
      <c r="AA205" s="17">
        <f t="shared" si="26"/>
        <v>6.6666666666666693E-2</v>
      </c>
      <c r="AB205" s="17">
        <f>+VLOOKUP(E205,[1]base!M:N,2,0)</f>
        <v>1365</v>
      </c>
      <c r="AC205" s="17">
        <f>+VLOOKUP(E205,[1]base!M:Q,5,0)</f>
        <v>812.5</v>
      </c>
      <c r="AD205" s="18">
        <f>+VLOOKUP(E205,[1]base!M:P,4,0)</f>
        <v>7.4576271186440682E-2</v>
      </c>
      <c r="AE205" s="19">
        <f t="shared" si="27"/>
        <v>307.70338983050846</v>
      </c>
    </row>
    <row r="206" spans="1:31" x14ac:dyDescent="0.25">
      <c r="A206" s="10" t="s">
        <v>99</v>
      </c>
      <c r="B206" s="11">
        <v>46238.533275462964</v>
      </c>
      <c r="C206" s="12" t="s">
        <v>70</v>
      </c>
      <c r="D206" s="12" t="s">
        <v>266</v>
      </c>
      <c r="E206" s="13" t="str">
        <f t="shared" si="21"/>
        <v>FR100</v>
      </c>
      <c r="F206" s="14" t="str">
        <f t="shared" si="22"/>
        <v>BLC</v>
      </c>
      <c r="G206" s="14">
        <f>+VLOOKUP(F206,[1]base!A:B,2,0)</f>
        <v>1</v>
      </c>
      <c r="H206" s="14">
        <v>20</v>
      </c>
      <c r="I206" s="14">
        <v>20</v>
      </c>
      <c r="J206" s="14"/>
      <c r="K206" s="14" t="s">
        <v>33</v>
      </c>
      <c r="L206" s="14" t="s">
        <v>76</v>
      </c>
      <c r="M206" s="14" t="s">
        <v>77</v>
      </c>
      <c r="N206" s="14"/>
      <c r="O206" s="14"/>
      <c r="P206" s="14"/>
      <c r="Q206" s="14">
        <v>0</v>
      </c>
      <c r="R206" s="14">
        <v>0</v>
      </c>
      <c r="S206" s="14"/>
      <c r="T206" s="15">
        <v>20</v>
      </c>
      <c r="U206" s="16"/>
      <c r="V206" s="17">
        <v>366</v>
      </c>
      <c r="W206" s="17">
        <f t="shared" si="23"/>
        <v>7320</v>
      </c>
      <c r="X206" s="17">
        <f t="shared" si="24"/>
        <v>380.64</v>
      </c>
      <c r="Y206" s="17">
        <v>371</v>
      </c>
      <c r="Z206" s="17">
        <f t="shared" si="25"/>
        <v>1</v>
      </c>
      <c r="AA206" s="17">
        <f t="shared" si="26"/>
        <v>6.6666666666666693E-2</v>
      </c>
      <c r="AB206" s="17">
        <f>+VLOOKUP(E206,[1]base!M:N,2,0)</f>
        <v>1365</v>
      </c>
      <c r="AC206" s="17">
        <f>+VLOOKUP(E206,[1]base!M:Q,5,0)</f>
        <v>812.5</v>
      </c>
      <c r="AD206" s="18">
        <f>+VLOOKUP(E206,[1]base!M:P,4,0)</f>
        <v>7.4576271186440682E-2</v>
      </c>
      <c r="AE206" s="19">
        <f t="shared" si="27"/>
        <v>307.70338983050846</v>
      </c>
    </row>
    <row r="207" spans="1:31" x14ac:dyDescent="0.25">
      <c r="A207" s="10" t="s">
        <v>111</v>
      </c>
      <c r="B207" s="11">
        <v>46240.550856481481</v>
      </c>
      <c r="C207" s="12" t="s">
        <v>112</v>
      </c>
      <c r="D207" s="12" t="s">
        <v>266</v>
      </c>
      <c r="E207" s="13" t="str">
        <f t="shared" si="21"/>
        <v>FR100</v>
      </c>
      <c r="F207" s="14" t="str">
        <f t="shared" si="22"/>
        <v>BLC</v>
      </c>
      <c r="G207" s="14">
        <f>+VLOOKUP(F207,[1]base!A:B,2,0)</f>
        <v>1</v>
      </c>
      <c r="H207" s="14">
        <v>20</v>
      </c>
      <c r="I207" s="14">
        <v>20</v>
      </c>
      <c r="J207" s="14"/>
      <c r="K207" s="14" t="s">
        <v>33</v>
      </c>
      <c r="L207" s="14" t="s">
        <v>76</v>
      </c>
      <c r="M207" s="14" t="s">
        <v>77</v>
      </c>
      <c r="N207" s="14"/>
      <c r="O207" s="14"/>
      <c r="P207" s="14"/>
      <c r="Q207" s="14">
        <v>0</v>
      </c>
      <c r="R207" s="14">
        <v>0</v>
      </c>
      <c r="S207" s="14"/>
      <c r="T207" s="15">
        <v>20</v>
      </c>
      <c r="U207" s="16"/>
      <c r="V207" s="17">
        <v>403</v>
      </c>
      <c r="W207" s="17">
        <f t="shared" si="23"/>
        <v>8060</v>
      </c>
      <c r="X207" s="17">
        <f t="shared" si="24"/>
        <v>419.12</v>
      </c>
      <c r="Y207" s="17">
        <v>408</v>
      </c>
      <c r="Z207" s="17">
        <f t="shared" si="25"/>
        <v>1</v>
      </c>
      <c r="AA207" s="17">
        <f t="shared" si="26"/>
        <v>6.6666666666666693E-2</v>
      </c>
      <c r="AB207" s="17">
        <f>+VLOOKUP(E207,[1]base!M:N,2,0)</f>
        <v>1365</v>
      </c>
      <c r="AC207" s="17">
        <f>+VLOOKUP(E207,[1]base!M:Q,5,0)</f>
        <v>812.5</v>
      </c>
      <c r="AD207" s="18">
        <f>+VLOOKUP(E207,[1]base!M:P,4,0)</f>
        <v>7.4576271186440682E-2</v>
      </c>
      <c r="AE207" s="19">
        <f t="shared" si="27"/>
        <v>307.70338983050846</v>
      </c>
    </row>
    <row r="208" spans="1:31" x14ac:dyDescent="0.25">
      <c r="A208" s="10" t="s">
        <v>268</v>
      </c>
      <c r="B208" s="11">
        <v>46240.613402777781</v>
      </c>
      <c r="C208" s="12" t="s">
        <v>39</v>
      </c>
      <c r="D208" s="12" t="s">
        <v>266</v>
      </c>
      <c r="E208" s="13" t="str">
        <f t="shared" si="21"/>
        <v>FR100</v>
      </c>
      <c r="F208" s="14" t="str">
        <f t="shared" si="22"/>
        <v>BLC</v>
      </c>
      <c r="G208" s="14">
        <f>+VLOOKUP(F208,[1]base!A:B,2,0)</f>
        <v>1</v>
      </c>
      <c r="H208" s="14">
        <v>20</v>
      </c>
      <c r="I208" s="14">
        <v>20</v>
      </c>
      <c r="J208" s="14"/>
      <c r="K208" s="14" t="s">
        <v>33</v>
      </c>
      <c r="L208" s="14" t="s">
        <v>76</v>
      </c>
      <c r="M208" s="14" t="s">
        <v>77</v>
      </c>
      <c r="N208" s="14"/>
      <c r="O208" s="14"/>
      <c r="P208" s="14"/>
      <c r="Q208" s="14">
        <v>0</v>
      </c>
      <c r="R208" s="14">
        <v>0</v>
      </c>
      <c r="S208" s="14">
        <v>5</v>
      </c>
      <c r="T208" s="15">
        <v>20</v>
      </c>
      <c r="U208" s="16"/>
      <c r="V208" s="17">
        <v>417</v>
      </c>
      <c r="W208" s="17">
        <f t="shared" si="23"/>
        <v>8340</v>
      </c>
      <c r="X208" s="17">
        <f t="shared" si="24"/>
        <v>433.68</v>
      </c>
      <c r="Y208" s="17">
        <v>422</v>
      </c>
      <c r="Z208" s="17">
        <f t="shared" si="25"/>
        <v>1</v>
      </c>
      <c r="AA208" s="17">
        <f t="shared" si="26"/>
        <v>6.6666666666666693E-2</v>
      </c>
      <c r="AB208" s="17">
        <f>+VLOOKUP(E208,[1]base!M:N,2,0)</f>
        <v>1365</v>
      </c>
      <c r="AC208" s="17">
        <f>+VLOOKUP(E208,[1]base!M:Q,5,0)</f>
        <v>812.5</v>
      </c>
      <c r="AD208" s="18">
        <f>+VLOOKUP(E208,[1]base!M:P,4,0)</f>
        <v>7.4576271186440682E-2</v>
      </c>
      <c r="AE208" s="19">
        <f t="shared" si="27"/>
        <v>307.70338983050846</v>
      </c>
    </row>
    <row r="209" spans="1:31" x14ac:dyDescent="0.25">
      <c r="A209" s="10" t="s">
        <v>193</v>
      </c>
      <c r="B209" s="11">
        <v>46242.449386574073</v>
      </c>
      <c r="C209" s="12" t="s">
        <v>70</v>
      </c>
      <c r="D209" s="12" t="s">
        <v>266</v>
      </c>
      <c r="E209" s="13" t="str">
        <f t="shared" si="21"/>
        <v>FR100</v>
      </c>
      <c r="F209" s="14" t="str">
        <f t="shared" si="22"/>
        <v>BLC</v>
      </c>
      <c r="G209" s="14">
        <f>+VLOOKUP(F209,[1]base!A:B,2,0)</f>
        <v>1</v>
      </c>
      <c r="H209" s="14">
        <v>30</v>
      </c>
      <c r="I209" s="14">
        <v>30</v>
      </c>
      <c r="J209" s="14"/>
      <c r="K209" s="14" t="s">
        <v>33</v>
      </c>
      <c r="L209" s="14" t="s">
        <v>76</v>
      </c>
      <c r="M209" s="14" t="s">
        <v>77</v>
      </c>
      <c r="N209" s="14"/>
      <c r="O209" s="14"/>
      <c r="P209" s="14"/>
      <c r="Q209" s="14">
        <v>0</v>
      </c>
      <c r="R209" s="14">
        <v>0</v>
      </c>
      <c r="S209" s="14"/>
      <c r="T209" s="15">
        <v>30</v>
      </c>
      <c r="U209" s="16"/>
      <c r="V209" s="17">
        <v>423</v>
      </c>
      <c r="W209" s="17">
        <f t="shared" si="23"/>
        <v>12690</v>
      </c>
      <c r="X209" s="17">
        <f t="shared" si="24"/>
        <v>659.88</v>
      </c>
      <c r="Y209" s="17">
        <v>428</v>
      </c>
      <c r="Z209" s="17">
        <f t="shared" si="25"/>
        <v>1</v>
      </c>
      <c r="AA209" s="17">
        <f t="shared" si="26"/>
        <v>6.6666666666666693E-2</v>
      </c>
      <c r="AB209" s="17">
        <f>+VLOOKUP(E209,[1]base!M:N,2,0)</f>
        <v>1365</v>
      </c>
      <c r="AC209" s="17">
        <f>+VLOOKUP(E209,[1]base!M:Q,5,0)</f>
        <v>812.5</v>
      </c>
      <c r="AD209" s="18">
        <f>+VLOOKUP(E209,[1]base!M:P,4,0)</f>
        <v>7.4576271186440682E-2</v>
      </c>
      <c r="AE209" s="19">
        <f t="shared" si="27"/>
        <v>307.70338983050846</v>
      </c>
    </row>
    <row r="210" spans="1:31" x14ac:dyDescent="0.25">
      <c r="A210" s="10" t="s">
        <v>269</v>
      </c>
      <c r="B210" s="11">
        <v>46247.53869212963</v>
      </c>
      <c r="C210" s="12" t="s">
        <v>258</v>
      </c>
      <c r="D210" s="12" t="s">
        <v>266</v>
      </c>
      <c r="E210" s="13" t="str">
        <f t="shared" si="21"/>
        <v>FR100</v>
      </c>
      <c r="F210" s="14" t="str">
        <f t="shared" si="22"/>
        <v>BLC</v>
      </c>
      <c r="G210" s="14">
        <f>+VLOOKUP(F210,[1]base!A:B,2,0)</f>
        <v>1</v>
      </c>
      <c r="H210" s="14">
        <v>30</v>
      </c>
      <c r="I210" s="14">
        <v>30</v>
      </c>
      <c r="J210" s="14"/>
      <c r="K210" s="14" t="s">
        <v>33</v>
      </c>
      <c r="L210" s="14" t="s">
        <v>76</v>
      </c>
      <c r="M210" s="14" t="s">
        <v>77</v>
      </c>
      <c r="N210" s="14"/>
      <c r="O210" s="14"/>
      <c r="P210" s="14"/>
      <c r="Q210" s="14">
        <v>0</v>
      </c>
      <c r="R210" s="14">
        <v>0</v>
      </c>
      <c r="S210" s="14"/>
      <c r="T210" s="15">
        <v>30</v>
      </c>
      <c r="U210" s="16"/>
      <c r="V210" s="17">
        <v>468</v>
      </c>
      <c r="W210" s="17">
        <f t="shared" si="23"/>
        <v>14040</v>
      </c>
      <c r="X210" s="17">
        <f t="shared" si="24"/>
        <v>730.07999999999993</v>
      </c>
      <c r="Y210" s="17">
        <v>473</v>
      </c>
      <c r="Z210" s="17">
        <f t="shared" si="25"/>
        <v>1</v>
      </c>
      <c r="AA210" s="17">
        <f t="shared" si="26"/>
        <v>6.6666666666666693E-2</v>
      </c>
      <c r="AB210" s="17">
        <f>+VLOOKUP(E210,[1]base!M:N,2,0)</f>
        <v>1365</v>
      </c>
      <c r="AC210" s="17">
        <f>+VLOOKUP(E210,[1]base!M:Q,5,0)</f>
        <v>812.5</v>
      </c>
      <c r="AD210" s="18">
        <f>+VLOOKUP(E210,[1]base!M:P,4,0)</f>
        <v>7.4576271186440682E-2</v>
      </c>
      <c r="AE210" s="19">
        <f t="shared" si="27"/>
        <v>307.70338983050846</v>
      </c>
    </row>
    <row r="211" spans="1:31" x14ac:dyDescent="0.25">
      <c r="A211" s="10" t="s">
        <v>195</v>
      </c>
      <c r="B211" s="11">
        <v>46247.620497685188</v>
      </c>
      <c r="C211" s="12" t="s">
        <v>183</v>
      </c>
      <c r="D211" s="12" t="s">
        <v>266</v>
      </c>
      <c r="E211" s="13" t="str">
        <f t="shared" si="21"/>
        <v>FR100</v>
      </c>
      <c r="F211" s="14" t="str">
        <f t="shared" si="22"/>
        <v>BLC</v>
      </c>
      <c r="G211" s="14">
        <f>+VLOOKUP(F211,[1]base!A:B,2,0)</f>
        <v>1</v>
      </c>
      <c r="H211" s="14">
        <v>20</v>
      </c>
      <c r="I211" s="14">
        <v>4</v>
      </c>
      <c r="J211" s="14"/>
      <c r="K211" s="14" t="s">
        <v>33</v>
      </c>
      <c r="L211" s="14" t="s">
        <v>76</v>
      </c>
      <c r="M211" s="14" t="s">
        <v>77</v>
      </c>
      <c r="N211" s="14"/>
      <c r="O211" s="14"/>
      <c r="P211" s="14"/>
      <c r="Q211" s="14">
        <v>0</v>
      </c>
      <c r="R211" s="14">
        <v>0</v>
      </c>
      <c r="S211" s="14"/>
      <c r="T211" s="15">
        <v>4</v>
      </c>
      <c r="U211" s="16"/>
      <c r="V211" s="17">
        <v>473</v>
      </c>
      <c r="W211" s="17">
        <f t="shared" si="23"/>
        <v>1892</v>
      </c>
      <c r="X211" s="17">
        <f t="shared" si="24"/>
        <v>98.384</v>
      </c>
      <c r="Y211" s="17">
        <v>478</v>
      </c>
      <c r="Z211" s="17">
        <f t="shared" si="25"/>
        <v>1</v>
      </c>
      <c r="AA211" s="17">
        <f t="shared" si="26"/>
        <v>6.6666666666666693E-2</v>
      </c>
      <c r="AB211" s="17">
        <f>+VLOOKUP(E211,[1]base!M:N,2,0)</f>
        <v>1365</v>
      </c>
      <c r="AC211" s="17">
        <f>+VLOOKUP(E211,[1]base!M:Q,5,0)</f>
        <v>812.5</v>
      </c>
      <c r="AD211" s="18">
        <f>+VLOOKUP(E211,[1]base!M:P,4,0)</f>
        <v>7.4576271186440682E-2</v>
      </c>
      <c r="AE211" s="19">
        <f t="shared" si="27"/>
        <v>307.70338983050846</v>
      </c>
    </row>
    <row r="212" spans="1:31" x14ac:dyDescent="0.25">
      <c r="A212" s="10" t="s">
        <v>270</v>
      </c>
      <c r="B212" s="11">
        <v>46252.377326388887</v>
      </c>
      <c r="C212" s="12" t="s">
        <v>130</v>
      </c>
      <c r="D212" s="12" t="s">
        <v>266</v>
      </c>
      <c r="E212" s="13" t="str">
        <f t="shared" si="21"/>
        <v>FR100</v>
      </c>
      <c r="F212" s="14" t="str">
        <f t="shared" si="22"/>
        <v>BLC</v>
      </c>
      <c r="G212" s="14">
        <f>+VLOOKUP(F212,[1]base!A:B,2,0)</f>
        <v>1</v>
      </c>
      <c r="H212" s="14">
        <v>2</v>
      </c>
      <c r="I212" s="14">
        <v>2</v>
      </c>
      <c r="J212" s="14"/>
      <c r="K212" s="14" t="s">
        <v>33</v>
      </c>
      <c r="L212" s="14" t="s">
        <v>76</v>
      </c>
      <c r="M212" s="14" t="s">
        <v>77</v>
      </c>
      <c r="N212" s="14"/>
      <c r="O212" s="14"/>
      <c r="P212" s="14"/>
      <c r="Q212" s="14">
        <v>0</v>
      </c>
      <c r="R212" s="14">
        <v>0</v>
      </c>
      <c r="S212" s="14"/>
      <c r="T212" s="15">
        <v>2</v>
      </c>
      <c r="U212" s="16"/>
      <c r="V212" s="17">
        <v>511</v>
      </c>
      <c r="W212" s="17">
        <f t="shared" si="23"/>
        <v>1022</v>
      </c>
      <c r="X212" s="17">
        <f t="shared" si="24"/>
        <v>53.143999999999998</v>
      </c>
      <c r="Y212" s="17">
        <v>516</v>
      </c>
      <c r="Z212" s="17">
        <f t="shared" si="25"/>
        <v>1</v>
      </c>
      <c r="AA212" s="17">
        <f t="shared" si="26"/>
        <v>6.6666666666666693E-2</v>
      </c>
      <c r="AB212" s="17">
        <f>+VLOOKUP(E212,[1]base!M:N,2,0)</f>
        <v>1365</v>
      </c>
      <c r="AC212" s="17">
        <f>+VLOOKUP(E212,[1]base!M:Q,5,0)</f>
        <v>812.5</v>
      </c>
      <c r="AD212" s="18">
        <f>+VLOOKUP(E212,[1]base!M:P,4,0)</f>
        <v>7.4576271186440682E-2</v>
      </c>
      <c r="AE212" s="19">
        <f t="shared" si="27"/>
        <v>307.70338983050846</v>
      </c>
    </row>
    <row r="213" spans="1:31" x14ac:dyDescent="0.25">
      <c r="A213" s="10" t="s">
        <v>263</v>
      </c>
      <c r="B213" s="11">
        <v>46265.519386574073</v>
      </c>
      <c r="C213" s="12" t="s">
        <v>258</v>
      </c>
      <c r="D213" s="12" t="s">
        <v>266</v>
      </c>
      <c r="E213" s="13" t="str">
        <f t="shared" si="21"/>
        <v>FR100</v>
      </c>
      <c r="F213" s="14" t="str">
        <f t="shared" si="22"/>
        <v>BLC</v>
      </c>
      <c r="G213" s="14">
        <f>+VLOOKUP(F213,[1]base!A:B,2,0)</f>
        <v>1</v>
      </c>
      <c r="H213" s="14">
        <v>30</v>
      </c>
      <c r="I213" s="14">
        <v>30</v>
      </c>
      <c r="J213" s="14"/>
      <c r="K213" s="14" t="s">
        <v>33</v>
      </c>
      <c r="L213" s="14" t="s">
        <v>76</v>
      </c>
      <c r="M213" s="14" t="s">
        <v>77</v>
      </c>
      <c r="N213" s="14"/>
      <c r="O213" s="14"/>
      <c r="P213" s="14"/>
      <c r="Q213" s="14">
        <v>0</v>
      </c>
      <c r="R213" s="14">
        <v>0</v>
      </c>
      <c r="S213" s="14"/>
      <c r="T213" s="15">
        <v>30</v>
      </c>
      <c r="U213" s="16"/>
      <c r="V213" s="17">
        <v>843</v>
      </c>
      <c r="W213" s="17">
        <f t="shared" si="23"/>
        <v>25290</v>
      </c>
      <c r="X213" s="17">
        <f t="shared" si="24"/>
        <v>1315.08</v>
      </c>
      <c r="Y213" s="17">
        <v>848</v>
      </c>
      <c r="Z213" s="17">
        <f t="shared" si="25"/>
        <v>1</v>
      </c>
      <c r="AA213" s="17">
        <f t="shared" si="26"/>
        <v>6.6666666666666693E-2</v>
      </c>
      <c r="AB213" s="17">
        <f>+VLOOKUP(E213,[1]base!M:N,2,0)</f>
        <v>1365</v>
      </c>
      <c r="AC213" s="17">
        <f>+VLOOKUP(E213,[1]base!M:Q,5,0)</f>
        <v>812.5</v>
      </c>
      <c r="AD213" s="18">
        <f>+VLOOKUP(E213,[1]base!M:P,4,0)</f>
        <v>7.4576271186440682E-2</v>
      </c>
      <c r="AE213" s="19">
        <f t="shared" si="27"/>
        <v>307.70338983050846</v>
      </c>
    </row>
    <row r="214" spans="1:31" x14ac:dyDescent="0.25">
      <c r="A214" s="10" t="s">
        <v>139</v>
      </c>
      <c r="B214" s="11">
        <v>46268.400879629633</v>
      </c>
      <c r="C214" s="12" t="s">
        <v>39</v>
      </c>
      <c r="D214" s="12" t="s">
        <v>266</v>
      </c>
      <c r="E214" s="13" t="str">
        <f t="shared" si="21"/>
        <v>FR100</v>
      </c>
      <c r="F214" s="14" t="str">
        <f t="shared" si="22"/>
        <v>BLC</v>
      </c>
      <c r="G214" s="14">
        <f>+VLOOKUP(F214,[1]base!A:B,2,0)</f>
        <v>1</v>
      </c>
      <c r="H214" s="14">
        <v>10</v>
      </c>
      <c r="I214" s="14">
        <v>10</v>
      </c>
      <c r="J214" s="14"/>
      <c r="K214" s="14" t="s">
        <v>33</v>
      </c>
      <c r="L214" s="14" t="s">
        <v>76</v>
      </c>
      <c r="M214" s="14" t="s">
        <v>77</v>
      </c>
      <c r="N214" s="14"/>
      <c r="O214" s="14"/>
      <c r="P214" s="14"/>
      <c r="Q214" s="14">
        <v>0</v>
      </c>
      <c r="R214" s="14">
        <v>0</v>
      </c>
      <c r="S214" s="14">
        <v>4</v>
      </c>
      <c r="T214" s="15">
        <v>10</v>
      </c>
      <c r="U214" s="16"/>
      <c r="V214" s="17">
        <v>1070</v>
      </c>
      <c r="W214" s="17">
        <f t="shared" si="23"/>
        <v>10700</v>
      </c>
      <c r="X214" s="17">
        <f t="shared" si="24"/>
        <v>556.4</v>
      </c>
      <c r="Y214" s="17">
        <v>1075</v>
      </c>
      <c r="Z214" s="17">
        <f t="shared" si="25"/>
        <v>1</v>
      </c>
      <c r="AA214" s="17">
        <f t="shared" si="26"/>
        <v>6.6666666666666693E-2</v>
      </c>
      <c r="AB214" s="17">
        <f>+VLOOKUP(E214,[1]base!M:N,2,0)</f>
        <v>1365</v>
      </c>
      <c r="AC214" s="17">
        <f>+VLOOKUP(E214,[1]base!M:Q,5,0)</f>
        <v>812.5</v>
      </c>
      <c r="AD214" s="18">
        <f>+VLOOKUP(E214,[1]base!M:P,4,0)</f>
        <v>7.4576271186440682E-2</v>
      </c>
      <c r="AE214" s="19">
        <f t="shared" si="27"/>
        <v>307.70338983050846</v>
      </c>
    </row>
    <row r="215" spans="1:31" x14ac:dyDescent="0.25">
      <c r="A215" s="10" t="s">
        <v>101</v>
      </c>
      <c r="B215" s="11">
        <v>46246.522766203707</v>
      </c>
      <c r="C215" s="12" t="s">
        <v>102</v>
      </c>
      <c r="D215" s="12" t="s">
        <v>266</v>
      </c>
      <c r="E215" s="13" t="str">
        <f t="shared" si="21"/>
        <v>FR100</v>
      </c>
      <c r="F215" s="14" t="str">
        <f t="shared" si="22"/>
        <v>BLC</v>
      </c>
      <c r="G215" s="14">
        <f>+VLOOKUP(F215,[1]base!A:B,2,0)</f>
        <v>1</v>
      </c>
      <c r="H215" s="14">
        <v>50</v>
      </c>
      <c r="I215" s="14">
        <v>50</v>
      </c>
      <c r="J215" s="14"/>
      <c r="K215" s="14" t="s">
        <v>33</v>
      </c>
      <c r="L215" s="14" t="s">
        <v>271</v>
      </c>
      <c r="M215" s="14" t="s">
        <v>35</v>
      </c>
      <c r="N215" s="14">
        <v>50</v>
      </c>
      <c r="O215" s="14">
        <v>50</v>
      </c>
      <c r="P215" s="14">
        <v>0</v>
      </c>
      <c r="Q215" s="14">
        <v>0</v>
      </c>
      <c r="R215" s="14">
        <v>0</v>
      </c>
      <c r="S215" s="14"/>
      <c r="T215" s="15">
        <v>50</v>
      </c>
      <c r="U215" s="16"/>
      <c r="V215" s="17">
        <v>448</v>
      </c>
      <c r="W215" s="17">
        <f t="shared" si="23"/>
        <v>22400</v>
      </c>
      <c r="X215" s="17">
        <f t="shared" si="24"/>
        <v>1164.8</v>
      </c>
      <c r="Y215" s="17">
        <v>453</v>
      </c>
      <c r="Z215" s="17">
        <f t="shared" si="25"/>
        <v>1</v>
      </c>
      <c r="AA215" s="17">
        <f t="shared" si="26"/>
        <v>6.6666666666666693E-2</v>
      </c>
      <c r="AB215" s="17">
        <f>+VLOOKUP(E215,[1]base!M:N,2,0)</f>
        <v>1365</v>
      </c>
      <c r="AC215" s="17">
        <f>+VLOOKUP(E215,[1]base!M:Q,5,0)</f>
        <v>812.5</v>
      </c>
      <c r="AD215" s="18">
        <f>+VLOOKUP(E215,[1]base!M:P,4,0)</f>
        <v>7.4576271186440682E-2</v>
      </c>
      <c r="AE215" s="19">
        <f t="shared" si="27"/>
        <v>307.70338983050846</v>
      </c>
    </row>
    <row r="216" spans="1:31" x14ac:dyDescent="0.25">
      <c r="A216" s="10" t="s">
        <v>272</v>
      </c>
      <c r="B216" s="11">
        <v>46248.388148148151</v>
      </c>
      <c r="C216" s="12" t="s">
        <v>273</v>
      </c>
      <c r="D216" s="12" t="s">
        <v>266</v>
      </c>
      <c r="E216" s="13" t="str">
        <f t="shared" si="21"/>
        <v>FR100</v>
      </c>
      <c r="F216" s="14" t="str">
        <f t="shared" si="22"/>
        <v>BLC</v>
      </c>
      <c r="G216" s="14">
        <f>+VLOOKUP(F216,[1]base!A:B,2,0)</f>
        <v>1</v>
      </c>
      <c r="H216" s="14">
        <v>5</v>
      </c>
      <c r="I216" s="14">
        <v>5</v>
      </c>
      <c r="J216" s="14"/>
      <c r="K216" s="14" t="s">
        <v>33</v>
      </c>
      <c r="L216" s="14" t="s">
        <v>274</v>
      </c>
      <c r="M216" s="14" t="s">
        <v>35</v>
      </c>
      <c r="N216" s="14">
        <v>5</v>
      </c>
      <c r="O216" s="14">
        <v>5</v>
      </c>
      <c r="P216" s="14">
        <v>0</v>
      </c>
      <c r="Q216" s="14">
        <v>0</v>
      </c>
      <c r="R216" s="14">
        <v>0</v>
      </c>
      <c r="S216" s="14"/>
      <c r="T216" s="15">
        <v>5</v>
      </c>
      <c r="U216" s="16"/>
      <c r="V216" s="17">
        <v>484</v>
      </c>
      <c r="W216" s="17">
        <f t="shared" si="23"/>
        <v>2420</v>
      </c>
      <c r="X216" s="17">
        <f t="shared" si="24"/>
        <v>125.83999999999999</v>
      </c>
      <c r="Y216" s="17">
        <v>489</v>
      </c>
      <c r="Z216" s="17">
        <f t="shared" si="25"/>
        <v>1</v>
      </c>
      <c r="AA216" s="17">
        <f t="shared" si="26"/>
        <v>6.6666666666666693E-2</v>
      </c>
      <c r="AB216" s="17">
        <f>+VLOOKUP(E216,[1]base!M:N,2,0)</f>
        <v>1365</v>
      </c>
      <c r="AC216" s="17">
        <f>+VLOOKUP(E216,[1]base!M:Q,5,0)</f>
        <v>812.5</v>
      </c>
      <c r="AD216" s="18">
        <f>+VLOOKUP(E216,[1]base!M:P,4,0)</f>
        <v>7.4576271186440682E-2</v>
      </c>
      <c r="AE216" s="19">
        <f t="shared" si="27"/>
        <v>307.70338983050846</v>
      </c>
    </row>
    <row r="217" spans="1:31" x14ac:dyDescent="0.25">
      <c r="A217" s="10" t="s">
        <v>113</v>
      </c>
      <c r="B217" s="11">
        <v>46246.568078703705</v>
      </c>
      <c r="C217" s="12" t="s">
        <v>39</v>
      </c>
      <c r="D217" s="12" t="s">
        <v>266</v>
      </c>
      <c r="E217" s="13" t="str">
        <f t="shared" si="21"/>
        <v>FR100</v>
      </c>
      <c r="F217" s="14" t="str">
        <f t="shared" si="22"/>
        <v>BLC</v>
      </c>
      <c r="G217" s="14">
        <f>+VLOOKUP(F217,[1]base!A:B,2,0)</f>
        <v>1</v>
      </c>
      <c r="H217" s="14">
        <v>100</v>
      </c>
      <c r="I217" s="14">
        <v>100</v>
      </c>
      <c r="J217" s="14"/>
      <c r="K217" s="14" t="s">
        <v>33</v>
      </c>
      <c r="L217" s="14" t="s">
        <v>275</v>
      </c>
      <c r="M217" s="14" t="s">
        <v>35</v>
      </c>
      <c r="N217" s="14">
        <v>100</v>
      </c>
      <c r="O217" s="14">
        <v>100</v>
      </c>
      <c r="P217" s="14">
        <v>0</v>
      </c>
      <c r="Q217" s="14">
        <v>0</v>
      </c>
      <c r="R217" s="14">
        <v>0</v>
      </c>
      <c r="S217" s="14"/>
      <c r="T217" s="15">
        <v>100</v>
      </c>
      <c r="U217" s="16"/>
      <c r="V217" s="17">
        <v>457</v>
      </c>
      <c r="W217" s="17">
        <f t="shared" si="23"/>
        <v>45700</v>
      </c>
      <c r="X217" s="17">
        <f t="shared" si="24"/>
        <v>2376.4</v>
      </c>
      <c r="Y217" s="17">
        <v>462</v>
      </c>
      <c r="Z217" s="17">
        <f t="shared" si="25"/>
        <v>1</v>
      </c>
      <c r="AA217" s="17">
        <f t="shared" si="26"/>
        <v>6.6666666666666693E-2</v>
      </c>
      <c r="AB217" s="17">
        <f>+VLOOKUP(E217,[1]base!M:N,2,0)</f>
        <v>1365</v>
      </c>
      <c r="AC217" s="17">
        <f>+VLOOKUP(E217,[1]base!M:Q,5,0)</f>
        <v>812.5</v>
      </c>
      <c r="AD217" s="18">
        <f>+VLOOKUP(E217,[1]base!M:P,4,0)</f>
        <v>7.4576271186440682E-2</v>
      </c>
      <c r="AE217" s="19">
        <f t="shared" si="27"/>
        <v>307.70338983050846</v>
      </c>
    </row>
    <row r="218" spans="1:31" x14ac:dyDescent="0.25">
      <c r="A218" s="10" t="s">
        <v>135</v>
      </c>
      <c r="B218" s="11">
        <v>46228.27648148148</v>
      </c>
      <c r="C218" s="12" t="s">
        <v>130</v>
      </c>
      <c r="D218" s="12" t="s">
        <v>266</v>
      </c>
      <c r="E218" s="13" t="str">
        <f t="shared" si="21"/>
        <v>FR100</v>
      </c>
      <c r="F218" s="14" t="str">
        <f t="shared" si="22"/>
        <v>BLC</v>
      </c>
      <c r="G218" s="14">
        <f>+VLOOKUP(F218,[1]base!A:B,2,0)</f>
        <v>1</v>
      </c>
      <c r="H218" s="14">
        <v>30</v>
      </c>
      <c r="I218" s="14">
        <v>30</v>
      </c>
      <c r="J218" s="14"/>
      <c r="K218" s="14" t="s">
        <v>33</v>
      </c>
      <c r="L218" s="14" t="s">
        <v>276</v>
      </c>
      <c r="M218" s="14" t="s">
        <v>35</v>
      </c>
      <c r="N218" s="14">
        <v>30</v>
      </c>
      <c r="O218" s="14">
        <v>30</v>
      </c>
      <c r="P218" s="14">
        <v>0</v>
      </c>
      <c r="Q218" s="14">
        <v>0</v>
      </c>
      <c r="R218" s="14">
        <v>0</v>
      </c>
      <c r="S218" s="14"/>
      <c r="T218" s="15">
        <v>30</v>
      </c>
      <c r="U218" s="16"/>
      <c r="V218" s="17">
        <v>266</v>
      </c>
      <c r="W218" s="17">
        <f t="shared" si="23"/>
        <v>7980</v>
      </c>
      <c r="X218" s="17">
        <f t="shared" si="24"/>
        <v>414.96</v>
      </c>
      <c r="Y218" s="17">
        <v>271</v>
      </c>
      <c r="Z218" s="17">
        <f t="shared" si="25"/>
        <v>1</v>
      </c>
      <c r="AA218" s="17">
        <f t="shared" si="26"/>
        <v>6.6666666666666693E-2</v>
      </c>
      <c r="AB218" s="17">
        <f>+VLOOKUP(E218,[1]base!M:N,2,0)</f>
        <v>1365</v>
      </c>
      <c r="AC218" s="17">
        <f>+VLOOKUP(E218,[1]base!M:Q,5,0)</f>
        <v>812.5</v>
      </c>
      <c r="AD218" s="18">
        <f>+VLOOKUP(E218,[1]base!M:P,4,0)</f>
        <v>7.4576271186440682E-2</v>
      </c>
      <c r="AE218" s="19">
        <f t="shared" si="27"/>
        <v>307.70338983050846</v>
      </c>
    </row>
    <row r="219" spans="1:31" x14ac:dyDescent="0.25">
      <c r="A219" s="10" t="s">
        <v>162</v>
      </c>
      <c r="B219" s="11">
        <v>46266.406585648147</v>
      </c>
      <c r="C219" s="12" t="s">
        <v>102</v>
      </c>
      <c r="D219" s="12" t="s">
        <v>266</v>
      </c>
      <c r="E219" s="13" t="str">
        <f t="shared" si="21"/>
        <v>FR100</v>
      </c>
      <c r="F219" s="14" t="str">
        <f t="shared" si="22"/>
        <v>BLC</v>
      </c>
      <c r="G219" s="14">
        <f>+VLOOKUP(F219,[1]base!A:B,2,0)</f>
        <v>1</v>
      </c>
      <c r="H219" s="14">
        <v>100</v>
      </c>
      <c r="I219" s="14">
        <v>100</v>
      </c>
      <c r="J219" s="14"/>
      <c r="K219" s="14" t="s">
        <v>33</v>
      </c>
      <c r="L219" s="14" t="s">
        <v>277</v>
      </c>
      <c r="M219" s="14" t="s">
        <v>35</v>
      </c>
      <c r="N219" s="14">
        <v>100</v>
      </c>
      <c r="O219" s="14">
        <v>100</v>
      </c>
      <c r="P219" s="14">
        <v>0</v>
      </c>
      <c r="Q219" s="14">
        <v>0</v>
      </c>
      <c r="R219" s="14">
        <v>0</v>
      </c>
      <c r="S219" s="14"/>
      <c r="T219" s="15">
        <v>100</v>
      </c>
      <c r="U219" s="16"/>
      <c r="V219" s="17">
        <v>881</v>
      </c>
      <c r="W219" s="17">
        <f t="shared" si="23"/>
        <v>88100</v>
      </c>
      <c r="X219" s="17">
        <f t="shared" si="24"/>
        <v>4581.2</v>
      </c>
      <c r="Y219" s="17">
        <v>886</v>
      </c>
      <c r="Z219" s="17">
        <f t="shared" si="25"/>
        <v>1</v>
      </c>
      <c r="AA219" s="17">
        <f t="shared" si="26"/>
        <v>6.6666666666666693E-2</v>
      </c>
      <c r="AB219" s="17">
        <f>+VLOOKUP(E219,[1]base!M:N,2,0)</f>
        <v>1365</v>
      </c>
      <c r="AC219" s="17">
        <f>+VLOOKUP(E219,[1]base!M:Q,5,0)</f>
        <v>812.5</v>
      </c>
      <c r="AD219" s="18">
        <f>+VLOOKUP(E219,[1]base!M:P,4,0)</f>
        <v>7.4576271186440682E-2</v>
      </c>
      <c r="AE219" s="19">
        <f t="shared" si="27"/>
        <v>307.70338983050846</v>
      </c>
    </row>
    <row r="220" spans="1:31" x14ac:dyDescent="0.25">
      <c r="A220" s="10" t="s">
        <v>94</v>
      </c>
      <c r="B220" s="11">
        <v>46266.490532407406</v>
      </c>
      <c r="C220" s="12" t="s">
        <v>95</v>
      </c>
      <c r="D220" s="12" t="s">
        <v>266</v>
      </c>
      <c r="E220" s="13" t="str">
        <f t="shared" si="21"/>
        <v>FR100</v>
      </c>
      <c r="F220" s="14" t="str">
        <f t="shared" si="22"/>
        <v>BLC</v>
      </c>
      <c r="G220" s="14">
        <f>+VLOOKUP(F220,[1]base!A:B,2,0)</f>
        <v>1</v>
      </c>
      <c r="H220" s="14">
        <v>40</v>
      </c>
      <c r="I220" s="14">
        <v>40</v>
      </c>
      <c r="J220" s="14"/>
      <c r="K220" s="14" t="s">
        <v>33</v>
      </c>
      <c r="L220" s="14" t="s">
        <v>278</v>
      </c>
      <c r="M220" s="14" t="s">
        <v>35</v>
      </c>
      <c r="N220" s="14">
        <v>40</v>
      </c>
      <c r="O220" s="14">
        <v>40</v>
      </c>
      <c r="P220" s="14">
        <v>0</v>
      </c>
      <c r="Q220" s="14">
        <v>0</v>
      </c>
      <c r="R220" s="14">
        <v>0</v>
      </c>
      <c r="S220" s="14"/>
      <c r="T220" s="15">
        <v>40</v>
      </c>
      <c r="U220" s="16"/>
      <c r="V220" s="17">
        <v>935</v>
      </c>
      <c r="W220" s="17">
        <f t="shared" si="23"/>
        <v>37400</v>
      </c>
      <c r="X220" s="17">
        <f t="shared" si="24"/>
        <v>1944.8</v>
      </c>
      <c r="Y220" s="17">
        <v>940</v>
      </c>
      <c r="Z220" s="17">
        <f t="shared" si="25"/>
        <v>1</v>
      </c>
      <c r="AA220" s="17">
        <f t="shared" si="26"/>
        <v>6.6666666666666693E-2</v>
      </c>
      <c r="AB220" s="17">
        <f>+VLOOKUP(E220,[1]base!M:N,2,0)</f>
        <v>1365</v>
      </c>
      <c r="AC220" s="17">
        <f>+VLOOKUP(E220,[1]base!M:Q,5,0)</f>
        <v>812.5</v>
      </c>
      <c r="AD220" s="18">
        <f>+VLOOKUP(E220,[1]base!M:P,4,0)</f>
        <v>7.4576271186440682E-2</v>
      </c>
      <c r="AE220" s="19">
        <f t="shared" si="27"/>
        <v>307.70338983050846</v>
      </c>
    </row>
    <row r="221" spans="1:31" x14ac:dyDescent="0.25">
      <c r="A221" s="10" t="s">
        <v>87</v>
      </c>
      <c r="B221" s="11">
        <v>46235.515706018516</v>
      </c>
      <c r="C221" s="12" t="s">
        <v>88</v>
      </c>
      <c r="D221" s="12" t="s">
        <v>279</v>
      </c>
      <c r="E221" s="13" t="str">
        <f t="shared" si="21"/>
        <v>EC40402</v>
      </c>
      <c r="F221" s="14" t="str">
        <f t="shared" si="22"/>
        <v>BLC</v>
      </c>
      <c r="G221" s="14">
        <f>+VLOOKUP(F221,[1]base!A:B,2,0)</f>
        <v>1</v>
      </c>
      <c r="H221" s="14">
        <v>60</v>
      </c>
      <c r="I221" s="14">
        <v>60</v>
      </c>
      <c r="J221" s="14"/>
      <c r="K221" s="14" t="s">
        <v>33</v>
      </c>
      <c r="L221" s="14" t="s">
        <v>76</v>
      </c>
      <c r="M221" s="14" t="s">
        <v>77</v>
      </c>
      <c r="N221" s="14"/>
      <c r="O221" s="14"/>
      <c r="P221" s="14"/>
      <c r="Q221" s="14">
        <v>0</v>
      </c>
      <c r="R221" s="14">
        <v>11</v>
      </c>
      <c r="S221" s="14"/>
      <c r="T221" s="15">
        <v>60</v>
      </c>
      <c r="U221" s="16"/>
      <c r="V221" s="17">
        <v>342</v>
      </c>
      <c r="W221" s="17">
        <f t="shared" si="23"/>
        <v>20520</v>
      </c>
      <c r="X221" s="17">
        <f t="shared" si="24"/>
        <v>1067.04</v>
      </c>
      <c r="Y221" s="17">
        <v>347</v>
      </c>
      <c r="Z221" s="17">
        <f t="shared" si="25"/>
        <v>1</v>
      </c>
      <c r="AA221" s="17">
        <f t="shared" si="26"/>
        <v>6.6666666666666693E-2</v>
      </c>
      <c r="AB221" s="17">
        <f>+VLOOKUP(E221,[1]base!M:N,2,0)</f>
        <v>1556</v>
      </c>
      <c r="AC221" s="17">
        <f>+VLOOKUP(E221,[1]base!M:Q,5,0)</f>
        <v>1635.090909090909</v>
      </c>
      <c r="AD221" s="18">
        <f>+VLOOKUP(E221,[1]base!M:P,4,0)</f>
        <v>0.1326644370122631</v>
      </c>
      <c r="AE221" s="19">
        <f t="shared" si="27"/>
        <v>260.37413600891858</v>
      </c>
    </row>
    <row r="222" spans="1:31" x14ac:dyDescent="0.25">
      <c r="A222" s="10" t="s">
        <v>280</v>
      </c>
      <c r="B222" s="11">
        <v>46238.275856481479</v>
      </c>
      <c r="C222" s="12" t="s">
        <v>39</v>
      </c>
      <c r="D222" s="12" t="s">
        <v>279</v>
      </c>
      <c r="E222" s="13" t="str">
        <f t="shared" si="21"/>
        <v>EC40402</v>
      </c>
      <c r="F222" s="14" t="str">
        <f t="shared" si="22"/>
        <v>BLC</v>
      </c>
      <c r="G222" s="14">
        <f>+VLOOKUP(F222,[1]base!A:B,2,0)</f>
        <v>1</v>
      </c>
      <c r="H222" s="14">
        <v>120</v>
      </c>
      <c r="I222" s="14">
        <v>80</v>
      </c>
      <c r="J222" s="14"/>
      <c r="K222" s="14" t="s">
        <v>72</v>
      </c>
      <c r="L222" s="14" t="s">
        <v>76</v>
      </c>
      <c r="M222" s="14" t="s">
        <v>77</v>
      </c>
      <c r="N222" s="14"/>
      <c r="O222" s="14"/>
      <c r="P222" s="14"/>
      <c r="Q222" s="14">
        <v>120</v>
      </c>
      <c r="R222" s="14">
        <v>11</v>
      </c>
      <c r="S222" s="14"/>
      <c r="T222" s="15">
        <v>80</v>
      </c>
      <c r="U222" s="16"/>
      <c r="V222" s="17">
        <v>363</v>
      </c>
      <c r="W222" s="17">
        <f t="shared" si="23"/>
        <v>29040</v>
      </c>
      <c r="X222" s="17">
        <f t="shared" si="24"/>
        <v>1510.08</v>
      </c>
      <c r="Y222" s="17">
        <v>368</v>
      </c>
      <c r="Z222" s="17">
        <f t="shared" si="25"/>
        <v>1</v>
      </c>
      <c r="AA222" s="17">
        <f t="shared" si="26"/>
        <v>6.6666666666666693E-2</v>
      </c>
      <c r="AB222" s="17">
        <f>+VLOOKUP(E222,[1]base!M:N,2,0)</f>
        <v>1556</v>
      </c>
      <c r="AC222" s="17">
        <f>+VLOOKUP(E222,[1]base!M:Q,5,0)</f>
        <v>1635.090909090909</v>
      </c>
      <c r="AD222" s="18">
        <f>+VLOOKUP(E222,[1]base!M:P,4,0)</f>
        <v>0.1326644370122631</v>
      </c>
      <c r="AE222" s="19">
        <f t="shared" si="27"/>
        <v>260.37413600891858</v>
      </c>
    </row>
    <row r="223" spans="1:31" x14ac:dyDescent="0.25">
      <c r="A223" s="10" t="s">
        <v>281</v>
      </c>
      <c r="B223" s="11">
        <v>46238.533564814818</v>
      </c>
      <c r="C223" s="12" t="s">
        <v>83</v>
      </c>
      <c r="D223" s="12" t="s">
        <v>279</v>
      </c>
      <c r="E223" s="13" t="str">
        <f t="shared" si="21"/>
        <v>EC40402</v>
      </c>
      <c r="F223" s="14" t="str">
        <f t="shared" si="22"/>
        <v>BLC</v>
      </c>
      <c r="G223" s="14">
        <f>+VLOOKUP(F223,[1]base!A:B,2,0)</f>
        <v>1</v>
      </c>
      <c r="H223" s="14">
        <v>100</v>
      </c>
      <c r="I223" s="14">
        <v>76</v>
      </c>
      <c r="J223" s="14"/>
      <c r="K223" s="14" t="s">
        <v>33</v>
      </c>
      <c r="L223" s="14" t="s">
        <v>76</v>
      </c>
      <c r="M223" s="14" t="s">
        <v>77</v>
      </c>
      <c r="N223" s="14"/>
      <c r="O223" s="14"/>
      <c r="P223" s="14"/>
      <c r="Q223" s="14">
        <v>0</v>
      </c>
      <c r="R223" s="14">
        <v>11</v>
      </c>
      <c r="S223" s="14"/>
      <c r="T223" s="15">
        <v>76</v>
      </c>
      <c r="U223" s="16"/>
      <c r="V223" s="17">
        <v>369</v>
      </c>
      <c r="W223" s="17">
        <f t="shared" si="23"/>
        <v>28044</v>
      </c>
      <c r="X223" s="17">
        <f t="shared" si="24"/>
        <v>1458.288</v>
      </c>
      <c r="Y223" s="17">
        <v>374</v>
      </c>
      <c r="Z223" s="17">
        <f t="shared" si="25"/>
        <v>1</v>
      </c>
      <c r="AA223" s="17">
        <f t="shared" si="26"/>
        <v>6.6666666666666693E-2</v>
      </c>
      <c r="AB223" s="17">
        <f>+VLOOKUP(E223,[1]base!M:N,2,0)</f>
        <v>1556</v>
      </c>
      <c r="AC223" s="17">
        <f>+VLOOKUP(E223,[1]base!M:Q,5,0)</f>
        <v>1635.090909090909</v>
      </c>
      <c r="AD223" s="18">
        <f>+VLOOKUP(E223,[1]base!M:P,4,0)</f>
        <v>0.1326644370122631</v>
      </c>
      <c r="AE223" s="19">
        <f t="shared" si="27"/>
        <v>260.37413600891858</v>
      </c>
    </row>
    <row r="224" spans="1:31" x14ac:dyDescent="0.25">
      <c r="A224" s="10" t="s">
        <v>111</v>
      </c>
      <c r="B224" s="11">
        <v>46240.550856481481</v>
      </c>
      <c r="C224" s="12" t="s">
        <v>112</v>
      </c>
      <c r="D224" s="12" t="s">
        <v>279</v>
      </c>
      <c r="E224" s="13" t="str">
        <f t="shared" si="21"/>
        <v>EC40402</v>
      </c>
      <c r="F224" s="14" t="str">
        <f t="shared" si="22"/>
        <v>BLC</v>
      </c>
      <c r="G224" s="14">
        <f>+VLOOKUP(F224,[1]base!A:B,2,0)</f>
        <v>1</v>
      </c>
      <c r="H224" s="14">
        <v>80</v>
      </c>
      <c r="I224" s="14">
        <v>80</v>
      </c>
      <c r="J224" s="14"/>
      <c r="K224" s="14" t="s">
        <v>33</v>
      </c>
      <c r="L224" s="14" t="s">
        <v>76</v>
      </c>
      <c r="M224" s="14" t="s">
        <v>77</v>
      </c>
      <c r="N224" s="14"/>
      <c r="O224" s="14"/>
      <c r="P224" s="14"/>
      <c r="Q224" s="14">
        <v>0</v>
      </c>
      <c r="R224" s="14">
        <v>11</v>
      </c>
      <c r="S224" s="14"/>
      <c r="T224" s="15">
        <v>80</v>
      </c>
      <c r="U224" s="16"/>
      <c r="V224" s="17">
        <v>402</v>
      </c>
      <c r="W224" s="17">
        <f t="shared" si="23"/>
        <v>32160</v>
      </c>
      <c r="X224" s="17">
        <f t="shared" si="24"/>
        <v>1672.32</v>
      </c>
      <c r="Y224" s="17">
        <v>407</v>
      </c>
      <c r="Z224" s="17">
        <f t="shared" si="25"/>
        <v>1</v>
      </c>
      <c r="AA224" s="17">
        <f t="shared" si="26"/>
        <v>6.6666666666666693E-2</v>
      </c>
      <c r="AB224" s="17">
        <f>+VLOOKUP(E224,[1]base!M:N,2,0)</f>
        <v>1556</v>
      </c>
      <c r="AC224" s="17">
        <f>+VLOOKUP(E224,[1]base!M:Q,5,0)</f>
        <v>1635.090909090909</v>
      </c>
      <c r="AD224" s="18">
        <f>+VLOOKUP(E224,[1]base!M:P,4,0)</f>
        <v>0.1326644370122631</v>
      </c>
      <c r="AE224" s="19">
        <f t="shared" si="27"/>
        <v>260.37413600891858</v>
      </c>
    </row>
    <row r="225" spans="1:31" x14ac:dyDescent="0.25">
      <c r="A225" s="10" t="s">
        <v>136</v>
      </c>
      <c r="B225" s="11">
        <v>46244.318136574075</v>
      </c>
      <c r="C225" s="12" t="s">
        <v>130</v>
      </c>
      <c r="D225" s="12" t="s">
        <v>279</v>
      </c>
      <c r="E225" s="13" t="str">
        <f t="shared" si="21"/>
        <v>EC40402</v>
      </c>
      <c r="F225" s="14" t="str">
        <f t="shared" si="22"/>
        <v>BLC</v>
      </c>
      <c r="G225" s="14">
        <f>+VLOOKUP(F225,[1]base!A:B,2,0)</f>
        <v>1</v>
      </c>
      <c r="H225" s="14">
        <v>50</v>
      </c>
      <c r="I225" s="14">
        <v>50</v>
      </c>
      <c r="J225" s="14"/>
      <c r="K225" s="14" t="s">
        <v>33</v>
      </c>
      <c r="L225" s="14" t="s">
        <v>76</v>
      </c>
      <c r="M225" s="14" t="s">
        <v>77</v>
      </c>
      <c r="N225" s="14"/>
      <c r="O225" s="14"/>
      <c r="P225" s="14"/>
      <c r="Q225" s="14">
        <v>0</v>
      </c>
      <c r="R225" s="14">
        <v>11</v>
      </c>
      <c r="S225" s="14"/>
      <c r="T225" s="15">
        <v>50</v>
      </c>
      <c r="U225" s="16"/>
      <c r="V225" s="17">
        <v>431</v>
      </c>
      <c r="W225" s="17">
        <f t="shared" si="23"/>
        <v>21550</v>
      </c>
      <c r="X225" s="17">
        <f t="shared" si="24"/>
        <v>1120.5999999999999</v>
      </c>
      <c r="Y225" s="17">
        <v>436</v>
      </c>
      <c r="Z225" s="17">
        <f t="shared" si="25"/>
        <v>1</v>
      </c>
      <c r="AA225" s="17">
        <f t="shared" si="26"/>
        <v>6.6666666666666693E-2</v>
      </c>
      <c r="AB225" s="17">
        <f>+VLOOKUP(E225,[1]base!M:N,2,0)</f>
        <v>1556</v>
      </c>
      <c r="AC225" s="17">
        <f>+VLOOKUP(E225,[1]base!M:Q,5,0)</f>
        <v>1635.090909090909</v>
      </c>
      <c r="AD225" s="18">
        <f>+VLOOKUP(E225,[1]base!M:P,4,0)</f>
        <v>0.1326644370122631</v>
      </c>
      <c r="AE225" s="19">
        <f t="shared" si="27"/>
        <v>260.37413600891858</v>
      </c>
    </row>
    <row r="226" spans="1:31" x14ac:dyDescent="0.25">
      <c r="A226" s="10" t="s">
        <v>269</v>
      </c>
      <c r="B226" s="11">
        <v>46247.53869212963</v>
      </c>
      <c r="C226" s="12" t="s">
        <v>258</v>
      </c>
      <c r="D226" s="12" t="s">
        <v>279</v>
      </c>
      <c r="E226" s="13" t="str">
        <f t="shared" si="21"/>
        <v>EC40402</v>
      </c>
      <c r="F226" s="14" t="str">
        <f t="shared" si="22"/>
        <v>BLC</v>
      </c>
      <c r="G226" s="14">
        <f>+VLOOKUP(F226,[1]base!A:B,2,0)</f>
        <v>1</v>
      </c>
      <c r="H226" s="14">
        <v>20</v>
      </c>
      <c r="I226" s="14">
        <v>20</v>
      </c>
      <c r="J226" s="14"/>
      <c r="K226" s="14" t="s">
        <v>33</v>
      </c>
      <c r="L226" s="14" t="s">
        <v>76</v>
      </c>
      <c r="M226" s="14" t="s">
        <v>77</v>
      </c>
      <c r="N226" s="14"/>
      <c r="O226" s="14"/>
      <c r="P226" s="14"/>
      <c r="Q226" s="14">
        <v>0</v>
      </c>
      <c r="R226" s="14">
        <v>11</v>
      </c>
      <c r="S226" s="14"/>
      <c r="T226" s="15">
        <v>20</v>
      </c>
      <c r="U226" s="16"/>
      <c r="V226" s="17">
        <v>467</v>
      </c>
      <c r="W226" s="17">
        <f t="shared" si="23"/>
        <v>9340</v>
      </c>
      <c r="X226" s="17">
        <f t="shared" si="24"/>
        <v>485.67999999999995</v>
      </c>
      <c r="Y226" s="17">
        <v>472</v>
      </c>
      <c r="Z226" s="17">
        <f t="shared" si="25"/>
        <v>1</v>
      </c>
      <c r="AA226" s="17">
        <f t="shared" si="26"/>
        <v>6.6666666666666693E-2</v>
      </c>
      <c r="AB226" s="17">
        <f>+VLOOKUP(E226,[1]base!M:N,2,0)</f>
        <v>1556</v>
      </c>
      <c r="AC226" s="17">
        <f>+VLOOKUP(E226,[1]base!M:Q,5,0)</f>
        <v>1635.090909090909</v>
      </c>
      <c r="AD226" s="18">
        <f>+VLOOKUP(E226,[1]base!M:P,4,0)</f>
        <v>0.1326644370122631</v>
      </c>
      <c r="AE226" s="19">
        <f t="shared" si="27"/>
        <v>260.37413600891858</v>
      </c>
    </row>
    <row r="227" spans="1:31" x14ac:dyDescent="0.25">
      <c r="A227" s="10" t="s">
        <v>214</v>
      </c>
      <c r="B227" s="11">
        <v>46248.279374999998</v>
      </c>
      <c r="C227" s="12" t="s">
        <v>130</v>
      </c>
      <c r="D227" s="12" t="s">
        <v>279</v>
      </c>
      <c r="E227" s="13" t="str">
        <f t="shared" si="21"/>
        <v>EC40402</v>
      </c>
      <c r="F227" s="14" t="str">
        <f t="shared" si="22"/>
        <v>BLC</v>
      </c>
      <c r="G227" s="14">
        <f>+VLOOKUP(F227,[1]base!A:B,2,0)</f>
        <v>1</v>
      </c>
      <c r="H227" s="14">
        <v>48</v>
      </c>
      <c r="I227" s="14">
        <v>38</v>
      </c>
      <c r="J227" s="14"/>
      <c r="K227" s="14" t="s">
        <v>33</v>
      </c>
      <c r="L227" s="14" t="s">
        <v>76</v>
      </c>
      <c r="M227" s="14" t="s">
        <v>77</v>
      </c>
      <c r="N227" s="14"/>
      <c r="O227" s="14"/>
      <c r="P227" s="14"/>
      <c r="Q227" s="14">
        <v>0</v>
      </c>
      <c r="R227" s="14">
        <v>11</v>
      </c>
      <c r="S227" s="14"/>
      <c r="T227" s="15">
        <v>38</v>
      </c>
      <c r="U227" s="16"/>
      <c r="V227" s="17">
        <v>476</v>
      </c>
      <c r="W227" s="17">
        <f t="shared" si="23"/>
        <v>18088</v>
      </c>
      <c r="X227" s="17">
        <f t="shared" si="24"/>
        <v>940.57599999999991</v>
      </c>
      <c r="Y227" s="17">
        <v>481</v>
      </c>
      <c r="Z227" s="17">
        <f t="shared" si="25"/>
        <v>1</v>
      </c>
      <c r="AA227" s="17">
        <f t="shared" si="26"/>
        <v>6.6666666666666693E-2</v>
      </c>
      <c r="AB227" s="17">
        <f>+VLOOKUP(E227,[1]base!M:N,2,0)</f>
        <v>1556</v>
      </c>
      <c r="AC227" s="17">
        <f>+VLOOKUP(E227,[1]base!M:Q,5,0)</f>
        <v>1635.090909090909</v>
      </c>
      <c r="AD227" s="18">
        <f>+VLOOKUP(E227,[1]base!M:P,4,0)</f>
        <v>0.1326644370122631</v>
      </c>
      <c r="AE227" s="19">
        <f t="shared" si="27"/>
        <v>260.37413600891858</v>
      </c>
    </row>
    <row r="228" spans="1:31" x14ac:dyDescent="0.25">
      <c r="A228" s="10" t="s">
        <v>215</v>
      </c>
      <c r="B228" s="11">
        <v>46249.311516203707</v>
      </c>
      <c r="C228" s="12" t="s">
        <v>86</v>
      </c>
      <c r="D228" s="12" t="s">
        <v>279</v>
      </c>
      <c r="E228" s="13" t="str">
        <f t="shared" si="21"/>
        <v>EC40402</v>
      </c>
      <c r="F228" s="14" t="str">
        <f t="shared" si="22"/>
        <v>BLC</v>
      </c>
      <c r="G228" s="14">
        <f>+VLOOKUP(F228,[1]base!A:B,2,0)</f>
        <v>1</v>
      </c>
      <c r="H228" s="14">
        <v>60</v>
      </c>
      <c r="I228" s="14">
        <v>60</v>
      </c>
      <c r="J228" s="14"/>
      <c r="K228" s="14" t="s">
        <v>33</v>
      </c>
      <c r="L228" s="14" t="s">
        <v>76</v>
      </c>
      <c r="M228" s="14" t="s">
        <v>77</v>
      </c>
      <c r="N228" s="14"/>
      <c r="O228" s="14"/>
      <c r="P228" s="14"/>
      <c r="Q228" s="14">
        <v>0</v>
      </c>
      <c r="R228" s="14">
        <v>11</v>
      </c>
      <c r="S228" s="14"/>
      <c r="T228" s="15">
        <v>60</v>
      </c>
      <c r="U228" s="16"/>
      <c r="V228" s="17">
        <v>498</v>
      </c>
      <c r="W228" s="17">
        <f t="shared" si="23"/>
        <v>29880</v>
      </c>
      <c r="X228" s="17">
        <f t="shared" si="24"/>
        <v>1553.76</v>
      </c>
      <c r="Y228" s="17">
        <v>503</v>
      </c>
      <c r="Z228" s="17">
        <f t="shared" si="25"/>
        <v>1</v>
      </c>
      <c r="AA228" s="17">
        <f t="shared" si="26"/>
        <v>6.6666666666666693E-2</v>
      </c>
      <c r="AB228" s="17">
        <f>+VLOOKUP(E228,[1]base!M:N,2,0)</f>
        <v>1556</v>
      </c>
      <c r="AC228" s="17">
        <f>+VLOOKUP(E228,[1]base!M:Q,5,0)</f>
        <v>1635.090909090909</v>
      </c>
      <c r="AD228" s="18">
        <f>+VLOOKUP(E228,[1]base!M:P,4,0)</f>
        <v>0.1326644370122631</v>
      </c>
      <c r="AE228" s="19">
        <f t="shared" si="27"/>
        <v>260.37413600891858</v>
      </c>
    </row>
    <row r="229" spans="1:31" x14ac:dyDescent="0.25">
      <c r="A229" s="10" t="s">
        <v>137</v>
      </c>
      <c r="B229" s="11">
        <v>46249.348900462966</v>
      </c>
      <c r="C229" s="12" t="s">
        <v>138</v>
      </c>
      <c r="D229" s="12" t="s">
        <v>279</v>
      </c>
      <c r="E229" s="13" t="str">
        <f t="shared" si="21"/>
        <v>EC40402</v>
      </c>
      <c r="F229" s="14" t="str">
        <f t="shared" si="22"/>
        <v>BLC</v>
      </c>
      <c r="G229" s="14">
        <f>+VLOOKUP(F229,[1]base!A:B,2,0)</f>
        <v>1</v>
      </c>
      <c r="H229" s="14">
        <v>80</v>
      </c>
      <c r="I229" s="14">
        <v>80</v>
      </c>
      <c r="J229" s="14"/>
      <c r="K229" s="14" t="s">
        <v>33</v>
      </c>
      <c r="L229" s="14" t="s">
        <v>76</v>
      </c>
      <c r="M229" s="14" t="s">
        <v>77</v>
      </c>
      <c r="N229" s="14"/>
      <c r="O229" s="14"/>
      <c r="P229" s="14"/>
      <c r="Q229" s="14">
        <v>0</v>
      </c>
      <c r="R229" s="14">
        <v>11</v>
      </c>
      <c r="S229" s="14"/>
      <c r="T229" s="15">
        <v>80</v>
      </c>
      <c r="U229" s="16"/>
      <c r="V229" s="17">
        <v>501</v>
      </c>
      <c r="W229" s="17">
        <f t="shared" si="23"/>
        <v>40080</v>
      </c>
      <c r="X229" s="17">
        <f t="shared" si="24"/>
        <v>2084.16</v>
      </c>
      <c r="Y229" s="17">
        <v>506</v>
      </c>
      <c r="Z229" s="17">
        <f t="shared" si="25"/>
        <v>1</v>
      </c>
      <c r="AA229" s="17">
        <f t="shared" si="26"/>
        <v>6.6666666666666693E-2</v>
      </c>
      <c r="AB229" s="17">
        <f>+VLOOKUP(E229,[1]base!M:N,2,0)</f>
        <v>1556</v>
      </c>
      <c r="AC229" s="17">
        <f>+VLOOKUP(E229,[1]base!M:Q,5,0)</f>
        <v>1635.090909090909</v>
      </c>
      <c r="AD229" s="18">
        <f>+VLOOKUP(E229,[1]base!M:P,4,0)</f>
        <v>0.1326644370122631</v>
      </c>
      <c r="AE229" s="19">
        <f t="shared" si="27"/>
        <v>260.37413600891858</v>
      </c>
    </row>
    <row r="230" spans="1:31" x14ac:dyDescent="0.25">
      <c r="A230" s="10" t="s">
        <v>142</v>
      </c>
      <c r="B230" s="11">
        <v>46252.518969907411</v>
      </c>
      <c r="C230" s="12" t="s">
        <v>143</v>
      </c>
      <c r="D230" s="12" t="s">
        <v>279</v>
      </c>
      <c r="E230" s="13" t="str">
        <f t="shared" si="21"/>
        <v>EC40402</v>
      </c>
      <c r="F230" s="14" t="str">
        <f t="shared" si="22"/>
        <v>BLC</v>
      </c>
      <c r="G230" s="14">
        <f>+VLOOKUP(F230,[1]base!A:B,2,0)</f>
        <v>1</v>
      </c>
      <c r="H230" s="14">
        <v>50</v>
      </c>
      <c r="I230" s="14">
        <v>50</v>
      </c>
      <c r="J230" s="14"/>
      <c r="K230" s="14" t="s">
        <v>33</v>
      </c>
      <c r="L230" s="14" t="s">
        <v>76</v>
      </c>
      <c r="M230" s="14" t="s">
        <v>77</v>
      </c>
      <c r="N230" s="14"/>
      <c r="O230" s="14"/>
      <c r="P230" s="14"/>
      <c r="Q230" s="14">
        <v>0</v>
      </c>
      <c r="R230" s="14">
        <v>11</v>
      </c>
      <c r="S230" s="14"/>
      <c r="T230" s="15">
        <v>50</v>
      </c>
      <c r="U230" s="16"/>
      <c r="V230" s="17">
        <v>519</v>
      </c>
      <c r="W230" s="17">
        <f t="shared" si="23"/>
        <v>25950</v>
      </c>
      <c r="X230" s="17">
        <f t="shared" si="24"/>
        <v>1349.3999999999999</v>
      </c>
      <c r="Y230" s="17">
        <v>524</v>
      </c>
      <c r="Z230" s="17">
        <f t="shared" si="25"/>
        <v>1</v>
      </c>
      <c r="AA230" s="17">
        <f t="shared" si="26"/>
        <v>6.6666666666666693E-2</v>
      </c>
      <c r="AB230" s="17">
        <f>+VLOOKUP(E230,[1]base!M:N,2,0)</f>
        <v>1556</v>
      </c>
      <c r="AC230" s="17">
        <f>+VLOOKUP(E230,[1]base!M:Q,5,0)</f>
        <v>1635.090909090909</v>
      </c>
      <c r="AD230" s="18">
        <f>+VLOOKUP(E230,[1]base!M:P,4,0)</f>
        <v>0.1326644370122631</v>
      </c>
      <c r="AE230" s="19">
        <f t="shared" si="27"/>
        <v>260.37413600891858</v>
      </c>
    </row>
    <row r="231" spans="1:31" x14ac:dyDescent="0.25">
      <c r="A231" s="10" t="s">
        <v>125</v>
      </c>
      <c r="B231" s="11">
        <v>46253.521597222221</v>
      </c>
      <c r="C231" s="12" t="s">
        <v>126</v>
      </c>
      <c r="D231" s="12" t="s">
        <v>279</v>
      </c>
      <c r="E231" s="13" t="str">
        <f t="shared" si="21"/>
        <v>EC40402</v>
      </c>
      <c r="F231" s="14" t="str">
        <f t="shared" si="22"/>
        <v>BLC</v>
      </c>
      <c r="G231" s="14">
        <f>+VLOOKUP(F231,[1]base!A:B,2,0)</f>
        <v>1</v>
      </c>
      <c r="H231" s="14">
        <v>40</v>
      </c>
      <c r="I231" s="14">
        <v>40</v>
      </c>
      <c r="J231" s="14"/>
      <c r="K231" s="14" t="s">
        <v>33</v>
      </c>
      <c r="L231" s="14" t="s">
        <v>76</v>
      </c>
      <c r="M231" s="14" t="s">
        <v>77</v>
      </c>
      <c r="N231" s="14"/>
      <c r="O231" s="14"/>
      <c r="P231" s="14"/>
      <c r="Q231" s="14">
        <v>0</v>
      </c>
      <c r="R231" s="14">
        <v>11</v>
      </c>
      <c r="S231" s="14"/>
      <c r="T231" s="15">
        <v>40</v>
      </c>
      <c r="U231" s="16"/>
      <c r="V231" s="17">
        <v>531</v>
      </c>
      <c r="W231" s="17">
        <f t="shared" si="23"/>
        <v>21240</v>
      </c>
      <c r="X231" s="17">
        <f t="shared" si="24"/>
        <v>1104.48</v>
      </c>
      <c r="Y231" s="17">
        <v>536</v>
      </c>
      <c r="Z231" s="17">
        <f t="shared" si="25"/>
        <v>1</v>
      </c>
      <c r="AA231" s="17">
        <f t="shared" si="26"/>
        <v>6.6666666666666693E-2</v>
      </c>
      <c r="AB231" s="17">
        <f>+VLOOKUP(E231,[1]base!M:N,2,0)</f>
        <v>1556</v>
      </c>
      <c r="AC231" s="17">
        <f>+VLOOKUP(E231,[1]base!M:Q,5,0)</f>
        <v>1635.090909090909</v>
      </c>
      <c r="AD231" s="18">
        <f>+VLOOKUP(E231,[1]base!M:P,4,0)</f>
        <v>0.1326644370122631</v>
      </c>
      <c r="AE231" s="19">
        <f t="shared" si="27"/>
        <v>260.37413600891858</v>
      </c>
    </row>
    <row r="232" spans="1:31" x14ac:dyDescent="0.25">
      <c r="A232" s="10" t="s">
        <v>145</v>
      </c>
      <c r="B232" s="11">
        <v>46263.380335648151</v>
      </c>
      <c r="C232" s="12" t="s">
        <v>146</v>
      </c>
      <c r="D232" s="12" t="s">
        <v>279</v>
      </c>
      <c r="E232" s="13" t="str">
        <f t="shared" si="21"/>
        <v>EC40402</v>
      </c>
      <c r="F232" s="14" t="str">
        <f t="shared" si="22"/>
        <v>BLC</v>
      </c>
      <c r="G232" s="14">
        <f>+VLOOKUP(F232,[1]base!A:B,2,0)</f>
        <v>1</v>
      </c>
      <c r="H232" s="14">
        <v>100</v>
      </c>
      <c r="I232" s="14">
        <v>100</v>
      </c>
      <c r="J232" s="14"/>
      <c r="K232" s="14" t="s">
        <v>33</v>
      </c>
      <c r="L232" s="14" t="s">
        <v>76</v>
      </c>
      <c r="M232" s="14" t="s">
        <v>77</v>
      </c>
      <c r="N232" s="14"/>
      <c r="O232" s="14"/>
      <c r="P232" s="14"/>
      <c r="Q232" s="14">
        <v>0</v>
      </c>
      <c r="R232" s="14">
        <v>11</v>
      </c>
      <c r="S232" s="14"/>
      <c r="T232" s="15">
        <v>100</v>
      </c>
      <c r="U232" s="16"/>
      <c r="V232" s="17">
        <v>776</v>
      </c>
      <c r="W232" s="17">
        <f t="shared" si="23"/>
        <v>77600</v>
      </c>
      <c r="X232" s="17">
        <f t="shared" si="24"/>
        <v>4035.2</v>
      </c>
      <c r="Y232" s="17">
        <v>781</v>
      </c>
      <c r="Z232" s="17">
        <f t="shared" si="25"/>
        <v>1</v>
      </c>
      <c r="AA232" s="17">
        <f t="shared" si="26"/>
        <v>6.6666666666666693E-2</v>
      </c>
      <c r="AB232" s="17">
        <f>+VLOOKUP(E232,[1]base!M:N,2,0)</f>
        <v>1556</v>
      </c>
      <c r="AC232" s="17">
        <f>+VLOOKUP(E232,[1]base!M:Q,5,0)</f>
        <v>1635.090909090909</v>
      </c>
      <c r="AD232" s="18">
        <f>+VLOOKUP(E232,[1]base!M:P,4,0)</f>
        <v>0.1326644370122631</v>
      </c>
      <c r="AE232" s="19">
        <f t="shared" si="27"/>
        <v>260.37413600891858</v>
      </c>
    </row>
    <row r="233" spans="1:31" x14ac:dyDescent="0.25">
      <c r="A233" s="10" t="s">
        <v>282</v>
      </c>
      <c r="B233" s="11">
        <v>46265.412523148145</v>
      </c>
      <c r="C233" s="12" t="s">
        <v>273</v>
      </c>
      <c r="D233" s="12" t="s">
        <v>279</v>
      </c>
      <c r="E233" s="13" t="str">
        <f t="shared" si="21"/>
        <v>EC40402</v>
      </c>
      <c r="F233" s="14" t="str">
        <f t="shared" si="22"/>
        <v>BLC</v>
      </c>
      <c r="G233" s="14">
        <f>+VLOOKUP(F233,[1]base!A:B,2,0)</f>
        <v>1</v>
      </c>
      <c r="H233" s="14">
        <v>8</v>
      </c>
      <c r="I233" s="14">
        <v>8</v>
      </c>
      <c r="J233" s="14"/>
      <c r="K233" s="14" t="s">
        <v>33</v>
      </c>
      <c r="L233" s="14" t="s">
        <v>76</v>
      </c>
      <c r="M233" s="14" t="s">
        <v>77</v>
      </c>
      <c r="N233" s="14"/>
      <c r="O233" s="14"/>
      <c r="P233" s="14"/>
      <c r="Q233" s="14">
        <v>0</v>
      </c>
      <c r="R233" s="14">
        <v>11</v>
      </c>
      <c r="S233" s="14"/>
      <c r="T233" s="15">
        <v>8</v>
      </c>
      <c r="U233" s="16"/>
      <c r="V233" s="17">
        <v>817</v>
      </c>
      <c r="W233" s="17">
        <f t="shared" si="23"/>
        <v>6536</v>
      </c>
      <c r="X233" s="17">
        <f t="shared" si="24"/>
        <v>339.87199999999996</v>
      </c>
      <c r="Y233" s="17">
        <v>822</v>
      </c>
      <c r="Z233" s="17">
        <f t="shared" si="25"/>
        <v>1</v>
      </c>
      <c r="AA233" s="17">
        <f t="shared" si="26"/>
        <v>6.6666666666666693E-2</v>
      </c>
      <c r="AB233" s="17">
        <f>+VLOOKUP(E233,[1]base!M:N,2,0)</f>
        <v>1556</v>
      </c>
      <c r="AC233" s="17">
        <f>+VLOOKUP(E233,[1]base!M:Q,5,0)</f>
        <v>1635.090909090909</v>
      </c>
      <c r="AD233" s="18">
        <f>+VLOOKUP(E233,[1]base!M:P,4,0)</f>
        <v>0.1326644370122631</v>
      </c>
      <c r="AE233" s="19">
        <f t="shared" si="27"/>
        <v>260.37413600891858</v>
      </c>
    </row>
    <row r="234" spans="1:31" x14ac:dyDescent="0.25">
      <c r="A234" s="10" t="s">
        <v>263</v>
      </c>
      <c r="B234" s="11">
        <v>46265.519386574073</v>
      </c>
      <c r="C234" s="12" t="s">
        <v>258</v>
      </c>
      <c r="D234" s="12" t="s">
        <v>279</v>
      </c>
      <c r="E234" s="13" t="str">
        <f t="shared" si="21"/>
        <v>EC40402</v>
      </c>
      <c r="F234" s="14" t="str">
        <f t="shared" si="22"/>
        <v>BLC</v>
      </c>
      <c r="G234" s="14">
        <f>+VLOOKUP(F234,[1]base!A:B,2,0)</f>
        <v>1</v>
      </c>
      <c r="H234" s="14">
        <v>28</v>
      </c>
      <c r="I234" s="14">
        <v>28</v>
      </c>
      <c r="J234" s="14"/>
      <c r="K234" s="14" t="s">
        <v>33</v>
      </c>
      <c r="L234" s="14" t="s">
        <v>76</v>
      </c>
      <c r="M234" s="14" t="s">
        <v>77</v>
      </c>
      <c r="N234" s="14"/>
      <c r="O234" s="14"/>
      <c r="P234" s="14"/>
      <c r="Q234" s="14">
        <v>0</v>
      </c>
      <c r="R234" s="14">
        <v>11</v>
      </c>
      <c r="S234" s="14"/>
      <c r="T234" s="15">
        <v>28</v>
      </c>
      <c r="U234" s="16"/>
      <c r="V234" s="17">
        <v>842</v>
      </c>
      <c r="W234" s="17">
        <f t="shared" si="23"/>
        <v>23576</v>
      </c>
      <c r="X234" s="17">
        <f t="shared" si="24"/>
        <v>1225.952</v>
      </c>
      <c r="Y234" s="17">
        <v>847</v>
      </c>
      <c r="Z234" s="17">
        <f t="shared" si="25"/>
        <v>1</v>
      </c>
      <c r="AA234" s="17">
        <f t="shared" si="26"/>
        <v>6.6666666666666693E-2</v>
      </c>
      <c r="AB234" s="17">
        <f>+VLOOKUP(E234,[1]base!M:N,2,0)</f>
        <v>1556</v>
      </c>
      <c r="AC234" s="17">
        <f>+VLOOKUP(E234,[1]base!M:Q,5,0)</f>
        <v>1635.090909090909</v>
      </c>
      <c r="AD234" s="18">
        <f>+VLOOKUP(E234,[1]base!M:P,4,0)</f>
        <v>0.1326644370122631</v>
      </c>
      <c r="AE234" s="19">
        <f t="shared" si="27"/>
        <v>260.37413600891858</v>
      </c>
    </row>
    <row r="235" spans="1:31" x14ac:dyDescent="0.25">
      <c r="A235" s="10" t="s">
        <v>94</v>
      </c>
      <c r="B235" s="11">
        <v>46266.490532407406</v>
      </c>
      <c r="C235" s="12" t="s">
        <v>95</v>
      </c>
      <c r="D235" s="12" t="s">
        <v>279</v>
      </c>
      <c r="E235" s="13" t="str">
        <f t="shared" si="21"/>
        <v>EC40402</v>
      </c>
      <c r="F235" s="14" t="str">
        <f t="shared" si="22"/>
        <v>BLC</v>
      </c>
      <c r="G235" s="14">
        <f>+VLOOKUP(F235,[1]base!A:B,2,0)</f>
        <v>1</v>
      </c>
      <c r="H235" s="14">
        <v>28</v>
      </c>
      <c r="I235" s="14">
        <v>28</v>
      </c>
      <c r="J235" s="14"/>
      <c r="K235" s="14" t="s">
        <v>33</v>
      </c>
      <c r="L235" s="14" t="s">
        <v>76</v>
      </c>
      <c r="M235" s="14" t="s">
        <v>77</v>
      </c>
      <c r="N235" s="14"/>
      <c r="O235" s="14"/>
      <c r="P235" s="14"/>
      <c r="Q235" s="14">
        <v>0</v>
      </c>
      <c r="R235" s="14">
        <v>11</v>
      </c>
      <c r="S235" s="14"/>
      <c r="T235" s="15">
        <v>28</v>
      </c>
      <c r="U235" s="16"/>
      <c r="V235" s="17">
        <v>934</v>
      </c>
      <c r="W235" s="17">
        <f t="shared" si="23"/>
        <v>26152</v>
      </c>
      <c r="X235" s="17">
        <f t="shared" si="24"/>
        <v>1359.904</v>
      </c>
      <c r="Y235" s="17">
        <v>939</v>
      </c>
      <c r="Z235" s="17">
        <f t="shared" si="25"/>
        <v>1</v>
      </c>
      <c r="AA235" s="17">
        <f t="shared" si="26"/>
        <v>6.6666666666666693E-2</v>
      </c>
      <c r="AB235" s="17">
        <f>+VLOOKUP(E235,[1]base!M:N,2,0)</f>
        <v>1556</v>
      </c>
      <c r="AC235" s="17">
        <f>+VLOOKUP(E235,[1]base!M:Q,5,0)</f>
        <v>1635.090909090909</v>
      </c>
      <c r="AD235" s="18">
        <f>+VLOOKUP(E235,[1]base!M:P,4,0)</f>
        <v>0.1326644370122631</v>
      </c>
      <c r="AE235" s="19">
        <f t="shared" si="27"/>
        <v>260.37413600891858</v>
      </c>
    </row>
    <row r="236" spans="1:31" x14ac:dyDescent="0.25">
      <c r="A236" s="10" t="s">
        <v>216</v>
      </c>
      <c r="B236" s="11">
        <v>46266.555497685185</v>
      </c>
      <c r="C236" s="12" t="s">
        <v>39</v>
      </c>
      <c r="D236" s="12" t="s">
        <v>279</v>
      </c>
      <c r="E236" s="13" t="str">
        <f t="shared" si="21"/>
        <v>EC40402</v>
      </c>
      <c r="F236" s="14" t="str">
        <f t="shared" si="22"/>
        <v>BLC</v>
      </c>
      <c r="G236" s="14">
        <f>+VLOOKUP(F236,[1]base!A:B,2,0)</f>
        <v>1</v>
      </c>
      <c r="H236" s="14">
        <v>6</v>
      </c>
      <c r="I236" s="14">
        <v>6</v>
      </c>
      <c r="J236" s="14"/>
      <c r="K236" s="14" t="s">
        <v>33</v>
      </c>
      <c r="L236" s="14" t="s">
        <v>76</v>
      </c>
      <c r="M236" s="14" t="s">
        <v>77</v>
      </c>
      <c r="N236" s="14"/>
      <c r="O236" s="14"/>
      <c r="P236" s="14"/>
      <c r="Q236" s="14">
        <v>0</v>
      </c>
      <c r="R236" s="14">
        <v>11</v>
      </c>
      <c r="S236" s="14"/>
      <c r="T236" s="15">
        <v>6</v>
      </c>
      <c r="U236" s="16"/>
      <c r="V236" s="17">
        <v>948</v>
      </c>
      <c r="W236" s="17">
        <f t="shared" si="23"/>
        <v>5688</v>
      </c>
      <c r="X236" s="17">
        <f t="shared" si="24"/>
        <v>295.77600000000001</v>
      </c>
      <c r="Y236" s="17">
        <v>953</v>
      </c>
      <c r="Z236" s="17">
        <f t="shared" si="25"/>
        <v>1</v>
      </c>
      <c r="AA236" s="17">
        <f t="shared" si="26"/>
        <v>6.6666666666666693E-2</v>
      </c>
      <c r="AB236" s="17">
        <f>+VLOOKUP(E236,[1]base!M:N,2,0)</f>
        <v>1556</v>
      </c>
      <c r="AC236" s="17">
        <f>+VLOOKUP(E236,[1]base!M:Q,5,0)</f>
        <v>1635.090909090909</v>
      </c>
      <c r="AD236" s="18">
        <f>+VLOOKUP(E236,[1]base!M:P,4,0)</f>
        <v>0.1326644370122631</v>
      </c>
      <c r="AE236" s="19">
        <f t="shared" si="27"/>
        <v>260.37413600891858</v>
      </c>
    </row>
    <row r="237" spans="1:31" x14ac:dyDescent="0.25">
      <c r="A237" s="10" t="s">
        <v>283</v>
      </c>
      <c r="B237" s="11">
        <v>46266.586840277778</v>
      </c>
      <c r="C237" s="12" t="s">
        <v>83</v>
      </c>
      <c r="D237" s="12" t="s">
        <v>279</v>
      </c>
      <c r="E237" s="13" t="str">
        <f t="shared" si="21"/>
        <v>EC40402</v>
      </c>
      <c r="F237" s="14" t="str">
        <f t="shared" si="22"/>
        <v>BLC</v>
      </c>
      <c r="G237" s="14">
        <f>+VLOOKUP(F237,[1]base!A:B,2,0)</f>
        <v>1</v>
      </c>
      <c r="H237" s="14">
        <v>100</v>
      </c>
      <c r="I237" s="14">
        <v>100</v>
      </c>
      <c r="J237" s="14"/>
      <c r="K237" s="14" t="s">
        <v>33</v>
      </c>
      <c r="L237" s="14" t="s">
        <v>76</v>
      </c>
      <c r="M237" s="14" t="s">
        <v>77</v>
      </c>
      <c r="N237" s="14"/>
      <c r="O237" s="14"/>
      <c r="P237" s="14"/>
      <c r="Q237" s="14">
        <v>0</v>
      </c>
      <c r="R237" s="14">
        <v>11</v>
      </c>
      <c r="S237" s="14"/>
      <c r="T237" s="15">
        <v>100</v>
      </c>
      <c r="U237" s="16"/>
      <c r="V237" s="17">
        <v>964</v>
      </c>
      <c r="W237" s="17">
        <f t="shared" si="23"/>
        <v>96400</v>
      </c>
      <c r="X237" s="17">
        <f t="shared" si="24"/>
        <v>5012.8</v>
      </c>
      <c r="Y237" s="17">
        <v>969</v>
      </c>
      <c r="Z237" s="17">
        <f t="shared" si="25"/>
        <v>1</v>
      </c>
      <c r="AA237" s="17">
        <f t="shared" si="26"/>
        <v>6.6666666666666693E-2</v>
      </c>
      <c r="AB237" s="17">
        <f>+VLOOKUP(E237,[1]base!M:N,2,0)</f>
        <v>1556</v>
      </c>
      <c r="AC237" s="17">
        <f>+VLOOKUP(E237,[1]base!M:Q,5,0)</f>
        <v>1635.090909090909</v>
      </c>
      <c r="AD237" s="18">
        <f>+VLOOKUP(E237,[1]base!M:P,4,0)</f>
        <v>0.1326644370122631</v>
      </c>
      <c r="AE237" s="19">
        <f t="shared" si="27"/>
        <v>260.37413600891858</v>
      </c>
    </row>
    <row r="238" spans="1:31" x14ac:dyDescent="0.25">
      <c r="A238" s="10" t="s">
        <v>91</v>
      </c>
      <c r="B238" s="11">
        <v>46267.551539351851</v>
      </c>
      <c r="C238" s="12" t="s">
        <v>39</v>
      </c>
      <c r="D238" s="12" t="s">
        <v>279</v>
      </c>
      <c r="E238" s="13" t="str">
        <f t="shared" si="21"/>
        <v>EC40402</v>
      </c>
      <c r="F238" s="14" t="str">
        <f t="shared" si="22"/>
        <v>BLC</v>
      </c>
      <c r="G238" s="14">
        <f>+VLOOKUP(F238,[1]base!A:B,2,0)</f>
        <v>1</v>
      </c>
      <c r="H238" s="14">
        <v>200</v>
      </c>
      <c r="I238" s="14">
        <v>200</v>
      </c>
      <c r="J238" s="14"/>
      <c r="K238" s="14" t="s">
        <v>33</v>
      </c>
      <c r="L238" s="14" t="s">
        <v>76</v>
      </c>
      <c r="M238" s="14" t="s">
        <v>77</v>
      </c>
      <c r="N238" s="14"/>
      <c r="O238" s="14"/>
      <c r="P238" s="14"/>
      <c r="Q238" s="14">
        <v>0</v>
      </c>
      <c r="R238" s="14">
        <v>11</v>
      </c>
      <c r="S238" s="14"/>
      <c r="T238" s="15">
        <v>200</v>
      </c>
      <c r="U238" s="16"/>
      <c r="V238" s="17">
        <v>1058</v>
      </c>
      <c r="W238" s="17">
        <f t="shared" si="23"/>
        <v>211600</v>
      </c>
      <c r="X238" s="17">
        <f t="shared" si="24"/>
        <v>11003.199999999999</v>
      </c>
      <c r="Y238" s="17">
        <v>1063</v>
      </c>
      <c r="Z238" s="17">
        <f t="shared" si="25"/>
        <v>1</v>
      </c>
      <c r="AA238" s="17">
        <f t="shared" si="26"/>
        <v>6.6666666666666693E-2</v>
      </c>
      <c r="AB238" s="17">
        <f>+VLOOKUP(E238,[1]base!M:N,2,0)</f>
        <v>1556</v>
      </c>
      <c r="AC238" s="17">
        <f>+VLOOKUP(E238,[1]base!M:Q,5,0)</f>
        <v>1635.090909090909</v>
      </c>
      <c r="AD238" s="18">
        <f>+VLOOKUP(E238,[1]base!M:P,4,0)</f>
        <v>0.1326644370122631</v>
      </c>
      <c r="AE238" s="19">
        <f t="shared" si="27"/>
        <v>260.37413600891858</v>
      </c>
    </row>
    <row r="239" spans="1:31" x14ac:dyDescent="0.25">
      <c r="A239" s="10" t="s">
        <v>272</v>
      </c>
      <c r="B239" s="11">
        <v>46248.388148148151</v>
      </c>
      <c r="C239" s="12" t="s">
        <v>273</v>
      </c>
      <c r="D239" s="12" t="s">
        <v>279</v>
      </c>
      <c r="E239" s="13" t="str">
        <f t="shared" si="21"/>
        <v>EC40402</v>
      </c>
      <c r="F239" s="14" t="str">
        <f t="shared" si="22"/>
        <v>BLC</v>
      </c>
      <c r="G239" s="14">
        <f>+VLOOKUP(F239,[1]base!A:B,2,0)</f>
        <v>1</v>
      </c>
      <c r="H239" s="14">
        <v>12</v>
      </c>
      <c r="I239" s="14">
        <v>12</v>
      </c>
      <c r="J239" s="14"/>
      <c r="K239" s="14" t="s">
        <v>33</v>
      </c>
      <c r="L239" s="14" t="s">
        <v>284</v>
      </c>
      <c r="M239" s="14" t="s">
        <v>35</v>
      </c>
      <c r="N239" s="14">
        <v>12</v>
      </c>
      <c r="O239" s="14">
        <v>12</v>
      </c>
      <c r="P239" s="14">
        <v>0</v>
      </c>
      <c r="Q239" s="14">
        <v>0</v>
      </c>
      <c r="R239" s="14">
        <v>11</v>
      </c>
      <c r="S239" s="14"/>
      <c r="T239" s="15">
        <v>12</v>
      </c>
      <c r="U239" s="16"/>
      <c r="V239" s="17">
        <v>483</v>
      </c>
      <c r="W239" s="17">
        <f t="shared" si="23"/>
        <v>5796</v>
      </c>
      <c r="X239" s="17">
        <f t="shared" si="24"/>
        <v>301.392</v>
      </c>
      <c r="Y239" s="17">
        <v>488</v>
      </c>
      <c r="Z239" s="17">
        <f t="shared" si="25"/>
        <v>1</v>
      </c>
      <c r="AA239" s="17">
        <f t="shared" si="26"/>
        <v>6.6666666666666693E-2</v>
      </c>
      <c r="AB239" s="17">
        <f>+VLOOKUP(E239,[1]base!M:N,2,0)</f>
        <v>1556</v>
      </c>
      <c r="AC239" s="17">
        <f>+VLOOKUP(E239,[1]base!M:Q,5,0)</f>
        <v>1635.090909090909</v>
      </c>
      <c r="AD239" s="18">
        <f>+VLOOKUP(E239,[1]base!M:P,4,0)</f>
        <v>0.1326644370122631</v>
      </c>
      <c r="AE239" s="19">
        <f t="shared" si="27"/>
        <v>260.37413600891858</v>
      </c>
    </row>
    <row r="240" spans="1:31" x14ac:dyDescent="0.25">
      <c r="A240" s="10" t="s">
        <v>285</v>
      </c>
      <c r="B240" s="11">
        <v>46262.577372685184</v>
      </c>
      <c r="C240" s="12" t="s">
        <v>262</v>
      </c>
      <c r="D240" s="12" t="s">
        <v>286</v>
      </c>
      <c r="E240" s="13" t="str">
        <f t="shared" si="21"/>
        <v>EC40404</v>
      </c>
      <c r="F240" s="14" t="str">
        <f t="shared" si="22"/>
        <v>BLC</v>
      </c>
      <c r="G240" s="14">
        <f>+VLOOKUP(F240,[1]base!A:B,2,0)</f>
        <v>1</v>
      </c>
      <c r="H240" s="14">
        <v>50</v>
      </c>
      <c r="I240" s="14">
        <v>50</v>
      </c>
      <c r="J240" s="14"/>
      <c r="K240" s="14" t="s">
        <v>33</v>
      </c>
      <c r="L240" s="14" t="s">
        <v>76</v>
      </c>
      <c r="M240" s="14" t="s">
        <v>77</v>
      </c>
      <c r="N240" s="14"/>
      <c r="O240" s="14"/>
      <c r="P240" s="14"/>
      <c r="Q240" s="14">
        <v>0</v>
      </c>
      <c r="R240" s="14">
        <v>0</v>
      </c>
      <c r="S240" s="14"/>
      <c r="T240" s="15">
        <v>50</v>
      </c>
      <c r="U240" s="16"/>
      <c r="V240" s="17">
        <v>731</v>
      </c>
      <c r="W240" s="17">
        <f t="shared" si="23"/>
        <v>36550</v>
      </c>
      <c r="X240" s="17">
        <f t="shared" si="24"/>
        <v>1900.6</v>
      </c>
      <c r="Y240" s="17">
        <v>736</v>
      </c>
      <c r="Z240" s="17">
        <f t="shared" si="25"/>
        <v>1</v>
      </c>
      <c r="AA240" s="17">
        <f t="shared" si="26"/>
        <v>6.6666666666666693E-2</v>
      </c>
      <c r="AB240" s="17">
        <f>+VLOOKUP(E240,[1]base!M:N,2,0)</f>
        <v>1778</v>
      </c>
      <c r="AC240" s="17">
        <f>+VLOOKUP(E240,[1]base!M:Q,5,0)</f>
        <v>1288.0999999999999</v>
      </c>
      <c r="AD240" s="18">
        <f>+VLOOKUP(E240,[1]base!M:P,4,0)</f>
        <v>6.95970695970696E-2</v>
      </c>
      <c r="AE240" s="19">
        <f t="shared" si="27"/>
        <v>409.65641025641025</v>
      </c>
    </row>
    <row r="241" spans="1:31" x14ac:dyDescent="0.25">
      <c r="A241" s="10" t="s">
        <v>145</v>
      </c>
      <c r="B241" s="11">
        <v>46263.380335648151</v>
      </c>
      <c r="C241" s="12" t="s">
        <v>146</v>
      </c>
      <c r="D241" s="12" t="s">
        <v>286</v>
      </c>
      <c r="E241" s="13" t="str">
        <f t="shared" si="21"/>
        <v>EC40404</v>
      </c>
      <c r="F241" s="14" t="str">
        <f t="shared" si="22"/>
        <v>BLC</v>
      </c>
      <c r="G241" s="14">
        <f>+VLOOKUP(F241,[1]base!A:B,2,0)</f>
        <v>1</v>
      </c>
      <c r="H241" s="14">
        <v>100</v>
      </c>
      <c r="I241" s="14">
        <v>100</v>
      </c>
      <c r="J241" s="14"/>
      <c r="K241" s="14" t="s">
        <v>33</v>
      </c>
      <c r="L241" s="14" t="s">
        <v>76</v>
      </c>
      <c r="M241" s="14" t="s">
        <v>77</v>
      </c>
      <c r="N241" s="14"/>
      <c r="O241" s="14"/>
      <c r="P241" s="14"/>
      <c r="Q241" s="14">
        <v>0</v>
      </c>
      <c r="R241" s="14">
        <v>0</v>
      </c>
      <c r="S241" s="14"/>
      <c r="T241" s="15">
        <v>100</v>
      </c>
      <c r="U241" s="16"/>
      <c r="V241" s="17">
        <v>775</v>
      </c>
      <c r="W241" s="17">
        <f t="shared" si="23"/>
        <v>77500</v>
      </c>
      <c r="X241" s="17">
        <f t="shared" si="24"/>
        <v>4030</v>
      </c>
      <c r="Y241" s="17">
        <v>780</v>
      </c>
      <c r="Z241" s="17">
        <f t="shared" si="25"/>
        <v>1</v>
      </c>
      <c r="AA241" s="17">
        <f t="shared" si="26"/>
        <v>6.6666666666666693E-2</v>
      </c>
      <c r="AB241" s="17">
        <f>+VLOOKUP(E241,[1]base!M:N,2,0)</f>
        <v>1778</v>
      </c>
      <c r="AC241" s="17">
        <f>+VLOOKUP(E241,[1]base!M:Q,5,0)</f>
        <v>1288.0999999999999</v>
      </c>
      <c r="AD241" s="18">
        <f>+VLOOKUP(E241,[1]base!M:P,4,0)</f>
        <v>6.95970695970696E-2</v>
      </c>
      <c r="AE241" s="19">
        <f t="shared" si="27"/>
        <v>409.65641025641025</v>
      </c>
    </row>
    <row r="242" spans="1:31" x14ac:dyDescent="0.25">
      <c r="A242" s="10" t="s">
        <v>263</v>
      </c>
      <c r="B242" s="11">
        <v>46265.519386574073</v>
      </c>
      <c r="C242" s="12" t="s">
        <v>258</v>
      </c>
      <c r="D242" s="12" t="s">
        <v>286</v>
      </c>
      <c r="E242" s="13" t="str">
        <f t="shared" si="21"/>
        <v>EC40404</v>
      </c>
      <c r="F242" s="14" t="str">
        <f t="shared" si="22"/>
        <v>BLC</v>
      </c>
      <c r="G242" s="14">
        <f>+VLOOKUP(F242,[1]base!A:B,2,0)</f>
        <v>1</v>
      </c>
      <c r="H242" s="14">
        <v>8</v>
      </c>
      <c r="I242" s="14">
        <v>8</v>
      </c>
      <c r="J242" s="14"/>
      <c r="K242" s="14" t="s">
        <v>33</v>
      </c>
      <c r="L242" s="14" t="s">
        <v>76</v>
      </c>
      <c r="M242" s="14" t="s">
        <v>77</v>
      </c>
      <c r="N242" s="14"/>
      <c r="O242" s="14"/>
      <c r="P242" s="14"/>
      <c r="Q242" s="14">
        <v>0</v>
      </c>
      <c r="R242" s="14">
        <v>0</v>
      </c>
      <c r="S242" s="14"/>
      <c r="T242" s="15">
        <v>8</v>
      </c>
      <c r="U242" s="16"/>
      <c r="V242" s="17">
        <v>841</v>
      </c>
      <c r="W242" s="17">
        <f t="shared" si="23"/>
        <v>6728</v>
      </c>
      <c r="X242" s="17">
        <f t="shared" si="24"/>
        <v>349.85599999999999</v>
      </c>
      <c r="Y242" s="17">
        <v>846</v>
      </c>
      <c r="Z242" s="17">
        <f t="shared" si="25"/>
        <v>1</v>
      </c>
      <c r="AA242" s="17">
        <f t="shared" si="26"/>
        <v>6.6666666666666693E-2</v>
      </c>
      <c r="AB242" s="17">
        <f>+VLOOKUP(E242,[1]base!M:N,2,0)</f>
        <v>1778</v>
      </c>
      <c r="AC242" s="17">
        <f>+VLOOKUP(E242,[1]base!M:Q,5,0)</f>
        <v>1288.0999999999999</v>
      </c>
      <c r="AD242" s="18">
        <f>+VLOOKUP(E242,[1]base!M:P,4,0)</f>
        <v>6.95970695970696E-2</v>
      </c>
      <c r="AE242" s="19">
        <f t="shared" si="27"/>
        <v>409.65641025641025</v>
      </c>
    </row>
    <row r="243" spans="1:31" x14ac:dyDescent="0.25">
      <c r="A243" s="10" t="s">
        <v>216</v>
      </c>
      <c r="B243" s="11">
        <v>46266.555497685185</v>
      </c>
      <c r="C243" s="12" t="s">
        <v>39</v>
      </c>
      <c r="D243" s="12" t="s">
        <v>286</v>
      </c>
      <c r="E243" s="13" t="str">
        <f t="shared" si="21"/>
        <v>EC40404</v>
      </c>
      <c r="F243" s="14" t="str">
        <f t="shared" si="22"/>
        <v>BLC</v>
      </c>
      <c r="G243" s="14">
        <f>+VLOOKUP(F243,[1]base!A:B,2,0)</f>
        <v>1</v>
      </c>
      <c r="H243" s="14">
        <v>12</v>
      </c>
      <c r="I243" s="14">
        <v>12</v>
      </c>
      <c r="J243" s="14"/>
      <c r="K243" s="14" t="s">
        <v>33</v>
      </c>
      <c r="L243" s="14" t="s">
        <v>76</v>
      </c>
      <c r="M243" s="14" t="s">
        <v>77</v>
      </c>
      <c r="N243" s="14"/>
      <c r="O243" s="14"/>
      <c r="P243" s="14"/>
      <c r="Q243" s="14">
        <v>0</v>
      </c>
      <c r="R243" s="14">
        <v>0</v>
      </c>
      <c r="S243" s="14"/>
      <c r="T243" s="15">
        <v>12</v>
      </c>
      <c r="U243" s="16"/>
      <c r="V243" s="17">
        <v>947</v>
      </c>
      <c r="W243" s="17">
        <f t="shared" si="23"/>
        <v>11364</v>
      </c>
      <c r="X243" s="17">
        <f t="shared" si="24"/>
        <v>590.928</v>
      </c>
      <c r="Y243" s="17">
        <v>952</v>
      </c>
      <c r="Z243" s="17">
        <f t="shared" si="25"/>
        <v>1</v>
      </c>
      <c r="AA243" s="17">
        <f t="shared" si="26"/>
        <v>6.6666666666666693E-2</v>
      </c>
      <c r="AB243" s="17">
        <f>+VLOOKUP(E243,[1]base!M:N,2,0)</f>
        <v>1778</v>
      </c>
      <c r="AC243" s="17">
        <f>+VLOOKUP(E243,[1]base!M:Q,5,0)</f>
        <v>1288.0999999999999</v>
      </c>
      <c r="AD243" s="18">
        <f>+VLOOKUP(E243,[1]base!M:P,4,0)</f>
        <v>6.95970695970696E-2</v>
      </c>
      <c r="AE243" s="19">
        <f t="shared" si="27"/>
        <v>409.65641025641025</v>
      </c>
    </row>
    <row r="244" spans="1:31" x14ac:dyDescent="0.25">
      <c r="A244" s="10" t="s">
        <v>91</v>
      </c>
      <c r="B244" s="11">
        <v>46267.551539351851</v>
      </c>
      <c r="C244" s="12" t="s">
        <v>39</v>
      </c>
      <c r="D244" s="12" t="s">
        <v>286</v>
      </c>
      <c r="E244" s="13" t="str">
        <f t="shared" si="21"/>
        <v>EC40404</v>
      </c>
      <c r="F244" s="14" t="str">
        <f t="shared" si="22"/>
        <v>BLC</v>
      </c>
      <c r="G244" s="14">
        <f>+VLOOKUP(F244,[1]base!A:B,2,0)</f>
        <v>1</v>
      </c>
      <c r="H244" s="14">
        <v>60</v>
      </c>
      <c r="I244" s="14">
        <v>60</v>
      </c>
      <c r="J244" s="14"/>
      <c r="K244" s="14" t="s">
        <v>33</v>
      </c>
      <c r="L244" s="14" t="s">
        <v>76</v>
      </c>
      <c r="M244" s="14" t="s">
        <v>77</v>
      </c>
      <c r="N244" s="14"/>
      <c r="O244" s="14"/>
      <c r="P244" s="14"/>
      <c r="Q244" s="14">
        <v>0</v>
      </c>
      <c r="R244" s="14">
        <v>0</v>
      </c>
      <c r="S244" s="14"/>
      <c r="T244" s="15">
        <v>60</v>
      </c>
      <c r="U244" s="16"/>
      <c r="V244" s="17">
        <v>1057</v>
      </c>
      <c r="W244" s="17">
        <f t="shared" si="23"/>
        <v>63420</v>
      </c>
      <c r="X244" s="17">
        <f t="shared" si="24"/>
        <v>3297.8399999999997</v>
      </c>
      <c r="Y244" s="17">
        <v>1062</v>
      </c>
      <c r="Z244" s="17">
        <f t="shared" si="25"/>
        <v>1</v>
      </c>
      <c r="AA244" s="17">
        <f t="shared" si="26"/>
        <v>6.6666666666666693E-2</v>
      </c>
      <c r="AB244" s="17">
        <f>+VLOOKUP(E244,[1]base!M:N,2,0)</f>
        <v>1778</v>
      </c>
      <c r="AC244" s="17">
        <f>+VLOOKUP(E244,[1]base!M:Q,5,0)</f>
        <v>1288.0999999999999</v>
      </c>
      <c r="AD244" s="18">
        <f>+VLOOKUP(E244,[1]base!M:P,4,0)</f>
        <v>6.95970695970696E-2</v>
      </c>
      <c r="AE244" s="19">
        <f t="shared" si="27"/>
        <v>409.65641025641025</v>
      </c>
    </row>
    <row r="245" spans="1:31" x14ac:dyDescent="0.25">
      <c r="A245" s="20" t="s">
        <v>287</v>
      </c>
      <c r="B245" s="11">
        <v>46113.311643518522</v>
      </c>
      <c r="C245" s="12" t="s">
        <v>39</v>
      </c>
      <c r="D245" s="12" t="s">
        <v>288</v>
      </c>
      <c r="E245" s="13" t="str">
        <f t="shared" si="21"/>
        <v>LM-S758</v>
      </c>
      <c r="F245" s="14" t="str">
        <f t="shared" si="22"/>
        <v>BLC</v>
      </c>
      <c r="G245" s="14">
        <f>+VLOOKUP(F245,[1]base!A:B,2,0)</f>
        <v>1</v>
      </c>
      <c r="H245" s="14">
        <v>23</v>
      </c>
      <c r="I245" s="14">
        <v>23</v>
      </c>
      <c r="J245" s="14"/>
      <c r="K245" s="14" t="s">
        <v>72</v>
      </c>
      <c r="L245" s="14" t="s">
        <v>76</v>
      </c>
      <c r="M245" s="14" t="s">
        <v>77</v>
      </c>
      <c r="N245" s="14"/>
      <c r="O245" s="14"/>
      <c r="P245" s="14"/>
      <c r="Q245" s="14">
        <v>23</v>
      </c>
      <c r="R245" s="14">
        <v>0</v>
      </c>
      <c r="S245" s="14">
        <v>8</v>
      </c>
      <c r="T245" s="15">
        <v>23</v>
      </c>
      <c r="U245" s="16"/>
      <c r="V245" s="17">
        <f>+VLOOKUP(E245,[1]base!D:K,8,0)</f>
        <v>1.3259999999999998</v>
      </c>
      <c r="W245" s="17">
        <f t="shared" si="23"/>
        <v>30.497999999999998</v>
      </c>
      <c r="X245" s="17">
        <f t="shared" si="24"/>
        <v>1.5858959999999998</v>
      </c>
      <c r="Y245" s="17">
        <f>+VLOOKUP(E245,[1]base!D:E,2,0)</f>
        <v>20</v>
      </c>
      <c r="Z245" s="17">
        <f t="shared" si="25"/>
        <v>2</v>
      </c>
      <c r="AA245" s="17">
        <f t="shared" si="26"/>
        <v>0.13333333333333339</v>
      </c>
      <c r="AB245" s="17">
        <f>+VLOOKUP(E245,[1]base!M:N,2,0)</f>
        <v>1989</v>
      </c>
      <c r="AC245" s="17">
        <f>+VLOOKUP(E245,[1]base!M:Q,5,0)</f>
        <v>1750.6</v>
      </c>
      <c r="AD245" s="18">
        <f>+VLOOKUP(E245,[1]base!M:P,4,0)</f>
        <v>3.3527696793002916E-2</v>
      </c>
      <c r="AE245" s="19">
        <f t="shared" si="27"/>
        <v>530.01341107871713</v>
      </c>
    </row>
    <row r="246" spans="1:31" x14ac:dyDescent="0.25">
      <c r="A246" s="20" t="s">
        <v>289</v>
      </c>
      <c r="B246" s="11">
        <v>46126.558969907404</v>
      </c>
      <c r="C246" s="12" t="s">
        <v>70</v>
      </c>
      <c r="D246" s="12" t="s">
        <v>288</v>
      </c>
      <c r="E246" s="13" t="str">
        <f t="shared" si="21"/>
        <v>LM-S758</v>
      </c>
      <c r="F246" s="14" t="str">
        <f t="shared" si="22"/>
        <v>BLC</v>
      </c>
      <c r="G246" s="14">
        <f>+VLOOKUP(F246,[1]base!A:B,2,0)</f>
        <v>1</v>
      </c>
      <c r="H246" s="14">
        <v>150</v>
      </c>
      <c r="I246" s="14">
        <v>30</v>
      </c>
      <c r="J246" s="14"/>
      <c r="K246" s="14" t="s">
        <v>33</v>
      </c>
      <c r="L246" s="14" t="s">
        <v>76</v>
      </c>
      <c r="M246" s="14" t="s">
        <v>77</v>
      </c>
      <c r="N246" s="14"/>
      <c r="O246" s="14"/>
      <c r="P246" s="14"/>
      <c r="Q246" s="14">
        <v>0</v>
      </c>
      <c r="R246" s="14">
        <v>0</v>
      </c>
      <c r="S246" s="14"/>
      <c r="T246" s="15">
        <v>30</v>
      </c>
      <c r="U246" s="16"/>
      <c r="V246" s="17">
        <f>+VLOOKUP(E246,[1]base!D:K,8,0)</f>
        <v>1.3259999999999998</v>
      </c>
      <c r="W246" s="17">
        <f t="shared" si="23"/>
        <v>39.779999999999994</v>
      </c>
      <c r="X246" s="17">
        <f t="shared" si="24"/>
        <v>2.0685599999999997</v>
      </c>
      <c r="Y246" s="17">
        <f>+VLOOKUP(E246,[1]base!D:E,2,0)</f>
        <v>20</v>
      </c>
      <c r="Z246" s="17">
        <f t="shared" si="25"/>
        <v>2</v>
      </c>
      <c r="AA246" s="17">
        <f t="shared" si="26"/>
        <v>0.13333333333333339</v>
      </c>
      <c r="AB246" s="17">
        <f>+VLOOKUP(E246,[1]base!M:N,2,0)</f>
        <v>1989</v>
      </c>
      <c r="AC246" s="17">
        <f>+VLOOKUP(E246,[1]base!M:Q,5,0)</f>
        <v>1750.6</v>
      </c>
      <c r="AD246" s="18">
        <f>+VLOOKUP(E246,[1]base!M:P,4,0)</f>
        <v>3.3527696793002916E-2</v>
      </c>
      <c r="AE246" s="19">
        <f t="shared" si="27"/>
        <v>530.01341107871713</v>
      </c>
    </row>
    <row r="247" spans="1:31" x14ac:dyDescent="0.25">
      <c r="A247" s="20" t="s">
        <v>290</v>
      </c>
      <c r="B247" s="11">
        <v>46144.422951388886</v>
      </c>
      <c r="C247" s="12" t="s">
        <v>39</v>
      </c>
      <c r="D247" s="12" t="s">
        <v>288</v>
      </c>
      <c r="E247" s="13" t="str">
        <f t="shared" si="21"/>
        <v>LM-S758</v>
      </c>
      <c r="F247" s="14" t="str">
        <f t="shared" si="22"/>
        <v>BLC</v>
      </c>
      <c r="G247" s="14">
        <f>+VLOOKUP(F247,[1]base!A:B,2,0)</f>
        <v>1</v>
      </c>
      <c r="H247" s="14">
        <v>50</v>
      </c>
      <c r="I247" s="14">
        <v>50</v>
      </c>
      <c r="J247" s="14"/>
      <c r="K247" s="14" t="s">
        <v>72</v>
      </c>
      <c r="L247" s="14" t="s">
        <v>76</v>
      </c>
      <c r="M247" s="14" t="s">
        <v>77</v>
      </c>
      <c r="N247" s="14"/>
      <c r="O247" s="14"/>
      <c r="P247" s="14"/>
      <c r="Q247" s="14">
        <v>100</v>
      </c>
      <c r="R247" s="14">
        <v>0</v>
      </c>
      <c r="S247" s="14">
        <v>10</v>
      </c>
      <c r="T247" s="15">
        <v>50</v>
      </c>
      <c r="U247" s="16"/>
      <c r="V247" s="17">
        <v>5</v>
      </c>
      <c r="W247" s="17">
        <f t="shared" si="23"/>
        <v>250</v>
      </c>
      <c r="X247" s="17">
        <f t="shared" si="24"/>
        <v>13</v>
      </c>
      <c r="Y247" s="17">
        <v>10</v>
      </c>
      <c r="Z247" s="17">
        <f t="shared" si="25"/>
        <v>5</v>
      </c>
      <c r="AA247" s="17">
        <f t="shared" si="26"/>
        <v>0.33333333333333348</v>
      </c>
      <c r="AB247" s="17">
        <f>+VLOOKUP(E247,[1]base!M:N,2,0)</f>
        <v>1989</v>
      </c>
      <c r="AC247" s="17">
        <f>+VLOOKUP(E247,[1]base!M:Q,5,0)</f>
        <v>1750.6</v>
      </c>
      <c r="AD247" s="18">
        <f>+VLOOKUP(E247,[1]base!M:P,4,0)</f>
        <v>3.3527696793002916E-2</v>
      </c>
      <c r="AE247" s="19">
        <f t="shared" si="27"/>
        <v>530.01341107871713</v>
      </c>
    </row>
    <row r="248" spans="1:31" x14ac:dyDescent="0.25">
      <c r="A248" s="20" t="s">
        <v>291</v>
      </c>
      <c r="B248" s="11">
        <v>46202.475428240738</v>
      </c>
      <c r="C248" s="12" t="s">
        <v>39</v>
      </c>
      <c r="D248" s="12" t="s">
        <v>288</v>
      </c>
      <c r="E248" s="13" t="str">
        <f t="shared" si="21"/>
        <v>LM-S758</v>
      </c>
      <c r="F248" s="14" t="str">
        <f t="shared" si="22"/>
        <v>BLC</v>
      </c>
      <c r="G248" s="14">
        <f>+VLOOKUP(F248,[1]base!A:B,2,0)</f>
        <v>1</v>
      </c>
      <c r="H248" s="14">
        <v>500</v>
      </c>
      <c r="I248" s="14">
        <v>150</v>
      </c>
      <c r="J248" s="14"/>
      <c r="K248" s="14" t="s">
        <v>72</v>
      </c>
      <c r="L248" s="14" t="s">
        <v>76</v>
      </c>
      <c r="M248" s="14" t="s">
        <v>77</v>
      </c>
      <c r="N248" s="14"/>
      <c r="O248" s="14"/>
      <c r="P248" s="14"/>
      <c r="Q248" s="14">
        <v>400</v>
      </c>
      <c r="R248" s="14">
        <v>0</v>
      </c>
      <c r="S248" s="14"/>
      <c r="T248" s="15">
        <v>150</v>
      </c>
      <c r="U248" s="16"/>
      <c r="V248" s="17">
        <v>63</v>
      </c>
      <c r="W248" s="17">
        <f t="shared" si="23"/>
        <v>9450</v>
      </c>
      <c r="X248" s="17">
        <f t="shared" si="24"/>
        <v>491.4</v>
      </c>
      <c r="Y248" s="17">
        <v>68</v>
      </c>
      <c r="Z248" s="17">
        <f t="shared" si="25"/>
        <v>3</v>
      </c>
      <c r="AA248" s="17">
        <f t="shared" si="26"/>
        <v>0.20000000000000007</v>
      </c>
      <c r="AB248" s="17">
        <f>+VLOOKUP(E248,[1]base!M:N,2,0)</f>
        <v>1989</v>
      </c>
      <c r="AC248" s="17">
        <f>+VLOOKUP(E248,[1]base!M:Q,5,0)</f>
        <v>1750.6</v>
      </c>
      <c r="AD248" s="18">
        <f>+VLOOKUP(E248,[1]base!M:P,4,0)</f>
        <v>3.3527696793002916E-2</v>
      </c>
      <c r="AE248" s="19">
        <f t="shared" si="27"/>
        <v>530.01341107871713</v>
      </c>
    </row>
    <row r="249" spans="1:31" x14ac:dyDescent="0.25">
      <c r="A249" s="20" t="s">
        <v>292</v>
      </c>
      <c r="B249" s="11">
        <v>46210.608182870368</v>
      </c>
      <c r="C249" s="12" t="s">
        <v>134</v>
      </c>
      <c r="D249" s="12" t="s">
        <v>288</v>
      </c>
      <c r="E249" s="13" t="str">
        <f t="shared" si="21"/>
        <v>LM-S758</v>
      </c>
      <c r="F249" s="14" t="str">
        <f t="shared" si="22"/>
        <v>BLC</v>
      </c>
      <c r="G249" s="14">
        <f>+VLOOKUP(F249,[1]base!A:B,2,0)</f>
        <v>1</v>
      </c>
      <c r="H249" s="14">
        <v>100</v>
      </c>
      <c r="I249" s="14">
        <v>100</v>
      </c>
      <c r="J249" s="14"/>
      <c r="K249" s="14" t="s">
        <v>33</v>
      </c>
      <c r="L249" s="14" t="s">
        <v>76</v>
      </c>
      <c r="M249" s="14" t="s">
        <v>77</v>
      </c>
      <c r="N249" s="14"/>
      <c r="O249" s="14"/>
      <c r="P249" s="14"/>
      <c r="Q249" s="14">
        <v>0</v>
      </c>
      <c r="R249" s="14">
        <v>0</v>
      </c>
      <c r="S249" s="14"/>
      <c r="T249" s="15">
        <v>100</v>
      </c>
      <c r="U249" s="16"/>
      <c r="V249" s="17">
        <v>90</v>
      </c>
      <c r="W249" s="17">
        <f t="shared" si="23"/>
        <v>9000</v>
      </c>
      <c r="X249" s="17">
        <f t="shared" si="24"/>
        <v>468</v>
      </c>
      <c r="Y249" s="17">
        <v>95</v>
      </c>
      <c r="Z249" s="17">
        <f t="shared" si="25"/>
        <v>2</v>
      </c>
      <c r="AA249" s="17">
        <f t="shared" si="26"/>
        <v>0.13333333333333339</v>
      </c>
      <c r="AB249" s="17">
        <f>+VLOOKUP(E249,[1]base!M:N,2,0)</f>
        <v>1989</v>
      </c>
      <c r="AC249" s="17">
        <f>+VLOOKUP(E249,[1]base!M:Q,5,0)</f>
        <v>1750.6</v>
      </c>
      <c r="AD249" s="18">
        <f>+VLOOKUP(E249,[1]base!M:P,4,0)</f>
        <v>3.3527696793002916E-2</v>
      </c>
      <c r="AE249" s="19">
        <f t="shared" si="27"/>
        <v>530.01341107871713</v>
      </c>
    </row>
    <row r="250" spans="1:31" x14ac:dyDescent="0.25">
      <c r="A250" s="20" t="s">
        <v>293</v>
      </c>
      <c r="B250" s="11">
        <v>46213.491956018515</v>
      </c>
      <c r="C250" s="12" t="s">
        <v>134</v>
      </c>
      <c r="D250" s="12" t="s">
        <v>288</v>
      </c>
      <c r="E250" s="13" t="str">
        <f t="shared" si="21"/>
        <v>LM-S758</v>
      </c>
      <c r="F250" s="14" t="str">
        <f t="shared" si="22"/>
        <v>BLC</v>
      </c>
      <c r="G250" s="14">
        <f>+VLOOKUP(F250,[1]base!A:B,2,0)</f>
        <v>1</v>
      </c>
      <c r="H250" s="14">
        <v>200</v>
      </c>
      <c r="I250" s="14">
        <v>200</v>
      </c>
      <c r="J250" s="14"/>
      <c r="K250" s="14" t="s">
        <v>33</v>
      </c>
      <c r="L250" s="14" t="s">
        <v>76</v>
      </c>
      <c r="M250" s="14" t="s">
        <v>77</v>
      </c>
      <c r="N250" s="14"/>
      <c r="O250" s="14"/>
      <c r="P250" s="14"/>
      <c r="Q250" s="14">
        <v>0</v>
      </c>
      <c r="R250" s="14">
        <v>0</v>
      </c>
      <c r="S250" s="14"/>
      <c r="T250" s="15">
        <v>200</v>
      </c>
      <c r="U250" s="16"/>
      <c r="V250" s="17">
        <v>104</v>
      </c>
      <c r="W250" s="17">
        <f t="shared" si="23"/>
        <v>20800</v>
      </c>
      <c r="X250" s="17">
        <f t="shared" si="24"/>
        <v>1081.5999999999999</v>
      </c>
      <c r="Y250" s="17">
        <v>109</v>
      </c>
      <c r="Z250" s="17">
        <f t="shared" si="25"/>
        <v>2</v>
      </c>
      <c r="AA250" s="17">
        <f t="shared" si="26"/>
        <v>0.13333333333333339</v>
      </c>
      <c r="AB250" s="17">
        <f>+VLOOKUP(E250,[1]base!M:N,2,0)</f>
        <v>1989</v>
      </c>
      <c r="AC250" s="17">
        <f>+VLOOKUP(E250,[1]base!M:Q,5,0)</f>
        <v>1750.6</v>
      </c>
      <c r="AD250" s="18">
        <f>+VLOOKUP(E250,[1]base!M:P,4,0)</f>
        <v>3.3527696793002916E-2</v>
      </c>
      <c r="AE250" s="19">
        <f t="shared" si="27"/>
        <v>530.01341107871713</v>
      </c>
    </row>
    <row r="251" spans="1:31" x14ac:dyDescent="0.25">
      <c r="A251" s="10" t="s">
        <v>294</v>
      </c>
      <c r="B251" s="11">
        <v>46221.390555555554</v>
      </c>
      <c r="C251" s="12" t="s">
        <v>134</v>
      </c>
      <c r="D251" s="12" t="s">
        <v>288</v>
      </c>
      <c r="E251" s="13" t="str">
        <f t="shared" si="21"/>
        <v>LM-S758</v>
      </c>
      <c r="F251" s="14" t="str">
        <f t="shared" si="22"/>
        <v>BLC</v>
      </c>
      <c r="G251" s="14">
        <f>+VLOOKUP(F251,[1]base!A:B,2,0)</f>
        <v>1</v>
      </c>
      <c r="H251" s="14">
        <v>250</v>
      </c>
      <c r="I251" s="14">
        <v>175</v>
      </c>
      <c r="J251" s="14"/>
      <c r="K251" s="14" t="s">
        <v>33</v>
      </c>
      <c r="L251" s="14" t="s">
        <v>76</v>
      </c>
      <c r="M251" s="14" t="s">
        <v>77</v>
      </c>
      <c r="N251" s="14"/>
      <c r="O251" s="14"/>
      <c r="P251" s="14"/>
      <c r="Q251" s="14">
        <v>0</v>
      </c>
      <c r="R251" s="14">
        <v>0</v>
      </c>
      <c r="S251" s="14"/>
      <c r="T251" s="15">
        <v>175</v>
      </c>
      <c r="U251" s="16"/>
      <c r="V251" s="17">
        <v>168</v>
      </c>
      <c r="W251" s="17">
        <f t="shared" si="23"/>
        <v>29400</v>
      </c>
      <c r="X251" s="17">
        <f t="shared" si="24"/>
        <v>1528.8</v>
      </c>
      <c r="Y251" s="17">
        <v>173</v>
      </c>
      <c r="Z251" s="17">
        <f t="shared" si="25"/>
        <v>2</v>
      </c>
      <c r="AA251" s="17">
        <f t="shared" si="26"/>
        <v>0.13333333333333339</v>
      </c>
      <c r="AB251" s="17">
        <f>+VLOOKUP(E251,[1]base!M:N,2,0)</f>
        <v>1989</v>
      </c>
      <c r="AC251" s="17">
        <f>+VLOOKUP(E251,[1]base!M:Q,5,0)</f>
        <v>1750.6</v>
      </c>
      <c r="AD251" s="18">
        <f>+VLOOKUP(E251,[1]base!M:P,4,0)</f>
        <v>3.3527696793002916E-2</v>
      </c>
      <c r="AE251" s="19">
        <f t="shared" si="27"/>
        <v>530.01341107871713</v>
      </c>
    </row>
    <row r="252" spans="1:31" x14ac:dyDescent="0.25">
      <c r="A252" s="10" t="s">
        <v>295</v>
      </c>
      <c r="B252" s="11">
        <v>46224.570810185185</v>
      </c>
      <c r="C252" s="12" t="s">
        <v>70</v>
      </c>
      <c r="D252" s="12" t="s">
        <v>288</v>
      </c>
      <c r="E252" s="13" t="str">
        <f t="shared" si="21"/>
        <v>LM-S758</v>
      </c>
      <c r="F252" s="14" t="str">
        <f t="shared" si="22"/>
        <v>BLC</v>
      </c>
      <c r="G252" s="14">
        <f>+VLOOKUP(F252,[1]base!A:B,2,0)</f>
        <v>1</v>
      </c>
      <c r="H252" s="14">
        <v>200</v>
      </c>
      <c r="I252" s="14">
        <v>200</v>
      </c>
      <c r="J252" s="14"/>
      <c r="K252" s="14" t="s">
        <v>33</v>
      </c>
      <c r="L252" s="14" t="s">
        <v>76</v>
      </c>
      <c r="M252" s="14" t="s">
        <v>77</v>
      </c>
      <c r="N252" s="14"/>
      <c r="O252" s="14"/>
      <c r="P252" s="14"/>
      <c r="Q252" s="14">
        <v>0</v>
      </c>
      <c r="R252" s="14">
        <v>0</v>
      </c>
      <c r="S252" s="14"/>
      <c r="T252" s="15">
        <v>200</v>
      </c>
      <c r="U252" s="16"/>
      <c r="V252" s="17">
        <v>176</v>
      </c>
      <c r="W252" s="17">
        <f t="shared" si="23"/>
        <v>35200</v>
      </c>
      <c r="X252" s="17">
        <f t="shared" si="24"/>
        <v>1830.3999999999999</v>
      </c>
      <c r="Y252" s="17">
        <v>181</v>
      </c>
      <c r="Z252" s="17">
        <f t="shared" si="25"/>
        <v>2</v>
      </c>
      <c r="AA252" s="17">
        <f t="shared" si="26"/>
        <v>0.13333333333333339</v>
      </c>
      <c r="AB252" s="17">
        <f>+VLOOKUP(E252,[1]base!M:N,2,0)</f>
        <v>1989</v>
      </c>
      <c r="AC252" s="17">
        <f>+VLOOKUP(E252,[1]base!M:Q,5,0)</f>
        <v>1750.6</v>
      </c>
      <c r="AD252" s="18">
        <f>+VLOOKUP(E252,[1]base!M:P,4,0)</f>
        <v>3.3527696793002916E-2</v>
      </c>
      <c r="AE252" s="19">
        <f t="shared" si="27"/>
        <v>530.01341107871713</v>
      </c>
    </row>
    <row r="253" spans="1:31" x14ac:dyDescent="0.25">
      <c r="A253" s="10" t="s">
        <v>296</v>
      </c>
      <c r="B253" s="11">
        <v>46225.409537037034</v>
      </c>
      <c r="C253" s="12" t="s">
        <v>297</v>
      </c>
      <c r="D253" s="12" t="s">
        <v>288</v>
      </c>
      <c r="E253" s="13" t="str">
        <f t="shared" si="21"/>
        <v>LM-S758</v>
      </c>
      <c r="F253" s="14" t="str">
        <f t="shared" si="22"/>
        <v>BLC</v>
      </c>
      <c r="G253" s="14">
        <f>+VLOOKUP(F253,[1]base!A:B,2,0)</f>
        <v>1</v>
      </c>
      <c r="H253" s="14">
        <v>200</v>
      </c>
      <c r="I253" s="14">
        <v>200</v>
      </c>
      <c r="J253" s="14"/>
      <c r="K253" s="14" t="s">
        <v>33</v>
      </c>
      <c r="L253" s="14" t="s">
        <v>76</v>
      </c>
      <c r="M253" s="14" t="s">
        <v>77</v>
      </c>
      <c r="N253" s="14"/>
      <c r="O253" s="14"/>
      <c r="P253" s="14"/>
      <c r="Q253" s="14">
        <v>0</v>
      </c>
      <c r="R253" s="14">
        <v>0</v>
      </c>
      <c r="S253" s="14"/>
      <c r="T253" s="15">
        <v>200</v>
      </c>
      <c r="U253" s="16"/>
      <c r="V253" s="17">
        <v>188</v>
      </c>
      <c r="W253" s="17">
        <f t="shared" si="23"/>
        <v>37600</v>
      </c>
      <c r="X253" s="17">
        <f t="shared" si="24"/>
        <v>1955.1999999999998</v>
      </c>
      <c r="Y253" s="17">
        <v>193</v>
      </c>
      <c r="Z253" s="17">
        <f t="shared" si="25"/>
        <v>2</v>
      </c>
      <c r="AA253" s="17">
        <f t="shared" si="26"/>
        <v>0.13333333333333339</v>
      </c>
      <c r="AB253" s="17">
        <f>+VLOOKUP(E253,[1]base!M:N,2,0)</f>
        <v>1989</v>
      </c>
      <c r="AC253" s="17">
        <f>+VLOOKUP(E253,[1]base!M:Q,5,0)</f>
        <v>1750.6</v>
      </c>
      <c r="AD253" s="18">
        <f>+VLOOKUP(E253,[1]base!M:P,4,0)</f>
        <v>3.3527696793002916E-2</v>
      </c>
      <c r="AE253" s="19">
        <f t="shared" si="27"/>
        <v>530.01341107871713</v>
      </c>
    </row>
    <row r="254" spans="1:31" x14ac:dyDescent="0.25">
      <c r="A254" s="10" t="s">
        <v>208</v>
      </c>
      <c r="B254" s="11">
        <v>46226.508958333332</v>
      </c>
      <c r="C254" s="12" t="s">
        <v>31</v>
      </c>
      <c r="D254" s="12" t="s">
        <v>288</v>
      </c>
      <c r="E254" s="13" t="str">
        <f t="shared" si="21"/>
        <v>LM-S758</v>
      </c>
      <c r="F254" s="14" t="str">
        <f t="shared" si="22"/>
        <v>BLC</v>
      </c>
      <c r="G254" s="14">
        <f>+VLOOKUP(F254,[1]base!A:B,2,0)</f>
        <v>1</v>
      </c>
      <c r="H254" s="14">
        <v>50</v>
      </c>
      <c r="I254" s="14">
        <v>50</v>
      </c>
      <c r="J254" s="14"/>
      <c r="K254" s="14" t="s">
        <v>33</v>
      </c>
      <c r="L254" s="14" t="s">
        <v>76</v>
      </c>
      <c r="M254" s="14" t="s">
        <v>77</v>
      </c>
      <c r="N254" s="14"/>
      <c r="O254" s="14"/>
      <c r="P254" s="14"/>
      <c r="Q254" s="14">
        <v>0</v>
      </c>
      <c r="R254" s="14">
        <v>0</v>
      </c>
      <c r="S254" s="14">
        <v>9</v>
      </c>
      <c r="T254" s="15">
        <v>50</v>
      </c>
      <c r="U254" s="16"/>
      <c r="V254" s="17">
        <v>256</v>
      </c>
      <c r="W254" s="17">
        <f t="shared" si="23"/>
        <v>12800</v>
      </c>
      <c r="X254" s="17">
        <f t="shared" si="24"/>
        <v>665.6</v>
      </c>
      <c r="Y254" s="17">
        <v>261</v>
      </c>
      <c r="Z254" s="17">
        <f t="shared" si="25"/>
        <v>1</v>
      </c>
      <c r="AA254" s="17">
        <f t="shared" si="26"/>
        <v>6.6666666666666693E-2</v>
      </c>
      <c r="AB254" s="17">
        <f>+VLOOKUP(E254,[1]base!M:N,2,0)</f>
        <v>1989</v>
      </c>
      <c r="AC254" s="17">
        <f>+VLOOKUP(E254,[1]base!M:Q,5,0)</f>
        <v>1750.6</v>
      </c>
      <c r="AD254" s="18">
        <f>+VLOOKUP(E254,[1]base!M:P,4,0)</f>
        <v>3.3527696793002916E-2</v>
      </c>
      <c r="AE254" s="19">
        <f t="shared" si="27"/>
        <v>530.01341107871713</v>
      </c>
    </row>
    <row r="255" spans="1:31" x14ac:dyDescent="0.25">
      <c r="A255" s="10" t="s">
        <v>298</v>
      </c>
      <c r="B255" s="11">
        <v>46230.453206018516</v>
      </c>
      <c r="C255" s="12" t="s">
        <v>299</v>
      </c>
      <c r="D255" s="12" t="s">
        <v>288</v>
      </c>
      <c r="E255" s="13" t="str">
        <f t="shared" si="21"/>
        <v>LM-S758</v>
      </c>
      <c r="F255" s="14" t="str">
        <f t="shared" si="22"/>
        <v>BLC</v>
      </c>
      <c r="G255" s="14">
        <f>+VLOOKUP(F255,[1]base!A:B,2,0)</f>
        <v>1</v>
      </c>
      <c r="H255" s="14">
        <v>300</v>
      </c>
      <c r="I255" s="14">
        <v>200</v>
      </c>
      <c r="J255" s="14"/>
      <c r="K255" s="14" t="s">
        <v>33</v>
      </c>
      <c r="L255" s="14" t="s">
        <v>76</v>
      </c>
      <c r="M255" s="14" t="s">
        <v>77</v>
      </c>
      <c r="N255" s="14"/>
      <c r="O255" s="14"/>
      <c r="P255" s="14"/>
      <c r="Q255" s="14">
        <v>0</v>
      </c>
      <c r="R255" s="14">
        <v>0</v>
      </c>
      <c r="S255" s="14"/>
      <c r="T255" s="15">
        <v>200</v>
      </c>
      <c r="U255" s="16"/>
      <c r="V255" s="17">
        <v>290</v>
      </c>
      <c r="W255" s="17">
        <f t="shared" si="23"/>
        <v>58000</v>
      </c>
      <c r="X255" s="17">
        <f t="shared" si="24"/>
        <v>3016</v>
      </c>
      <c r="Y255" s="17">
        <v>295</v>
      </c>
      <c r="Z255" s="17">
        <f t="shared" si="25"/>
        <v>1</v>
      </c>
      <c r="AA255" s="17">
        <f t="shared" si="26"/>
        <v>6.6666666666666693E-2</v>
      </c>
      <c r="AB255" s="17">
        <f>+VLOOKUP(E255,[1]base!M:N,2,0)</f>
        <v>1989</v>
      </c>
      <c r="AC255" s="17">
        <f>+VLOOKUP(E255,[1]base!M:Q,5,0)</f>
        <v>1750.6</v>
      </c>
      <c r="AD255" s="18">
        <f>+VLOOKUP(E255,[1]base!M:P,4,0)</f>
        <v>3.3527696793002916E-2</v>
      </c>
      <c r="AE255" s="19">
        <f t="shared" si="27"/>
        <v>530.01341107871713</v>
      </c>
    </row>
    <row r="256" spans="1:31" x14ac:dyDescent="0.25">
      <c r="A256" s="10" t="s">
        <v>300</v>
      </c>
      <c r="B256" s="11">
        <v>46230.502002314817</v>
      </c>
      <c r="C256" s="12" t="s">
        <v>43</v>
      </c>
      <c r="D256" s="12" t="s">
        <v>288</v>
      </c>
      <c r="E256" s="13" t="str">
        <f t="shared" si="21"/>
        <v>LM-S758</v>
      </c>
      <c r="F256" s="14" t="str">
        <f t="shared" si="22"/>
        <v>BLC</v>
      </c>
      <c r="G256" s="14">
        <f>+VLOOKUP(F256,[1]base!A:B,2,0)</f>
        <v>1</v>
      </c>
      <c r="H256" s="14">
        <v>120</v>
      </c>
      <c r="I256" s="14">
        <v>120</v>
      </c>
      <c r="J256" s="14"/>
      <c r="K256" s="14" t="s">
        <v>33</v>
      </c>
      <c r="L256" s="14" t="s">
        <v>76</v>
      </c>
      <c r="M256" s="14" t="s">
        <v>77</v>
      </c>
      <c r="N256" s="14"/>
      <c r="O256" s="14"/>
      <c r="P256" s="14"/>
      <c r="Q256" s="14">
        <v>0</v>
      </c>
      <c r="R256" s="14">
        <v>0</v>
      </c>
      <c r="S256" s="14"/>
      <c r="T256" s="15">
        <v>120</v>
      </c>
      <c r="U256" s="16"/>
      <c r="V256" s="17">
        <v>297</v>
      </c>
      <c r="W256" s="17">
        <f t="shared" si="23"/>
        <v>35640</v>
      </c>
      <c r="X256" s="17">
        <f t="shared" si="24"/>
        <v>1853.28</v>
      </c>
      <c r="Y256" s="17">
        <v>302</v>
      </c>
      <c r="Z256" s="17">
        <f t="shared" si="25"/>
        <v>1</v>
      </c>
      <c r="AA256" s="17">
        <f t="shared" si="26"/>
        <v>6.6666666666666693E-2</v>
      </c>
      <c r="AB256" s="17">
        <f>+VLOOKUP(E256,[1]base!M:N,2,0)</f>
        <v>1989</v>
      </c>
      <c r="AC256" s="17">
        <f>+VLOOKUP(E256,[1]base!M:Q,5,0)</f>
        <v>1750.6</v>
      </c>
      <c r="AD256" s="18">
        <f>+VLOOKUP(E256,[1]base!M:P,4,0)</f>
        <v>3.3527696793002916E-2</v>
      </c>
      <c r="AE256" s="19">
        <f t="shared" si="27"/>
        <v>530.01341107871713</v>
      </c>
    </row>
    <row r="257" spans="1:31" x14ac:dyDescent="0.25">
      <c r="A257" s="10" t="s">
        <v>301</v>
      </c>
      <c r="B257" s="11">
        <v>46231.547083333331</v>
      </c>
      <c r="C257" s="12" t="s">
        <v>57</v>
      </c>
      <c r="D257" s="12" t="s">
        <v>288</v>
      </c>
      <c r="E257" s="13" t="str">
        <f t="shared" si="21"/>
        <v>LM-S758</v>
      </c>
      <c r="F257" s="14" t="str">
        <f t="shared" si="22"/>
        <v>BLC</v>
      </c>
      <c r="G257" s="14">
        <f>+VLOOKUP(F257,[1]base!A:B,2,0)</f>
        <v>1</v>
      </c>
      <c r="H257" s="14">
        <v>300</v>
      </c>
      <c r="I257" s="14">
        <v>300</v>
      </c>
      <c r="J257" s="14"/>
      <c r="K257" s="14" t="s">
        <v>33</v>
      </c>
      <c r="L257" s="14" t="s">
        <v>76</v>
      </c>
      <c r="M257" s="14" t="s">
        <v>77</v>
      </c>
      <c r="N257" s="14"/>
      <c r="O257" s="14"/>
      <c r="P257" s="14"/>
      <c r="Q257" s="14">
        <v>0</v>
      </c>
      <c r="R257" s="14">
        <v>0</v>
      </c>
      <c r="S257" s="14"/>
      <c r="T257" s="15">
        <v>300</v>
      </c>
      <c r="U257" s="16"/>
      <c r="V257" s="17">
        <v>305</v>
      </c>
      <c r="W257" s="17">
        <f t="shared" si="23"/>
        <v>91500</v>
      </c>
      <c r="X257" s="17">
        <f t="shared" si="24"/>
        <v>4758</v>
      </c>
      <c r="Y257" s="17">
        <v>310</v>
      </c>
      <c r="Z257" s="17">
        <f t="shared" si="25"/>
        <v>1</v>
      </c>
      <c r="AA257" s="17">
        <f t="shared" si="26"/>
        <v>6.6666666666666693E-2</v>
      </c>
      <c r="AB257" s="17">
        <f>+VLOOKUP(E257,[1]base!M:N,2,0)</f>
        <v>1989</v>
      </c>
      <c r="AC257" s="17">
        <f>+VLOOKUP(E257,[1]base!M:Q,5,0)</f>
        <v>1750.6</v>
      </c>
      <c r="AD257" s="18">
        <f>+VLOOKUP(E257,[1]base!M:P,4,0)</f>
        <v>3.3527696793002916E-2</v>
      </c>
      <c r="AE257" s="19">
        <f t="shared" si="27"/>
        <v>530.01341107871713</v>
      </c>
    </row>
    <row r="258" spans="1:31" x14ac:dyDescent="0.25">
      <c r="A258" s="10" t="s">
        <v>302</v>
      </c>
      <c r="B258" s="11">
        <v>46233.276898148149</v>
      </c>
      <c r="C258" s="12" t="s">
        <v>130</v>
      </c>
      <c r="D258" s="12" t="s">
        <v>288</v>
      </c>
      <c r="E258" s="13" t="str">
        <f t="shared" ref="E258:E321" si="28">_xlfn.TEXTBEFORE(D258, "-", -1, 1, , D258)</f>
        <v>LM-S758</v>
      </c>
      <c r="F258" s="14" t="str">
        <f t="shared" ref="F258:F321" si="29">_xlfn.TEXTAFTER(D258, "-", -1, 1, , "")</f>
        <v>BLC</v>
      </c>
      <c r="G258" s="14">
        <f>+VLOOKUP(F258,[1]base!A:B,2,0)</f>
        <v>1</v>
      </c>
      <c r="H258" s="14">
        <v>100</v>
      </c>
      <c r="I258" s="14">
        <v>100</v>
      </c>
      <c r="J258" s="14"/>
      <c r="K258" s="14" t="s">
        <v>33</v>
      </c>
      <c r="L258" s="14" t="s">
        <v>76</v>
      </c>
      <c r="M258" s="14" t="s">
        <v>77</v>
      </c>
      <c r="N258" s="14"/>
      <c r="O258" s="14"/>
      <c r="P258" s="14"/>
      <c r="Q258" s="14">
        <v>0</v>
      </c>
      <c r="R258" s="14">
        <v>0</v>
      </c>
      <c r="S258" s="14"/>
      <c r="T258" s="15">
        <v>100</v>
      </c>
      <c r="U258" s="16"/>
      <c r="V258" s="17">
        <v>318</v>
      </c>
      <c r="W258" s="17">
        <f t="shared" ref="W258:W321" si="30">(T258+U258)*V258</f>
        <v>31800</v>
      </c>
      <c r="X258" s="17">
        <f t="shared" ref="X258:X321" si="31">+W258*0.052</f>
        <v>1653.6</v>
      </c>
      <c r="Y258" s="17">
        <v>323</v>
      </c>
      <c r="Z258" s="17">
        <f t="shared" ref="Z258:Z321" si="32">ROUNDUP(T258/Y258,0)</f>
        <v>1</v>
      </c>
      <c r="AA258" s="17">
        <f t="shared" ref="AA258:AA321" si="33">+Z258*0.0666666666666667</f>
        <v>6.6666666666666693E-2</v>
      </c>
      <c r="AB258" s="17">
        <f>+VLOOKUP(E258,[1]base!M:N,2,0)</f>
        <v>1989</v>
      </c>
      <c r="AC258" s="17">
        <f>+VLOOKUP(E258,[1]base!M:Q,5,0)</f>
        <v>1750.6</v>
      </c>
      <c r="AD258" s="18">
        <f>+VLOOKUP(E258,[1]base!M:P,4,0)</f>
        <v>3.3527696793002916E-2</v>
      </c>
      <c r="AE258" s="19">
        <f t="shared" ref="AE258:AE321" si="34">+AB258*(30%-AD258)</f>
        <v>530.01341107871713</v>
      </c>
    </row>
    <row r="259" spans="1:31" x14ac:dyDescent="0.25">
      <c r="A259" s="10" t="s">
        <v>303</v>
      </c>
      <c r="B259" s="11">
        <v>46237.429085648146</v>
      </c>
      <c r="C259" s="12" t="s">
        <v>304</v>
      </c>
      <c r="D259" s="12" t="s">
        <v>288</v>
      </c>
      <c r="E259" s="13" t="str">
        <f t="shared" si="28"/>
        <v>LM-S758</v>
      </c>
      <c r="F259" s="14" t="str">
        <f t="shared" si="29"/>
        <v>BLC</v>
      </c>
      <c r="G259" s="14">
        <f>+VLOOKUP(F259,[1]base!A:B,2,0)</f>
        <v>1</v>
      </c>
      <c r="H259" s="14">
        <v>100</v>
      </c>
      <c r="I259" s="14">
        <v>100</v>
      </c>
      <c r="J259" s="14"/>
      <c r="K259" s="14" t="s">
        <v>33</v>
      </c>
      <c r="L259" s="14" t="s">
        <v>76</v>
      </c>
      <c r="M259" s="14" t="s">
        <v>77</v>
      </c>
      <c r="N259" s="14"/>
      <c r="O259" s="14"/>
      <c r="P259" s="14"/>
      <c r="Q259" s="14">
        <v>0</v>
      </c>
      <c r="R259" s="14">
        <v>0</v>
      </c>
      <c r="S259" s="14"/>
      <c r="T259" s="15">
        <v>100</v>
      </c>
      <c r="U259" s="16"/>
      <c r="V259" s="17">
        <v>347</v>
      </c>
      <c r="W259" s="17">
        <f t="shared" si="30"/>
        <v>34700</v>
      </c>
      <c r="X259" s="17">
        <f t="shared" si="31"/>
        <v>1804.3999999999999</v>
      </c>
      <c r="Y259" s="17">
        <v>352</v>
      </c>
      <c r="Z259" s="17">
        <f t="shared" si="32"/>
        <v>1</v>
      </c>
      <c r="AA259" s="17">
        <f t="shared" si="33"/>
        <v>6.6666666666666693E-2</v>
      </c>
      <c r="AB259" s="17">
        <f>+VLOOKUP(E259,[1]base!M:N,2,0)</f>
        <v>1989</v>
      </c>
      <c r="AC259" s="17">
        <f>+VLOOKUP(E259,[1]base!M:Q,5,0)</f>
        <v>1750.6</v>
      </c>
      <c r="AD259" s="18">
        <f>+VLOOKUP(E259,[1]base!M:P,4,0)</f>
        <v>3.3527696793002916E-2</v>
      </c>
      <c r="AE259" s="19">
        <f t="shared" si="34"/>
        <v>530.01341107871713</v>
      </c>
    </row>
    <row r="260" spans="1:31" x14ac:dyDescent="0.25">
      <c r="A260" s="10" t="s">
        <v>111</v>
      </c>
      <c r="B260" s="11">
        <v>46240.550856481481</v>
      </c>
      <c r="C260" s="12" t="s">
        <v>112</v>
      </c>
      <c r="D260" s="12" t="s">
        <v>288</v>
      </c>
      <c r="E260" s="13" t="str">
        <f t="shared" si="28"/>
        <v>LM-S758</v>
      </c>
      <c r="F260" s="14" t="str">
        <f t="shared" si="29"/>
        <v>BLC</v>
      </c>
      <c r="G260" s="14">
        <f>+VLOOKUP(F260,[1]base!A:B,2,0)</f>
        <v>1</v>
      </c>
      <c r="H260" s="14">
        <v>50</v>
      </c>
      <c r="I260" s="14">
        <v>50</v>
      </c>
      <c r="J260" s="14"/>
      <c r="K260" s="14" t="s">
        <v>33</v>
      </c>
      <c r="L260" s="14" t="s">
        <v>76</v>
      </c>
      <c r="M260" s="14" t="s">
        <v>77</v>
      </c>
      <c r="N260" s="14"/>
      <c r="O260" s="14"/>
      <c r="P260" s="14"/>
      <c r="Q260" s="14">
        <v>0</v>
      </c>
      <c r="R260" s="14">
        <v>0</v>
      </c>
      <c r="S260" s="14"/>
      <c r="T260" s="15">
        <v>50</v>
      </c>
      <c r="U260" s="16"/>
      <c r="V260" s="17">
        <v>410</v>
      </c>
      <c r="W260" s="17">
        <f t="shared" si="30"/>
        <v>20500</v>
      </c>
      <c r="X260" s="17">
        <f t="shared" si="31"/>
        <v>1066</v>
      </c>
      <c r="Y260" s="17">
        <v>415</v>
      </c>
      <c r="Z260" s="17">
        <f t="shared" si="32"/>
        <v>1</v>
      </c>
      <c r="AA260" s="17">
        <f t="shared" si="33"/>
        <v>6.6666666666666693E-2</v>
      </c>
      <c r="AB260" s="17">
        <f>+VLOOKUP(E260,[1]base!M:N,2,0)</f>
        <v>1989</v>
      </c>
      <c r="AC260" s="17">
        <f>+VLOOKUP(E260,[1]base!M:Q,5,0)</f>
        <v>1750.6</v>
      </c>
      <c r="AD260" s="18">
        <f>+VLOOKUP(E260,[1]base!M:P,4,0)</f>
        <v>3.3527696793002916E-2</v>
      </c>
      <c r="AE260" s="19">
        <f t="shared" si="34"/>
        <v>530.01341107871713</v>
      </c>
    </row>
    <row r="261" spans="1:31" x14ac:dyDescent="0.25">
      <c r="A261" s="10" t="s">
        <v>305</v>
      </c>
      <c r="B261" s="11">
        <v>46242.452847222223</v>
      </c>
      <c r="C261" s="12" t="s">
        <v>304</v>
      </c>
      <c r="D261" s="12" t="s">
        <v>288</v>
      </c>
      <c r="E261" s="13" t="str">
        <f t="shared" si="28"/>
        <v>LM-S758</v>
      </c>
      <c r="F261" s="14" t="str">
        <f t="shared" si="29"/>
        <v>BLC</v>
      </c>
      <c r="G261" s="14">
        <f>+VLOOKUP(F261,[1]base!A:B,2,0)</f>
        <v>1</v>
      </c>
      <c r="H261" s="14">
        <v>50</v>
      </c>
      <c r="I261" s="14">
        <v>50</v>
      </c>
      <c r="J261" s="14"/>
      <c r="K261" s="14" t="s">
        <v>33</v>
      </c>
      <c r="L261" s="14" t="s">
        <v>76</v>
      </c>
      <c r="M261" s="14" t="s">
        <v>77</v>
      </c>
      <c r="N261" s="14"/>
      <c r="O261" s="14"/>
      <c r="P261" s="14"/>
      <c r="Q261" s="14">
        <v>0</v>
      </c>
      <c r="R261" s="14">
        <v>0</v>
      </c>
      <c r="S261" s="14"/>
      <c r="T261" s="15">
        <v>50</v>
      </c>
      <c r="U261" s="16"/>
      <c r="V261" s="17">
        <v>426</v>
      </c>
      <c r="W261" s="17">
        <f t="shared" si="30"/>
        <v>21300</v>
      </c>
      <c r="X261" s="17">
        <f t="shared" si="31"/>
        <v>1107.5999999999999</v>
      </c>
      <c r="Y261" s="17">
        <v>431</v>
      </c>
      <c r="Z261" s="17">
        <f t="shared" si="32"/>
        <v>1</v>
      </c>
      <c r="AA261" s="17">
        <f t="shared" si="33"/>
        <v>6.6666666666666693E-2</v>
      </c>
      <c r="AB261" s="17">
        <f>+VLOOKUP(E261,[1]base!M:N,2,0)</f>
        <v>1989</v>
      </c>
      <c r="AC261" s="17">
        <f>+VLOOKUP(E261,[1]base!M:Q,5,0)</f>
        <v>1750.6</v>
      </c>
      <c r="AD261" s="18">
        <f>+VLOOKUP(E261,[1]base!M:P,4,0)</f>
        <v>3.3527696793002916E-2</v>
      </c>
      <c r="AE261" s="19">
        <f t="shared" si="34"/>
        <v>530.01341107871713</v>
      </c>
    </row>
    <row r="262" spans="1:31" x14ac:dyDescent="0.25">
      <c r="A262" s="10" t="s">
        <v>306</v>
      </c>
      <c r="B262" s="11">
        <v>46242.490671296298</v>
      </c>
      <c r="C262" s="12" t="s">
        <v>83</v>
      </c>
      <c r="D262" s="12" t="s">
        <v>288</v>
      </c>
      <c r="E262" s="13" t="str">
        <f t="shared" si="28"/>
        <v>LM-S758</v>
      </c>
      <c r="F262" s="14" t="str">
        <f t="shared" si="29"/>
        <v>BLC</v>
      </c>
      <c r="G262" s="14">
        <f>+VLOOKUP(F262,[1]base!A:B,2,0)</f>
        <v>1</v>
      </c>
      <c r="H262" s="14">
        <v>50</v>
      </c>
      <c r="I262" s="14">
        <v>50</v>
      </c>
      <c r="J262" s="14"/>
      <c r="K262" s="14" t="s">
        <v>33</v>
      </c>
      <c r="L262" s="14" t="s">
        <v>76</v>
      </c>
      <c r="M262" s="14" t="s">
        <v>77</v>
      </c>
      <c r="N262" s="14"/>
      <c r="O262" s="14"/>
      <c r="P262" s="14"/>
      <c r="Q262" s="14">
        <v>0</v>
      </c>
      <c r="R262" s="14">
        <v>0</v>
      </c>
      <c r="S262" s="14"/>
      <c r="T262" s="15">
        <v>50</v>
      </c>
      <c r="U262" s="16"/>
      <c r="V262" s="17">
        <v>429</v>
      </c>
      <c r="W262" s="17">
        <f t="shared" si="30"/>
        <v>21450</v>
      </c>
      <c r="X262" s="17">
        <f t="shared" si="31"/>
        <v>1115.3999999999999</v>
      </c>
      <c r="Y262" s="17">
        <v>434</v>
      </c>
      <c r="Z262" s="17">
        <f t="shared" si="32"/>
        <v>1</v>
      </c>
      <c r="AA262" s="17">
        <f t="shared" si="33"/>
        <v>6.6666666666666693E-2</v>
      </c>
      <c r="AB262" s="17">
        <f>+VLOOKUP(E262,[1]base!M:N,2,0)</f>
        <v>1989</v>
      </c>
      <c r="AC262" s="17">
        <f>+VLOOKUP(E262,[1]base!M:Q,5,0)</f>
        <v>1750.6</v>
      </c>
      <c r="AD262" s="18">
        <f>+VLOOKUP(E262,[1]base!M:P,4,0)</f>
        <v>3.3527696793002916E-2</v>
      </c>
      <c r="AE262" s="19">
        <f t="shared" si="34"/>
        <v>530.01341107871713</v>
      </c>
    </row>
    <row r="263" spans="1:31" x14ac:dyDescent="0.25">
      <c r="A263" s="10" t="s">
        <v>113</v>
      </c>
      <c r="B263" s="11">
        <v>46246.568078703705</v>
      </c>
      <c r="C263" s="12" t="s">
        <v>39</v>
      </c>
      <c r="D263" s="12" t="s">
        <v>288</v>
      </c>
      <c r="E263" s="13" t="str">
        <f t="shared" si="28"/>
        <v>LM-S758</v>
      </c>
      <c r="F263" s="14" t="str">
        <f t="shared" si="29"/>
        <v>BLC</v>
      </c>
      <c r="G263" s="14">
        <f>+VLOOKUP(F263,[1]base!A:B,2,0)</f>
        <v>1</v>
      </c>
      <c r="H263" s="14">
        <v>300</v>
      </c>
      <c r="I263" s="14">
        <v>300</v>
      </c>
      <c r="J263" s="14"/>
      <c r="K263" s="14" t="s">
        <v>33</v>
      </c>
      <c r="L263" s="14" t="s">
        <v>76</v>
      </c>
      <c r="M263" s="14" t="s">
        <v>77</v>
      </c>
      <c r="N263" s="14"/>
      <c r="O263" s="14"/>
      <c r="P263" s="14"/>
      <c r="Q263" s="14">
        <v>0</v>
      </c>
      <c r="R263" s="14">
        <v>0</v>
      </c>
      <c r="S263" s="14"/>
      <c r="T263" s="15">
        <v>300</v>
      </c>
      <c r="U263" s="16"/>
      <c r="V263" s="17">
        <v>460</v>
      </c>
      <c r="W263" s="17">
        <f t="shared" si="30"/>
        <v>138000</v>
      </c>
      <c r="X263" s="17">
        <f t="shared" si="31"/>
        <v>7176</v>
      </c>
      <c r="Y263" s="17">
        <v>465</v>
      </c>
      <c r="Z263" s="17">
        <f t="shared" si="32"/>
        <v>1</v>
      </c>
      <c r="AA263" s="17">
        <f t="shared" si="33"/>
        <v>6.6666666666666693E-2</v>
      </c>
      <c r="AB263" s="17">
        <f>+VLOOKUP(E263,[1]base!M:N,2,0)</f>
        <v>1989</v>
      </c>
      <c r="AC263" s="17">
        <f>+VLOOKUP(E263,[1]base!M:Q,5,0)</f>
        <v>1750.6</v>
      </c>
      <c r="AD263" s="18">
        <f>+VLOOKUP(E263,[1]base!M:P,4,0)</f>
        <v>3.3527696793002916E-2</v>
      </c>
      <c r="AE263" s="19">
        <f t="shared" si="34"/>
        <v>530.01341107871713</v>
      </c>
    </row>
    <row r="264" spans="1:31" x14ac:dyDescent="0.25">
      <c r="A264" s="10" t="s">
        <v>307</v>
      </c>
      <c r="B264" s="11">
        <v>46246.615624999999</v>
      </c>
      <c r="C264" s="12" t="s">
        <v>169</v>
      </c>
      <c r="D264" s="12" t="s">
        <v>288</v>
      </c>
      <c r="E264" s="13" t="str">
        <f t="shared" si="28"/>
        <v>LM-S758</v>
      </c>
      <c r="F264" s="14" t="str">
        <f t="shared" si="29"/>
        <v>BLC</v>
      </c>
      <c r="G264" s="14">
        <f>+VLOOKUP(F264,[1]base!A:B,2,0)</f>
        <v>1</v>
      </c>
      <c r="H264" s="14">
        <v>100</v>
      </c>
      <c r="I264" s="14">
        <v>100</v>
      </c>
      <c r="J264" s="14"/>
      <c r="K264" s="14" t="s">
        <v>33</v>
      </c>
      <c r="L264" s="14" t="s">
        <v>76</v>
      </c>
      <c r="M264" s="14" t="s">
        <v>77</v>
      </c>
      <c r="N264" s="14"/>
      <c r="O264" s="14"/>
      <c r="P264" s="14"/>
      <c r="Q264" s="14">
        <v>0</v>
      </c>
      <c r="R264" s="14">
        <v>0</v>
      </c>
      <c r="S264" s="14"/>
      <c r="T264" s="15">
        <v>100</v>
      </c>
      <c r="U264" s="16"/>
      <c r="V264" s="17">
        <v>462</v>
      </c>
      <c r="W264" s="17">
        <f t="shared" si="30"/>
        <v>46200</v>
      </c>
      <c r="X264" s="17">
        <f t="shared" si="31"/>
        <v>2402.4</v>
      </c>
      <c r="Y264" s="17">
        <v>467</v>
      </c>
      <c r="Z264" s="17">
        <f t="shared" si="32"/>
        <v>1</v>
      </c>
      <c r="AA264" s="17">
        <f t="shared" si="33"/>
        <v>6.6666666666666693E-2</v>
      </c>
      <c r="AB264" s="17">
        <f>+VLOOKUP(E264,[1]base!M:N,2,0)</f>
        <v>1989</v>
      </c>
      <c r="AC264" s="17">
        <f>+VLOOKUP(E264,[1]base!M:Q,5,0)</f>
        <v>1750.6</v>
      </c>
      <c r="AD264" s="18">
        <f>+VLOOKUP(E264,[1]base!M:P,4,0)</f>
        <v>3.3527696793002916E-2</v>
      </c>
      <c r="AE264" s="19">
        <f t="shared" si="34"/>
        <v>530.01341107871713</v>
      </c>
    </row>
    <row r="265" spans="1:31" x14ac:dyDescent="0.25">
      <c r="A265" s="10" t="s">
        <v>308</v>
      </c>
      <c r="B265" s="11">
        <v>46247.560312499998</v>
      </c>
      <c r="C265" s="12" t="s">
        <v>70</v>
      </c>
      <c r="D265" s="12" t="s">
        <v>288</v>
      </c>
      <c r="E265" s="13" t="str">
        <f t="shared" si="28"/>
        <v>LM-S758</v>
      </c>
      <c r="F265" s="14" t="str">
        <f t="shared" si="29"/>
        <v>BLC</v>
      </c>
      <c r="G265" s="14">
        <f>+VLOOKUP(F265,[1]base!A:B,2,0)</f>
        <v>1</v>
      </c>
      <c r="H265" s="14">
        <v>150</v>
      </c>
      <c r="I265" s="14">
        <v>150</v>
      </c>
      <c r="J265" s="14"/>
      <c r="K265" s="14" t="s">
        <v>33</v>
      </c>
      <c r="L265" s="14" t="s">
        <v>76</v>
      </c>
      <c r="M265" s="14" t="s">
        <v>77</v>
      </c>
      <c r="N265" s="14"/>
      <c r="O265" s="14"/>
      <c r="P265" s="14"/>
      <c r="Q265" s="14">
        <v>0</v>
      </c>
      <c r="R265" s="14">
        <v>0</v>
      </c>
      <c r="S265" s="14"/>
      <c r="T265" s="15">
        <v>150</v>
      </c>
      <c r="U265" s="16"/>
      <c r="V265" s="17">
        <v>469</v>
      </c>
      <c r="W265" s="17">
        <f t="shared" si="30"/>
        <v>70350</v>
      </c>
      <c r="X265" s="17">
        <f t="shared" si="31"/>
        <v>3658.2</v>
      </c>
      <c r="Y265" s="17">
        <v>474</v>
      </c>
      <c r="Z265" s="17">
        <f t="shared" si="32"/>
        <v>1</v>
      </c>
      <c r="AA265" s="17">
        <f t="shared" si="33"/>
        <v>6.6666666666666693E-2</v>
      </c>
      <c r="AB265" s="17">
        <f>+VLOOKUP(E265,[1]base!M:N,2,0)</f>
        <v>1989</v>
      </c>
      <c r="AC265" s="17">
        <f>+VLOOKUP(E265,[1]base!M:Q,5,0)</f>
        <v>1750.6</v>
      </c>
      <c r="AD265" s="18">
        <f>+VLOOKUP(E265,[1]base!M:P,4,0)</f>
        <v>3.3527696793002916E-2</v>
      </c>
      <c r="AE265" s="19">
        <f t="shared" si="34"/>
        <v>530.01341107871713</v>
      </c>
    </row>
    <row r="266" spans="1:31" x14ac:dyDescent="0.25">
      <c r="A266" s="10" t="s">
        <v>100</v>
      </c>
      <c r="B266" s="11">
        <v>46249.302256944444</v>
      </c>
      <c r="C266" s="12" t="s">
        <v>86</v>
      </c>
      <c r="D266" s="12" t="s">
        <v>288</v>
      </c>
      <c r="E266" s="13" t="str">
        <f t="shared" si="28"/>
        <v>LM-S758</v>
      </c>
      <c r="F266" s="14" t="str">
        <f t="shared" si="29"/>
        <v>BLC</v>
      </c>
      <c r="G266" s="14">
        <f>+VLOOKUP(F266,[1]base!A:B,2,0)</f>
        <v>1</v>
      </c>
      <c r="H266" s="14">
        <v>30</v>
      </c>
      <c r="I266" s="14">
        <v>30</v>
      </c>
      <c r="J266" s="14"/>
      <c r="K266" s="14" t="s">
        <v>33</v>
      </c>
      <c r="L266" s="14" t="s">
        <v>76</v>
      </c>
      <c r="M266" s="14" t="s">
        <v>77</v>
      </c>
      <c r="N266" s="14"/>
      <c r="O266" s="14"/>
      <c r="P266" s="14"/>
      <c r="Q266" s="14">
        <v>0</v>
      </c>
      <c r="R266" s="14">
        <v>0</v>
      </c>
      <c r="S266" s="14"/>
      <c r="T266" s="15">
        <v>30</v>
      </c>
      <c r="U266" s="16"/>
      <c r="V266" s="17">
        <v>495</v>
      </c>
      <c r="W266" s="17">
        <f t="shared" si="30"/>
        <v>14850</v>
      </c>
      <c r="X266" s="17">
        <f t="shared" si="31"/>
        <v>772.19999999999993</v>
      </c>
      <c r="Y266" s="17">
        <v>500</v>
      </c>
      <c r="Z266" s="17">
        <f t="shared" si="32"/>
        <v>1</v>
      </c>
      <c r="AA266" s="17">
        <f t="shared" si="33"/>
        <v>6.6666666666666693E-2</v>
      </c>
      <c r="AB266" s="17">
        <f>+VLOOKUP(E266,[1]base!M:N,2,0)</f>
        <v>1989</v>
      </c>
      <c r="AC266" s="17">
        <f>+VLOOKUP(E266,[1]base!M:Q,5,0)</f>
        <v>1750.6</v>
      </c>
      <c r="AD266" s="18">
        <f>+VLOOKUP(E266,[1]base!M:P,4,0)</f>
        <v>3.3527696793002916E-2</v>
      </c>
      <c r="AE266" s="19">
        <f t="shared" si="34"/>
        <v>530.01341107871713</v>
      </c>
    </row>
    <row r="267" spans="1:31" x14ac:dyDescent="0.25">
      <c r="A267" s="10" t="s">
        <v>140</v>
      </c>
      <c r="B267" s="11">
        <v>46249.409236111111</v>
      </c>
      <c r="C267" s="12" t="s">
        <v>31</v>
      </c>
      <c r="D267" s="12" t="s">
        <v>288</v>
      </c>
      <c r="E267" s="13" t="str">
        <f t="shared" si="28"/>
        <v>LM-S758</v>
      </c>
      <c r="F267" s="14" t="str">
        <f t="shared" si="29"/>
        <v>BLC</v>
      </c>
      <c r="G267" s="14">
        <f>+VLOOKUP(F267,[1]base!A:B,2,0)</f>
        <v>1</v>
      </c>
      <c r="H267" s="14">
        <v>150</v>
      </c>
      <c r="I267" s="14">
        <v>150</v>
      </c>
      <c r="J267" s="14"/>
      <c r="K267" s="14" t="s">
        <v>33</v>
      </c>
      <c r="L267" s="14" t="s">
        <v>76</v>
      </c>
      <c r="M267" s="14" t="s">
        <v>77</v>
      </c>
      <c r="N267" s="14"/>
      <c r="O267" s="14"/>
      <c r="P267" s="14"/>
      <c r="Q267" s="14">
        <v>0</v>
      </c>
      <c r="R267" s="14">
        <v>0</v>
      </c>
      <c r="S267" s="14"/>
      <c r="T267" s="15">
        <v>150</v>
      </c>
      <c r="U267" s="16"/>
      <c r="V267" s="17">
        <v>507</v>
      </c>
      <c r="W267" s="17">
        <f t="shared" si="30"/>
        <v>76050</v>
      </c>
      <c r="X267" s="17">
        <f t="shared" si="31"/>
        <v>3954.6</v>
      </c>
      <c r="Y267" s="17">
        <v>512</v>
      </c>
      <c r="Z267" s="17">
        <f t="shared" si="32"/>
        <v>1</v>
      </c>
      <c r="AA267" s="17">
        <f t="shared" si="33"/>
        <v>6.6666666666666693E-2</v>
      </c>
      <c r="AB267" s="17">
        <f>+VLOOKUP(E267,[1]base!M:N,2,0)</f>
        <v>1989</v>
      </c>
      <c r="AC267" s="17">
        <f>+VLOOKUP(E267,[1]base!M:Q,5,0)</f>
        <v>1750.6</v>
      </c>
      <c r="AD267" s="18">
        <f>+VLOOKUP(E267,[1]base!M:P,4,0)</f>
        <v>3.3527696793002916E-2</v>
      </c>
      <c r="AE267" s="19">
        <f t="shared" si="34"/>
        <v>530.01341107871713</v>
      </c>
    </row>
    <row r="268" spans="1:31" x14ac:dyDescent="0.25">
      <c r="A268" s="10" t="s">
        <v>125</v>
      </c>
      <c r="B268" s="11">
        <v>46253.521597222221</v>
      </c>
      <c r="C268" s="12" t="s">
        <v>126</v>
      </c>
      <c r="D268" s="12" t="s">
        <v>288</v>
      </c>
      <c r="E268" s="13" t="str">
        <f t="shared" si="28"/>
        <v>LM-S758</v>
      </c>
      <c r="F268" s="14" t="str">
        <f t="shared" si="29"/>
        <v>BLC</v>
      </c>
      <c r="G268" s="14">
        <f>+VLOOKUP(F268,[1]base!A:B,2,0)</f>
        <v>1</v>
      </c>
      <c r="H268" s="14">
        <v>150</v>
      </c>
      <c r="I268" s="14">
        <v>150</v>
      </c>
      <c r="J268" s="14"/>
      <c r="K268" s="14" t="s">
        <v>33</v>
      </c>
      <c r="L268" s="14" t="s">
        <v>76</v>
      </c>
      <c r="M268" s="14" t="s">
        <v>77</v>
      </c>
      <c r="N268" s="14"/>
      <c r="O268" s="14"/>
      <c r="P268" s="14"/>
      <c r="Q268" s="14">
        <v>0</v>
      </c>
      <c r="R268" s="14">
        <v>0</v>
      </c>
      <c r="S268" s="14"/>
      <c r="T268" s="15">
        <v>150</v>
      </c>
      <c r="U268" s="16"/>
      <c r="V268" s="17">
        <v>533</v>
      </c>
      <c r="W268" s="17">
        <f t="shared" si="30"/>
        <v>79950</v>
      </c>
      <c r="X268" s="17">
        <f t="shared" si="31"/>
        <v>4157.3999999999996</v>
      </c>
      <c r="Y268" s="17">
        <v>538</v>
      </c>
      <c r="Z268" s="17">
        <f t="shared" si="32"/>
        <v>1</v>
      </c>
      <c r="AA268" s="17">
        <f t="shared" si="33"/>
        <v>6.6666666666666693E-2</v>
      </c>
      <c r="AB268" s="17">
        <f>+VLOOKUP(E268,[1]base!M:N,2,0)</f>
        <v>1989</v>
      </c>
      <c r="AC268" s="17">
        <f>+VLOOKUP(E268,[1]base!M:Q,5,0)</f>
        <v>1750.6</v>
      </c>
      <c r="AD268" s="18">
        <f>+VLOOKUP(E268,[1]base!M:P,4,0)</f>
        <v>3.3527696793002916E-2</v>
      </c>
      <c r="AE268" s="19">
        <f t="shared" si="34"/>
        <v>530.01341107871713</v>
      </c>
    </row>
    <row r="269" spans="1:31" x14ac:dyDescent="0.25">
      <c r="A269" s="10" t="s">
        <v>309</v>
      </c>
      <c r="B269" s="11">
        <v>46254.343506944446</v>
      </c>
      <c r="C269" s="12" t="s">
        <v>57</v>
      </c>
      <c r="D269" s="12" t="s">
        <v>288</v>
      </c>
      <c r="E269" s="13" t="str">
        <f t="shared" si="28"/>
        <v>LM-S758</v>
      </c>
      <c r="F269" s="14" t="str">
        <f t="shared" si="29"/>
        <v>BLC</v>
      </c>
      <c r="G269" s="14">
        <f>+VLOOKUP(F269,[1]base!A:B,2,0)</f>
        <v>1</v>
      </c>
      <c r="H269" s="14">
        <v>150</v>
      </c>
      <c r="I269" s="14">
        <v>150</v>
      </c>
      <c r="J269" s="14"/>
      <c r="K269" s="14" t="s">
        <v>33</v>
      </c>
      <c r="L269" s="14" t="s">
        <v>76</v>
      </c>
      <c r="M269" s="14" t="s">
        <v>77</v>
      </c>
      <c r="N269" s="14"/>
      <c r="O269" s="14"/>
      <c r="P269" s="14"/>
      <c r="Q269" s="14">
        <v>0</v>
      </c>
      <c r="R269" s="14">
        <v>0</v>
      </c>
      <c r="S269" s="14"/>
      <c r="T269" s="15">
        <v>150</v>
      </c>
      <c r="U269" s="16"/>
      <c r="V269" s="17">
        <v>539</v>
      </c>
      <c r="W269" s="17">
        <f t="shared" si="30"/>
        <v>80850</v>
      </c>
      <c r="X269" s="17">
        <f t="shared" si="31"/>
        <v>4204.2</v>
      </c>
      <c r="Y269" s="17">
        <v>544</v>
      </c>
      <c r="Z269" s="17">
        <f t="shared" si="32"/>
        <v>1</v>
      </c>
      <c r="AA269" s="17">
        <f t="shared" si="33"/>
        <v>6.6666666666666693E-2</v>
      </c>
      <c r="AB269" s="17">
        <f>+VLOOKUP(E269,[1]base!M:N,2,0)</f>
        <v>1989</v>
      </c>
      <c r="AC269" s="17">
        <f>+VLOOKUP(E269,[1]base!M:Q,5,0)</f>
        <v>1750.6</v>
      </c>
      <c r="AD269" s="18">
        <f>+VLOOKUP(E269,[1]base!M:P,4,0)</f>
        <v>3.3527696793002916E-2</v>
      </c>
      <c r="AE269" s="19">
        <f t="shared" si="34"/>
        <v>530.01341107871713</v>
      </c>
    </row>
    <row r="270" spans="1:31" x14ac:dyDescent="0.25">
      <c r="A270" s="10" t="s">
        <v>310</v>
      </c>
      <c r="B270" s="11">
        <v>46255.341967592591</v>
      </c>
      <c r="C270" s="12" t="s">
        <v>143</v>
      </c>
      <c r="D270" s="12" t="s">
        <v>288</v>
      </c>
      <c r="E270" s="13" t="str">
        <f t="shared" si="28"/>
        <v>LM-S758</v>
      </c>
      <c r="F270" s="14" t="str">
        <f t="shared" si="29"/>
        <v>BLC</v>
      </c>
      <c r="G270" s="14">
        <f>+VLOOKUP(F270,[1]base!A:B,2,0)</f>
        <v>1</v>
      </c>
      <c r="H270" s="14">
        <v>50</v>
      </c>
      <c r="I270" s="14">
        <v>40</v>
      </c>
      <c r="J270" s="14"/>
      <c r="K270" s="14" t="s">
        <v>33</v>
      </c>
      <c r="L270" s="14" t="s">
        <v>76</v>
      </c>
      <c r="M270" s="14" t="s">
        <v>77</v>
      </c>
      <c r="N270" s="14"/>
      <c r="O270" s="14"/>
      <c r="P270" s="14"/>
      <c r="Q270" s="14">
        <v>0</v>
      </c>
      <c r="R270" s="14">
        <v>0</v>
      </c>
      <c r="S270" s="14"/>
      <c r="T270" s="15">
        <v>40</v>
      </c>
      <c r="U270" s="16"/>
      <c r="V270" s="17">
        <v>558</v>
      </c>
      <c r="W270" s="17">
        <f t="shared" si="30"/>
        <v>22320</v>
      </c>
      <c r="X270" s="17">
        <f t="shared" si="31"/>
        <v>1160.6399999999999</v>
      </c>
      <c r="Y270" s="17">
        <v>563</v>
      </c>
      <c r="Z270" s="17">
        <f t="shared" si="32"/>
        <v>1</v>
      </c>
      <c r="AA270" s="17">
        <f t="shared" si="33"/>
        <v>6.6666666666666693E-2</v>
      </c>
      <c r="AB270" s="17">
        <f>+VLOOKUP(E270,[1]base!M:N,2,0)</f>
        <v>1989</v>
      </c>
      <c r="AC270" s="17">
        <f>+VLOOKUP(E270,[1]base!M:Q,5,0)</f>
        <v>1750.6</v>
      </c>
      <c r="AD270" s="18">
        <f>+VLOOKUP(E270,[1]base!M:P,4,0)</f>
        <v>3.3527696793002916E-2</v>
      </c>
      <c r="AE270" s="19">
        <f t="shared" si="34"/>
        <v>530.01341107871713</v>
      </c>
    </row>
    <row r="271" spans="1:31" x14ac:dyDescent="0.25">
      <c r="A271" s="10" t="s">
        <v>311</v>
      </c>
      <c r="B271" s="11">
        <v>46255.559039351851</v>
      </c>
      <c r="C271" s="12" t="s">
        <v>304</v>
      </c>
      <c r="D271" s="12" t="s">
        <v>288</v>
      </c>
      <c r="E271" s="13" t="str">
        <f t="shared" si="28"/>
        <v>LM-S758</v>
      </c>
      <c r="F271" s="14" t="str">
        <f t="shared" si="29"/>
        <v>BLC</v>
      </c>
      <c r="G271" s="14">
        <f>+VLOOKUP(F271,[1]base!A:B,2,0)</f>
        <v>1</v>
      </c>
      <c r="H271" s="14">
        <v>50</v>
      </c>
      <c r="I271" s="14">
        <v>50</v>
      </c>
      <c r="J271" s="14"/>
      <c r="K271" s="14" t="s">
        <v>33</v>
      </c>
      <c r="L271" s="14" t="s">
        <v>76</v>
      </c>
      <c r="M271" s="14" t="s">
        <v>77</v>
      </c>
      <c r="N271" s="14"/>
      <c r="O271" s="14"/>
      <c r="P271" s="14"/>
      <c r="Q271" s="14">
        <v>0</v>
      </c>
      <c r="R271" s="14">
        <v>0</v>
      </c>
      <c r="S271" s="14"/>
      <c r="T271" s="15">
        <v>50</v>
      </c>
      <c r="U271" s="16"/>
      <c r="V271" s="17">
        <v>562</v>
      </c>
      <c r="W271" s="17">
        <f t="shared" si="30"/>
        <v>28100</v>
      </c>
      <c r="X271" s="17">
        <f t="shared" si="31"/>
        <v>1461.2</v>
      </c>
      <c r="Y271" s="17">
        <v>567</v>
      </c>
      <c r="Z271" s="17">
        <f t="shared" si="32"/>
        <v>1</v>
      </c>
      <c r="AA271" s="17">
        <f t="shared" si="33"/>
        <v>6.6666666666666693E-2</v>
      </c>
      <c r="AB271" s="17">
        <f>+VLOOKUP(E271,[1]base!M:N,2,0)</f>
        <v>1989</v>
      </c>
      <c r="AC271" s="17">
        <f>+VLOOKUP(E271,[1]base!M:Q,5,0)</f>
        <v>1750.6</v>
      </c>
      <c r="AD271" s="18">
        <f>+VLOOKUP(E271,[1]base!M:P,4,0)</f>
        <v>3.3527696793002916E-2</v>
      </c>
      <c r="AE271" s="19">
        <f t="shared" si="34"/>
        <v>530.01341107871713</v>
      </c>
    </row>
    <row r="272" spans="1:31" x14ac:dyDescent="0.25">
      <c r="A272" s="10" t="s">
        <v>162</v>
      </c>
      <c r="B272" s="11">
        <v>46266.406585648147</v>
      </c>
      <c r="C272" s="12" t="s">
        <v>102</v>
      </c>
      <c r="D272" s="12" t="s">
        <v>288</v>
      </c>
      <c r="E272" s="13" t="str">
        <f t="shared" si="28"/>
        <v>LM-S758</v>
      </c>
      <c r="F272" s="14" t="str">
        <f t="shared" si="29"/>
        <v>BLC</v>
      </c>
      <c r="G272" s="14">
        <f>+VLOOKUP(F272,[1]base!A:B,2,0)</f>
        <v>1</v>
      </c>
      <c r="H272" s="14">
        <v>200</v>
      </c>
      <c r="I272" s="14">
        <v>200</v>
      </c>
      <c r="J272" s="14"/>
      <c r="K272" s="14" t="s">
        <v>33</v>
      </c>
      <c r="L272" s="14" t="s">
        <v>76</v>
      </c>
      <c r="M272" s="14" t="s">
        <v>77</v>
      </c>
      <c r="N272" s="14"/>
      <c r="O272" s="14"/>
      <c r="P272" s="14"/>
      <c r="Q272" s="14">
        <v>0</v>
      </c>
      <c r="R272" s="14">
        <v>0</v>
      </c>
      <c r="S272" s="14"/>
      <c r="T272" s="15">
        <v>200</v>
      </c>
      <c r="U272" s="16"/>
      <c r="V272" s="17">
        <v>886</v>
      </c>
      <c r="W272" s="17">
        <f t="shared" si="30"/>
        <v>177200</v>
      </c>
      <c r="X272" s="17">
        <f t="shared" si="31"/>
        <v>9214.4</v>
      </c>
      <c r="Y272" s="17">
        <v>891</v>
      </c>
      <c r="Z272" s="17">
        <f t="shared" si="32"/>
        <v>1</v>
      </c>
      <c r="AA272" s="17">
        <f t="shared" si="33"/>
        <v>6.6666666666666693E-2</v>
      </c>
      <c r="AB272" s="17">
        <f>+VLOOKUP(E272,[1]base!M:N,2,0)</f>
        <v>1989</v>
      </c>
      <c r="AC272" s="17">
        <f>+VLOOKUP(E272,[1]base!M:Q,5,0)</f>
        <v>1750.6</v>
      </c>
      <c r="AD272" s="18">
        <f>+VLOOKUP(E272,[1]base!M:P,4,0)</f>
        <v>3.3527696793002916E-2</v>
      </c>
      <c r="AE272" s="19">
        <f t="shared" si="34"/>
        <v>530.01341107871713</v>
      </c>
    </row>
    <row r="273" spans="1:31" x14ac:dyDescent="0.25">
      <c r="A273" s="10" t="s">
        <v>260</v>
      </c>
      <c r="B273" s="11">
        <v>46225.543773148151</v>
      </c>
      <c r="C273" s="12" t="s">
        <v>88</v>
      </c>
      <c r="D273" s="12" t="s">
        <v>312</v>
      </c>
      <c r="E273" s="13" t="str">
        <f t="shared" si="28"/>
        <v>FR404</v>
      </c>
      <c r="F273" s="14" t="str">
        <f t="shared" si="29"/>
        <v>BLC</v>
      </c>
      <c r="G273" s="14">
        <f>+VLOOKUP(F273,[1]base!A:B,2,0)</f>
        <v>1</v>
      </c>
      <c r="H273" s="14">
        <v>48</v>
      </c>
      <c r="I273" s="14">
        <v>48</v>
      </c>
      <c r="J273" s="14"/>
      <c r="K273" s="14" t="s">
        <v>72</v>
      </c>
      <c r="L273" s="14" t="s">
        <v>76</v>
      </c>
      <c r="M273" s="14" t="s">
        <v>77</v>
      </c>
      <c r="N273" s="14"/>
      <c r="O273" s="14"/>
      <c r="P273" s="14"/>
      <c r="Q273" s="14">
        <v>36</v>
      </c>
      <c r="R273" s="14">
        <v>0</v>
      </c>
      <c r="S273" s="14">
        <v>38</v>
      </c>
      <c r="T273" s="15">
        <v>48</v>
      </c>
      <c r="U273" s="16"/>
      <c r="V273" s="17">
        <v>196</v>
      </c>
      <c r="W273" s="17">
        <f t="shared" si="30"/>
        <v>9408</v>
      </c>
      <c r="X273" s="17">
        <f t="shared" si="31"/>
        <v>489.21599999999995</v>
      </c>
      <c r="Y273" s="17">
        <v>201</v>
      </c>
      <c r="Z273" s="17">
        <f t="shared" si="32"/>
        <v>1</v>
      </c>
      <c r="AA273" s="17">
        <f t="shared" si="33"/>
        <v>6.6666666666666693E-2</v>
      </c>
      <c r="AB273" s="17">
        <f>+VLOOKUP(E273,[1]base!M:N,2,0)</f>
        <v>2331</v>
      </c>
      <c r="AC273" s="17">
        <f>+VLOOKUP(E273,[1]base!M:Q,5,0)</f>
        <v>578.90909090909088</v>
      </c>
      <c r="AD273" s="18">
        <f>+VLOOKUP(E273,[1]base!M:P,4,0)</f>
        <v>7.0203430394894295E-2</v>
      </c>
      <c r="AE273" s="19">
        <f t="shared" si="34"/>
        <v>535.65580374950139</v>
      </c>
    </row>
    <row r="274" spans="1:31" x14ac:dyDescent="0.25">
      <c r="A274" s="10" t="s">
        <v>111</v>
      </c>
      <c r="B274" s="11">
        <v>46240.550856481481</v>
      </c>
      <c r="C274" s="12" t="s">
        <v>112</v>
      </c>
      <c r="D274" s="12" t="s">
        <v>312</v>
      </c>
      <c r="E274" s="13" t="str">
        <f t="shared" si="28"/>
        <v>FR404</v>
      </c>
      <c r="F274" s="14" t="str">
        <f t="shared" si="29"/>
        <v>BLC</v>
      </c>
      <c r="G274" s="14">
        <f>+VLOOKUP(F274,[1]base!A:B,2,0)</f>
        <v>1</v>
      </c>
      <c r="H274" s="14">
        <v>20</v>
      </c>
      <c r="I274" s="14">
        <v>20</v>
      </c>
      <c r="J274" s="14"/>
      <c r="K274" s="14" t="s">
        <v>33</v>
      </c>
      <c r="L274" s="14" t="s">
        <v>76</v>
      </c>
      <c r="M274" s="14" t="s">
        <v>77</v>
      </c>
      <c r="N274" s="14"/>
      <c r="O274" s="14"/>
      <c r="P274" s="14"/>
      <c r="Q274" s="14">
        <v>0</v>
      </c>
      <c r="R274" s="14">
        <v>0</v>
      </c>
      <c r="S274" s="14"/>
      <c r="T274" s="15">
        <v>20</v>
      </c>
      <c r="U274" s="16"/>
      <c r="V274" s="17">
        <v>405</v>
      </c>
      <c r="W274" s="17">
        <f t="shared" si="30"/>
        <v>8100</v>
      </c>
      <c r="X274" s="17">
        <f t="shared" si="31"/>
        <v>421.2</v>
      </c>
      <c r="Y274" s="17">
        <v>410</v>
      </c>
      <c r="Z274" s="17">
        <f t="shared" si="32"/>
        <v>1</v>
      </c>
      <c r="AA274" s="17">
        <f t="shared" si="33"/>
        <v>6.6666666666666693E-2</v>
      </c>
      <c r="AB274" s="17">
        <f>+VLOOKUP(E274,[1]base!M:N,2,0)</f>
        <v>2331</v>
      </c>
      <c r="AC274" s="17">
        <f>+VLOOKUP(E274,[1]base!M:Q,5,0)</f>
        <v>578.90909090909088</v>
      </c>
      <c r="AD274" s="18">
        <f>+VLOOKUP(E274,[1]base!M:P,4,0)</f>
        <v>7.0203430394894295E-2</v>
      </c>
      <c r="AE274" s="19">
        <f t="shared" si="34"/>
        <v>535.65580374950139</v>
      </c>
    </row>
    <row r="275" spans="1:31" x14ac:dyDescent="0.25">
      <c r="A275" s="10" t="s">
        <v>285</v>
      </c>
      <c r="B275" s="11">
        <v>46262.577372685184</v>
      </c>
      <c r="C275" s="12" t="s">
        <v>262</v>
      </c>
      <c r="D275" s="12" t="s">
        <v>312</v>
      </c>
      <c r="E275" s="13" t="str">
        <f t="shared" si="28"/>
        <v>FR404</v>
      </c>
      <c r="F275" s="14" t="str">
        <f t="shared" si="29"/>
        <v>BLC</v>
      </c>
      <c r="G275" s="14">
        <f>+VLOOKUP(F275,[1]base!A:B,2,0)</f>
        <v>1</v>
      </c>
      <c r="H275" s="14">
        <v>30</v>
      </c>
      <c r="I275" s="14">
        <v>30</v>
      </c>
      <c r="J275" s="14"/>
      <c r="K275" s="14" t="s">
        <v>33</v>
      </c>
      <c r="L275" s="14" t="s">
        <v>76</v>
      </c>
      <c r="M275" s="14" t="s">
        <v>77</v>
      </c>
      <c r="N275" s="14"/>
      <c r="O275" s="14"/>
      <c r="P275" s="14"/>
      <c r="Q275" s="14">
        <v>0</v>
      </c>
      <c r="R275" s="14">
        <v>0</v>
      </c>
      <c r="S275" s="14"/>
      <c r="T275" s="15">
        <v>30</v>
      </c>
      <c r="U275" s="16"/>
      <c r="V275" s="17">
        <v>733</v>
      </c>
      <c r="W275" s="17">
        <f t="shared" si="30"/>
        <v>21990</v>
      </c>
      <c r="X275" s="17">
        <f t="shared" si="31"/>
        <v>1143.48</v>
      </c>
      <c r="Y275" s="17">
        <v>738</v>
      </c>
      <c r="Z275" s="17">
        <f t="shared" si="32"/>
        <v>1</v>
      </c>
      <c r="AA275" s="17">
        <f t="shared" si="33"/>
        <v>6.6666666666666693E-2</v>
      </c>
      <c r="AB275" s="17">
        <f>+VLOOKUP(E275,[1]base!M:N,2,0)</f>
        <v>2331</v>
      </c>
      <c r="AC275" s="17">
        <f>+VLOOKUP(E275,[1]base!M:Q,5,0)</f>
        <v>578.90909090909088</v>
      </c>
      <c r="AD275" s="18">
        <f>+VLOOKUP(E275,[1]base!M:P,4,0)</f>
        <v>7.0203430394894295E-2</v>
      </c>
      <c r="AE275" s="19">
        <f t="shared" si="34"/>
        <v>535.65580374950139</v>
      </c>
    </row>
    <row r="276" spans="1:31" x14ac:dyDescent="0.25">
      <c r="A276" s="10" t="s">
        <v>263</v>
      </c>
      <c r="B276" s="11">
        <v>46265.519386574073</v>
      </c>
      <c r="C276" s="12" t="s">
        <v>258</v>
      </c>
      <c r="D276" s="12" t="s">
        <v>312</v>
      </c>
      <c r="E276" s="13" t="str">
        <f t="shared" si="28"/>
        <v>FR404</v>
      </c>
      <c r="F276" s="14" t="str">
        <f t="shared" si="29"/>
        <v>BLC</v>
      </c>
      <c r="G276" s="14">
        <f>+VLOOKUP(F276,[1]base!A:B,2,0)</f>
        <v>1</v>
      </c>
      <c r="H276" s="14">
        <v>8</v>
      </c>
      <c r="I276" s="14">
        <v>8</v>
      </c>
      <c r="J276" s="14"/>
      <c r="K276" s="14" t="s">
        <v>33</v>
      </c>
      <c r="L276" s="14" t="s">
        <v>76</v>
      </c>
      <c r="M276" s="14" t="s">
        <v>77</v>
      </c>
      <c r="N276" s="14"/>
      <c r="O276" s="14"/>
      <c r="P276" s="14"/>
      <c r="Q276" s="14">
        <v>0</v>
      </c>
      <c r="R276" s="14">
        <v>0</v>
      </c>
      <c r="S276" s="14"/>
      <c r="T276" s="15">
        <v>8</v>
      </c>
      <c r="U276" s="16"/>
      <c r="V276" s="17">
        <v>846</v>
      </c>
      <c r="W276" s="17">
        <f t="shared" si="30"/>
        <v>6768</v>
      </c>
      <c r="X276" s="17">
        <f t="shared" si="31"/>
        <v>351.93599999999998</v>
      </c>
      <c r="Y276" s="17">
        <v>851</v>
      </c>
      <c r="Z276" s="17">
        <f t="shared" si="32"/>
        <v>1</v>
      </c>
      <c r="AA276" s="17">
        <f t="shared" si="33"/>
        <v>6.6666666666666693E-2</v>
      </c>
      <c r="AB276" s="17">
        <f>+VLOOKUP(E276,[1]base!M:N,2,0)</f>
        <v>2331</v>
      </c>
      <c r="AC276" s="17">
        <f>+VLOOKUP(E276,[1]base!M:Q,5,0)</f>
        <v>578.90909090909088</v>
      </c>
      <c r="AD276" s="18">
        <f>+VLOOKUP(E276,[1]base!M:P,4,0)</f>
        <v>7.0203430394894295E-2</v>
      </c>
      <c r="AE276" s="19">
        <f t="shared" si="34"/>
        <v>535.65580374950139</v>
      </c>
    </row>
    <row r="277" spans="1:31" x14ac:dyDescent="0.25">
      <c r="A277" s="10" t="s">
        <v>198</v>
      </c>
      <c r="B277" s="11">
        <v>46267.323807870373</v>
      </c>
      <c r="C277" s="12" t="s">
        <v>199</v>
      </c>
      <c r="D277" s="12" t="s">
        <v>312</v>
      </c>
      <c r="E277" s="13" t="str">
        <f t="shared" si="28"/>
        <v>FR404</v>
      </c>
      <c r="F277" s="14" t="str">
        <f t="shared" si="29"/>
        <v>BLC</v>
      </c>
      <c r="G277" s="14">
        <f>+VLOOKUP(F277,[1]base!A:B,2,0)</f>
        <v>1</v>
      </c>
      <c r="H277" s="14">
        <v>60</v>
      </c>
      <c r="I277" s="14">
        <v>60</v>
      </c>
      <c r="J277" s="14"/>
      <c r="K277" s="14" t="s">
        <v>33</v>
      </c>
      <c r="L277" s="14" t="s">
        <v>76</v>
      </c>
      <c r="M277" s="14" t="s">
        <v>77</v>
      </c>
      <c r="N277" s="14"/>
      <c r="O277" s="14"/>
      <c r="P277" s="14"/>
      <c r="Q277" s="14">
        <v>0</v>
      </c>
      <c r="R277" s="14">
        <v>0</v>
      </c>
      <c r="S277" s="14">
        <v>20</v>
      </c>
      <c r="T277" s="15">
        <v>60</v>
      </c>
      <c r="U277" s="16"/>
      <c r="V277" s="17">
        <v>1002</v>
      </c>
      <c r="W277" s="17">
        <f t="shared" si="30"/>
        <v>60120</v>
      </c>
      <c r="X277" s="17">
        <f t="shared" si="31"/>
        <v>3126.24</v>
      </c>
      <c r="Y277" s="17">
        <v>1007</v>
      </c>
      <c r="Z277" s="17">
        <f t="shared" si="32"/>
        <v>1</v>
      </c>
      <c r="AA277" s="17">
        <f t="shared" si="33"/>
        <v>6.6666666666666693E-2</v>
      </c>
      <c r="AB277" s="17">
        <f>+VLOOKUP(E277,[1]base!M:N,2,0)</f>
        <v>2331</v>
      </c>
      <c r="AC277" s="17">
        <f>+VLOOKUP(E277,[1]base!M:Q,5,0)</f>
        <v>578.90909090909088</v>
      </c>
      <c r="AD277" s="18">
        <f>+VLOOKUP(E277,[1]base!M:P,4,0)</f>
        <v>7.0203430394894295E-2</v>
      </c>
      <c r="AE277" s="19">
        <f t="shared" si="34"/>
        <v>535.65580374950139</v>
      </c>
    </row>
    <row r="278" spans="1:31" x14ac:dyDescent="0.25">
      <c r="A278" s="10" t="s">
        <v>117</v>
      </c>
      <c r="B278" s="11">
        <v>46261.508750000001</v>
      </c>
      <c r="C278" s="12" t="s">
        <v>86</v>
      </c>
      <c r="D278" s="12" t="s">
        <v>313</v>
      </c>
      <c r="E278" s="13" t="str">
        <f t="shared" si="28"/>
        <v>FSQ139</v>
      </c>
      <c r="F278" s="14" t="str">
        <f t="shared" si="29"/>
        <v>BLC</v>
      </c>
      <c r="G278" s="14">
        <f>+VLOOKUP(F278,[1]base!A:B,2,0)</f>
        <v>1</v>
      </c>
      <c r="H278" s="14">
        <v>10</v>
      </c>
      <c r="I278" s="14">
        <v>10</v>
      </c>
      <c r="J278" s="14"/>
      <c r="K278" s="14" t="s">
        <v>33</v>
      </c>
      <c r="L278" s="14" t="s">
        <v>314</v>
      </c>
      <c r="M278" s="14" t="s">
        <v>35</v>
      </c>
      <c r="N278" s="14">
        <v>10</v>
      </c>
      <c r="O278" s="14">
        <v>10</v>
      </c>
      <c r="P278" s="14">
        <v>0</v>
      </c>
      <c r="Q278" s="14">
        <v>0</v>
      </c>
      <c r="R278" s="14">
        <v>1</v>
      </c>
      <c r="S278" s="14"/>
      <c r="T278" s="15">
        <v>10</v>
      </c>
      <c r="U278" s="16"/>
      <c r="V278" s="17">
        <v>698</v>
      </c>
      <c r="W278" s="17">
        <f t="shared" si="30"/>
        <v>6980</v>
      </c>
      <c r="X278" s="17">
        <f t="shared" si="31"/>
        <v>362.96</v>
      </c>
      <c r="Y278" s="17">
        <v>703</v>
      </c>
      <c r="Z278" s="17">
        <f t="shared" si="32"/>
        <v>1</v>
      </c>
      <c r="AA278" s="17">
        <f t="shared" si="33"/>
        <v>6.6666666666666693E-2</v>
      </c>
      <c r="AB278" s="17">
        <f>+VLOOKUP(E278,[1]base!M:N,2,0)</f>
        <v>2404</v>
      </c>
      <c r="AC278" s="17">
        <f>+VLOOKUP(E278,[1]base!M:Q,5,0)</f>
        <v>157.22222222222223</v>
      </c>
      <c r="AD278" s="18">
        <f>+VLOOKUP(E278,[1]base!M:P,4,0)</f>
        <v>5.7899090157154673E-3</v>
      </c>
      <c r="AE278" s="19">
        <f t="shared" si="34"/>
        <v>707.28105872621995</v>
      </c>
    </row>
    <row r="279" spans="1:31" x14ac:dyDescent="0.25">
      <c r="A279" s="10" t="s">
        <v>111</v>
      </c>
      <c r="B279" s="11">
        <v>46240.550856481481</v>
      </c>
      <c r="C279" s="12" t="s">
        <v>112</v>
      </c>
      <c r="D279" s="12" t="s">
        <v>315</v>
      </c>
      <c r="E279" s="13" t="str">
        <f t="shared" si="28"/>
        <v>LM-F/6</v>
      </c>
      <c r="F279" s="14" t="str">
        <f t="shared" si="29"/>
        <v>BLC</v>
      </c>
      <c r="G279" s="14">
        <f>+VLOOKUP(F279,[1]base!A:B,2,0)</f>
        <v>1</v>
      </c>
      <c r="H279" s="14">
        <v>50</v>
      </c>
      <c r="I279" s="14">
        <v>50</v>
      </c>
      <c r="J279" s="14"/>
      <c r="K279" s="14" t="s">
        <v>33</v>
      </c>
      <c r="L279" s="14" t="s">
        <v>76</v>
      </c>
      <c r="M279" s="14" t="s">
        <v>77</v>
      </c>
      <c r="N279" s="14"/>
      <c r="O279" s="14"/>
      <c r="P279" s="14"/>
      <c r="Q279" s="14">
        <v>0</v>
      </c>
      <c r="R279" s="14">
        <v>4</v>
      </c>
      <c r="S279" s="14"/>
      <c r="T279" s="15">
        <v>50</v>
      </c>
      <c r="U279" s="16"/>
      <c r="V279" s="17">
        <v>413</v>
      </c>
      <c r="W279" s="17">
        <f t="shared" si="30"/>
        <v>20650</v>
      </c>
      <c r="X279" s="17">
        <f t="shared" si="31"/>
        <v>1073.8</v>
      </c>
      <c r="Y279" s="17">
        <v>418</v>
      </c>
      <c r="Z279" s="17">
        <f t="shared" si="32"/>
        <v>1</v>
      </c>
      <c r="AA279" s="17">
        <f t="shared" si="33"/>
        <v>6.6666666666666693E-2</v>
      </c>
      <c r="AB279" s="17">
        <f>+VLOOKUP(E279,[1]base!M:N,2,0)</f>
        <v>4160</v>
      </c>
      <c r="AC279" s="17">
        <f>+VLOOKUP(E279,[1]base!M:Q,5,0)</f>
        <v>1927.6</v>
      </c>
      <c r="AD279" s="18">
        <f>+VLOOKUP(E279,[1]base!M:P,4,0)</f>
        <v>-4.4379084967320264</v>
      </c>
      <c r="AE279" s="19">
        <f t="shared" si="34"/>
        <v>19709.699346405228</v>
      </c>
    </row>
    <row r="280" spans="1:31" x14ac:dyDescent="0.25">
      <c r="A280" s="10" t="s">
        <v>94</v>
      </c>
      <c r="B280" s="11">
        <v>46266.490532407406</v>
      </c>
      <c r="C280" s="12" t="s">
        <v>95</v>
      </c>
      <c r="D280" s="12" t="s">
        <v>315</v>
      </c>
      <c r="E280" s="13" t="str">
        <f t="shared" si="28"/>
        <v>LM-F/6</v>
      </c>
      <c r="F280" s="14" t="str">
        <f t="shared" si="29"/>
        <v>BLC</v>
      </c>
      <c r="G280" s="14">
        <f>+VLOOKUP(F280,[1]base!A:B,2,0)</f>
        <v>1</v>
      </c>
      <c r="H280" s="14">
        <v>30</v>
      </c>
      <c r="I280" s="14">
        <v>30</v>
      </c>
      <c r="J280" s="14"/>
      <c r="K280" s="14" t="s">
        <v>33</v>
      </c>
      <c r="L280" s="14" t="s">
        <v>76</v>
      </c>
      <c r="M280" s="14" t="s">
        <v>77</v>
      </c>
      <c r="N280" s="14"/>
      <c r="O280" s="14"/>
      <c r="P280" s="14"/>
      <c r="Q280" s="14">
        <v>0</v>
      </c>
      <c r="R280" s="14">
        <v>4</v>
      </c>
      <c r="S280" s="14"/>
      <c r="T280" s="15">
        <v>30</v>
      </c>
      <c r="U280" s="16"/>
      <c r="V280" s="17">
        <v>945</v>
      </c>
      <c r="W280" s="17">
        <f t="shared" si="30"/>
        <v>28350</v>
      </c>
      <c r="X280" s="17">
        <f t="shared" si="31"/>
        <v>1474.2</v>
      </c>
      <c r="Y280" s="17">
        <v>950</v>
      </c>
      <c r="Z280" s="17">
        <f t="shared" si="32"/>
        <v>1</v>
      </c>
      <c r="AA280" s="17">
        <f t="shared" si="33"/>
        <v>6.6666666666666693E-2</v>
      </c>
      <c r="AB280" s="17">
        <f>+VLOOKUP(E280,[1]base!M:N,2,0)</f>
        <v>4160</v>
      </c>
      <c r="AC280" s="17">
        <f>+VLOOKUP(E280,[1]base!M:Q,5,0)</f>
        <v>1927.6</v>
      </c>
      <c r="AD280" s="18">
        <f>+VLOOKUP(E280,[1]base!M:P,4,0)</f>
        <v>-4.4379084967320264</v>
      </c>
      <c r="AE280" s="19">
        <f t="shared" si="34"/>
        <v>19709.699346405228</v>
      </c>
    </row>
    <row r="281" spans="1:31" x14ac:dyDescent="0.25">
      <c r="A281" s="20" t="s">
        <v>171</v>
      </c>
      <c r="B281" s="11">
        <v>46132.367129629631</v>
      </c>
      <c r="C281" s="12" t="s">
        <v>31</v>
      </c>
      <c r="D281" s="12" t="s">
        <v>316</v>
      </c>
      <c r="E281" s="13" t="str">
        <f t="shared" si="28"/>
        <v>EC40107</v>
      </c>
      <c r="F281" s="14" t="str">
        <f t="shared" si="29"/>
        <v>BLC</v>
      </c>
      <c r="G281" s="14">
        <f>+VLOOKUP(F281,[1]base!A:B,2,0)</f>
        <v>1</v>
      </c>
      <c r="H281" s="14">
        <v>60</v>
      </c>
      <c r="I281" s="14">
        <v>60</v>
      </c>
      <c r="J281" s="14"/>
      <c r="K281" s="14" t="s">
        <v>33</v>
      </c>
      <c r="L281" s="14" t="s">
        <v>76</v>
      </c>
      <c r="M281" s="14" t="s">
        <v>77</v>
      </c>
      <c r="N281" s="14"/>
      <c r="O281" s="14"/>
      <c r="P281" s="14"/>
      <c r="Q281" s="14">
        <v>0</v>
      </c>
      <c r="R281" s="14">
        <v>499</v>
      </c>
      <c r="S281" s="14"/>
      <c r="T281" s="15">
        <v>60</v>
      </c>
      <c r="U281" s="16"/>
      <c r="V281" s="17">
        <v>5</v>
      </c>
      <c r="W281" s="17">
        <f t="shared" si="30"/>
        <v>300</v>
      </c>
      <c r="X281" s="17">
        <f t="shared" si="31"/>
        <v>15.6</v>
      </c>
      <c r="Y281" s="17">
        <v>10</v>
      </c>
      <c r="Z281" s="17">
        <f t="shared" si="32"/>
        <v>6</v>
      </c>
      <c r="AA281" s="17">
        <f t="shared" si="33"/>
        <v>0.40000000000000013</v>
      </c>
      <c r="AB281" s="17">
        <f>+VLOOKUP(E281,[1]base!M:N,2,0)</f>
        <v>5450</v>
      </c>
      <c r="AC281" s="17">
        <f>+VLOOKUP(E281,[1]base!M:Q,5,0)</f>
        <v>423</v>
      </c>
      <c r="AD281" s="18">
        <f>+VLOOKUP(E281,[1]base!M:P,4,0)</f>
        <v>5.6930264751687144E-2</v>
      </c>
      <c r="AE281" s="19">
        <f t="shared" si="34"/>
        <v>1324.7300571033049</v>
      </c>
    </row>
    <row r="282" spans="1:31" x14ac:dyDescent="0.25">
      <c r="A282" s="10" t="s">
        <v>216</v>
      </c>
      <c r="B282" s="11">
        <v>46266.555497685185</v>
      </c>
      <c r="C282" s="12" t="s">
        <v>39</v>
      </c>
      <c r="D282" s="12" t="s">
        <v>317</v>
      </c>
      <c r="E282" s="13" t="str">
        <f t="shared" si="28"/>
        <v>LM-F45</v>
      </c>
      <c r="F282" s="14" t="str">
        <f t="shared" si="29"/>
        <v>BLC</v>
      </c>
      <c r="G282" s="14">
        <f>+VLOOKUP(F282,[1]base!A:B,2,0)</f>
        <v>1</v>
      </c>
      <c r="H282" s="14">
        <v>20</v>
      </c>
      <c r="I282" s="14">
        <v>20</v>
      </c>
      <c r="J282" s="14"/>
      <c r="K282" s="14" t="s">
        <v>33</v>
      </c>
      <c r="L282" s="14" t="s">
        <v>318</v>
      </c>
      <c r="M282" s="14" t="s">
        <v>35</v>
      </c>
      <c r="N282" s="14">
        <v>20</v>
      </c>
      <c r="O282" s="14">
        <v>20</v>
      </c>
      <c r="P282" s="14">
        <v>0</v>
      </c>
      <c r="Q282" s="14">
        <v>0</v>
      </c>
      <c r="R282" s="14">
        <v>0</v>
      </c>
      <c r="S282" s="14"/>
      <c r="T282" s="15">
        <v>20</v>
      </c>
      <c r="U282" s="16"/>
      <c r="V282" s="17">
        <v>951</v>
      </c>
      <c r="W282" s="17">
        <f t="shared" si="30"/>
        <v>19020</v>
      </c>
      <c r="X282" s="17">
        <f t="shared" si="31"/>
        <v>989.04</v>
      </c>
      <c r="Y282" s="17">
        <v>956</v>
      </c>
      <c r="Z282" s="17">
        <f t="shared" si="32"/>
        <v>1</v>
      </c>
      <c r="AA282" s="17">
        <f t="shared" si="33"/>
        <v>6.6666666666666693E-2</v>
      </c>
      <c r="AB282" s="17">
        <f>+VLOOKUP(E282,[1]base!M:N,2,0)</f>
        <v>9154</v>
      </c>
      <c r="AC282" s="17">
        <f>+VLOOKUP(E282,[1]base!M:Q,5,0)</f>
        <v>292.46153846153845</v>
      </c>
      <c r="AD282" s="18">
        <f>+VLOOKUP(E282,[1]base!M:P,4,0)</f>
        <v>2.3677474402730374E-2</v>
      </c>
      <c r="AE282" s="19">
        <f t="shared" si="34"/>
        <v>2529.4563993174061</v>
      </c>
    </row>
    <row r="283" spans="1:31" x14ac:dyDescent="0.25">
      <c r="A283" s="20" t="s">
        <v>319</v>
      </c>
      <c r="B283" s="11">
        <v>46185.610590277778</v>
      </c>
      <c r="C283" s="12" t="s">
        <v>320</v>
      </c>
      <c r="D283" s="12" t="s">
        <v>321</v>
      </c>
      <c r="E283" s="13" t="str">
        <f t="shared" si="28"/>
        <v>GL11060/248</v>
      </c>
      <c r="F283" s="14" t="str">
        <f t="shared" si="29"/>
        <v>BLC</v>
      </c>
      <c r="G283" s="14">
        <f>+VLOOKUP(F283,[1]base!A:B,2,0)</f>
        <v>1</v>
      </c>
      <c r="H283" s="14">
        <v>28</v>
      </c>
      <c r="I283" s="14">
        <v>28</v>
      </c>
      <c r="J283" s="14"/>
      <c r="K283" s="14" t="s">
        <v>33</v>
      </c>
      <c r="L283" s="14" t="s">
        <v>76</v>
      </c>
      <c r="M283" s="14" t="s">
        <v>77</v>
      </c>
      <c r="N283" s="14"/>
      <c r="O283" s="14"/>
      <c r="P283" s="14"/>
      <c r="Q283" s="14">
        <v>0</v>
      </c>
      <c r="R283" s="14">
        <v>24</v>
      </c>
      <c r="S283" s="14"/>
      <c r="T283" s="15">
        <v>28</v>
      </c>
      <c r="U283" s="16"/>
      <c r="V283" s="17">
        <v>5</v>
      </c>
      <c r="W283" s="17">
        <f t="shared" si="30"/>
        <v>140</v>
      </c>
      <c r="X283" s="17">
        <f t="shared" si="31"/>
        <v>7.2799999999999994</v>
      </c>
      <c r="Y283" s="17">
        <v>10</v>
      </c>
      <c r="Z283" s="17">
        <f t="shared" si="32"/>
        <v>3</v>
      </c>
      <c r="AA283" s="17">
        <f t="shared" si="33"/>
        <v>0.20000000000000007</v>
      </c>
      <c r="AB283" s="17">
        <f>+VLOOKUP(E283,[1]base!M:N,2,0)</f>
        <v>12345</v>
      </c>
      <c r="AC283" s="17">
        <f>+VLOOKUP(E283,[1]base!M:Q,5,0)</f>
        <v>2112.7272727272725</v>
      </c>
      <c r="AD283" s="18">
        <f>+VLOOKUP(E283,[1]base!M:P,4,0)</f>
        <v>2.4242424242424242E-3</v>
      </c>
      <c r="AE283" s="19">
        <f t="shared" si="34"/>
        <v>3673.5727272727268</v>
      </c>
    </row>
    <row r="284" spans="1:31" x14ac:dyDescent="0.25">
      <c r="A284" s="20" t="s">
        <v>322</v>
      </c>
      <c r="B284" s="11">
        <v>46203.314398148148</v>
      </c>
      <c r="C284" s="12" t="s">
        <v>43</v>
      </c>
      <c r="D284" s="12" t="s">
        <v>321</v>
      </c>
      <c r="E284" s="13" t="str">
        <f t="shared" si="28"/>
        <v>GL11060/248</v>
      </c>
      <c r="F284" s="14" t="str">
        <f t="shared" si="29"/>
        <v>BLC</v>
      </c>
      <c r="G284" s="14">
        <f>+VLOOKUP(F284,[1]base!A:B,2,0)</f>
        <v>1</v>
      </c>
      <c r="H284" s="14">
        <v>50</v>
      </c>
      <c r="I284" s="14">
        <v>50</v>
      </c>
      <c r="J284" s="14"/>
      <c r="K284" s="14" t="s">
        <v>33</v>
      </c>
      <c r="L284" s="14" t="s">
        <v>76</v>
      </c>
      <c r="M284" s="14" t="s">
        <v>77</v>
      </c>
      <c r="N284" s="14"/>
      <c r="O284" s="14"/>
      <c r="P284" s="14"/>
      <c r="Q284" s="14">
        <v>0</v>
      </c>
      <c r="R284" s="14">
        <v>24</v>
      </c>
      <c r="S284" s="14">
        <v>20</v>
      </c>
      <c r="T284" s="15">
        <v>50</v>
      </c>
      <c r="U284" s="16"/>
      <c r="V284" s="17">
        <v>64</v>
      </c>
      <c r="W284" s="17">
        <f t="shared" si="30"/>
        <v>3200</v>
      </c>
      <c r="X284" s="17">
        <f t="shared" si="31"/>
        <v>166.4</v>
      </c>
      <c r="Y284" s="17">
        <v>69</v>
      </c>
      <c r="Z284" s="17">
        <f t="shared" si="32"/>
        <v>1</v>
      </c>
      <c r="AA284" s="17">
        <f t="shared" si="33"/>
        <v>6.6666666666666693E-2</v>
      </c>
      <c r="AB284" s="17">
        <f>+VLOOKUP(E284,[1]base!M:N,2,0)</f>
        <v>12345</v>
      </c>
      <c r="AC284" s="17">
        <f>+VLOOKUP(E284,[1]base!M:Q,5,0)</f>
        <v>2112.7272727272725</v>
      </c>
      <c r="AD284" s="18">
        <f>+VLOOKUP(E284,[1]base!M:P,4,0)</f>
        <v>2.4242424242424242E-3</v>
      </c>
      <c r="AE284" s="19">
        <f t="shared" si="34"/>
        <v>3673.5727272727268</v>
      </c>
    </row>
    <row r="285" spans="1:31" x14ac:dyDescent="0.25">
      <c r="A285" s="10" t="s">
        <v>260</v>
      </c>
      <c r="B285" s="11">
        <v>46225.543773148151</v>
      </c>
      <c r="C285" s="12" t="s">
        <v>88</v>
      </c>
      <c r="D285" s="12" t="s">
        <v>321</v>
      </c>
      <c r="E285" s="13" t="str">
        <f t="shared" si="28"/>
        <v>GL11060/248</v>
      </c>
      <c r="F285" s="14" t="str">
        <f t="shared" si="29"/>
        <v>BLC</v>
      </c>
      <c r="G285" s="14">
        <f>+VLOOKUP(F285,[1]base!A:B,2,0)</f>
        <v>1</v>
      </c>
      <c r="H285" s="14">
        <v>90</v>
      </c>
      <c r="I285" s="14">
        <v>90</v>
      </c>
      <c r="J285" s="14"/>
      <c r="K285" s="14" t="s">
        <v>33</v>
      </c>
      <c r="L285" s="14" t="s">
        <v>76</v>
      </c>
      <c r="M285" s="14" t="s">
        <v>77</v>
      </c>
      <c r="N285" s="14"/>
      <c r="O285" s="14"/>
      <c r="P285" s="14"/>
      <c r="Q285" s="14">
        <v>0</v>
      </c>
      <c r="R285" s="14">
        <v>24</v>
      </c>
      <c r="S285" s="14"/>
      <c r="T285" s="15">
        <v>90</v>
      </c>
      <c r="U285" s="16"/>
      <c r="V285" s="17">
        <v>197</v>
      </c>
      <c r="W285" s="17">
        <f t="shared" si="30"/>
        <v>17730</v>
      </c>
      <c r="X285" s="17">
        <f t="shared" si="31"/>
        <v>921.95999999999992</v>
      </c>
      <c r="Y285" s="17">
        <v>202</v>
      </c>
      <c r="Z285" s="17">
        <f t="shared" si="32"/>
        <v>1</v>
      </c>
      <c r="AA285" s="17">
        <f t="shared" si="33"/>
        <v>6.6666666666666693E-2</v>
      </c>
      <c r="AB285" s="17">
        <f>+VLOOKUP(E285,[1]base!M:N,2,0)</f>
        <v>12345</v>
      </c>
      <c r="AC285" s="17">
        <f>+VLOOKUP(E285,[1]base!M:Q,5,0)</f>
        <v>2112.7272727272725</v>
      </c>
      <c r="AD285" s="18">
        <f>+VLOOKUP(E285,[1]base!M:P,4,0)</f>
        <v>2.4242424242424242E-3</v>
      </c>
      <c r="AE285" s="19">
        <f t="shared" si="34"/>
        <v>3673.5727272727268</v>
      </c>
    </row>
    <row r="286" spans="1:31" x14ac:dyDescent="0.25">
      <c r="A286" s="10" t="s">
        <v>108</v>
      </c>
      <c r="B286" s="11">
        <v>46231.577476851853</v>
      </c>
      <c r="C286" s="12" t="s">
        <v>39</v>
      </c>
      <c r="D286" s="12" t="s">
        <v>321</v>
      </c>
      <c r="E286" s="13" t="str">
        <f t="shared" si="28"/>
        <v>GL11060/248</v>
      </c>
      <c r="F286" s="14" t="str">
        <f t="shared" si="29"/>
        <v>BLC</v>
      </c>
      <c r="G286" s="14">
        <f>+VLOOKUP(F286,[1]base!A:B,2,0)</f>
        <v>1</v>
      </c>
      <c r="H286" s="14">
        <v>300</v>
      </c>
      <c r="I286" s="14">
        <v>100</v>
      </c>
      <c r="J286" s="14"/>
      <c r="K286" s="14" t="s">
        <v>72</v>
      </c>
      <c r="L286" s="14" t="s">
        <v>76</v>
      </c>
      <c r="M286" s="14" t="s">
        <v>77</v>
      </c>
      <c r="N286" s="14"/>
      <c r="O286" s="14"/>
      <c r="P286" s="14"/>
      <c r="Q286" s="14">
        <v>150</v>
      </c>
      <c r="R286" s="14">
        <v>24</v>
      </c>
      <c r="S286" s="14"/>
      <c r="T286" s="15">
        <v>100</v>
      </c>
      <c r="U286" s="16"/>
      <c r="V286" s="17">
        <v>311</v>
      </c>
      <c r="W286" s="17">
        <f t="shared" si="30"/>
        <v>31100</v>
      </c>
      <c r="X286" s="17">
        <f t="shared" si="31"/>
        <v>1617.1999999999998</v>
      </c>
      <c r="Y286" s="17">
        <v>316</v>
      </c>
      <c r="Z286" s="17">
        <f t="shared" si="32"/>
        <v>1</v>
      </c>
      <c r="AA286" s="17">
        <f t="shared" si="33"/>
        <v>6.6666666666666693E-2</v>
      </c>
      <c r="AB286" s="17">
        <f>+VLOOKUP(E286,[1]base!M:N,2,0)</f>
        <v>12345</v>
      </c>
      <c r="AC286" s="17">
        <f>+VLOOKUP(E286,[1]base!M:Q,5,0)</f>
        <v>2112.7272727272725</v>
      </c>
      <c r="AD286" s="18">
        <f>+VLOOKUP(E286,[1]base!M:P,4,0)</f>
        <v>2.4242424242424242E-3</v>
      </c>
      <c r="AE286" s="19">
        <f t="shared" si="34"/>
        <v>3673.5727272727268</v>
      </c>
    </row>
    <row r="287" spans="1:31" x14ac:dyDescent="0.25">
      <c r="A287" s="10" t="s">
        <v>323</v>
      </c>
      <c r="B287" s="11">
        <v>46237.630509259259</v>
      </c>
      <c r="C287" s="12" t="s">
        <v>39</v>
      </c>
      <c r="D287" s="12" t="s">
        <v>321</v>
      </c>
      <c r="E287" s="13" t="str">
        <f t="shared" si="28"/>
        <v>GL11060/248</v>
      </c>
      <c r="F287" s="14" t="str">
        <f t="shared" si="29"/>
        <v>BLC</v>
      </c>
      <c r="G287" s="14">
        <f>+VLOOKUP(F287,[1]base!A:B,2,0)</f>
        <v>1</v>
      </c>
      <c r="H287" s="14">
        <v>5</v>
      </c>
      <c r="I287" s="14">
        <v>5</v>
      </c>
      <c r="J287" s="14"/>
      <c r="K287" s="14" t="s">
        <v>33</v>
      </c>
      <c r="L287" s="14" t="s">
        <v>76</v>
      </c>
      <c r="M287" s="14" t="s">
        <v>77</v>
      </c>
      <c r="N287" s="14"/>
      <c r="O287" s="14"/>
      <c r="P287" s="14"/>
      <c r="Q287" s="14">
        <v>0</v>
      </c>
      <c r="R287" s="14">
        <v>24</v>
      </c>
      <c r="S287" s="14"/>
      <c r="T287" s="15">
        <v>5</v>
      </c>
      <c r="U287" s="16"/>
      <c r="V287" s="17">
        <v>359</v>
      </c>
      <c r="W287" s="17">
        <f t="shared" si="30"/>
        <v>1795</v>
      </c>
      <c r="X287" s="17">
        <f t="shared" si="31"/>
        <v>93.339999999999989</v>
      </c>
      <c r="Y287" s="17">
        <v>364</v>
      </c>
      <c r="Z287" s="17">
        <f t="shared" si="32"/>
        <v>1</v>
      </c>
      <c r="AA287" s="17">
        <f t="shared" si="33"/>
        <v>6.6666666666666693E-2</v>
      </c>
      <c r="AB287" s="17">
        <f>+VLOOKUP(E287,[1]base!M:N,2,0)</f>
        <v>12345</v>
      </c>
      <c r="AC287" s="17">
        <f>+VLOOKUP(E287,[1]base!M:Q,5,0)</f>
        <v>2112.7272727272725</v>
      </c>
      <c r="AD287" s="18">
        <f>+VLOOKUP(E287,[1]base!M:P,4,0)</f>
        <v>2.4242424242424242E-3</v>
      </c>
      <c r="AE287" s="19">
        <f t="shared" si="34"/>
        <v>3673.5727272727268</v>
      </c>
    </row>
    <row r="288" spans="1:31" x14ac:dyDescent="0.25">
      <c r="A288" s="10" t="s">
        <v>111</v>
      </c>
      <c r="B288" s="11">
        <v>46240.550856481481</v>
      </c>
      <c r="C288" s="12" t="s">
        <v>112</v>
      </c>
      <c r="D288" s="12" t="s">
        <v>321</v>
      </c>
      <c r="E288" s="13" t="str">
        <f t="shared" si="28"/>
        <v>GL11060/248</v>
      </c>
      <c r="F288" s="14" t="str">
        <f t="shared" si="29"/>
        <v>BLC</v>
      </c>
      <c r="G288" s="14">
        <f>+VLOOKUP(F288,[1]base!A:B,2,0)</f>
        <v>1</v>
      </c>
      <c r="H288" s="14">
        <v>50</v>
      </c>
      <c r="I288" s="14">
        <v>50</v>
      </c>
      <c r="J288" s="14"/>
      <c r="K288" s="14" t="s">
        <v>33</v>
      </c>
      <c r="L288" s="14" t="s">
        <v>76</v>
      </c>
      <c r="M288" s="14" t="s">
        <v>77</v>
      </c>
      <c r="N288" s="14"/>
      <c r="O288" s="14"/>
      <c r="P288" s="14"/>
      <c r="Q288" s="14">
        <v>0</v>
      </c>
      <c r="R288" s="14">
        <v>24</v>
      </c>
      <c r="S288" s="14"/>
      <c r="T288" s="15">
        <v>50</v>
      </c>
      <c r="U288" s="16"/>
      <c r="V288" s="17">
        <v>409</v>
      </c>
      <c r="W288" s="17">
        <f t="shared" si="30"/>
        <v>20450</v>
      </c>
      <c r="X288" s="17">
        <f t="shared" si="31"/>
        <v>1063.3999999999999</v>
      </c>
      <c r="Y288" s="17">
        <v>414</v>
      </c>
      <c r="Z288" s="17">
        <f t="shared" si="32"/>
        <v>1</v>
      </c>
      <c r="AA288" s="17">
        <f t="shared" si="33"/>
        <v>6.6666666666666693E-2</v>
      </c>
      <c r="AB288" s="17">
        <f>+VLOOKUP(E288,[1]base!M:N,2,0)</f>
        <v>12345</v>
      </c>
      <c r="AC288" s="17">
        <f>+VLOOKUP(E288,[1]base!M:Q,5,0)</f>
        <v>2112.7272727272725</v>
      </c>
      <c r="AD288" s="18">
        <f>+VLOOKUP(E288,[1]base!M:P,4,0)</f>
        <v>2.4242424242424242E-3</v>
      </c>
      <c r="AE288" s="19">
        <f t="shared" si="34"/>
        <v>3673.5727272727268</v>
      </c>
    </row>
    <row r="289" spans="1:31" x14ac:dyDescent="0.25">
      <c r="A289" s="10" t="s">
        <v>324</v>
      </c>
      <c r="B289" s="11">
        <v>46240.572164351855</v>
      </c>
      <c r="C289" s="12" t="s">
        <v>57</v>
      </c>
      <c r="D289" s="12" t="s">
        <v>321</v>
      </c>
      <c r="E289" s="13" t="str">
        <f t="shared" si="28"/>
        <v>GL11060/248</v>
      </c>
      <c r="F289" s="14" t="str">
        <f t="shared" si="29"/>
        <v>BLC</v>
      </c>
      <c r="G289" s="14">
        <f>+VLOOKUP(F289,[1]base!A:B,2,0)</f>
        <v>1</v>
      </c>
      <c r="H289" s="14">
        <v>200</v>
      </c>
      <c r="I289" s="14">
        <v>200</v>
      </c>
      <c r="J289" s="14"/>
      <c r="K289" s="14" t="s">
        <v>33</v>
      </c>
      <c r="L289" s="14" t="s">
        <v>76</v>
      </c>
      <c r="M289" s="14" t="s">
        <v>77</v>
      </c>
      <c r="N289" s="14"/>
      <c r="O289" s="14"/>
      <c r="P289" s="14"/>
      <c r="Q289" s="14">
        <v>0</v>
      </c>
      <c r="R289" s="14">
        <v>24</v>
      </c>
      <c r="S289" s="14"/>
      <c r="T289" s="15">
        <v>200</v>
      </c>
      <c r="U289" s="16"/>
      <c r="V289" s="17">
        <v>415</v>
      </c>
      <c r="W289" s="17">
        <f t="shared" si="30"/>
        <v>83000</v>
      </c>
      <c r="X289" s="17">
        <f t="shared" si="31"/>
        <v>4316</v>
      </c>
      <c r="Y289" s="17">
        <v>420</v>
      </c>
      <c r="Z289" s="17">
        <f t="shared" si="32"/>
        <v>1</v>
      </c>
      <c r="AA289" s="17">
        <f t="shared" si="33"/>
        <v>6.6666666666666693E-2</v>
      </c>
      <c r="AB289" s="17">
        <f>+VLOOKUP(E289,[1]base!M:N,2,0)</f>
        <v>12345</v>
      </c>
      <c r="AC289" s="17">
        <f>+VLOOKUP(E289,[1]base!M:Q,5,0)</f>
        <v>2112.7272727272725</v>
      </c>
      <c r="AD289" s="18">
        <f>+VLOOKUP(E289,[1]base!M:P,4,0)</f>
        <v>2.4242424242424242E-3</v>
      </c>
      <c r="AE289" s="19">
        <f t="shared" si="34"/>
        <v>3673.5727272727268</v>
      </c>
    </row>
    <row r="290" spans="1:31" x14ac:dyDescent="0.25">
      <c r="A290" s="10" t="s">
        <v>325</v>
      </c>
      <c r="B290" s="11">
        <v>46241.620335648149</v>
      </c>
      <c r="C290" s="12" t="s">
        <v>199</v>
      </c>
      <c r="D290" s="12" t="s">
        <v>321</v>
      </c>
      <c r="E290" s="13" t="str">
        <f t="shared" si="28"/>
        <v>GL11060/248</v>
      </c>
      <c r="F290" s="14" t="str">
        <f t="shared" si="29"/>
        <v>BLC</v>
      </c>
      <c r="G290" s="14">
        <f>+VLOOKUP(F290,[1]base!A:B,2,0)</f>
        <v>1</v>
      </c>
      <c r="H290" s="14">
        <v>200</v>
      </c>
      <c r="I290" s="14">
        <v>200</v>
      </c>
      <c r="J290" s="14"/>
      <c r="K290" s="14" t="s">
        <v>33</v>
      </c>
      <c r="L290" s="14" t="s">
        <v>76</v>
      </c>
      <c r="M290" s="14" t="s">
        <v>77</v>
      </c>
      <c r="N290" s="14"/>
      <c r="O290" s="14"/>
      <c r="P290" s="14"/>
      <c r="Q290" s="14">
        <v>0</v>
      </c>
      <c r="R290" s="14">
        <v>24</v>
      </c>
      <c r="S290" s="14">
        <v>160</v>
      </c>
      <c r="T290" s="15">
        <v>200</v>
      </c>
      <c r="U290" s="16"/>
      <c r="V290" s="17">
        <v>421</v>
      </c>
      <c r="W290" s="17">
        <f t="shared" si="30"/>
        <v>84200</v>
      </c>
      <c r="X290" s="17">
        <f t="shared" si="31"/>
        <v>4378.3999999999996</v>
      </c>
      <c r="Y290" s="17">
        <v>426</v>
      </c>
      <c r="Z290" s="17">
        <f t="shared" si="32"/>
        <v>1</v>
      </c>
      <c r="AA290" s="17">
        <f t="shared" si="33"/>
        <v>6.6666666666666693E-2</v>
      </c>
      <c r="AB290" s="17">
        <f>+VLOOKUP(E290,[1]base!M:N,2,0)</f>
        <v>12345</v>
      </c>
      <c r="AC290" s="17">
        <f>+VLOOKUP(E290,[1]base!M:Q,5,0)</f>
        <v>2112.7272727272725</v>
      </c>
      <c r="AD290" s="18">
        <f>+VLOOKUP(E290,[1]base!M:P,4,0)</f>
        <v>2.4242424242424242E-3</v>
      </c>
      <c r="AE290" s="19">
        <f t="shared" si="34"/>
        <v>3673.5727272727268</v>
      </c>
    </row>
    <row r="291" spans="1:31" x14ac:dyDescent="0.25">
      <c r="A291" s="10" t="s">
        <v>306</v>
      </c>
      <c r="B291" s="11">
        <v>46242.490671296298</v>
      </c>
      <c r="C291" s="12" t="s">
        <v>83</v>
      </c>
      <c r="D291" s="12" t="s">
        <v>321</v>
      </c>
      <c r="E291" s="13" t="str">
        <f t="shared" si="28"/>
        <v>GL11060/248</v>
      </c>
      <c r="F291" s="14" t="str">
        <f t="shared" si="29"/>
        <v>BLC</v>
      </c>
      <c r="G291" s="14">
        <f>+VLOOKUP(F291,[1]base!A:B,2,0)</f>
        <v>1</v>
      </c>
      <c r="H291" s="14">
        <v>200</v>
      </c>
      <c r="I291" s="14">
        <v>200</v>
      </c>
      <c r="J291" s="14">
        <v>-100</v>
      </c>
      <c r="K291" s="14" t="s">
        <v>33</v>
      </c>
      <c r="L291" s="14" t="s">
        <v>76</v>
      </c>
      <c r="M291" s="14" t="s">
        <v>77</v>
      </c>
      <c r="N291" s="14"/>
      <c r="O291" s="14"/>
      <c r="P291" s="14"/>
      <c r="Q291" s="14">
        <v>0</v>
      </c>
      <c r="R291" s="14">
        <v>24</v>
      </c>
      <c r="S291" s="14"/>
      <c r="T291" s="15">
        <v>200</v>
      </c>
      <c r="U291" s="16"/>
      <c r="V291" s="17">
        <v>428</v>
      </c>
      <c r="W291" s="17">
        <f t="shared" si="30"/>
        <v>85600</v>
      </c>
      <c r="X291" s="17">
        <f t="shared" si="31"/>
        <v>4451.2</v>
      </c>
      <c r="Y291" s="17">
        <v>433</v>
      </c>
      <c r="Z291" s="17">
        <f t="shared" si="32"/>
        <v>1</v>
      </c>
      <c r="AA291" s="17">
        <f t="shared" si="33"/>
        <v>6.6666666666666693E-2</v>
      </c>
      <c r="AB291" s="17">
        <f>+VLOOKUP(E291,[1]base!M:N,2,0)</f>
        <v>12345</v>
      </c>
      <c r="AC291" s="17">
        <f>+VLOOKUP(E291,[1]base!M:Q,5,0)</f>
        <v>2112.7272727272725</v>
      </c>
      <c r="AD291" s="18">
        <f>+VLOOKUP(E291,[1]base!M:P,4,0)</f>
        <v>2.4242424242424242E-3</v>
      </c>
      <c r="AE291" s="19">
        <f t="shared" si="34"/>
        <v>3673.5727272727268</v>
      </c>
    </row>
    <row r="292" spans="1:31" x14ac:dyDescent="0.25">
      <c r="A292" s="10" t="s">
        <v>326</v>
      </c>
      <c r="B292" s="11">
        <v>46252.608981481484</v>
      </c>
      <c r="C292" s="12" t="s">
        <v>143</v>
      </c>
      <c r="D292" s="12" t="s">
        <v>321</v>
      </c>
      <c r="E292" s="13" t="str">
        <f t="shared" si="28"/>
        <v>GL11060/248</v>
      </c>
      <c r="F292" s="14" t="str">
        <f t="shared" si="29"/>
        <v>BLC</v>
      </c>
      <c r="G292" s="14">
        <f>+VLOOKUP(F292,[1]base!A:B,2,0)</f>
        <v>1</v>
      </c>
      <c r="H292" s="14">
        <v>40</v>
      </c>
      <c r="I292" s="14">
        <v>20</v>
      </c>
      <c r="J292" s="14"/>
      <c r="K292" s="14" t="s">
        <v>33</v>
      </c>
      <c r="L292" s="14" t="s">
        <v>76</v>
      </c>
      <c r="M292" s="14" t="s">
        <v>77</v>
      </c>
      <c r="N292" s="14"/>
      <c r="O292" s="14"/>
      <c r="P292" s="14"/>
      <c r="Q292" s="14">
        <v>0</v>
      </c>
      <c r="R292" s="14">
        <v>24</v>
      </c>
      <c r="S292" s="14"/>
      <c r="T292" s="15">
        <v>20</v>
      </c>
      <c r="U292" s="16"/>
      <c r="V292" s="17">
        <v>525</v>
      </c>
      <c r="W292" s="17">
        <f t="shared" si="30"/>
        <v>10500</v>
      </c>
      <c r="X292" s="17">
        <f t="shared" si="31"/>
        <v>546</v>
      </c>
      <c r="Y292" s="17">
        <v>530</v>
      </c>
      <c r="Z292" s="17">
        <f t="shared" si="32"/>
        <v>1</v>
      </c>
      <c r="AA292" s="17">
        <f t="shared" si="33"/>
        <v>6.6666666666666693E-2</v>
      </c>
      <c r="AB292" s="17">
        <f>+VLOOKUP(E292,[1]base!M:N,2,0)</f>
        <v>12345</v>
      </c>
      <c r="AC292" s="17">
        <f>+VLOOKUP(E292,[1]base!M:Q,5,0)</f>
        <v>2112.7272727272725</v>
      </c>
      <c r="AD292" s="18">
        <f>+VLOOKUP(E292,[1]base!M:P,4,0)</f>
        <v>2.4242424242424242E-3</v>
      </c>
      <c r="AE292" s="19">
        <f t="shared" si="34"/>
        <v>3673.5727272727268</v>
      </c>
    </row>
    <row r="293" spans="1:31" x14ac:dyDescent="0.25">
      <c r="A293" s="10" t="s">
        <v>125</v>
      </c>
      <c r="B293" s="11">
        <v>46253.521597222221</v>
      </c>
      <c r="C293" s="12" t="s">
        <v>126</v>
      </c>
      <c r="D293" s="12" t="s">
        <v>321</v>
      </c>
      <c r="E293" s="13" t="str">
        <f t="shared" si="28"/>
        <v>GL11060/248</v>
      </c>
      <c r="F293" s="14" t="str">
        <f t="shared" si="29"/>
        <v>BLC</v>
      </c>
      <c r="G293" s="14">
        <f>+VLOOKUP(F293,[1]base!A:B,2,0)</f>
        <v>1</v>
      </c>
      <c r="H293" s="14">
        <v>100</v>
      </c>
      <c r="I293" s="14">
        <v>100</v>
      </c>
      <c r="J293" s="14"/>
      <c r="K293" s="14" t="s">
        <v>33</v>
      </c>
      <c r="L293" s="14" t="s">
        <v>76</v>
      </c>
      <c r="M293" s="14" t="s">
        <v>77</v>
      </c>
      <c r="N293" s="14"/>
      <c r="O293" s="14"/>
      <c r="P293" s="14"/>
      <c r="Q293" s="14">
        <v>0</v>
      </c>
      <c r="R293" s="14">
        <v>24</v>
      </c>
      <c r="S293" s="14"/>
      <c r="T293" s="15">
        <v>100</v>
      </c>
      <c r="U293" s="16"/>
      <c r="V293" s="17">
        <v>532</v>
      </c>
      <c r="W293" s="17">
        <f t="shared" si="30"/>
        <v>53200</v>
      </c>
      <c r="X293" s="17">
        <f t="shared" si="31"/>
        <v>2766.4</v>
      </c>
      <c r="Y293" s="17">
        <v>537</v>
      </c>
      <c r="Z293" s="17">
        <f t="shared" si="32"/>
        <v>1</v>
      </c>
      <c r="AA293" s="17">
        <f t="shared" si="33"/>
        <v>6.6666666666666693E-2</v>
      </c>
      <c r="AB293" s="17">
        <f>+VLOOKUP(E293,[1]base!M:N,2,0)</f>
        <v>12345</v>
      </c>
      <c r="AC293" s="17">
        <f>+VLOOKUP(E293,[1]base!M:Q,5,0)</f>
        <v>2112.7272727272725</v>
      </c>
      <c r="AD293" s="18">
        <f>+VLOOKUP(E293,[1]base!M:P,4,0)</f>
        <v>2.4242424242424242E-3</v>
      </c>
      <c r="AE293" s="19">
        <f t="shared" si="34"/>
        <v>3673.5727272727268</v>
      </c>
    </row>
    <row r="294" spans="1:31" x14ac:dyDescent="0.25">
      <c r="A294" s="10" t="s">
        <v>261</v>
      </c>
      <c r="B294" s="11">
        <v>46254.525277777779</v>
      </c>
      <c r="C294" s="12" t="s">
        <v>262</v>
      </c>
      <c r="D294" s="12" t="s">
        <v>321</v>
      </c>
      <c r="E294" s="13" t="str">
        <f t="shared" si="28"/>
        <v>GL11060/248</v>
      </c>
      <c r="F294" s="14" t="str">
        <f t="shared" si="29"/>
        <v>BLC</v>
      </c>
      <c r="G294" s="14">
        <f>+VLOOKUP(F294,[1]base!A:B,2,0)</f>
        <v>1</v>
      </c>
      <c r="H294" s="14">
        <v>70</v>
      </c>
      <c r="I294" s="14">
        <v>70</v>
      </c>
      <c r="J294" s="14"/>
      <c r="K294" s="14" t="s">
        <v>33</v>
      </c>
      <c r="L294" s="14" t="s">
        <v>76</v>
      </c>
      <c r="M294" s="14" t="s">
        <v>77</v>
      </c>
      <c r="N294" s="14"/>
      <c r="O294" s="14"/>
      <c r="P294" s="14"/>
      <c r="Q294" s="14">
        <v>0</v>
      </c>
      <c r="R294" s="14">
        <v>24</v>
      </c>
      <c r="S294" s="14"/>
      <c r="T294" s="15">
        <v>70</v>
      </c>
      <c r="U294" s="16"/>
      <c r="V294" s="17">
        <v>550</v>
      </c>
      <c r="W294" s="17">
        <f t="shared" si="30"/>
        <v>38500</v>
      </c>
      <c r="X294" s="17">
        <f t="shared" si="31"/>
        <v>2002</v>
      </c>
      <c r="Y294" s="17">
        <v>555</v>
      </c>
      <c r="Z294" s="17">
        <f t="shared" si="32"/>
        <v>1</v>
      </c>
      <c r="AA294" s="17">
        <f t="shared" si="33"/>
        <v>6.6666666666666693E-2</v>
      </c>
      <c r="AB294" s="17">
        <f>+VLOOKUP(E294,[1]base!M:N,2,0)</f>
        <v>12345</v>
      </c>
      <c r="AC294" s="17">
        <f>+VLOOKUP(E294,[1]base!M:Q,5,0)</f>
        <v>2112.7272727272725</v>
      </c>
      <c r="AD294" s="18">
        <f>+VLOOKUP(E294,[1]base!M:P,4,0)</f>
        <v>2.4242424242424242E-3</v>
      </c>
      <c r="AE294" s="19">
        <f t="shared" si="34"/>
        <v>3673.5727272727268</v>
      </c>
    </row>
    <row r="295" spans="1:31" x14ac:dyDescent="0.25">
      <c r="A295" s="10" t="s">
        <v>311</v>
      </c>
      <c r="B295" s="11">
        <v>46255.559039351851</v>
      </c>
      <c r="C295" s="12" t="s">
        <v>304</v>
      </c>
      <c r="D295" s="12" t="s">
        <v>321</v>
      </c>
      <c r="E295" s="13" t="str">
        <f t="shared" si="28"/>
        <v>GL11060/248</v>
      </c>
      <c r="F295" s="14" t="str">
        <f t="shared" si="29"/>
        <v>BLC</v>
      </c>
      <c r="G295" s="14">
        <f>+VLOOKUP(F295,[1]base!A:B,2,0)</f>
        <v>1</v>
      </c>
      <c r="H295" s="14">
        <v>20</v>
      </c>
      <c r="I295" s="14">
        <v>20</v>
      </c>
      <c r="J295" s="14"/>
      <c r="K295" s="14" t="s">
        <v>33</v>
      </c>
      <c r="L295" s="14" t="s">
        <v>76</v>
      </c>
      <c r="M295" s="14" t="s">
        <v>77</v>
      </c>
      <c r="N295" s="14"/>
      <c r="O295" s="14"/>
      <c r="P295" s="14"/>
      <c r="Q295" s="14">
        <v>0</v>
      </c>
      <c r="R295" s="14">
        <v>24</v>
      </c>
      <c r="S295" s="14"/>
      <c r="T295" s="15">
        <v>20</v>
      </c>
      <c r="U295" s="16"/>
      <c r="V295" s="17">
        <v>561</v>
      </c>
      <c r="W295" s="17">
        <f t="shared" si="30"/>
        <v>11220</v>
      </c>
      <c r="X295" s="17">
        <f t="shared" si="31"/>
        <v>583.43999999999994</v>
      </c>
      <c r="Y295" s="17">
        <v>566</v>
      </c>
      <c r="Z295" s="17">
        <f t="shared" si="32"/>
        <v>1</v>
      </c>
      <c r="AA295" s="17">
        <f t="shared" si="33"/>
        <v>6.6666666666666693E-2</v>
      </c>
      <c r="AB295" s="17">
        <f>+VLOOKUP(E295,[1]base!M:N,2,0)</f>
        <v>12345</v>
      </c>
      <c r="AC295" s="17">
        <f>+VLOOKUP(E295,[1]base!M:Q,5,0)</f>
        <v>2112.7272727272725</v>
      </c>
      <c r="AD295" s="18">
        <f>+VLOOKUP(E295,[1]base!M:P,4,0)</f>
        <v>2.4242424242424242E-3</v>
      </c>
      <c r="AE295" s="19">
        <f t="shared" si="34"/>
        <v>3673.5727272727268</v>
      </c>
    </row>
    <row r="296" spans="1:31" x14ac:dyDescent="0.25">
      <c r="A296" s="10" t="s">
        <v>327</v>
      </c>
      <c r="B296" s="11">
        <v>46255.604097222225</v>
      </c>
      <c r="C296" s="12" t="s">
        <v>124</v>
      </c>
      <c r="D296" s="12" t="s">
        <v>321</v>
      </c>
      <c r="E296" s="13" t="str">
        <f t="shared" si="28"/>
        <v>GL11060/248</v>
      </c>
      <c r="F296" s="14" t="str">
        <f t="shared" si="29"/>
        <v>BLC</v>
      </c>
      <c r="G296" s="14">
        <f>+VLOOKUP(F296,[1]base!A:B,2,0)</f>
        <v>1</v>
      </c>
      <c r="H296" s="14">
        <v>12</v>
      </c>
      <c r="I296" s="14">
        <v>12</v>
      </c>
      <c r="J296" s="14"/>
      <c r="K296" s="14" t="s">
        <v>33</v>
      </c>
      <c r="L296" s="14" t="s">
        <v>76</v>
      </c>
      <c r="M296" s="14" t="s">
        <v>77</v>
      </c>
      <c r="N296" s="14"/>
      <c r="O296" s="14"/>
      <c r="P296" s="14"/>
      <c r="Q296" s="14">
        <v>0</v>
      </c>
      <c r="R296" s="14">
        <v>24</v>
      </c>
      <c r="S296" s="14"/>
      <c r="T296" s="15">
        <v>12</v>
      </c>
      <c r="U296" s="16"/>
      <c r="V296" s="17">
        <v>566</v>
      </c>
      <c r="W296" s="17">
        <f t="shared" si="30"/>
        <v>6792</v>
      </c>
      <c r="X296" s="17">
        <f t="shared" si="31"/>
        <v>353.18399999999997</v>
      </c>
      <c r="Y296" s="17">
        <v>571</v>
      </c>
      <c r="Z296" s="17">
        <f t="shared" si="32"/>
        <v>1</v>
      </c>
      <c r="AA296" s="17">
        <f t="shared" si="33"/>
        <v>6.6666666666666693E-2</v>
      </c>
      <c r="AB296" s="17">
        <f>+VLOOKUP(E296,[1]base!M:N,2,0)</f>
        <v>12345</v>
      </c>
      <c r="AC296" s="17">
        <f>+VLOOKUP(E296,[1]base!M:Q,5,0)</f>
        <v>2112.7272727272725</v>
      </c>
      <c r="AD296" s="18">
        <f>+VLOOKUP(E296,[1]base!M:P,4,0)</f>
        <v>2.4242424242424242E-3</v>
      </c>
      <c r="AE296" s="19">
        <f t="shared" si="34"/>
        <v>3673.5727272727268</v>
      </c>
    </row>
    <row r="297" spans="1:31" x14ac:dyDescent="0.25">
      <c r="A297" s="10" t="s">
        <v>328</v>
      </c>
      <c r="B297" s="11">
        <v>46263.424432870372</v>
      </c>
      <c r="C297" s="12" t="s">
        <v>43</v>
      </c>
      <c r="D297" s="12" t="s">
        <v>321</v>
      </c>
      <c r="E297" s="13" t="str">
        <f t="shared" si="28"/>
        <v>GL11060/248</v>
      </c>
      <c r="F297" s="14" t="str">
        <f t="shared" si="29"/>
        <v>BLC</v>
      </c>
      <c r="G297" s="14">
        <f>+VLOOKUP(F297,[1]base!A:B,2,0)</f>
        <v>1</v>
      </c>
      <c r="H297" s="14">
        <v>50</v>
      </c>
      <c r="I297" s="14">
        <v>50</v>
      </c>
      <c r="J297" s="14"/>
      <c r="K297" s="14" t="s">
        <v>33</v>
      </c>
      <c r="L297" s="14" t="s">
        <v>76</v>
      </c>
      <c r="M297" s="14" t="s">
        <v>77</v>
      </c>
      <c r="N297" s="14"/>
      <c r="O297" s="14"/>
      <c r="P297" s="14"/>
      <c r="Q297" s="14">
        <v>0</v>
      </c>
      <c r="R297" s="14">
        <v>24</v>
      </c>
      <c r="S297" s="14"/>
      <c r="T297" s="15">
        <v>50</v>
      </c>
      <c r="U297" s="16"/>
      <c r="V297" s="17">
        <v>786</v>
      </c>
      <c r="W297" s="17">
        <f t="shared" si="30"/>
        <v>39300</v>
      </c>
      <c r="X297" s="17">
        <f t="shared" si="31"/>
        <v>2043.6</v>
      </c>
      <c r="Y297" s="17">
        <v>791</v>
      </c>
      <c r="Z297" s="17">
        <f t="shared" si="32"/>
        <v>1</v>
      </c>
      <c r="AA297" s="17">
        <f t="shared" si="33"/>
        <v>6.6666666666666693E-2</v>
      </c>
      <c r="AB297" s="17">
        <f>+VLOOKUP(E297,[1]base!M:N,2,0)</f>
        <v>12345</v>
      </c>
      <c r="AC297" s="17">
        <f>+VLOOKUP(E297,[1]base!M:Q,5,0)</f>
        <v>2112.7272727272725</v>
      </c>
      <c r="AD297" s="18">
        <f>+VLOOKUP(E297,[1]base!M:P,4,0)</f>
        <v>2.4242424242424242E-3</v>
      </c>
      <c r="AE297" s="19">
        <f t="shared" si="34"/>
        <v>3673.5727272727268</v>
      </c>
    </row>
    <row r="298" spans="1:31" x14ac:dyDescent="0.25">
      <c r="A298" s="10" t="s">
        <v>282</v>
      </c>
      <c r="B298" s="11">
        <v>46265.412523148145</v>
      </c>
      <c r="C298" s="12" t="s">
        <v>273</v>
      </c>
      <c r="D298" s="12" t="s">
        <v>321</v>
      </c>
      <c r="E298" s="13" t="str">
        <f t="shared" si="28"/>
        <v>GL11060/248</v>
      </c>
      <c r="F298" s="14" t="str">
        <f t="shared" si="29"/>
        <v>BLC</v>
      </c>
      <c r="G298" s="14">
        <f>+VLOOKUP(F298,[1]base!A:B,2,0)</f>
        <v>1</v>
      </c>
      <c r="H298" s="14">
        <v>10</v>
      </c>
      <c r="I298" s="14">
        <v>10</v>
      </c>
      <c r="J298" s="14"/>
      <c r="K298" s="14" t="s">
        <v>33</v>
      </c>
      <c r="L298" s="14" t="s">
        <v>76</v>
      </c>
      <c r="M298" s="14" t="s">
        <v>77</v>
      </c>
      <c r="N298" s="14"/>
      <c r="O298" s="14"/>
      <c r="P298" s="14"/>
      <c r="Q298" s="14">
        <v>0</v>
      </c>
      <c r="R298" s="14">
        <v>24</v>
      </c>
      <c r="S298" s="14"/>
      <c r="T298" s="15">
        <v>10</v>
      </c>
      <c r="U298" s="16"/>
      <c r="V298" s="17">
        <v>818</v>
      </c>
      <c r="W298" s="17">
        <f t="shared" si="30"/>
        <v>8180</v>
      </c>
      <c r="X298" s="17">
        <f t="shared" si="31"/>
        <v>425.35999999999996</v>
      </c>
      <c r="Y298" s="17">
        <v>823</v>
      </c>
      <c r="Z298" s="17">
        <f t="shared" si="32"/>
        <v>1</v>
      </c>
      <c r="AA298" s="17">
        <f t="shared" si="33"/>
        <v>6.6666666666666693E-2</v>
      </c>
      <c r="AB298" s="17">
        <f>+VLOOKUP(E298,[1]base!M:N,2,0)</f>
        <v>12345</v>
      </c>
      <c r="AC298" s="17">
        <f>+VLOOKUP(E298,[1]base!M:Q,5,0)</f>
        <v>2112.7272727272725</v>
      </c>
      <c r="AD298" s="18">
        <f>+VLOOKUP(E298,[1]base!M:P,4,0)</f>
        <v>2.4242424242424242E-3</v>
      </c>
      <c r="AE298" s="19">
        <f t="shared" si="34"/>
        <v>3673.5727272727268</v>
      </c>
    </row>
    <row r="299" spans="1:31" x14ac:dyDescent="0.25">
      <c r="A299" s="10" t="s">
        <v>94</v>
      </c>
      <c r="B299" s="11">
        <v>46266.490532407406</v>
      </c>
      <c r="C299" s="12" t="s">
        <v>95</v>
      </c>
      <c r="D299" s="12" t="s">
        <v>321</v>
      </c>
      <c r="E299" s="13" t="str">
        <f t="shared" si="28"/>
        <v>GL11060/248</v>
      </c>
      <c r="F299" s="14" t="str">
        <f t="shared" si="29"/>
        <v>BLC</v>
      </c>
      <c r="G299" s="14">
        <f>+VLOOKUP(F299,[1]base!A:B,2,0)</f>
        <v>1</v>
      </c>
      <c r="H299" s="14">
        <v>100</v>
      </c>
      <c r="I299" s="14">
        <v>100</v>
      </c>
      <c r="J299" s="14"/>
      <c r="K299" s="14" t="s">
        <v>33</v>
      </c>
      <c r="L299" s="14" t="s">
        <v>76</v>
      </c>
      <c r="M299" s="14" t="s">
        <v>77</v>
      </c>
      <c r="N299" s="14"/>
      <c r="O299" s="14"/>
      <c r="P299" s="14"/>
      <c r="Q299" s="14">
        <v>0</v>
      </c>
      <c r="R299" s="14">
        <v>24</v>
      </c>
      <c r="S299" s="14"/>
      <c r="T299" s="15">
        <v>100</v>
      </c>
      <c r="U299" s="16"/>
      <c r="V299" s="17">
        <v>944</v>
      </c>
      <c r="W299" s="17">
        <f t="shared" si="30"/>
        <v>94400</v>
      </c>
      <c r="X299" s="17">
        <f t="shared" si="31"/>
        <v>4908.8</v>
      </c>
      <c r="Y299" s="17">
        <v>949</v>
      </c>
      <c r="Z299" s="17">
        <f t="shared" si="32"/>
        <v>1</v>
      </c>
      <c r="AA299" s="17">
        <f t="shared" si="33"/>
        <v>6.6666666666666693E-2</v>
      </c>
      <c r="AB299" s="17">
        <f>+VLOOKUP(E299,[1]base!M:N,2,0)</f>
        <v>12345</v>
      </c>
      <c r="AC299" s="17">
        <f>+VLOOKUP(E299,[1]base!M:Q,5,0)</f>
        <v>2112.7272727272725</v>
      </c>
      <c r="AD299" s="18">
        <f>+VLOOKUP(E299,[1]base!M:P,4,0)</f>
        <v>2.4242424242424242E-3</v>
      </c>
      <c r="AE299" s="19">
        <f t="shared" si="34"/>
        <v>3673.5727272727268</v>
      </c>
    </row>
    <row r="300" spans="1:31" x14ac:dyDescent="0.25">
      <c r="A300" s="10" t="s">
        <v>329</v>
      </c>
      <c r="B300" s="11">
        <v>46267.311493055553</v>
      </c>
      <c r="C300" s="12" t="s">
        <v>57</v>
      </c>
      <c r="D300" s="12" t="s">
        <v>321</v>
      </c>
      <c r="E300" s="13" t="str">
        <f t="shared" si="28"/>
        <v>GL11060/248</v>
      </c>
      <c r="F300" s="14" t="str">
        <f t="shared" si="29"/>
        <v>BLC</v>
      </c>
      <c r="G300" s="14">
        <f>+VLOOKUP(F300,[1]base!A:B,2,0)</f>
        <v>1</v>
      </c>
      <c r="H300" s="14">
        <v>200</v>
      </c>
      <c r="I300" s="14">
        <v>200</v>
      </c>
      <c r="J300" s="14"/>
      <c r="K300" s="14" t="s">
        <v>33</v>
      </c>
      <c r="L300" s="14" t="s">
        <v>76</v>
      </c>
      <c r="M300" s="14" t="s">
        <v>77</v>
      </c>
      <c r="N300" s="14"/>
      <c r="O300" s="14"/>
      <c r="P300" s="14"/>
      <c r="Q300" s="14">
        <v>0</v>
      </c>
      <c r="R300" s="14">
        <v>24</v>
      </c>
      <c r="S300" s="14"/>
      <c r="T300" s="15">
        <v>200</v>
      </c>
      <c r="U300" s="16"/>
      <c r="V300" s="17">
        <v>971</v>
      </c>
      <c r="W300" s="17">
        <f t="shared" si="30"/>
        <v>194200</v>
      </c>
      <c r="X300" s="17">
        <f t="shared" si="31"/>
        <v>10098.4</v>
      </c>
      <c r="Y300" s="17">
        <v>976</v>
      </c>
      <c r="Z300" s="17">
        <f t="shared" si="32"/>
        <v>1</v>
      </c>
      <c r="AA300" s="17">
        <f t="shared" si="33"/>
        <v>6.6666666666666693E-2</v>
      </c>
      <c r="AB300" s="17">
        <f>+VLOOKUP(E300,[1]base!M:N,2,0)</f>
        <v>12345</v>
      </c>
      <c r="AC300" s="17">
        <f>+VLOOKUP(E300,[1]base!M:Q,5,0)</f>
        <v>2112.7272727272725</v>
      </c>
      <c r="AD300" s="18">
        <f>+VLOOKUP(E300,[1]base!M:P,4,0)</f>
        <v>2.4242424242424242E-3</v>
      </c>
      <c r="AE300" s="19">
        <f t="shared" si="34"/>
        <v>3673.5727272727268</v>
      </c>
    </row>
    <row r="301" spans="1:31" x14ac:dyDescent="0.25">
      <c r="A301" s="10" t="s">
        <v>139</v>
      </c>
      <c r="B301" s="11">
        <v>46268.400879629633</v>
      </c>
      <c r="C301" s="12" t="s">
        <v>39</v>
      </c>
      <c r="D301" s="12" t="s">
        <v>321</v>
      </c>
      <c r="E301" s="13" t="str">
        <f t="shared" si="28"/>
        <v>GL11060/248</v>
      </c>
      <c r="F301" s="14" t="str">
        <f t="shared" si="29"/>
        <v>BLC</v>
      </c>
      <c r="G301" s="14">
        <f>+VLOOKUP(F301,[1]base!A:B,2,0)</f>
        <v>1</v>
      </c>
      <c r="H301" s="14">
        <v>30</v>
      </c>
      <c r="I301" s="14">
        <v>30</v>
      </c>
      <c r="J301" s="14"/>
      <c r="K301" s="14" t="s">
        <v>33</v>
      </c>
      <c r="L301" s="14" t="s">
        <v>76</v>
      </c>
      <c r="M301" s="14" t="s">
        <v>77</v>
      </c>
      <c r="N301" s="14"/>
      <c r="O301" s="14"/>
      <c r="P301" s="14"/>
      <c r="Q301" s="14">
        <v>0</v>
      </c>
      <c r="R301" s="14">
        <v>24</v>
      </c>
      <c r="S301" s="14"/>
      <c r="T301" s="15">
        <v>30</v>
      </c>
      <c r="U301" s="16"/>
      <c r="V301" s="17">
        <v>1074</v>
      </c>
      <c r="W301" s="17">
        <f t="shared" si="30"/>
        <v>32220</v>
      </c>
      <c r="X301" s="17">
        <f t="shared" si="31"/>
        <v>1675.4399999999998</v>
      </c>
      <c r="Y301" s="17">
        <v>1079</v>
      </c>
      <c r="Z301" s="17">
        <f t="shared" si="32"/>
        <v>1</v>
      </c>
      <c r="AA301" s="17">
        <f t="shared" si="33"/>
        <v>6.6666666666666693E-2</v>
      </c>
      <c r="AB301" s="17">
        <f>+VLOOKUP(E301,[1]base!M:N,2,0)</f>
        <v>12345</v>
      </c>
      <c r="AC301" s="17">
        <f>+VLOOKUP(E301,[1]base!M:Q,5,0)</f>
        <v>2112.7272727272725</v>
      </c>
      <c r="AD301" s="18">
        <f>+VLOOKUP(E301,[1]base!M:P,4,0)</f>
        <v>2.4242424242424242E-3</v>
      </c>
      <c r="AE301" s="19">
        <f t="shared" si="34"/>
        <v>3673.5727272727268</v>
      </c>
    </row>
    <row r="302" spans="1:31" x14ac:dyDescent="0.25">
      <c r="A302" s="20" t="s">
        <v>287</v>
      </c>
      <c r="B302" s="11">
        <v>46113.311643518522</v>
      </c>
      <c r="C302" s="12" t="s">
        <v>39</v>
      </c>
      <c r="D302" s="12" t="s">
        <v>330</v>
      </c>
      <c r="E302" s="13" t="str">
        <f t="shared" si="28"/>
        <v>LM-757</v>
      </c>
      <c r="F302" s="14" t="str">
        <f t="shared" si="29"/>
        <v>BLC</v>
      </c>
      <c r="G302" s="14">
        <f>+VLOOKUP(F302,[1]base!A:B,2,0)</f>
        <v>1</v>
      </c>
      <c r="H302" s="14">
        <v>69</v>
      </c>
      <c r="I302" s="14">
        <v>69</v>
      </c>
      <c r="J302" s="14"/>
      <c r="K302" s="14" t="s">
        <v>72</v>
      </c>
      <c r="L302" s="14" t="s">
        <v>76</v>
      </c>
      <c r="M302" s="14" t="s">
        <v>77</v>
      </c>
      <c r="N302" s="14"/>
      <c r="O302" s="14"/>
      <c r="P302" s="14"/>
      <c r="Q302" s="14">
        <v>69</v>
      </c>
      <c r="R302" s="14">
        <v>1</v>
      </c>
      <c r="S302" s="14"/>
      <c r="T302" s="15">
        <v>69</v>
      </c>
      <c r="U302" s="16"/>
      <c r="V302" s="17">
        <f>+VLOOKUP(E302,[1]base!D:K,8,0)</f>
        <v>2.7559999999999998</v>
      </c>
      <c r="W302" s="17">
        <f t="shared" si="30"/>
        <v>190.16399999999999</v>
      </c>
      <c r="X302" s="17">
        <f t="shared" si="31"/>
        <v>9.8885279999999991</v>
      </c>
      <c r="Y302" s="17">
        <f>+VLOOKUP(E302,[1]base!D:E,2,0)</f>
        <v>17</v>
      </c>
      <c r="Z302" s="17">
        <f t="shared" si="32"/>
        <v>5</v>
      </c>
      <c r="AA302" s="17">
        <f t="shared" si="33"/>
        <v>0.33333333333333348</v>
      </c>
      <c r="AB302" s="17">
        <f>+VLOOKUP(E302,[1]base!M:N,2,0)</f>
        <v>26981</v>
      </c>
      <c r="AC302" s="17">
        <f>+VLOOKUP(E302,[1]base!M:Q,5,0)</f>
        <v>13391.545454545454</v>
      </c>
      <c r="AD302" s="18">
        <f>+VLOOKUP(E302,[1]base!M:P,4,0)</f>
        <v>1.1467721843628636E-2</v>
      </c>
      <c r="AE302" s="19">
        <f t="shared" si="34"/>
        <v>7784.8893969370547</v>
      </c>
    </row>
    <row r="303" spans="1:31" x14ac:dyDescent="0.25">
      <c r="A303" s="20" t="s">
        <v>290</v>
      </c>
      <c r="B303" s="11">
        <v>46144.422951388886</v>
      </c>
      <c r="C303" s="12" t="s">
        <v>39</v>
      </c>
      <c r="D303" s="12" t="s">
        <v>330</v>
      </c>
      <c r="E303" s="13" t="str">
        <f t="shared" si="28"/>
        <v>LM-757</v>
      </c>
      <c r="F303" s="14" t="str">
        <f t="shared" si="29"/>
        <v>BLC</v>
      </c>
      <c r="G303" s="14">
        <f>+VLOOKUP(F303,[1]base!A:B,2,0)</f>
        <v>1</v>
      </c>
      <c r="H303" s="14">
        <v>134</v>
      </c>
      <c r="I303" s="14">
        <v>134</v>
      </c>
      <c r="J303" s="14"/>
      <c r="K303" s="14" t="s">
        <v>72</v>
      </c>
      <c r="L303" s="14" t="s">
        <v>76</v>
      </c>
      <c r="M303" s="14" t="s">
        <v>77</v>
      </c>
      <c r="N303" s="14"/>
      <c r="O303" s="14"/>
      <c r="P303" s="14"/>
      <c r="Q303" s="14">
        <v>134</v>
      </c>
      <c r="R303" s="14">
        <v>1</v>
      </c>
      <c r="S303" s="14">
        <v>78</v>
      </c>
      <c r="T303" s="15">
        <v>134</v>
      </c>
      <c r="U303" s="16"/>
      <c r="V303" s="17">
        <v>5</v>
      </c>
      <c r="W303" s="17">
        <f t="shared" si="30"/>
        <v>670</v>
      </c>
      <c r="X303" s="17">
        <f t="shared" si="31"/>
        <v>34.839999999999996</v>
      </c>
      <c r="Y303" s="17">
        <v>10</v>
      </c>
      <c r="Z303" s="17">
        <f t="shared" si="32"/>
        <v>14</v>
      </c>
      <c r="AA303" s="17">
        <f t="shared" si="33"/>
        <v>0.93333333333333368</v>
      </c>
      <c r="AB303" s="17">
        <f>+VLOOKUP(E303,[1]base!M:N,2,0)</f>
        <v>26981</v>
      </c>
      <c r="AC303" s="17">
        <f>+VLOOKUP(E303,[1]base!M:Q,5,0)</f>
        <v>13391.545454545454</v>
      </c>
      <c r="AD303" s="18">
        <f>+VLOOKUP(E303,[1]base!M:P,4,0)</f>
        <v>1.1467721843628636E-2</v>
      </c>
      <c r="AE303" s="19">
        <f t="shared" si="34"/>
        <v>7784.8893969370547</v>
      </c>
    </row>
    <row r="304" spans="1:31" x14ac:dyDescent="0.25">
      <c r="A304" s="20" t="s">
        <v>331</v>
      </c>
      <c r="B304" s="11">
        <v>46213.36446759259</v>
      </c>
      <c r="C304" s="12" t="s">
        <v>134</v>
      </c>
      <c r="D304" s="12" t="s">
        <v>330</v>
      </c>
      <c r="E304" s="13" t="str">
        <f t="shared" si="28"/>
        <v>LM-757</v>
      </c>
      <c r="F304" s="14" t="str">
        <f t="shared" si="29"/>
        <v>BLC</v>
      </c>
      <c r="G304" s="14">
        <f>+VLOOKUP(F304,[1]base!A:B,2,0)</f>
        <v>1</v>
      </c>
      <c r="H304" s="14">
        <v>500</v>
      </c>
      <c r="I304" s="14">
        <v>400</v>
      </c>
      <c r="J304" s="14"/>
      <c r="K304" s="14" t="s">
        <v>33</v>
      </c>
      <c r="L304" s="14" t="s">
        <v>76</v>
      </c>
      <c r="M304" s="14" t="s">
        <v>77</v>
      </c>
      <c r="N304" s="14"/>
      <c r="O304" s="14"/>
      <c r="P304" s="14"/>
      <c r="Q304" s="14">
        <v>0</v>
      </c>
      <c r="R304" s="14">
        <v>1</v>
      </c>
      <c r="S304" s="14"/>
      <c r="T304" s="15">
        <v>400</v>
      </c>
      <c r="U304" s="16"/>
      <c r="V304" s="17">
        <v>103</v>
      </c>
      <c r="W304" s="17">
        <f t="shared" si="30"/>
        <v>41200</v>
      </c>
      <c r="X304" s="17">
        <f t="shared" si="31"/>
        <v>2142.4</v>
      </c>
      <c r="Y304" s="17">
        <v>108</v>
      </c>
      <c r="Z304" s="17">
        <f t="shared" si="32"/>
        <v>4</v>
      </c>
      <c r="AA304" s="17">
        <f t="shared" si="33"/>
        <v>0.26666666666666677</v>
      </c>
      <c r="AB304" s="17">
        <f>+VLOOKUP(E304,[1]base!M:N,2,0)</f>
        <v>26981</v>
      </c>
      <c r="AC304" s="17">
        <f>+VLOOKUP(E304,[1]base!M:Q,5,0)</f>
        <v>13391.545454545454</v>
      </c>
      <c r="AD304" s="18">
        <f>+VLOOKUP(E304,[1]base!M:P,4,0)</f>
        <v>1.1467721843628636E-2</v>
      </c>
      <c r="AE304" s="19">
        <f t="shared" si="34"/>
        <v>7784.8893969370547</v>
      </c>
    </row>
    <row r="305" spans="1:31" x14ac:dyDescent="0.25">
      <c r="A305" s="20" t="s">
        <v>293</v>
      </c>
      <c r="B305" s="11">
        <v>46213.491956018515</v>
      </c>
      <c r="C305" s="12" t="s">
        <v>134</v>
      </c>
      <c r="D305" s="12" t="s">
        <v>330</v>
      </c>
      <c r="E305" s="13" t="str">
        <f t="shared" si="28"/>
        <v>LM-757</v>
      </c>
      <c r="F305" s="14" t="str">
        <f t="shared" si="29"/>
        <v>BLC</v>
      </c>
      <c r="G305" s="14">
        <f>+VLOOKUP(F305,[1]base!A:B,2,0)</f>
        <v>1</v>
      </c>
      <c r="H305" s="14">
        <v>500</v>
      </c>
      <c r="I305" s="14">
        <v>500</v>
      </c>
      <c r="J305" s="14"/>
      <c r="K305" s="14" t="s">
        <v>33</v>
      </c>
      <c r="L305" s="14" t="s">
        <v>76</v>
      </c>
      <c r="M305" s="14" t="s">
        <v>77</v>
      </c>
      <c r="N305" s="14"/>
      <c r="O305" s="14"/>
      <c r="P305" s="14"/>
      <c r="Q305" s="14">
        <v>0</v>
      </c>
      <c r="R305" s="14">
        <v>1</v>
      </c>
      <c r="S305" s="14"/>
      <c r="T305" s="15">
        <v>500</v>
      </c>
      <c r="U305" s="16"/>
      <c r="V305" s="17">
        <v>105</v>
      </c>
      <c r="W305" s="17">
        <f t="shared" si="30"/>
        <v>52500</v>
      </c>
      <c r="X305" s="17">
        <f t="shared" si="31"/>
        <v>2730</v>
      </c>
      <c r="Y305" s="17">
        <v>110</v>
      </c>
      <c r="Z305" s="17">
        <f t="shared" si="32"/>
        <v>5</v>
      </c>
      <c r="AA305" s="17">
        <f t="shared" si="33"/>
        <v>0.33333333333333348</v>
      </c>
      <c r="AB305" s="17">
        <f>+VLOOKUP(E305,[1]base!M:N,2,0)</f>
        <v>26981</v>
      </c>
      <c r="AC305" s="17">
        <f>+VLOOKUP(E305,[1]base!M:Q,5,0)</f>
        <v>13391.545454545454</v>
      </c>
      <c r="AD305" s="18">
        <f>+VLOOKUP(E305,[1]base!M:P,4,0)</f>
        <v>1.1467721843628636E-2</v>
      </c>
      <c r="AE305" s="19">
        <f t="shared" si="34"/>
        <v>7784.8893969370547</v>
      </c>
    </row>
    <row r="306" spans="1:31" x14ac:dyDescent="0.25">
      <c r="A306" s="10" t="s">
        <v>294</v>
      </c>
      <c r="B306" s="11">
        <v>46221.390555555554</v>
      </c>
      <c r="C306" s="12" t="s">
        <v>134</v>
      </c>
      <c r="D306" s="12" t="s">
        <v>330</v>
      </c>
      <c r="E306" s="13" t="str">
        <f t="shared" si="28"/>
        <v>LM-757</v>
      </c>
      <c r="F306" s="14" t="str">
        <f t="shared" si="29"/>
        <v>BLC</v>
      </c>
      <c r="G306" s="14">
        <f>+VLOOKUP(F306,[1]base!A:B,2,0)</f>
        <v>1</v>
      </c>
      <c r="H306" s="14">
        <v>1000</v>
      </c>
      <c r="I306" s="14">
        <v>440</v>
      </c>
      <c r="J306" s="14"/>
      <c r="K306" s="14" t="s">
        <v>33</v>
      </c>
      <c r="L306" s="14" t="s">
        <v>76</v>
      </c>
      <c r="M306" s="14" t="s">
        <v>77</v>
      </c>
      <c r="N306" s="14"/>
      <c r="O306" s="14"/>
      <c r="P306" s="14"/>
      <c r="Q306" s="14">
        <v>0</v>
      </c>
      <c r="R306" s="14">
        <v>1</v>
      </c>
      <c r="S306" s="14">
        <v>19</v>
      </c>
      <c r="T306" s="15">
        <v>440</v>
      </c>
      <c r="U306" s="16"/>
      <c r="V306" s="17">
        <v>169</v>
      </c>
      <c r="W306" s="17">
        <f t="shared" si="30"/>
        <v>74360</v>
      </c>
      <c r="X306" s="17">
        <f t="shared" si="31"/>
        <v>3866.72</v>
      </c>
      <c r="Y306" s="17">
        <v>174</v>
      </c>
      <c r="Z306" s="17">
        <f t="shared" si="32"/>
        <v>3</v>
      </c>
      <c r="AA306" s="17">
        <f t="shared" si="33"/>
        <v>0.20000000000000007</v>
      </c>
      <c r="AB306" s="17">
        <f>+VLOOKUP(E306,[1]base!M:N,2,0)</f>
        <v>26981</v>
      </c>
      <c r="AC306" s="17">
        <f>+VLOOKUP(E306,[1]base!M:Q,5,0)</f>
        <v>13391.545454545454</v>
      </c>
      <c r="AD306" s="18">
        <f>+VLOOKUP(E306,[1]base!M:P,4,0)</f>
        <v>1.1467721843628636E-2</v>
      </c>
      <c r="AE306" s="19">
        <f t="shared" si="34"/>
        <v>7784.8893969370547</v>
      </c>
    </row>
    <row r="307" spans="1:31" x14ac:dyDescent="0.25">
      <c r="A307" s="10" t="s">
        <v>301</v>
      </c>
      <c r="B307" s="11">
        <v>46231.547083333331</v>
      </c>
      <c r="C307" s="12" t="s">
        <v>57</v>
      </c>
      <c r="D307" s="12" t="s">
        <v>330</v>
      </c>
      <c r="E307" s="13" t="str">
        <f t="shared" si="28"/>
        <v>LM-757</v>
      </c>
      <c r="F307" s="14" t="str">
        <f t="shared" si="29"/>
        <v>BLC</v>
      </c>
      <c r="G307" s="14">
        <f>+VLOOKUP(F307,[1]base!A:B,2,0)</f>
        <v>1</v>
      </c>
      <c r="H307" s="14">
        <v>500</v>
      </c>
      <c r="I307" s="14">
        <v>50</v>
      </c>
      <c r="J307" s="14"/>
      <c r="K307" s="14" t="s">
        <v>33</v>
      </c>
      <c r="L307" s="14" t="s">
        <v>76</v>
      </c>
      <c r="M307" s="14" t="s">
        <v>77</v>
      </c>
      <c r="N307" s="14"/>
      <c r="O307" s="14"/>
      <c r="P307" s="14"/>
      <c r="Q307" s="14">
        <v>0</v>
      </c>
      <c r="R307" s="14">
        <v>1</v>
      </c>
      <c r="S307" s="14"/>
      <c r="T307" s="15">
        <v>50</v>
      </c>
      <c r="U307" s="16"/>
      <c r="V307" s="17">
        <v>306</v>
      </c>
      <c r="W307" s="17">
        <f t="shared" si="30"/>
        <v>15300</v>
      </c>
      <c r="X307" s="17">
        <f t="shared" si="31"/>
        <v>795.59999999999991</v>
      </c>
      <c r="Y307" s="17">
        <v>311</v>
      </c>
      <c r="Z307" s="17">
        <f t="shared" si="32"/>
        <v>1</v>
      </c>
      <c r="AA307" s="17">
        <f t="shared" si="33"/>
        <v>6.6666666666666693E-2</v>
      </c>
      <c r="AB307" s="17">
        <f>+VLOOKUP(E307,[1]base!M:N,2,0)</f>
        <v>26981</v>
      </c>
      <c r="AC307" s="17">
        <f>+VLOOKUP(E307,[1]base!M:Q,5,0)</f>
        <v>13391.545454545454</v>
      </c>
      <c r="AD307" s="18">
        <f>+VLOOKUP(E307,[1]base!M:P,4,0)</f>
        <v>1.1467721843628636E-2</v>
      </c>
      <c r="AE307" s="19">
        <f t="shared" si="34"/>
        <v>7784.8893969370547</v>
      </c>
    </row>
    <row r="308" spans="1:31" x14ac:dyDescent="0.25">
      <c r="A308" s="10" t="s">
        <v>303</v>
      </c>
      <c r="B308" s="11">
        <v>46237.429085648146</v>
      </c>
      <c r="C308" s="12" t="s">
        <v>304</v>
      </c>
      <c r="D308" s="12" t="s">
        <v>330</v>
      </c>
      <c r="E308" s="13" t="str">
        <f t="shared" si="28"/>
        <v>LM-757</v>
      </c>
      <c r="F308" s="14" t="str">
        <f t="shared" si="29"/>
        <v>BLC</v>
      </c>
      <c r="G308" s="14">
        <f>+VLOOKUP(F308,[1]base!A:B,2,0)</f>
        <v>1</v>
      </c>
      <c r="H308" s="14">
        <v>100</v>
      </c>
      <c r="I308" s="14">
        <v>100</v>
      </c>
      <c r="J308" s="14"/>
      <c r="K308" s="14" t="s">
        <v>33</v>
      </c>
      <c r="L308" s="14" t="s">
        <v>76</v>
      </c>
      <c r="M308" s="14" t="s">
        <v>77</v>
      </c>
      <c r="N308" s="14"/>
      <c r="O308" s="14"/>
      <c r="P308" s="14"/>
      <c r="Q308" s="14">
        <v>0</v>
      </c>
      <c r="R308" s="14">
        <v>1</v>
      </c>
      <c r="S308" s="14"/>
      <c r="T308" s="15">
        <v>100</v>
      </c>
      <c r="U308" s="16"/>
      <c r="V308" s="17">
        <v>348</v>
      </c>
      <c r="W308" s="17">
        <f t="shared" si="30"/>
        <v>34800</v>
      </c>
      <c r="X308" s="17">
        <f t="shared" si="31"/>
        <v>1809.6</v>
      </c>
      <c r="Y308" s="17">
        <v>353</v>
      </c>
      <c r="Z308" s="17">
        <f t="shared" si="32"/>
        <v>1</v>
      </c>
      <c r="AA308" s="17">
        <f t="shared" si="33"/>
        <v>6.6666666666666693E-2</v>
      </c>
      <c r="AB308" s="17">
        <f>+VLOOKUP(E308,[1]base!M:N,2,0)</f>
        <v>26981</v>
      </c>
      <c r="AC308" s="17">
        <f>+VLOOKUP(E308,[1]base!M:Q,5,0)</f>
        <v>13391.545454545454</v>
      </c>
      <c r="AD308" s="18">
        <f>+VLOOKUP(E308,[1]base!M:P,4,0)</f>
        <v>1.1467721843628636E-2</v>
      </c>
      <c r="AE308" s="19">
        <f t="shared" si="34"/>
        <v>7784.8893969370547</v>
      </c>
    </row>
    <row r="309" spans="1:31" x14ac:dyDescent="0.25">
      <c r="A309" s="10" t="s">
        <v>308</v>
      </c>
      <c r="B309" s="11">
        <v>46247.560312499998</v>
      </c>
      <c r="C309" s="12" t="s">
        <v>70</v>
      </c>
      <c r="D309" s="12" t="s">
        <v>330</v>
      </c>
      <c r="E309" s="13" t="str">
        <f t="shared" si="28"/>
        <v>LM-757</v>
      </c>
      <c r="F309" s="14" t="str">
        <f t="shared" si="29"/>
        <v>BLC</v>
      </c>
      <c r="G309" s="14">
        <f>+VLOOKUP(F309,[1]base!A:B,2,0)</f>
        <v>1</v>
      </c>
      <c r="H309" s="14">
        <v>600</v>
      </c>
      <c r="I309" s="14">
        <v>600</v>
      </c>
      <c r="J309" s="14"/>
      <c r="K309" s="14" t="s">
        <v>33</v>
      </c>
      <c r="L309" s="14" t="s">
        <v>76</v>
      </c>
      <c r="M309" s="14" t="s">
        <v>77</v>
      </c>
      <c r="N309" s="14"/>
      <c r="O309" s="14"/>
      <c r="P309" s="14"/>
      <c r="Q309" s="14">
        <v>0</v>
      </c>
      <c r="R309" s="14">
        <v>1</v>
      </c>
      <c r="S309" s="14"/>
      <c r="T309" s="15">
        <v>600</v>
      </c>
      <c r="U309" s="16"/>
      <c r="V309" s="17">
        <v>470</v>
      </c>
      <c r="W309" s="17">
        <f t="shared" si="30"/>
        <v>282000</v>
      </c>
      <c r="X309" s="17">
        <f t="shared" si="31"/>
        <v>14664</v>
      </c>
      <c r="Y309" s="17">
        <v>475</v>
      </c>
      <c r="Z309" s="17">
        <f t="shared" si="32"/>
        <v>2</v>
      </c>
      <c r="AA309" s="17">
        <f t="shared" si="33"/>
        <v>0.13333333333333339</v>
      </c>
      <c r="AB309" s="17">
        <f>+VLOOKUP(E309,[1]base!M:N,2,0)</f>
        <v>26981</v>
      </c>
      <c r="AC309" s="17">
        <f>+VLOOKUP(E309,[1]base!M:Q,5,0)</f>
        <v>13391.545454545454</v>
      </c>
      <c r="AD309" s="18">
        <f>+VLOOKUP(E309,[1]base!M:P,4,0)</f>
        <v>1.1467721843628636E-2</v>
      </c>
      <c r="AE309" s="19">
        <f t="shared" si="34"/>
        <v>7784.8893969370547</v>
      </c>
    </row>
    <row r="310" spans="1:31" x14ac:dyDescent="0.25">
      <c r="A310" s="10" t="s">
        <v>140</v>
      </c>
      <c r="B310" s="11">
        <v>46249.409236111111</v>
      </c>
      <c r="C310" s="12" t="s">
        <v>31</v>
      </c>
      <c r="D310" s="12" t="s">
        <v>330</v>
      </c>
      <c r="E310" s="13" t="str">
        <f t="shared" si="28"/>
        <v>LM-757</v>
      </c>
      <c r="F310" s="14" t="str">
        <f t="shared" si="29"/>
        <v>BLC</v>
      </c>
      <c r="G310" s="14">
        <f>+VLOOKUP(F310,[1]base!A:B,2,0)</f>
        <v>1</v>
      </c>
      <c r="H310" s="14">
        <v>100</v>
      </c>
      <c r="I310" s="14">
        <v>100</v>
      </c>
      <c r="J310" s="14"/>
      <c r="K310" s="14" t="s">
        <v>33</v>
      </c>
      <c r="L310" s="14" t="s">
        <v>76</v>
      </c>
      <c r="M310" s="14" t="s">
        <v>77</v>
      </c>
      <c r="N310" s="14"/>
      <c r="O310" s="14"/>
      <c r="P310" s="14"/>
      <c r="Q310" s="14">
        <v>0</v>
      </c>
      <c r="R310" s="14">
        <v>1</v>
      </c>
      <c r="S310" s="14"/>
      <c r="T310" s="15">
        <v>100</v>
      </c>
      <c r="U310" s="16"/>
      <c r="V310" s="17">
        <v>508</v>
      </c>
      <c r="W310" s="17">
        <f t="shared" si="30"/>
        <v>50800</v>
      </c>
      <c r="X310" s="17">
        <f t="shared" si="31"/>
        <v>2641.6</v>
      </c>
      <c r="Y310" s="17">
        <v>513</v>
      </c>
      <c r="Z310" s="17">
        <f t="shared" si="32"/>
        <v>1</v>
      </c>
      <c r="AA310" s="17">
        <f t="shared" si="33"/>
        <v>6.6666666666666693E-2</v>
      </c>
      <c r="AB310" s="17">
        <f>+VLOOKUP(E310,[1]base!M:N,2,0)</f>
        <v>26981</v>
      </c>
      <c r="AC310" s="17">
        <f>+VLOOKUP(E310,[1]base!M:Q,5,0)</f>
        <v>13391.545454545454</v>
      </c>
      <c r="AD310" s="18">
        <f>+VLOOKUP(E310,[1]base!M:P,4,0)</f>
        <v>1.1467721843628636E-2</v>
      </c>
      <c r="AE310" s="19">
        <f t="shared" si="34"/>
        <v>7784.8893969370547</v>
      </c>
    </row>
    <row r="311" spans="1:31" x14ac:dyDescent="0.25">
      <c r="A311" s="10" t="s">
        <v>309</v>
      </c>
      <c r="B311" s="11">
        <v>46254.343506944446</v>
      </c>
      <c r="C311" s="12" t="s">
        <v>57</v>
      </c>
      <c r="D311" s="12" t="s">
        <v>330</v>
      </c>
      <c r="E311" s="13" t="str">
        <f t="shared" si="28"/>
        <v>LM-757</v>
      </c>
      <c r="F311" s="14" t="str">
        <f t="shared" si="29"/>
        <v>BLC</v>
      </c>
      <c r="G311" s="14">
        <f>+VLOOKUP(F311,[1]base!A:B,2,0)</f>
        <v>1</v>
      </c>
      <c r="H311" s="14">
        <v>1000</v>
      </c>
      <c r="I311" s="14">
        <v>520</v>
      </c>
      <c r="J311" s="14"/>
      <c r="K311" s="14" t="s">
        <v>33</v>
      </c>
      <c r="L311" s="14" t="s">
        <v>76</v>
      </c>
      <c r="M311" s="14" t="s">
        <v>77</v>
      </c>
      <c r="N311" s="14"/>
      <c r="O311" s="14"/>
      <c r="P311" s="14"/>
      <c r="Q311" s="14">
        <v>0</v>
      </c>
      <c r="R311" s="14">
        <v>1</v>
      </c>
      <c r="S311" s="14"/>
      <c r="T311" s="15">
        <v>520</v>
      </c>
      <c r="U311" s="16"/>
      <c r="V311" s="17">
        <v>540</v>
      </c>
      <c r="W311" s="17">
        <f t="shared" si="30"/>
        <v>280800</v>
      </c>
      <c r="X311" s="17">
        <f t="shared" si="31"/>
        <v>14601.599999999999</v>
      </c>
      <c r="Y311" s="17">
        <v>545</v>
      </c>
      <c r="Z311" s="17">
        <f t="shared" si="32"/>
        <v>1</v>
      </c>
      <c r="AA311" s="17">
        <f t="shared" si="33"/>
        <v>6.6666666666666693E-2</v>
      </c>
      <c r="AB311" s="17">
        <f>+VLOOKUP(E311,[1]base!M:N,2,0)</f>
        <v>26981</v>
      </c>
      <c r="AC311" s="17">
        <f>+VLOOKUP(E311,[1]base!M:Q,5,0)</f>
        <v>13391.545454545454</v>
      </c>
      <c r="AD311" s="18">
        <f>+VLOOKUP(E311,[1]base!M:P,4,0)</f>
        <v>1.1467721843628636E-2</v>
      </c>
      <c r="AE311" s="19">
        <f t="shared" si="34"/>
        <v>7784.8893969370547</v>
      </c>
    </row>
    <row r="312" spans="1:31" x14ac:dyDescent="0.25">
      <c r="A312" s="10" t="s">
        <v>332</v>
      </c>
      <c r="B312" s="11">
        <v>46246.588969907411</v>
      </c>
      <c r="C312" s="12" t="s">
        <v>333</v>
      </c>
      <c r="D312" s="12" t="s">
        <v>334</v>
      </c>
      <c r="E312" s="13" t="str">
        <f t="shared" si="28"/>
        <v>02563410</v>
      </c>
      <c r="F312" s="14" t="str">
        <f t="shared" si="29"/>
        <v>blc</v>
      </c>
      <c r="G312" s="14">
        <f>+VLOOKUP(F312,[1]base!A:B,2,0)</f>
        <v>1</v>
      </c>
      <c r="H312" s="14">
        <v>3</v>
      </c>
      <c r="I312" s="14">
        <v>3</v>
      </c>
      <c r="J312" s="14"/>
      <c r="K312" s="14" t="s">
        <v>33</v>
      </c>
      <c r="L312" s="14" t="s">
        <v>76</v>
      </c>
      <c r="M312" s="14" t="s">
        <v>77</v>
      </c>
      <c r="N312" s="14"/>
      <c r="O312" s="14"/>
      <c r="P312" s="14"/>
      <c r="Q312" s="14">
        <v>0</v>
      </c>
      <c r="R312" s="14">
        <v>474</v>
      </c>
      <c r="S312" s="14"/>
      <c r="T312" s="15">
        <v>3</v>
      </c>
      <c r="U312" s="16"/>
      <c r="V312" s="17">
        <v>461</v>
      </c>
      <c r="W312" s="17">
        <f t="shared" si="30"/>
        <v>1383</v>
      </c>
      <c r="X312" s="17">
        <f t="shared" si="31"/>
        <v>71.915999999999997</v>
      </c>
      <c r="Y312" s="17">
        <v>466</v>
      </c>
      <c r="Z312" s="17">
        <f t="shared" si="32"/>
        <v>1</v>
      </c>
      <c r="AA312" s="17">
        <f t="shared" si="33"/>
        <v>6.6666666666666693E-2</v>
      </c>
      <c r="AB312" s="17" t="e">
        <f>+VLOOKUP(E312,[1]base!M:N,2,0)</f>
        <v>#N/A</v>
      </c>
      <c r="AC312" s="17" t="e">
        <f>+VLOOKUP(E312,[1]base!M:Q,5,0)</f>
        <v>#N/A</v>
      </c>
      <c r="AD312" s="18" t="e">
        <f>+VLOOKUP(E312,[1]base!M:P,4,0)</f>
        <v>#N/A</v>
      </c>
      <c r="AE312" s="19" t="e">
        <f t="shared" si="34"/>
        <v>#N/A</v>
      </c>
    </row>
    <row r="313" spans="1:31" x14ac:dyDescent="0.25">
      <c r="A313" s="10" t="s">
        <v>335</v>
      </c>
      <c r="B313" s="11">
        <v>46262.343252314815</v>
      </c>
      <c r="C313" s="12" t="s">
        <v>336</v>
      </c>
      <c r="D313" s="12" t="s">
        <v>337</v>
      </c>
      <c r="E313" s="13" t="str">
        <f t="shared" si="28"/>
        <v>C-11063</v>
      </c>
      <c r="F313" s="14" t="str">
        <f t="shared" si="29"/>
        <v>BLC</v>
      </c>
      <c r="G313" s="14">
        <f>+VLOOKUP(F313,[1]base!A:B,2,0)</f>
        <v>1</v>
      </c>
      <c r="H313" s="14">
        <v>120</v>
      </c>
      <c r="I313" s="14">
        <v>120</v>
      </c>
      <c r="J313" s="14"/>
      <c r="K313" s="14" t="s">
        <v>33</v>
      </c>
      <c r="L313" s="14" t="s">
        <v>338</v>
      </c>
      <c r="M313" s="14" t="s">
        <v>35</v>
      </c>
      <c r="N313" s="14">
        <v>120</v>
      </c>
      <c r="O313" s="14">
        <v>120</v>
      </c>
      <c r="P313" s="14">
        <v>0</v>
      </c>
      <c r="Q313" s="14">
        <v>0</v>
      </c>
      <c r="R313" s="14">
        <v>0</v>
      </c>
      <c r="S313" s="14"/>
      <c r="T313" s="15">
        <v>120</v>
      </c>
      <c r="U313" s="16"/>
      <c r="V313" s="17">
        <v>716</v>
      </c>
      <c r="W313" s="17">
        <f t="shared" si="30"/>
        <v>85920</v>
      </c>
      <c r="X313" s="17">
        <f t="shared" si="31"/>
        <v>4467.84</v>
      </c>
      <c r="Y313" s="17">
        <v>721</v>
      </c>
      <c r="Z313" s="17">
        <f t="shared" si="32"/>
        <v>1</v>
      </c>
      <c r="AA313" s="17">
        <f t="shared" si="33"/>
        <v>6.6666666666666693E-2</v>
      </c>
      <c r="AB313" s="17" t="e">
        <f>+VLOOKUP(E313,[1]base!M:N,2,0)</f>
        <v>#N/A</v>
      </c>
      <c r="AC313" s="17" t="e">
        <f>+VLOOKUP(E313,[1]base!M:Q,5,0)</f>
        <v>#N/A</v>
      </c>
      <c r="AD313" s="18" t="e">
        <f>+VLOOKUP(E313,[1]base!M:P,4,0)</f>
        <v>#N/A</v>
      </c>
      <c r="AE313" s="19" t="e">
        <f t="shared" si="34"/>
        <v>#N/A</v>
      </c>
    </row>
    <row r="314" spans="1:31" x14ac:dyDescent="0.25">
      <c r="A314" s="10" t="s">
        <v>335</v>
      </c>
      <c r="B314" s="11">
        <v>46262.343252314815</v>
      </c>
      <c r="C314" s="12" t="s">
        <v>336</v>
      </c>
      <c r="D314" s="12" t="s">
        <v>339</v>
      </c>
      <c r="E314" s="13" t="str">
        <f t="shared" si="28"/>
        <v>C-40100</v>
      </c>
      <c r="F314" s="14" t="str">
        <f t="shared" si="29"/>
        <v>BLC</v>
      </c>
      <c r="G314" s="14">
        <f>+VLOOKUP(F314,[1]base!A:B,2,0)</f>
        <v>1</v>
      </c>
      <c r="H314" s="14">
        <v>200</v>
      </c>
      <c r="I314" s="14">
        <v>200</v>
      </c>
      <c r="J314" s="14"/>
      <c r="K314" s="14" t="s">
        <v>33</v>
      </c>
      <c r="L314" s="14" t="s">
        <v>340</v>
      </c>
      <c r="M314" s="14" t="s">
        <v>35</v>
      </c>
      <c r="N314" s="14">
        <v>200</v>
      </c>
      <c r="O314" s="14">
        <v>200</v>
      </c>
      <c r="P314" s="14">
        <v>0</v>
      </c>
      <c r="Q314" s="14">
        <v>0</v>
      </c>
      <c r="R314" s="14">
        <v>0</v>
      </c>
      <c r="S314" s="14"/>
      <c r="T314" s="15">
        <v>200</v>
      </c>
      <c r="U314" s="16"/>
      <c r="V314" s="17">
        <v>718</v>
      </c>
      <c r="W314" s="17">
        <f t="shared" si="30"/>
        <v>143600</v>
      </c>
      <c r="X314" s="17">
        <f t="shared" si="31"/>
        <v>7467.2</v>
      </c>
      <c r="Y314" s="17">
        <v>723</v>
      </c>
      <c r="Z314" s="17">
        <f t="shared" si="32"/>
        <v>1</v>
      </c>
      <c r="AA314" s="17">
        <f t="shared" si="33"/>
        <v>6.6666666666666693E-2</v>
      </c>
      <c r="AB314" s="17" t="e">
        <f>+VLOOKUP(E314,[1]base!M:N,2,0)</f>
        <v>#N/A</v>
      </c>
      <c r="AC314" s="17" t="e">
        <f>+VLOOKUP(E314,[1]base!M:Q,5,0)</f>
        <v>#N/A</v>
      </c>
      <c r="AD314" s="18" t="e">
        <f>+VLOOKUP(E314,[1]base!M:P,4,0)</f>
        <v>#N/A</v>
      </c>
      <c r="AE314" s="19" t="e">
        <f t="shared" si="34"/>
        <v>#N/A</v>
      </c>
    </row>
    <row r="315" spans="1:31" x14ac:dyDescent="0.25">
      <c r="A315" s="10" t="s">
        <v>335</v>
      </c>
      <c r="B315" s="11">
        <v>46262.343252314815</v>
      </c>
      <c r="C315" s="12" t="s">
        <v>336</v>
      </c>
      <c r="D315" s="12" t="s">
        <v>341</v>
      </c>
      <c r="E315" s="13" t="str">
        <f t="shared" si="28"/>
        <v>C-40112</v>
      </c>
      <c r="F315" s="14" t="str">
        <f t="shared" si="29"/>
        <v>BLC</v>
      </c>
      <c r="G315" s="14">
        <f>+VLOOKUP(F315,[1]base!A:B,2,0)</f>
        <v>1</v>
      </c>
      <c r="H315" s="14">
        <v>118</v>
      </c>
      <c r="I315" s="14">
        <v>118</v>
      </c>
      <c r="J315" s="14"/>
      <c r="K315" s="14" t="s">
        <v>33</v>
      </c>
      <c r="L315" s="14" t="s">
        <v>342</v>
      </c>
      <c r="M315" s="14" t="s">
        <v>35</v>
      </c>
      <c r="N315" s="14">
        <v>118</v>
      </c>
      <c r="O315" s="14">
        <v>118</v>
      </c>
      <c r="P315" s="14">
        <v>0</v>
      </c>
      <c r="Q315" s="14">
        <v>0</v>
      </c>
      <c r="R315" s="14">
        <v>2</v>
      </c>
      <c r="S315" s="14"/>
      <c r="T315" s="15">
        <v>118</v>
      </c>
      <c r="U315" s="16"/>
      <c r="V315" s="17">
        <v>719</v>
      </c>
      <c r="W315" s="17">
        <f t="shared" si="30"/>
        <v>84842</v>
      </c>
      <c r="X315" s="17">
        <f t="shared" si="31"/>
        <v>4411.7839999999997</v>
      </c>
      <c r="Y315" s="17">
        <v>724</v>
      </c>
      <c r="Z315" s="17">
        <f t="shared" si="32"/>
        <v>1</v>
      </c>
      <c r="AA315" s="17">
        <f t="shared" si="33"/>
        <v>6.6666666666666693E-2</v>
      </c>
      <c r="AB315" s="17" t="e">
        <f>+VLOOKUP(E315,[1]base!M:N,2,0)</f>
        <v>#N/A</v>
      </c>
      <c r="AC315" s="17" t="e">
        <f>+VLOOKUP(E315,[1]base!M:Q,5,0)</f>
        <v>#N/A</v>
      </c>
      <c r="AD315" s="18" t="e">
        <f>+VLOOKUP(E315,[1]base!M:P,4,0)</f>
        <v>#N/A</v>
      </c>
      <c r="AE315" s="19" t="e">
        <f t="shared" si="34"/>
        <v>#N/A</v>
      </c>
    </row>
    <row r="316" spans="1:31" x14ac:dyDescent="0.25">
      <c r="A316" s="10" t="s">
        <v>335</v>
      </c>
      <c r="B316" s="11">
        <v>46262.343252314815</v>
      </c>
      <c r="C316" s="12" t="s">
        <v>336</v>
      </c>
      <c r="D316" s="12" t="s">
        <v>343</v>
      </c>
      <c r="E316" s="13" t="str">
        <f t="shared" si="28"/>
        <v>C-6012</v>
      </c>
      <c r="F316" s="14" t="str">
        <f t="shared" si="29"/>
        <v>BLC</v>
      </c>
      <c r="G316" s="14">
        <f>+VLOOKUP(F316,[1]base!A:B,2,0)</f>
        <v>1</v>
      </c>
      <c r="H316" s="14">
        <v>198</v>
      </c>
      <c r="I316" s="14">
        <v>198</v>
      </c>
      <c r="J316" s="14"/>
      <c r="K316" s="14" t="s">
        <v>33</v>
      </c>
      <c r="L316" s="14" t="s">
        <v>344</v>
      </c>
      <c r="M316" s="14" t="s">
        <v>35</v>
      </c>
      <c r="N316" s="14">
        <v>198</v>
      </c>
      <c r="O316" s="14">
        <v>198</v>
      </c>
      <c r="P316" s="14">
        <v>0</v>
      </c>
      <c r="Q316" s="14">
        <v>0</v>
      </c>
      <c r="R316" s="14">
        <v>12</v>
      </c>
      <c r="S316" s="14"/>
      <c r="T316" s="15">
        <v>198</v>
      </c>
      <c r="U316" s="16"/>
      <c r="V316" s="17">
        <v>720</v>
      </c>
      <c r="W316" s="17">
        <f t="shared" si="30"/>
        <v>142560</v>
      </c>
      <c r="X316" s="17">
        <f t="shared" si="31"/>
        <v>7413.12</v>
      </c>
      <c r="Y316" s="17">
        <v>725</v>
      </c>
      <c r="Z316" s="17">
        <f t="shared" si="32"/>
        <v>1</v>
      </c>
      <c r="AA316" s="17">
        <f t="shared" si="33"/>
        <v>6.6666666666666693E-2</v>
      </c>
      <c r="AB316" s="17" t="e">
        <f>+VLOOKUP(E316,[1]base!M:N,2,0)</f>
        <v>#N/A</v>
      </c>
      <c r="AC316" s="17" t="e">
        <f>+VLOOKUP(E316,[1]base!M:Q,5,0)</f>
        <v>#N/A</v>
      </c>
      <c r="AD316" s="18" t="e">
        <f>+VLOOKUP(E316,[1]base!M:P,4,0)</f>
        <v>#N/A</v>
      </c>
      <c r="AE316" s="19" t="e">
        <f t="shared" si="34"/>
        <v>#N/A</v>
      </c>
    </row>
    <row r="317" spans="1:31" x14ac:dyDescent="0.25">
      <c r="A317" s="10" t="s">
        <v>335</v>
      </c>
      <c r="B317" s="11">
        <v>46262.343252314815</v>
      </c>
      <c r="C317" s="12" t="s">
        <v>336</v>
      </c>
      <c r="D317" s="12" t="s">
        <v>345</v>
      </c>
      <c r="E317" s="13" t="str">
        <f t="shared" si="28"/>
        <v>C-80105</v>
      </c>
      <c r="F317" s="14" t="str">
        <f t="shared" si="29"/>
        <v>BLC</v>
      </c>
      <c r="G317" s="14">
        <f>+VLOOKUP(F317,[1]base!A:B,2,0)</f>
        <v>1</v>
      </c>
      <c r="H317" s="14">
        <v>329</v>
      </c>
      <c r="I317" s="14">
        <v>329</v>
      </c>
      <c r="J317" s="14"/>
      <c r="K317" s="14" t="s">
        <v>33</v>
      </c>
      <c r="L317" s="14" t="s">
        <v>346</v>
      </c>
      <c r="M317" s="14" t="s">
        <v>35</v>
      </c>
      <c r="N317" s="14">
        <v>329</v>
      </c>
      <c r="O317" s="14">
        <v>329</v>
      </c>
      <c r="P317" s="14">
        <v>0</v>
      </c>
      <c r="Q317" s="14">
        <v>0</v>
      </c>
      <c r="R317" s="14">
        <v>5</v>
      </c>
      <c r="S317" s="14"/>
      <c r="T317" s="15">
        <v>329</v>
      </c>
      <c r="U317" s="16"/>
      <c r="V317" s="17">
        <v>721</v>
      </c>
      <c r="W317" s="17">
        <f t="shared" si="30"/>
        <v>237209</v>
      </c>
      <c r="X317" s="17">
        <f t="shared" si="31"/>
        <v>12334.867999999999</v>
      </c>
      <c r="Y317" s="17">
        <v>726</v>
      </c>
      <c r="Z317" s="17">
        <f t="shared" si="32"/>
        <v>1</v>
      </c>
      <c r="AA317" s="17">
        <f t="shared" si="33"/>
        <v>6.6666666666666693E-2</v>
      </c>
      <c r="AB317" s="17" t="e">
        <f>+VLOOKUP(E317,[1]base!M:N,2,0)</f>
        <v>#N/A</v>
      </c>
      <c r="AC317" s="17" t="e">
        <f>+VLOOKUP(E317,[1]base!M:Q,5,0)</f>
        <v>#N/A</v>
      </c>
      <c r="AD317" s="18" t="e">
        <f>+VLOOKUP(E317,[1]base!M:P,4,0)</f>
        <v>#N/A</v>
      </c>
      <c r="AE317" s="19" t="e">
        <f t="shared" si="34"/>
        <v>#N/A</v>
      </c>
    </row>
    <row r="318" spans="1:31" x14ac:dyDescent="0.25">
      <c r="A318" s="10" t="s">
        <v>335</v>
      </c>
      <c r="B318" s="11">
        <v>46262.343252314815</v>
      </c>
      <c r="C318" s="12" t="s">
        <v>336</v>
      </c>
      <c r="D318" s="12" t="s">
        <v>347</v>
      </c>
      <c r="E318" s="13" t="str">
        <f t="shared" si="28"/>
        <v>C-EC6011</v>
      </c>
      <c r="F318" s="14" t="str">
        <f t="shared" si="29"/>
        <v>BLC</v>
      </c>
      <c r="G318" s="14">
        <f>+VLOOKUP(F318,[1]base!A:B,2,0)</f>
        <v>1</v>
      </c>
      <c r="H318" s="14">
        <v>51</v>
      </c>
      <c r="I318" s="14">
        <v>51</v>
      </c>
      <c r="J318" s="14"/>
      <c r="K318" s="14" t="s">
        <v>33</v>
      </c>
      <c r="L318" s="14" t="s">
        <v>348</v>
      </c>
      <c r="M318" s="14" t="s">
        <v>35</v>
      </c>
      <c r="N318" s="14">
        <v>51</v>
      </c>
      <c r="O318" s="14">
        <v>51</v>
      </c>
      <c r="P318" s="14">
        <v>0</v>
      </c>
      <c r="Q318" s="14">
        <v>0</v>
      </c>
      <c r="R318" s="14">
        <v>0</v>
      </c>
      <c r="S318" s="14"/>
      <c r="T318" s="15">
        <v>51</v>
      </c>
      <c r="U318" s="16"/>
      <c r="V318" s="17">
        <v>722</v>
      </c>
      <c r="W318" s="17">
        <f t="shared" si="30"/>
        <v>36822</v>
      </c>
      <c r="X318" s="17">
        <f t="shared" si="31"/>
        <v>1914.7439999999999</v>
      </c>
      <c r="Y318" s="17">
        <v>727</v>
      </c>
      <c r="Z318" s="17">
        <f t="shared" si="32"/>
        <v>1</v>
      </c>
      <c r="AA318" s="17">
        <f t="shared" si="33"/>
        <v>6.6666666666666693E-2</v>
      </c>
      <c r="AB318" s="17" t="e">
        <f>+VLOOKUP(E318,[1]base!M:N,2,0)</f>
        <v>#N/A</v>
      </c>
      <c r="AC318" s="17" t="e">
        <f>+VLOOKUP(E318,[1]base!M:Q,5,0)</f>
        <v>#N/A</v>
      </c>
      <c r="AD318" s="18" t="e">
        <f>+VLOOKUP(E318,[1]base!M:P,4,0)</f>
        <v>#N/A</v>
      </c>
      <c r="AE318" s="19" t="e">
        <f t="shared" si="34"/>
        <v>#N/A</v>
      </c>
    </row>
    <row r="319" spans="1:31" x14ac:dyDescent="0.25">
      <c r="A319" s="10" t="s">
        <v>335</v>
      </c>
      <c r="B319" s="11">
        <v>46262.343252314815</v>
      </c>
      <c r="C319" s="12" t="s">
        <v>336</v>
      </c>
      <c r="D319" s="12" t="s">
        <v>349</v>
      </c>
      <c r="E319" s="13" t="str">
        <f t="shared" si="28"/>
        <v>C-EC80106</v>
      </c>
      <c r="F319" s="14" t="str">
        <f t="shared" si="29"/>
        <v>BLC</v>
      </c>
      <c r="G319" s="14">
        <f>+VLOOKUP(F319,[1]base!A:B,2,0)</f>
        <v>1</v>
      </c>
      <c r="H319" s="14">
        <v>142</v>
      </c>
      <c r="I319" s="14">
        <v>142</v>
      </c>
      <c r="J319" s="14"/>
      <c r="K319" s="14" t="s">
        <v>33</v>
      </c>
      <c r="L319" s="14" t="s">
        <v>350</v>
      </c>
      <c r="M319" s="14" t="s">
        <v>35</v>
      </c>
      <c r="N319" s="14">
        <v>142</v>
      </c>
      <c r="O319" s="14">
        <v>142</v>
      </c>
      <c r="P319" s="14">
        <v>0</v>
      </c>
      <c r="Q319" s="14">
        <v>0</v>
      </c>
      <c r="R319" s="14">
        <v>1</v>
      </c>
      <c r="S319" s="14"/>
      <c r="T319" s="15">
        <v>142</v>
      </c>
      <c r="U319" s="16"/>
      <c r="V319" s="17">
        <v>717</v>
      </c>
      <c r="W319" s="17">
        <f t="shared" si="30"/>
        <v>101814</v>
      </c>
      <c r="X319" s="17">
        <f t="shared" si="31"/>
        <v>5294.3279999999995</v>
      </c>
      <c r="Y319" s="17">
        <v>722</v>
      </c>
      <c r="Z319" s="17">
        <f t="shared" si="32"/>
        <v>1</v>
      </c>
      <c r="AA319" s="17">
        <f t="shared" si="33"/>
        <v>6.6666666666666693E-2</v>
      </c>
      <c r="AB319" s="17" t="e">
        <f>+VLOOKUP(E319,[1]base!M:N,2,0)</f>
        <v>#N/A</v>
      </c>
      <c r="AC319" s="17" t="e">
        <f>+VLOOKUP(E319,[1]base!M:Q,5,0)</f>
        <v>#N/A</v>
      </c>
      <c r="AD319" s="18" t="e">
        <f>+VLOOKUP(E319,[1]base!M:P,4,0)</f>
        <v>#N/A</v>
      </c>
      <c r="AE319" s="19" t="e">
        <f t="shared" si="34"/>
        <v>#N/A</v>
      </c>
    </row>
    <row r="320" spans="1:31" x14ac:dyDescent="0.25">
      <c r="A320" s="10" t="s">
        <v>335</v>
      </c>
      <c r="B320" s="11">
        <v>46262.343252314815</v>
      </c>
      <c r="C320" s="12" t="s">
        <v>336</v>
      </c>
      <c r="D320" s="12" t="s">
        <v>351</v>
      </c>
      <c r="E320" s="13" t="str">
        <f t="shared" si="28"/>
        <v>C-PS6007</v>
      </c>
      <c r="F320" s="14" t="str">
        <f t="shared" si="29"/>
        <v>BLC</v>
      </c>
      <c r="G320" s="14">
        <f>+VLOOKUP(F320,[1]base!A:B,2,0)</f>
        <v>1</v>
      </c>
      <c r="H320" s="14">
        <v>548</v>
      </c>
      <c r="I320" s="14">
        <v>548</v>
      </c>
      <c r="J320" s="14"/>
      <c r="K320" s="14" t="s">
        <v>33</v>
      </c>
      <c r="L320" s="14" t="s">
        <v>352</v>
      </c>
      <c r="M320" s="14" t="s">
        <v>35</v>
      </c>
      <c r="N320" s="14">
        <v>548</v>
      </c>
      <c r="O320" s="14">
        <v>548</v>
      </c>
      <c r="P320" s="14">
        <v>0</v>
      </c>
      <c r="Q320" s="14">
        <v>0</v>
      </c>
      <c r="R320" s="14">
        <v>120</v>
      </c>
      <c r="S320" s="14"/>
      <c r="T320" s="15">
        <v>548</v>
      </c>
      <c r="U320" s="16"/>
      <c r="V320" s="17">
        <v>723</v>
      </c>
      <c r="W320" s="17">
        <f t="shared" si="30"/>
        <v>396204</v>
      </c>
      <c r="X320" s="17">
        <f t="shared" si="31"/>
        <v>20602.608</v>
      </c>
      <c r="Y320" s="17">
        <v>728</v>
      </c>
      <c r="Z320" s="17">
        <f t="shared" si="32"/>
        <v>1</v>
      </c>
      <c r="AA320" s="17">
        <f t="shared" si="33"/>
        <v>6.6666666666666693E-2</v>
      </c>
      <c r="AB320" s="17" t="e">
        <f>+VLOOKUP(E320,[1]base!M:N,2,0)</f>
        <v>#N/A</v>
      </c>
      <c r="AC320" s="17" t="e">
        <f>+VLOOKUP(E320,[1]base!M:Q,5,0)</f>
        <v>#N/A</v>
      </c>
      <c r="AD320" s="18" t="e">
        <f>+VLOOKUP(E320,[1]base!M:P,4,0)</f>
        <v>#N/A</v>
      </c>
      <c r="AE320" s="19" t="e">
        <f t="shared" si="34"/>
        <v>#N/A</v>
      </c>
    </row>
    <row r="321" spans="1:31" x14ac:dyDescent="0.25">
      <c r="A321" s="10" t="s">
        <v>165</v>
      </c>
      <c r="B321" s="11">
        <v>46255.317893518521</v>
      </c>
      <c r="C321" s="12" t="s">
        <v>83</v>
      </c>
      <c r="D321" s="12" t="s">
        <v>353</v>
      </c>
      <c r="E321" s="13" t="str">
        <f t="shared" si="28"/>
        <v>GLLMDP-100</v>
      </c>
      <c r="F321" s="14" t="str">
        <f t="shared" si="29"/>
        <v>BLC</v>
      </c>
      <c r="G321" s="14">
        <f>+VLOOKUP(F321,[1]base!A:B,2,0)</f>
        <v>1</v>
      </c>
      <c r="H321" s="14">
        <v>1</v>
      </c>
      <c r="I321" s="14">
        <v>1</v>
      </c>
      <c r="J321" s="14"/>
      <c r="K321" s="14" t="s">
        <v>33</v>
      </c>
      <c r="L321" s="14" t="s">
        <v>354</v>
      </c>
      <c r="M321" s="14" t="s">
        <v>35</v>
      </c>
      <c r="N321" s="14">
        <v>1</v>
      </c>
      <c r="O321" s="14">
        <v>1</v>
      </c>
      <c r="P321" s="14">
        <v>0</v>
      </c>
      <c r="Q321" s="14">
        <v>0</v>
      </c>
      <c r="R321" s="14">
        <v>0</v>
      </c>
      <c r="S321" s="14"/>
      <c r="T321" s="15">
        <v>1</v>
      </c>
      <c r="U321" s="16"/>
      <c r="V321" s="17">
        <v>553</v>
      </c>
      <c r="W321" s="17">
        <f t="shared" si="30"/>
        <v>553</v>
      </c>
      <c r="X321" s="17">
        <f t="shared" si="31"/>
        <v>28.756</v>
      </c>
      <c r="Y321" s="17">
        <v>558</v>
      </c>
      <c r="Z321" s="17">
        <f t="shared" si="32"/>
        <v>1</v>
      </c>
      <c r="AA321" s="17">
        <f t="shared" si="33"/>
        <v>6.6666666666666693E-2</v>
      </c>
      <c r="AB321" s="17" t="e">
        <f>+VLOOKUP(E321,[1]base!M:N,2,0)</f>
        <v>#N/A</v>
      </c>
      <c r="AC321" s="17" t="e">
        <f>+VLOOKUP(E321,[1]base!M:Q,5,0)</f>
        <v>#N/A</v>
      </c>
      <c r="AD321" s="18" t="e">
        <f>+VLOOKUP(E321,[1]base!M:P,4,0)</f>
        <v>#N/A</v>
      </c>
      <c r="AE321" s="19" t="e">
        <f t="shared" si="34"/>
        <v>#N/A</v>
      </c>
    </row>
    <row r="322" spans="1:31" x14ac:dyDescent="0.25">
      <c r="A322" s="10" t="s">
        <v>355</v>
      </c>
      <c r="B322" s="11">
        <v>46232.635439814818</v>
      </c>
      <c r="C322" s="12" t="s">
        <v>86</v>
      </c>
      <c r="D322" s="12" t="s">
        <v>356</v>
      </c>
      <c r="E322" s="13" t="str">
        <f t="shared" ref="E322:E385" si="35">_xlfn.TEXTBEFORE(D322, "-", -1, 1, , D322)</f>
        <v>KITOB</v>
      </c>
      <c r="F322" s="14" t="str">
        <f t="shared" ref="F322:F385" si="36">_xlfn.TEXTAFTER(D322, "-", -1, 1, , "")</f>
        <v>BLC</v>
      </c>
      <c r="G322" s="14">
        <f>+VLOOKUP(F322,[1]base!A:B,2,0)</f>
        <v>1</v>
      </c>
      <c r="H322" s="14">
        <v>3</v>
      </c>
      <c r="I322" s="14">
        <v>3</v>
      </c>
      <c r="J322" s="14"/>
      <c r="K322" s="14" t="s">
        <v>33</v>
      </c>
      <c r="L322" s="14" t="s">
        <v>76</v>
      </c>
      <c r="M322" s="14" t="s">
        <v>77</v>
      </c>
      <c r="N322" s="14"/>
      <c r="O322" s="14"/>
      <c r="P322" s="14"/>
      <c r="Q322" s="14">
        <v>0</v>
      </c>
      <c r="R322" s="14">
        <v>3</v>
      </c>
      <c r="S322" s="14"/>
      <c r="T322" s="15">
        <v>3</v>
      </c>
      <c r="U322" s="16"/>
      <c r="V322" s="17">
        <v>313</v>
      </c>
      <c r="W322" s="17">
        <f t="shared" ref="W322:W385" si="37">(T322+U322)*V322</f>
        <v>939</v>
      </c>
      <c r="X322" s="17">
        <f t="shared" ref="X322:X385" si="38">+W322*0.052</f>
        <v>48.827999999999996</v>
      </c>
      <c r="Y322" s="17">
        <v>318</v>
      </c>
      <c r="Z322" s="17">
        <f t="shared" ref="Z322:Z385" si="39">ROUNDUP(T322/Y322,0)</f>
        <v>1</v>
      </c>
      <c r="AA322" s="17">
        <f t="shared" ref="AA322:AA385" si="40">+Z322*0.0666666666666667</f>
        <v>6.6666666666666693E-2</v>
      </c>
      <c r="AB322" s="17" t="e">
        <f>+VLOOKUP(E322,[1]base!M:N,2,0)</f>
        <v>#N/A</v>
      </c>
      <c r="AC322" s="17" t="e">
        <f>+VLOOKUP(E322,[1]base!M:Q,5,0)</f>
        <v>#N/A</v>
      </c>
      <c r="AD322" s="18" t="e">
        <f>+VLOOKUP(E322,[1]base!M:P,4,0)</f>
        <v>#N/A</v>
      </c>
      <c r="AE322" s="19" t="e">
        <f t="shared" ref="AE322:AE385" si="41">+AB322*(30%-AD322)</f>
        <v>#N/A</v>
      </c>
    </row>
    <row r="323" spans="1:31" x14ac:dyDescent="0.25">
      <c r="A323" s="20" t="s">
        <v>357</v>
      </c>
      <c r="B323" s="11">
        <v>46218.542569444442</v>
      </c>
      <c r="C323" s="12" t="s">
        <v>31</v>
      </c>
      <c r="D323" s="12" t="s">
        <v>356</v>
      </c>
      <c r="E323" s="13" t="str">
        <f t="shared" si="35"/>
        <v>KITOB</v>
      </c>
      <c r="F323" s="14" t="str">
        <f t="shared" si="36"/>
        <v>BLC</v>
      </c>
      <c r="G323" s="14">
        <f>+VLOOKUP(F323,[1]base!A:B,2,0)</f>
        <v>1</v>
      </c>
      <c r="H323" s="14">
        <v>2</v>
      </c>
      <c r="I323" s="14">
        <v>2</v>
      </c>
      <c r="J323" s="14"/>
      <c r="K323" s="14" t="s">
        <v>33</v>
      </c>
      <c r="L323" s="14" t="s">
        <v>358</v>
      </c>
      <c r="M323" s="14" t="s">
        <v>35</v>
      </c>
      <c r="N323" s="14">
        <v>2</v>
      </c>
      <c r="O323" s="14">
        <v>2</v>
      </c>
      <c r="P323" s="14">
        <v>0</v>
      </c>
      <c r="Q323" s="14">
        <v>0</v>
      </c>
      <c r="R323" s="14">
        <v>3</v>
      </c>
      <c r="S323" s="14"/>
      <c r="T323" s="15">
        <v>2</v>
      </c>
      <c r="U323" s="16"/>
      <c r="V323" s="17">
        <v>118</v>
      </c>
      <c r="W323" s="17">
        <f t="shared" si="37"/>
        <v>236</v>
      </c>
      <c r="X323" s="17">
        <f t="shared" si="38"/>
        <v>12.272</v>
      </c>
      <c r="Y323" s="17">
        <v>123</v>
      </c>
      <c r="Z323" s="17">
        <f t="shared" si="39"/>
        <v>1</v>
      </c>
      <c r="AA323" s="17">
        <f t="shared" si="40"/>
        <v>6.6666666666666693E-2</v>
      </c>
      <c r="AB323" s="17" t="e">
        <f>+VLOOKUP(E323,[1]base!M:N,2,0)</f>
        <v>#N/A</v>
      </c>
      <c r="AC323" s="17" t="e">
        <f>+VLOOKUP(E323,[1]base!M:Q,5,0)</f>
        <v>#N/A</v>
      </c>
      <c r="AD323" s="18" t="e">
        <f>+VLOOKUP(E323,[1]base!M:P,4,0)</f>
        <v>#N/A</v>
      </c>
      <c r="AE323" s="19" t="e">
        <f t="shared" si="41"/>
        <v>#N/A</v>
      </c>
    </row>
    <row r="324" spans="1:31" x14ac:dyDescent="0.25">
      <c r="A324" s="10" t="s">
        <v>123</v>
      </c>
      <c r="B324" s="11">
        <v>46220.474386574075</v>
      </c>
      <c r="C324" s="12" t="s">
        <v>124</v>
      </c>
      <c r="D324" s="12" t="s">
        <v>359</v>
      </c>
      <c r="E324" s="13" t="str">
        <f t="shared" si="35"/>
        <v>PoiK</v>
      </c>
      <c r="F324" s="14" t="str">
        <f t="shared" si="36"/>
        <v>BLC</v>
      </c>
      <c r="G324" s="14">
        <f>+VLOOKUP(F324,[1]base!A:B,2,0)</f>
        <v>1</v>
      </c>
      <c r="H324" s="14">
        <v>10</v>
      </c>
      <c r="I324" s="14">
        <v>10</v>
      </c>
      <c r="J324" s="14"/>
      <c r="K324" s="14" t="s">
        <v>33</v>
      </c>
      <c r="L324" s="14" t="s">
        <v>76</v>
      </c>
      <c r="M324" s="14" t="s">
        <v>77</v>
      </c>
      <c r="N324" s="14"/>
      <c r="O324" s="14"/>
      <c r="P324" s="14"/>
      <c r="Q324" s="14">
        <v>0</v>
      </c>
      <c r="R324" s="14">
        <v>203</v>
      </c>
      <c r="S324" s="14"/>
      <c r="T324" s="15">
        <v>10</v>
      </c>
      <c r="U324" s="16"/>
      <c r="V324" s="17">
        <v>166</v>
      </c>
      <c r="W324" s="17">
        <f t="shared" si="37"/>
        <v>1660</v>
      </c>
      <c r="X324" s="17">
        <f t="shared" si="38"/>
        <v>86.32</v>
      </c>
      <c r="Y324" s="17">
        <v>171</v>
      </c>
      <c r="Z324" s="17">
        <f t="shared" si="39"/>
        <v>1</v>
      </c>
      <c r="AA324" s="17">
        <f t="shared" si="40"/>
        <v>6.6666666666666693E-2</v>
      </c>
      <c r="AB324" s="17" t="e">
        <f>+VLOOKUP(E324,[1]base!M:N,2,0)</f>
        <v>#N/A</v>
      </c>
      <c r="AC324" s="17" t="e">
        <f>+VLOOKUP(E324,[1]base!M:Q,5,0)</f>
        <v>#N/A</v>
      </c>
      <c r="AD324" s="18" t="e">
        <f>+VLOOKUP(E324,[1]base!M:P,4,0)</f>
        <v>#N/A</v>
      </c>
      <c r="AE324" s="19" t="e">
        <f t="shared" si="41"/>
        <v>#N/A</v>
      </c>
    </row>
    <row r="325" spans="1:31" x14ac:dyDescent="0.25">
      <c r="A325" s="10" t="s">
        <v>360</v>
      </c>
      <c r="B325" s="11">
        <v>46234.302766203706</v>
      </c>
      <c r="C325" s="12" t="s">
        <v>57</v>
      </c>
      <c r="D325" s="12" t="s">
        <v>361</v>
      </c>
      <c r="E325" s="13" t="str">
        <f t="shared" si="35"/>
        <v>FR148</v>
      </c>
      <c r="F325" s="14" t="str">
        <f t="shared" si="36"/>
        <v>R9016</v>
      </c>
      <c r="G325" s="14">
        <f>+VLOOKUP(F325,[1]base!A:B,2,0)</f>
        <v>3</v>
      </c>
      <c r="H325" s="14">
        <v>10</v>
      </c>
      <c r="I325" s="14">
        <v>10</v>
      </c>
      <c r="J325" s="14"/>
      <c r="K325" s="14" t="s">
        <v>33</v>
      </c>
      <c r="L325" s="14" t="s">
        <v>76</v>
      </c>
      <c r="M325" s="14" t="s">
        <v>77</v>
      </c>
      <c r="N325" s="14"/>
      <c r="O325" s="14"/>
      <c r="P325" s="14"/>
      <c r="Q325" s="14">
        <v>0</v>
      </c>
      <c r="R325" s="14">
        <v>5</v>
      </c>
      <c r="S325" s="14"/>
      <c r="T325" s="15">
        <v>10</v>
      </c>
      <c r="U325" s="16"/>
      <c r="V325" s="17">
        <v>330</v>
      </c>
      <c r="W325" s="17">
        <f t="shared" si="37"/>
        <v>3300</v>
      </c>
      <c r="X325" s="17">
        <f t="shared" si="38"/>
        <v>171.6</v>
      </c>
      <c r="Y325" s="17">
        <v>335</v>
      </c>
      <c r="Z325" s="17">
        <f t="shared" si="39"/>
        <v>1</v>
      </c>
      <c r="AA325" s="17">
        <f t="shared" si="40"/>
        <v>6.6666666666666693E-2</v>
      </c>
      <c r="AB325" s="17">
        <f>+VLOOKUP(E325,[1]base!M:N,2,0)</f>
        <v>18</v>
      </c>
      <c r="AC325" s="17">
        <f>+VLOOKUP(E325,[1]base!M:Q,5,0)</f>
        <v>92.285714285714292</v>
      </c>
      <c r="AD325" s="18">
        <f>+VLOOKUP(E325,[1]base!M:P,4,0)</f>
        <v>0.53846153846153844</v>
      </c>
      <c r="AE325" s="19">
        <f t="shared" si="41"/>
        <v>-4.2923076923076922</v>
      </c>
    </row>
    <row r="326" spans="1:31" x14ac:dyDescent="0.25">
      <c r="A326" s="10" t="s">
        <v>362</v>
      </c>
      <c r="B326" s="11">
        <v>46220.346909722219</v>
      </c>
      <c r="C326" s="12" t="s">
        <v>70</v>
      </c>
      <c r="D326" s="12" t="s">
        <v>363</v>
      </c>
      <c r="E326" s="13" t="str">
        <f t="shared" si="35"/>
        <v>FR102</v>
      </c>
      <c r="F326" s="14" t="str">
        <f t="shared" si="36"/>
        <v>R9016</v>
      </c>
      <c r="G326" s="14">
        <f>+VLOOKUP(F326,[1]base!A:B,2,0)</f>
        <v>3</v>
      </c>
      <c r="H326" s="14">
        <v>30</v>
      </c>
      <c r="I326" s="14">
        <v>30</v>
      </c>
      <c r="J326" s="14"/>
      <c r="K326" s="14" t="s">
        <v>72</v>
      </c>
      <c r="L326" s="14" t="s">
        <v>364</v>
      </c>
      <c r="M326" s="14" t="s">
        <v>35</v>
      </c>
      <c r="N326" s="14">
        <v>30</v>
      </c>
      <c r="O326" s="14">
        <v>30</v>
      </c>
      <c r="P326" s="14">
        <v>0</v>
      </c>
      <c r="Q326" s="14">
        <v>30</v>
      </c>
      <c r="R326" s="14">
        <v>164</v>
      </c>
      <c r="S326" s="14"/>
      <c r="T326" s="15">
        <v>30</v>
      </c>
      <c r="U326" s="16"/>
      <c r="V326" s="17">
        <v>157</v>
      </c>
      <c r="W326" s="17">
        <f t="shared" si="37"/>
        <v>4710</v>
      </c>
      <c r="X326" s="17">
        <f t="shared" si="38"/>
        <v>244.92</v>
      </c>
      <c r="Y326" s="17">
        <v>162</v>
      </c>
      <c r="Z326" s="17">
        <f t="shared" si="39"/>
        <v>1</v>
      </c>
      <c r="AA326" s="17">
        <f t="shared" si="40"/>
        <v>6.6666666666666693E-2</v>
      </c>
      <c r="AB326" s="17">
        <f>+VLOOKUP(E326,[1]base!M:N,2,0)</f>
        <v>58</v>
      </c>
      <c r="AC326" s="17">
        <f>+VLOOKUP(E326,[1]base!M:Q,5,0)</f>
        <v>201.6</v>
      </c>
      <c r="AD326" s="18">
        <f>+VLOOKUP(E326,[1]base!M:P,4,0)</f>
        <v>0.75107296137339052</v>
      </c>
      <c r="AE326" s="19">
        <f t="shared" si="41"/>
        <v>-26.162231759656652</v>
      </c>
    </row>
    <row r="327" spans="1:31" x14ac:dyDescent="0.25">
      <c r="A327" s="10" t="s">
        <v>216</v>
      </c>
      <c r="B327" s="11">
        <v>46266.555497685185</v>
      </c>
      <c r="C327" s="12" t="s">
        <v>39</v>
      </c>
      <c r="D327" s="12" t="s">
        <v>365</v>
      </c>
      <c r="E327" s="13" t="str">
        <f t="shared" si="35"/>
        <v>LM-S758</v>
      </c>
      <c r="F327" s="14" t="str">
        <f t="shared" si="36"/>
        <v>R9016</v>
      </c>
      <c r="G327" s="14">
        <f>+VLOOKUP(F327,[1]base!A:B,2,0)</f>
        <v>3</v>
      </c>
      <c r="H327" s="14">
        <v>30</v>
      </c>
      <c r="I327" s="14">
        <v>30</v>
      </c>
      <c r="J327" s="14"/>
      <c r="K327" s="14" t="s">
        <v>33</v>
      </c>
      <c r="L327" s="14" t="s">
        <v>366</v>
      </c>
      <c r="M327" s="14" t="s">
        <v>35</v>
      </c>
      <c r="N327" s="14">
        <v>30</v>
      </c>
      <c r="O327" s="14">
        <v>30</v>
      </c>
      <c r="P327" s="14">
        <v>0</v>
      </c>
      <c r="Q327" s="14">
        <v>0</v>
      </c>
      <c r="R327" s="14">
        <v>48</v>
      </c>
      <c r="S327" s="14"/>
      <c r="T327" s="15">
        <v>30</v>
      </c>
      <c r="U327" s="16"/>
      <c r="V327" s="17">
        <v>953</v>
      </c>
      <c r="W327" s="17">
        <f t="shared" si="37"/>
        <v>28590</v>
      </c>
      <c r="X327" s="17">
        <f t="shared" si="38"/>
        <v>1486.6799999999998</v>
      </c>
      <c r="Y327" s="17">
        <v>958</v>
      </c>
      <c r="Z327" s="17">
        <f t="shared" si="39"/>
        <v>1</v>
      </c>
      <c r="AA327" s="17">
        <f t="shared" si="40"/>
        <v>6.6666666666666693E-2</v>
      </c>
      <c r="AB327" s="17">
        <f>+VLOOKUP(E327,[1]base!M:N,2,0)</f>
        <v>1989</v>
      </c>
      <c r="AC327" s="17">
        <f>+VLOOKUP(E327,[1]base!M:Q,5,0)</f>
        <v>1750.6</v>
      </c>
      <c r="AD327" s="18">
        <f>+VLOOKUP(E327,[1]base!M:P,4,0)</f>
        <v>3.3527696793002916E-2</v>
      </c>
      <c r="AE327" s="19">
        <f t="shared" si="41"/>
        <v>530.01341107871713</v>
      </c>
    </row>
    <row r="328" spans="1:31" x14ac:dyDescent="0.25">
      <c r="A328" s="20" t="s">
        <v>287</v>
      </c>
      <c r="B328" s="11">
        <v>46113.311643518522</v>
      </c>
      <c r="C328" s="12" t="s">
        <v>39</v>
      </c>
      <c r="D328" s="12" t="s">
        <v>367</v>
      </c>
      <c r="E328" s="13" t="str">
        <f t="shared" si="35"/>
        <v>LM-F/6</v>
      </c>
      <c r="F328" s="14" t="str">
        <f t="shared" si="36"/>
        <v>R9016</v>
      </c>
      <c r="G328" s="14">
        <f>+VLOOKUP(F328,[1]base!A:B,2,0)</f>
        <v>3</v>
      </c>
      <c r="H328" s="14">
        <v>11</v>
      </c>
      <c r="I328" s="14">
        <v>11</v>
      </c>
      <c r="J328" s="14"/>
      <c r="K328" s="14" t="s">
        <v>33</v>
      </c>
      <c r="L328" s="14" t="s">
        <v>76</v>
      </c>
      <c r="M328" s="14" t="s">
        <v>77</v>
      </c>
      <c r="N328" s="14"/>
      <c r="O328" s="14"/>
      <c r="P328" s="14"/>
      <c r="Q328" s="14">
        <v>0</v>
      </c>
      <c r="R328" s="14">
        <v>369</v>
      </c>
      <c r="S328" s="14">
        <v>7</v>
      </c>
      <c r="T328" s="15">
        <v>11</v>
      </c>
      <c r="U328" s="16"/>
      <c r="V328" s="17">
        <f>+VLOOKUP(E328,[1]base!D:K,8,0)</f>
        <v>2.8405</v>
      </c>
      <c r="W328" s="17">
        <f t="shared" si="37"/>
        <v>31.2455</v>
      </c>
      <c r="X328" s="17">
        <f t="shared" si="38"/>
        <v>1.6247659999999999</v>
      </c>
      <c r="Y328" s="17">
        <f>+VLOOKUP(E328,[1]base!D:E,2,0)</f>
        <v>17</v>
      </c>
      <c r="Z328" s="17">
        <f t="shared" si="39"/>
        <v>1</v>
      </c>
      <c r="AA328" s="17">
        <f t="shared" si="40"/>
        <v>6.6666666666666693E-2</v>
      </c>
      <c r="AB328" s="17">
        <f>+VLOOKUP(E328,[1]base!M:N,2,0)</f>
        <v>4160</v>
      </c>
      <c r="AC328" s="17">
        <f>+VLOOKUP(E328,[1]base!M:Q,5,0)</f>
        <v>1927.6</v>
      </c>
      <c r="AD328" s="18">
        <f>+VLOOKUP(E328,[1]base!M:P,4,0)</f>
        <v>-4.4379084967320264</v>
      </c>
      <c r="AE328" s="19">
        <f t="shared" si="41"/>
        <v>19709.699346405228</v>
      </c>
    </row>
    <row r="329" spans="1:31" x14ac:dyDescent="0.25">
      <c r="A329" s="20" t="s">
        <v>319</v>
      </c>
      <c r="B329" s="11">
        <v>46185.610590277778</v>
      </c>
      <c r="C329" s="12" t="s">
        <v>320</v>
      </c>
      <c r="D329" s="12" t="s">
        <v>367</v>
      </c>
      <c r="E329" s="13" t="str">
        <f t="shared" si="35"/>
        <v>LM-F/6</v>
      </c>
      <c r="F329" s="14" t="str">
        <f t="shared" si="36"/>
        <v>R9016</v>
      </c>
      <c r="G329" s="14">
        <f>+VLOOKUP(F329,[1]base!A:B,2,0)</f>
        <v>3</v>
      </c>
      <c r="H329" s="14">
        <v>17</v>
      </c>
      <c r="I329" s="14">
        <v>17</v>
      </c>
      <c r="J329" s="14"/>
      <c r="K329" s="14" t="s">
        <v>33</v>
      </c>
      <c r="L329" s="14" t="s">
        <v>76</v>
      </c>
      <c r="M329" s="14" t="s">
        <v>77</v>
      </c>
      <c r="N329" s="14"/>
      <c r="O329" s="14"/>
      <c r="P329" s="14"/>
      <c r="Q329" s="14">
        <v>0</v>
      </c>
      <c r="R329" s="14">
        <v>369</v>
      </c>
      <c r="S329" s="14"/>
      <c r="T329" s="15">
        <v>17</v>
      </c>
      <c r="U329" s="16"/>
      <c r="V329" s="17">
        <v>5</v>
      </c>
      <c r="W329" s="17">
        <f t="shared" si="37"/>
        <v>85</v>
      </c>
      <c r="X329" s="17">
        <f t="shared" si="38"/>
        <v>4.42</v>
      </c>
      <c r="Y329" s="17">
        <v>10</v>
      </c>
      <c r="Z329" s="17">
        <f t="shared" si="39"/>
        <v>2</v>
      </c>
      <c r="AA329" s="17">
        <f t="shared" si="40"/>
        <v>0.13333333333333339</v>
      </c>
      <c r="AB329" s="17">
        <f>+VLOOKUP(E329,[1]base!M:N,2,0)</f>
        <v>4160</v>
      </c>
      <c r="AC329" s="17">
        <f>+VLOOKUP(E329,[1]base!M:Q,5,0)</f>
        <v>1927.6</v>
      </c>
      <c r="AD329" s="18">
        <f>+VLOOKUP(E329,[1]base!M:P,4,0)</f>
        <v>-4.4379084967320264</v>
      </c>
      <c r="AE329" s="19">
        <f t="shared" si="41"/>
        <v>19709.699346405228</v>
      </c>
    </row>
    <row r="330" spans="1:31" x14ac:dyDescent="0.25">
      <c r="A330" s="10" t="s">
        <v>106</v>
      </c>
      <c r="B330" s="11">
        <v>46226.41915509259</v>
      </c>
      <c r="C330" s="12" t="s">
        <v>107</v>
      </c>
      <c r="D330" s="12" t="s">
        <v>367</v>
      </c>
      <c r="E330" s="13" t="str">
        <f t="shared" si="35"/>
        <v>LM-F/6</v>
      </c>
      <c r="F330" s="14" t="str">
        <f t="shared" si="36"/>
        <v>R9016</v>
      </c>
      <c r="G330" s="14">
        <f>+VLOOKUP(F330,[1]base!A:B,2,0)</f>
        <v>3</v>
      </c>
      <c r="H330" s="14">
        <v>50</v>
      </c>
      <c r="I330" s="14">
        <v>10</v>
      </c>
      <c r="J330" s="14"/>
      <c r="K330" s="14" t="s">
        <v>72</v>
      </c>
      <c r="L330" s="14" t="s">
        <v>76</v>
      </c>
      <c r="M330" s="14" t="s">
        <v>77</v>
      </c>
      <c r="N330" s="14"/>
      <c r="O330" s="14"/>
      <c r="P330" s="14"/>
      <c r="Q330" s="14">
        <v>24</v>
      </c>
      <c r="R330" s="14">
        <v>369</v>
      </c>
      <c r="S330" s="14"/>
      <c r="T330" s="15">
        <v>10</v>
      </c>
      <c r="U330" s="16"/>
      <c r="V330" s="17">
        <v>246</v>
      </c>
      <c r="W330" s="17">
        <f t="shared" si="37"/>
        <v>2460</v>
      </c>
      <c r="X330" s="17">
        <f t="shared" si="38"/>
        <v>127.91999999999999</v>
      </c>
      <c r="Y330" s="17">
        <v>251</v>
      </c>
      <c r="Z330" s="17">
        <f t="shared" si="39"/>
        <v>1</v>
      </c>
      <c r="AA330" s="17">
        <f t="shared" si="40"/>
        <v>6.6666666666666693E-2</v>
      </c>
      <c r="AB330" s="17">
        <f>+VLOOKUP(E330,[1]base!M:N,2,0)</f>
        <v>4160</v>
      </c>
      <c r="AC330" s="17">
        <f>+VLOOKUP(E330,[1]base!M:Q,5,0)</f>
        <v>1927.6</v>
      </c>
      <c r="AD330" s="18">
        <f>+VLOOKUP(E330,[1]base!M:P,4,0)</f>
        <v>-4.4379084967320264</v>
      </c>
      <c r="AE330" s="19">
        <f t="shared" si="41"/>
        <v>19709.699346405228</v>
      </c>
    </row>
    <row r="331" spans="1:31" x14ac:dyDescent="0.25">
      <c r="A331" s="10" t="s">
        <v>216</v>
      </c>
      <c r="B331" s="11">
        <v>46266.555497685185</v>
      </c>
      <c r="C331" s="12" t="s">
        <v>39</v>
      </c>
      <c r="D331" s="12" t="s">
        <v>368</v>
      </c>
      <c r="E331" s="13" t="str">
        <f t="shared" si="35"/>
        <v>GL11060/248</v>
      </c>
      <c r="F331" s="14" t="str">
        <f t="shared" si="36"/>
        <v>R9016</v>
      </c>
      <c r="G331" s="14">
        <f>+VLOOKUP(F331,[1]base!A:B,2,0)</f>
        <v>3</v>
      </c>
      <c r="H331" s="14">
        <v>30</v>
      </c>
      <c r="I331" s="14">
        <v>30</v>
      </c>
      <c r="J331" s="14"/>
      <c r="K331" s="14" t="s">
        <v>33</v>
      </c>
      <c r="L331" s="14" t="s">
        <v>369</v>
      </c>
      <c r="M331" s="14" t="s">
        <v>35</v>
      </c>
      <c r="N331" s="14">
        <v>30</v>
      </c>
      <c r="O331" s="14">
        <v>30</v>
      </c>
      <c r="P331" s="14">
        <v>0</v>
      </c>
      <c r="Q331" s="14">
        <v>0</v>
      </c>
      <c r="R331" s="14">
        <v>0</v>
      </c>
      <c r="S331" s="14"/>
      <c r="T331" s="15">
        <v>30</v>
      </c>
      <c r="U331" s="16"/>
      <c r="V331" s="17">
        <v>952</v>
      </c>
      <c r="W331" s="17">
        <f t="shared" si="37"/>
        <v>28560</v>
      </c>
      <c r="X331" s="17">
        <f t="shared" si="38"/>
        <v>1485.12</v>
      </c>
      <c r="Y331" s="17">
        <v>957</v>
      </c>
      <c r="Z331" s="17">
        <f t="shared" si="39"/>
        <v>1</v>
      </c>
      <c r="AA331" s="17">
        <f t="shared" si="40"/>
        <v>6.6666666666666693E-2</v>
      </c>
      <c r="AB331" s="17">
        <f>+VLOOKUP(E331,[1]base!M:N,2,0)</f>
        <v>12345</v>
      </c>
      <c r="AC331" s="17">
        <f>+VLOOKUP(E331,[1]base!M:Q,5,0)</f>
        <v>2112.7272727272725</v>
      </c>
      <c r="AD331" s="18">
        <f>+VLOOKUP(E331,[1]base!M:P,4,0)</f>
        <v>2.4242424242424242E-3</v>
      </c>
      <c r="AE331" s="19">
        <f t="shared" si="41"/>
        <v>3673.5727272727268</v>
      </c>
    </row>
    <row r="332" spans="1:31" x14ac:dyDescent="0.25">
      <c r="A332" s="10" t="s">
        <v>216</v>
      </c>
      <c r="B332" s="11">
        <v>46266.555497685185</v>
      </c>
      <c r="C332" s="12" t="s">
        <v>39</v>
      </c>
      <c r="D332" s="12" t="s">
        <v>370</v>
      </c>
      <c r="E332" s="13" t="str">
        <f t="shared" si="35"/>
        <v>LM-757</v>
      </c>
      <c r="F332" s="14" t="str">
        <f t="shared" si="36"/>
        <v>R9016</v>
      </c>
      <c r="G332" s="14">
        <f>+VLOOKUP(F332,[1]base!A:B,2,0)</f>
        <v>3</v>
      </c>
      <c r="H332" s="14">
        <v>100</v>
      </c>
      <c r="I332" s="14">
        <v>100</v>
      </c>
      <c r="J332" s="14"/>
      <c r="K332" s="14" t="s">
        <v>33</v>
      </c>
      <c r="L332" s="14" t="s">
        <v>371</v>
      </c>
      <c r="M332" s="14" t="s">
        <v>35</v>
      </c>
      <c r="N332" s="14">
        <v>100</v>
      </c>
      <c r="O332" s="14">
        <v>100</v>
      </c>
      <c r="P332" s="14">
        <v>0</v>
      </c>
      <c r="Q332" s="14">
        <v>0</v>
      </c>
      <c r="R332" s="14">
        <v>89</v>
      </c>
      <c r="S332" s="14"/>
      <c r="T332" s="15">
        <v>100</v>
      </c>
      <c r="U332" s="16"/>
      <c r="V332" s="17">
        <v>950</v>
      </c>
      <c r="W332" s="17">
        <f t="shared" si="37"/>
        <v>95000</v>
      </c>
      <c r="X332" s="17">
        <f t="shared" si="38"/>
        <v>4940</v>
      </c>
      <c r="Y332" s="17">
        <v>955</v>
      </c>
      <c r="Z332" s="17">
        <f t="shared" si="39"/>
        <v>1</v>
      </c>
      <c r="AA332" s="17">
        <f t="shared" si="40"/>
        <v>6.6666666666666693E-2</v>
      </c>
      <c r="AB332" s="17">
        <f>+VLOOKUP(E332,[1]base!M:N,2,0)</f>
        <v>26981</v>
      </c>
      <c r="AC332" s="17">
        <f>+VLOOKUP(E332,[1]base!M:Q,5,0)</f>
        <v>13391.545454545454</v>
      </c>
      <c r="AD332" s="18">
        <f>+VLOOKUP(E332,[1]base!M:P,4,0)</f>
        <v>1.1467721843628636E-2</v>
      </c>
      <c r="AE332" s="19">
        <f t="shared" si="41"/>
        <v>7784.8893969370547</v>
      </c>
    </row>
    <row r="333" spans="1:31" x14ac:dyDescent="0.25">
      <c r="A333" s="10" t="s">
        <v>372</v>
      </c>
      <c r="B333" s="11">
        <v>46265.444305555553</v>
      </c>
      <c r="C333" s="12" t="s">
        <v>39</v>
      </c>
      <c r="D333" s="12" t="s">
        <v>373</v>
      </c>
      <c r="E333" s="13" t="str">
        <f t="shared" si="35"/>
        <v>VOLET ORT1</v>
      </c>
      <c r="F333" s="14" t="str">
        <f t="shared" si="36"/>
        <v>PURITY</v>
      </c>
      <c r="G333" s="14">
        <f>+VLOOKUP(F333,[1]base!A:B,2,0)</f>
        <v>4</v>
      </c>
      <c r="H333" s="14">
        <v>3</v>
      </c>
      <c r="I333" s="14">
        <v>3</v>
      </c>
      <c r="J333" s="14"/>
      <c r="K333" s="14" t="s">
        <v>33</v>
      </c>
      <c r="L333" s="14" t="s">
        <v>374</v>
      </c>
      <c r="M333" s="14" t="s">
        <v>35</v>
      </c>
      <c r="N333" s="14">
        <v>3</v>
      </c>
      <c r="O333" s="14">
        <v>3</v>
      </c>
      <c r="P333" s="14">
        <v>0</v>
      </c>
      <c r="Q333" s="14">
        <v>0</v>
      </c>
      <c r="R333" s="14">
        <v>0</v>
      </c>
      <c r="S333" s="14"/>
      <c r="T333" s="15">
        <v>3</v>
      </c>
      <c r="U333" s="16"/>
      <c r="V333" s="17">
        <v>819</v>
      </c>
      <c r="W333" s="17">
        <f t="shared" si="37"/>
        <v>2457</v>
      </c>
      <c r="X333" s="17">
        <f t="shared" si="38"/>
        <v>127.764</v>
      </c>
      <c r="Y333" s="17">
        <v>824</v>
      </c>
      <c r="Z333" s="17">
        <f t="shared" si="39"/>
        <v>1</v>
      </c>
      <c r="AA333" s="17">
        <f t="shared" si="40"/>
        <v>6.6666666666666693E-2</v>
      </c>
      <c r="AB333" s="17" t="e">
        <f>+VLOOKUP(E333,[1]base!M:N,2,0)</f>
        <v>#N/A</v>
      </c>
      <c r="AC333" s="17" t="e">
        <f>+VLOOKUP(E333,[1]base!M:Q,5,0)</f>
        <v>#N/A</v>
      </c>
      <c r="AD333" s="18" t="e">
        <f>+VLOOKUP(E333,[1]base!M:P,4,0)</f>
        <v>#N/A</v>
      </c>
      <c r="AE333" s="19" t="e">
        <f t="shared" si="41"/>
        <v>#N/A</v>
      </c>
    </row>
    <row r="334" spans="1:31" x14ac:dyDescent="0.25">
      <c r="A334" s="10" t="s">
        <v>372</v>
      </c>
      <c r="B334" s="11">
        <v>46265.444305555553</v>
      </c>
      <c r="C334" s="12" t="s">
        <v>39</v>
      </c>
      <c r="D334" s="12" t="s">
        <v>375</v>
      </c>
      <c r="E334" s="13" t="str">
        <f t="shared" si="35"/>
        <v>VOLET ORT2</v>
      </c>
      <c r="F334" s="14" t="str">
        <f t="shared" si="36"/>
        <v>PURITY</v>
      </c>
      <c r="G334" s="14">
        <f>+VLOOKUP(F334,[1]base!A:B,2,0)</f>
        <v>4</v>
      </c>
      <c r="H334" s="14">
        <v>4</v>
      </c>
      <c r="I334" s="14">
        <v>4</v>
      </c>
      <c r="J334" s="14"/>
      <c r="K334" s="14" t="s">
        <v>33</v>
      </c>
      <c r="L334" s="14" t="s">
        <v>376</v>
      </c>
      <c r="M334" s="14" t="s">
        <v>35</v>
      </c>
      <c r="N334" s="14">
        <v>4</v>
      </c>
      <c r="O334" s="14">
        <v>4</v>
      </c>
      <c r="P334" s="14">
        <v>0</v>
      </c>
      <c r="Q334" s="14">
        <v>0</v>
      </c>
      <c r="R334" s="14">
        <v>0</v>
      </c>
      <c r="S334" s="14"/>
      <c r="T334" s="15">
        <v>4</v>
      </c>
      <c r="U334" s="16"/>
      <c r="V334" s="17">
        <v>821</v>
      </c>
      <c r="W334" s="17">
        <f t="shared" si="37"/>
        <v>3284</v>
      </c>
      <c r="X334" s="17">
        <f t="shared" si="38"/>
        <v>170.768</v>
      </c>
      <c r="Y334" s="17">
        <v>826</v>
      </c>
      <c r="Z334" s="17">
        <f t="shared" si="39"/>
        <v>1</v>
      </c>
      <c r="AA334" s="17">
        <f t="shared" si="40"/>
        <v>6.6666666666666693E-2</v>
      </c>
      <c r="AB334" s="17" t="e">
        <f>+VLOOKUP(E334,[1]base!M:N,2,0)</f>
        <v>#N/A</v>
      </c>
      <c r="AC334" s="17" t="e">
        <f>+VLOOKUP(E334,[1]base!M:Q,5,0)</f>
        <v>#N/A</v>
      </c>
      <c r="AD334" s="18" t="e">
        <f>+VLOOKUP(E334,[1]base!M:P,4,0)</f>
        <v>#N/A</v>
      </c>
      <c r="AE334" s="19" t="e">
        <f t="shared" si="41"/>
        <v>#N/A</v>
      </c>
    </row>
    <row r="335" spans="1:31" x14ac:dyDescent="0.25">
      <c r="A335" s="10" t="s">
        <v>372</v>
      </c>
      <c r="B335" s="11">
        <v>46265.444305555553</v>
      </c>
      <c r="C335" s="12" t="s">
        <v>39</v>
      </c>
      <c r="D335" s="12" t="s">
        <v>377</v>
      </c>
      <c r="E335" s="13" t="str">
        <f t="shared" si="35"/>
        <v>VOLET ORT3</v>
      </c>
      <c r="F335" s="14" t="str">
        <f t="shared" si="36"/>
        <v>PURITY</v>
      </c>
      <c r="G335" s="14">
        <f>+VLOOKUP(F335,[1]base!A:B,2,0)</f>
        <v>4</v>
      </c>
      <c r="H335" s="14">
        <v>2</v>
      </c>
      <c r="I335" s="14">
        <v>2</v>
      </c>
      <c r="J335" s="14"/>
      <c r="K335" s="14" t="s">
        <v>33</v>
      </c>
      <c r="L335" s="14" t="s">
        <v>378</v>
      </c>
      <c r="M335" s="14" t="s">
        <v>35</v>
      </c>
      <c r="N335" s="14">
        <v>2</v>
      </c>
      <c r="O335" s="14">
        <v>2</v>
      </c>
      <c r="P335" s="14">
        <v>0</v>
      </c>
      <c r="Q335" s="14">
        <v>0</v>
      </c>
      <c r="R335" s="14">
        <v>0</v>
      </c>
      <c r="S335" s="14"/>
      <c r="T335" s="15">
        <v>2</v>
      </c>
      <c r="U335" s="16"/>
      <c r="V335" s="17">
        <v>820</v>
      </c>
      <c r="W335" s="17">
        <f t="shared" si="37"/>
        <v>1640</v>
      </c>
      <c r="X335" s="17">
        <f t="shared" si="38"/>
        <v>85.28</v>
      </c>
      <c r="Y335" s="17">
        <v>825</v>
      </c>
      <c r="Z335" s="17">
        <f t="shared" si="39"/>
        <v>1</v>
      </c>
      <c r="AA335" s="17">
        <f t="shared" si="40"/>
        <v>6.6666666666666693E-2</v>
      </c>
      <c r="AB335" s="17" t="e">
        <f>+VLOOKUP(E335,[1]base!M:N,2,0)</f>
        <v>#N/A</v>
      </c>
      <c r="AC335" s="17" t="e">
        <f>+VLOOKUP(E335,[1]base!M:Q,5,0)</f>
        <v>#N/A</v>
      </c>
      <c r="AD335" s="18" t="e">
        <f>+VLOOKUP(E335,[1]base!M:P,4,0)</f>
        <v>#N/A</v>
      </c>
      <c r="AE335" s="19" t="e">
        <f t="shared" si="41"/>
        <v>#N/A</v>
      </c>
    </row>
    <row r="336" spans="1:31" x14ac:dyDescent="0.25">
      <c r="A336" s="10" t="s">
        <v>379</v>
      </c>
      <c r="B336" s="11">
        <v>46252.540810185186</v>
      </c>
      <c r="C336" s="12" t="s">
        <v>39</v>
      </c>
      <c r="D336" s="12" t="s">
        <v>380</v>
      </c>
      <c r="E336" s="13" t="str">
        <f t="shared" si="35"/>
        <v>P057 Piece</v>
      </c>
      <c r="F336" s="14" t="str">
        <f t="shared" si="36"/>
        <v>R1013</v>
      </c>
      <c r="G336" s="14">
        <f>+VLOOKUP(F336,[1]base!A:B,2,0)</f>
        <v>6</v>
      </c>
      <c r="H336" s="14">
        <v>150</v>
      </c>
      <c r="I336" s="14">
        <v>150</v>
      </c>
      <c r="J336" s="14"/>
      <c r="K336" s="14" t="s">
        <v>33</v>
      </c>
      <c r="L336" s="14" t="s">
        <v>381</v>
      </c>
      <c r="M336" s="14" t="s">
        <v>35</v>
      </c>
      <c r="N336" s="14">
        <v>150</v>
      </c>
      <c r="O336" s="14">
        <v>150</v>
      </c>
      <c r="P336" s="14">
        <v>0</v>
      </c>
      <c r="Q336" s="14">
        <v>0</v>
      </c>
      <c r="R336" s="14">
        <v>0</v>
      </c>
      <c r="S336" s="14"/>
      <c r="T336" s="15">
        <v>150</v>
      </c>
      <c r="U336" s="16"/>
      <c r="V336" s="17">
        <v>523</v>
      </c>
      <c r="W336" s="17">
        <f t="shared" si="37"/>
        <v>78450</v>
      </c>
      <c r="X336" s="17">
        <f t="shared" si="38"/>
        <v>4079.3999999999996</v>
      </c>
      <c r="Y336" s="17">
        <v>528</v>
      </c>
      <c r="Z336" s="17">
        <f t="shared" si="39"/>
        <v>1</v>
      </c>
      <c r="AA336" s="17">
        <f t="shared" si="40"/>
        <v>6.6666666666666693E-2</v>
      </c>
      <c r="AB336" s="17" t="e">
        <f>+VLOOKUP(E336,[1]base!M:N,2,0)</f>
        <v>#N/A</v>
      </c>
      <c r="AC336" s="17" t="e">
        <f>+VLOOKUP(E336,[1]base!M:Q,5,0)</f>
        <v>#N/A</v>
      </c>
      <c r="AD336" s="18" t="e">
        <f>+VLOOKUP(E336,[1]base!M:P,4,0)</f>
        <v>#N/A</v>
      </c>
      <c r="AE336" s="19" t="e">
        <f t="shared" si="41"/>
        <v>#N/A</v>
      </c>
    </row>
    <row r="337" spans="1:31" x14ac:dyDescent="0.25">
      <c r="A337" s="10" t="s">
        <v>285</v>
      </c>
      <c r="B337" s="11">
        <v>46262.577372685184</v>
      </c>
      <c r="C337" s="12" t="s">
        <v>262</v>
      </c>
      <c r="D337" s="12" t="s">
        <v>382</v>
      </c>
      <c r="E337" s="13" t="str">
        <f t="shared" si="35"/>
        <v>FR148</v>
      </c>
      <c r="F337" s="14" t="str">
        <f t="shared" si="36"/>
        <v>SUN</v>
      </c>
      <c r="G337" s="14">
        <f>+VLOOKUP(F337,[1]base!A:B,2,0)</f>
        <v>7</v>
      </c>
      <c r="H337" s="14">
        <v>2</v>
      </c>
      <c r="I337" s="14">
        <v>2</v>
      </c>
      <c r="J337" s="14"/>
      <c r="K337" s="14" t="s">
        <v>33</v>
      </c>
      <c r="L337" s="14" t="s">
        <v>383</v>
      </c>
      <c r="M337" s="14" t="s">
        <v>35</v>
      </c>
      <c r="N337" s="14">
        <v>2</v>
      </c>
      <c r="O337" s="14">
        <v>2</v>
      </c>
      <c r="P337" s="14">
        <v>0</v>
      </c>
      <c r="Q337" s="14">
        <v>0</v>
      </c>
      <c r="R337" s="14">
        <v>0</v>
      </c>
      <c r="S337" s="14"/>
      <c r="T337" s="15">
        <v>2</v>
      </c>
      <c r="U337" s="16"/>
      <c r="V337" s="17">
        <v>735</v>
      </c>
      <c r="W337" s="17">
        <f t="shared" si="37"/>
        <v>1470</v>
      </c>
      <c r="X337" s="17">
        <f t="shared" si="38"/>
        <v>76.44</v>
      </c>
      <c r="Y337" s="17">
        <v>740</v>
      </c>
      <c r="Z337" s="17">
        <f t="shared" si="39"/>
        <v>1</v>
      </c>
      <c r="AA337" s="17">
        <f t="shared" si="40"/>
        <v>6.6666666666666693E-2</v>
      </c>
      <c r="AB337" s="17">
        <f>+VLOOKUP(E337,[1]base!M:N,2,0)</f>
        <v>18</v>
      </c>
      <c r="AC337" s="17">
        <f>+VLOOKUP(E337,[1]base!M:Q,5,0)</f>
        <v>92.285714285714292</v>
      </c>
      <c r="AD337" s="18">
        <f>+VLOOKUP(E337,[1]base!M:P,4,0)</f>
        <v>0.53846153846153844</v>
      </c>
      <c r="AE337" s="19">
        <f t="shared" si="41"/>
        <v>-4.2923076923076922</v>
      </c>
    </row>
    <row r="338" spans="1:31" x14ac:dyDescent="0.25">
      <c r="A338" s="10" t="s">
        <v>285</v>
      </c>
      <c r="B338" s="11">
        <v>46262.577372685184</v>
      </c>
      <c r="C338" s="12" t="s">
        <v>262</v>
      </c>
      <c r="D338" s="12" t="s">
        <v>384</v>
      </c>
      <c r="E338" s="13" t="str">
        <f t="shared" si="35"/>
        <v>FR102</v>
      </c>
      <c r="F338" s="14" t="str">
        <f t="shared" si="36"/>
        <v>SUN</v>
      </c>
      <c r="G338" s="14">
        <f>+VLOOKUP(F338,[1]base!A:B,2,0)</f>
        <v>7</v>
      </c>
      <c r="H338" s="14">
        <v>6</v>
      </c>
      <c r="I338" s="14">
        <v>6</v>
      </c>
      <c r="J338" s="14"/>
      <c r="K338" s="14" t="s">
        <v>33</v>
      </c>
      <c r="L338" s="14" t="s">
        <v>385</v>
      </c>
      <c r="M338" s="14" t="s">
        <v>35</v>
      </c>
      <c r="N338" s="14">
        <v>6</v>
      </c>
      <c r="O338" s="14">
        <v>6</v>
      </c>
      <c r="P338" s="14">
        <v>0</v>
      </c>
      <c r="Q338" s="14">
        <v>0</v>
      </c>
      <c r="R338" s="14">
        <v>0</v>
      </c>
      <c r="S338" s="14"/>
      <c r="T338" s="15">
        <v>6</v>
      </c>
      <c r="U338" s="16"/>
      <c r="V338" s="17">
        <v>732</v>
      </c>
      <c r="W338" s="17">
        <f t="shared" si="37"/>
        <v>4392</v>
      </c>
      <c r="X338" s="17">
        <f t="shared" si="38"/>
        <v>228.38399999999999</v>
      </c>
      <c r="Y338" s="17">
        <v>737</v>
      </c>
      <c r="Z338" s="17">
        <f t="shared" si="39"/>
        <v>1</v>
      </c>
      <c r="AA338" s="17">
        <f t="shared" si="40"/>
        <v>6.6666666666666693E-2</v>
      </c>
      <c r="AB338" s="17">
        <f>+VLOOKUP(E338,[1]base!M:N,2,0)</f>
        <v>58</v>
      </c>
      <c r="AC338" s="17">
        <f>+VLOOKUP(E338,[1]base!M:Q,5,0)</f>
        <v>201.6</v>
      </c>
      <c r="AD338" s="18">
        <f>+VLOOKUP(E338,[1]base!M:P,4,0)</f>
        <v>0.75107296137339052</v>
      </c>
      <c r="AE338" s="19">
        <f t="shared" si="41"/>
        <v>-26.162231759656652</v>
      </c>
    </row>
    <row r="339" spans="1:31" x14ac:dyDescent="0.25">
      <c r="A339" s="10" t="s">
        <v>285</v>
      </c>
      <c r="B339" s="11">
        <v>46262.577372685184</v>
      </c>
      <c r="C339" s="12" t="s">
        <v>262</v>
      </c>
      <c r="D339" s="12" t="s">
        <v>386</v>
      </c>
      <c r="E339" s="13" t="str">
        <f t="shared" si="35"/>
        <v>FR100</v>
      </c>
      <c r="F339" s="14" t="str">
        <f t="shared" si="36"/>
        <v>SUN</v>
      </c>
      <c r="G339" s="14">
        <f>+VLOOKUP(F339,[1]base!A:B,2,0)</f>
        <v>7</v>
      </c>
      <c r="H339" s="14">
        <v>5</v>
      </c>
      <c r="I339" s="14">
        <v>5</v>
      </c>
      <c r="J339" s="14"/>
      <c r="K339" s="14" t="s">
        <v>33</v>
      </c>
      <c r="L339" s="14" t="s">
        <v>387</v>
      </c>
      <c r="M339" s="14" t="s">
        <v>35</v>
      </c>
      <c r="N339" s="14">
        <v>5</v>
      </c>
      <c r="O339" s="14">
        <v>5</v>
      </c>
      <c r="P339" s="14">
        <v>0</v>
      </c>
      <c r="Q339" s="14">
        <v>0</v>
      </c>
      <c r="R339" s="14">
        <v>0</v>
      </c>
      <c r="S339" s="14"/>
      <c r="T339" s="15">
        <v>5</v>
      </c>
      <c r="U339" s="16"/>
      <c r="V339" s="17">
        <v>734</v>
      </c>
      <c r="W339" s="17">
        <f t="shared" si="37"/>
        <v>3670</v>
      </c>
      <c r="X339" s="17">
        <f t="shared" si="38"/>
        <v>190.84</v>
      </c>
      <c r="Y339" s="17">
        <v>739</v>
      </c>
      <c r="Z339" s="17">
        <f t="shared" si="39"/>
        <v>1</v>
      </c>
      <c r="AA339" s="17">
        <f t="shared" si="40"/>
        <v>6.6666666666666693E-2</v>
      </c>
      <c r="AB339" s="17">
        <f>+VLOOKUP(E339,[1]base!M:N,2,0)</f>
        <v>1365</v>
      </c>
      <c r="AC339" s="17">
        <f>+VLOOKUP(E339,[1]base!M:Q,5,0)</f>
        <v>812.5</v>
      </c>
      <c r="AD339" s="18">
        <f>+VLOOKUP(E339,[1]base!M:P,4,0)</f>
        <v>7.4576271186440682E-2</v>
      </c>
      <c r="AE339" s="19">
        <f t="shared" si="41"/>
        <v>307.70338983050846</v>
      </c>
    </row>
    <row r="340" spans="1:31" x14ac:dyDescent="0.25">
      <c r="A340" s="10" t="s">
        <v>388</v>
      </c>
      <c r="B340" s="11">
        <v>46262.610023148147</v>
      </c>
      <c r="C340" s="12" t="s">
        <v>130</v>
      </c>
      <c r="D340" s="12" t="s">
        <v>389</v>
      </c>
      <c r="E340" s="13" t="str">
        <f t="shared" si="35"/>
        <v>LM-S758</v>
      </c>
      <c r="F340" s="14" t="str">
        <f t="shared" si="36"/>
        <v>SUN</v>
      </c>
      <c r="G340" s="14">
        <f>+VLOOKUP(F340,[1]base!A:B,2,0)</f>
        <v>7</v>
      </c>
      <c r="H340" s="14">
        <v>1</v>
      </c>
      <c r="I340" s="14">
        <v>1</v>
      </c>
      <c r="J340" s="14"/>
      <c r="K340" s="14" t="s">
        <v>33</v>
      </c>
      <c r="L340" s="14" t="s">
        <v>390</v>
      </c>
      <c r="M340" s="14" t="s">
        <v>35</v>
      </c>
      <c r="N340" s="14">
        <v>1</v>
      </c>
      <c r="O340" s="14">
        <v>1</v>
      </c>
      <c r="P340" s="14">
        <v>0</v>
      </c>
      <c r="Q340" s="14">
        <v>0</v>
      </c>
      <c r="R340" s="14">
        <v>0</v>
      </c>
      <c r="S340" s="14"/>
      <c r="T340" s="15">
        <v>1</v>
      </c>
      <c r="U340" s="16"/>
      <c r="V340" s="17">
        <v>737</v>
      </c>
      <c r="W340" s="17">
        <f t="shared" si="37"/>
        <v>737</v>
      </c>
      <c r="X340" s="17">
        <f t="shared" si="38"/>
        <v>38.323999999999998</v>
      </c>
      <c r="Y340" s="17">
        <v>742</v>
      </c>
      <c r="Z340" s="17">
        <f t="shared" si="39"/>
        <v>1</v>
      </c>
      <c r="AA340" s="17">
        <f t="shared" si="40"/>
        <v>6.6666666666666693E-2</v>
      </c>
      <c r="AB340" s="17">
        <f>+VLOOKUP(E340,[1]base!M:N,2,0)</f>
        <v>1989</v>
      </c>
      <c r="AC340" s="17">
        <f>+VLOOKUP(E340,[1]base!M:Q,5,0)</f>
        <v>1750.6</v>
      </c>
      <c r="AD340" s="18">
        <f>+VLOOKUP(E340,[1]base!M:P,4,0)</f>
        <v>3.3527696793002916E-2</v>
      </c>
      <c r="AE340" s="19">
        <f t="shared" si="41"/>
        <v>530.01341107871713</v>
      </c>
    </row>
    <row r="341" spans="1:31" x14ac:dyDescent="0.25">
      <c r="A341" s="10" t="s">
        <v>388</v>
      </c>
      <c r="B341" s="11">
        <v>46262.610023148147</v>
      </c>
      <c r="C341" s="12" t="s">
        <v>130</v>
      </c>
      <c r="D341" s="12" t="s">
        <v>391</v>
      </c>
      <c r="E341" s="13" t="str">
        <f t="shared" si="35"/>
        <v>LM-757</v>
      </c>
      <c r="F341" s="14" t="str">
        <f t="shared" si="36"/>
        <v>SUN</v>
      </c>
      <c r="G341" s="14">
        <f>+VLOOKUP(F341,[1]base!A:B,2,0)</f>
        <v>7</v>
      </c>
      <c r="H341" s="14">
        <v>5</v>
      </c>
      <c r="I341" s="14">
        <v>5</v>
      </c>
      <c r="J341" s="14"/>
      <c r="K341" s="14" t="s">
        <v>33</v>
      </c>
      <c r="L341" s="14" t="s">
        <v>392</v>
      </c>
      <c r="M341" s="14" t="s">
        <v>35</v>
      </c>
      <c r="N341" s="14">
        <v>5</v>
      </c>
      <c r="O341" s="14">
        <v>5</v>
      </c>
      <c r="P341" s="14">
        <v>0</v>
      </c>
      <c r="Q341" s="14">
        <v>0</v>
      </c>
      <c r="R341" s="14">
        <v>0</v>
      </c>
      <c r="S341" s="14"/>
      <c r="T341" s="15">
        <v>5</v>
      </c>
      <c r="U341" s="16"/>
      <c r="V341" s="17">
        <v>736</v>
      </c>
      <c r="W341" s="17">
        <f t="shared" si="37"/>
        <v>3680</v>
      </c>
      <c r="X341" s="17">
        <f t="shared" si="38"/>
        <v>191.35999999999999</v>
      </c>
      <c r="Y341" s="17">
        <v>741</v>
      </c>
      <c r="Z341" s="17">
        <f t="shared" si="39"/>
        <v>1</v>
      </c>
      <c r="AA341" s="17">
        <f t="shared" si="40"/>
        <v>6.6666666666666693E-2</v>
      </c>
      <c r="AB341" s="17">
        <f>+VLOOKUP(E341,[1]base!M:N,2,0)</f>
        <v>26981</v>
      </c>
      <c r="AC341" s="17">
        <f>+VLOOKUP(E341,[1]base!M:Q,5,0)</f>
        <v>13391.545454545454</v>
      </c>
      <c r="AD341" s="18">
        <f>+VLOOKUP(E341,[1]base!M:P,4,0)</f>
        <v>1.1467721843628636E-2</v>
      </c>
      <c r="AE341" s="19">
        <f t="shared" si="41"/>
        <v>7784.8893969370547</v>
      </c>
    </row>
    <row r="342" spans="1:31" x14ac:dyDescent="0.25">
      <c r="A342" s="10" t="s">
        <v>393</v>
      </c>
      <c r="B342" s="11">
        <v>46265.288310185184</v>
      </c>
      <c r="C342" s="12" t="s">
        <v>394</v>
      </c>
      <c r="D342" s="12" t="s">
        <v>395</v>
      </c>
      <c r="E342" s="13" t="str">
        <f t="shared" si="35"/>
        <v>CO114</v>
      </c>
      <c r="F342" s="14" t="str">
        <f t="shared" si="36"/>
        <v>TECK</v>
      </c>
      <c r="G342" s="14">
        <f>+VLOOKUP(F342,[1]base!A:B,2,0)</f>
        <v>10.199999999999999</v>
      </c>
      <c r="H342" s="14">
        <v>1</v>
      </c>
      <c r="I342" s="14">
        <v>1</v>
      </c>
      <c r="J342" s="14"/>
      <c r="K342" s="14" t="s">
        <v>33</v>
      </c>
      <c r="L342" s="14" t="s">
        <v>396</v>
      </c>
      <c r="M342" s="14" t="s">
        <v>35</v>
      </c>
      <c r="N342" s="14">
        <v>1</v>
      </c>
      <c r="O342" s="14">
        <v>1</v>
      </c>
      <c r="P342" s="14">
        <v>0</v>
      </c>
      <c r="Q342" s="14">
        <v>0</v>
      </c>
      <c r="R342" s="14">
        <v>0</v>
      </c>
      <c r="S342" s="14"/>
      <c r="T342" s="15">
        <v>1</v>
      </c>
      <c r="U342" s="16"/>
      <c r="V342" s="17">
        <v>795</v>
      </c>
      <c r="W342" s="17">
        <f t="shared" si="37"/>
        <v>795</v>
      </c>
      <c r="X342" s="17">
        <f t="shared" si="38"/>
        <v>41.339999999999996</v>
      </c>
      <c r="Y342" s="17">
        <v>800</v>
      </c>
      <c r="Z342" s="17">
        <f t="shared" si="39"/>
        <v>1</v>
      </c>
      <c r="AA342" s="17">
        <f t="shared" si="40"/>
        <v>6.6666666666666693E-2</v>
      </c>
      <c r="AB342" s="17">
        <f>+VLOOKUP(E342,[1]base!M:N,2,0)</f>
        <v>1</v>
      </c>
      <c r="AC342" s="17">
        <f>+VLOOKUP(E342,[1]base!M:Q,5,0)</f>
        <v>2162.818181818182</v>
      </c>
      <c r="AD342" s="18">
        <f>+VLOOKUP(E342,[1]base!M:P,4,0)</f>
        <v>0.9970326409495549</v>
      </c>
      <c r="AE342" s="19">
        <f t="shared" si="41"/>
        <v>-0.69703264094955486</v>
      </c>
    </row>
    <row r="343" spans="1:31" x14ac:dyDescent="0.25">
      <c r="A343" s="10" t="s">
        <v>393</v>
      </c>
      <c r="B343" s="11">
        <v>46265.288310185184</v>
      </c>
      <c r="C343" s="12" t="s">
        <v>394</v>
      </c>
      <c r="D343" s="12" t="s">
        <v>397</v>
      </c>
      <c r="E343" s="13" t="str">
        <f t="shared" si="35"/>
        <v>CO103</v>
      </c>
      <c r="F343" s="14" t="str">
        <f t="shared" si="36"/>
        <v>TECK</v>
      </c>
      <c r="G343" s="14">
        <f>+VLOOKUP(F343,[1]base!A:B,2,0)</f>
        <v>10.199999999999999</v>
      </c>
      <c r="H343" s="14">
        <v>1</v>
      </c>
      <c r="I343" s="14">
        <v>1</v>
      </c>
      <c r="J343" s="14"/>
      <c r="K343" s="14" t="s">
        <v>33</v>
      </c>
      <c r="L343" s="14" t="s">
        <v>398</v>
      </c>
      <c r="M343" s="14" t="s">
        <v>35</v>
      </c>
      <c r="N343" s="14">
        <v>1</v>
      </c>
      <c r="O343" s="14">
        <v>1</v>
      </c>
      <c r="P343" s="14">
        <v>0</v>
      </c>
      <c r="Q343" s="14">
        <v>0</v>
      </c>
      <c r="R343" s="14">
        <v>0</v>
      </c>
      <c r="S343" s="14"/>
      <c r="T343" s="15">
        <v>1</v>
      </c>
      <c r="U343" s="16"/>
      <c r="V343" s="17">
        <v>793</v>
      </c>
      <c r="W343" s="17">
        <f t="shared" si="37"/>
        <v>793</v>
      </c>
      <c r="X343" s="17">
        <f t="shared" si="38"/>
        <v>41.235999999999997</v>
      </c>
      <c r="Y343" s="17">
        <v>798</v>
      </c>
      <c r="Z343" s="17">
        <f t="shared" si="39"/>
        <v>1</v>
      </c>
      <c r="AA343" s="17">
        <f t="shared" si="40"/>
        <v>6.6666666666666693E-2</v>
      </c>
      <c r="AB343" s="17">
        <f>+VLOOKUP(E343,[1]base!M:N,2,0)</f>
        <v>13</v>
      </c>
      <c r="AC343" s="17">
        <f>+VLOOKUP(E343,[1]base!M:Q,5,0)</f>
        <v>593.63636363636363</v>
      </c>
      <c r="AD343" s="18">
        <f>+VLOOKUP(E343,[1]base!M:P,4,0)</f>
        <v>0.90647482014388492</v>
      </c>
      <c r="AE343" s="19">
        <f t="shared" si="41"/>
        <v>-7.8841726618705046</v>
      </c>
    </row>
    <row r="344" spans="1:31" x14ac:dyDescent="0.25">
      <c r="A344" s="10" t="s">
        <v>393</v>
      </c>
      <c r="B344" s="11">
        <v>46265.288310185184</v>
      </c>
      <c r="C344" s="12" t="s">
        <v>394</v>
      </c>
      <c r="D344" s="12" t="s">
        <v>399</v>
      </c>
      <c r="E344" s="13" t="str">
        <f t="shared" si="35"/>
        <v>EC67105</v>
      </c>
      <c r="F344" s="14" t="str">
        <f t="shared" si="36"/>
        <v>TECK</v>
      </c>
      <c r="G344" s="14">
        <f>+VLOOKUP(F344,[1]base!A:B,2,0)</f>
        <v>10.199999999999999</v>
      </c>
      <c r="H344" s="14">
        <v>1</v>
      </c>
      <c r="I344" s="14">
        <v>1</v>
      </c>
      <c r="J344" s="14"/>
      <c r="K344" s="14" t="s">
        <v>33</v>
      </c>
      <c r="L344" s="14" t="s">
        <v>400</v>
      </c>
      <c r="M344" s="14" t="s">
        <v>35</v>
      </c>
      <c r="N344" s="14">
        <v>1</v>
      </c>
      <c r="O344" s="14">
        <v>1</v>
      </c>
      <c r="P344" s="14">
        <v>0</v>
      </c>
      <c r="Q344" s="14">
        <v>0</v>
      </c>
      <c r="R344" s="14">
        <v>0</v>
      </c>
      <c r="S344" s="14"/>
      <c r="T344" s="15">
        <v>1</v>
      </c>
      <c r="U344" s="16"/>
      <c r="V344" s="17">
        <v>797</v>
      </c>
      <c r="W344" s="17">
        <f t="shared" si="37"/>
        <v>797</v>
      </c>
      <c r="X344" s="17">
        <f t="shared" si="38"/>
        <v>41.443999999999996</v>
      </c>
      <c r="Y344" s="17">
        <v>802</v>
      </c>
      <c r="Z344" s="17">
        <f t="shared" si="39"/>
        <v>1</v>
      </c>
      <c r="AA344" s="17">
        <f t="shared" si="40"/>
        <v>6.6666666666666693E-2</v>
      </c>
      <c r="AB344" s="17">
        <f>+VLOOKUP(E344,[1]base!M:N,2,0)</f>
        <v>187</v>
      </c>
      <c r="AC344" s="17">
        <f>+VLOOKUP(E344,[1]base!M:Q,5,0)</f>
        <v>520.63636363636363</v>
      </c>
      <c r="AD344" s="18">
        <f>+VLOOKUP(E344,[1]base!M:P,4,0)</f>
        <v>0.56511627906976747</v>
      </c>
      <c r="AE344" s="19">
        <f t="shared" si="41"/>
        <v>-49.576744186046518</v>
      </c>
    </row>
    <row r="345" spans="1:31" x14ac:dyDescent="0.25">
      <c r="A345" s="10" t="s">
        <v>401</v>
      </c>
      <c r="B345" s="11">
        <v>46260.389675925922</v>
      </c>
      <c r="C345" s="12" t="s">
        <v>39</v>
      </c>
      <c r="D345" s="12" t="s">
        <v>402</v>
      </c>
      <c r="E345" s="13" t="str">
        <f t="shared" si="35"/>
        <v>CO103</v>
      </c>
      <c r="F345" s="14" t="str">
        <f t="shared" si="36"/>
        <v>CHPG</v>
      </c>
      <c r="G345" s="14">
        <f>+VLOOKUP(F345,[1]base!A:B,2,0)</f>
        <v>11</v>
      </c>
      <c r="H345" s="14">
        <v>1</v>
      </c>
      <c r="I345" s="14">
        <v>1</v>
      </c>
      <c r="J345" s="14"/>
      <c r="K345" s="14" t="s">
        <v>33</v>
      </c>
      <c r="L345" s="14" t="s">
        <v>403</v>
      </c>
      <c r="M345" s="14" t="s">
        <v>35</v>
      </c>
      <c r="N345" s="14">
        <v>1</v>
      </c>
      <c r="O345" s="14">
        <v>1</v>
      </c>
      <c r="P345" s="14">
        <v>0</v>
      </c>
      <c r="Q345" s="14">
        <v>0</v>
      </c>
      <c r="R345" s="14">
        <v>0</v>
      </c>
      <c r="S345" s="14"/>
      <c r="T345" s="15">
        <v>1</v>
      </c>
      <c r="U345" s="16"/>
      <c r="V345" s="17">
        <v>618</v>
      </c>
      <c r="W345" s="17">
        <f t="shared" si="37"/>
        <v>618</v>
      </c>
      <c r="X345" s="17">
        <f t="shared" si="38"/>
        <v>32.135999999999996</v>
      </c>
      <c r="Y345" s="17">
        <v>623</v>
      </c>
      <c r="Z345" s="17">
        <f t="shared" si="39"/>
        <v>1</v>
      </c>
      <c r="AA345" s="17">
        <f t="shared" si="40"/>
        <v>6.6666666666666693E-2</v>
      </c>
      <c r="AB345" s="17">
        <f>+VLOOKUP(E345,[1]base!M:N,2,0)</f>
        <v>13</v>
      </c>
      <c r="AC345" s="17">
        <f>+VLOOKUP(E345,[1]base!M:Q,5,0)</f>
        <v>593.63636363636363</v>
      </c>
      <c r="AD345" s="18">
        <f>+VLOOKUP(E345,[1]base!M:P,4,0)</f>
        <v>0.90647482014388492</v>
      </c>
      <c r="AE345" s="19">
        <f t="shared" si="41"/>
        <v>-7.8841726618705046</v>
      </c>
    </row>
    <row r="346" spans="1:31" x14ac:dyDescent="0.25">
      <c r="A346" s="10" t="s">
        <v>404</v>
      </c>
      <c r="B346" s="11">
        <v>46265.388472222221</v>
      </c>
      <c r="C346" s="12" t="s">
        <v>39</v>
      </c>
      <c r="D346" s="12" t="s">
        <v>405</v>
      </c>
      <c r="E346" s="13" t="str">
        <f t="shared" si="35"/>
        <v>FR110</v>
      </c>
      <c r="F346" s="14" t="str">
        <f t="shared" si="36"/>
        <v>CHPG</v>
      </c>
      <c r="G346" s="14">
        <f>+VLOOKUP(F346,[1]base!A:B,2,0)</f>
        <v>11</v>
      </c>
      <c r="H346" s="14">
        <v>2</v>
      </c>
      <c r="I346" s="14">
        <v>2</v>
      </c>
      <c r="J346" s="14"/>
      <c r="K346" s="14" t="s">
        <v>33</v>
      </c>
      <c r="L346" s="14" t="s">
        <v>406</v>
      </c>
      <c r="M346" s="14" t="s">
        <v>35</v>
      </c>
      <c r="N346" s="14">
        <v>2</v>
      </c>
      <c r="O346" s="14">
        <v>2</v>
      </c>
      <c r="P346" s="14">
        <v>0</v>
      </c>
      <c r="Q346" s="14">
        <v>0</v>
      </c>
      <c r="R346" s="14">
        <v>0</v>
      </c>
      <c r="S346" s="14"/>
      <c r="T346" s="15">
        <v>2</v>
      </c>
      <c r="U346" s="16"/>
      <c r="V346" s="17">
        <v>816</v>
      </c>
      <c r="W346" s="17">
        <f t="shared" si="37"/>
        <v>1632</v>
      </c>
      <c r="X346" s="17">
        <f t="shared" si="38"/>
        <v>84.86399999999999</v>
      </c>
      <c r="Y346" s="17">
        <v>821</v>
      </c>
      <c r="Z346" s="17">
        <f t="shared" si="39"/>
        <v>1</v>
      </c>
      <c r="AA346" s="17">
        <f t="shared" si="40"/>
        <v>6.6666666666666693E-2</v>
      </c>
      <c r="AB346" s="17">
        <f>+VLOOKUP(E346,[1]base!M:N,2,0)</f>
        <v>196</v>
      </c>
      <c r="AC346" s="17">
        <f>+VLOOKUP(E346,[1]base!M:Q,5,0)</f>
        <v>52.125</v>
      </c>
      <c r="AD346" s="18">
        <f>+VLOOKUP(E346,[1]base!M:P,4,0)</f>
        <v>0.20647773279352227</v>
      </c>
      <c r="AE346" s="19">
        <f t="shared" si="41"/>
        <v>18.330364372469631</v>
      </c>
    </row>
    <row r="347" spans="1:31" x14ac:dyDescent="0.25">
      <c r="A347" s="10" t="s">
        <v>401</v>
      </c>
      <c r="B347" s="11">
        <v>46260.389675925922</v>
      </c>
      <c r="C347" s="12" t="s">
        <v>39</v>
      </c>
      <c r="D347" s="12" t="s">
        <v>407</v>
      </c>
      <c r="E347" s="13" t="str">
        <f t="shared" si="35"/>
        <v>FR112</v>
      </c>
      <c r="F347" s="14" t="str">
        <f t="shared" si="36"/>
        <v>CHPG</v>
      </c>
      <c r="G347" s="14">
        <f>+VLOOKUP(F347,[1]base!A:B,2,0)</f>
        <v>11</v>
      </c>
      <c r="H347" s="14">
        <v>1</v>
      </c>
      <c r="I347" s="14">
        <v>1</v>
      </c>
      <c r="J347" s="14"/>
      <c r="K347" s="14" t="s">
        <v>33</v>
      </c>
      <c r="L347" s="14" t="s">
        <v>408</v>
      </c>
      <c r="M347" s="14" t="s">
        <v>35</v>
      </c>
      <c r="N347" s="14">
        <v>1</v>
      </c>
      <c r="O347" s="14">
        <v>1</v>
      </c>
      <c r="P347" s="14">
        <v>0</v>
      </c>
      <c r="Q347" s="14">
        <v>0</v>
      </c>
      <c r="R347" s="14">
        <v>0</v>
      </c>
      <c r="S347" s="14"/>
      <c r="T347" s="15">
        <v>1</v>
      </c>
      <c r="U347" s="16"/>
      <c r="V347" s="17">
        <v>619</v>
      </c>
      <c r="W347" s="17">
        <f t="shared" si="37"/>
        <v>619</v>
      </c>
      <c r="X347" s="17">
        <f t="shared" si="38"/>
        <v>32.187999999999995</v>
      </c>
      <c r="Y347" s="17">
        <v>624</v>
      </c>
      <c r="Z347" s="17">
        <f t="shared" si="39"/>
        <v>1</v>
      </c>
      <c r="AA347" s="17">
        <f t="shared" si="40"/>
        <v>6.6666666666666693E-2</v>
      </c>
      <c r="AB347" s="17">
        <f>+VLOOKUP(E347,[1]base!M:N,2,0)</f>
        <v>205</v>
      </c>
      <c r="AC347" s="17">
        <f>+VLOOKUP(E347,[1]base!M:Q,5,0)</f>
        <v>110.9</v>
      </c>
      <c r="AD347" s="18">
        <f>+VLOOKUP(E347,[1]base!M:P,4,0)</f>
        <v>0.12393162393162394</v>
      </c>
      <c r="AE347" s="19">
        <f t="shared" si="41"/>
        <v>36.09401709401709</v>
      </c>
    </row>
    <row r="348" spans="1:31" x14ac:dyDescent="0.25">
      <c r="A348" s="10" t="s">
        <v>409</v>
      </c>
      <c r="B348" s="11">
        <v>46262.630439814813</v>
      </c>
      <c r="C348" s="12" t="s">
        <v>39</v>
      </c>
      <c r="D348" s="12" t="s">
        <v>410</v>
      </c>
      <c r="E348" s="13" t="str">
        <f t="shared" si="35"/>
        <v>FR166</v>
      </c>
      <c r="F348" s="14" t="str">
        <f t="shared" si="36"/>
        <v>CHPG</v>
      </c>
      <c r="G348" s="14">
        <f>+VLOOKUP(F348,[1]base!A:B,2,0)</f>
        <v>11</v>
      </c>
      <c r="H348" s="14">
        <v>2</v>
      </c>
      <c r="I348" s="14">
        <v>2</v>
      </c>
      <c r="J348" s="14"/>
      <c r="K348" s="14" t="s">
        <v>33</v>
      </c>
      <c r="L348" s="14" t="s">
        <v>411</v>
      </c>
      <c r="M348" s="14" t="s">
        <v>35</v>
      </c>
      <c r="N348" s="14">
        <v>2</v>
      </c>
      <c r="O348" s="14">
        <v>2</v>
      </c>
      <c r="P348" s="14">
        <v>0</v>
      </c>
      <c r="Q348" s="14">
        <v>0</v>
      </c>
      <c r="R348" s="14">
        <v>0</v>
      </c>
      <c r="S348" s="14"/>
      <c r="T348" s="15">
        <v>2</v>
      </c>
      <c r="U348" s="16"/>
      <c r="V348" s="17">
        <v>739</v>
      </c>
      <c r="W348" s="17">
        <f t="shared" si="37"/>
        <v>1478</v>
      </c>
      <c r="X348" s="17">
        <f t="shared" si="38"/>
        <v>76.855999999999995</v>
      </c>
      <c r="Y348" s="17">
        <v>744</v>
      </c>
      <c r="Z348" s="17">
        <f t="shared" si="39"/>
        <v>1</v>
      </c>
      <c r="AA348" s="17">
        <f t="shared" si="40"/>
        <v>6.6666666666666693E-2</v>
      </c>
      <c r="AB348" s="17">
        <f>+VLOOKUP(E348,[1]base!M:N,2,0)</f>
        <v>437</v>
      </c>
      <c r="AC348" s="17">
        <f>+VLOOKUP(E348,[1]base!M:Q,5,0)</f>
        <v>435.66666666666669</v>
      </c>
      <c r="AD348" s="18">
        <f>+VLOOKUP(E348,[1]base!M:P,4,0)</f>
        <v>0.14980544747081712</v>
      </c>
      <c r="AE348" s="19">
        <f t="shared" si="41"/>
        <v>65.635019455252916</v>
      </c>
    </row>
    <row r="349" spans="1:31" x14ac:dyDescent="0.25">
      <c r="A349" s="10" t="s">
        <v>409</v>
      </c>
      <c r="B349" s="11">
        <v>46262.630439814813</v>
      </c>
      <c r="C349" s="12" t="s">
        <v>39</v>
      </c>
      <c r="D349" s="12" t="s">
        <v>412</v>
      </c>
      <c r="E349" s="13" t="str">
        <f t="shared" si="35"/>
        <v>FR100</v>
      </c>
      <c r="F349" s="14" t="str">
        <f t="shared" si="36"/>
        <v>CHPG</v>
      </c>
      <c r="G349" s="14">
        <f>+VLOOKUP(F349,[1]base!A:B,2,0)</f>
        <v>11</v>
      </c>
      <c r="H349" s="14">
        <v>3</v>
      </c>
      <c r="I349" s="14">
        <v>3</v>
      </c>
      <c r="J349" s="14"/>
      <c r="K349" s="14" t="s">
        <v>33</v>
      </c>
      <c r="L349" s="14" t="s">
        <v>413</v>
      </c>
      <c r="M349" s="14" t="s">
        <v>35</v>
      </c>
      <c r="N349" s="14">
        <v>3</v>
      </c>
      <c r="O349" s="14">
        <v>3</v>
      </c>
      <c r="P349" s="14">
        <v>0</v>
      </c>
      <c r="Q349" s="14">
        <v>0</v>
      </c>
      <c r="R349" s="14">
        <v>0</v>
      </c>
      <c r="S349" s="14"/>
      <c r="T349" s="15">
        <v>3</v>
      </c>
      <c r="U349" s="16"/>
      <c r="V349" s="17">
        <v>738</v>
      </c>
      <c r="W349" s="17">
        <f t="shared" si="37"/>
        <v>2214</v>
      </c>
      <c r="X349" s="17">
        <f t="shared" si="38"/>
        <v>115.128</v>
      </c>
      <c r="Y349" s="17">
        <v>743</v>
      </c>
      <c r="Z349" s="17">
        <f t="shared" si="39"/>
        <v>1</v>
      </c>
      <c r="AA349" s="17">
        <f t="shared" si="40"/>
        <v>6.6666666666666693E-2</v>
      </c>
      <c r="AB349" s="17">
        <f>+VLOOKUP(E349,[1]base!M:N,2,0)</f>
        <v>1365</v>
      </c>
      <c r="AC349" s="17">
        <f>+VLOOKUP(E349,[1]base!M:Q,5,0)</f>
        <v>812.5</v>
      </c>
      <c r="AD349" s="18">
        <f>+VLOOKUP(E349,[1]base!M:P,4,0)</f>
        <v>7.4576271186440682E-2</v>
      </c>
      <c r="AE349" s="19">
        <f t="shared" si="41"/>
        <v>307.70338983050846</v>
      </c>
    </row>
    <row r="350" spans="1:31" x14ac:dyDescent="0.25">
      <c r="A350" s="10" t="s">
        <v>401</v>
      </c>
      <c r="B350" s="11">
        <v>46260.389675925922</v>
      </c>
      <c r="C350" s="12" t="s">
        <v>39</v>
      </c>
      <c r="D350" s="12" t="s">
        <v>414</v>
      </c>
      <c r="E350" s="13" t="str">
        <f t="shared" si="35"/>
        <v>FR404</v>
      </c>
      <c r="F350" s="14" t="str">
        <f t="shared" si="36"/>
        <v>CHPG</v>
      </c>
      <c r="G350" s="14">
        <f>+VLOOKUP(F350,[1]base!A:B,2,0)</f>
        <v>11</v>
      </c>
      <c r="H350" s="14">
        <v>7</v>
      </c>
      <c r="I350" s="14">
        <v>7</v>
      </c>
      <c r="J350" s="14"/>
      <c r="K350" s="14" t="s">
        <v>33</v>
      </c>
      <c r="L350" s="14" t="s">
        <v>415</v>
      </c>
      <c r="M350" s="14" t="s">
        <v>35</v>
      </c>
      <c r="N350" s="14">
        <v>7</v>
      </c>
      <c r="O350" s="14">
        <v>7</v>
      </c>
      <c r="P350" s="14">
        <v>0</v>
      </c>
      <c r="Q350" s="14">
        <v>0</v>
      </c>
      <c r="R350" s="14">
        <v>0</v>
      </c>
      <c r="S350" s="14"/>
      <c r="T350" s="15">
        <v>7</v>
      </c>
      <c r="U350" s="16"/>
      <c r="V350" s="17">
        <v>621</v>
      </c>
      <c r="W350" s="17">
        <f t="shared" si="37"/>
        <v>4347</v>
      </c>
      <c r="X350" s="17">
        <f t="shared" si="38"/>
        <v>226.04399999999998</v>
      </c>
      <c r="Y350" s="17">
        <v>626</v>
      </c>
      <c r="Z350" s="17">
        <f t="shared" si="39"/>
        <v>1</v>
      </c>
      <c r="AA350" s="17">
        <f t="shared" si="40"/>
        <v>6.6666666666666693E-2</v>
      </c>
      <c r="AB350" s="17">
        <f>+VLOOKUP(E350,[1]base!M:N,2,0)</f>
        <v>2331</v>
      </c>
      <c r="AC350" s="17">
        <f>+VLOOKUP(E350,[1]base!M:Q,5,0)</f>
        <v>578.90909090909088</v>
      </c>
      <c r="AD350" s="18">
        <f>+VLOOKUP(E350,[1]base!M:P,4,0)</f>
        <v>7.0203430394894295E-2</v>
      </c>
      <c r="AE350" s="19">
        <f t="shared" si="41"/>
        <v>535.65580374950139</v>
      </c>
    </row>
    <row r="351" spans="1:31" x14ac:dyDescent="0.25">
      <c r="A351" s="10" t="s">
        <v>409</v>
      </c>
      <c r="B351" s="11">
        <v>46262.630439814813</v>
      </c>
      <c r="C351" s="12" t="s">
        <v>39</v>
      </c>
      <c r="D351" s="12" t="s">
        <v>416</v>
      </c>
      <c r="E351" s="13" t="str">
        <f t="shared" si="35"/>
        <v>LM-757</v>
      </c>
      <c r="F351" s="14" t="str">
        <f t="shared" si="36"/>
        <v>CHPG</v>
      </c>
      <c r="G351" s="14">
        <f>+VLOOKUP(F351,[1]base!A:B,2,0)</f>
        <v>11</v>
      </c>
      <c r="H351" s="14">
        <v>4</v>
      </c>
      <c r="I351" s="14">
        <v>4</v>
      </c>
      <c r="J351" s="14"/>
      <c r="K351" s="14" t="s">
        <v>33</v>
      </c>
      <c r="L351" s="14" t="s">
        <v>417</v>
      </c>
      <c r="M351" s="14" t="s">
        <v>35</v>
      </c>
      <c r="N351" s="14">
        <v>4</v>
      </c>
      <c r="O351" s="14">
        <v>4</v>
      </c>
      <c r="P351" s="14">
        <v>0</v>
      </c>
      <c r="Q351" s="14">
        <v>0</v>
      </c>
      <c r="R351" s="14">
        <v>0</v>
      </c>
      <c r="S351" s="14"/>
      <c r="T351" s="15">
        <v>4</v>
      </c>
      <c r="U351" s="16"/>
      <c r="V351" s="17">
        <v>740</v>
      </c>
      <c r="W351" s="17">
        <f t="shared" si="37"/>
        <v>2960</v>
      </c>
      <c r="X351" s="17">
        <f t="shared" si="38"/>
        <v>153.91999999999999</v>
      </c>
      <c r="Y351" s="17">
        <v>745</v>
      </c>
      <c r="Z351" s="17">
        <f t="shared" si="39"/>
        <v>1</v>
      </c>
      <c r="AA351" s="17">
        <f t="shared" si="40"/>
        <v>6.6666666666666693E-2</v>
      </c>
      <c r="AB351" s="17">
        <f>+VLOOKUP(E351,[1]base!M:N,2,0)</f>
        <v>26981</v>
      </c>
      <c r="AC351" s="17">
        <f>+VLOOKUP(E351,[1]base!M:Q,5,0)</f>
        <v>13391.545454545454</v>
      </c>
      <c r="AD351" s="18">
        <f>+VLOOKUP(E351,[1]base!M:P,4,0)</f>
        <v>1.1467721843628636E-2</v>
      </c>
      <c r="AE351" s="19">
        <f t="shared" si="41"/>
        <v>7784.8893969370547</v>
      </c>
    </row>
    <row r="352" spans="1:31" x14ac:dyDescent="0.25">
      <c r="A352" s="10" t="s">
        <v>418</v>
      </c>
      <c r="B352" s="11">
        <v>46267.32135416667</v>
      </c>
      <c r="C352" s="12" t="s">
        <v>39</v>
      </c>
      <c r="D352" s="12" t="s">
        <v>419</v>
      </c>
      <c r="E352" s="13" t="str">
        <f t="shared" si="35"/>
        <v>C-40139</v>
      </c>
      <c r="F352" s="14" t="str">
        <f t="shared" si="36"/>
        <v>CHPG</v>
      </c>
      <c r="G352" s="14">
        <f>+VLOOKUP(F352,[1]base!A:B,2,0)</f>
        <v>11</v>
      </c>
      <c r="H352" s="14">
        <v>2</v>
      </c>
      <c r="I352" s="14">
        <v>2</v>
      </c>
      <c r="J352" s="14"/>
      <c r="K352" s="14" t="s">
        <v>33</v>
      </c>
      <c r="L352" s="14" t="s">
        <v>420</v>
      </c>
      <c r="M352" s="14" t="s">
        <v>35</v>
      </c>
      <c r="N352" s="14">
        <v>2</v>
      </c>
      <c r="O352" s="14">
        <v>2</v>
      </c>
      <c r="P352" s="14">
        <v>0</v>
      </c>
      <c r="Q352" s="14">
        <v>0</v>
      </c>
      <c r="R352" s="14">
        <v>0</v>
      </c>
      <c r="S352" s="14"/>
      <c r="T352" s="15">
        <v>2</v>
      </c>
      <c r="U352" s="16"/>
      <c r="V352" s="17">
        <v>986</v>
      </c>
      <c r="W352" s="17">
        <f t="shared" si="37"/>
        <v>1972</v>
      </c>
      <c r="X352" s="17">
        <f t="shared" si="38"/>
        <v>102.544</v>
      </c>
      <c r="Y352" s="17">
        <v>991</v>
      </c>
      <c r="Z352" s="17">
        <f t="shared" si="39"/>
        <v>1</v>
      </c>
      <c r="AA352" s="17">
        <f t="shared" si="40"/>
        <v>6.6666666666666693E-2</v>
      </c>
      <c r="AB352" s="17" t="e">
        <f>+VLOOKUP(E352,[1]base!M:N,2,0)</f>
        <v>#N/A</v>
      </c>
      <c r="AC352" s="17" t="e">
        <f>+VLOOKUP(E352,[1]base!M:Q,5,0)</f>
        <v>#N/A</v>
      </c>
      <c r="AD352" s="18" t="e">
        <f>+VLOOKUP(E352,[1]base!M:P,4,0)</f>
        <v>#N/A</v>
      </c>
      <c r="AE352" s="19" t="e">
        <f t="shared" si="41"/>
        <v>#N/A</v>
      </c>
    </row>
    <row r="353" spans="1:31" x14ac:dyDescent="0.25">
      <c r="A353" s="10" t="s">
        <v>418</v>
      </c>
      <c r="B353" s="11">
        <v>46267.32135416667</v>
      </c>
      <c r="C353" s="12" t="s">
        <v>39</v>
      </c>
      <c r="D353" s="12" t="s">
        <v>421</v>
      </c>
      <c r="E353" s="13" t="str">
        <f t="shared" si="35"/>
        <v>C-40150</v>
      </c>
      <c r="F353" s="14" t="str">
        <f t="shared" si="36"/>
        <v>CHPG</v>
      </c>
      <c r="G353" s="14">
        <f>+VLOOKUP(F353,[1]base!A:B,2,0)</f>
        <v>11</v>
      </c>
      <c r="H353" s="14">
        <v>2</v>
      </c>
      <c r="I353" s="14">
        <v>2</v>
      </c>
      <c r="J353" s="14"/>
      <c r="K353" s="14" t="s">
        <v>33</v>
      </c>
      <c r="L353" s="14" t="s">
        <v>422</v>
      </c>
      <c r="M353" s="14" t="s">
        <v>35</v>
      </c>
      <c r="N353" s="14">
        <v>2</v>
      </c>
      <c r="O353" s="14">
        <v>2</v>
      </c>
      <c r="P353" s="14">
        <v>0</v>
      </c>
      <c r="Q353" s="14">
        <v>0</v>
      </c>
      <c r="R353" s="14">
        <v>0</v>
      </c>
      <c r="S353" s="14"/>
      <c r="T353" s="15">
        <v>2</v>
      </c>
      <c r="U353" s="16"/>
      <c r="V353" s="17">
        <v>985</v>
      </c>
      <c r="W353" s="17">
        <f t="shared" si="37"/>
        <v>1970</v>
      </c>
      <c r="X353" s="17">
        <f t="shared" si="38"/>
        <v>102.44</v>
      </c>
      <c r="Y353" s="17">
        <v>990</v>
      </c>
      <c r="Z353" s="17">
        <f t="shared" si="39"/>
        <v>1</v>
      </c>
      <c r="AA353" s="17">
        <f t="shared" si="40"/>
        <v>6.6666666666666693E-2</v>
      </c>
      <c r="AB353" s="17" t="e">
        <f>+VLOOKUP(E353,[1]base!M:N,2,0)</f>
        <v>#N/A</v>
      </c>
      <c r="AC353" s="17" t="e">
        <f>+VLOOKUP(E353,[1]base!M:Q,5,0)</f>
        <v>#N/A</v>
      </c>
      <c r="AD353" s="18" t="e">
        <f>+VLOOKUP(E353,[1]base!M:P,4,0)</f>
        <v>#N/A</v>
      </c>
      <c r="AE353" s="19" t="e">
        <f t="shared" si="41"/>
        <v>#N/A</v>
      </c>
    </row>
    <row r="354" spans="1:31" x14ac:dyDescent="0.25">
      <c r="A354" s="10" t="s">
        <v>423</v>
      </c>
      <c r="B354" s="11">
        <v>46262.313668981478</v>
      </c>
      <c r="C354" s="12" t="s">
        <v>39</v>
      </c>
      <c r="D354" s="12" t="s">
        <v>424</v>
      </c>
      <c r="E354" s="13" t="str">
        <f t="shared" si="35"/>
        <v>CO105</v>
      </c>
      <c r="F354" s="14" t="str">
        <f t="shared" si="36"/>
        <v>NOYER</v>
      </c>
      <c r="G354" s="14">
        <f>+VLOOKUP(F354,[1]base!A:B,2,0)</f>
        <v>15</v>
      </c>
      <c r="H354" s="14">
        <v>3</v>
      </c>
      <c r="I354" s="14">
        <v>3</v>
      </c>
      <c r="J354" s="14"/>
      <c r="K354" s="14" t="s">
        <v>33</v>
      </c>
      <c r="L354" s="14" t="s">
        <v>425</v>
      </c>
      <c r="M354" s="14" t="s">
        <v>35</v>
      </c>
      <c r="N354" s="14">
        <v>3</v>
      </c>
      <c r="O354" s="14">
        <v>3</v>
      </c>
      <c r="P354" s="14">
        <v>0</v>
      </c>
      <c r="Q354" s="14">
        <v>0</v>
      </c>
      <c r="R354" s="14">
        <v>0</v>
      </c>
      <c r="S354" s="14"/>
      <c r="T354" s="15">
        <v>3</v>
      </c>
      <c r="U354" s="16"/>
      <c r="V354" s="17">
        <v>713</v>
      </c>
      <c r="W354" s="17">
        <f t="shared" si="37"/>
        <v>2139</v>
      </c>
      <c r="X354" s="17">
        <f t="shared" si="38"/>
        <v>111.22799999999999</v>
      </c>
      <c r="Y354" s="17">
        <v>718</v>
      </c>
      <c r="Z354" s="17">
        <f t="shared" si="39"/>
        <v>1</v>
      </c>
      <c r="AA354" s="17">
        <f t="shared" si="40"/>
        <v>6.6666666666666693E-2</v>
      </c>
      <c r="AB354" s="17">
        <f>+VLOOKUP(E354,[1]base!M:N,2,0)</f>
        <v>6</v>
      </c>
      <c r="AC354" s="17">
        <f>+VLOOKUP(E354,[1]base!M:Q,5,0)</f>
        <v>375.1</v>
      </c>
      <c r="AD354" s="18">
        <f>+VLOOKUP(E354,[1]base!M:P,4,0)</f>
        <v>0.96923076923076923</v>
      </c>
      <c r="AE354" s="19">
        <f t="shared" si="41"/>
        <v>-4.0153846153846153</v>
      </c>
    </row>
    <row r="355" spans="1:31" x14ac:dyDescent="0.25">
      <c r="A355" s="10" t="s">
        <v>423</v>
      </c>
      <c r="B355" s="11">
        <v>46262.313668981478</v>
      </c>
      <c r="C355" s="12" t="s">
        <v>39</v>
      </c>
      <c r="D355" s="12" t="s">
        <v>426</v>
      </c>
      <c r="E355" s="13" t="str">
        <f t="shared" si="35"/>
        <v>CO103</v>
      </c>
      <c r="F355" s="14" t="str">
        <f t="shared" si="36"/>
        <v>NOYER</v>
      </c>
      <c r="G355" s="14">
        <f>+VLOOKUP(F355,[1]base!A:B,2,0)</f>
        <v>15</v>
      </c>
      <c r="H355" s="14">
        <v>10</v>
      </c>
      <c r="I355" s="14">
        <v>10</v>
      </c>
      <c r="J355" s="14"/>
      <c r="K355" s="14" t="s">
        <v>33</v>
      </c>
      <c r="L355" s="14" t="s">
        <v>427</v>
      </c>
      <c r="M355" s="14" t="s">
        <v>35</v>
      </c>
      <c r="N355" s="14">
        <v>10</v>
      </c>
      <c r="O355" s="14">
        <v>10</v>
      </c>
      <c r="P355" s="14">
        <v>0</v>
      </c>
      <c r="Q355" s="14">
        <v>0</v>
      </c>
      <c r="R355" s="14">
        <v>0</v>
      </c>
      <c r="S355" s="14"/>
      <c r="T355" s="15">
        <v>10</v>
      </c>
      <c r="U355" s="16"/>
      <c r="V355" s="17">
        <v>712</v>
      </c>
      <c r="W355" s="17">
        <f t="shared" si="37"/>
        <v>7120</v>
      </c>
      <c r="X355" s="17">
        <f t="shared" si="38"/>
        <v>370.24</v>
      </c>
      <c r="Y355" s="17">
        <v>717</v>
      </c>
      <c r="Z355" s="17">
        <f t="shared" si="39"/>
        <v>1</v>
      </c>
      <c r="AA355" s="17">
        <f t="shared" si="40"/>
        <v>6.6666666666666693E-2</v>
      </c>
      <c r="AB355" s="17">
        <f>+VLOOKUP(E355,[1]base!M:N,2,0)</f>
        <v>13</v>
      </c>
      <c r="AC355" s="17">
        <f>+VLOOKUP(E355,[1]base!M:Q,5,0)</f>
        <v>593.63636363636363</v>
      </c>
      <c r="AD355" s="18">
        <f>+VLOOKUP(E355,[1]base!M:P,4,0)</f>
        <v>0.90647482014388492</v>
      </c>
      <c r="AE355" s="19">
        <f t="shared" si="41"/>
        <v>-7.8841726618705046</v>
      </c>
    </row>
    <row r="356" spans="1:31" x14ac:dyDescent="0.25">
      <c r="A356" s="20" t="s">
        <v>428</v>
      </c>
      <c r="B356" s="11">
        <v>46198.448263888888</v>
      </c>
      <c r="C356" s="12" t="s">
        <v>39</v>
      </c>
      <c r="D356" s="12" t="s">
        <v>429</v>
      </c>
      <c r="E356" s="13" t="str">
        <f t="shared" si="35"/>
        <v>PL113</v>
      </c>
      <c r="F356" s="14" t="str">
        <f t="shared" si="36"/>
        <v>NOYER</v>
      </c>
      <c r="G356" s="14">
        <f>+VLOOKUP(F356,[1]base!A:B,2,0)</f>
        <v>15</v>
      </c>
      <c r="H356" s="14">
        <v>1</v>
      </c>
      <c r="I356" s="14">
        <v>1</v>
      </c>
      <c r="J356" s="14"/>
      <c r="K356" s="14" t="s">
        <v>72</v>
      </c>
      <c r="L356" s="14" t="s">
        <v>430</v>
      </c>
      <c r="M356" s="14" t="s">
        <v>35</v>
      </c>
      <c r="N356" s="14">
        <v>1</v>
      </c>
      <c r="O356" s="14">
        <v>1</v>
      </c>
      <c r="P356" s="14">
        <v>0</v>
      </c>
      <c r="Q356" s="14">
        <v>1</v>
      </c>
      <c r="R356" s="14">
        <v>0</v>
      </c>
      <c r="S356" s="14"/>
      <c r="T356" s="15">
        <v>1</v>
      </c>
      <c r="U356" s="16"/>
      <c r="V356" s="17">
        <v>53</v>
      </c>
      <c r="W356" s="17">
        <f t="shared" si="37"/>
        <v>53</v>
      </c>
      <c r="X356" s="17">
        <f t="shared" si="38"/>
        <v>2.7559999999999998</v>
      </c>
      <c r="Y356" s="17">
        <v>58</v>
      </c>
      <c r="Z356" s="17">
        <f t="shared" si="39"/>
        <v>1</v>
      </c>
      <c r="AA356" s="17">
        <f t="shared" si="40"/>
        <v>6.6666666666666693E-2</v>
      </c>
      <c r="AB356" s="17">
        <f>+VLOOKUP(E356,[1]base!M:N,2,0)</f>
        <v>315</v>
      </c>
      <c r="AC356" s="17">
        <f>+VLOOKUP(E356,[1]base!M:Q,5,0)</f>
        <v>0</v>
      </c>
      <c r="AD356" s="18">
        <f>+VLOOKUP(E356,[1]base!M:P,4,0)</f>
        <v>0</v>
      </c>
      <c r="AE356" s="19">
        <f t="shared" si="41"/>
        <v>94.5</v>
      </c>
    </row>
    <row r="357" spans="1:31" x14ac:dyDescent="0.25">
      <c r="A357" s="10" t="s">
        <v>423</v>
      </c>
      <c r="B357" s="11">
        <v>46262.313668981478</v>
      </c>
      <c r="C357" s="12" t="s">
        <v>39</v>
      </c>
      <c r="D357" s="12" t="s">
        <v>431</v>
      </c>
      <c r="E357" s="13" t="str">
        <f t="shared" si="35"/>
        <v>CSQ114</v>
      </c>
      <c r="F357" s="14" t="str">
        <f t="shared" si="36"/>
        <v>NOYER</v>
      </c>
      <c r="G357" s="14">
        <f>+VLOOKUP(F357,[1]base!A:B,2,0)</f>
        <v>15</v>
      </c>
      <c r="H357" s="14">
        <v>10</v>
      </c>
      <c r="I357" s="14">
        <v>10</v>
      </c>
      <c r="J357" s="14"/>
      <c r="K357" s="14" t="s">
        <v>33</v>
      </c>
      <c r="L357" s="14" t="s">
        <v>432</v>
      </c>
      <c r="M357" s="14" t="s">
        <v>35</v>
      </c>
      <c r="N357" s="14">
        <v>10</v>
      </c>
      <c r="O357" s="14">
        <v>10</v>
      </c>
      <c r="P357" s="14">
        <v>0</v>
      </c>
      <c r="Q357" s="14">
        <v>0</v>
      </c>
      <c r="R357" s="14">
        <v>0</v>
      </c>
      <c r="S357" s="14"/>
      <c r="T357" s="15">
        <v>10</v>
      </c>
      <c r="U357" s="16"/>
      <c r="V357" s="17">
        <v>715</v>
      </c>
      <c r="W357" s="17">
        <f t="shared" si="37"/>
        <v>7150</v>
      </c>
      <c r="X357" s="17">
        <f t="shared" si="38"/>
        <v>371.79999999999995</v>
      </c>
      <c r="Y357" s="17">
        <v>720</v>
      </c>
      <c r="Z357" s="17">
        <f t="shared" si="39"/>
        <v>1</v>
      </c>
      <c r="AA357" s="17">
        <f t="shared" si="40"/>
        <v>6.6666666666666693E-2</v>
      </c>
      <c r="AB357" s="17">
        <f>+VLOOKUP(E357,[1]base!M:N,2,0)</f>
        <v>683</v>
      </c>
      <c r="AC357" s="17">
        <f>+VLOOKUP(E357,[1]base!M:Q,5,0)</f>
        <v>351.33333333333331</v>
      </c>
      <c r="AD357" s="18">
        <f>+VLOOKUP(E357,[1]base!M:P,4,0)</f>
        <v>3.9381153305203941E-2</v>
      </c>
      <c r="AE357" s="19">
        <f t="shared" si="41"/>
        <v>178.00267229254572</v>
      </c>
    </row>
    <row r="358" spans="1:31" x14ac:dyDescent="0.25">
      <c r="A358" s="20" t="s">
        <v>428</v>
      </c>
      <c r="B358" s="11">
        <v>46198.448263888888</v>
      </c>
      <c r="C358" s="12" t="s">
        <v>39</v>
      </c>
      <c r="D358" s="12" t="s">
        <v>433</v>
      </c>
      <c r="E358" s="13" t="str">
        <f t="shared" si="35"/>
        <v>PL103</v>
      </c>
      <c r="F358" s="14" t="str">
        <f t="shared" si="36"/>
        <v>NOYER</v>
      </c>
      <c r="G358" s="14">
        <f>+VLOOKUP(F358,[1]base!A:B,2,0)</f>
        <v>15</v>
      </c>
      <c r="H358" s="14">
        <v>4</v>
      </c>
      <c r="I358" s="14">
        <v>4</v>
      </c>
      <c r="J358" s="14"/>
      <c r="K358" s="14" t="s">
        <v>72</v>
      </c>
      <c r="L358" s="14" t="s">
        <v>434</v>
      </c>
      <c r="M358" s="14" t="s">
        <v>35</v>
      </c>
      <c r="N358" s="14">
        <v>4</v>
      </c>
      <c r="O358" s="14">
        <v>4</v>
      </c>
      <c r="P358" s="14">
        <v>0</v>
      </c>
      <c r="Q358" s="14">
        <v>4</v>
      </c>
      <c r="R358" s="14">
        <v>0</v>
      </c>
      <c r="S358" s="14"/>
      <c r="T358" s="15">
        <v>4</v>
      </c>
      <c r="U358" s="16"/>
      <c r="V358" s="17">
        <v>52</v>
      </c>
      <c r="W358" s="17">
        <f t="shared" si="37"/>
        <v>208</v>
      </c>
      <c r="X358" s="17">
        <f t="shared" si="38"/>
        <v>10.815999999999999</v>
      </c>
      <c r="Y358" s="17">
        <v>57</v>
      </c>
      <c r="Z358" s="17">
        <f t="shared" si="39"/>
        <v>1</v>
      </c>
      <c r="AA358" s="17">
        <f t="shared" si="40"/>
        <v>6.6666666666666693E-2</v>
      </c>
      <c r="AB358" s="17">
        <f>+VLOOKUP(E358,[1]base!M:N,2,0)</f>
        <v>1396</v>
      </c>
      <c r="AC358" s="17">
        <f>+VLOOKUP(E358,[1]base!M:Q,5,0)</f>
        <v>0</v>
      </c>
      <c r="AD358" s="18">
        <f>+VLOOKUP(E358,[1]base!M:P,4,0)</f>
        <v>5.6980056980056983E-3</v>
      </c>
      <c r="AE358" s="19">
        <f t="shared" si="41"/>
        <v>410.84558404558402</v>
      </c>
    </row>
    <row r="359" spans="1:31" x14ac:dyDescent="0.25">
      <c r="A359" s="10" t="s">
        <v>423</v>
      </c>
      <c r="B359" s="11">
        <v>46262.313668981478</v>
      </c>
      <c r="C359" s="12" t="s">
        <v>39</v>
      </c>
      <c r="D359" s="12" t="s">
        <v>435</v>
      </c>
      <c r="E359" s="13" t="str">
        <f t="shared" si="35"/>
        <v>C-67106</v>
      </c>
      <c r="F359" s="14" t="str">
        <f t="shared" si="36"/>
        <v>NOYER</v>
      </c>
      <c r="G359" s="14">
        <f>+VLOOKUP(F359,[1]base!A:B,2,0)</f>
        <v>15</v>
      </c>
      <c r="H359" s="14">
        <v>4</v>
      </c>
      <c r="I359" s="14">
        <v>4</v>
      </c>
      <c r="J359" s="14"/>
      <c r="K359" s="14" t="s">
        <v>33</v>
      </c>
      <c r="L359" s="14" t="s">
        <v>436</v>
      </c>
      <c r="M359" s="14" t="s">
        <v>35</v>
      </c>
      <c r="N359" s="14">
        <v>4</v>
      </c>
      <c r="O359" s="14">
        <v>4</v>
      </c>
      <c r="P359" s="14">
        <v>0</v>
      </c>
      <c r="Q359" s="14">
        <v>0</v>
      </c>
      <c r="R359" s="14">
        <v>0</v>
      </c>
      <c r="S359" s="14"/>
      <c r="T359" s="15">
        <v>4</v>
      </c>
      <c r="U359" s="16"/>
      <c r="V359" s="17">
        <v>711</v>
      </c>
      <c r="W359" s="17">
        <f t="shared" si="37"/>
        <v>2844</v>
      </c>
      <c r="X359" s="17">
        <f t="shared" si="38"/>
        <v>147.88800000000001</v>
      </c>
      <c r="Y359" s="17">
        <v>716</v>
      </c>
      <c r="Z359" s="17">
        <f t="shared" si="39"/>
        <v>1</v>
      </c>
      <c r="AA359" s="17">
        <f t="shared" si="40"/>
        <v>6.6666666666666693E-2</v>
      </c>
      <c r="AB359" s="17" t="e">
        <f>+VLOOKUP(E359,[1]base!M:N,2,0)</f>
        <v>#N/A</v>
      </c>
      <c r="AC359" s="17" t="e">
        <f>+VLOOKUP(E359,[1]base!M:Q,5,0)</f>
        <v>#N/A</v>
      </c>
      <c r="AD359" s="18" t="e">
        <f>+VLOOKUP(E359,[1]base!M:P,4,0)</f>
        <v>#N/A</v>
      </c>
      <c r="AE359" s="19" t="e">
        <f t="shared" si="41"/>
        <v>#N/A</v>
      </c>
    </row>
    <row r="360" spans="1:31" x14ac:dyDescent="0.25">
      <c r="A360" s="10" t="s">
        <v>94</v>
      </c>
      <c r="B360" s="11">
        <v>46266.490532407406</v>
      </c>
      <c r="C360" s="12" t="s">
        <v>95</v>
      </c>
      <c r="D360" s="12" t="s">
        <v>437</v>
      </c>
      <c r="E360" s="13" t="str">
        <f t="shared" si="35"/>
        <v>CO103</v>
      </c>
      <c r="F360" s="14" t="str">
        <f t="shared" si="36"/>
        <v>ACAJOU</v>
      </c>
      <c r="G360" s="14">
        <f>+VLOOKUP(F360,[1]base!A:B,2,0)</f>
        <v>15.1</v>
      </c>
      <c r="H360" s="14">
        <v>8</v>
      </c>
      <c r="I360" s="14">
        <v>8</v>
      </c>
      <c r="J360" s="14"/>
      <c r="K360" s="14" t="s">
        <v>33</v>
      </c>
      <c r="L360" s="14" t="s">
        <v>438</v>
      </c>
      <c r="M360" s="14" t="s">
        <v>35</v>
      </c>
      <c r="N360" s="14">
        <v>8</v>
      </c>
      <c r="O360" s="14">
        <v>8</v>
      </c>
      <c r="P360" s="14">
        <v>0</v>
      </c>
      <c r="Q360" s="14">
        <v>0</v>
      </c>
      <c r="R360" s="14">
        <v>0</v>
      </c>
      <c r="S360" s="14"/>
      <c r="T360" s="15">
        <v>8</v>
      </c>
      <c r="U360" s="16"/>
      <c r="V360" s="17">
        <v>928</v>
      </c>
      <c r="W360" s="17">
        <f t="shared" si="37"/>
        <v>7424</v>
      </c>
      <c r="X360" s="17">
        <f t="shared" si="38"/>
        <v>386.048</v>
      </c>
      <c r="Y360" s="17">
        <v>933</v>
      </c>
      <c r="Z360" s="17">
        <f t="shared" si="39"/>
        <v>1</v>
      </c>
      <c r="AA360" s="17">
        <f t="shared" si="40"/>
        <v>6.6666666666666693E-2</v>
      </c>
      <c r="AB360" s="17">
        <f>+VLOOKUP(E360,[1]base!M:N,2,0)</f>
        <v>13</v>
      </c>
      <c r="AC360" s="17">
        <f>+VLOOKUP(E360,[1]base!M:Q,5,0)</f>
        <v>593.63636363636363</v>
      </c>
      <c r="AD360" s="18">
        <f>+VLOOKUP(E360,[1]base!M:P,4,0)</f>
        <v>0.90647482014388492</v>
      </c>
      <c r="AE360" s="19">
        <f t="shared" si="41"/>
        <v>-7.8841726618705046</v>
      </c>
    </row>
    <row r="361" spans="1:31" x14ac:dyDescent="0.25">
      <c r="A361" s="10" t="s">
        <v>439</v>
      </c>
      <c r="B361" s="11">
        <v>46228.328831018516</v>
      </c>
      <c r="C361" s="12" t="s">
        <v>130</v>
      </c>
      <c r="D361" s="12" t="s">
        <v>440</v>
      </c>
      <c r="E361" s="13" t="str">
        <f t="shared" si="35"/>
        <v>EC40112</v>
      </c>
      <c r="F361" s="14" t="str">
        <f t="shared" si="36"/>
        <v>ACAJOU</v>
      </c>
      <c r="G361" s="14">
        <f>+VLOOKUP(F361,[1]base!A:B,2,0)</f>
        <v>15.1</v>
      </c>
      <c r="H361" s="14">
        <v>6</v>
      </c>
      <c r="I361" s="14">
        <v>6</v>
      </c>
      <c r="J361" s="14"/>
      <c r="K361" s="14" t="s">
        <v>33</v>
      </c>
      <c r="L361" s="14" t="s">
        <v>441</v>
      </c>
      <c r="M361" s="14" t="s">
        <v>35</v>
      </c>
      <c r="N361" s="14">
        <v>6</v>
      </c>
      <c r="O361" s="14">
        <v>6</v>
      </c>
      <c r="P361" s="14">
        <v>0</v>
      </c>
      <c r="Q361" s="14">
        <v>0</v>
      </c>
      <c r="R361" s="14">
        <v>0</v>
      </c>
      <c r="S361" s="14"/>
      <c r="T361" s="15">
        <v>6</v>
      </c>
      <c r="U361" s="16"/>
      <c r="V361" s="17">
        <v>280</v>
      </c>
      <c r="W361" s="17">
        <f t="shared" si="37"/>
        <v>1680</v>
      </c>
      <c r="X361" s="17">
        <f t="shared" si="38"/>
        <v>87.36</v>
      </c>
      <c r="Y361" s="17">
        <v>285</v>
      </c>
      <c r="Z361" s="17">
        <f t="shared" si="39"/>
        <v>1</v>
      </c>
      <c r="AA361" s="17">
        <f t="shared" si="40"/>
        <v>6.6666666666666693E-2</v>
      </c>
      <c r="AB361" s="17">
        <f>+VLOOKUP(E361,[1]base!M:N,2,0)</f>
        <v>23</v>
      </c>
      <c r="AC361" s="17">
        <f>+VLOOKUP(E361,[1]base!M:Q,5,0)</f>
        <v>268.39999999999998</v>
      </c>
      <c r="AD361" s="18">
        <f>+VLOOKUP(E361,[1]base!M:P,4,0)</f>
        <v>0.23333333333333334</v>
      </c>
      <c r="AE361" s="19">
        <f t="shared" si="41"/>
        <v>1.533333333333333</v>
      </c>
    </row>
    <row r="362" spans="1:31" x14ac:dyDescent="0.25">
      <c r="A362" s="10" t="s">
        <v>442</v>
      </c>
      <c r="B362" s="11">
        <v>46265.500104166669</v>
      </c>
      <c r="C362" s="12" t="s">
        <v>443</v>
      </c>
      <c r="D362" s="12" t="s">
        <v>440</v>
      </c>
      <c r="E362" s="13" t="str">
        <f t="shared" si="35"/>
        <v>EC40112</v>
      </c>
      <c r="F362" s="14" t="str">
        <f t="shared" si="36"/>
        <v>ACAJOU</v>
      </c>
      <c r="G362" s="14">
        <f>+VLOOKUP(F362,[1]base!A:B,2,0)</f>
        <v>15.1</v>
      </c>
      <c r="H362" s="14">
        <v>8</v>
      </c>
      <c r="I362" s="14">
        <v>8</v>
      </c>
      <c r="J362" s="14"/>
      <c r="K362" s="14" t="s">
        <v>33</v>
      </c>
      <c r="L362" s="14" t="s">
        <v>444</v>
      </c>
      <c r="M362" s="14" t="s">
        <v>35</v>
      </c>
      <c r="N362" s="14">
        <v>8</v>
      </c>
      <c r="O362" s="14">
        <v>8</v>
      </c>
      <c r="P362" s="14">
        <v>0</v>
      </c>
      <c r="Q362" s="14">
        <v>0</v>
      </c>
      <c r="R362" s="14">
        <v>0</v>
      </c>
      <c r="S362" s="14"/>
      <c r="T362" s="15">
        <v>8</v>
      </c>
      <c r="U362" s="16"/>
      <c r="V362" s="17">
        <v>836</v>
      </c>
      <c r="W362" s="17">
        <f t="shared" si="37"/>
        <v>6688</v>
      </c>
      <c r="X362" s="17">
        <f t="shared" si="38"/>
        <v>347.77600000000001</v>
      </c>
      <c r="Y362" s="17">
        <v>841</v>
      </c>
      <c r="Z362" s="17">
        <f t="shared" si="39"/>
        <v>1</v>
      </c>
      <c r="AA362" s="17">
        <f t="shared" si="40"/>
        <v>6.6666666666666693E-2</v>
      </c>
      <c r="AB362" s="17">
        <f>+VLOOKUP(E362,[1]base!M:N,2,0)</f>
        <v>23</v>
      </c>
      <c r="AC362" s="17">
        <f>+VLOOKUP(E362,[1]base!M:Q,5,0)</f>
        <v>268.39999999999998</v>
      </c>
      <c r="AD362" s="18">
        <f>+VLOOKUP(E362,[1]base!M:P,4,0)</f>
        <v>0.23333333333333334</v>
      </c>
      <c r="AE362" s="19">
        <f t="shared" si="41"/>
        <v>1.533333333333333</v>
      </c>
    </row>
    <row r="363" spans="1:31" x14ac:dyDescent="0.25">
      <c r="A363" s="10" t="s">
        <v>439</v>
      </c>
      <c r="B363" s="11">
        <v>46228.328831018516</v>
      </c>
      <c r="C363" s="12" t="s">
        <v>130</v>
      </c>
      <c r="D363" s="12" t="s">
        <v>445</v>
      </c>
      <c r="E363" s="13" t="str">
        <f t="shared" si="35"/>
        <v>FR102</v>
      </c>
      <c r="F363" s="14" t="str">
        <f t="shared" si="36"/>
        <v>ACAJOU</v>
      </c>
      <c r="G363" s="14">
        <f>+VLOOKUP(F363,[1]base!A:B,2,0)</f>
        <v>15.1</v>
      </c>
      <c r="H363" s="14">
        <v>5</v>
      </c>
      <c r="I363" s="14">
        <v>5</v>
      </c>
      <c r="J363" s="14"/>
      <c r="K363" s="14" t="s">
        <v>33</v>
      </c>
      <c r="L363" s="14" t="s">
        <v>446</v>
      </c>
      <c r="M363" s="14" t="s">
        <v>35</v>
      </c>
      <c r="N363" s="14">
        <v>5</v>
      </c>
      <c r="O363" s="14">
        <v>5</v>
      </c>
      <c r="P363" s="14">
        <v>0</v>
      </c>
      <c r="Q363" s="14">
        <v>0</v>
      </c>
      <c r="R363" s="14">
        <v>0</v>
      </c>
      <c r="S363" s="14"/>
      <c r="T363" s="15">
        <v>5</v>
      </c>
      <c r="U363" s="16"/>
      <c r="V363" s="17">
        <v>277</v>
      </c>
      <c r="W363" s="17">
        <f t="shared" si="37"/>
        <v>1385</v>
      </c>
      <c r="X363" s="17">
        <f t="shared" si="38"/>
        <v>72.02</v>
      </c>
      <c r="Y363" s="17">
        <v>282</v>
      </c>
      <c r="Z363" s="17">
        <f t="shared" si="39"/>
        <v>1</v>
      </c>
      <c r="AA363" s="17">
        <f t="shared" si="40"/>
        <v>6.6666666666666693E-2</v>
      </c>
      <c r="AB363" s="17">
        <f>+VLOOKUP(E363,[1]base!M:N,2,0)</f>
        <v>58</v>
      </c>
      <c r="AC363" s="17">
        <f>+VLOOKUP(E363,[1]base!M:Q,5,0)</f>
        <v>201.6</v>
      </c>
      <c r="AD363" s="18">
        <f>+VLOOKUP(E363,[1]base!M:P,4,0)</f>
        <v>0.75107296137339052</v>
      </c>
      <c r="AE363" s="19">
        <f t="shared" si="41"/>
        <v>-26.162231759656652</v>
      </c>
    </row>
    <row r="364" spans="1:31" x14ac:dyDescent="0.25">
      <c r="A364" s="10" t="s">
        <v>94</v>
      </c>
      <c r="B364" s="11">
        <v>46266.490532407406</v>
      </c>
      <c r="C364" s="12" t="s">
        <v>95</v>
      </c>
      <c r="D364" s="12" t="s">
        <v>445</v>
      </c>
      <c r="E364" s="13" t="str">
        <f t="shared" si="35"/>
        <v>FR102</v>
      </c>
      <c r="F364" s="14" t="str">
        <f t="shared" si="36"/>
        <v>ACAJOU</v>
      </c>
      <c r="G364" s="14">
        <f>+VLOOKUP(F364,[1]base!A:B,2,0)</f>
        <v>15.1</v>
      </c>
      <c r="H364" s="14">
        <v>8</v>
      </c>
      <c r="I364" s="14">
        <v>8</v>
      </c>
      <c r="J364" s="14"/>
      <c r="K364" s="14" t="s">
        <v>33</v>
      </c>
      <c r="L364" s="14" t="s">
        <v>447</v>
      </c>
      <c r="M364" s="14" t="s">
        <v>35</v>
      </c>
      <c r="N364" s="14">
        <v>8</v>
      </c>
      <c r="O364" s="14">
        <v>8</v>
      </c>
      <c r="P364" s="14">
        <v>0</v>
      </c>
      <c r="Q364" s="14">
        <v>0</v>
      </c>
      <c r="R364" s="14">
        <v>0</v>
      </c>
      <c r="S364" s="14"/>
      <c r="T364" s="15">
        <v>8</v>
      </c>
      <c r="U364" s="16"/>
      <c r="V364" s="17">
        <v>939</v>
      </c>
      <c r="W364" s="17">
        <f t="shared" si="37"/>
        <v>7512</v>
      </c>
      <c r="X364" s="17">
        <f t="shared" si="38"/>
        <v>390.62399999999997</v>
      </c>
      <c r="Y364" s="17">
        <v>944</v>
      </c>
      <c r="Z364" s="17">
        <f t="shared" si="39"/>
        <v>1</v>
      </c>
      <c r="AA364" s="17">
        <f t="shared" si="40"/>
        <v>6.6666666666666693E-2</v>
      </c>
      <c r="AB364" s="17">
        <f>+VLOOKUP(E364,[1]base!M:N,2,0)</f>
        <v>58</v>
      </c>
      <c r="AC364" s="17">
        <f>+VLOOKUP(E364,[1]base!M:Q,5,0)</f>
        <v>201.6</v>
      </c>
      <c r="AD364" s="18">
        <f>+VLOOKUP(E364,[1]base!M:P,4,0)</f>
        <v>0.75107296137339052</v>
      </c>
      <c r="AE364" s="19">
        <f t="shared" si="41"/>
        <v>-26.162231759656652</v>
      </c>
    </row>
    <row r="365" spans="1:31" x14ac:dyDescent="0.25">
      <c r="A365" s="10" t="s">
        <v>263</v>
      </c>
      <c r="B365" s="11">
        <v>46265.519386574073</v>
      </c>
      <c r="C365" s="12" t="s">
        <v>258</v>
      </c>
      <c r="D365" s="12" t="s">
        <v>448</v>
      </c>
      <c r="E365" s="13" t="str">
        <f t="shared" si="35"/>
        <v>EC67105</v>
      </c>
      <c r="F365" s="14" t="str">
        <f t="shared" si="36"/>
        <v>ACAJOU</v>
      </c>
      <c r="G365" s="14">
        <f>+VLOOKUP(F365,[1]base!A:B,2,0)</f>
        <v>15.1</v>
      </c>
      <c r="H365" s="14">
        <v>5</v>
      </c>
      <c r="I365" s="14">
        <v>5</v>
      </c>
      <c r="J365" s="14"/>
      <c r="K365" s="14" t="s">
        <v>33</v>
      </c>
      <c r="L365" s="14" t="s">
        <v>449</v>
      </c>
      <c r="M365" s="14" t="s">
        <v>35</v>
      </c>
      <c r="N365" s="14">
        <v>5</v>
      </c>
      <c r="O365" s="14">
        <v>5</v>
      </c>
      <c r="P365" s="14">
        <v>0</v>
      </c>
      <c r="Q365" s="14">
        <v>0</v>
      </c>
      <c r="R365" s="14">
        <v>0</v>
      </c>
      <c r="S365" s="14"/>
      <c r="T365" s="15">
        <v>5</v>
      </c>
      <c r="U365" s="16"/>
      <c r="V365" s="17">
        <v>844</v>
      </c>
      <c r="W365" s="17">
        <f t="shared" si="37"/>
        <v>4220</v>
      </c>
      <c r="X365" s="17">
        <f t="shared" si="38"/>
        <v>219.44</v>
      </c>
      <c r="Y365" s="17">
        <v>849</v>
      </c>
      <c r="Z365" s="17">
        <f t="shared" si="39"/>
        <v>1</v>
      </c>
      <c r="AA365" s="17">
        <f t="shared" si="40"/>
        <v>6.6666666666666693E-2</v>
      </c>
      <c r="AB365" s="17">
        <f>+VLOOKUP(E365,[1]base!M:N,2,0)</f>
        <v>187</v>
      </c>
      <c r="AC365" s="17">
        <f>+VLOOKUP(E365,[1]base!M:Q,5,0)</f>
        <v>520.63636363636363</v>
      </c>
      <c r="AD365" s="18">
        <f>+VLOOKUP(E365,[1]base!M:P,4,0)</f>
        <v>0.56511627906976747</v>
      </c>
      <c r="AE365" s="19">
        <f t="shared" si="41"/>
        <v>-49.576744186046518</v>
      </c>
    </row>
    <row r="366" spans="1:31" x14ac:dyDescent="0.25">
      <c r="A366" s="10" t="s">
        <v>94</v>
      </c>
      <c r="B366" s="11">
        <v>46266.490532407406</v>
      </c>
      <c r="C366" s="12" t="s">
        <v>95</v>
      </c>
      <c r="D366" s="12" t="s">
        <v>450</v>
      </c>
      <c r="E366" s="13" t="str">
        <f t="shared" si="35"/>
        <v>FR112</v>
      </c>
      <c r="F366" s="14" t="str">
        <f t="shared" si="36"/>
        <v>ACAJOU</v>
      </c>
      <c r="G366" s="14">
        <f>+VLOOKUP(F366,[1]base!A:B,2,0)</f>
        <v>15.1</v>
      </c>
      <c r="H366" s="14">
        <v>8</v>
      </c>
      <c r="I366" s="14">
        <v>8</v>
      </c>
      <c r="J366" s="14"/>
      <c r="K366" s="14" t="s">
        <v>33</v>
      </c>
      <c r="L366" s="14" t="s">
        <v>451</v>
      </c>
      <c r="M366" s="14" t="s">
        <v>35</v>
      </c>
      <c r="N366" s="14">
        <v>8</v>
      </c>
      <c r="O366" s="14">
        <v>8</v>
      </c>
      <c r="P366" s="14">
        <v>0</v>
      </c>
      <c r="Q366" s="14">
        <v>0</v>
      </c>
      <c r="R366" s="14">
        <v>0</v>
      </c>
      <c r="S366" s="14"/>
      <c r="T366" s="15">
        <v>8</v>
      </c>
      <c r="U366" s="16"/>
      <c r="V366" s="17">
        <v>941</v>
      </c>
      <c r="W366" s="17">
        <f t="shared" si="37"/>
        <v>7528</v>
      </c>
      <c r="X366" s="17">
        <f t="shared" si="38"/>
        <v>391.45599999999996</v>
      </c>
      <c r="Y366" s="17">
        <v>946</v>
      </c>
      <c r="Z366" s="17">
        <f t="shared" si="39"/>
        <v>1</v>
      </c>
      <c r="AA366" s="17">
        <f t="shared" si="40"/>
        <v>6.6666666666666693E-2</v>
      </c>
      <c r="AB366" s="17">
        <f>+VLOOKUP(E366,[1]base!M:N,2,0)</f>
        <v>205</v>
      </c>
      <c r="AC366" s="17">
        <f>+VLOOKUP(E366,[1]base!M:Q,5,0)</f>
        <v>110.9</v>
      </c>
      <c r="AD366" s="18">
        <f>+VLOOKUP(E366,[1]base!M:P,4,0)</f>
        <v>0.12393162393162394</v>
      </c>
      <c r="AE366" s="19">
        <f t="shared" si="41"/>
        <v>36.09401709401709</v>
      </c>
    </row>
    <row r="367" spans="1:31" x14ac:dyDescent="0.25">
      <c r="A367" s="10" t="s">
        <v>442</v>
      </c>
      <c r="B367" s="11">
        <v>46265.500104166669</v>
      </c>
      <c r="C367" s="12" t="s">
        <v>443</v>
      </c>
      <c r="D367" s="12" t="s">
        <v>452</v>
      </c>
      <c r="E367" s="13" t="str">
        <f t="shared" si="35"/>
        <v>EC40100</v>
      </c>
      <c r="F367" s="14" t="str">
        <f t="shared" si="36"/>
        <v>ACAJOU</v>
      </c>
      <c r="G367" s="14">
        <f>+VLOOKUP(F367,[1]base!A:B,2,0)</f>
        <v>15.1</v>
      </c>
      <c r="H367" s="14">
        <v>50</v>
      </c>
      <c r="I367" s="14">
        <v>50</v>
      </c>
      <c r="J367" s="14"/>
      <c r="K367" s="14" t="s">
        <v>33</v>
      </c>
      <c r="L367" s="14" t="s">
        <v>453</v>
      </c>
      <c r="M367" s="14" t="s">
        <v>35</v>
      </c>
      <c r="N367" s="14">
        <v>50</v>
      </c>
      <c r="O367" s="14">
        <v>50</v>
      </c>
      <c r="P367" s="14">
        <v>0</v>
      </c>
      <c r="Q367" s="14">
        <v>0</v>
      </c>
      <c r="R367" s="14">
        <v>0</v>
      </c>
      <c r="S367" s="14"/>
      <c r="T367" s="15">
        <v>50</v>
      </c>
      <c r="U367" s="16"/>
      <c r="V367" s="17">
        <v>831</v>
      </c>
      <c r="W367" s="17">
        <f t="shared" si="37"/>
        <v>41550</v>
      </c>
      <c r="X367" s="17">
        <f t="shared" si="38"/>
        <v>2160.6</v>
      </c>
      <c r="Y367" s="17">
        <v>836</v>
      </c>
      <c r="Z367" s="17">
        <f t="shared" si="39"/>
        <v>1</v>
      </c>
      <c r="AA367" s="17">
        <f t="shared" si="40"/>
        <v>6.6666666666666693E-2</v>
      </c>
      <c r="AB367" s="17">
        <f>+VLOOKUP(E367,[1]base!M:N,2,0)</f>
        <v>218</v>
      </c>
      <c r="AC367" s="17">
        <f>+VLOOKUP(E367,[1]base!M:Q,5,0)</f>
        <v>2247.5454545454545</v>
      </c>
      <c r="AD367" s="18">
        <f>+VLOOKUP(E367,[1]base!M:P,4,0)</f>
        <v>0.19557195571955718</v>
      </c>
      <c r="AE367" s="19">
        <f t="shared" si="41"/>
        <v>22.765313653136531</v>
      </c>
    </row>
    <row r="368" spans="1:31" x14ac:dyDescent="0.25">
      <c r="A368" s="10" t="s">
        <v>263</v>
      </c>
      <c r="B368" s="11">
        <v>46265.519386574073</v>
      </c>
      <c r="C368" s="12" t="s">
        <v>258</v>
      </c>
      <c r="D368" s="12" t="s">
        <v>452</v>
      </c>
      <c r="E368" s="13" t="str">
        <f t="shared" si="35"/>
        <v>EC40100</v>
      </c>
      <c r="F368" s="14" t="str">
        <f t="shared" si="36"/>
        <v>ACAJOU</v>
      </c>
      <c r="G368" s="14">
        <f>+VLOOKUP(F368,[1]base!A:B,2,0)</f>
        <v>15.1</v>
      </c>
      <c r="H368" s="14">
        <v>25</v>
      </c>
      <c r="I368" s="14">
        <v>25</v>
      </c>
      <c r="J368" s="14"/>
      <c r="K368" s="14" t="s">
        <v>33</v>
      </c>
      <c r="L368" s="14" t="s">
        <v>454</v>
      </c>
      <c r="M368" s="14" t="s">
        <v>35</v>
      </c>
      <c r="N368" s="14">
        <v>25</v>
      </c>
      <c r="O368" s="14">
        <v>25</v>
      </c>
      <c r="P368" s="14">
        <v>0</v>
      </c>
      <c r="Q368" s="14">
        <v>0</v>
      </c>
      <c r="R368" s="14">
        <v>0</v>
      </c>
      <c r="S368" s="14"/>
      <c r="T368" s="15">
        <v>25</v>
      </c>
      <c r="U368" s="16"/>
      <c r="V368" s="17">
        <v>837</v>
      </c>
      <c r="W368" s="17">
        <f t="shared" si="37"/>
        <v>20925</v>
      </c>
      <c r="X368" s="17">
        <f t="shared" si="38"/>
        <v>1088.0999999999999</v>
      </c>
      <c r="Y368" s="17">
        <v>842</v>
      </c>
      <c r="Z368" s="17">
        <f t="shared" si="39"/>
        <v>1</v>
      </c>
      <c r="AA368" s="17">
        <f t="shared" si="40"/>
        <v>6.6666666666666693E-2</v>
      </c>
      <c r="AB368" s="17">
        <f>+VLOOKUP(E368,[1]base!M:N,2,0)</f>
        <v>218</v>
      </c>
      <c r="AC368" s="17">
        <f>+VLOOKUP(E368,[1]base!M:Q,5,0)</f>
        <v>2247.5454545454545</v>
      </c>
      <c r="AD368" s="18">
        <f>+VLOOKUP(E368,[1]base!M:P,4,0)</f>
        <v>0.19557195571955718</v>
      </c>
      <c r="AE368" s="19">
        <f t="shared" si="41"/>
        <v>22.765313653136531</v>
      </c>
    </row>
    <row r="369" spans="1:31" x14ac:dyDescent="0.25">
      <c r="A369" s="10" t="s">
        <v>162</v>
      </c>
      <c r="B369" s="11">
        <v>46266.406585648147</v>
      </c>
      <c r="C369" s="12" t="s">
        <v>102</v>
      </c>
      <c r="D369" s="12" t="s">
        <v>452</v>
      </c>
      <c r="E369" s="13" t="str">
        <f t="shared" si="35"/>
        <v>EC40100</v>
      </c>
      <c r="F369" s="14" t="str">
        <f t="shared" si="36"/>
        <v>ACAJOU</v>
      </c>
      <c r="G369" s="14">
        <f>+VLOOKUP(F369,[1]base!A:B,2,0)</f>
        <v>15.1</v>
      </c>
      <c r="H369" s="14">
        <v>50</v>
      </c>
      <c r="I369" s="14">
        <v>50</v>
      </c>
      <c r="J369" s="14"/>
      <c r="K369" s="14" t="s">
        <v>33</v>
      </c>
      <c r="L369" s="14" t="s">
        <v>455</v>
      </c>
      <c r="M369" s="14" t="s">
        <v>35</v>
      </c>
      <c r="N369" s="14">
        <v>50</v>
      </c>
      <c r="O369" s="14">
        <v>50</v>
      </c>
      <c r="P369" s="14">
        <v>0</v>
      </c>
      <c r="Q369" s="14">
        <v>0</v>
      </c>
      <c r="R369" s="14">
        <v>0</v>
      </c>
      <c r="S369" s="14"/>
      <c r="T369" s="15">
        <v>50</v>
      </c>
      <c r="U369" s="16"/>
      <c r="V369" s="17">
        <v>879</v>
      </c>
      <c r="W369" s="17">
        <f t="shared" si="37"/>
        <v>43950</v>
      </c>
      <c r="X369" s="17">
        <f t="shared" si="38"/>
        <v>2285.4</v>
      </c>
      <c r="Y369" s="17">
        <v>884</v>
      </c>
      <c r="Z369" s="17">
        <f t="shared" si="39"/>
        <v>1</v>
      </c>
      <c r="AA369" s="17">
        <f t="shared" si="40"/>
        <v>6.6666666666666693E-2</v>
      </c>
      <c r="AB369" s="17">
        <f>+VLOOKUP(E369,[1]base!M:N,2,0)</f>
        <v>218</v>
      </c>
      <c r="AC369" s="17">
        <f>+VLOOKUP(E369,[1]base!M:Q,5,0)</f>
        <v>2247.5454545454545</v>
      </c>
      <c r="AD369" s="18">
        <f>+VLOOKUP(E369,[1]base!M:P,4,0)</f>
        <v>0.19557195571955718</v>
      </c>
      <c r="AE369" s="19">
        <f t="shared" si="41"/>
        <v>22.765313653136531</v>
      </c>
    </row>
    <row r="370" spans="1:31" x14ac:dyDescent="0.25">
      <c r="A370" s="10" t="s">
        <v>456</v>
      </c>
      <c r="B370" s="11">
        <v>46248.337627314817</v>
      </c>
      <c r="C370" s="12" t="s">
        <v>86</v>
      </c>
      <c r="D370" s="12" t="s">
        <v>457</v>
      </c>
      <c r="E370" s="13" t="str">
        <f t="shared" si="35"/>
        <v>P031</v>
      </c>
      <c r="F370" s="14" t="str">
        <f t="shared" si="36"/>
        <v>ACAJOU</v>
      </c>
      <c r="G370" s="14">
        <f>+VLOOKUP(F370,[1]base!A:B,2,0)</f>
        <v>15.1</v>
      </c>
      <c r="H370" s="14">
        <v>5</v>
      </c>
      <c r="I370" s="14">
        <v>5</v>
      </c>
      <c r="J370" s="14"/>
      <c r="K370" s="14" t="s">
        <v>33</v>
      </c>
      <c r="L370" s="14" t="s">
        <v>458</v>
      </c>
      <c r="M370" s="14" t="s">
        <v>35</v>
      </c>
      <c r="N370" s="14">
        <v>5</v>
      </c>
      <c r="O370" s="14">
        <v>5</v>
      </c>
      <c r="P370" s="14">
        <v>0</v>
      </c>
      <c r="Q370" s="14">
        <v>0</v>
      </c>
      <c r="R370" s="14">
        <v>0</v>
      </c>
      <c r="S370" s="14"/>
      <c r="T370" s="15">
        <v>5</v>
      </c>
      <c r="U370" s="16"/>
      <c r="V370" s="17">
        <v>481</v>
      </c>
      <c r="W370" s="17">
        <f t="shared" si="37"/>
        <v>2405</v>
      </c>
      <c r="X370" s="17">
        <f t="shared" si="38"/>
        <v>125.05999999999999</v>
      </c>
      <c r="Y370" s="17">
        <v>486</v>
      </c>
      <c r="Z370" s="17">
        <f t="shared" si="39"/>
        <v>1</v>
      </c>
      <c r="AA370" s="17">
        <f t="shared" si="40"/>
        <v>6.6666666666666693E-2</v>
      </c>
      <c r="AB370" s="17">
        <f>+VLOOKUP(E370,[1]base!M:N,2,0)</f>
        <v>237</v>
      </c>
      <c r="AC370" s="17">
        <f>+VLOOKUP(E370,[1]base!M:Q,5,0)</f>
        <v>252.875</v>
      </c>
      <c r="AD370" s="18">
        <f>+VLOOKUP(E370,[1]base!M:P,4,0)</f>
        <v>0.52505010020040077</v>
      </c>
      <c r="AE370" s="19">
        <f t="shared" si="41"/>
        <v>-53.336873747494984</v>
      </c>
    </row>
    <row r="371" spans="1:31" x14ac:dyDescent="0.25">
      <c r="A371" s="10" t="s">
        <v>91</v>
      </c>
      <c r="B371" s="11">
        <v>46267.551539351851</v>
      </c>
      <c r="C371" s="12" t="s">
        <v>39</v>
      </c>
      <c r="D371" s="12" t="s">
        <v>459</v>
      </c>
      <c r="E371" s="13" t="str">
        <f t="shared" si="35"/>
        <v>EC40154</v>
      </c>
      <c r="F371" s="14" t="str">
        <f t="shared" si="36"/>
        <v>ACAJOU</v>
      </c>
      <c r="G371" s="14">
        <f>+VLOOKUP(F371,[1]base!A:B,2,0)</f>
        <v>15.1</v>
      </c>
      <c r="H371" s="14">
        <v>20</v>
      </c>
      <c r="I371" s="14">
        <v>20</v>
      </c>
      <c r="J371" s="14"/>
      <c r="K371" s="14" t="s">
        <v>33</v>
      </c>
      <c r="L371" s="14" t="s">
        <v>460</v>
      </c>
      <c r="M371" s="14" t="s">
        <v>35</v>
      </c>
      <c r="N371" s="14">
        <v>20</v>
      </c>
      <c r="O371" s="14">
        <v>20</v>
      </c>
      <c r="P371" s="14">
        <v>0</v>
      </c>
      <c r="Q371" s="14">
        <v>0</v>
      </c>
      <c r="R371" s="14">
        <v>0</v>
      </c>
      <c r="S371" s="14"/>
      <c r="T371" s="15">
        <v>20</v>
      </c>
      <c r="U371" s="16"/>
      <c r="V371" s="17">
        <v>1045</v>
      </c>
      <c r="W371" s="17">
        <f t="shared" si="37"/>
        <v>20900</v>
      </c>
      <c r="X371" s="17">
        <f t="shared" si="38"/>
        <v>1086.8</v>
      </c>
      <c r="Y371" s="17">
        <v>1050</v>
      </c>
      <c r="Z371" s="17">
        <f t="shared" si="39"/>
        <v>1</v>
      </c>
      <c r="AA371" s="17">
        <f t="shared" si="40"/>
        <v>6.6666666666666693E-2</v>
      </c>
      <c r="AB371" s="17">
        <f>+VLOOKUP(E371,[1]base!M:N,2,0)</f>
        <v>392</v>
      </c>
      <c r="AC371" s="17">
        <f>+VLOOKUP(E371,[1]base!M:Q,5,0)</f>
        <v>102.83333333333333</v>
      </c>
      <c r="AD371" s="18">
        <f>+VLOOKUP(E371,[1]base!M:P,4,0)</f>
        <v>1.2594458438287154E-2</v>
      </c>
      <c r="AE371" s="19">
        <f t="shared" si="41"/>
        <v>112.66297229219143</v>
      </c>
    </row>
    <row r="372" spans="1:31" x14ac:dyDescent="0.25">
      <c r="A372" s="10" t="s">
        <v>263</v>
      </c>
      <c r="B372" s="11">
        <v>46265.519386574073</v>
      </c>
      <c r="C372" s="12" t="s">
        <v>258</v>
      </c>
      <c r="D372" s="12" t="s">
        <v>461</v>
      </c>
      <c r="E372" s="13" t="str">
        <f t="shared" si="35"/>
        <v>EC67103</v>
      </c>
      <c r="F372" s="14" t="str">
        <f t="shared" si="36"/>
        <v>ACAJOU</v>
      </c>
      <c r="G372" s="14">
        <f>+VLOOKUP(F372,[1]base!A:B,2,0)</f>
        <v>15.1</v>
      </c>
      <c r="H372" s="14">
        <v>10</v>
      </c>
      <c r="I372" s="14">
        <v>10</v>
      </c>
      <c r="J372" s="14"/>
      <c r="K372" s="14" t="s">
        <v>33</v>
      </c>
      <c r="L372" s="14" t="s">
        <v>462</v>
      </c>
      <c r="M372" s="14" t="s">
        <v>35</v>
      </c>
      <c r="N372" s="14">
        <v>10</v>
      </c>
      <c r="O372" s="14">
        <v>10</v>
      </c>
      <c r="P372" s="14">
        <v>0</v>
      </c>
      <c r="Q372" s="14">
        <v>0</v>
      </c>
      <c r="R372" s="14">
        <v>26</v>
      </c>
      <c r="S372" s="14"/>
      <c r="T372" s="15">
        <v>10</v>
      </c>
      <c r="U372" s="16"/>
      <c r="V372" s="17">
        <v>839</v>
      </c>
      <c r="W372" s="17">
        <f t="shared" si="37"/>
        <v>8390</v>
      </c>
      <c r="X372" s="17">
        <f t="shared" si="38"/>
        <v>436.28</v>
      </c>
      <c r="Y372" s="17">
        <v>844</v>
      </c>
      <c r="Z372" s="17">
        <f t="shared" si="39"/>
        <v>1</v>
      </c>
      <c r="AA372" s="17">
        <f t="shared" si="40"/>
        <v>6.6666666666666693E-2</v>
      </c>
      <c r="AB372" s="17">
        <f>+VLOOKUP(E372,[1]base!M:N,2,0)</f>
        <v>639</v>
      </c>
      <c r="AC372" s="17">
        <f>+VLOOKUP(E372,[1]base!M:Q,5,0)</f>
        <v>720.75</v>
      </c>
      <c r="AD372" s="18">
        <f>+VLOOKUP(E372,[1]base!M:P,4,0)</f>
        <v>0.18076923076923077</v>
      </c>
      <c r="AE372" s="19">
        <f t="shared" si="41"/>
        <v>76.188461538461539</v>
      </c>
    </row>
    <row r="373" spans="1:31" x14ac:dyDescent="0.25">
      <c r="A373" s="10" t="s">
        <v>442</v>
      </c>
      <c r="B373" s="11">
        <v>46265.500104166669</v>
      </c>
      <c r="C373" s="12" t="s">
        <v>443</v>
      </c>
      <c r="D373" s="12" t="s">
        <v>463</v>
      </c>
      <c r="E373" s="13" t="str">
        <f t="shared" si="35"/>
        <v>EC40166</v>
      </c>
      <c r="F373" s="14" t="str">
        <f t="shared" si="36"/>
        <v>ACAJOU</v>
      </c>
      <c r="G373" s="14">
        <f>+VLOOKUP(F373,[1]base!A:B,2,0)</f>
        <v>15.1</v>
      </c>
      <c r="H373" s="14">
        <v>40</v>
      </c>
      <c r="I373" s="14">
        <v>40</v>
      </c>
      <c r="J373" s="14"/>
      <c r="K373" s="14" t="s">
        <v>33</v>
      </c>
      <c r="L373" s="14" t="s">
        <v>464</v>
      </c>
      <c r="M373" s="14" t="s">
        <v>35</v>
      </c>
      <c r="N373" s="14">
        <v>40</v>
      </c>
      <c r="O373" s="14">
        <v>40</v>
      </c>
      <c r="P373" s="14">
        <v>0</v>
      </c>
      <c r="Q373" s="14">
        <v>0</v>
      </c>
      <c r="R373" s="14">
        <v>0</v>
      </c>
      <c r="S373" s="14"/>
      <c r="T373" s="15">
        <v>40</v>
      </c>
      <c r="U373" s="16"/>
      <c r="V373" s="17">
        <v>835</v>
      </c>
      <c r="W373" s="17">
        <f t="shared" si="37"/>
        <v>33400</v>
      </c>
      <c r="X373" s="17">
        <f t="shared" si="38"/>
        <v>1736.8</v>
      </c>
      <c r="Y373" s="17">
        <v>840</v>
      </c>
      <c r="Z373" s="17">
        <f t="shared" si="39"/>
        <v>1</v>
      </c>
      <c r="AA373" s="17">
        <f t="shared" si="40"/>
        <v>6.6666666666666693E-2</v>
      </c>
      <c r="AB373" s="17">
        <f>+VLOOKUP(E373,[1]base!M:N,2,0)</f>
        <v>1063</v>
      </c>
      <c r="AC373" s="17">
        <f>+VLOOKUP(E373,[1]base!M:Q,5,0)</f>
        <v>2305.5454545454545</v>
      </c>
      <c r="AD373" s="18">
        <f>+VLOOKUP(E373,[1]base!M:P,4,0)</f>
        <v>6.5420560747663555E-3</v>
      </c>
      <c r="AE373" s="19">
        <f t="shared" si="41"/>
        <v>311.94579439252334</v>
      </c>
    </row>
    <row r="374" spans="1:31" x14ac:dyDescent="0.25">
      <c r="A374" s="10" t="s">
        <v>94</v>
      </c>
      <c r="B374" s="11">
        <v>46266.490532407406</v>
      </c>
      <c r="C374" s="12" t="s">
        <v>95</v>
      </c>
      <c r="D374" s="12" t="s">
        <v>465</v>
      </c>
      <c r="E374" s="13" t="str">
        <f t="shared" si="35"/>
        <v>FR100</v>
      </c>
      <c r="F374" s="14" t="str">
        <f t="shared" si="36"/>
        <v>ACAJOU</v>
      </c>
      <c r="G374" s="14">
        <f>+VLOOKUP(F374,[1]base!A:B,2,0)</f>
        <v>15.1</v>
      </c>
      <c r="H374" s="14">
        <v>16</v>
      </c>
      <c r="I374" s="14">
        <v>16</v>
      </c>
      <c r="J374" s="14"/>
      <c r="K374" s="14" t="s">
        <v>33</v>
      </c>
      <c r="L374" s="14" t="s">
        <v>466</v>
      </c>
      <c r="M374" s="14" t="s">
        <v>35</v>
      </c>
      <c r="N374" s="14">
        <v>16</v>
      </c>
      <c r="O374" s="14">
        <v>16</v>
      </c>
      <c r="P374" s="14">
        <v>0</v>
      </c>
      <c r="Q374" s="14">
        <v>0</v>
      </c>
      <c r="R374" s="14">
        <v>8</v>
      </c>
      <c r="S374" s="14"/>
      <c r="T374" s="15">
        <v>16</v>
      </c>
      <c r="U374" s="16"/>
      <c r="V374" s="17">
        <v>936</v>
      </c>
      <c r="W374" s="17">
        <f t="shared" si="37"/>
        <v>14976</v>
      </c>
      <c r="X374" s="17">
        <f t="shared" si="38"/>
        <v>778.75199999999995</v>
      </c>
      <c r="Y374" s="17">
        <v>941</v>
      </c>
      <c r="Z374" s="17">
        <f t="shared" si="39"/>
        <v>1</v>
      </c>
      <c r="AA374" s="17">
        <f t="shared" si="40"/>
        <v>6.6666666666666693E-2</v>
      </c>
      <c r="AB374" s="17">
        <f>+VLOOKUP(E374,[1]base!M:N,2,0)</f>
        <v>1365</v>
      </c>
      <c r="AC374" s="17">
        <f>+VLOOKUP(E374,[1]base!M:Q,5,0)</f>
        <v>812.5</v>
      </c>
      <c r="AD374" s="18">
        <f>+VLOOKUP(E374,[1]base!M:P,4,0)</f>
        <v>7.4576271186440682E-2</v>
      </c>
      <c r="AE374" s="19">
        <f t="shared" si="41"/>
        <v>307.70338983050846</v>
      </c>
    </row>
    <row r="375" spans="1:31" x14ac:dyDescent="0.25">
      <c r="A375" s="10" t="s">
        <v>467</v>
      </c>
      <c r="B375" s="11">
        <v>46262.541180555556</v>
      </c>
      <c r="C375" s="12" t="s">
        <v>86</v>
      </c>
      <c r="D375" s="12" t="s">
        <v>468</v>
      </c>
      <c r="E375" s="13" t="str">
        <f t="shared" si="35"/>
        <v>EC40402</v>
      </c>
      <c r="F375" s="14" t="str">
        <f t="shared" si="36"/>
        <v>ACAJOU</v>
      </c>
      <c r="G375" s="14">
        <f>+VLOOKUP(F375,[1]base!A:B,2,0)</f>
        <v>15.1</v>
      </c>
      <c r="H375" s="14">
        <v>4</v>
      </c>
      <c r="I375" s="14">
        <v>4</v>
      </c>
      <c r="J375" s="14"/>
      <c r="K375" s="14" t="s">
        <v>33</v>
      </c>
      <c r="L375" s="14" t="s">
        <v>469</v>
      </c>
      <c r="M375" s="14" t="s">
        <v>35</v>
      </c>
      <c r="N375" s="14">
        <v>4</v>
      </c>
      <c r="O375" s="14">
        <v>4</v>
      </c>
      <c r="P375" s="14">
        <v>0</v>
      </c>
      <c r="Q375" s="14">
        <v>0</v>
      </c>
      <c r="R375" s="14">
        <v>0</v>
      </c>
      <c r="S375" s="14"/>
      <c r="T375" s="15">
        <v>4</v>
      </c>
      <c r="U375" s="16"/>
      <c r="V375" s="17">
        <v>729</v>
      </c>
      <c r="W375" s="17">
        <f t="shared" si="37"/>
        <v>2916</v>
      </c>
      <c r="X375" s="17">
        <f t="shared" si="38"/>
        <v>151.63200000000001</v>
      </c>
      <c r="Y375" s="17">
        <v>734</v>
      </c>
      <c r="Z375" s="17">
        <f t="shared" si="39"/>
        <v>1</v>
      </c>
      <c r="AA375" s="17">
        <f t="shared" si="40"/>
        <v>6.6666666666666693E-2</v>
      </c>
      <c r="AB375" s="17">
        <f>+VLOOKUP(E375,[1]base!M:N,2,0)</f>
        <v>1556</v>
      </c>
      <c r="AC375" s="17">
        <f>+VLOOKUP(E375,[1]base!M:Q,5,0)</f>
        <v>1635.090909090909</v>
      </c>
      <c r="AD375" s="18">
        <f>+VLOOKUP(E375,[1]base!M:P,4,0)</f>
        <v>0.1326644370122631</v>
      </c>
      <c r="AE375" s="19">
        <f t="shared" si="41"/>
        <v>260.37413600891858</v>
      </c>
    </row>
    <row r="376" spans="1:31" x14ac:dyDescent="0.25">
      <c r="A376" s="10" t="s">
        <v>442</v>
      </c>
      <c r="B376" s="11">
        <v>46265.500104166669</v>
      </c>
      <c r="C376" s="12" t="s">
        <v>443</v>
      </c>
      <c r="D376" s="12" t="s">
        <v>468</v>
      </c>
      <c r="E376" s="13" t="str">
        <f t="shared" si="35"/>
        <v>EC40402</v>
      </c>
      <c r="F376" s="14" t="str">
        <f t="shared" si="36"/>
        <v>ACAJOU</v>
      </c>
      <c r="G376" s="14">
        <f>+VLOOKUP(F376,[1]base!A:B,2,0)</f>
        <v>15.1</v>
      </c>
      <c r="H376" s="14">
        <v>30</v>
      </c>
      <c r="I376" s="14">
        <v>30</v>
      </c>
      <c r="J376" s="14"/>
      <c r="K376" s="14" t="s">
        <v>33</v>
      </c>
      <c r="L376" s="14" t="s">
        <v>470</v>
      </c>
      <c r="M376" s="14" t="s">
        <v>35</v>
      </c>
      <c r="N376" s="14">
        <v>30</v>
      </c>
      <c r="O376" s="14">
        <v>30</v>
      </c>
      <c r="P376" s="14">
        <v>0</v>
      </c>
      <c r="Q376" s="14">
        <v>0</v>
      </c>
      <c r="R376" s="14">
        <v>0</v>
      </c>
      <c r="S376" s="14"/>
      <c r="T376" s="15">
        <v>30</v>
      </c>
      <c r="U376" s="16"/>
      <c r="V376" s="17">
        <v>833</v>
      </c>
      <c r="W376" s="17">
        <f t="shared" si="37"/>
        <v>24990</v>
      </c>
      <c r="X376" s="17">
        <f t="shared" si="38"/>
        <v>1299.48</v>
      </c>
      <c r="Y376" s="17">
        <v>838</v>
      </c>
      <c r="Z376" s="17">
        <f t="shared" si="39"/>
        <v>1</v>
      </c>
      <c r="AA376" s="17">
        <f t="shared" si="40"/>
        <v>6.6666666666666693E-2</v>
      </c>
      <c r="AB376" s="17">
        <f>+VLOOKUP(E376,[1]base!M:N,2,0)</f>
        <v>1556</v>
      </c>
      <c r="AC376" s="17">
        <f>+VLOOKUP(E376,[1]base!M:Q,5,0)</f>
        <v>1635.090909090909</v>
      </c>
      <c r="AD376" s="18">
        <f>+VLOOKUP(E376,[1]base!M:P,4,0)</f>
        <v>0.1326644370122631</v>
      </c>
      <c r="AE376" s="19">
        <f t="shared" si="41"/>
        <v>260.37413600891858</v>
      </c>
    </row>
    <row r="377" spans="1:31" x14ac:dyDescent="0.25">
      <c r="A377" s="10" t="s">
        <v>263</v>
      </c>
      <c r="B377" s="11">
        <v>46265.519386574073</v>
      </c>
      <c r="C377" s="12" t="s">
        <v>258</v>
      </c>
      <c r="D377" s="12" t="s">
        <v>468</v>
      </c>
      <c r="E377" s="13" t="str">
        <f t="shared" si="35"/>
        <v>EC40402</v>
      </c>
      <c r="F377" s="14" t="str">
        <f t="shared" si="36"/>
        <v>ACAJOU</v>
      </c>
      <c r="G377" s="14">
        <f>+VLOOKUP(F377,[1]base!A:B,2,0)</f>
        <v>15.1</v>
      </c>
      <c r="H377" s="14">
        <v>10</v>
      </c>
      <c r="I377" s="14">
        <v>10</v>
      </c>
      <c r="J377" s="14"/>
      <c r="K377" s="14" t="s">
        <v>33</v>
      </c>
      <c r="L377" s="14" t="s">
        <v>471</v>
      </c>
      <c r="M377" s="14" t="s">
        <v>35</v>
      </c>
      <c r="N377" s="14">
        <v>10</v>
      </c>
      <c r="O377" s="14">
        <v>10</v>
      </c>
      <c r="P377" s="14">
        <v>0</v>
      </c>
      <c r="Q377" s="14">
        <v>0</v>
      </c>
      <c r="R377" s="14">
        <v>0</v>
      </c>
      <c r="S377" s="14"/>
      <c r="T377" s="15">
        <v>10</v>
      </c>
      <c r="U377" s="16"/>
      <c r="V377" s="17">
        <v>838</v>
      </c>
      <c r="W377" s="17">
        <f t="shared" si="37"/>
        <v>8380</v>
      </c>
      <c r="X377" s="17">
        <f t="shared" si="38"/>
        <v>435.76</v>
      </c>
      <c r="Y377" s="17">
        <v>843</v>
      </c>
      <c r="Z377" s="17">
        <f t="shared" si="39"/>
        <v>1</v>
      </c>
      <c r="AA377" s="17">
        <f t="shared" si="40"/>
        <v>6.6666666666666693E-2</v>
      </c>
      <c r="AB377" s="17">
        <f>+VLOOKUP(E377,[1]base!M:N,2,0)</f>
        <v>1556</v>
      </c>
      <c r="AC377" s="17">
        <f>+VLOOKUP(E377,[1]base!M:Q,5,0)</f>
        <v>1635.090909090909</v>
      </c>
      <c r="AD377" s="18">
        <f>+VLOOKUP(E377,[1]base!M:P,4,0)</f>
        <v>0.1326644370122631</v>
      </c>
      <c r="AE377" s="19">
        <f t="shared" si="41"/>
        <v>260.37413600891858</v>
      </c>
    </row>
    <row r="378" spans="1:31" x14ac:dyDescent="0.25">
      <c r="A378" s="10" t="s">
        <v>91</v>
      </c>
      <c r="B378" s="11">
        <v>46267.551539351851</v>
      </c>
      <c r="C378" s="12" t="s">
        <v>39</v>
      </c>
      <c r="D378" s="12" t="s">
        <v>468</v>
      </c>
      <c r="E378" s="13" t="str">
        <f t="shared" si="35"/>
        <v>EC40402</v>
      </c>
      <c r="F378" s="14" t="str">
        <f t="shared" si="36"/>
        <v>ACAJOU</v>
      </c>
      <c r="G378" s="14">
        <f>+VLOOKUP(F378,[1]base!A:B,2,0)</f>
        <v>15.1</v>
      </c>
      <c r="H378" s="14">
        <v>100</v>
      </c>
      <c r="I378" s="14">
        <v>100</v>
      </c>
      <c r="J378" s="14"/>
      <c r="K378" s="14" t="s">
        <v>33</v>
      </c>
      <c r="L378" s="14" t="s">
        <v>472</v>
      </c>
      <c r="M378" s="14" t="s">
        <v>35</v>
      </c>
      <c r="N378" s="14">
        <v>100</v>
      </c>
      <c r="O378" s="14">
        <v>100</v>
      </c>
      <c r="P378" s="14">
        <v>0</v>
      </c>
      <c r="Q378" s="14">
        <v>0</v>
      </c>
      <c r="R378" s="14">
        <v>0</v>
      </c>
      <c r="S378" s="14"/>
      <c r="T378" s="15">
        <v>100</v>
      </c>
      <c r="U378" s="16"/>
      <c r="V378" s="17">
        <v>1048</v>
      </c>
      <c r="W378" s="17">
        <f t="shared" si="37"/>
        <v>104800</v>
      </c>
      <c r="X378" s="17">
        <f t="shared" si="38"/>
        <v>5449.5999999999995</v>
      </c>
      <c r="Y378" s="17">
        <v>1053</v>
      </c>
      <c r="Z378" s="17">
        <f t="shared" si="39"/>
        <v>1</v>
      </c>
      <c r="AA378" s="17">
        <f t="shared" si="40"/>
        <v>6.6666666666666693E-2</v>
      </c>
      <c r="AB378" s="17">
        <f>+VLOOKUP(E378,[1]base!M:N,2,0)</f>
        <v>1556</v>
      </c>
      <c r="AC378" s="17">
        <f>+VLOOKUP(E378,[1]base!M:Q,5,0)</f>
        <v>1635.090909090909</v>
      </c>
      <c r="AD378" s="18">
        <f>+VLOOKUP(E378,[1]base!M:P,4,0)</f>
        <v>0.1326644370122631</v>
      </c>
      <c r="AE378" s="19">
        <f t="shared" si="41"/>
        <v>260.37413600891858</v>
      </c>
    </row>
    <row r="379" spans="1:31" x14ac:dyDescent="0.25">
      <c r="A379" s="10" t="s">
        <v>442</v>
      </c>
      <c r="B379" s="11">
        <v>46265.500104166669</v>
      </c>
      <c r="C379" s="12" t="s">
        <v>443</v>
      </c>
      <c r="D379" s="12" t="s">
        <v>473</v>
      </c>
      <c r="E379" s="13" t="str">
        <f t="shared" si="35"/>
        <v>EC40404</v>
      </c>
      <c r="F379" s="14" t="str">
        <f t="shared" si="36"/>
        <v>ACAJOU</v>
      </c>
      <c r="G379" s="14">
        <f>+VLOOKUP(F379,[1]base!A:B,2,0)</f>
        <v>15.1</v>
      </c>
      <c r="H379" s="14">
        <v>20</v>
      </c>
      <c r="I379" s="14">
        <v>20</v>
      </c>
      <c r="J379" s="14"/>
      <c r="K379" s="14" t="s">
        <v>33</v>
      </c>
      <c r="L379" s="14" t="s">
        <v>474</v>
      </c>
      <c r="M379" s="14" t="s">
        <v>35</v>
      </c>
      <c r="N379" s="14">
        <v>20</v>
      </c>
      <c r="O379" s="14">
        <v>20</v>
      </c>
      <c r="P379" s="14">
        <v>0</v>
      </c>
      <c r="Q379" s="14">
        <v>0</v>
      </c>
      <c r="R379" s="14">
        <v>0</v>
      </c>
      <c r="S379" s="14"/>
      <c r="T379" s="15">
        <v>20</v>
      </c>
      <c r="U379" s="16"/>
      <c r="V379" s="17">
        <v>834</v>
      </c>
      <c r="W379" s="17">
        <f t="shared" si="37"/>
        <v>16680</v>
      </c>
      <c r="X379" s="17">
        <f t="shared" si="38"/>
        <v>867.36</v>
      </c>
      <c r="Y379" s="17">
        <v>839</v>
      </c>
      <c r="Z379" s="17">
        <f t="shared" si="39"/>
        <v>1</v>
      </c>
      <c r="AA379" s="17">
        <f t="shared" si="40"/>
        <v>6.6666666666666693E-2</v>
      </c>
      <c r="AB379" s="17">
        <f>+VLOOKUP(E379,[1]base!M:N,2,0)</f>
        <v>1778</v>
      </c>
      <c r="AC379" s="17">
        <f>+VLOOKUP(E379,[1]base!M:Q,5,0)</f>
        <v>1288.0999999999999</v>
      </c>
      <c r="AD379" s="18">
        <f>+VLOOKUP(E379,[1]base!M:P,4,0)</f>
        <v>6.95970695970696E-2</v>
      </c>
      <c r="AE379" s="19">
        <f t="shared" si="41"/>
        <v>409.65641025641025</v>
      </c>
    </row>
    <row r="380" spans="1:31" x14ac:dyDescent="0.25">
      <c r="A380" s="10" t="s">
        <v>91</v>
      </c>
      <c r="B380" s="11">
        <v>46267.551539351851</v>
      </c>
      <c r="C380" s="12" t="s">
        <v>39</v>
      </c>
      <c r="D380" s="12" t="s">
        <v>473</v>
      </c>
      <c r="E380" s="13" t="str">
        <f t="shared" si="35"/>
        <v>EC40404</v>
      </c>
      <c r="F380" s="14" t="str">
        <f t="shared" si="36"/>
        <v>ACAJOU</v>
      </c>
      <c r="G380" s="14">
        <f>+VLOOKUP(F380,[1]base!A:B,2,0)</f>
        <v>15.1</v>
      </c>
      <c r="H380" s="14">
        <v>100</v>
      </c>
      <c r="I380" s="14">
        <v>100</v>
      </c>
      <c r="J380" s="14"/>
      <c r="K380" s="14" t="s">
        <v>33</v>
      </c>
      <c r="L380" s="14" t="s">
        <v>475</v>
      </c>
      <c r="M380" s="14" t="s">
        <v>35</v>
      </c>
      <c r="N380" s="14">
        <v>100</v>
      </c>
      <c r="O380" s="14">
        <v>100</v>
      </c>
      <c r="P380" s="14">
        <v>0</v>
      </c>
      <c r="Q380" s="14">
        <v>0</v>
      </c>
      <c r="R380" s="14">
        <v>0</v>
      </c>
      <c r="S380" s="14"/>
      <c r="T380" s="15">
        <v>100</v>
      </c>
      <c r="U380" s="16"/>
      <c r="V380" s="17">
        <v>1053</v>
      </c>
      <c r="W380" s="17">
        <f t="shared" si="37"/>
        <v>105300</v>
      </c>
      <c r="X380" s="17">
        <f t="shared" si="38"/>
        <v>5475.5999999999995</v>
      </c>
      <c r="Y380" s="17">
        <v>1058</v>
      </c>
      <c r="Z380" s="17">
        <f t="shared" si="39"/>
        <v>1</v>
      </c>
      <c r="AA380" s="17">
        <f t="shared" si="40"/>
        <v>6.6666666666666693E-2</v>
      </c>
      <c r="AB380" s="17">
        <f>+VLOOKUP(E380,[1]base!M:N,2,0)</f>
        <v>1778</v>
      </c>
      <c r="AC380" s="17">
        <f>+VLOOKUP(E380,[1]base!M:Q,5,0)</f>
        <v>1288.0999999999999</v>
      </c>
      <c r="AD380" s="18">
        <f>+VLOOKUP(E380,[1]base!M:P,4,0)</f>
        <v>6.95970695970696E-2</v>
      </c>
      <c r="AE380" s="19">
        <f t="shared" si="41"/>
        <v>409.65641025641025</v>
      </c>
    </row>
    <row r="381" spans="1:31" x14ac:dyDescent="0.25">
      <c r="A381" s="10" t="s">
        <v>94</v>
      </c>
      <c r="B381" s="11">
        <v>46266.490532407406</v>
      </c>
      <c r="C381" s="12" t="s">
        <v>95</v>
      </c>
      <c r="D381" s="12" t="s">
        <v>476</v>
      </c>
      <c r="E381" s="13" t="str">
        <f t="shared" si="35"/>
        <v>FR404</v>
      </c>
      <c r="F381" s="14" t="str">
        <f t="shared" si="36"/>
        <v>ACAJOU</v>
      </c>
      <c r="G381" s="14">
        <f>+VLOOKUP(F381,[1]base!A:B,2,0)</f>
        <v>15.1</v>
      </c>
      <c r="H381" s="14">
        <v>16</v>
      </c>
      <c r="I381" s="14">
        <v>16</v>
      </c>
      <c r="J381" s="14"/>
      <c r="K381" s="14" t="s">
        <v>33</v>
      </c>
      <c r="L381" s="14" t="s">
        <v>477</v>
      </c>
      <c r="M381" s="14" t="s">
        <v>35</v>
      </c>
      <c r="N381" s="14">
        <v>16</v>
      </c>
      <c r="O381" s="14">
        <v>16</v>
      </c>
      <c r="P381" s="14">
        <v>0</v>
      </c>
      <c r="Q381" s="14">
        <v>0</v>
      </c>
      <c r="R381" s="14">
        <v>1</v>
      </c>
      <c r="S381" s="14"/>
      <c r="T381" s="15">
        <v>16</v>
      </c>
      <c r="U381" s="16"/>
      <c r="V381" s="17">
        <v>943</v>
      </c>
      <c r="W381" s="17">
        <f t="shared" si="37"/>
        <v>15088</v>
      </c>
      <c r="X381" s="17">
        <f t="shared" si="38"/>
        <v>784.57599999999991</v>
      </c>
      <c r="Y381" s="17">
        <v>948</v>
      </c>
      <c r="Z381" s="17">
        <f t="shared" si="39"/>
        <v>1</v>
      </c>
      <c r="AA381" s="17">
        <f t="shared" si="40"/>
        <v>6.6666666666666693E-2</v>
      </c>
      <c r="AB381" s="17">
        <f>+VLOOKUP(E381,[1]base!M:N,2,0)</f>
        <v>2331</v>
      </c>
      <c r="AC381" s="17">
        <f>+VLOOKUP(E381,[1]base!M:Q,5,0)</f>
        <v>578.90909090909088</v>
      </c>
      <c r="AD381" s="18">
        <f>+VLOOKUP(E381,[1]base!M:P,4,0)</f>
        <v>7.0203430394894295E-2</v>
      </c>
      <c r="AE381" s="19">
        <f t="shared" si="41"/>
        <v>535.65580374950139</v>
      </c>
    </row>
    <row r="382" spans="1:31" x14ac:dyDescent="0.25">
      <c r="A382" s="10" t="s">
        <v>478</v>
      </c>
      <c r="B382" s="11">
        <v>46261.431909722225</v>
      </c>
      <c r="C382" s="12" t="s">
        <v>479</v>
      </c>
      <c r="D382" s="12" t="s">
        <v>480</v>
      </c>
      <c r="E382" s="13" t="str">
        <f t="shared" si="35"/>
        <v>4145</v>
      </c>
      <c r="F382" s="14" t="str">
        <f t="shared" si="36"/>
        <v>ACAJOU</v>
      </c>
      <c r="G382" s="14">
        <f>+VLOOKUP(F382,[1]base!A:B,2,0)</f>
        <v>15.1</v>
      </c>
      <c r="H382" s="14">
        <v>1</v>
      </c>
      <c r="I382" s="14">
        <v>1</v>
      </c>
      <c r="J382" s="14"/>
      <c r="K382" s="14" t="s">
        <v>33</v>
      </c>
      <c r="L382" s="14" t="s">
        <v>481</v>
      </c>
      <c r="M382" s="14" t="s">
        <v>35</v>
      </c>
      <c r="N382" s="14">
        <v>1</v>
      </c>
      <c r="O382" s="14">
        <v>1</v>
      </c>
      <c r="P382" s="14">
        <v>0</v>
      </c>
      <c r="Q382" s="14">
        <v>0</v>
      </c>
      <c r="R382" s="14">
        <v>0</v>
      </c>
      <c r="S382" s="14"/>
      <c r="T382" s="15">
        <v>1</v>
      </c>
      <c r="U382" s="16"/>
      <c r="V382" s="17">
        <v>658</v>
      </c>
      <c r="W382" s="17">
        <f t="shared" si="37"/>
        <v>658</v>
      </c>
      <c r="X382" s="17">
        <f t="shared" si="38"/>
        <v>34.216000000000001</v>
      </c>
      <c r="Y382" s="17">
        <v>663</v>
      </c>
      <c r="Z382" s="17">
        <f t="shared" si="39"/>
        <v>1</v>
      </c>
      <c r="AA382" s="17">
        <f t="shared" si="40"/>
        <v>6.6666666666666693E-2</v>
      </c>
      <c r="AB382" s="17" t="e">
        <f>+VLOOKUP(E382,[1]base!M:N,2,0)</f>
        <v>#N/A</v>
      </c>
      <c r="AC382" s="17" t="e">
        <f>+VLOOKUP(E382,[1]base!M:Q,5,0)</f>
        <v>#N/A</v>
      </c>
      <c r="AD382" s="18" t="e">
        <f>+VLOOKUP(E382,[1]base!M:P,4,0)</f>
        <v>#N/A</v>
      </c>
      <c r="AE382" s="19" t="e">
        <f t="shared" si="41"/>
        <v>#N/A</v>
      </c>
    </row>
    <row r="383" spans="1:31" x14ac:dyDescent="0.25">
      <c r="A383" s="10" t="s">
        <v>478</v>
      </c>
      <c r="B383" s="11">
        <v>46261.431909722225</v>
      </c>
      <c r="C383" s="12" t="s">
        <v>479</v>
      </c>
      <c r="D383" s="12" t="s">
        <v>482</v>
      </c>
      <c r="E383" s="13" t="str">
        <f t="shared" si="35"/>
        <v>4455</v>
      </c>
      <c r="F383" s="14" t="str">
        <f t="shared" si="36"/>
        <v>ACAJOU</v>
      </c>
      <c r="G383" s="14">
        <f>+VLOOKUP(F383,[1]base!A:B,2,0)</f>
        <v>15.1</v>
      </c>
      <c r="H383" s="14">
        <v>2</v>
      </c>
      <c r="I383" s="14">
        <v>2</v>
      </c>
      <c r="J383" s="14"/>
      <c r="K383" s="14" t="s">
        <v>33</v>
      </c>
      <c r="L383" s="14" t="s">
        <v>483</v>
      </c>
      <c r="M383" s="14" t="s">
        <v>35</v>
      </c>
      <c r="N383" s="14">
        <v>2</v>
      </c>
      <c r="O383" s="14">
        <v>2</v>
      </c>
      <c r="P383" s="14">
        <v>0</v>
      </c>
      <c r="Q383" s="14">
        <v>0</v>
      </c>
      <c r="R383" s="14">
        <v>0</v>
      </c>
      <c r="S383" s="14"/>
      <c r="T383" s="15">
        <v>2</v>
      </c>
      <c r="U383" s="16"/>
      <c r="V383" s="17">
        <v>659</v>
      </c>
      <c r="W383" s="17">
        <f t="shared" si="37"/>
        <v>1318</v>
      </c>
      <c r="X383" s="17">
        <f t="shared" si="38"/>
        <v>68.536000000000001</v>
      </c>
      <c r="Y383" s="17">
        <v>664</v>
      </c>
      <c r="Z383" s="17">
        <f t="shared" si="39"/>
        <v>1</v>
      </c>
      <c r="AA383" s="17">
        <f t="shared" si="40"/>
        <v>6.6666666666666693E-2</v>
      </c>
      <c r="AB383" s="17" t="e">
        <f>+VLOOKUP(E383,[1]base!M:N,2,0)</f>
        <v>#N/A</v>
      </c>
      <c r="AC383" s="17" t="e">
        <f>+VLOOKUP(E383,[1]base!M:Q,5,0)</f>
        <v>#N/A</v>
      </c>
      <c r="AD383" s="18" t="e">
        <f>+VLOOKUP(E383,[1]base!M:P,4,0)</f>
        <v>#N/A</v>
      </c>
      <c r="AE383" s="19" t="e">
        <f t="shared" si="41"/>
        <v>#N/A</v>
      </c>
    </row>
    <row r="384" spans="1:31" x14ac:dyDescent="0.25">
      <c r="A384" s="10" t="s">
        <v>478</v>
      </c>
      <c r="B384" s="11">
        <v>46261.431909722225</v>
      </c>
      <c r="C384" s="12" t="s">
        <v>479</v>
      </c>
      <c r="D384" s="12" t="s">
        <v>484</v>
      </c>
      <c r="E384" s="13" t="str">
        <f t="shared" si="35"/>
        <v>4463</v>
      </c>
      <c r="F384" s="14" t="str">
        <f t="shared" si="36"/>
        <v>ACAJOU</v>
      </c>
      <c r="G384" s="14">
        <f>+VLOOKUP(F384,[1]base!A:B,2,0)</f>
        <v>15.1</v>
      </c>
      <c r="H384" s="14">
        <v>2</v>
      </c>
      <c r="I384" s="14">
        <v>2</v>
      </c>
      <c r="J384" s="14"/>
      <c r="K384" s="14" t="s">
        <v>33</v>
      </c>
      <c r="L384" s="14" t="s">
        <v>485</v>
      </c>
      <c r="M384" s="14" t="s">
        <v>35</v>
      </c>
      <c r="N384" s="14">
        <v>2</v>
      </c>
      <c r="O384" s="14">
        <v>2</v>
      </c>
      <c r="P384" s="14">
        <v>0</v>
      </c>
      <c r="Q384" s="14">
        <v>0</v>
      </c>
      <c r="R384" s="14">
        <v>0</v>
      </c>
      <c r="S384" s="14"/>
      <c r="T384" s="15">
        <v>2</v>
      </c>
      <c r="U384" s="16"/>
      <c r="V384" s="17">
        <v>660</v>
      </c>
      <c r="W384" s="17">
        <f t="shared" si="37"/>
        <v>1320</v>
      </c>
      <c r="X384" s="17">
        <f t="shared" si="38"/>
        <v>68.64</v>
      </c>
      <c r="Y384" s="17">
        <v>665</v>
      </c>
      <c r="Z384" s="17">
        <f t="shared" si="39"/>
        <v>1</v>
      </c>
      <c r="AA384" s="17">
        <f t="shared" si="40"/>
        <v>6.6666666666666693E-2</v>
      </c>
      <c r="AB384" s="17" t="e">
        <f>+VLOOKUP(E384,[1]base!M:N,2,0)</f>
        <v>#N/A</v>
      </c>
      <c r="AC384" s="17" t="e">
        <f>+VLOOKUP(E384,[1]base!M:Q,5,0)</f>
        <v>#N/A</v>
      </c>
      <c r="AD384" s="18" t="e">
        <f>+VLOOKUP(E384,[1]base!M:P,4,0)</f>
        <v>#N/A</v>
      </c>
      <c r="AE384" s="19" t="e">
        <f t="shared" si="41"/>
        <v>#N/A</v>
      </c>
    </row>
    <row r="385" spans="1:31" x14ac:dyDescent="0.25">
      <c r="A385" s="10" t="s">
        <v>486</v>
      </c>
      <c r="B385" s="11">
        <v>46266.35396990741</v>
      </c>
      <c r="C385" s="12" t="s">
        <v>39</v>
      </c>
      <c r="D385" s="12" t="s">
        <v>487</v>
      </c>
      <c r="E385" s="13" t="str">
        <f t="shared" si="35"/>
        <v>AL11026</v>
      </c>
      <c r="F385" s="14" t="str">
        <f t="shared" si="36"/>
        <v>PALMIER</v>
      </c>
      <c r="G385" s="14">
        <f>+VLOOKUP(F385,[1]base!A:B,2,0)</f>
        <v>20</v>
      </c>
      <c r="H385" s="14">
        <v>2</v>
      </c>
      <c r="I385" s="14">
        <v>2</v>
      </c>
      <c r="J385" s="14"/>
      <c r="K385" s="14" t="s">
        <v>33</v>
      </c>
      <c r="L385" s="14" t="s">
        <v>488</v>
      </c>
      <c r="M385" s="14" t="s">
        <v>35</v>
      </c>
      <c r="N385" s="14">
        <v>2</v>
      </c>
      <c r="O385" s="14">
        <v>2</v>
      </c>
      <c r="P385" s="14">
        <v>0</v>
      </c>
      <c r="Q385" s="14">
        <v>0</v>
      </c>
      <c r="R385" s="14">
        <v>0</v>
      </c>
      <c r="S385" s="14"/>
      <c r="T385" s="15">
        <v>2</v>
      </c>
      <c r="U385" s="16"/>
      <c r="V385" s="17">
        <v>859</v>
      </c>
      <c r="W385" s="17">
        <f t="shared" si="37"/>
        <v>1718</v>
      </c>
      <c r="X385" s="17">
        <f t="shared" si="38"/>
        <v>89.335999999999999</v>
      </c>
      <c r="Y385" s="17">
        <v>864</v>
      </c>
      <c r="Z385" s="17">
        <f t="shared" si="39"/>
        <v>1</v>
      </c>
      <c r="AA385" s="17">
        <f t="shared" si="40"/>
        <v>6.6666666666666693E-2</v>
      </c>
      <c r="AB385" s="17">
        <f>+VLOOKUP(E385,[1]base!M:N,2,0)</f>
        <v>12</v>
      </c>
      <c r="AC385" s="17">
        <f>+VLOOKUP(E385,[1]base!M:Q,5,0)</f>
        <v>222.375</v>
      </c>
      <c r="AD385" s="18">
        <f>+VLOOKUP(E385,[1]base!M:P,4,0)</f>
        <v>0.625</v>
      </c>
      <c r="AE385" s="19">
        <f t="shared" si="41"/>
        <v>-3.9000000000000004</v>
      </c>
    </row>
    <row r="386" spans="1:31" x14ac:dyDescent="0.25">
      <c r="A386" s="10" t="s">
        <v>486</v>
      </c>
      <c r="B386" s="11">
        <v>46266.35396990741</v>
      </c>
      <c r="C386" s="12" t="s">
        <v>39</v>
      </c>
      <c r="D386" s="12" t="s">
        <v>489</v>
      </c>
      <c r="E386" s="13" t="str">
        <f t="shared" ref="E386:E449" si="42">_xlfn.TEXTBEFORE(D386, "-", -1, 1, , D386)</f>
        <v>FR100</v>
      </c>
      <c r="F386" s="14" t="str">
        <f t="shared" ref="F386:F449" si="43">_xlfn.TEXTAFTER(D386, "-", -1, 1, , "")</f>
        <v>PALMIER</v>
      </c>
      <c r="G386" s="14">
        <f>+VLOOKUP(F386,[1]base!A:B,2,0)</f>
        <v>20</v>
      </c>
      <c r="H386" s="14">
        <v>2</v>
      </c>
      <c r="I386" s="14">
        <v>2</v>
      </c>
      <c r="J386" s="14"/>
      <c r="K386" s="14" t="s">
        <v>33</v>
      </c>
      <c r="L386" s="14" t="s">
        <v>490</v>
      </c>
      <c r="M386" s="14" t="s">
        <v>35</v>
      </c>
      <c r="N386" s="14">
        <v>2</v>
      </c>
      <c r="O386" s="14">
        <v>2</v>
      </c>
      <c r="P386" s="14">
        <v>0</v>
      </c>
      <c r="Q386" s="14">
        <v>0</v>
      </c>
      <c r="R386" s="14">
        <v>0</v>
      </c>
      <c r="S386" s="14"/>
      <c r="T386" s="15">
        <v>2</v>
      </c>
      <c r="U386" s="16"/>
      <c r="V386" s="17">
        <v>860</v>
      </c>
      <c r="W386" s="17">
        <f t="shared" ref="W386:W449" si="44">(T386+U386)*V386</f>
        <v>1720</v>
      </c>
      <c r="X386" s="17">
        <f t="shared" ref="X386:X449" si="45">+W386*0.052</f>
        <v>89.44</v>
      </c>
      <c r="Y386" s="17">
        <v>865</v>
      </c>
      <c r="Z386" s="17">
        <f t="shared" ref="Z386:Z449" si="46">ROUNDUP(T386/Y386,0)</f>
        <v>1</v>
      </c>
      <c r="AA386" s="17">
        <f t="shared" ref="AA386:AA449" si="47">+Z386*0.0666666666666667</f>
        <v>6.6666666666666693E-2</v>
      </c>
      <c r="AB386" s="17">
        <f>+VLOOKUP(E386,[1]base!M:N,2,0)</f>
        <v>1365</v>
      </c>
      <c r="AC386" s="17">
        <f>+VLOOKUP(E386,[1]base!M:Q,5,0)</f>
        <v>812.5</v>
      </c>
      <c r="AD386" s="18">
        <f>+VLOOKUP(E386,[1]base!M:P,4,0)</f>
        <v>7.4576271186440682E-2</v>
      </c>
      <c r="AE386" s="19">
        <f t="shared" ref="AE386:AE449" si="48">+AB386*(30%-AD386)</f>
        <v>307.70338983050846</v>
      </c>
    </row>
    <row r="387" spans="1:31" x14ac:dyDescent="0.25">
      <c r="A387" s="10" t="s">
        <v>142</v>
      </c>
      <c r="B387" s="11">
        <v>46252.518969907411</v>
      </c>
      <c r="C387" s="12" t="s">
        <v>143</v>
      </c>
      <c r="D387" s="12" t="s">
        <v>491</v>
      </c>
      <c r="E387" s="13" t="str">
        <f t="shared" si="42"/>
        <v>CO103</v>
      </c>
      <c r="F387" s="14" t="str">
        <f t="shared" si="43"/>
        <v>GRIS</v>
      </c>
      <c r="G387" s="14">
        <f>+VLOOKUP(F387,[1]base!A:B,2,0)</f>
        <v>22</v>
      </c>
      <c r="H387" s="14">
        <v>20</v>
      </c>
      <c r="I387" s="14">
        <v>20</v>
      </c>
      <c r="J387" s="14"/>
      <c r="K387" s="14" t="s">
        <v>33</v>
      </c>
      <c r="L387" s="14" t="s">
        <v>492</v>
      </c>
      <c r="M387" s="14" t="s">
        <v>35</v>
      </c>
      <c r="N387" s="14">
        <v>20</v>
      </c>
      <c r="O387" s="14">
        <v>20</v>
      </c>
      <c r="P387" s="14">
        <v>0</v>
      </c>
      <c r="Q387" s="14">
        <v>0</v>
      </c>
      <c r="R387" s="14">
        <v>0</v>
      </c>
      <c r="S387" s="14"/>
      <c r="T387" s="15">
        <v>20</v>
      </c>
      <c r="U387" s="16"/>
      <c r="V387" s="17">
        <v>513</v>
      </c>
      <c r="W387" s="17">
        <f t="shared" si="44"/>
        <v>10260</v>
      </c>
      <c r="X387" s="17">
        <f t="shared" si="45"/>
        <v>533.52</v>
      </c>
      <c r="Y387" s="17">
        <v>518</v>
      </c>
      <c r="Z387" s="17">
        <f t="shared" si="46"/>
        <v>1</v>
      </c>
      <c r="AA387" s="17">
        <f t="shared" si="47"/>
        <v>6.6666666666666693E-2</v>
      </c>
      <c r="AB387" s="17">
        <f>+VLOOKUP(E387,[1]base!M:N,2,0)</f>
        <v>13</v>
      </c>
      <c r="AC387" s="17">
        <f>+VLOOKUP(E387,[1]base!M:Q,5,0)</f>
        <v>593.63636363636363</v>
      </c>
      <c r="AD387" s="18">
        <f>+VLOOKUP(E387,[1]base!M:P,4,0)</f>
        <v>0.90647482014388492</v>
      </c>
      <c r="AE387" s="19">
        <f t="shared" si="48"/>
        <v>-7.8841726618705046</v>
      </c>
    </row>
    <row r="388" spans="1:31" x14ac:dyDescent="0.25">
      <c r="A388" s="10" t="s">
        <v>493</v>
      </c>
      <c r="B388" s="11">
        <v>46268.354953703703</v>
      </c>
      <c r="C388" s="12" t="s">
        <v>39</v>
      </c>
      <c r="D388" s="12" t="s">
        <v>491</v>
      </c>
      <c r="E388" s="13" t="str">
        <f t="shared" si="42"/>
        <v>CO103</v>
      </c>
      <c r="F388" s="14" t="str">
        <f t="shared" si="43"/>
        <v>GRIS</v>
      </c>
      <c r="G388" s="14">
        <f>+VLOOKUP(F388,[1]base!A:B,2,0)</f>
        <v>22</v>
      </c>
      <c r="H388" s="14">
        <v>12</v>
      </c>
      <c r="I388" s="14">
        <v>12</v>
      </c>
      <c r="J388" s="14"/>
      <c r="K388" s="14" t="s">
        <v>33</v>
      </c>
      <c r="L388" s="14" t="s">
        <v>494</v>
      </c>
      <c r="M388" s="14" t="s">
        <v>35</v>
      </c>
      <c r="N388" s="14">
        <v>12</v>
      </c>
      <c r="O388" s="14">
        <v>12</v>
      </c>
      <c r="P388" s="14">
        <v>0</v>
      </c>
      <c r="Q388" s="14">
        <v>0</v>
      </c>
      <c r="R388" s="14">
        <v>0</v>
      </c>
      <c r="S388" s="14"/>
      <c r="T388" s="15">
        <v>12</v>
      </c>
      <c r="U388" s="16"/>
      <c r="V388" s="17">
        <v>1062</v>
      </c>
      <c r="W388" s="17">
        <f t="shared" si="44"/>
        <v>12744</v>
      </c>
      <c r="X388" s="17">
        <f t="shared" si="45"/>
        <v>662.68799999999999</v>
      </c>
      <c r="Y388" s="17">
        <v>1067</v>
      </c>
      <c r="Z388" s="17">
        <f t="shared" si="46"/>
        <v>1</v>
      </c>
      <c r="AA388" s="17">
        <f t="shared" si="47"/>
        <v>6.6666666666666693E-2</v>
      </c>
      <c r="AB388" s="17">
        <f>+VLOOKUP(E388,[1]base!M:N,2,0)</f>
        <v>13</v>
      </c>
      <c r="AC388" s="17">
        <f>+VLOOKUP(E388,[1]base!M:Q,5,0)</f>
        <v>593.63636363636363</v>
      </c>
      <c r="AD388" s="18">
        <f>+VLOOKUP(E388,[1]base!M:P,4,0)</f>
        <v>0.90647482014388492</v>
      </c>
      <c r="AE388" s="19">
        <f t="shared" si="48"/>
        <v>-7.8841726618705046</v>
      </c>
    </row>
    <row r="389" spans="1:31" x14ac:dyDescent="0.25">
      <c r="A389" s="10" t="s">
        <v>495</v>
      </c>
      <c r="B389" s="11">
        <v>46228.313125000001</v>
      </c>
      <c r="C389" s="12" t="s">
        <v>130</v>
      </c>
      <c r="D389" s="12" t="s">
        <v>496</v>
      </c>
      <c r="E389" s="13" t="str">
        <f t="shared" si="42"/>
        <v>FR102</v>
      </c>
      <c r="F389" s="14" t="str">
        <f t="shared" si="43"/>
        <v>GRIS</v>
      </c>
      <c r="G389" s="14">
        <f>+VLOOKUP(F389,[1]base!A:B,2,0)</f>
        <v>22</v>
      </c>
      <c r="H389" s="14">
        <v>10</v>
      </c>
      <c r="I389" s="14">
        <v>10</v>
      </c>
      <c r="J389" s="14"/>
      <c r="K389" s="14" t="s">
        <v>33</v>
      </c>
      <c r="L389" s="14" t="s">
        <v>497</v>
      </c>
      <c r="M389" s="14" t="s">
        <v>35</v>
      </c>
      <c r="N389" s="14">
        <v>10</v>
      </c>
      <c r="O389" s="14">
        <v>10</v>
      </c>
      <c r="P389" s="14">
        <v>0</v>
      </c>
      <c r="Q389" s="14">
        <v>0</v>
      </c>
      <c r="R389" s="14">
        <v>0</v>
      </c>
      <c r="S389" s="14"/>
      <c r="T389" s="15">
        <v>10</v>
      </c>
      <c r="U389" s="16"/>
      <c r="V389" s="17">
        <v>269</v>
      </c>
      <c r="W389" s="17">
        <f t="shared" si="44"/>
        <v>2690</v>
      </c>
      <c r="X389" s="17">
        <f t="shared" si="45"/>
        <v>139.88</v>
      </c>
      <c r="Y389" s="17">
        <v>274</v>
      </c>
      <c r="Z389" s="17">
        <f t="shared" si="46"/>
        <v>1</v>
      </c>
      <c r="AA389" s="17">
        <f t="shared" si="47"/>
        <v>6.6666666666666693E-2</v>
      </c>
      <c r="AB389" s="17">
        <f>+VLOOKUP(E389,[1]base!M:N,2,0)</f>
        <v>58</v>
      </c>
      <c r="AC389" s="17">
        <f>+VLOOKUP(E389,[1]base!M:Q,5,0)</f>
        <v>201.6</v>
      </c>
      <c r="AD389" s="18">
        <f>+VLOOKUP(E389,[1]base!M:P,4,0)</f>
        <v>0.75107296137339052</v>
      </c>
      <c r="AE389" s="19">
        <f t="shared" si="48"/>
        <v>-26.162231759656652</v>
      </c>
    </row>
    <row r="390" spans="1:31" x14ac:dyDescent="0.25">
      <c r="A390" s="10" t="s">
        <v>498</v>
      </c>
      <c r="B390" s="11">
        <v>46267.415729166663</v>
      </c>
      <c r="C390" s="12" t="s">
        <v>138</v>
      </c>
      <c r="D390" s="12" t="s">
        <v>499</v>
      </c>
      <c r="E390" s="13" t="str">
        <f t="shared" si="42"/>
        <v>FR135</v>
      </c>
      <c r="F390" s="14" t="str">
        <f t="shared" si="43"/>
        <v>GRIS</v>
      </c>
      <c r="G390" s="14">
        <f>+VLOOKUP(F390,[1]base!A:B,2,0)</f>
        <v>22</v>
      </c>
      <c r="H390" s="14">
        <v>10</v>
      </c>
      <c r="I390" s="14">
        <v>10</v>
      </c>
      <c r="J390" s="14"/>
      <c r="K390" s="14" t="s">
        <v>33</v>
      </c>
      <c r="L390" s="14" t="s">
        <v>500</v>
      </c>
      <c r="M390" s="14" t="s">
        <v>35</v>
      </c>
      <c r="N390" s="14">
        <v>10</v>
      </c>
      <c r="O390" s="14">
        <v>10</v>
      </c>
      <c r="P390" s="14">
        <v>0</v>
      </c>
      <c r="Q390" s="14">
        <v>0</v>
      </c>
      <c r="R390" s="14">
        <v>0</v>
      </c>
      <c r="S390" s="14"/>
      <c r="T390" s="15">
        <v>10</v>
      </c>
      <c r="U390" s="16"/>
      <c r="V390" s="17">
        <v>1018</v>
      </c>
      <c r="W390" s="17">
        <f t="shared" si="44"/>
        <v>10180</v>
      </c>
      <c r="X390" s="17">
        <f t="shared" si="45"/>
        <v>529.36</v>
      </c>
      <c r="Y390" s="17">
        <v>1023</v>
      </c>
      <c r="Z390" s="17">
        <f t="shared" si="46"/>
        <v>1</v>
      </c>
      <c r="AA390" s="17">
        <f t="shared" si="47"/>
        <v>6.6666666666666693E-2</v>
      </c>
      <c r="AB390" s="17">
        <f>+VLOOKUP(E390,[1]base!M:N,2,0)</f>
        <v>113</v>
      </c>
      <c r="AC390" s="17">
        <f>+VLOOKUP(E390,[1]base!M:Q,5,0)</f>
        <v>99</v>
      </c>
      <c r="AD390" s="18">
        <f>+VLOOKUP(E390,[1]base!M:P,4,0)</f>
        <v>0.28025477707006369</v>
      </c>
      <c r="AE390" s="19">
        <f t="shared" si="48"/>
        <v>2.2312101910828019</v>
      </c>
    </row>
    <row r="391" spans="1:31" x14ac:dyDescent="0.25">
      <c r="A391" s="10" t="s">
        <v>501</v>
      </c>
      <c r="B391" s="11">
        <v>46265.499872685185</v>
      </c>
      <c r="C391" s="12" t="s">
        <v>443</v>
      </c>
      <c r="D391" s="12" t="s">
        <v>502</v>
      </c>
      <c r="E391" s="13" t="str">
        <f t="shared" si="42"/>
        <v>EC40102</v>
      </c>
      <c r="F391" s="14" t="str">
        <f t="shared" si="43"/>
        <v>GRIS</v>
      </c>
      <c r="G391" s="14">
        <f>+VLOOKUP(F391,[1]base!A:B,2,0)</f>
        <v>22</v>
      </c>
      <c r="H391" s="14">
        <v>12</v>
      </c>
      <c r="I391" s="14">
        <v>12</v>
      </c>
      <c r="J391" s="14"/>
      <c r="K391" s="14" t="s">
        <v>33</v>
      </c>
      <c r="L391" s="14" t="s">
        <v>503</v>
      </c>
      <c r="M391" s="14" t="s">
        <v>35</v>
      </c>
      <c r="N391" s="14">
        <v>12</v>
      </c>
      <c r="O391" s="14">
        <v>12</v>
      </c>
      <c r="P391" s="14">
        <v>0</v>
      </c>
      <c r="Q391" s="14">
        <v>0</v>
      </c>
      <c r="R391" s="14">
        <v>0</v>
      </c>
      <c r="S391" s="14"/>
      <c r="T391" s="15">
        <v>12</v>
      </c>
      <c r="U391" s="16"/>
      <c r="V391" s="17">
        <v>823</v>
      </c>
      <c r="W391" s="17">
        <f t="shared" si="44"/>
        <v>9876</v>
      </c>
      <c r="X391" s="17">
        <f t="shared" si="45"/>
        <v>513.55200000000002</v>
      </c>
      <c r="Y391" s="17">
        <v>828</v>
      </c>
      <c r="Z391" s="17">
        <f t="shared" si="46"/>
        <v>1</v>
      </c>
      <c r="AA391" s="17">
        <f t="shared" si="47"/>
        <v>6.6666666666666693E-2</v>
      </c>
      <c r="AB391" s="17">
        <f>+VLOOKUP(E391,[1]base!M:N,2,0)</f>
        <v>186</v>
      </c>
      <c r="AC391" s="17">
        <f>+VLOOKUP(E391,[1]base!M:Q,5,0)</f>
        <v>824.22222222222217</v>
      </c>
      <c r="AD391" s="18">
        <f>+VLOOKUP(E391,[1]base!M:P,4,0)</f>
        <v>2.6178010471204188E-2</v>
      </c>
      <c r="AE391" s="19">
        <f t="shared" si="48"/>
        <v>50.930890052356013</v>
      </c>
    </row>
    <row r="392" spans="1:31" x14ac:dyDescent="0.25">
      <c r="A392" s="10" t="s">
        <v>501</v>
      </c>
      <c r="B392" s="11">
        <v>46265.499872685185</v>
      </c>
      <c r="C392" s="12" t="s">
        <v>443</v>
      </c>
      <c r="D392" s="12" t="s">
        <v>504</v>
      </c>
      <c r="E392" s="13" t="str">
        <f t="shared" si="42"/>
        <v>EC67105</v>
      </c>
      <c r="F392" s="14" t="str">
        <f t="shared" si="43"/>
        <v>GRIS</v>
      </c>
      <c r="G392" s="14">
        <f>+VLOOKUP(F392,[1]base!A:B,2,0)</f>
        <v>22</v>
      </c>
      <c r="H392" s="14">
        <v>20</v>
      </c>
      <c r="I392" s="14">
        <v>20</v>
      </c>
      <c r="J392" s="14"/>
      <c r="K392" s="14" t="s">
        <v>33</v>
      </c>
      <c r="L392" s="14" t="s">
        <v>505</v>
      </c>
      <c r="M392" s="14" t="s">
        <v>35</v>
      </c>
      <c r="N392" s="14">
        <v>20</v>
      </c>
      <c r="O392" s="14">
        <v>20</v>
      </c>
      <c r="P392" s="14">
        <v>0</v>
      </c>
      <c r="Q392" s="14">
        <v>0</v>
      </c>
      <c r="R392" s="14">
        <v>0</v>
      </c>
      <c r="S392" s="14"/>
      <c r="T392" s="15">
        <v>20</v>
      </c>
      <c r="U392" s="16"/>
      <c r="V392" s="17">
        <v>827</v>
      </c>
      <c r="W392" s="17">
        <f t="shared" si="44"/>
        <v>16540</v>
      </c>
      <c r="X392" s="17">
        <f t="shared" si="45"/>
        <v>860.07999999999993</v>
      </c>
      <c r="Y392" s="17">
        <v>832</v>
      </c>
      <c r="Z392" s="17">
        <f t="shared" si="46"/>
        <v>1</v>
      </c>
      <c r="AA392" s="17">
        <f t="shared" si="47"/>
        <v>6.6666666666666693E-2</v>
      </c>
      <c r="AB392" s="17">
        <f>+VLOOKUP(E392,[1]base!M:N,2,0)</f>
        <v>187</v>
      </c>
      <c r="AC392" s="17">
        <f>+VLOOKUP(E392,[1]base!M:Q,5,0)</f>
        <v>520.63636363636363</v>
      </c>
      <c r="AD392" s="18">
        <f>+VLOOKUP(E392,[1]base!M:P,4,0)</f>
        <v>0.56511627906976747</v>
      </c>
      <c r="AE392" s="19">
        <f t="shared" si="48"/>
        <v>-49.576744186046518</v>
      </c>
    </row>
    <row r="393" spans="1:31" x14ac:dyDescent="0.25">
      <c r="A393" s="10" t="s">
        <v>493</v>
      </c>
      <c r="B393" s="11">
        <v>46268.354953703703</v>
      </c>
      <c r="C393" s="12" t="s">
        <v>39</v>
      </c>
      <c r="D393" s="12" t="s">
        <v>504</v>
      </c>
      <c r="E393" s="13" t="str">
        <f t="shared" si="42"/>
        <v>EC67105</v>
      </c>
      <c r="F393" s="14" t="str">
        <f t="shared" si="43"/>
        <v>GRIS</v>
      </c>
      <c r="G393" s="14">
        <f>+VLOOKUP(F393,[1]base!A:B,2,0)</f>
        <v>22</v>
      </c>
      <c r="H393" s="14">
        <v>4</v>
      </c>
      <c r="I393" s="14">
        <v>4</v>
      </c>
      <c r="J393" s="14"/>
      <c r="K393" s="14" t="s">
        <v>33</v>
      </c>
      <c r="L393" s="14" t="s">
        <v>506</v>
      </c>
      <c r="M393" s="14" t="s">
        <v>35</v>
      </c>
      <c r="N393" s="14">
        <v>4</v>
      </c>
      <c r="O393" s="14">
        <v>4</v>
      </c>
      <c r="P393" s="14">
        <v>0</v>
      </c>
      <c r="Q393" s="14">
        <v>0</v>
      </c>
      <c r="R393" s="14">
        <v>0</v>
      </c>
      <c r="S393" s="14"/>
      <c r="T393" s="15">
        <v>4</v>
      </c>
      <c r="U393" s="16"/>
      <c r="V393" s="17">
        <v>1065</v>
      </c>
      <c r="W393" s="17">
        <f t="shared" si="44"/>
        <v>4260</v>
      </c>
      <c r="X393" s="17">
        <f t="shared" si="45"/>
        <v>221.51999999999998</v>
      </c>
      <c r="Y393" s="17">
        <v>1070</v>
      </c>
      <c r="Z393" s="17">
        <f t="shared" si="46"/>
        <v>1</v>
      </c>
      <c r="AA393" s="17">
        <f t="shared" si="47"/>
        <v>6.6666666666666693E-2</v>
      </c>
      <c r="AB393" s="17">
        <f>+VLOOKUP(E393,[1]base!M:N,2,0)</f>
        <v>187</v>
      </c>
      <c r="AC393" s="17">
        <f>+VLOOKUP(E393,[1]base!M:Q,5,0)</f>
        <v>520.63636363636363</v>
      </c>
      <c r="AD393" s="18">
        <f>+VLOOKUP(E393,[1]base!M:P,4,0)</f>
        <v>0.56511627906976747</v>
      </c>
      <c r="AE393" s="19">
        <f t="shared" si="48"/>
        <v>-49.576744186046518</v>
      </c>
    </row>
    <row r="394" spans="1:31" x14ac:dyDescent="0.25">
      <c r="A394" s="10" t="s">
        <v>498</v>
      </c>
      <c r="B394" s="11">
        <v>46267.415729166663</v>
      </c>
      <c r="C394" s="12" t="s">
        <v>138</v>
      </c>
      <c r="D394" s="12" t="s">
        <v>507</v>
      </c>
      <c r="E394" s="13" t="str">
        <f t="shared" si="42"/>
        <v>FR112</v>
      </c>
      <c r="F394" s="14" t="str">
        <f t="shared" si="43"/>
        <v>GRIS</v>
      </c>
      <c r="G394" s="14">
        <f>+VLOOKUP(F394,[1]base!A:B,2,0)</f>
        <v>22</v>
      </c>
      <c r="H394" s="14">
        <v>1</v>
      </c>
      <c r="I394" s="14">
        <v>1</v>
      </c>
      <c r="J394" s="14"/>
      <c r="K394" s="14" t="s">
        <v>33</v>
      </c>
      <c r="L394" s="14" t="s">
        <v>508</v>
      </c>
      <c r="M394" s="14" t="s">
        <v>35</v>
      </c>
      <c r="N394" s="14">
        <v>1</v>
      </c>
      <c r="O394" s="14">
        <v>1</v>
      </c>
      <c r="P394" s="14">
        <v>0</v>
      </c>
      <c r="Q394" s="14">
        <v>0</v>
      </c>
      <c r="R394" s="14">
        <v>0</v>
      </c>
      <c r="S394" s="14"/>
      <c r="T394" s="15">
        <v>1</v>
      </c>
      <c r="U394" s="16"/>
      <c r="V394" s="17">
        <v>1015</v>
      </c>
      <c r="W394" s="17">
        <f t="shared" si="44"/>
        <v>1015</v>
      </c>
      <c r="X394" s="17">
        <f t="shared" si="45"/>
        <v>52.779999999999994</v>
      </c>
      <c r="Y394" s="17">
        <v>1020</v>
      </c>
      <c r="Z394" s="17">
        <f t="shared" si="46"/>
        <v>1</v>
      </c>
      <c r="AA394" s="17">
        <f t="shared" si="47"/>
        <v>6.6666666666666693E-2</v>
      </c>
      <c r="AB394" s="17">
        <f>+VLOOKUP(E394,[1]base!M:N,2,0)</f>
        <v>205</v>
      </c>
      <c r="AC394" s="17">
        <f>+VLOOKUP(E394,[1]base!M:Q,5,0)</f>
        <v>110.9</v>
      </c>
      <c r="AD394" s="18">
        <f>+VLOOKUP(E394,[1]base!M:P,4,0)</f>
        <v>0.12393162393162394</v>
      </c>
      <c r="AE394" s="19">
        <f t="shared" si="48"/>
        <v>36.09401709401709</v>
      </c>
    </row>
    <row r="395" spans="1:31" x14ac:dyDescent="0.25">
      <c r="A395" s="10" t="s">
        <v>493</v>
      </c>
      <c r="B395" s="11">
        <v>46268.354953703703</v>
      </c>
      <c r="C395" s="12" t="s">
        <v>39</v>
      </c>
      <c r="D395" s="12" t="s">
        <v>507</v>
      </c>
      <c r="E395" s="13" t="str">
        <f t="shared" si="42"/>
        <v>FR112</v>
      </c>
      <c r="F395" s="14" t="str">
        <f t="shared" si="43"/>
        <v>GRIS</v>
      </c>
      <c r="G395" s="14">
        <f>+VLOOKUP(F395,[1]base!A:B,2,0)</f>
        <v>22</v>
      </c>
      <c r="H395" s="14">
        <v>1</v>
      </c>
      <c r="I395" s="14">
        <v>1</v>
      </c>
      <c r="J395" s="14"/>
      <c r="K395" s="14" t="s">
        <v>33</v>
      </c>
      <c r="L395" s="14" t="s">
        <v>509</v>
      </c>
      <c r="M395" s="14" t="s">
        <v>35</v>
      </c>
      <c r="N395" s="14">
        <v>1</v>
      </c>
      <c r="O395" s="14">
        <v>1</v>
      </c>
      <c r="P395" s="14">
        <v>0</v>
      </c>
      <c r="Q395" s="14">
        <v>0</v>
      </c>
      <c r="R395" s="14">
        <v>0</v>
      </c>
      <c r="S395" s="14"/>
      <c r="T395" s="15">
        <v>1</v>
      </c>
      <c r="U395" s="16"/>
      <c r="V395" s="17">
        <v>1066</v>
      </c>
      <c r="W395" s="17">
        <f t="shared" si="44"/>
        <v>1066</v>
      </c>
      <c r="X395" s="17">
        <f t="shared" si="45"/>
        <v>55.431999999999995</v>
      </c>
      <c r="Y395" s="17">
        <v>1071</v>
      </c>
      <c r="Z395" s="17">
        <f t="shared" si="46"/>
        <v>1</v>
      </c>
      <c r="AA395" s="17">
        <f t="shared" si="47"/>
        <v>6.6666666666666693E-2</v>
      </c>
      <c r="AB395" s="17">
        <f>+VLOOKUP(E395,[1]base!M:N,2,0)</f>
        <v>205</v>
      </c>
      <c r="AC395" s="17">
        <f>+VLOOKUP(E395,[1]base!M:Q,5,0)</f>
        <v>110.9</v>
      </c>
      <c r="AD395" s="18">
        <f>+VLOOKUP(E395,[1]base!M:P,4,0)</f>
        <v>0.12393162393162394</v>
      </c>
      <c r="AE395" s="19">
        <f t="shared" si="48"/>
        <v>36.09401709401709</v>
      </c>
    </row>
    <row r="396" spans="1:31" x14ac:dyDescent="0.25">
      <c r="A396" s="10" t="s">
        <v>91</v>
      </c>
      <c r="B396" s="11">
        <v>46267.551539351851</v>
      </c>
      <c r="C396" s="12" t="s">
        <v>39</v>
      </c>
      <c r="D396" s="12" t="s">
        <v>510</v>
      </c>
      <c r="E396" s="13" t="str">
        <f t="shared" si="42"/>
        <v>EC40154</v>
      </c>
      <c r="F396" s="14" t="str">
        <f t="shared" si="43"/>
        <v>GRIS</v>
      </c>
      <c r="G396" s="14">
        <f>+VLOOKUP(F396,[1]base!A:B,2,0)</f>
        <v>22</v>
      </c>
      <c r="H396" s="14">
        <v>10</v>
      </c>
      <c r="I396" s="14">
        <v>10</v>
      </c>
      <c r="J396" s="14"/>
      <c r="K396" s="14" t="s">
        <v>33</v>
      </c>
      <c r="L396" s="14" t="s">
        <v>511</v>
      </c>
      <c r="M396" s="14" t="s">
        <v>35</v>
      </c>
      <c r="N396" s="14">
        <v>10</v>
      </c>
      <c r="O396" s="14">
        <v>10</v>
      </c>
      <c r="P396" s="14">
        <v>0</v>
      </c>
      <c r="Q396" s="14">
        <v>0</v>
      </c>
      <c r="R396" s="14">
        <v>0</v>
      </c>
      <c r="S396" s="14"/>
      <c r="T396" s="15">
        <v>10</v>
      </c>
      <c r="U396" s="16"/>
      <c r="V396" s="17">
        <v>1050</v>
      </c>
      <c r="W396" s="17">
        <f t="shared" si="44"/>
        <v>10500</v>
      </c>
      <c r="X396" s="17">
        <f t="shared" si="45"/>
        <v>546</v>
      </c>
      <c r="Y396" s="17">
        <v>1055</v>
      </c>
      <c r="Z396" s="17">
        <f t="shared" si="46"/>
        <v>1</v>
      </c>
      <c r="AA396" s="17">
        <f t="shared" si="47"/>
        <v>6.6666666666666693E-2</v>
      </c>
      <c r="AB396" s="17">
        <f>+VLOOKUP(E396,[1]base!M:N,2,0)</f>
        <v>392</v>
      </c>
      <c r="AC396" s="17">
        <f>+VLOOKUP(E396,[1]base!M:Q,5,0)</f>
        <v>102.83333333333333</v>
      </c>
      <c r="AD396" s="18">
        <f>+VLOOKUP(E396,[1]base!M:P,4,0)</f>
        <v>1.2594458438287154E-2</v>
      </c>
      <c r="AE396" s="19">
        <f t="shared" si="48"/>
        <v>112.66297229219143</v>
      </c>
    </row>
    <row r="397" spans="1:31" x14ac:dyDescent="0.25">
      <c r="A397" s="10" t="s">
        <v>512</v>
      </c>
      <c r="B397" s="11">
        <v>46263.483680555553</v>
      </c>
      <c r="C397" s="12" t="s">
        <v>146</v>
      </c>
      <c r="D397" s="12" t="s">
        <v>513</v>
      </c>
      <c r="E397" s="13" t="str">
        <f t="shared" si="42"/>
        <v>EC67103</v>
      </c>
      <c r="F397" s="14" t="str">
        <f t="shared" si="43"/>
        <v>GRIS</v>
      </c>
      <c r="G397" s="14">
        <f>+VLOOKUP(F397,[1]base!A:B,2,0)</f>
        <v>22</v>
      </c>
      <c r="H397" s="14">
        <v>40</v>
      </c>
      <c r="I397" s="14">
        <v>40</v>
      </c>
      <c r="J397" s="14"/>
      <c r="K397" s="14" t="s">
        <v>33</v>
      </c>
      <c r="L397" s="14" t="s">
        <v>514</v>
      </c>
      <c r="M397" s="14" t="s">
        <v>35</v>
      </c>
      <c r="N397" s="14">
        <v>40</v>
      </c>
      <c r="O397" s="14">
        <v>40</v>
      </c>
      <c r="P397" s="14">
        <v>0</v>
      </c>
      <c r="Q397" s="14">
        <v>0</v>
      </c>
      <c r="R397" s="14">
        <v>0</v>
      </c>
      <c r="S397" s="14"/>
      <c r="T397" s="15">
        <v>40</v>
      </c>
      <c r="U397" s="16"/>
      <c r="V397" s="17">
        <v>791</v>
      </c>
      <c r="W397" s="17">
        <f t="shared" si="44"/>
        <v>31640</v>
      </c>
      <c r="X397" s="17">
        <f t="shared" si="45"/>
        <v>1645.28</v>
      </c>
      <c r="Y397" s="17">
        <v>796</v>
      </c>
      <c r="Z397" s="17">
        <f t="shared" si="46"/>
        <v>1</v>
      </c>
      <c r="AA397" s="17">
        <f t="shared" si="47"/>
        <v>6.6666666666666693E-2</v>
      </c>
      <c r="AB397" s="17">
        <f>+VLOOKUP(E397,[1]base!M:N,2,0)</f>
        <v>639</v>
      </c>
      <c r="AC397" s="17">
        <f>+VLOOKUP(E397,[1]base!M:Q,5,0)</f>
        <v>720.75</v>
      </c>
      <c r="AD397" s="18">
        <f>+VLOOKUP(E397,[1]base!M:P,4,0)</f>
        <v>0.18076923076923077</v>
      </c>
      <c r="AE397" s="19">
        <f t="shared" si="48"/>
        <v>76.188461538461539</v>
      </c>
    </row>
    <row r="398" spans="1:31" x14ac:dyDescent="0.25">
      <c r="A398" s="10" t="s">
        <v>501</v>
      </c>
      <c r="B398" s="11">
        <v>46265.499872685185</v>
      </c>
      <c r="C398" s="12" t="s">
        <v>443</v>
      </c>
      <c r="D398" s="12" t="s">
        <v>513</v>
      </c>
      <c r="E398" s="13" t="str">
        <f t="shared" si="42"/>
        <v>EC67103</v>
      </c>
      <c r="F398" s="14" t="str">
        <f t="shared" si="43"/>
        <v>GRIS</v>
      </c>
      <c r="G398" s="14">
        <f>+VLOOKUP(F398,[1]base!A:B,2,0)</f>
        <v>22</v>
      </c>
      <c r="H398" s="14">
        <v>40</v>
      </c>
      <c r="I398" s="14">
        <v>40</v>
      </c>
      <c r="J398" s="14"/>
      <c r="K398" s="14" t="s">
        <v>33</v>
      </c>
      <c r="L398" s="14" t="s">
        <v>515</v>
      </c>
      <c r="M398" s="14" t="s">
        <v>35</v>
      </c>
      <c r="N398" s="14">
        <v>40</v>
      </c>
      <c r="O398" s="14">
        <v>40</v>
      </c>
      <c r="P398" s="14">
        <v>0</v>
      </c>
      <c r="Q398" s="14">
        <v>0</v>
      </c>
      <c r="R398" s="14">
        <v>0</v>
      </c>
      <c r="S398" s="14"/>
      <c r="T398" s="15">
        <v>40</v>
      </c>
      <c r="U398" s="16"/>
      <c r="V398" s="17">
        <v>829</v>
      </c>
      <c r="W398" s="17">
        <f t="shared" si="44"/>
        <v>33160</v>
      </c>
      <c r="X398" s="17">
        <f t="shared" si="45"/>
        <v>1724.32</v>
      </c>
      <c r="Y398" s="17">
        <v>834</v>
      </c>
      <c r="Z398" s="17">
        <f t="shared" si="46"/>
        <v>1</v>
      </c>
      <c r="AA398" s="17">
        <f t="shared" si="47"/>
        <v>6.6666666666666693E-2</v>
      </c>
      <c r="AB398" s="17">
        <f>+VLOOKUP(E398,[1]base!M:N,2,0)</f>
        <v>639</v>
      </c>
      <c r="AC398" s="17">
        <f>+VLOOKUP(E398,[1]base!M:Q,5,0)</f>
        <v>720.75</v>
      </c>
      <c r="AD398" s="18">
        <f>+VLOOKUP(E398,[1]base!M:P,4,0)</f>
        <v>0.18076923076923077</v>
      </c>
      <c r="AE398" s="19">
        <f t="shared" si="48"/>
        <v>76.188461538461539</v>
      </c>
    </row>
    <row r="399" spans="1:31" x14ac:dyDescent="0.25">
      <c r="A399" s="10" t="s">
        <v>145</v>
      </c>
      <c r="B399" s="11">
        <v>46263.380335648151</v>
      </c>
      <c r="C399" s="12" t="s">
        <v>146</v>
      </c>
      <c r="D399" s="12" t="s">
        <v>516</v>
      </c>
      <c r="E399" s="13" t="str">
        <f t="shared" si="42"/>
        <v>EC22106</v>
      </c>
      <c r="F399" s="14" t="str">
        <f t="shared" si="43"/>
        <v>GRIS</v>
      </c>
      <c r="G399" s="14">
        <f>+VLOOKUP(F399,[1]base!A:B,2,0)</f>
        <v>22</v>
      </c>
      <c r="H399" s="14">
        <v>50</v>
      </c>
      <c r="I399" s="14">
        <v>50</v>
      </c>
      <c r="J399" s="14"/>
      <c r="K399" s="14" t="s">
        <v>33</v>
      </c>
      <c r="L399" s="14" t="s">
        <v>517</v>
      </c>
      <c r="M399" s="14" t="s">
        <v>35</v>
      </c>
      <c r="N399" s="14">
        <v>50</v>
      </c>
      <c r="O399" s="14">
        <v>50</v>
      </c>
      <c r="P399" s="14">
        <v>0</v>
      </c>
      <c r="Q399" s="14">
        <v>0</v>
      </c>
      <c r="R399" s="14">
        <v>0</v>
      </c>
      <c r="S399" s="14"/>
      <c r="T399" s="15">
        <v>50</v>
      </c>
      <c r="U399" s="16"/>
      <c r="V399" s="17">
        <v>772</v>
      </c>
      <c r="W399" s="17">
        <f t="shared" si="44"/>
        <v>38600</v>
      </c>
      <c r="X399" s="17">
        <f t="shared" si="45"/>
        <v>2007.1999999999998</v>
      </c>
      <c r="Y399" s="17">
        <v>777</v>
      </c>
      <c r="Z399" s="17">
        <f t="shared" si="46"/>
        <v>1</v>
      </c>
      <c r="AA399" s="17">
        <f t="shared" si="47"/>
        <v>6.6666666666666693E-2</v>
      </c>
      <c r="AB399" s="17">
        <f>+VLOOKUP(E399,[1]base!M:N,2,0)</f>
        <v>803</v>
      </c>
      <c r="AC399" s="17">
        <f>+VLOOKUP(E399,[1]base!M:Q,5,0)</f>
        <v>180</v>
      </c>
      <c r="AD399" s="18">
        <f>+VLOOKUP(E399,[1]base!M:P,4,0)</f>
        <v>0.39940164547494389</v>
      </c>
      <c r="AE399" s="19">
        <f t="shared" si="48"/>
        <v>-79.819521316379948</v>
      </c>
    </row>
    <row r="400" spans="1:31" x14ac:dyDescent="0.25">
      <c r="A400" s="10" t="s">
        <v>495</v>
      </c>
      <c r="B400" s="11">
        <v>46228.313125000001</v>
      </c>
      <c r="C400" s="12" t="s">
        <v>130</v>
      </c>
      <c r="D400" s="12" t="s">
        <v>518</v>
      </c>
      <c r="E400" s="13" t="str">
        <f t="shared" si="42"/>
        <v>EC40166</v>
      </c>
      <c r="F400" s="14" t="str">
        <f t="shared" si="43"/>
        <v>GRIS</v>
      </c>
      <c r="G400" s="14">
        <f>+VLOOKUP(F400,[1]base!A:B,2,0)</f>
        <v>22</v>
      </c>
      <c r="H400" s="14">
        <v>30</v>
      </c>
      <c r="I400" s="14">
        <v>30</v>
      </c>
      <c r="J400" s="14"/>
      <c r="K400" s="14" t="s">
        <v>33</v>
      </c>
      <c r="L400" s="14" t="s">
        <v>519</v>
      </c>
      <c r="M400" s="14" t="s">
        <v>35</v>
      </c>
      <c r="N400" s="14">
        <v>30</v>
      </c>
      <c r="O400" s="14">
        <v>30</v>
      </c>
      <c r="P400" s="14">
        <v>0</v>
      </c>
      <c r="Q400" s="14">
        <v>0</v>
      </c>
      <c r="R400" s="14">
        <v>0</v>
      </c>
      <c r="S400" s="14"/>
      <c r="T400" s="15">
        <v>30</v>
      </c>
      <c r="U400" s="16"/>
      <c r="V400" s="17">
        <v>268</v>
      </c>
      <c r="W400" s="17">
        <f t="shared" si="44"/>
        <v>8040</v>
      </c>
      <c r="X400" s="17">
        <f t="shared" si="45"/>
        <v>418.08</v>
      </c>
      <c r="Y400" s="17">
        <v>273</v>
      </c>
      <c r="Z400" s="17">
        <f t="shared" si="46"/>
        <v>1</v>
      </c>
      <c r="AA400" s="17">
        <f t="shared" si="47"/>
        <v>6.6666666666666693E-2</v>
      </c>
      <c r="AB400" s="17">
        <f>+VLOOKUP(E400,[1]base!M:N,2,0)</f>
        <v>1063</v>
      </c>
      <c r="AC400" s="17">
        <f>+VLOOKUP(E400,[1]base!M:Q,5,0)</f>
        <v>2305.5454545454545</v>
      </c>
      <c r="AD400" s="18">
        <f>+VLOOKUP(E400,[1]base!M:P,4,0)</f>
        <v>6.5420560747663555E-3</v>
      </c>
      <c r="AE400" s="19">
        <f t="shared" si="48"/>
        <v>311.94579439252334</v>
      </c>
    </row>
    <row r="401" spans="1:31" x14ac:dyDescent="0.25">
      <c r="A401" s="10" t="s">
        <v>512</v>
      </c>
      <c r="B401" s="11">
        <v>46263.483680555553</v>
      </c>
      <c r="C401" s="12" t="s">
        <v>146</v>
      </c>
      <c r="D401" s="12" t="s">
        <v>518</v>
      </c>
      <c r="E401" s="13" t="str">
        <f t="shared" si="42"/>
        <v>EC40166</v>
      </c>
      <c r="F401" s="14" t="str">
        <f t="shared" si="43"/>
        <v>GRIS</v>
      </c>
      <c r="G401" s="14">
        <f>+VLOOKUP(F401,[1]base!A:B,2,0)</f>
        <v>22</v>
      </c>
      <c r="H401" s="14">
        <v>100</v>
      </c>
      <c r="I401" s="14">
        <v>100</v>
      </c>
      <c r="J401" s="14"/>
      <c r="K401" s="14" t="s">
        <v>33</v>
      </c>
      <c r="L401" s="14" t="s">
        <v>520</v>
      </c>
      <c r="M401" s="14" t="s">
        <v>35</v>
      </c>
      <c r="N401" s="14">
        <v>100</v>
      </c>
      <c r="O401" s="14">
        <v>100</v>
      </c>
      <c r="P401" s="14">
        <v>0</v>
      </c>
      <c r="Q401" s="14">
        <v>0</v>
      </c>
      <c r="R401" s="14">
        <v>0</v>
      </c>
      <c r="S401" s="14"/>
      <c r="T401" s="15">
        <v>100</v>
      </c>
      <c r="U401" s="16"/>
      <c r="V401" s="17">
        <v>788</v>
      </c>
      <c r="W401" s="17">
        <f t="shared" si="44"/>
        <v>78800</v>
      </c>
      <c r="X401" s="17">
        <f t="shared" si="45"/>
        <v>4097.5999999999995</v>
      </c>
      <c r="Y401" s="17">
        <v>793</v>
      </c>
      <c r="Z401" s="17">
        <f t="shared" si="46"/>
        <v>1</v>
      </c>
      <c r="AA401" s="17">
        <f t="shared" si="47"/>
        <v>6.6666666666666693E-2</v>
      </c>
      <c r="AB401" s="17">
        <f>+VLOOKUP(E401,[1]base!M:N,2,0)</f>
        <v>1063</v>
      </c>
      <c r="AC401" s="17">
        <f>+VLOOKUP(E401,[1]base!M:Q,5,0)</f>
        <v>2305.5454545454545</v>
      </c>
      <c r="AD401" s="18">
        <f>+VLOOKUP(E401,[1]base!M:P,4,0)</f>
        <v>6.5420560747663555E-3</v>
      </c>
      <c r="AE401" s="19">
        <f t="shared" si="48"/>
        <v>311.94579439252334</v>
      </c>
    </row>
    <row r="402" spans="1:31" x14ac:dyDescent="0.25">
      <c r="A402" s="10" t="s">
        <v>501</v>
      </c>
      <c r="B402" s="11">
        <v>46265.499872685185</v>
      </c>
      <c r="C402" s="12" t="s">
        <v>443</v>
      </c>
      <c r="D402" s="12" t="s">
        <v>518</v>
      </c>
      <c r="E402" s="13" t="str">
        <f t="shared" si="42"/>
        <v>EC40166</v>
      </c>
      <c r="F402" s="14" t="str">
        <f t="shared" si="43"/>
        <v>GRIS</v>
      </c>
      <c r="G402" s="14">
        <f>+VLOOKUP(F402,[1]base!A:B,2,0)</f>
        <v>22</v>
      </c>
      <c r="H402" s="14">
        <v>100</v>
      </c>
      <c r="I402" s="14">
        <v>100</v>
      </c>
      <c r="J402" s="14"/>
      <c r="K402" s="14" t="s">
        <v>33</v>
      </c>
      <c r="L402" s="14" t="s">
        <v>521</v>
      </c>
      <c r="M402" s="14" t="s">
        <v>35</v>
      </c>
      <c r="N402" s="14">
        <v>100</v>
      </c>
      <c r="O402" s="14">
        <v>100</v>
      </c>
      <c r="P402" s="14">
        <v>0</v>
      </c>
      <c r="Q402" s="14">
        <v>0</v>
      </c>
      <c r="R402" s="14">
        <v>0</v>
      </c>
      <c r="S402" s="14"/>
      <c r="T402" s="15">
        <v>100</v>
      </c>
      <c r="U402" s="16"/>
      <c r="V402" s="17">
        <v>824</v>
      </c>
      <c r="W402" s="17">
        <f t="shared" si="44"/>
        <v>82400</v>
      </c>
      <c r="X402" s="17">
        <f t="shared" si="45"/>
        <v>4284.8</v>
      </c>
      <c r="Y402" s="17">
        <v>829</v>
      </c>
      <c r="Z402" s="17">
        <f t="shared" si="46"/>
        <v>1</v>
      </c>
      <c r="AA402" s="17">
        <f t="shared" si="47"/>
        <v>6.6666666666666693E-2</v>
      </c>
      <c r="AB402" s="17">
        <f>+VLOOKUP(E402,[1]base!M:N,2,0)</f>
        <v>1063</v>
      </c>
      <c r="AC402" s="17">
        <f>+VLOOKUP(E402,[1]base!M:Q,5,0)</f>
        <v>2305.5454545454545</v>
      </c>
      <c r="AD402" s="18">
        <f>+VLOOKUP(E402,[1]base!M:P,4,0)</f>
        <v>6.5420560747663555E-3</v>
      </c>
      <c r="AE402" s="19">
        <f t="shared" si="48"/>
        <v>311.94579439252334</v>
      </c>
    </row>
    <row r="403" spans="1:31" x14ac:dyDescent="0.25">
      <c r="A403" s="10" t="s">
        <v>498</v>
      </c>
      <c r="B403" s="11">
        <v>46267.415729166663</v>
      </c>
      <c r="C403" s="12" t="s">
        <v>138</v>
      </c>
      <c r="D403" s="12" t="s">
        <v>522</v>
      </c>
      <c r="E403" s="13" t="str">
        <f t="shared" si="42"/>
        <v>FR100</v>
      </c>
      <c r="F403" s="14" t="str">
        <f t="shared" si="43"/>
        <v>GRIS</v>
      </c>
      <c r="G403" s="14">
        <f>+VLOOKUP(F403,[1]base!A:B,2,0)</f>
        <v>22</v>
      </c>
      <c r="H403" s="14">
        <v>12</v>
      </c>
      <c r="I403" s="14">
        <v>12</v>
      </c>
      <c r="J403" s="14"/>
      <c r="K403" s="14" t="s">
        <v>33</v>
      </c>
      <c r="L403" s="14" t="s">
        <v>523</v>
      </c>
      <c r="M403" s="14" t="s">
        <v>35</v>
      </c>
      <c r="N403" s="14">
        <v>12</v>
      </c>
      <c r="O403" s="14">
        <v>12</v>
      </c>
      <c r="P403" s="14">
        <v>0</v>
      </c>
      <c r="Q403" s="14">
        <v>0</v>
      </c>
      <c r="R403" s="14">
        <v>7</v>
      </c>
      <c r="S403" s="14"/>
      <c r="T403" s="15">
        <v>12</v>
      </c>
      <c r="U403" s="16"/>
      <c r="V403" s="17">
        <v>1014</v>
      </c>
      <c r="W403" s="17">
        <f t="shared" si="44"/>
        <v>12168</v>
      </c>
      <c r="X403" s="17">
        <f t="shared" si="45"/>
        <v>632.73599999999999</v>
      </c>
      <c r="Y403" s="17">
        <v>1019</v>
      </c>
      <c r="Z403" s="17">
        <f t="shared" si="46"/>
        <v>1</v>
      </c>
      <c r="AA403" s="17">
        <f t="shared" si="47"/>
        <v>6.6666666666666693E-2</v>
      </c>
      <c r="AB403" s="17">
        <f>+VLOOKUP(E403,[1]base!M:N,2,0)</f>
        <v>1365</v>
      </c>
      <c r="AC403" s="17">
        <f>+VLOOKUP(E403,[1]base!M:Q,5,0)</f>
        <v>812.5</v>
      </c>
      <c r="AD403" s="18">
        <f>+VLOOKUP(E403,[1]base!M:P,4,0)</f>
        <v>7.4576271186440682E-2</v>
      </c>
      <c r="AE403" s="19">
        <f t="shared" si="48"/>
        <v>307.70338983050846</v>
      </c>
    </row>
    <row r="404" spans="1:31" x14ac:dyDescent="0.25">
      <c r="A404" s="10" t="s">
        <v>512</v>
      </c>
      <c r="B404" s="11">
        <v>46263.483680555553</v>
      </c>
      <c r="C404" s="12" t="s">
        <v>146</v>
      </c>
      <c r="D404" s="12" t="s">
        <v>524</v>
      </c>
      <c r="E404" s="13" t="str">
        <f t="shared" si="42"/>
        <v>EC40402</v>
      </c>
      <c r="F404" s="14" t="str">
        <f t="shared" si="43"/>
        <v>GRIS</v>
      </c>
      <c r="G404" s="14">
        <f>+VLOOKUP(F404,[1]base!A:B,2,0)</f>
        <v>22</v>
      </c>
      <c r="H404" s="14">
        <v>100</v>
      </c>
      <c r="I404" s="14">
        <v>100</v>
      </c>
      <c r="J404" s="14"/>
      <c r="K404" s="14" t="s">
        <v>33</v>
      </c>
      <c r="L404" s="14" t="s">
        <v>525</v>
      </c>
      <c r="M404" s="14" t="s">
        <v>35</v>
      </c>
      <c r="N404" s="14">
        <v>100</v>
      </c>
      <c r="O404" s="14">
        <v>100</v>
      </c>
      <c r="P404" s="14">
        <v>0</v>
      </c>
      <c r="Q404" s="14">
        <v>0</v>
      </c>
      <c r="R404" s="14">
        <v>0</v>
      </c>
      <c r="S404" s="14"/>
      <c r="T404" s="15">
        <v>100</v>
      </c>
      <c r="U404" s="16"/>
      <c r="V404" s="17">
        <v>790</v>
      </c>
      <c r="W404" s="17">
        <f t="shared" si="44"/>
        <v>79000</v>
      </c>
      <c r="X404" s="17">
        <f t="shared" si="45"/>
        <v>4108</v>
      </c>
      <c r="Y404" s="17">
        <v>795</v>
      </c>
      <c r="Z404" s="17">
        <f t="shared" si="46"/>
        <v>1</v>
      </c>
      <c r="AA404" s="17">
        <f t="shared" si="47"/>
        <v>6.6666666666666693E-2</v>
      </c>
      <c r="AB404" s="17">
        <f>+VLOOKUP(E404,[1]base!M:N,2,0)</f>
        <v>1556</v>
      </c>
      <c r="AC404" s="17">
        <f>+VLOOKUP(E404,[1]base!M:Q,5,0)</f>
        <v>1635.090909090909</v>
      </c>
      <c r="AD404" s="18">
        <f>+VLOOKUP(E404,[1]base!M:P,4,0)</f>
        <v>0.1326644370122631</v>
      </c>
      <c r="AE404" s="19">
        <f t="shared" si="48"/>
        <v>260.37413600891858</v>
      </c>
    </row>
    <row r="405" spans="1:31" x14ac:dyDescent="0.25">
      <c r="A405" s="10" t="s">
        <v>501</v>
      </c>
      <c r="B405" s="11">
        <v>46265.499872685185</v>
      </c>
      <c r="C405" s="12" t="s">
        <v>443</v>
      </c>
      <c r="D405" s="12" t="s">
        <v>524</v>
      </c>
      <c r="E405" s="13" t="str">
        <f t="shared" si="42"/>
        <v>EC40402</v>
      </c>
      <c r="F405" s="14" t="str">
        <f t="shared" si="43"/>
        <v>GRIS</v>
      </c>
      <c r="G405" s="14">
        <f>+VLOOKUP(F405,[1]base!A:B,2,0)</f>
        <v>22</v>
      </c>
      <c r="H405" s="14">
        <v>60</v>
      </c>
      <c r="I405" s="14">
        <v>60</v>
      </c>
      <c r="J405" s="14"/>
      <c r="K405" s="14" t="s">
        <v>33</v>
      </c>
      <c r="L405" s="14" t="s">
        <v>526</v>
      </c>
      <c r="M405" s="14" t="s">
        <v>35</v>
      </c>
      <c r="N405" s="14">
        <v>60</v>
      </c>
      <c r="O405" s="14">
        <v>60</v>
      </c>
      <c r="P405" s="14">
        <v>0</v>
      </c>
      <c r="Q405" s="14">
        <v>0</v>
      </c>
      <c r="R405" s="14">
        <v>0</v>
      </c>
      <c r="S405" s="14"/>
      <c r="T405" s="15">
        <v>60</v>
      </c>
      <c r="U405" s="16"/>
      <c r="V405" s="17">
        <v>826</v>
      </c>
      <c r="W405" s="17">
        <f t="shared" si="44"/>
        <v>49560</v>
      </c>
      <c r="X405" s="17">
        <f t="shared" si="45"/>
        <v>2577.12</v>
      </c>
      <c r="Y405" s="17">
        <v>831</v>
      </c>
      <c r="Z405" s="17">
        <f t="shared" si="46"/>
        <v>1</v>
      </c>
      <c r="AA405" s="17">
        <f t="shared" si="47"/>
        <v>6.6666666666666693E-2</v>
      </c>
      <c r="AB405" s="17">
        <f>+VLOOKUP(E405,[1]base!M:N,2,0)</f>
        <v>1556</v>
      </c>
      <c r="AC405" s="17">
        <f>+VLOOKUP(E405,[1]base!M:Q,5,0)</f>
        <v>1635.090909090909</v>
      </c>
      <c r="AD405" s="18">
        <f>+VLOOKUP(E405,[1]base!M:P,4,0)</f>
        <v>0.1326644370122631</v>
      </c>
      <c r="AE405" s="19">
        <f t="shared" si="48"/>
        <v>260.37413600891858</v>
      </c>
    </row>
    <row r="406" spans="1:31" x14ac:dyDescent="0.25">
      <c r="A406" s="10" t="s">
        <v>91</v>
      </c>
      <c r="B406" s="11">
        <v>46267.551539351851</v>
      </c>
      <c r="C406" s="12" t="s">
        <v>39</v>
      </c>
      <c r="D406" s="12" t="s">
        <v>524</v>
      </c>
      <c r="E406" s="13" t="str">
        <f t="shared" si="42"/>
        <v>EC40402</v>
      </c>
      <c r="F406" s="14" t="str">
        <f t="shared" si="43"/>
        <v>GRIS</v>
      </c>
      <c r="G406" s="14">
        <f>+VLOOKUP(F406,[1]base!A:B,2,0)</f>
        <v>22</v>
      </c>
      <c r="H406" s="14">
        <v>120</v>
      </c>
      <c r="I406" s="14">
        <v>120</v>
      </c>
      <c r="J406" s="14"/>
      <c r="K406" s="14" t="s">
        <v>33</v>
      </c>
      <c r="L406" s="14" t="s">
        <v>527</v>
      </c>
      <c r="M406" s="14" t="s">
        <v>35</v>
      </c>
      <c r="N406" s="14">
        <v>120</v>
      </c>
      <c r="O406" s="14">
        <v>120</v>
      </c>
      <c r="P406" s="14">
        <v>0</v>
      </c>
      <c r="Q406" s="14">
        <v>0</v>
      </c>
      <c r="R406" s="14">
        <v>0</v>
      </c>
      <c r="S406" s="14"/>
      <c r="T406" s="15">
        <v>120</v>
      </c>
      <c r="U406" s="16"/>
      <c r="V406" s="17">
        <v>1055</v>
      </c>
      <c r="W406" s="17">
        <f t="shared" si="44"/>
        <v>126600</v>
      </c>
      <c r="X406" s="17">
        <f t="shared" si="45"/>
        <v>6583.2</v>
      </c>
      <c r="Y406" s="17">
        <v>1060</v>
      </c>
      <c r="Z406" s="17">
        <f t="shared" si="46"/>
        <v>1</v>
      </c>
      <c r="AA406" s="17">
        <f t="shared" si="47"/>
        <v>6.6666666666666693E-2</v>
      </c>
      <c r="AB406" s="17">
        <f>+VLOOKUP(E406,[1]base!M:N,2,0)</f>
        <v>1556</v>
      </c>
      <c r="AC406" s="17">
        <f>+VLOOKUP(E406,[1]base!M:Q,5,0)</f>
        <v>1635.090909090909</v>
      </c>
      <c r="AD406" s="18">
        <f>+VLOOKUP(E406,[1]base!M:P,4,0)</f>
        <v>0.1326644370122631</v>
      </c>
      <c r="AE406" s="19">
        <f t="shared" si="48"/>
        <v>260.37413600891858</v>
      </c>
    </row>
    <row r="407" spans="1:31" x14ac:dyDescent="0.25">
      <c r="A407" s="10" t="s">
        <v>512</v>
      </c>
      <c r="B407" s="11">
        <v>46263.483680555553</v>
      </c>
      <c r="C407" s="12" t="s">
        <v>146</v>
      </c>
      <c r="D407" s="12" t="s">
        <v>528</v>
      </c>
      <c r="E407" s="13" t="str">
        <f t="shared" si="42"/>
        <v>EC40404</v>
      </c>
      <c r="F407" s="14" t="str">
        <f t="shared" si="43"/>
        <v>GRIS</v>
      </c>
      <c r="G407" s="14">
        <f>+VLOOKUP(F407,[1]base!A:B,2,0)</f>
        <v>22</v>
      </c>
      <c r="H407" s="14">
        <v>70</v>
      </c>
      <c r="I407" s="14">
        <v>70</v>
      </c>
      <c r="J407" s="14"/>
      <c r="K407" s="14" t="s">
        <v>33</v>
      </c>
      <c r="L407" s="14" t="s">
        <v>529</v>
      </c>
      <c r="M407" s="14" t="s">
        <v>35</v>
      </c>
      <c r="N407" s="14">
        <v>70</v>
      </c>
      <c r="O407" s="14">
        <v>70</v>
      </c>
      <c r="P407" s="14">
        <v>0</v>
      </c>
      <c r="Q407" s="14">
        <v>0</v>
      </c>
      <c r="R407" s="14">
        <v>0</v>
      </c>
      <c r="S407" s="14"/>
      <c r="T407" s="15">
        <v>70</v>
      </c>
      <c r="U407" s="16"/>
      <c r="V407" s="17">
        <v>789</v>
      </c>
      <c r="W407" s="17">
        <f t="shared" si="44"/>
        <v>55230</v>
      </c>
      <c r="X407" s="17">
        <f t="shared" si="45"/>
        <v>2871.96</v>
      </c>
      <c r="Y407" s="17">
        <v>794</v>
      </c>
      <c r="Z407" s="17">
        <f t="shared" si="46"/>
        <v>1</v>
      </c>
      <c r="AA407" s="17">
        <f t="shared" si="47"/>
        <v>6.6666666666666693E-2</v>
      </c>
      <c r="AB407" s="17">
        <f>+VLOOKUP(E407,[1]base!M:N,2,0)</f>
        <v>1778</v>
      </c>
      <c r="AC407" s="17">
        <f>+VLOOKUP(E407,[1]base!M:Q,5,0)</f>
        <v>1288.0999999999999</v>
      </c>
      <c r="AD407" s="18">
        <f>+VLOOKUP(E407,[1]base!M:P,4,0)</f>
        <v>6.95970695970696E-2</v>
      </c>
      <c r="AE407" s="19">
        <f t="shared" si="48"/>
        <v>409.65641025641025</v>
      </c>
    </row>
    <row r="408" spans="1:31" x14ac:dyDescent="0.25">
      <c r="A408" s="10" t="s">
        <v>501</v>
      </c>
      <c r="B408" s="11">
        <v>46265.499872685185</v>
      </c>
      <c r="C408" s="12" t="s">
        <v>443</v>
      </c>
      <c r="D408" s="12" t="s">
        <v>528</v>
      </c>
      <c r="E408" s="13" t="str">
        <f t="shared" si="42"/>
        <v>EC40404</v>
      </c>
      <c r="F408" s="14" t="str">
        <f t="shared" si="43"/>
        <v>GRIS</v>
      </c>
      <c r="G408" s="14">
        <f>+VLOOKUP(F408,[1]base!A:B,2,0)</f>
        <v>22</v>
      </c>
      <c r="H408" s="14">
        <v>40</v>
      </c>
      <c r="I408" s="14">
        <v>40</v>
      </c>
      <c r="J408" s="14"/>
      <c r="K408" s="14" t="s">
        <v>33</v>
      </c>
      <c r="L408" s="14" t="s">
        <v>530</v>
      </c>
      <c r="M408" s="14" t="s">
        <v>35</v>
      </c>
      <c r="N408" s="14">
        <v>40</v>
      </c>
      <c r="O408" s="14">
        <v>40</v>
      </c>
      <c r="P408" s="14">
        <v>0</v>
      </c>
      <c r="Q408" s="14">
        <v>0</v>
      </c>
      <c r="R408" s="14">
        <v>0</v>
      </c>
      <c r="S408" s="14"/>
      <c r="T408" s="15">
        <v>40</v>
      </c>
      <c r="U408" s="16"/>
      <c r="V408" s="17">
        <v>825</v>
      </c>
      <c r="W408" s="17">
        <f t="shared" si="44"/>
        <v>33000</v>
      </c>
      <c r="X408" s="17">
        <f t="shared" si="45"/>
        <v>1716</v>
      </c>
      <c r="Y408" s="17">
        <v>830</v>
      </c>
      <c r="Z408" s="17">
        <f t="shared" si="46"/>
        <v>1</v>
      </c>
      <c r="AA408" s="17">
        <f t="shared" si="47"/>
        <v>6.6666666666666693E-2</v>
      </c>
      <c r="AB408" s="17">
        <f>+VLOOKUP(E408,[1]base!M:N,2,0)</f>
        <v>1778</v>
      </c>
      <c r="AC408" s="17">
        <f>+VLOOKUP(E408,[1]base!M:Q,5,0)</f>
        <v>1288.0999999999999</v>
      </c>
      <c r="AD408" s="18">
        <f>+VLOOKUP(E408,[1]base!M:P,4,0)</f>
        <v>6.95970695970696E-2</v>
      </c>
      <c r="AE408" s="19">
        <f t="shared" si="48"/>
        <v>409.65641025641025</v>
      </c>
    </row>
    <row r="409" spans="1:31" x14ac:dyDescent="0.25">
      <c r="A409" s="10" t="s">
        <v>91</v>
      </c>
      <c r="B409" s="11">
        <v>46267.551539351851</v>
      </c>
      <c r="C409" s="12" t="s">
        <v>39</v>
      </c>
      <c r="D409" s="12" t="s">
        <v>528</v>
      </c>
      <c r="E409" s="13" t="str">
        <f t="shared" si="42"/>
        <v>EC40404</v>
      </c>
      <c r="F409" s="14" t="str">
        <f t="shared" si="43"/>
        <v>GRIS</v>
      </c>
      <c r="G409" s="14">
        <f>+VLOOKUP(F409,[1]base!A:B,2,0)</f>
        <v>22</v>
      </c>
      <c r="H409" s="14">
        <v>260</v>
      </c>
      <c r="I409" s="14">
        <v>260</v>
      </c>
      <c r="J409" s="14"/>
      <c r="K409" s="14" t="s">
        <v>33</v>
      </c>
      <c r="L409" s="14" t="s">
        <v>531</v>
      </c>
      <c r="M409" s="14" t="s">
        <v>35</v>
      </c>
      <c r="N409" s="14">
        <v>260</v>
      </c>
      <c r="O409" s="14">
        <v>260</v>
      </c>
      <c r="P409" s="14">
        <v>0</v>
      </c>
      <c r="Q409" s="14">
        <v>0</v>
      </c>
      <c r="R409" s="14">
        <v>0</v>
      </c>
      <c r="S409" s="14"/>
      <c r="T409" s="15">
        <v>260</v>
      </c>
      <c r="U409" s="16"/>
      <c r="V409" s="17">
        <v>1054</v>
      </c>
      <c r="W409" s="17">
        <f t="shared" si="44"/>
        <v>274040</v>
      </c>
      <c r="X409" s="17">
        <f t="shared" si="45"/>
        <v>14250.08</v>
      </c>
      <c r="Y409" s="17">
        <v>1059</v>
      </c>
      <c r="Z409" s="17">
        <f t="shared" si="46"/>
        <v>1</v>
      </c>
      <c r="AA409" s="17">
        <f t="shared" si="47"/>
        <v>6.6666666666666693E-2</v>
      </c>
      <c r="AB409" s="17">
        <f>+VLOOKUP(E409,[1]base!M:N,2,0)</f>
        <v>1778</v>
      </c>
      <c r="AC409" s="17">
        <f>+VLOOKUP(E409,[1]base!M:Q,5,0)</f>
        <v>1288.0999999999999</v>
      </c>
      <c r="AD409" s="18">
        <f>+VLOOKUP(E409,[1]base!M:P,4,0)</f>
        <v>6.95970695970696E-2</v>
      </c>
      <c r="AE409" s="19">
        <f t="shared" si="48"/>
        <v>409.65641025641025</v>
      </c>
    </row>
    <row r="410" spans="1:31" x14ac:dyDescent="0.25">
      <c r="A410" s="10" t="s">
        <v>493</v>
      </c>
      <c r="B410" s="11">
        <v>46268.354953703703</v>
      </c>
      <c r="C410" s="12" t="s">
        <v>39</v>
      </c>
      <c r="D410" s="12" t="s">
        <v>532</v>
      </c>
      <c r="E410" s="13" t="str">
        <f t="shared" si="42"/>
        <v>FR404</v>
      </c>
      <c r="F410" s="14" t="str">
        <f t="shared" si="43"/>
        <v>GRIS</v>
      </c>
      <c r="G410" s="14">
        <f>+VLOOKUP(F410,[1]base!A:B,2,0)</f>
        <v>22</v>
      </c>
      <c r="H410" s="14">
        <v>4</v>
      </c>
      <c r="I410" s="14">
        <v>4</v>
      </c>
      <c r="J410" s="14"/>
      <c r="K410" s="14" t="s">
        <v>33</v>
      </c>
      <c r="L410" s="14" t="s">
        <v>533</v>
      </c>
      <c r="M410" s="14" t="s">
        <v>35</v>
      </c>
      <c r="N410" s="14">
        <v>4</v>
      </c>
      <c r="O410" s="14">
        <v>4</v>
      </c>
      <c r="P410" s="14">
        <v>0</v>
      </c>
      <c r="Q410" s="14">
        <v>0</v>
      </c>
      <c r="R410" s="14">
        <v>0</v>
      </c>
      <c r="S410" s="14"/>
      <c r="T410" s="15">
        <v>4</v>
      </c>
      <c r="U410" s="16"/>
      <c r="V410" s="17">
        <v>1068</v>
      </c>
      <c r="W410" s="17">
        <f t="shared" si="44"/>
        <v>4272</v>
      </c>
      <c r="X410" s="17">
        <f t="shared" si="45"/>
        <v>222.14399999999998</v>
      </c>
      <c r="Y410" s="17">
        <v>1073</v>
      </c>
      <c r="Z410" s="17">
        <f t="shared" si="46"/>
        <v>1</v>
      </c>
      <c r="AA410" s="17">
        <f t="shared" si="47"/>
        <v>6.6666666666666693E-2</v>
      </c>
      <c r="AB410" s="17">
        <f>+VLOOKUP(E410,[1]base!M:N,2,0)</f>
        <v>2331</v>
      </c>
      <c r="AC410" s="17">
        <f>+VLOOKUP(E410,[1]base!M:Q,5,0)</f>
        <v>578.90909090909088</v>
      </c>
      <c r="AD410" s="18">
        <f>+VLOOKUP(E410,[1]base!M:P,4,0)</f>
        <v>7.0203430394894295E-2</v>
      </c>
      <c r="AE410" s="19">
        <f t="shared" si="48"/>
        <v>535.65580374950139</v>
      </c>
    </row>
    <row r="411" spans="1:31" x14ac:dyDescent="0.25">
      <c r="A411" s="10" t="s">
        <v>501</v>
      </c>
      <c r="B411" s="11">
        <v>46265.499872685185</v>
      </c>
      <c r="C411" s="12" t="s">
        <v>443</v>
      </c>
      <c r="D411" s="12" t="s">
        <v>534</v>
      </c>
      <c r="E411" s="13" t="str">
        <f t="shared" si="42"/>
        <v>LM-F/6</v>
      </c>
      <c r="F411" s="14" t="str">
        <f t="shared" si="43"/>
        <v>GRIS</v>
      </c>
      <c r="G411" s="14">
        <f>+VLOOKUP(F411,[1]base!A:B,2,0)</f>
        <v>22</v>
      </c>
      <c r="H411" s="14">
        <v>20</v>
      </c>
      <c r="I411" s="14">
        <v>20</v>
      </c>
      <c r="J411" s="14"/>
      <c r="K411" s="14" t="s">
        <v>33</v>
      </c>
      <c r="L411" s="14" t="s">
        <v>535</v>
      </c>
      <c r="M411" s="14" t="s">
        <v>35</v>
      </c>
      <c r="N411" s="14">
        <v>20</v>
      </c>
      <c r="O411" s="14">
        <v>20</v>
      </c>
      <c r="P411" s="14">
        <v>0</v>
      </c>
      <c r="Q411" s="14">
        <v>0</v>
      </c>
      <c r="R411" s="14">
        <v>0</v>
      </c>
      <c r="S411" s="14"/>
      <c r="T411" s="15">
        <v>20</v>
      </c>
      <c r="U411" s="16"/>
      <c r="V411" s="17">
        <v>830</v>
      </c>
      <c r="W411" s="17">
        <f t="shared" si="44"/>
        <v>16600</v>
      </c>
      <c r="X411" s="17">
        <f t="shared" si="45"/>
        <v>863.19999999999993</v>
      </c>
      <c r="Y411" s="17">
        <v>835</v>
      </c>
      <c r="Z411" s="17">
        <f t="shared" si="46"/>
        <v>1</v>
      </c>
      <c r="AA411" s="17">
        <f t="shared" si="47"/>
        <v>6.6666666666666693E-2</v>
      </c>
      <c r="AB411" s="17">
        <f>+VLOOKUP(E411,[1]base!M:N,2,0)</f>
        <v>4160</v>
      </c>
      <c r="AC411" s="17">
        <f>+VLOOKUP(E411,[1]base!M:Q,5,0)</f>
        <v>1927.6</v>
      </c>
      <c r="AD411" s="18">
        <f>+VLOOKUP(E411,[1]base!M:P,4,0)</f>
        <v>-4.4379084967320264</v>
      </c>
      <c r="AE411" s="19">
        <f t="shared" si="48"/>
        <v>19709.699346405228</v>
      </c>
    </row>
    <row r="412" spans="1:31" x14ac:dyDescent="0.25">
      <c r="A412" s="10" t="s">
        <v>501</v>
      </c>
      <c r="B412" s="11">
        <v>46265.499872685185</v>
      </c>
      <c r="C412" s="12" t="s">
        <v>443</v>
      </c>
      <c r="D412" s="12" t="s">
        <v>536</v>
      </c>
      <c r="E412" s="13" t="str">
        <f t="shared" si="42"/>
        <v>GL11060/248</v>
      </c>
      <c r="F412" s="14" t="str">
        <f t="shared" si="43"/>
        <v>GRIS</v>
      </c>
      <c r="G412" s="14">
        <f>+VLOOKUP(F412,[1]base!A:B,2,0)</f>
        <v>22</v>
      </c>
      <c r="H412" s="14">
        <v>30</v>
      </c>
      <c r="I412" s="14">
        <v>30</v>
      </c>
      <c r="J412" s="14"/>
      <c r="K412" s="14" t="s">
        <v>33</v>
      </c>
      <c r="L412" s="14" t="s">
        <v>537</v>
      </c>
      <c r="M412" s="14" t="s">
        <v>35</v>
      </c>
      <c r="N412" s="14">
        <v>30</v>
      </c>
      <c r="O412" s="14">
        <v>30</v>
      </c>
      <c r="P412" s="14">
        <v>0</v>
      </c>
      <c r="Q412" s="14">
        <v>0</v>
      </c>
      <c r="R412" s="14">
        <v>0</v>
      </c>
      <c r="S412" s="14"/>
      <c r="T412" s="15">
        <v>30</v>
      </c>
      <c r="U412" s="16"/>
      <c r="V412" s="17">
        <v>828</v>
      </c>
      <c r="W412" s="17">
        <f t="shared" si="44"/>
        <v>24840</v>
      </c>
      <c r="X412" s="17">
        <f t="shared" si="45"/>
        <v>1291.6799999999998</v>
      </c>
      <c r="Y412" s="17">
        <v>833</v>
      </c>
      <c r="Z412" s="17">
        <f t="shared" si="46"/>
        <v>1</v>
      </c>
      <c r="AA412" s="17">
        <f t="shared" si="47"/>
        <v>6.6666666666666693E-2</v>
      </c>
      <c r="AB412" s="17">
        <f>+VLOOKUP(E412,[1]base!M:N,2,0)</f>
        <v>12345</v>
      </c>
      <c r="AC412" s="17">
        <f>+VLOOKUP(E412,[1]base!M:Q,5,0)</f>
        <v>2112.7272727272725</v>
      </c>
      <c r="AD412" s="18">
        <f>+VLOOKUP(E412,[1]base!M:P,4,0)</f>
        <v>2.4242424242424242E-3</v>
      </c>
      <c r="AE412" s="19">
        <f t="shared" si="48"/>
        <v>3673.5727272727268</v>
      </c>
    </row>
    <row r="413" spans="1:31" x14ac:dyDescent="0.25">
      <c r="A413" s="10" t="s">
        <v>498</v>
      </c>
      <c r="B413" s="11">
        <v>46267.415729166663</v>
      </c>
      <c r="C413" s="12" t="s">
        <v>138</v>
      </c>
      <c r="D413" s="12" t="s">
        <v>536</v>
      </c>
      <c r="E413" s="13" t="str">
        <f t="shared" si="42"/>
        <v>GL11060/248</v>
      </c>
      <c r="F413" s="14" t="str">
        <f t="shared" si="43"/>
        <v>GRIS</v>
      </c>
      <c r="G413" s="14">
        <f>+VLOOKUP(F413,[1]base!A:B,2,0)</f>
        <v>22</v>
      </c>
      <c r="H413" s="14">
        <v>20</v>
      </c>
      <c r="I413" s="14">
        <v>20</v>
      </c>
      <c r="J413" s="14"/>
      <c r="K413" s="14" t="s">
        <v>33</v>
      </c>
      <c r="L413" s="14" t="s">
        <v>538</v>
      </c>
      <c r="M413" s="14" t="s">
        <v>35</v>
      </c>
      <c r="N413" s="14">
        <v>20</v>
      </c>
      <c r="O413" s="14">
        <v>20</v>
      </c>
      <c r="P413" s="14">
        <v>0</v>
      </c>
      <c r="Q413" s="14">
        <v>0</v>
      </c>
      <c r="R413" s="14">
        <v>0</v>
      </c>
      <c r="S413" s="14"/>
      <c r="T413" s="15">
        <v>20</v>
      </c>
      <c r="U413" s="16"/>
      <c r="V413" s="17">
        <v>1017</v>
      </c>
      <c r="W413" s="17">
        <f t="shared" si="44"/>
        <v>20340</v>
      </c>
      <c r="X413" s="17">
        <f t="shared" si="45"/>
        <v>1057.68</v>
      </c>
      <c r="Y413" s="17">
        <v>1022</v>
      </c>
      <c r="Z413" s="17">
        <f t="shared" si="46"/>
        <v>1</v>
      </c>
      <c r="AA413" s="17">
        <f t="shared" si="47"/>
        <v>6.6666666666666693E-2</v>
      </c>
      <c r="AB413" s="17">
        <f>+VLOOKUP(E413,[1]base!M:N,2,0)</f>
        <v>12345</v>
      </c>
      <c r="AC413" s="17">
        <f>+VLOOKUP(E413,[1]base!M:Q,5,0)</f>
        <v>2112.7272727272725</v>
      </c>
      <c r="AD413" s="18">
        <f>+VLOOKUP(E413,[1]base!M:P,4,0)</f>
        <v>2.4242424242424242E-3</v>
      </c>
      <c r="AE413" s="19">
        <f t="shared" si="48"/>
        <v>3673.5727272727268</v>
      </c>
    </row>
    <row r="414" spans="1:31" x14ac:dyDescent="0.25">
      <c r="A414" s="10" t="s">
        <v>539</v>
      </c>
      <c r="B414" s="11">
        <v>46260.398888888885</v>
      </c>
      <c r="C414" s="12" t="s">
        <v>39</v>
      </c>
      <c r="D414" s="12" t="s">
        <v>540</v>
      </c>
      <c r="E414" s="13" t="str">
        <f t="shared" si="42"/>
        <v>FR127</v>
      </c>
      <c r="F414" s="14" t="str">
        <f t="shared" si="43"/>
        <v>GREY</v>
      </c>
      <c r="G414" s="14">
        <f>+VLOOKUP(F414,[1]base!A:B,2,0)</f>
        <v>24</v>
      </c>
      <c r="H414" s="14">
        <v>1</v>
      </c>
      <c r="I414" s="14">
        <v>1</v>
      </c>
      <c r="J414" s="14"/>
      <c r="K414" s="14" t="s">
        <v>33</v>
      </c>
      <c r="L414" s="14" t="s">
        <v>541</v>
      </c>
      <c r="M414" s="14" t="s">
        <v>35</v>
      </c>
      <c r="N414" s="14">
        <v>1</v>
      </c>
      <c r="O414" s="14">
        <v>1</v>
      </c>
      <c r="P414" s="14">
        <v>0</v>
      </c>
      <c r="Q414" s="14">
        <v>0</v>
      </c>
      <c r="R414" s="14">
        <v>0</v>
      </c>
      <c r="S414" s="14"/>
      <c r="T414" s="15">
        <v>1</v>
      </c>
      <c r="U414" s="16"/>
      <c r="V414" s="17">
        <v>631</v>
      </c>
      <c r="W414" s="17">
        <f t="shared" si="44"/>
        <v>631</v>
      </c>
      <c r="X414" s="17">
        <f t="shared" si="45"/>
        <v>32.811999999999998</v>
      </c>
      <c r="Y414" s="17">
        <v>636</v>
      </c>
      <c r="Z414" s="17">
        <f t="shared" si="46"/>
        <v>1</v>
      </c>
      <c r="AA414" s="17">
        <f t="shared" si="47"/>
        <v>6.6666666666666693E-2</v>
      </c>
      <c r="AB414" s="17">
        <f>+VLOOKUP(E414,[1]base!M:N,2,0)</f>
        <v>21</v>
      </c>
      <c r="AC414" s="17">
        <f>+VLOOKUP(E414,[1]base!M:Q,5,0)</f>
        <v>25.571428571428573</v>
      </c>
      <c r="AD414" s="18">
        <f>+VLOOKUP(E414,[1]base!M:P,4,0)</f>
        <v>0.64406779661016944</v>
      </c>
      <c r="AE414" s="19">
        <f t="shared" si="48"/>
        <v>-7.2254237288135581</v>
      </c>
    </row>
    <row r="415" spans="1:31" x14ac:dyDescent="0.25">
      <c r="A415" s="10" t="s">
        <v>539</v>
      </c>
      <c r="B415" s="11">
        <v>46260.398888888885</v>
      </c>
      <c r="C415" s="12" t="s">
        <v>39</v>
      </c>
      <c r="D415" s="12" t="s">
        <v>542</v>
      </c>
      <c r="E415" s="13" t="str">
        <f t="shared" si="42"/>
        <v>FR164</v>
      </c>
      <c r="F415" s="14" t="str">
        <f t="shared" si="43"/>
        <v>GREY</v>
      </c>
      <c r="G415" s="14">
        <f>+VLOOKUP(F415,[1]base!A:B,2,0)</f>
        <v>24</v>
      </c>
      <c r="H415" s="14">
        <v>1</v>
      </c>
      <c r="I415" s="14">
        <v>1</v>
      </c>
      <c r="J415" s="14"/>
      <c r="K415" s="14" t="s">
        <v>33</v>
      </c>
      <c r="L415" s="14" t="s">
        <v>543</v>
      </c>
      <c r="M415" s="14" t="s">
        <v>35</v>
      </c>
      <c r="N415" s="14">
        <v>1</v>
      </c>
      <c r="O415" s="14">
        <v>1</v>
      </c>
      <c r="P415" s="14">
        <v>0</v>
      </c>
      <c r="Q415" s="14">
        <v>0</v>
      </c>
      <c r="R415" s="14">
        <v>0</v>
      </c>
      <c r="S415" s="14"/>
      <c r="T415" s="15">
        <v>1</v>
      </c>
      <c r="U415" s="16"/>
      <c r="V415" s="17">
        <v>632</v>
      </c>
      <c r="W415" s="17">
        <f t="shared" si="44"/>
        <v>632</v>
      </c>
      <c r="X415" s="17">
        <f t="shared" si="45"/>
        <v>32.863999999999997</v>
      </c>
      <c r="Y415" s="17">
        <v>637</v>
      </c>
      <c r="Z415" s="17">
        <f t="shared" si="46"/>
        <v>1</v>
      </c>
      <c r="AA415" s="17">
        <f t="shared" si="47"/>
        <v>6.6666666666666693E-2</v>
      </c>
      <c r="AB415" s="17">
        <f>+VLOOKUP(E415,[1]base!M:N,2,0)</f>
        <v>49</v>
      </c>
      <c r="AC415" s="17">
        <f>+VLOOKUP(E415,[1]base!M:Q,5,0)</f>
        <v>26.625</v>
      </c>
      <c r="AD415" s="18">
        <f>+VLOOKUP(E415,[1]base!M:P,4,0)</f>
        <v>0.55855855855855852</v>
      </c>
      <c r="AE415" s="19">
        <f t="shared" si="48"/>
        <v>-12.669369369369369</v>
      </c>
    </row>
    <row r="416" spans="1:31" x14ac:dyDescent="0.25">
      <c r="A416" s="10" t="s">
        <v>539</v>
      </c>
      <c r="B416" s="11">
        <v>46260.398888888885</v>
      </c>
      <c r="C416" s="12" t="s">
        <v>39</v>
      </c>
      <c r="D416" s="12" t="s">
        <v>544</v>
      </c>
      <c r="E416" s="13" t="str">
        <f t="shared" si="42"/>
        <v>FSQ121</v>
      </c>
      <c r="F416" s="14" t="str">
        <f t="shared" si="43"/>
        <v>GREY</v>
      </c>
      <c r="G416" s="14">
        <f>+VLOOKUP(F416,[1]base!A:B,2,0)</f>
        <v>24</v>
      </c>
      <c r="H416" s="14">
        <v>2</v>
      </c>
      <c r="I416" s="14">
        <v>2</v>
      </c>
      <c r="J416" s="14"/>
      <c r="K416" s="14" t="s">
        <v>33</v>
      </c>
      <c r="L416" s="14" t="s">
        <v>545</v>
      </c>
      <c r="M416" s="14" t="s">
        <v>35</v>
      </c>
      <c r="N416" s="14">
        <v>2</v>
      </c>
      <c r="O416" s="14">
        <v>2</v>
      </c>
      <c r="P416" s="14">
        <v>0</v>
      </c>
      <c r="Q416" s="14">
        <v>0</v>
      </c>
      <c r="R416" s="14">
        <v>0</v>
      </c>
      <c r="S416" s="14"/>
      <c r="T416" s="15">
        <v>2</v>
      </c>
      <c r="U416" s="16"/>
      <c r="V416" s="17">
        <v>636</v>
      </c>
      <c r="W416" s="17">
        <f t="shared" si="44"/>
        <v>1272</v>
      </c>
      <c r="X416" s="17">
        <f t="shared" si="45"/>
        <v>66.143999999999991</v>
      </c>
      <c r="Y416" s="17">
        <v>641</v>
      </c>
      <c r="Z416" s="17">
        <f t="shared" si="46"/>
        <v>1</v>
      </c>
      <c r="AA416" s="17">
        <f t="shared" si="47"/>
        <v>6.6666666666666693E-2</v>
      </c>
      <c r="AB416" s="17">
        <f>+VLOOKUP(E416,[1]base!M:N,2,0)</f>
        <v>116</v>
      </c>
      <c r="AC416" s="17">
        <f>+VLOOKUP(E416,[1]base!M:Q,5,0)</f>
        <v>22.888888888888889</v>
      </c>
      <c r="AD416" s="18">
        <f>+VLOOKUP(E416,[1]base!M:P,4,0)</f>
        <v>0</v>
      </c>
      <c r="AE416" s="19">
        <f t="shared" si="48"/>
        <v>34.799999999999997</v>
      </c>
    </row>
    <row r="417" spans="1:31" x14ac:dyDescent="0.25">
      <c r="A417" s="10" t="s">
        <v>539</v>
      </c>
      <c r="B417" s="11">
        <v>46260.398888888885</v>
      </c>
      <c r="C417" s="12" t="s">
        <v>39</v>
      </c>
      <c r="D417" s="12" t="s">
        <v>546</v>
      </c>
      <c r="E417" s="13" t="str">
        <f t="shared" si="42"/>
        <v>FSQ535</v>
      </c>
      <c r="F417" s="14" t="str">
        <f t="shared" si="43"/>
        <v>GREY</v>
      </c>
      <c r="G417" s="14">
        <f>+VLOOKUP(F417,[1]base!A:B,2,0)</f>
        <v>24</v>
      </c>
      <c r="H417" s="14">
        <v>17</v>
      </c>
      <c r="I417" s="14">
        <v>17</v>
      </c>
      <c r="J417" s="14"/>
      <c r="K417" s="14" t="s">
        <v>33</v>
      </c>
      <c r="L417" s="14" t="s">
        <v>547</v>
      </c>
      <c r="M417" s="14" t="s">
        <v>35</v>
      </c>
      <c r="N417" s="14">
        <v>17</v>
      </c>
      <c r="O417" s="14">
        <v>17</v>
      </c>
      <c r="P417" s="14">
        <v>0</v>
      </c>
      <c r="Q417" s="14">
        <v>0</v>
      </c>
      <c r="R417" s="14">
        <v>0</v>
      </c>
      <c r="S417" s="14"/>
      <c r="T417" s="15">
        <v>17</v>
      </c>
      <c r="U417" s="16"/>
      <c r="V417" s="17">
        <v>640</v>
      </c>
      <c r="W417" s="17">
        <f t="shared" si="44"/>
        <v>10880</v>
      </c>
      <c r="X417" s="17">
        <f t="shared" si="45"/>
        <v>565.76</v>
      </c>
      <c r="Y417" s="17">
        <v>645</v>
      </c>
      <c r="Z417" s="17">
        <f t="shared" si="46"/>
        <v>1</v>
      </c>
      <c r="AA417" s="17">
        <f t="shared" si="47"/>
        <v>6.6666666666666693E-2</v>
      </c>
      <c r="AB417" s="17">
        <f>+VLOOKUP(E417,[1]base!M:N,2,0)</f>
        <v>147</v>
      </c>
      <c r="AC417" s="17">
        <f>+VLOOKUP(E417,[1]base!M:Q,5,0)</f>
        <v>0</v>
      </c>
      <c r="AD417" s="18">
        <f>+VLOOKUP(E417,[1]base!M:P,4,0)</f>
        <v>0</v>
      </c>
      <c r="AE417" s="19">
        <f t="shared" si="48"/>
        <v>44.1</v>
      </c>
    </row>
    <row r="418" spans="1:31" x14ac:dyDescent="0.25">
      <c r="A418" s="10" t="s">
        <v>539</v>
      </c>
      <c r="B418" s="11">
        <v>46260.398888888885</v>
      </c>
      <c r="C418" s="12" t="s">
        <v>39</v>
      </c>
      <c r="D418" s="12" t="s">
        <v>548</v>
      </c>
      <c r="E418" s="13" t="str">
        <f t="shared" si="42"/>
        <v>FSQ112</v>
      </c>
      <c r="F418" s="14" t="str">
        <f t="shared" si="43"/>
        <v>GREY</v>
      </c>
      <c r="G418" s="14">
        <f>+VLOOKUP(F418,[1]base!A:B,2,0)</f>
        <v>24</v>
      </c>
      <c r="H418" s="14">
        <v>1</v>
      </c>
      <c r="I418" s="14">
        <v>1</v>
      </c>
      <c r="J418" s="14"/>
      <c r="K418" s="14" t="s">
        <v>33</v>
      </c>
      <c r="L418" s="14" t="s">
        <v>549</v>
      </c>
      <c r="M418" s="14" t="s">
        <v>35</v>
      </c>
      <c r="N418" s="14">
        <v>1</v>
      </c>
      <c r="O418" s="14">
        <v>1</v>
      </c>
      <c r="P418" s="14">
        <v>0</v>
      </c>
      <c r="Q418" s="14">
        <v>0</v>
      </c>
      <c r="R418" s="14">
        <v>0</v>
      </c>
      <c r="S418" s="14"/>
      <c r="T418" s="15">
        <v>1</v>
      </c>
      <c r="U418" s="16"/>
      <c r="V418" s="17">
        <v>635</v>
      </c>
      <c r="W418" s="17">
        <f t="shared" si="44"/>
        <v>635</v>
      </c>
      <c r="X418" s="17">
        <f t="shared" si="45"/>
        <v>33.019999999999996</v>
      </c>
      <c r="Y418" s="17">
        <v>640</v>
      </c>
      <c r="Z418" s="17">
        <f t="shared" si="46"/>
        <v>1</v>
      </c>
      <c r="AA418" s="17">
        <f t="shared" si="47"/>
        <v>6.6666666666666693E-2</v>
      </c>
      <c r="AB418" s="17">
        <f>+VLOOKUP(E418,[1]base!M:N,2,0)</f>
        <v>182</v>
      </c>
      <c r="AC418" s="17">
        <f>+VLOOKUP(E418,[1]base!M:Q,5,0)</f>
        <v>27.714285714285715</v>
      </c>
      <c r="AD418" s="18">
        <f>+VLOOKUP(E418,[1]base!M:P,4,0)</f>
        <v>1.6216216216216217E-2</v>
      </c>
      <c r="AE418" s="19">
        <f t="shared" si="48"/>
        <v>51.648648648648646</v>
      </c>
    </row>
    <row r="419" spans="1:31" x14ac:dyDescent="0.25">
      <c r="A419" s="10" t="s">
        <v>539</v>
      </c>
      <c r="B419" s="11">
        <v>46260.398888888885</v>
      </c>
      <c r="C419" s="12" t="s">
        <v>39</v>
      </c>
      <c r="D419" s="12" t="s">
        <v>550</v>
      </c>
      <c r="E419" s="13" t="str">
        <f t="shared" si="42"/>
        <v>CSQ104</v>
      </c>
      <c r="F419" s="14" t="str">
        <f t="shared" si="43"/>
        <v>GREY</v>
      </c>
      <c r="G419" s="14">
        <f>+VLOOKUP(F419,[1]base!A:B,2,0)</f>
        <v>24</v>
      </c>
      <c r="H419" s="14">
        <v>8</v>
      </c>
      <c r="I419" s="14">
        <v>8</v>
      </c>
      <c r="J419" s="14"/>
      <c r="K419" s="14" t="s">
        <v>33</v>
      </c>
      <c r="L419" s="14" t="s">
        <v>551</v>
      </c>
      <c r="M419" s="14" t="s">
        <v>35</v>
      </c>
      <c r="N419" s="14">
        <v>8</v>
      </c>
      <c r="O419" s="14">
        <v>8</v>
      </c>
      <c r="P419" s="14">
        <v>0</v>
      </c>
      <c r="Q419" s="14">
        <v>0</v>
      </c>
      <c r="R419" s="14">
        <v>0</v>
      </c>
      <c r="S419" s="14"/>
      <c r="T419" s="15">
        <v>8</v>
      </c>
      <c r="U419" s="16"/>
      <c r="V419" s="17">
        <v>625</v>
      </c>
      <c r="W419" s="17">
        <f t="shared" si="44"/>
        <v>5000</v>
      </c>
      <c r="X419" s="17">
        <f t="shared" si="45"/>
        <v>260</v>
      </c>
      <c r="Y419" s="17">
        <v>630</v>
      </c>
      <c r="Z419" s="17">
        <f t="shared" si="46"/>
        <v>1</v>
      </c>
      <c r="AA419" s="17">
        <f t="shared" si="47"/>
        <v>6.6666666666666693E-2</v>
      </c>
      <c r="AB419" s="17">
        <f>+VLOOKUP(E419,[1]base!M:N,2,0)</f>
        <v>183</v>
      </c>
      <c r="AC419" s="17">
        <f>+VLOOKUP(E419,[1]base!M:Q,5,0)</f>
        <v>230.63636363636363</v>
      </c>
      <c r="AD419" s="18">
        <f>+VLOOKUP(E419,[1]base!M:P,4,0)</f>
        <v>3.6842105263157891E-2</v>
      </c>
      <c r="AE419" s="19">
        <f t="shared" si="48"/>
        <v>48.157894736842103</v>
      </c>
    </row>
    <row r="420" spans="1:31" x14ac:dyDescent="0.25">
      <c r="A420" s="10" t="s">
        <v>539</v>
      </c>
      <c r="B420" s="11">
        <v>46260.398888888885</v>
      </c>
      <c r="C420" s="12" t="s">
        <v>39</v>
      </c>
      <c r="D420" s="12" t="s">
        <v>552</v>
      </c>
      <c r="E420" s="13" t="str">
        <f t="shared" si="42"/>
        <v>CSQ201</v>
      </c>
      <c r="F420" s="14" t="str">
        <f t="shared" si="43"/>
        <v>GREY</v>
      </c>
      <c r="G420" s="14">
        <f>+VLOOKUP(F420,[1]base!A:B,2,0)</f>
        <v>24</v>
      </c>
      <c r="H420" s="14">
        <v>1</v>
      </c>
      <c r="I420" s="14">
        <v>1</v>
      </c>
      <c r="J420" s="14"/>
      <c r="K420" s="14" t="s">
        <v>33</v>
      </c>
      <c r="L420" s="14" t="s">
        <v>553</v>
      </c>
      <c r="M420" s="14" t="s">
        <v>35</v>
      </c>
      <c r="N420" s="14">
        <v>1</v>
      </c>
      <c r="O420" s="14">
        <v>1</v>
      </c>
      <c r="P420" s="14">
        <v>0</v>
      </c>
      <c r="Q420" s="14">
        <v>0</v>
      </c>
      <c r="R420" s="14">
        <v>0</v>
      </c>
      <c r="S420" s="14"/>
      <c r="T420" s="15">
        <v>1</v>
      </c>
      <c r="U420" s="16"/>
      <c r="V420" s="17">
        <v>628</v>
      </c>
      <c r="W420" s="17">
        <f t="shared" si="44"/>
        <v>628</v>
      </c>
      <c r="X420" s="17">
        <f t="shared" si="45"/>
        <v>32.655999999999999</v>
      </c>
      <c r="Y420" s="17">
        <v>633</v>
      </c>
      <c r="Z420" s="17">
        <f t="shared" si="46"/>
        <v>1</v>
      </c>
      <c r="AA420" s="17">
        <f t="shared" si="47"/>
        <v>6.6666666666666693E-2</v>
      </c>
      <c r="AB420" s="17">
        <f>+VLOOKUP(E420,[1]base!M:N,2,0)</f>
        <v>319</v>
      </c>
      <c r="AC420" s="17">
        <f>+VLOOKUP(E420,[1]base!M:Q,5,0)</f>
        <v>4</v>
      </c>
      <c r="AD420" s="18">
        <f>+VLOOKUP(E420,[1]base!M:P,4,0)</f>
        <v>3.0395136778115502E-2</v>
      </c>
      <c r="AE420" s="19">
        <f t="shared" si="48"/>
        <v>86.003951367781156</v>
      </c>
    </row>
    <row r="421" spans="1:31" x14ac:dyDescent="0.25">
      <c r="A421" s="10" t="s">
        <v>539</v>
      </c>
      <c r="B421" s="11">
        <v>46260.398888888885</v>
      </c>
      <c r="C421" s="12" t="s">
        <v>39</v>
      </c>
      <c r="D421" s="12" t="s">
        <v>554</v>
      </c>
      <c r="E421" s="13" t="str">
        <f t="shared" si="42"/>
        <v>FSQ403</v>
      </c>
      <c r="F421" s="14" t="str">
        <f t="shared" si="43"/>
        <v>GREY</v>
      </c>
      <c r="G421" s="14">
        <f>+VLOOKUP(F421,[1]base!A:B,2,0)</f>
        <v>24</v>
      </c>
      <c r="H421" s="14">
        <v>10</v>
      </c>
      <c r="I421" s="14">
        <v>10</v>
      </c>
      <c r="J421" s="14"/>
      <c r="K421" s="14" t="s">
        <v>33</v>
      </c>
      <c r="L421" s="14" t="s">
        <v>555</v>
      </c>
      <c r="M421" s="14" t="s">
        <v>35</v>
      </c>
      <c r="N421" s="14">
        <v>10</v>
      </c>
      <c r="O421" s="14">
        <v>10</v>
      </c>
      <c r="P421" s="14">
        <v>0</v>
      </c>
      <c r="Q421" s="14">
        <v>0</v>
      </c>
      <c r="R421" s="14">
        <v>0</v>
      </c>
      <c r="S421" s="14"/>
      <c r="T421" s="15">
        <v>10</v>
      </c>
      <c r="U421" s="16"/>
      <c r="V421" s="17">
        <v>639</v>
      </c>
      <c r="W421" s="17">
        <f t="shared" si="44"/>
        <v>6390</v>
      </c>
      <c r="X421" s="17">
        <f t="shared" si="45"/>
        <v>332.28</v>
      </c>
      <c r="Y421" s="17">
        <v>644</v>
      </c>
      <c r="Z421" s="17">
        <f t="shared" si="46"/>
        <v>1</v>
      </c>
      <c r="AA421" s="17">
        <f t="shared" si="47"/>
        <v>6.6666666666666693E-2</v>
      </c>
      <c r="AB421" s="17">
        <f>+VLOOKUP(E421,[1]base!M:N,2,0)</f>
        <v>326</v>
      </c>
      <c r="AC421" s="17">
        <f>+VLOOKUP(E421,[1]base!M:Q,5,0)</f>
        <v>95.666666666666671</v>
      </c>
      <c r="AD421" s="18">
        <f>+VLOOKUP(E421,[1]base!M:P,4,0)</f>
        <v>3.0581039755351682E-3</v>
      </c>
      <c r="AE421" s="19">
        <f t="shared" si="48"/>
        <v>96.80305810397553</v>
      </c>
    </row>
    <row r="422" spans="1:31" x14ac:dyDescent="0.25">
      <c r="A422" s="10" t="s">
        <v>539</v>
      </c>
      <c r="B422" s="11">
        <v>46260.398888888885</v>
      </c>
      <c r="C422" s="12" t="s">
        <v>39</v>
      </c>
      <c r="D422" s="12" t="s">
        <v>556</v>
      </c>
      <c r="E422" s="13" t="str">
        <f t="shared" si="42"/>
        <v>FSQ104</v>
      </c>
      <c r="F422" s="14" t="str">
        <f t="shared" si="43"/>
        <v>GREY</v>
      </c>
      <c r="G422" s="14">
        <f>+VLOOKUP(F422,[1]base!A:B,2,0)</f>
        <v>24</v>
      </c>
      <c r="H422" s="14">
        <v>1</v>
      </c>
      <c r="I422" s="14">
        <v>1</v>
      </c>
      <c r="J422" s="14"/>
      <c r="K422" s="14" t="s">
        <v>33</v>
      </c>
      <c r="L422" s="14" t="s">
        <v>557</v>
      </c>
      <c r="M422" s="14" t="s">
        <v>35</v>
      </c>
      <c r="N422" s="14">
        <v>1</v>
      </c>
      <c r="O422" s="14">
        <v>1</v>
      </c>
      <c r="P422" s="14">
        <v>0</v>
      </c>
      <c r="Q422" s="14">
        <v>0</v>
      </c>
      <c r="R422" s="14">
        <v>1</v>
      </c>
      <c r="S422" s="14"/>
      <c r="T422" s="15">
        <v>1</v>
      </c>
      <c r="U422" s="16"/>
      <c r="V422" s="17">
        <v>633</v>
      </c>
      <c r="W422" s="17">
        <f t="shared" si="44"/>
        <v>633</v>
      </c>
      <c r="X422" s="17">
        <f t="shared" si="45"/>
        <v>32.915999999999997</v>
      </c>
      <c r="Y422" s="17">
        <v>638</v>
      </c>
      <c r="Z422" s="17">
        <f t="shared" si="46"/>
        <v>1</v>
      </c>
      <c r="AA422" s="17">
        <f t="shared" si="47"/>
        <v>6.6666666666666693E-2</v>
      </c>
      <c r="AB422" s="17">
        <f>+VLOOKUP(E422,[1]base!M:N,2,0)</f>
        <v>437</v>
      </c>
      <c r="AC422" s="17">
        <f>+VLOOKUP(E422,[1]base!M:Q,5,0)</f>
        <v>13</v>
      </c>
      <c r="AD422" s="18">
        <f>+VLOOKUP(E422,[1]base!M:P,4,0)</f>
        <v>4.5558086560364463E-3</v>
      </c>
      <c r="AE422" s="19">
        <f t="shared" si="48"/>
        <v>129.10911161731207</v>
      </c>
    </row>
    <row r="423" spans="1:31" x14ac:dyDescent="0.25">
      <c r="A423" s="10" t="s">
        <v>539</v>
      </c>
      <c r="B423" s="11">
        <v>46260.398888888885</v>
      </c>
      <c r="C423" s="12" t="s">
        <v>39</v>
      </c>
      <c r="D423" s="12" t="s">
        <v>558</v>
      </c>
      <c r="E423" s="13" t="str">
        <f t="shared" si="42"/>
        <v>FSQ534</v>
      </c>
      <c r="F423" s="14" t="str">
        <f t="shared" si="43"/>
        <v>GREY</v>
      </c>
      <c r="G423" s="14">
        <f>+VLOOKUP(F423,[1]base!A:B,2,0)</f>
        <v>24</v>
      </c>
      <c r="H423" s="14">
        <v>17</v>
      </c>
      <c r="I423" s="14">
        <v>17</v>
      </c>
      <c r="J423" s="14"/>
      <c r="K423" s="14" t="s">
        <v>33</v>
      </c>
      <c r="L423" s="14" t="s">
        <v>559</v>
      </c>
      <c r="M423" s="14" t="s">
        <v>35</v>
      </c>
      <c r="N423" s="14">
        <v>17</v>
      </c>
      <c r="O423" s="14">
        <v>17</v>
      </c>
      <c r="P423" s="14">
        <v>0</v>
      </c>
      <c r="Q423" s="14">
        <v>0</v>
      </c>
      <c r="R423" s="14">
        <v>0</v>
      </c>
      <c r="S423" s="14"/>
      <c r="T423" s="15">
        <v>17</v>
      </c>
      <c r="U423" s="16"/>
      <c r="V423" s="17">
        <v>641</v>
      </c>
      <c r="W423" s="17">
        <f t="shared" si="44"/>
        <v>10897</v>
      </c>
      <c r="X423" s="17">
        <f t="shared" si="45"/>
        <v>566.64400000000001</v>
      </c>
      <c r="Y423" s="17">
        <v>646</v>
      </c>
      <c r="Z423" s="17">
        <f t="shared" si="46"/>
        <v>1</v>
      </c>
      <c r="AA423" s="17">
        <f t="shared" si="47"/>
        <v>6.6666666666666693E-2</v>
      </c>
      <c r="AB423" s="17">
        <f>+VLOOKUP(E423,[1]base!M:N,2,0)</f>
        <v>495</v>
      </c>
      <c r="AC423" s="17">
        <f>+VLOOKUP(E423,[1]base!M:Q,5,0)</f>
        <v>0</v>
      </c>
      <c r="AD423" s="18">
        <f>+VLOOKUP(E423,[1]base!M:P,4,0)</f>
        <v>6.024096385542169E-3</v>
      </c>
      <c r="AE423" s="19">
        <f t="shared" si="48"/>
        <v>145.51807228915661</v>
      </c>
    </row>
    <row r="424" spans="1:31" x14ac:dyDescent="0.25">
      <c r="A424" s="10" t="s">
        <v>539</v>
      </c>
      <c r="B424" s="11">
        <v>46260.398888888885</v>
      </c>
      <c r="C424" s="12" t="s">
        <v>39</v>
      </c>
      <c r="D424" s="12" t="s">
        <v>560</v>
      </c>
      <c r="E424" s="13" t="str">
        <f t="shared" si="42"/>
        <v>FSQ102</v>
      </c>
      <c r="F424" s="14" t="str">
        <f t="shared" si="43"/>
        <v>GREY</v>
      </c>
      <c r="G424" s="14">
        <f>+VLOOKUP(F424,[1]base!A:B,2,0)</f>
        <v>24</v>
      </c>
      <c r="H424" s="14">
        <v>3</v>
      </c>
      <c r="I424" s="14">
        <v>3</v>
      </c>
      <c r="J424" s="14"/>
      <c r="K424" s="14" t="s">
        <v>33</v>
      </c>
      <c r="L424" s="14" t="s">
        <v>561</v>
      </c>
      <c r="M424" s="14" t="s">
        <v>35</v>
      </c>
      <c r="N424" s="14">
        <v>3</v>
      </c>
      <c r="O424" s="14">
        <v>3</v>
      </c>
      <c r="P424" s="14">
        <v>0</v>
      </c>
      <c r="Q424" s="14">
        <v>0</v>
      </c>
      <c r="R424" s="14">
        <v>0</v>
      </c>
      <c r="S424" s="14"/>
      <c r="T424" s="15">
        <v>3</v>
      </c>
      <c r="U424" s="16"/>
      <c r="V424" s="17">
        <v>634</v>
      </c>
      <c r="W424" s="17">
        <f t="shared" si="44"/>
        <v>1902</v>
      </c>
      <c r="X424" s="17">
        <f t="shared" si="45"/>
        <v>98.903999999999996</v>
      </c>
      <c r="Y424" s="17">
        <v>639</v>
      </c>
      <c r="Z424" s="17">
        <f t="shared" si="46"/>
        <v>1</v>
      </c>
      <c r="AA424" s="17">
        <f t="shared" si="47"/>
        <v>6.6666666666666693E-2</v>
      </c>
      <c r="AB424" s="17">
        <f>+VLOOKUP(E424,[1]base!M:N,2,0)</f>
        <v>667</v>
      </c>
      <c r="AC424" s="17">
        <f>+VLOOKUP(E424,[1]base!M:Q,5,0)</f>
        <v>13.857142857142858</v>
      </c>
      <c r="AD424" s="18">
        <f>+VLOOKUP(E424,[1]base!M:P,4,0)</f>
        <v>0.11066666666666666</v>
      </c>
      <c r="AE424" s="19">
        <f t="shared" si="48"/>
        <v>126.28533333333333</v>
      </c>
    </row>
    <row r="425" spans="1:31" x14ac:dyDescent="0.25">
      <c r="A425" s="10" t="s">
        <v>539</v>
      </c>
      <c r="B425" s="11">
        <v>46260.398888888885</v>
      </c>
      <c r="C425" s="12" t="s">
        <v>39</v>
      </c>
      <c r="D425" s="12" t="s">
        <v>562</v>
      </c>
      <c r="E425" s="13" t="str">
        <f t="shared" si="42"/>
        <v>CSQ114</v>
      </c>
      <c r="F425" s="14" t="str">
        <f t="shared" si="43"/>
        <v>GREY</v>
      </c>
      <c r="G425" s="14">
        <f>+VLOOKUP(F425,[1]base!A:B,2,0)</f>
        <v>24</v>
      </c>
      <c r="H425" s="14">
        <v>21</v>
      </c>
      <c r="I425" s="14">
        <v>21</v>
      </c>
      <c r="J425" s="14"/>
      <c r="K425" s="14" t="s">
        <v>33</v>
      </c>
      <c r="L425" s="14" t="s">
        <v>563</v>
      </c>
      <c r="M425" s="14" t="s">
        <v>35</v>
      </c>
      <c r="N425" s="14">
        <v>21</v>
      </c>
      <c r="O425" s="14">
        <v>21</v>
      </c>
      <c r="P425" s="14">
        <v>0</v>
      </c>
      <c r="Q425" s="14">
        <v>0</v>
      </c>
      <c r="R425" s="14">
        <v>0</v>
      </c>
      <c r="S425" s="14"/>
      <c r="T425" s="15">
        <v>21</v>
      </c>
      <c r="U425" s="16"/>
      <c r="V425" s="17">
        <v>627</v>
      </c>
      <c r="W425" s="17">
        <f t="shared" si="44"/>
        <v>13167</v>
      </c>
      <c r="X425" s="17">
        <f t="shared" si="45"/>
        <v>684.68399999999997</v>
      </c>
      <c r="Y425" s="17">
        <v>632</v>
      </c>
      <c r="Z425" s="17">
        <f t="shared" si="46"/>
        <v>1</v>
      </c>
      <c r="AA425" s="17">
        <f t="shared" si="47"/>
        <v>6.6666666666666693E-2</v>
      </c>
      <c r="AB425" s="17">
        <f>+VLOOKUP(E425,[1]base!M:N,2,0)</f>
        <v>683</v>
      </c>
      <c r="AC425" s="17">
        <f>+VLOOKUP(E425,[1]base!M:Q,5,0)</f>
        <v>351.33333333333331</v>
      </c>
      <c r="AD425" s="18">
        <f>+VLOOKUP(E425,[1]base!M:P,4,0)</f>
        <v>3.9381153305203941E-2</v>
      </c>
      <c r="AE425" s="19">
        <f t="shared" si="48"/>
        <v>178.00267229254572</v>
      </c>
    </row>
    <row r="426" spans="1:31" x14ac:dyDescent="0.25">
      <c r="A426" s="10" t="s">
        <v>539</v>
      </c>
      <c r="B426" s="11">
        <v>46260.398888888885</v>
      </c>
      <c r="C426" s="12" t="s">
        <v>39</v>
      </c>
      <c r="D426" s="12" t="s">
        <v>564</v>
      </c>
      <c r="E426" s="13" t="str">
        <f t="shared" si="42"/>
        <v>FSQ401</v>
      </c>
      <c r="F426" s="14" t="str">
        <f t="shared" si="43"/>
        <v>GREY</v>
      </c>
      <c r="G426" s="14">
        <f>+VLOOKUP(F426,[1]base!A:B,2,0)</f>
        <v>24</v>
      </c>
      <c r="H426" s="14">
        <v>8</v>
      </c>
      <c r="I426" s="14">
        <v>8</v>
      </c>
      <c r="J426" s="14"/>
      <c r="K426" s="14" t="s">
        <v>33</v>
      </c>
      <c r="L426" s="14" t="s">
        <v>565</v>
      </c>
      <c r="M426" s="14" t="s">
        <v>35</v>
      </c>
      <c r="N426" s="14">
        <v>8</v>
      </c>
      <c r="O426" s="14">
        <v>8</v>
      </c>
      <c r="P426" s="14">
        <v>0</v>
      </c>
      <c r="Q426" s="14">
        <v>0</v>
      </c>
      <c r="R426" s="14">
        <v>0</v>
      </c>
      <c r="S426" s="14"/>
      <c r="T426" s="15">
        <v>8</v>
      </c>
      <c r="U426" s="16"/>
      <c r="V426" s="17">
        <v>638</v>
      </c>
      <c r="W426" s="17">
        <f t="shared" si="44"/>
        <v>5104</v>
      </c>
      <c r="X426" s="17">
        <f t="shared" si="45"/>
        <v>265.40800000000002</v>
      </c>
      <c r="Y426" s="17">
        <v>643</v>
      </c>
      <c r="Z426" s="17">
        <f t="shared" si="46"/>
        <v>1</v>
      </c>
      <c r="AA426" s="17">
        <f t="shared" si="47"/>
        <v>6.6666666666666693E-2</v>
      </c>
      <c r="AB426" s="17">
        <f>+VLOOKUP(E426,[1]base!M:N,2,0)</f>
        <v>768</v>
      </c>
      <c r="AC426" s="17">
        <f>+VLOOKUP(E426,[1]base!M:Q,5,0)</f>
        <v>104.18181818181819</v>
      </c>
      <c r="AD426" s="18">
        <f>+VLOOKUP(E426,[1]base!M:P,4,0)</f>
        <v>2.5974025974025974E-3</v>
      </c>
      <c r="AE426" s="19">
        <f t="shared" si="48"/>
        <v>228.40519480519481</v>
      </c>
    </row>
    <row r="427" spans="1:31" x14ac:dyDescent="0.25">
      <c r="A427" s="10" t="s">
        <v>539</v>
      </c>
      <c r="B427" s="11">
        <v>46260.398888888885</v>
      </c>
      <c r="C427" s="12" t="s">
        <v>39</v>
      </c>
      <c r="D427" s="12" t="s">
        <v>566</v>
      </c>
      <c r="E427" s="13" t="str">
        <f t="shared" si="42"/>
        <v>CSQ203</v>
      </c>
      <c r="F427" s="14" t="str">
        <f t="shared" si="43"/>
        <v>GREY</v>
      </c>
      <c r="G427" s="14">
        <f>+VLOOKUP(F427,[1]base!A:B,2,0)</f>
        <v>24</v>
      </c>
      <c r="H427" s="14">
        <v>12</v>
      </c>
      <c r="I427" s="14">
        <v>12</v>
      </c>
      <c r="J427" s="14"/>
      <c r="K427" s="14" t="s">
        <v>33</v>
      </c>
      <c r="L427" s="14" t="s">
        <v>567</v>
      </c>
      <c r="M427" s="14" t="s">
        <v>35</v>
      </c>
      <c r="N427" s="14">
        <v>12</v>
      </c>
      <c r="O427" s="14">
        <v>12</v>
      </c>
      <c r="P427" s="14">
        <v>0</v>
      </c>
      <c r="Q427" s="14">
        <v>0</v>
      </c>
      <c r="R427" s="14">
        <v>1</v>
      </c>
      <c r="S427" s="14"/>
      <c r="T427" s="15">
        <v>12</v>
      </c>
      <c r="U427" s="16"/>
      <c r="V427" s="17">
        <v>630</v>
      </c>
      <c r="W427" s="17">
        <f t="shared" si="44"/>
        <v>7560</v>
      </c>
      <c r="X427" s="17">
        <f t="shared" si="45"/>
        <v>393.12</v>
      </c>
      <c r="Y427" s="17">
        <v>635</v>
      </c>
      <c r="Z427" s="17">
        <f t="shared" si="46"/>
        <v>1</v>
      </c>
      <c r="AA427" s="17">
        <f t="shared" si="47"/>
        <v>6.6666666666666693E-2</v>
      </c>
      <c r="AB427" s="17">
        <f>+VLOOKUP(E427,[1]base!M:N,2,0)</f>
        <v>938</v>
      </c>
      <c r="AC427" s="17">
        <f>+VLOOKUP(E427,[1]base!M:Q,5,0)</f>
        <v>53.2</v>
      </c>
      <c r="AD427" s="18">
        <f>+VLOOKUP(E427,[1]base!M:P,4,0)</f>
        <v>1.0649627263045794E-3</v>
      </c>
      <c r="AE427" s="19">
        <f t="shared" si="48"/>
        <v>280.40106496272631</v>
      </c>
    </row>
    <row r="428" spans="1:31" x14ac:dyDescent="0.25">
      <c r="A428" s="10" t="s">
        <v>539</v>
      </c>
      <c r="B428" s="11">
        <v>46260.398888888885</v>
      </c>
      <c r="C428" s="12" t="s">
        <v>39</v>
      </c>
      <c r="D428" s="12" t="s">
        <v>568</v>
      </c>
      <c r="E428" s="13" t="str">
        <f t="shared" si="42"/>
        <v>CSQ103</v>
      </c>
      <c r="F428" s="14" t="str">
        <f t="shared" si="43"/>
        <v>GREY</v>
      </c>
      <c r="G428" s="14">
        <f>+VLOOKUP(F428,[1]base!A:B,2,0)</f>
        <v>24</v>
      </c>
      <c r="H428" s="14">
        <v>3</v>
      </c>
      <c r="I428" s="14">
        <v>3</v>
      </c>
      <c r="J428" s="14"/>
      <c r="K428" s="14" t="s">
        <v>33</v>
      </c>
      <c r="L428" s="14" t="s">
        <v>569</v>
      </c>
      <c r="M428" s="14" t="s">
        <v>35</v>
      </c>
      <c r="N428" s="14">
        <v>3</v>
      </c>
      <c r="O428" s="14">
        <v>3</v>
      </c>
      <c r="P428" s="14">
        <v>0</v>
      </c>
      <c r="Q428" s="14">
        <v>0</v>
      </c>
      <c r="R428" s="14">
        <v>0</v>
      </c>
      <c r="S428" s="14"/>
      <c r="T428" s="15">
        <v>3</v>
      </c>
      <c r="U428" s="16"/>
      <c r="V428" s="17">
        <v>624</v>
      </c>
      <c r="W428" s="17">
        <f t="shared" si="44"/>
        <v>1872</v>
      </c>
      <c r="X428" s="17">
        <f t="shared" si="45"/>
        <v>97.343999999999994</v>
      </c>
      <c r="Y428" s="17">
        <v>629</v>
      </c>
      <c r="Z428" s="17">
        <f t="shared" si="46"/>
        <v>1</v>
      </c>
      <c r="AA428" s="17">
        <f t="shared" si="47"/>
        <v>6.6666666666666693E-2</v>
      </c>
      <c r="AB428" s="17">
        <f>+VLOOKUP(E428,[1]base!M:N,2,0)</f>
        <v>1535</v>
      </c>
      <c r="AC428" s="17">
        <f>+VLOOKUP(E428,[1]base!M:Q,5,0)</f>
        <v>153</v>
      </c>
      <c r="AD428" s="18">
        <f>+VLOOKUP(E428,[1]base!M:P,4,0)</f>
        <v>2.5990903183885639E-3</v>
      </c>
      <c r="AE428" s="19">
        <f t="shared" si="48"/>
        <v>456.51039636127354</v>
      </c>
    </row>
    <row r="429" spans="1:31" x14ac:dyDescent="0.25">
      <c r="A429" s="10" t="s">
        <v>539</v>
      </c>
      <c r="B429" s="11">
        <v>46260.398888888885</v>
      </c>
      <c r="C429" s="12" t="s">
        <v>39</v>
      </c>
      <c r="D429" s="12" t="s">
        <v>570</v>
      </c>
      <c r="E429" s="13" t="str">
        <f t="shared" si="42"/>
        <v>FSQ139</v>
      </c>
      <c r="F429" s="14" t="str">
        <f t="shared" si="43"/>
        <v>GREY</v>
      </c>
      <c r="G429" s="14">
        <f>+VLOOKUP(F429,[1]base!A:B,2,0)</f>
        <v>24</v>
      </c>
      <c r="H429" s="14">
        <v>23</v>
      </c>
      <c r="I429" s="14">
        <v>23</v>
      </c>
      <c r="J429" s="14"/>
      <c r="K429" s="14" t="s">
        <v>33</v>
      </c>
      <c r="L429" s="14" t="s">
        <v>571</v>
      </c>
      <c r="M429" s="14" t="s">
        <v>35</v>
      </c>
      <c r="N429" s="14">
        <v>23</v>
      </c>
      <c r="O429" s="14">
        <v>23</v>
      </c>
      <c r="P429" s="14">
        <v>0</v>
      </c>
      <c r="Q429" s="14">
        <v>0</v>
      </c>
      <c r="R429" s="14">
        <v>0</v>
      </c>
      <c r="S429" s="14"/>
      <c r="T429" s="15">
        <v>23</v>
      </c>
      <c r="U429" s="16"/>
      <c r="V429" s="17">
        <v>637</v>
      </c>
      <c r="W429" s="17">
        <f t="shared" si="44"/>
        <v>14651</v>
      </c>
      <c r="X429" s="17">
        <f t="shared" si="45"/>
        <v>761.85199999999998</v>
      </c>
      <c r="Y429" s="17">
        <v>642</v>
      </c>
      <c r="Z429" s="17">
        <f t="shared" si="46"/>
        <v>1</v>
      </c>
      <c r="AA429" s="17">
        <f t="shared" si="47"/>
        <v>6.6666666666666693E-2</v>
      </c>
      <c r="AB429" s="17">
        <f>+VLOOKUP(E429,[1]base!M:N,2,0)</f>
        <v>2404</v>
      </c>
      <c r="AC429" s="17">
        <f>+VLOOKUP(E429,[1]base!M:Q,5,0)</f>
        <v>157.22222222222223</v>
      </c>
      <c r="AD429" s="18">
        <f>+VLOOKUP(E429,[1]base!M:P,4,0)</f>
        <v>5.7899090157154673E-3</v>
      </c>
      <c r="AE429" s="19">
        <f t="shared" si="48"/>
        <v>707.28105872621995</v>
      </c>
    </row>
    <row r="430" spans="1:31" x14ac:dyDescent="0.25">
      <c r="A430" s="10" t="s">
        <v>539</v>
      </c>
      <c r="B430" s="11">
        <v>46260.398888888885</v>
      </c>
      <c r="C430" s="12" t="s">
        <v>39</v>
      </c>
      <c r="D430" s="12" t="s">
        <v>572</v>
      </c>
      <c r="E430" s="13" t="str">
        <f t="shared" si="42"/>
        <v>CSQ301</v>
      </c>
      <c r="F430" s="14" t="str">
        <f t="shared" si="43"/>
        <v>GREY</v>
      </c>
      <c r="G430" s="14">
        <f>+VLOOKUP(F430,[1]base!A:B,2,0)</f>
        <v>24</v>
      </c>
      <c r="H430" s="14">
        <v>36</v>
      </c>
      <c r="I430" s="14">
        <v>36</v>
      </c>
      <c r="J430" s="14"/>
      <c r="K430" s="14" t="s">
        <v>33</v>
      </c>
      <c r="L430" s="14" t="s">
        <v>573</v>
      </c>
      <c r="M430" s="14" t="s">
        <v>35</v>
      </c>
      <c r="N430" s="14">
        <v>36</v>
      </c>
      <c r="O430" s="14">
        <v>36</v>
      </c>
      <c r="P430" s="14">
        <v>0</v>
      </c>
      <c r="Q430" s="14">
        <v>0</v>
      </c>
      <c r="R430" s="14">
        <v>0</v>
      </c>
      <c r="S430" s="14"/>
      <c r="T430" s="15">
        <v>36</v>
      </c>
      <c r="U430" s="16"/>
      <c r="V430" s="17">
        <v>629</v>
      </c>
      <c r="W430" s="17">
        <f t="shared" si="44"/>
        <v>22644</v>
      </c>
      <c r="X430" s="17">
        <f t="shared" si="45"/>
        <v>1177.4880000000001</v>
      </c>
      <c r="Y430" s="17">
        <v>634</v>
      </c>
      <c r="Z430" s="17">
        <f t="shared" si="46"/>
        <v>1</v>
      </c>
      <c r="AA430" s="17">
        <f t="shared" si="47"/>
        <v>6.6666666666666693E-2</v>
      </c>
      <c r="AB430" s="17">
        <f>+VLOOKUP(E430,[1]base!M:N,2,0)</f>
        <v>2616</v>
      </c>
      <c r="AC430" s="17">
        <f>+VLOOKUP(E430,[1]base!M:Q,5,0)</f>
        <v>82.777777777777771</v>
      </c>
      <c r="AD430" s="18">
        <f>+VLOOKUP(E430,[1]base!M:P,4,0)</f>
        <v>7.9635949943117172E-3</v>
      </c>
      <c r="AE430" s="19">
        <f t="shared" si="48"/>
        <v>763.96723549488058</v>
      </c>
    </row>
    <row r="431" spans="1:31" x14ac:dyDescent="0.25">
      <c r="A431" s="10" t="s">
        <v>539</v>
      </c>
      <c r="B431" s="11">
        <v>46260.398888888885</v>
      </c>
      <c r="C431" s="12" t="s">
        <v>39</v>
      </c>
      <c r="D431" s="12" t="s">
        <v>574</v>
      </c>
      <c r="E431" s="13" t="str">
        <f t="shared" si="42"/>
        <v>C-67106</v>
      </c>
      <c r="F431" s="14" t="str">
        <f t="shared" si="43"/>
        <v>GREY</v>
      </c>
      <c r="G431" s="14">
        <f>+VLOOKUP(F431,[1]base!A:B,2,0)</f>
        <v>24</v>
      </c>
      <c r="H431" s="14">
        <v>7</v>
      </c>
      <c r="I431" s="14">
        <v>7</v>
      </c>
      <c r="J431" s="14"/>
      <c r="K431" s="14" t="s">
        <v>33</v>
      </c>
      <c r="L431" s="14" t="s">
        <v>575</v>
      </c>
      <c r="M431" s="14" t="s">
        <v>35</v>
      </c>
      <c r="N431" s="14">
        <v>7</v>
      </c>
      <c r="O431" s="14">
        <v>7</v>
      </c>
      <c r="P431" s="14">
        <v>0</v>
      </c>
      <c r="Q431" s="14">
        <v>0</v>
      </c>
      <c r="R431" s="14">
        <v>0</v>
      </c>
      <c r="S431" s="14"/>
      <c r="T431" s="15">
        <v>7</v>
      </c>
      <c r="U431" s="16"/>
      <c r="V431" s="17">
        <v>623</v>
      </c>
      <c r="W431" s="17">
        <f t="shared" si="44"/>
        <v>4361</v>
      </c>
      <c r="X431" s="17">
        <f t="shared" si="45"/>
        <v>226.77199999999999</v>
      </c>
      <c r="Y431" s="17">
        <v>628</v>
      </c>
      <c r="Z431" s="17">
        <f t="shared" si="46"/>
        <v>1</v>
      </c>
      <c r="AA431" s="17">
        <f t="shared" si="47"/>
        <v>6.6666666666666693E-2</v>
      </c>
      <c r="AB431" s="17" t="e">
        <f>+VLOOKUP(E431,[1]base!M:N,2,0)</f>
        <v>#N/A</v>
      </c>
      <c r="AC431" s="17" t="e">
        <f>+VLOOKUP(E431,[1]base!M:Q,5,0)</f>
        <v>#N/A</v>
      </c>
      <c r="AD431" s="18" t="e">
        <f>+VLOOKUP(E431,[1]base!M:P,4,0)</f>
        <v>#N/A</v>
      </c>
      <c r="AE431" s="19" t="e">
        <f t="shared" si="48"/>
        <v>#N/A</v>
      </c>
    </row>
    <row r="432" spans="1:31" x14ac:dyDescent="0.25">
      <c r="A432" s="10" t="s">
        <v>576</v>
      </c>
      <c r="B432" s="11">
        <v>46267.292060185187</v>
      </c>
      <c r="C432" s="12" t="s">
        <v>80</v>
      </c>
      <c r="D432" s="12" t="s">
        <v>577</v>
      </c>
      <c r="E432" s="13" t="str">
        <f t="shared" si="42"/>
        <v>LM-F/6</v>
      </c>
      <c r="F432" s="14" t="str">
        <f t="shared" si="43"/>
        <v>GRISG</v>
      </c>
      <c r="G432" s="14">
        <f>+VLOOKUP(F432,[1]base!A:B,2,0)</f>
        <v>25</v>
      </c>
      <c r="H432" s="14">
        <v>1</v>
      </c>
      <c r="I432" s="14">
        <v>1</v>
      </c>
      <c r="J432" s="14"/>
      <c r="K432" s="14" t="s">
        <v>33</v>
      </c>
      <c r="L432" s="14" t="s">
        <v>578</v>
      </c>
      <c r="M432" s="14" t="s">
        <v>35</v>
      </c>
      <c r="N432" s="14">
        <v>1</v>
      </c>
      <c r="O432" s="14">
        <v>1</v>
      </c>
      <c r="P432" s="14">
        <v>0</v>
      </c>
      <c r="Q432" s="14">
        <v>0</v>
      </c>
      <c r="R432" s="14">
        <v>0</v>
      </c>
      <c r="S432" s="14"/>
      <c r="T432" s="15">
        <v>1</v>
      </c>
      <c r="U432" s="16"/>
      <c r="V432" s="17">
        <v>965</v>
      </c>
      <c r="W432" s="17">
        <f t="shared" si="44"/>
        <v>965</v>
      </c>
      <c r="X432" s="17">
        <f t="shared" si="45"/>
        <v>50.18</v>
      </c>
      <c r="Y432" s="17">
        <v>970</v>
      </c>
      <c r="Z432" s="17">
        <f t="shared" si="46"/>
        <v>1</v>
      </c>
      <c r="AA432" s="17">
        <f t="shared" si="47"/>
        <v>6.6666666666666693E-2</v>
      </c>
      <c r="AB432" s="17">
        <f>+VLOOKUP(E432,[1]base!M:N,2,0)</f>
        <v>4160</v>
      </c>
      <c r="AC432" s="17">
        <f>+VLOOKUP(E432,[1]base!M:Q,5,0)</f>
        <v>1927.6</v>
      </c>
      <c r="AD432" s="18">
        <f>+VLOOKUP(E432,[1]base!M:P,4,0)</f>
        <v>-4.4379084967320264</v>
      </c>
      <c r="AE432" s="19">
        <f t="shared" si="48"/>
        <v>19709.699346405228</v>
      </c>
    </row>
    <row r="433" spans="1:31" x14ac:dyDescent="0.25">
      <c r="A433" s="10" t="s">
        <v>576</v>
      </c>
      <c r="B433" s="11">
        <v>46267.292060185187</v>
      </c>
      <c r="C433" s="12" t="s">
        <v>80</v>
      </c>
      <c r="D433" s="12" t="s">
        <v>579</v>
      </c>
      <c r="E433" s="13" t="str">
        <f t="shared" si="42"/>
        <v>LM-757</v>
      </c>
      <c r="F433" s="14" t="str">
        <f t="shared" si="43"/>
        <v>GRISG</v>
      </c>
      <c r="G433" s="14">
        <f>+VLOOKUP(F433,[1]base!A:B,2,0)</f>
        <v>25</v>
      </c>
      <c r="H433" s="14">
        <v>10</v>
      </c>
      <c r="I433" s="14">
        <v>10</v>
      </c>
      <c r="J433" s="14"/>
      <c r="K433" s="14" t="s">
        <v>33</v>
      </c>
      <c r="L433" s="14" t="s">
        <v>580</v>
      </c>
      <c r="M433" s="14" t="s">
        <v>35</v>
      </c>
      <c r="N433" s="14">
        <v>10</v>
      </c>
      <c r="O433" s="14">
        <v>10</v>
      </c>
      <c r="P433" s="14">
        <v>0</v>
      </c>
      <c r="Q433" s="14">
        <v>0</v>
      </c>
      <c r="R433" s="14">
        <v>0</v>
      </c>
      <c r="S433" s="14"/>
      <c r="T433" s="15">
        <v>10</v>
      </c>
      <c r="U433" s="16"/>
      <c r="V433" s="17">
        <v>966</v>
      </c>
      <c r="W433" s="17">
        <f t="shared" si="44"/>
        <v>9660</v>
      </c>
      <c r="X433" s="17">
        <f t="shared" si="45"/>
        <v>502.32</v>
      </c>
      <c r="Y433" s="17">
        <v>971</v>
      </c>
      <c r="Z433" s="17">
        <f t="shared" si="46"/>
        <v>1</v>
      </c>
      <c r="AA433" s="17">
        <f t="shared" si="47"/>
        <v>6.6666666666666693E-2</v>
      </c>
      <c r="AB433" s="17">
        <f>+VLOOKUP(E433,[1]base!M:N,2,0)</f>
        <v>26981</v>
      </c>
      <c r="AC433" s="17">
        <f>+VLOOKUP(E433,[1]base!M:Q,5,0)</f>
        <v>13391.545454545454</v>
      </c>
      <c r="AD433" s="18">
        <f>+VLOOKUP(E433,[1]base!M:P,4,0)</f>
        <v>1.1467721843628636E-2</v>
      </c>
      <c r="AE433" s="19">
        <f t="shared" si="48"/>
        <v>7784.8893969370547</v>
      </c>
    </row>
    <row r="434" spans="1:31" x14ac:dyDescent="0.25">
      <c r="A434" s="10" t="s">
        <v>581</v>
      </c>
      <c r="B434" s="11">
        <v>46233.517905092594</v>
      </c>
      <c r="C434" s="12" t="s">
        <v>39</v>
      </c>
      <c r="D434" s="12" t="s">
        <v>582</v>
      </c>
      <c r="E434" s="13" t="str">
        <f t="shared" si="42"/>
        <v>VOLET ORT1</v>
      </c>
      <c r="F434" s="14" t="str">
        <f t="shared" si="43"/>
        <v>GRISG</v>
      </c>
      <c r="G434" s="14">
        <f>+VLOOKUP(F434,[1]base!A:B,2,0)</f>
        <v>25</v>
      </c>
      <c r="H434" s="14">
        <v>1</v>
      </c>
      <c r="I434" s="14">
        <v>1</v>
      </c>
      <c r="J434" s="14"/>
      <c r="K434" s="14" t="s">
        <v>33</v>
      </c>
      <c r="L434" s="14" t="s">
        <v>583</v>
      </c>
      <c r="M434" s="14" t="s">
        <v>35</v>
      </c>
      <c r="N434" s="14">
        <v>1</v>
      </c>
      <c r="O434" s="14">
        <v>1</v>
      </c>
      <c r="P434" s="14">
        <v>0</v>
      </c>
      <c r="Q434" s="14">
        <v>0</v>
      </c>
      <c r="R434" s="14">
        <v>0</v>
      </c>
      <c r="S434" s="14"/>
      <c r="T434" s="15">
        <v>1</v>
      </c>
      <c r="U434" s="16"/>
      <c r="V434" s="17">
        <v>323</v>
      </c>
      <c r="W434" s="17">
        <f t="shared" si="44"/>
        <v>323</v>
      </c>
      <c r="X434" s="17">
        <f t="shared" si="45"/>
        <v>16.795999999999999</v>
      </c>
      <c r="Y434" s="17">
        <v>328</v>
      </c>
      <c r="Z434" s="17">
        <f t="shared" si="46"/>
        <v>1</v>
      </c>
      <c r="AA434" s="17">
        <f t="shared" si="47"/>
        <v>6.6666666666666693E-2</v>
      </c>
      <c r="AB434" s="17" t="e">
        <f>+VLOOKUP(E434,[1]base!M:N,2,0)</f>
        <v>#N/A</v>
      </c>
      <c r="AC434" s="17" t="e">
        <f>+VLOOKUP(E434,[1]base!M:Q,5,0)</f>
        <v>#N/A</v>
      </c>
      <c r="AD434" s="18" t="e">
        <f>+VLOOKUP(E434,[1]base!M:P,4,0)</f>
        <v>#N/A</v>
      </c>
      <c r="AE434" s="19" t="e">
        <f t="shared" si="48"/>
        <v>#N/A</v>
      </c>
    </row>
    <row r="435" spans="1:31" x14ac:dyDescent="0.25">
      <c r="A435" s="10" t="s">
        <v>581</v>
      </c>
      <c r="B435" s="11">
        <v>46233.517905092594</v>
      </c>
      <c r="C435" s="12" t="s">
        <v>39</v>
      </c>
      <c r="D435" s="12" t="s">
        <v>584</v>
      </c>
      <c r="E435" s="13" t="str">
        <f t="shared" si="42"/>
        <v>VOLET ORT2</v>
      </c>
      <c r="F435" s="14" t="str">
        <f t="shared" si="43"/>
        <v>GRISG</v>
      </c>
      <c r="G435" s="14">
        <f>+VLOOKUP(F435,[1]base!A:B,2,0)</f>
        <v>25</v>
      </c>
      <c r="H435" s="14">
        <v>1</v>
      </c>
      <c r="I435" s="14">
        <v>1</v>
      </c>
      <c r="J435" s="14"/>
      <c r="K435" s="14" t="s">
        <v>33</v>
      </c>
      <c r="L435" s="14" t="s">
        <v>585</v>
      </c>
      <c r="M435" s="14" t="s">
        <v>35</v>
      </c>
      <c r="N435" s="14">
        <v>1</v>
      </c>
      <c r="O435" s="14">
        <v>1</v>
      </c>
      <c r="P435" s="14">
        <v>0</v>
      </c>
      <c r="Q435" s="14">
        <v>0</v>
      </c>
      <c r="R435" s="14">
        <v>0</v>
      </c>
      <c r="S435" s="14"/>
      <c r="T435" s="15">
        <v>1</v>
      </c>
      <c r="U435" s="16"/>
      <c r="V435" s="17">
        <v>324</v>
      </c>
      <c r="W435" s="17">
        <f t="shared" si="44"/>
        <v>324</v>
      </c>
      <c r="X435" s="17">
        <f t="shared" si="45"/>
        <v>16.847999999999999</v>
      </c>
      <c r="Y435" s="17">
        <v>329</v>
      </c>
      <c r="Z435" s="17">
        <f t="shared" si="46"/>
        <v>1</v>
      </c>
      <c r="AA435" s="17">
        <f t="shared" si="47"/>
        <v>6.6666666666666693E-2</v>
      </c>
      <c r="AB435" s="17" t="e">
        <f>+VLOOKUP(E435,[1]base!M:N,2,0)</f>
        <v>#N/A</v>
      </c>
      <c r="AC435" s="17" t="e">
        <f>+VLOOKUP(E435,[1]base!M:Q,5,0)</f>
        <v>#N/A</v>
      </c>
      <c r="AD435" s="18" t="e">
        <f>+VLOOKUP(E435,[1]base!M:P,4,0)</f>
        <v>#N/A</v>
      </c>
      <c r="AE435" s="19" t="e">
        <f t="shared" si="48"/>
        <v>#N/A</v>
      </c>
    </row>
    <row r="436" spans="1:31" x14ac:dyDescent="0.25">
      <c r="A436" s="10" t="s">
        <v>581</v>
      </c>
      <c r="B436" s="11">
        <v>46233.517905092594</v>
      </c>
      <c r="C436" s="12" t="s">
        <v>39</v>
      </c>
      <c r="D436" s="12" t="s">
        <v>586</v>
      </c>
      <c r="E436" s="13" t="str">
        <f t="shared" si="42"/>
        <v>VOLET ORT3</v>
      </c>
      <c r="F436" s="14" t="str">
        <f t="shared" si="43"/>
        <v>GRISG</v>
      </c>
      <c r="G436" s="14">
        <f>+VLOOKUP(F436,[1]base!A:B,2,0)</f>
        <v>25</v>
      </c>
      <c r="H436" s="14">
        <v>1</v>
      </c>
      <c r="I436" s="14">
        <v>1</v>
      </c>
      <c r="J436" s="14"/>
      <c r="K436" s="14" t="s">
        <v>33</v>
      </c>
      <c r="L436" s="14" t="s">
        <v>587</v>
      </c>
      <c r="M436" s="14" t="s">
        <v>35</v>
      </c>
      <c r="N436" s="14">
        <v>1</v>
      </c>
      <c r="O436" s="14">
        <v>1</v>
      </c>
      <c r="P436" s="14">
        <v>0</v>
      </c>
      <c r="Q436" s="14">
        <v>0</v>
      </c>
      <c r="R436" s="14">
        <v>0</v>
      </c>
      <c r="S436" s="14"/>
      <c r="T436" s="15">
        <v>1</v>
      </c>
      <c r="U436" s="16"/>
      <c r="V436" s="17">
        <v>326</v>
      </c>
      <c r="W436" s="17">
        <f t="shared" si="44"/>
        <v>326</v>
      </c>
      <c r="X436" s="17">
        <f t="shared" si="45"/>
        <v>16.951999999999998</v>
      </c>
      <c r="Y436" s="17">
        <v>331</v>
      </c>
      <c r="Z436" s="17">
        <f t="shared" si="46"/>
        <v>1</v>
      </c>
      <c r="AA436" s="17">
        <f t="shared" si="47"/>
        <v>6.6666666666666693E-2</v>
      </c>
      <c r="AB436" s="17" t="e">
        <f>+VLOOKUP(E436,[1]base!M:N,2,0)</f>
        <v>#N/A</v>
      </c>
      <c r="AC436" s="17" t="e">
        <f>+VLOOKUP(E436,[1]base!M:Q,5,0)</f>
        <v>#N/A</v>
      </c>
      <c r="AD436" s="18" t="e">
        <f>+VLOOKUP(E436,[1]base!M:P,4,0)</f>
        <v>#N/A</v>
      </c>
      <c r="AE436" s="19" t="e">
        <f t="shared" si="48"/>
        <v>#N/A</v>
      </c>
    </row>
    <row r="437" spans="1:31" x14ac:dyDescent="0.25">
      <c r="A437" s="10" t="s">
        <v>581</v>
      </c>
      <c r="B437" s="11">
        <v>46233.517905092594</v>
      </c>
      <c r="C437" s="12" t="s">
        <v>39</v>
      </c>
      <c r="D437" s="12" t="s">
        <v>588</v>
      </c>
      <c r="E437" s="13" t="str">
        <f t="shared" si="42"/>
        <v>VOLET ORT4</v>
      </c>
      <c r="F437" s="14" t="str">
        <f t="shared" si="43"/>
        <v>GRISG</v>
      </c>
      <c r="G437" s="14">
        <f>+VLOOKUP(F437,[1]base!A:B,2,0)</f>
        <v>25</v>
      </c>
      <c r="H437" s="14">
        <v>1</v>
      </c>
      <c r="I437" s="14">
        <v>1</v>
      </c>
      <c r="J437" s="14"/>
      <c r="K437" s="14" t="s">
        <v>33</v>
      </c>
      <c r="L437" s="14" t="s">
        <v>589</v>
      </c>
      <c r="M437" s="14" t="s">
        <v>35</v>
      </c>
      <c r="N437" s="14">
        <v>1</v>
      </c>
      <c r="O437" s="14">
        <v>1</v>
      </c>
      <c r="P437" s="14">
        <v>0</v>
      </c>
      <c r="Q437" s="14">
        <v>0</v>
      </c>
      <c r="R437" s="14">
        <v>0</v>
      </c>
      <c r="S437" s="14"/>
      <c r="T437" s="15">
        <v>1</v>
      </c>
      <c r="U437" s="16"/>
      <c r="V437" s="17">
        <v>325</v>
      </c>
      <c r="W437" s="17">
        <f t="shared" si="44"/>
        <v>325</v>
      </c>
      <c r="X437" s="17">
        <f t="shared" si="45"/>
        <v>16.899999999999999</v>
      </c>
      <c r="Y437" s="17">
        <v>330</v>
      </c>
      <c r="Z437" s="17">
        <f t="shared" si="46"/>
        <v>1</v>
      </c>
      <c r="AA437" s="17">
        <f t="shared" si="47"/>
        <v>6.6666666666666693E-2</v>
      </c>
      <c r="AB437" s="17" t="e">
        <f>+VLOOKUP(E437,[1]base!M:N,2,0)</f>
        <v>#N/A</v>
      </c>
      <c r="AC437" s="17" t="e">
        <f>+VLOOKUP(E437,[1]base!M:Q,5,0)</f>
        <v>#N/A</v>
      </c>
      <c r="AD437" s="18" t="e">
        <f>+VLOOKUP(E437,[1]base!M:P,4,0)</f>
        <v>#N/A</v>
      </c>
      <c r="AE437" s="19" t="e">
        <f t="shared" si="48"/>
        <v>#N/A</v>
      </c>
    </row>
    <row r="438" spans="1:31" x14ac:dyDescent="0.25">
      <c r="A438" s="10" t="s">
        <v>590</v>
      </c>
      <c r="B438" s="11">
        <v>46265.351944444446</v>
      </c>
      <c r="C438" s="12" t="s">
        <v>39</v>
      </c>
      <c r="D438" s="12" t="s">
        <v>591</v>
      </c>
      <c r="E438" s="13" t="str">
        <f t="shared" si="42"/>
        <v>EC67104</v>
      </c>
      <c r="F438" s="14" t="str">
        <f t="shared" si="43"/>
        <v>COOL</v>
      </c>
      <c r="G438" s="14">
        <f>+VLOOKUP(F438,[1]base!A:B,2,0)</f>
        <v>30</v>
      </c>
      <c r="H438" s="14">
        <v>1</v>
      </c>
      <c r="I438" s="14">
        <v>1</v>
      </c>
      <c r="J438" s="14"/>
      <c r="K438" s="14" t="s">
        <v>33</v>
      </c>
      <c r="L438" s="14" t="s">
        <v>592</v>
      </c>
      <c r="M438" s="14" t="s">
        <v>35</v>
      </c>
      <c r="N438" s="14">
        <v>1</v>
      </c>
      <c r="O438" s="14">
        <v>1</v>
      </c>
      <c r="P438" s="14">
        <v>0</v>
      </c>
      <c r="Q438" s="14">
        <v>0</v>
      </c>
      <c r="R438" s="14">
        <v>0</v>
      </c>
      <c r="S438" s="14"/>
      <c r="T438" s="15">
        <v>1</v>
      </c>
      <c r="U438" s="16"/>
      <c r="V438" s="17">
        <v>813</v>
      </c>
      <c r="W438" s="17">
        <f t="shared" si="44"/>
        <v>813</v>
      </c>
      <c r="X438" s="17">
        <f t="shared" si="45"/>
        <v>42.275999999999996</v>
      </c>
      <c r="Y438" s="17">
        <v>818</v>
      </c>
      <c r="Z438" s="17">
        <f t="shared" si="46"/>
        <v>1</v>
      </c>
      <c r="AA438" s="17">
        <f t="shared" si="47"/>
        <v>6.6666666666666693E-2</v>
      </c>
      <c r="AB438" s="17">
        <f>+VLOOKUP(E438,[1]base!M:N,2,0)</f>
        <v>4</v>
      </c>
      <c r="AC438" s="17">
        <f>+VLOOKUP(E438,[1]base!M:Q,5,0)</f>
        <v>409.875</v>
      </c>
      <c r="AD438" s="18">
        <f>+VLOOKUP(E438,[1]base!M:P,4,0)</f>
        <v>0.9550561797752809</v>
      </c>
      <c r="AE438" s="19">
        <f t="shared" si="48"/>
        <v>-2.6202247191011239</v>
      </c>
    </row>
    <row r="439" spans="1:31" x14ac:dyDescent="0.25">
      <c r="A439" s="10" t="s">
        <v>94</v>
      </c>
      <c r="B439" s="11">
        <v>46266.490532407406</v>
      </c>
      <c r="C439" s="12" t="s">
        <v>95</v>
      </c>
      <c r="D439" s="12" t="s">
        <v>593</v>
      </c>
      <c r="E439" s="13" t="str">
        <f t="shared" si="42"/>
        <v>CO103</v>
      </c>
      <c r="F439" s="14" t="str">
        <f t="shared" si="43"/>
        <v>COOL</v>
      </c>
      <c r="G439" s="14">
        <f>+VLOOKUP(F439,[1]base!A:B,2,0)</f>
        <v>30</v>
      </c>
      <c r="H439" s="14">
        <v>8</v>
      </c>
      <c r="I439" s="14">
        <v>8</v>
      </c>
      <c r="J439" s="14"/>
      <c r="K439" s="14" t="s">
        <v>33</v>
      </c>
      <c r="L439" s="14" t="s">
        <v>594</v>
      </c>
      <c r="M439" s="14" t="s">
        <v>35</v>
      </c>
      <c r="N439" s="14">
        <v>8</v>
      </c>
      <c r="O439" s="14">
        <v>8</v>
      </c>
      <c r="P439" s="14">
        <v>0</v>
      </c>
      <c r="Q439" s="14">
        <v>0</v>
      </c>
      <c r="R439" s="14">
        <v>0</v>
      </c>
      <c r="S439" s="14"/>
      <c r="T439" s="15">
        <v>8</v>
      </c>
      <c r="U439" s="16"/>
      <c r="V439" s="17">
        <v>929</v>
      </c>
      <c r="W439" s="17">
        <f t="shared" si="44"/>
        <v>7432</v>
      </c>
      <c r="X439" s="17">
        <f t="shared" si="45"/>
        <v>386.464</v>
      </c>
      <c r="Y439" s="17">
        <v>934</v>
      </c>
      <c r="Z439" s="17">
        <f t="shared" si="46"/>
        <v>1</v>
      </c>
      <c r="AA439" s="17">
        <f t="shared" si="47"/>
        <v>6.6666666666666693E-2</v>
      </c>
      <c r="AB439" s="17">
        <f>+VLOOKUP(E439,[1]base!M:N,2,0)</f>
        <v>13</v>
      </c>
      <c r="AC439" s="17">
        <f>+VLOOKUP(E439,[1]base!M:Q,5,0)</f>
        <v>593.63636363636363</v>
      </c>
      <c r="AD439" s="18">
        <f>+VLOOKUP(E439,[1]base!M:P,4,0)</f>
        <v>0.90647482014388492</v>
      </c>
      <c r="AE439" s="19">
        <f t="shared" si="48"/>
        <v>-7.8841726618705046</v>
      </c>
    </row>
    <row r="440" spans="1:31" x14ac:dyDescent="0.25">
      <c r="A440" s="10" t="s">
        <v>94</v>
      </c>
      <c r="B440" s="11">
        <v>46266.490532407406</v>
      </c>
      <c r="C440" s="12" t="s">
        <v>95</v>
      </c>
      <c r="D440" s="12" t="s">
        <v>595</v>
      </c>
      <c r="E440" s="13" t="str">
        <f t="shared" si="42"/>
        <v>FR102</v>
      </c>
      <c r="F440" s="14" t="str">
        <f t="shared" si="43"/>
        <v>COOL</v>
      </c>
      <c r="G440" s="14">
        <f>+VLOOKUP(F440,[1]base!A:B,2,0)</f>
        <v>30</v>
      </c>
      <c r="H440" s="14">
        <v>4</v>
      </c>
      <c r="I440" s="14">
        <v>4</v>
      </c>
      <c r="J440" s="14"/>
      <c r="K440" s="14" t="s">
        <v>33</v>
      </c>
      <c r="L440" s="14" t="s">
        <v>596</v>
      </c>
      <c r="M440" s="14" t="s">
        <v>35</v>
      </c>
      <c r="N440" s="14">
        <v>4</v>
      </c>
      <c r="O440" s="14">
        <v>4</v>
      </c>
      <c r="P440" s="14">
        <v>0</v>
      </c>
      <c r="Q440" s="14">
        <v>0</v>
      </c>
      <c r="R440" s="14">
        <v>0</v>
      </c>
      <c r="S440" s="14"/>
      <c r="T440" s="15">
        <v>4</v>
      </c>
      <c r="U440" s="16"/>
      <c r="V440" s="17">
        <v>940</v>
      </c>
      <c r="W440" s="17">
        <f t="shared" si="44"/>
        <v>3760</v>
      </c>
      <c r="X440" s="17">
        <f t="shared" si="45"/>
        <v>195.51999999999998</v>
      </c>
      <c r="Y440" s="17">
        <v>945</v>
      </c>
      <c r="Z440" s="17">
        <f t="shared" si="46"/>
        <v>1</v>
      </c>
      <c r="AA440" s="17">
        <f t="shared" si="47"/>
        <v>6.6666666666666693E-2</v>
      </c>
      <c r="AB440" s="17">
        <f>+VLOOKUP(E440,[1]base!M:N,2,0)</f>
        <v>58</v>
      </c>
      <c r="AC440" s="17">
        <f>+VLOOKUP(E440,[1]base!M:Q,5,0)</f>
        <v>201.6</v>
      </c>
      <c r="AD440" s="18">
        <f>+VLOOKUP(E440,[1]base!M:P,4,0)</f>
        <v>0.75107296137339052</v>
      </c>
      <c r="AE440" s="19">
        <f t="shared" si="48"/>
        <v>-26.162231759656652</v>
      </c>
    </row>
    <row r="441" spans="1:31" x14ac:dyDescent="0.25">
      <c r="A441" s="10" t="s">
        <v>590</v>
      </c>
      <c r="B441" s="11">
        <v>46265.351944444446</v>
      </c>
      <c r="C441" s="12" t="s">
        <v>39</v>
      </c>
      <c r="D441" s="12" t="s">
        <v>597</v>
      </c>
      <c r="E441" s="13" t="str">
        <f t="shared" si="42"/>
        <v>EC67105</v>
      </c>
      <c r="F441" s="14" t="str">
        <f t="shared" si="43"/>
        <v>COOL</v>
      </c>
      <c r="G441" s="14">
        <f>+VLOOKUP(F441,[1]base!A:B,2,0)</f>
        <v>30</v>
      </c>
      <c r="H441" s="14">
        <v>1</v>
      </c>
      <c r="I441" s="14">
        <v>1</v>
      </c>
      <c r="J441" s="14"/>
      <c r="K441" s="14" t="s">
        <v>33</v>
      </c>
      <c r="L441" s="14" t="s">
        <v>598</v>
      </c>
      <c r="M441" s="14" t="s">
        <v>35</v>
      </c>
      <c r="N441" s="14">
        <v>1</v>
      </c>
      <c r="O441" s="14">
        <v>1</v>
      </c>
      <c r="P441" s="14">
        <v>0</v>
      </c>
      <c r="Q441" s="14">
        <v>0</v>
      </c>
      <c r="R441" s="14">
        <v>0</v>
      </c>
      <c r="S441" s="14"/>
      <c r="T441" s="15">
        <v>1</v>
      </c>
      <c r="U441" s="16"/>
      <c r="V441" s="17">
        <v>815</v>
      </c>
      <c r="W441" s="17">
        <f t="shared" si="44"/>
        <v>815</v>
      </c>
      <c r="X441" s="17">
        <f t="shared" si="45"/>
        <v>42.379999999999995</v>
      </c>
      <c r="Y441" s="17">
        <v>820</v>
      </c>
      <c r="Z441" s="17">
        <f t="shared" si="46"/>
        <v>1</v>
      </c>
      <c r="AA441" s="17">
        <f t="shared" si="47"/>
        <v>6.6666666666666693E-2</v>
      </c>
      <c r="AB441" s="17">
        <f>+VLOOKUP(E441,[1]base!M:N,2,0)</f>
        <v>187</v>
      </c>
      <c r="AC441" s="17">
        <f>+VLOOKUP(E441,[1]base!M:Q,5,0)</f>
        <v>520.63636363636363</v>
      </c>
      <c r="AD441" s="18">
        <f>+VLOOKUP(E441,[1]base!M:P,4,0)</f>
        <v>0.56511627906976747</v>
      </c>
      <c r="AE441" s="19">
        <f t="shared" si="48"/>
        <v>-49.576744186046518</v>
      </c>
    </row>
    <row r="442" spans="1:31" x14ac:dyDescent="0.25">
      <c r="A442" s="10" t="s">
        <v>590</v>
      </c>
      <c r="B442" s="11">
        <v>46265.351944444446</v>
      </c>
      <c r="C442" s="12" t="s">
        <v>39</v>
      </c>
      <c r="D442" s="12" t="s">
        <v>599</v>
      </c>
      <c r="E442" s="13" t="str">
        <f t="shared" si="42"/>
        <v>EC40100</v>
      </c>
      <c r="F442" s="14" t="str">
        <f t="shared" si="43"/>
        <v>COOL</v>
      </c>
      <c r="G442" s="14">
        <f>+VLOOKUP(F442,[1]base!A:B,2,0)</f>
        <v>30</v>
      </c>
      <c r="H442" s="14">
        <v>2</v>
      </c>
      <c r="I442" s="14">
        <v>2</v>
      </c>
      <c r="J442" s="14"/>
      <c r="K442" s="14" t="s">
        <v>33</v>
      </c>
      <c r="L442" s="14" t="s">
        <v>600</v>
      </c>
      <c r="M442" s="14" t="s">
        <v>35</v>
      </c>
      <c r="N442" s="14">
        <v>2</v>
      </c>
      <c r="O442" s="14">
        <v>2</v>
      </c>
      <c r="P442" s="14">
        <v>0</v>
      </c>
      <c r="Q442" s="14">
        <v>0</v>
      </c>
      <c r="R442" s="14">
        <v>0</v>
      </c>
      <c r="S442" s="14"/>
      <c r="T442" s="15">
        <v>2</v>
      </c>
      <c r="U442" s="16"/>
      <c r="V442" s="17">
        <v>809</v>
      </c>
      <c r="W442" s="17">
        <f t="shared" si="44"/>
        <v>1618</v>
      </c>
      <c r="X442" s="17">
        <f t="shared" si="45"/>
        <v>84.135999999999996</v>
      </c>
      <c r="Y442" s="17">
        <v>814</v>
      </c>
      <c r="Z442" s="17">
        <f t="shared" si="46"/>
        <v>1</v>
      </c>
      <c r="AA442" s="17">
        <f t="shared" si="47"/>
        <v>6.6666666666666693E-2</v>
      </c>
      <c r="AB442" s="17">
        <f>+VLOOKUP(E442,[1]base!M:N,2,0)</f>
        <v>218</v>
      </c>
      <c r="AC442" s="17">
        <f>+VLOOKUP(E442,[1]base!M:Q,5,0)</f>
        <v>2247.5454545454545</v>
      </c>
      <c r="AD442" s="18">
        <f>+VLOOKUP(E442,[1]base!M:P,4,0)</f>
        <v>0.19557195571955718</v>
      </c>
      <c r="AE442" s="19">
        <f t="shared" si="48"/>
        <v>22.765313653136531</v>
      </c>
    </row>
    <row r="443" spans="1:31" x14ac:dyDescent="0.25">
      <c r="A443" s="10" t="s">
        <v>94</v>
      </c>
      <c r="B443" s="11">
        <v>46266.490532407406</v>
      </c>
      <c r="C443" s="12" t="s">
        <v>95</v>
      </c>
      <c r="D443" s="12" t="s">
        <v>601</v>
      </c>
      <c r="E443" s="13" t="str">
        <f t="shared" si="42"/>
        <v>EC40154</v>
      </c>
      <c r="F443" s="14" t="str">
        <f t="shared" si="43"/>
        <v>COOL</v>
      </c>
      <c r="G443" s="14">
        <f>+VLOOKUP(F443,[1]base!A:B,2,0)</f>
        <v>30</v>
      </c>
      <c r="H443" s="14">
        <v>2</v>
      </c>
      <c r="I443" s="14">
        <v>2</v>
      </c>
      <c r="J443" s="14"/>
      <c r="K443" s="14" t="s">
        <v>33</v>
      </c>
      <c r="L443" s="14" t="s">
        <v>602</v>
      </c>
      <c r="M443" s="14" t="s">
        <v>35</v>
      </c>
      <c r="N443" s="14">
        <v>2</v>
      </c>
      <c r="O443" s="14">
        <v>2</v>
      </c>
      <c r="P443" s="14">
        <v>0</v>
      </c>
      <c r="Q443" s="14">
        <v>0</v>
      </c>
      <c r="R443" s="14">
        <v>1</v>
      </c>
      <c r="S443" s="14"/>
      <c r="T443" s="15">
        <v>2</v>
      </c>
      <c r="U443" s="16"/>
      <c r="V443" s="17">
        <v>930</v>
      </c>
      <c r="W443" s="17">
        <f t="shared" si="44"/>
        <v>1860</v>
      </c>
      <c r="X443" s="17">
        <f t="shared" si="45"/>
        <v>96.72</v>
      </c>
      <c r="Y443" s="17">
        <v>935</v>
      </c>
      <c r="Z443" s="17">
        <f t="shared" si="46"/>
        <v>1</v>
      </c>
      <c r="AA443" s="17">
        <f t="shared" si="47"/>
        <v>6.6666666666666693E-2</v>
      </c>
      <c r="AB443" s="17">
        <f>+VLOOKUP(E443,[1]base!M:N,2,0)</f>
        <v>392</v>
      </c>
      <c r="AC443" s="17">
        <f>+VLOOKUP(E443,[1]base!M:Q,5,0)</f>
        <v>102.83333333333333</v>
      </c>
      <c r="AD443" s="18">
        <f>+VLOOKUP(E443,[1]base!M:P,4,0)</f>
        <v>1.2594458438287154E-2</v>
      </c>
      <c r="AE443" s="19">
        <f t="shared" si="48"/>
        <v>112.66297229219143</v>
      </c>
    </row>
    <row r="444" spans="1:31" x14ac:dyDescent="0.25">
      <c r="A444" s="10" t="s">
        <v>590</v>
      </c>
      <c r="B444" s="11">
        <v>46265.351944444446</v>
      </c>
      <c r="C444" s="12" t="s">
        <v>39</v>
      </c>
      <c r="D444" s="12" t="s">
        <v>603</v>
      </c>
      <c r="E444" s="13" t="str">
        <f t="shared" si="42"/>
        <v>EC67103</v>
      </c>
      <c r="F444" s="14" t="str">
        <f t="shared" si="43"/>
        <v>COOL</v>
      </c>
      <c r="G444" s="14">
        <f>+VLOOKUP(F444,[1]base!A:B,2,0)</f>
        <v>30</v>
      </c>
      <c r="H444" s="14">
        <v>15</v>
      </c>
      <c r="I444" s="14">
        <v>15</v>
      </c>
      <c r="J444" s="14"/>
      <c r="K444" s="14" t="s">
        <v>33</v>
      </c>
      <c r="L444" s="14" t="s">
        <v>604</v>
      </c>
      <c r="M444" s="14" t="s">
        <v>35</v>
      </c>
      <c r="N444" s="14">
        <v>15</v>
      </c>
      <c r="O444" s="14">
        <v>15</v>
      </c>
      <c r="P444" s="14">
        <v>0</v>
      </c>
      <c r="Q444" s="14">
        <v>0</v>
      </c>
      <c r="R444" s="14">
        <v>0</v>
      </c>
      <c r="S444" s="14"/>
      <c r="T444" s="15">
        <v>15</v>
      </c>
      <c r="U444" s="16"/>
      <c r="V444" s="17">
        <v>812</v>
      </c>
      <c r="W444" s="17">
        <f t="shared" si="44"/>
        <v>12180</v>
      </c>
      <c r="X444" s="17">
        <f t="shared" si="45"/>
        <v>633.36</v>
      </c>
      <c r="Y444" s="17">
        <v>817</v>
      </c>
      <c r="Z444" s="17">
        <f t="shared" si="46"/>
        <v>1</v>
      </c>
      <c r="AA444" s="17">
        <f t="shared" si="47"/>
        <v>6.6666666666666693E-2</v>
      </c>
      <c r="AB444" s="17">
        <f>+VLOOKUP(E444,[1]base!M:N,2,0)</f>
        <v>639</v>
      </c>
      <c r="AC444" s="17">
        <f>+VLOOKUP(E444,[1]base!M:Q,5,0)</f>
        <v>720.75</v>
      </c>
      <c r="AD444" s="18">
        <f>+VLOOKUP(E444,[1]base!M:P,4,0)</f>
        <v>0.18076923076923077</v>
      </c>
      <c r="AE444" s="19">
        <f t="shared" si="48"/>
        <v>76.188461538461539</v>
      </c>
    </row>
    <row r="445" spans="1:31" x14ac:dyDescent="0.25">
      <c r="A445" s="10" t="s">
        <v>94</v>
      </c>
      <c r="B445" s="11">
        <v>46266.490532407406</v>
      </c>
      <c r="C445" s="12" t="s">
        <v>95</v>
      </c>
      <c r="D445" s="12" t="s">
        <v>605</v>
      </c>
      <c r="E445" s="13" t="str">
        <f t="shared" si="42"/>
        <v>FR100</v>
      </c>
      <c r="F445" s="14" t="str">
        <f t="shared" si="43"/>
        <v>COOL</v>
      </c>
      <c r="G445" s="14">
        <f>+VLOOKUP(F445,[1]base!A:B,2,0)</f>
        <v>30</v>
      </c>
      <c r="H445" s="14">
        <v>12</v>
      </c>
      <c r="I445" s="14">
        <v>12</v>
      </c>
      <c r="J445" s="14"/>
      <c r="K445" s="14" t="s">
        <v>33</v>
      </c>
      <c r="L445" s="14" t="s">
        <v>606</v>
      </c>
      <c r="M445" s="14" t="s">
        <v>35</v>
      </c>
      <c r="N445" s="14">
        <v>12</v>
      </c>
      <c r="O445" s="14">
        <v>12</v>
      </c>
      <c r="P445" s="14">
        <v>0</v>
      </c>
      <c r="Q445" s="14">
        <v>0</v>
      </c>
      <c r="R445" s="14">
        <v>0</v>
      </c>
      <c r="S445" s="14"/>
      <c r="T445" s="15">
        <v>12</v>
      </c>
      <c r="U445" s="16"/>
      <c r="V445" s="17">
        <v>938</v>
      </c>
      <c r="W445" s="17">
        <f t="shared" si="44"/>
        <v>11256</v>
      </c>
      <c r="X445" s="17">
        <f t="shared" si="45"/>
        <v>585.31200000000001</v>
      </c>
      <c r="Y445" s="17">
        <v>943</v>
      </c>
      <c r="Z445" s="17">
        <f t="shared" si="46"/>
        <v>1</v>
      </c>
      <c r="AA445" s="17">
        <f t="shared" si="47"/>
        <v>6.6666666666666693E-2</v>
      </c>
      <c r="AB445" s="17">
        <f>+VLOOKUP(E445,[1]base!M:N,2,0)</f>
        <v>1365</v>
      </c>
      <c r="AC445" s="17">
        <f>+VLOOKUP(E445,[1]base!M:Q,5,0)</f>
        <v>812.5</v>
      </c>
      <c r="AD445" s="18">
        <f>+VLOOKUP(E445,[1]base!M:P,4,0)</f>
        <v>7.4576271186440682E-2</v>
      </c>
      <c r="AE445" s="19">
        <f t="shared" si="48"/>
        <v>307.70338983050846</v>
      </c>
    </row>
    <row r="446" spans="1:31" x14ac:dyDescent="0.25">
      <c r="A446" s="10" t="s">
        <v>590</v>
      </c>
      <c r="B446" s="11">
        <v>46265.351944444446</v>
      </c>
      <c r="C446" s="12" t="s">
        <v>39</v>
      </c>
      <c r="D446" s="12" t="s">
        <v>607</v>
      </c>
      <c r="E446" s="13" t="str">
        <f t="shared" si="42"/>
        <v>EC40402</v>
      </c>
      <c r="F446" s="14" t="str">
        <f t="shared" si="43"/>
        <v>COOL</v>
      </c>
      <c r="G446" s="14">
        <f>+VLOOKUP(F446,[1]base!A:B,2,0)</f>
        <v>30</v>
      </c>
      <c r="H446" s="14">
        <v>6</v>
      </c>
      <c r="I446" s="14">
        <v>6</v>
      </c>
      <c r="J446" s="14"/>
      <c r="K446" s="14" t="s">
        <v>33</v>
      </c>
      <c r="L446" s="14" t="s">
        <v>608</v>
      </c>
      <c r="M446" s="14" t="s">
        <v>35</v>
      </c>
      <c r="N446" s="14">
        <v>6</v>
      </c>
      <c r="O446" s="14">
        <v>6</v>
      </c>
      <c r="P446" s="14">
        <v>0</v>
      </c>
      <c r="Q446" s="14">
        <v>0</v>
      </c>
      <c r="R446" s="14">
        <v>0</v>
      </c>
      <c r="S446" s="14"/>
      <c r="T446" s="15">
        <v>6</v>
      </c>
      <c r="U446" s="16"/>
      <c r="V446" s="17">
        <v>810</v>
      </c>
      <c r="W446" s="17">
        <f t="shared" si="44"/>
        <v>4860</v>
      </c>
      <c r="X446" s="17">
        <f t="shared" si="45"/>
        <v>252.72</v>
      </c>
      <c r="Y446" s="17">
        <v>815</v>
      </c>
      <c r="Z446" s="17">
        <f t="shared" si="46"/>
        <v>1</v>
      </c>
      <c r="AA446" s="17">
        <f t="shared" si="47"/>
        <v>6.6666666666666693E-2</v>
      </c>
      <c r="AB446" s="17">
        <f>+VLOOKUP(E446,[1]base!M:N,2,0)</f>
        <v>1556</v>
      </c>
      <c r="AC446" s="17">
        <f>+VLOOKUP(E446,[1]base!M:Q,5,0)</f>
        <v>1635.090909090909</v>
      </c>
      <c r="AD446" s="18">
        <f>+VLOOKUP(E446,[1]base!M:P,4,0)</f>
        <v>0.1326644370122631</v>
      </c>
      <c r="AE446" s="19">
        <f t="shared" si="48"/>
        <v>260.37413600891858</v>
      </c>
    </row>
    <row r="447" spans="1:31" x14ac:dyDescent="0.25">
      <c r="A447" s="10" t="s">
        <v>590</v>
      </c>
      <c r="B447" s="11">
        <v>46265.351944444446</v>
      </c>
      <c r="C447" s="12" t="s">
        <v>39</v>
      </c>
      <c r="D447" s="12" t="s">
        <v>609</v>
      </c>
      <c r="E447" s="13" t="str">
        <f t="shared" si="42"/>
        <v>EC40404</v>
      </c>
      <c r="F447" s="14" t="str">
        <f t="shared" si="43"/>
        <v>COOL</v>
      </c>
      <c r="G447" s="14">
        <f>+VLOOKUP(F447,[1]base!A:B,2,0)</f>
        <v>30</v>
      </c>
      <c r="H447" s="14">
        <v>4</v>
      </c>
      <c r="I447" s="14">
        <v>4</v>
      </c>
      <c r="J447" s="14"/>
      <c r="K447" s="14" t="s">
        <v>33</v>
      </c>
      <c r="L447" s="14" t="s">
        <v>610</v>
      </c>
      <c r="M447" s="14" t="s">
        <v>35</v>
      </c>
      <c r="N447" s="14">
        <v>4</v>
      </c>
      <c r="O447" s="14">
        <v>4</v>
      </c>
      <c r="P447" s="14">
        <v>0</v>
      </c>
      <c r="Q447" s="14">
        <v>0</v>
      </c>
      <c r="R447" s="14">
        <v>0</v>
      </c>
      <c r="S447" s="14"/>
      <c r="T447" s="15">
        <v>4</v>
      </c>
      <c r="U447" s="16"/>
      <c r="V447" s="17">
        <v>811</v>
      </c>
      <c r="W447" s="17">
        <f t="shared" si="44"/>
        <v>3244</v>
      </c>
      <c r="X447" s="17">
        <f t="shared" si="45"/>
        <v>168.68799999999999</v>
      </c>
      <c r="Y447" s="17">
        <v>816</v>
      </c>
      <c r="Z447" s="17">
        <f t="shared" si="46"/>
        <v>1</v>
      </c>
      <c r="AA447" s="17">
        <f t="shared" si="47"/>
        <v>6.6666666666666693E-2</v>
      </c>
      <c r="AB447" s="17">
        <f>+VLOOKUP(E447,[1]base!M:N,2,0)</f>
        <v>1778</v>
      </c>
      <c r="AC447" s="17">
        <f>+VLOOKUP(E447,[1]base!M:Q,5,0)</f>
        <v>1288.0999999999999</v>
      </c>
      <c r="AD447" s="18">
        <f>+VLOOKUP(E447,[1]base!M:P,4,0)</f>
        <v>6.95970695970696E-2</v>
      </c>
      <c r="AE447" s="19">
        <f t="shared" si="48"/>
        <v>409.65641025641025</v>
      </c>
    </row>
    <row r="448" spans="1:31" x14ac:dyDescent="0.25">
      <c r="A448" s="10" t="s">
        <v>590</v>
      </c>
      <c r="B448" s="11">
        <v>46265.351944444446</v>
      </c>
      <c r="C448" s="12" t="s">
        <v>39</v>
      </c>
      <c r="D448" s="12" t="s">
        <v>611</v>
      </c>
      <c r="E448" s="13" t="str">
        <f t="shared" si="42"/>
        <v>C-40121</v>
      </c>
      <c r="F448" s="14" t="str">
        <f t="shared" si="43"/>
        <v>COOL</v>
      </c>
      <c r="G448" s="14">
        <f>+VLOOKUP(F448,[1]base!A:B,2,0)</f>
        <v>30</v>
      </c>
      <c r="H448" s="14">
        <v>1</v>
      </c>
      <c r="I448" s="14">
        <v>1</v>
      </c>
      <c r="J448" s="14"/>
      <c r="K448" s="14" t="s">
        <v>33</v>
      </c>
      <c r="L448" s="14" t="s">
        <v>612</v>
      </c>
      <c r="M448" s="14" t="s">
        <v>35</v>
      </c>
      <c r="N448" s="14">
        <v>1</v>
      </c>
      <c r="O448" s="14">
        <v>1</v>
      </c>
      <c r="P448" s="14">
        <v>0</v>
      </c>
      <c r="Q448" s="14">
        <v>0</v>
      </c>
      <c r="R448" s="14">
        <v>0</v>
      </c>
      <c r="S448" s="14"/>
      <c r="T448" s="15">
        <v>1</v>
      </c>
      <c r="U448" s="16"/>
      <c r="V448" s="17">
        <v>805</v>
      </c>
      <c r="W448" s="17">
        <f t="shared" si="44"/>
        <v>805</v>
      </c>
      <c r="X448" s="17">
        <f t="shared" si="45"/>
        <v>41.86</v>
      </c>
      <c r="Y448" s="17">
        <v>810</v>
      </c>
      <c r="Z448" s="17">
        <f t="shared" si="46"/>
        <v>1</v>
      </c>
      <c r="AA448" s="17">
        <f t="shared" si="47"/>
        <v>6.6666666666666693E-2</v>
      </c>
      <c r="AB448" s="17" t="e">
        <f>+VLOOKUP(E448,[1]base!M:N,2,0)</f>
        <v>#N/A</v>
      </c>
      <c r="AC448" s="17" t="e">
        <f>+VLOOKUP(E448,[1]base!M:Q,5,0)</f>
        <v>#N/A</v>
      </c>
      <c r="AD448" s="18" t="e">
        <f>+VLOOKUP(E448,[1]base!M:P,4,0)</f>
        <v>#N/A</v>
      </c>
      <c r="AE448" s="19" t="e">
        <f t="shared" si="48"/>
        <v>#N/A</v>
      </c>
    </row>
    <row r="449" spans="1:31" x14ac:dyDescent="0.25">
      <c r="A449" s="10" t="s">
        <v>590</v>
      </c>
      <c r="B449" s="11">
        <v>46265.351944444446</v>
      </c>
      <c r="C449" s="12" t="s">
        <v>39</v>
      </c>
      <c r="D449" s="12" t="s">
        <v>613</v>
      </c>
      <c r="E449" s="13" t="str">
        <f t="shared" si="42"/>
        <v>C-40139</v>
      </c>
      <c r="F449" s="14" t="str">
        <f t="shared" si="43"/>
        <v>COOL</v>
      </c>
      <c r="G449" s="14">
        <f>+VLOOKUP(F449,[1]base!A:B,2,0)</f>
        <v>30</v>
      </c>
      <c r="H449" s="14">
        <v>5</v>
      </c>
      <c r="I449" s="14">
        <v>5</v>
      </c>
      <c r="J449" s="14"/>
      <c r="K449" s="14" t="s">
        <v>33</v>
      </c>
      <c r="L449" s="14" t="s">
        <v>614</v>
      </c>
      <c r="M449" s="14" t="s">
        <v>35</v>
      </c>
      <c r="N449" s="14">
        <v>5</v>
      </c>
      <c r="O449" s="14">
        <v>5</v>
      </c>
      <c r="P449" s="14">
        <v>0</v>
      </c>
      <c r="Q449" s="14">
        <v>0</v>
      </c>
      <c r="R449" s="14">
        <v>0</v>
      </c>
      <c r="S449" s="14"/>
      <c r="T449" s="15">
        <v>5</v>
      </c>
      <c r="U449" s="16"/>
      <c r="V449" s="17">
        <v>804</v>
      </c>
      <c r="W449" s="17">
        <f t="shared" si="44"/>
        <v>4020</v>
      </c>
      <c r="X449" s="17">
        <f t="shared" si="45"/>
        <v>209.04</v>
      </c>
      <c r="Y449" s="17">
        <v>809</v>
      </c>
      <c r="Z449" s="17">
        <f t="shared" si="46"/>
        <v>1</v>
      </c>
      <c r="AA449" s="17">
        <f t="shared" si="47"/>
        <v>6.6666666666666693E-2</v>
      </c>
      <c r="AB449" s="17" t="e">
        <f>+VLOOKUP(E449,[1]base!M:N,2,0)</f>
        <v>#N/A</v>
      </c>
      <c r="AC449" s="17" t="e">
        <f>+VLOOKUP(E449,[1]base!M:Q,5,0)</f>
        <v>#N/A</v>
      </c>
      <c r="AD449" s="18" t="e">
        <f>+VLOOKUP(E449,[1]base!M:P,4,0)</f>
        <v>#N/A</v>
      </c>
      <c r="AE449" s="19" t="e">
        <f t="shared" si="48"/>
        <v>#N/A</v>
      </c>
    </row>
    <row r="450" spans="1:31" x14ac:dyDescent="0.25">
      <c r="A450" s="10" t="s">
        <v>590</v>
      </c>
      <c r="B450" s="11">
        <v>46265.351944444446</v>
      </c>
      <c r="C450" s="12" t="s">
        <v>39</v>
      </c>
      <c r="D450" s="12" t="s">
        <v>615</v>
      </c>
      <c r="E450" s="13" t="str">
        <f t="shared" ref="E450:E513" si="49">_xlfn.TEXTBEFORE(D450, "-", -1, 1, , D450)</f>
        <v>C-67106</v>
      </c>
      <c r="F450" s="14" t="str">
        <f t="shared" ref="F450:F513" si="50">_xlfn.TEXTAFTER(D450, "-", -1, 1, , "")</f>
        <v>COOL</v>
      </c>
      <c r="G450" s="14">
        <f>+VLOOKUP(F450,[1]base!A:B,2,0)</f>
        <v>30</v>
      </c>
      <c r="H450" s="14">
        <v>6</v>
      </c>
      <c r="I450" s="14">
        <v>6</v>
      </c>
      <c r="J450" s="14"/>
      <c r="K450" s="14" t="s">
        <v>33</v>
      </c>
      <c r="L450" s="14" t="s">
        <v>616</v>
      </c>
      <c r="M450" s="14" t="s">
        <v>35</v>
      </c>
      <c r="N450" s="14">
        <v>6</v>
      </c>
      <c r="O450" s="14">
        <v>6</v>
      </c>
      <c r="P450" s="14">
        <v>0</v>
      </c>
      <c r="Q450" s="14">
        <v>0</v>
      </c>
      <c r="R450" s="14">
        <v>0</v>
      </c>
      <c r="S450" s="14"/>
      <c r="T450" s="15">
        <v>6</v>
      </c>
      <c r="U450" s="16"/>
      <c r="V450" s="17">
        <v>806</v>
      </c>
      <c r="W450" s="17">
        <f t="shared" ref="W450:W513" si="51">(T450+U450)*V450</f>
        <v>4836</v>
      </c>
      <c r="X450" s="17">
        <f t="shared" ref="X450:X513" si="52">+W450*0.052</f>
        <v>251.47199999999998</v>
      </c>
      <c r="Y450" s="17">
        <v>811</v>
      </c>
      <c r="Z450" s="17">
        <f t="shared" ref="Z450:Z513" si="53">ROUNDUP(T450/Y450,0)</f>
        <v>1</v>
      </c>
      <c r="AA450" s="17">
        <f t="shared" ref="AA450:AA513" si="54">+Z450*0.0666666666666667</f>
        <v>6.6666666666666693E-2</v>
      </c>
      <c r="AB450" s="17" t="e">
        <f>+VLOOKUP(E450,[1]base!M:N,2,0)</f>
        <v>#N/A</v>
      </c>
      <c r="AC450" s="17" t="e">
        <f>+VLOOKUP(E450,[1]base!M:Q,5,0)</f>
        <v>#N/A</v>
      </c>
      <c r="AD450" s="18" t="e">
        <f>+VLOOKUP(E450,[1]base!M:P,4,0)</f>
        <v>#N/A</v>
      </c>
      <c r="AE450" s="19" t="e">
        <f t="shared" ref="AE450:AE513" si="55">+AB450*(30%-AD450)</f>
        <v>#N/A</v>
      </c>
    </row>
    <row r="451" spans="1:31" x14ac:dyDescent="0.25">
      <c r="A451" s="10" t="s">
        <v>190</v>
      </c>
      <c r="B451" s="11">
        <v>46226.387731481482</v>
      </c>
      <c r="C451" s="12" t="s">
        <v>191</v>
      </c>
      <c r="D451" s="12" t="s">
        <v>617</v>
      </c>
      <c r="E451" s="13" t="str">
        <f t="shared" si="49"/>
        <v>EC40121</v>
      </c>
      <c r="F451" s="14" t="str">
        <f t="shared" si="50"/>
        <v>R7016</v>
      </c>
      <c r="G451" s="14">
        <f>+VLOOKUP(F451,[1]base!A:B,2,0)</f>
        <v>31</v>
      </c>
      <c r="H451" s="14">
        <v>5</v>
      </c>
      <c r="I451" s="14">
        <v>5</v>
      </c>
      <c r="J451" s="14"/>
      <c r="K451" s="14" t="s">
        <v>72</v>
      </c>
      <c r="L451" s="14" t="s">
        <v>618</v>
      </c>
      <c r="M451" s="14" t="s">
        <v>35</v>
      </c>
      <c r="N451" s="14">
        <v>5</v>
      </c>
      <c r="O451" s="14">
        <v>5</v>
      </c>
      <c r="P451" s="14">
        <v>0</v>
      </c>
      <c r="Q451" s="14">
        <v>5</v>
      </c>
      <c r="R451" s="14">
        <v>0</v>
      </c>
      <c r="S451" s="14"/>
      <c r="T451" s="15">
        <v>5</v>
      </c>
      <c r="U451" s="16"/>
      <c r="V451" s="17">
        <v>211</v>
      </c>
      <c r="W451" s="17">
        <f t="shared" si="51"/>
        <v>1055</v>
      </c>
      <c r="X451" s="17">
        <f t="shared" si="52"/>
        <v>54.86</v>
      </c>
      <c r="Y451" s="17">
        <v>216</v>
      </c>
      <c r="Z451" s="17">
        <f t="shared" si="53"/>
        <v>1</v>
      </c>
      <c r="AA451" s="17">
        <f t="shared" si="54"/>
        <v>6.6666666666666693E-2</v>
      </c>
      <c r="AB451" s="17">
        <f>+VLOOKUP(E451,[1]base!M:N,2,0)</f>
        <v>0</v>
      </c>
      <c r="AC451" s="17">
        <f>+VLOOKUP(E451,[1]base!M:Q,5,0)</f>
        <v>272.25</v>
      </c>
      <c r="AD451" s="18" t="e">
        <f>+VLOOKUP(E451,[1]base!M:P,4,0)</f>
        <v>#DIV/0!</v>
      </c>
      <c r="AE451" s="19" t="e">
        <f t="shared" si="55"/>
        <v>#DIV/0!</v>
      </c>
    </row>
    <row r="452" spans="1:31" x14ac:dyDescent="0.25">
      <c r="A452" s="10" t="s">
        <v>190</v>
      </c>
      <c r="B452" s="11">
        <v>46226.387731481482</v>
      </c>
      <c r="C452" s="12" t="s">
        <v>191</v>
      </c>
      <c r="D452" s="12" t="s">
        <v>619</v>
      </c>
      <c r="E452" s="13" t="str">
        <f t="shared" si="49"/>
        <v>FR148</v>
      </c>
      <c r="F452" s="14" t="str">
        <f t="shared" si="50"/>
        <v>R7016</v>
      </c>
      <c r="G452" s="14">
        <f>+VLOOKUP(F452,[1]base!A:B,2,0)</f>
        <v>31</v>
      </c>
      <c r="H452" s="14">
        <v>30</v>
      </c>
      <c r="I452" s="14">
        <v>30</v>
      </c>
      <c r="J452" s="14"/>
      <c r="K452" s="14" t="s">
        <v>72</v>
      </c>
      <c r="L452" s="14" t="s">
        <v>620</v>
      </c>
      <c r="M452" s="14" t="s">
        <v>35</v>
      </c>
      <c r="N452" s="14">
        <v>30</v>
      </c>
      <c r="O452" s="14">
        <v>30</v>
      </c>
      <c r="P452" s="14">
        <v>0</v>
      </c>
      <c r="Q452" s="14">
        <v>30</v>
      </c>
      <c r="R452" s="14">
        <v>1</v>
      </c>
      <c r="S452" s="14"/>
      <c r="T452" s="15">
        <v>30</v>
      </c>
      <c r="U452" s="16"/>
      <c r="V452" s="17">
        <v>218</v>
      </c>
      <c r="W452" s="17">
        <f t="shared" si="51"/>
        <v>6540</v>
      </c>
      <c r="X452" s="17">
        <f t="shared" si="52"/>
        <v>340.08</v>
      </c>
      <c r="Y452" s="17">
        <v>223</v>
      </c>
      <c r="Z452" s="17">
        <f t="shared" si="53"/>
        <v>1</v>
      </c>
      <c r="AA452" s="17">
        <f t="shared" si="54"/>
        <v>6.6666666666666693E-2</v>
      </c>
      <c r="AB452" s="17">
        <f>+VLOOKUP(E452,[1]base!M:N,2,0)</f>
        <v>18</v>
      </c>
      <c r="AC452" s="17">
        <f>+VLOOKUP(E452,[1]base!M:Q,5,0)</f>
        <v>92.285714285714292</v>
      </c>
      <c r="AD452" s="18">
        <f>+VLOOKUP(E452,[1]base!M:P,4,0)</f>
        <v>0.53846153846153844</v>
      </c>
      <c r="AE452" s="19">
        <f t="shared" si="55"/>
        <v>-4.2923076923076922</v>
      </c>
    </row>
    <row r="453" spans="1:31" x14ac:dyDescent="0.25">
      <c r="A453" s="10" t="s">
        <v>190</v>
      </c>
      <c r="B453" s="11">
        <v>46226.387731481482</v>
      </c>
      <c r="C453" s="12" t="s">
        <v>191</v>
      </c>
      <c r="D453" s="12" t="s">
        <v>621</v>
      </c>
      <c r="E453" s="13" t="str">
        <f t="shared" si="49"/>
        <v>FR133</v>
      </c>
      <c r="F453" s="14" t="str">
        <f t="shared" si="50"/>
        <v>R7016</v>
      </c>
      <c r="G453" s="14">
        <f>+VLOOKUP(F453,[1]base!A:B,2,0)</f>
        <v>31</v>
      </c>
      <c r="H453" s="14">
        <v>6</v>
      </c>
      <c r="I453" s="14">
        <v>6</v>
      </c>
      <c r="J453" s="14"/>
      <c r="K453" s="14" t="s">
        <v>72</v>
      </c>
      <c r="L453" s="14" t="s">
        <v>622</v>
      </c>
      <c r="M453" s="14" t="s">
        <v>35</v>
      </c>
      <c r="N453" s="14">
        <v>6</v>
      </c>
      <c r="O453" s="14">
        <v>6</v>
      </c>
      <c r="P453" s="14">
        <v>0</v>
      </c>
      <c r="Q453" s="14">
        <v>6</v>
      </c>
      <c r="R453" s="14">
        <v>0</v>
      </c>
      <c r="S453" s="14"/>
      <c r="T453" s="15">
        <v>6</v>
      </c>
      <c r="U453" s="16"/>
      <c r="V453" s="17">
        <v>219</v>
      </c>
      <c r="W453" s="17">
        <f t="shared" si="51"/>
        <v>1314</v>
      </c>
      <c r="X453" s="17">
        <f t="shared" si="52"/>
        <v>68.328000000000003</v>
      </c>
      <c r="Y453" s="17">
        <v>224</v>
      </c>
      <c r="Z453" s="17">
        <f t="shared" si="53"/>
        <v>1</v>
      </c>
      <c r="AA453" s="17">
        <f t="shared" si="54"/>
        <v>6.6666666666666693E-2</v>
      </c>
      <c r="AB453" s="17">
        <f>+VLOOKUP(E453,[1]base!M:N,2,0)</f>
        <v>31</v>
      </c>
      <c r="AC453" s="17">
        <f>+VLOOKUP(E453,[1]base!M:Q,5,0)</f>
        <v>40.25</v>
      </c>
      <c r="AD453" s="18">
        <f>+VLOOKUP(E453,[1]base!M:P,4,0)</f>
        <v>0.73043478260869565</v>
      </c>
      <c r="AE453" s="19">
        <f t="shared" si="55"/>
        <v>-13.343478260869565</v>
      </c>
    </row>
    <row r="454" spans="1:31" x14ac:dyDescent="0.25">
      <c r="A454" s="10" t="s">
        <v>190</v>
      </c>
      <c r="B454" s="11">
        <v>46226.387731481482</v>
      </c>
      <c r="C454" s="12" t="s">
        <v>191</v>
      </c>
      <c r="D454" s="12" t="s">
        <v>623</v>
      </c>
      <c r="E454" s="13" t="str">
        <f t="shared" si="49"/>
        <v>FR161</v>
      </c>
      <c r="F454" s="14" t="str">
        <f t="shared" si="50"/>
        <v>R7016</v>
      </c>
      <c r="G454" s="14">
        <f>+VLOOKUP(F454,[1]base!A:B,2,0)</f>
        <v>31</v>
      </c>
      <c r="H454" s="14">
        <v>7</v>
      </c>
      <c r="I454" s="14">
        <v>7</v>
      </c>
      <c r="J454" s="14"/>
      <c r="K454" s="14" t="s">
        <v>72</v>
      </c>
      <c r="L454" s="14" t="s">
        <v>624</v>
      </c>
      <c r="M454" s="14" t="s">
        <v>35</v>
      </c>
      <c r="N454" s="14">
        <v>7</v>
      </c>
      <c r="O454" s="14">
        <v>7</v>
      </c>
      <c r="P454" s="14">
        <v>0</v>
      </c>
      <c r="Q454" s="14">
        <v>9</v>
      </c>
      <c r="R454" s="14">
        <v>11</v>
      </c>
      <c r="S454" s="14"/>
      <c r="T454" s="15">
        <v>7</v>
      </c>
      <c r="U454" s="16"/>
      <c r="V454" s="17">
        <v>220</v>
      </c>
      <c r="W454" s="17">
        <f t="shared" si="51"/>
        <v>1540</v>
      </c>
      <c r="X454" s="17">
        <f t="shared" si="52"/>
        <v>80.08</v>
      </c>
      <c r="Y454" s="17">
        <v>225</v>
      </c>
      <c r="Z454" s="17">
        <f t="shared" si="53"/>
        <v>1</v>
      </c>
      <c r="AA454" s="17">
        <f t="shared" si="54"/>
        <v>6.6666666666666693E-2</v>
      </c>
      <c r="AB454" s="17">
        <f>+VLOOKUP(E454,[1]base!M:N,2,0)</f>
        <v>46</v>
      </c>
      <c r="AC454" s="17">
        <f>+VLOOKUP(E454,[1]base!M:Q,5,0)</f>
        <v>24.285714285714285</v>
      </c>
      <c r="AD454" s="18">
        <f>+VLOOKUP(E454,[1]base!M:P,4,0)</f>
        <v>0.51063829787234039</v>
      </c>
      <c r="AE454" s="19">
        <f t="shared" si="55"/>
        <v>-9.689361702127659</v>
      </c>
    </row>
    <row r="455" spans="1:31" x14ac:dyDescent="0.25">
      <c r="A455" s="10" t="s">
        <v>190</v>
      </c>
      <c r="B455" s="11">
        <v>46226.387731481482</v>
      </c>
      <c r="C455" s="12" t="s">
        <v>191</v>
      </c>
      <c r="D455" s="12" t="s">
        <v>625</v>
      </c>
      <c r="E455" s="13" t="str">
        <f t="shared" si="49"/>
        <v>FR110</v>
      </c>
      <c r="F455" s="14" t="str">
        <f t="shared" si="50"/>
        <v>R7016</v>
      </c>
      <c r="G455" s="14">
        <f>+VLOOKUP(F455,[1]base!A:B,2,0)</f>
        <v>31</v>
      </c>
      <c r="H455" s="14">
        <v>24</v>
      </c>
      <c r="I455" s="14">
        <v>24</v>
      </c>
      <c r="J455" s="14"/>
      <c r="K455" s="14" t="s">
        <v>72</v>
      </c>
      <c r="L455" s="14" t="s">
        <v>626</v>
      </c>
      <c r="M455" s="14" t="s">
        <v>35</v>
      </c>
      <c r="N455" s="14">
        <v>24</v>
      </c>
      <c r="O455" s="14">
        <v>24</v>
      </c>
      <c r="P455" s="14">
        <v>0</v>
      </c>
      <c r="Q455" s="14">
        <v>24</v>
      </c>
      <c r="R455" s="14">
        <v>0</v>
      </c>
      <c r="S455" s="14"/>
      <c r="T455" s="15">
        <v>24</v>
      </c>
      <c r="U455" s="16"/>
      <c r="V455" s="17">
        <v>215</v>
      </c>
      <c r="W455" s="17">
        <f t="shared" si="51"/>
        <v>5160</v>
      </c>
      <c r="X455" s="17">
        <f t="shared" si="52"/>
        <v>268.32</v>
      </c>
      <c r="Y455" s="17">
        <v>220</v>
      </c>
      <c r="Z455" s="17">
        <f t="shared" si="53"/>
        <v>1</v>
      </c>
      <c r="AA455" s="17">
        <f t="shared" si="54"/>
        <v>6.6666666666666693E-2</v>
      </c>
      <c r="AB455" s="17">
        <f>+VLOOKUP(E455,[1]base!M:N,2,0)</f>
        <v>196</v>
      </c>
      <c r="AC455" s="17">
        <f>+VLOOKUP(E455,[1]base!M:Q,5,0)</f>
        <v>52.125</v>
      </c>
      <c r="AD455" s="18">
        <f>+VLOOKUP(E455,[1]base!M:P,4,0)</f>
        <v>0.20647773279352227</v>
      </c>
      <c r="AE455" s="19">
        <f t="shared" si="55"/>
        <v>18.330364372469631</v>
      </c>
    </row>
    <row r="456" spans="1:31" x14ac:dyDescent="0.25">
      <c r="A456" s="10" t="s">
        <v>190</v>
      </c>
      <c r="B456" s="11">
        <v>46226.387731481482</v>
      </c>
      <c r="C456" s="12" t="s">
        <v>191</v>
      </c>
      <c r="D456" s="12" t="s">
        <v>627</v>
      </c>
      <c r="E456" s="13" t="str">
        <f t="shared" si="49"/>
        <v>CO124</v>
      </c>
      <c r="F456" s="14" t="str">
        <f t="shared" si="50"/>
        <v>R7016</v>
      </c>
      <c r="G456" s="14">
        <f>+VLOOKUP(F456,[1]base!A:B,2,0)</f>
        <v>31</v>
      </c>
      <c r="H456" s="14">
        <v>11</v>
      </c>
      <c r="I456" s="14">
        <v>11</v>
      </c>
      <c r="J456" s="14"/>
      <c r="K456" s="14" t="s">
        <v>72</v>
      </c>
      <c r="L456" s="14" t="s">
        <v>628</v>
      </c>
      <c r="M456" s="14" t="s">
        <v>35</v>
      </c>
      <c r="N456" s="14">
        <v>11</v>
      </c>
      <c r="O456" s="14">
        <v>11</v>
      </c>
      <c r="P456" s="14">
        <v>0</v>
      </c>
      <c r="Q456" s="14">
        <v>11</v>
      </c>
      <c r="R456" s="14">
        <v>0</v>
      </c>
      <c r="S456" s="14"/>
      <c r="T456" s="15">
        <v>11</v>
      </c>
      <c r="U456" s="16"/>
      <c r="V456" s="17">
        <v>210</v>
      </c>
      <c r="W456" s="17">
        <f t="shared" si="51"/>
        <v>2310</v>
      </c>
      <c r="X456" s="17">
        <f t="shared" si="52"/>
        <v>120.11999999999999</v>
      </c>
      <c r="Y456" s="17">
        <v>215</v>
      </c>
      <c r="Z456" s="17">
        <f t="shared" si="53"/>
        <v>1</v>
      </c>
      <c r="AA456" s="17">
        <f t="shared" si="54"/>
        <v>6.6666666666666693E-2</v>
      </c>
      <c r="AB456" s="17">
        <f>+VLOOKUP(E456,[1]base!M:N,2,0)</f>
        <v>216</v>
      </c>
      <c r="AC456" s="17">
        <f>+VLOOKUP(E456,[1]base!M:Q,5,0)</f>
        <v>37.666666666666664</v>
      </c>
      <c r="AD456" s="18">
        <f>+VLOOKUP(E456,[1]base!M:P,4,0)</f>
        <v>0.1</v>
      </c>
      <c r="AE456" s="19">
        <f t="shared" si="55"/>
        <v>43.199999999999996</v>
      </c>
    </row>
    <row r="457" spans="1:31" x14ac:dyDescent="0.25">
      <c r="A457" s="10" t="s">
        <v>190</v>
      </c>
      <c r="B457" s="11">
        <v>46226.387731481482</v>
      </c>
      <c r="C457" s="12" t="s">
        <v>191</v>
      </c>
      <c r="D457" s="12" t="s">
        <v>629</v>
      </c>
      <c r="E457" s="13" t="str">
        <f t="shared" si="49"/>
        <v>FR168</v>
      </c>
      <c r="F457" s="14" t="str">
        <f t="shared" si="50"/>
        <v>R7016</v>
      </c>
      <c r="G457" s="14">
        <f>+VLOOKUP(F457,[1]base!A:B,2,0)</f>
        <v>31</v>
      </c>
      <c r="H457" s="14">
        <v>37</v>
      </c>
      <c r="I457" s="14">
        <v>37</v>
      </c>
      <c r="J457" s="14"/>
      <c r="K457" s="14" t="s">
        <v>72</v>
      </c>
      <c r="L457" s="14" t="s">
        <v>630</v>
      </c>
      <c r="M457" s="14" t="s">
        <v>35</v>
      </c>
      <c r="N457" s="14">
        <v>37</v>
      </c>
      <c r="O457" s="14">
        <v>37</v>
      </c>
      <c r="P457" s="14">
        <v>0</v>
      </c>
      <c r="Q457" s="14">
        <v>37</v>
      </c>
      <c r="R457" s="14">
        <v>50</v>
      </c>
      <c r="S457" s="14"/>
      <c r="T457" s="15">
        <v>37</v>
      </c>
      <c r="U457" s="16"/>
      <c r="V457" s="17">
        <v>228</v>
      </c>
      <c r="W457" s="17">
        <f t="shared" si="51"/>
        <v>8436</v>
      </c>
      <c r="X457" s="17">
        <f t="shared" si="52"/>
        <v>438.67199999999997</v>
      </c>
      <c r="Y457" s="17">
        <v>233</v>
      </c>
      <c r="Z457" s="17">
        <f t="shared" si="53"/>
        <v>1</v>
      </c>
      <c r="AA457" s="17">
        <f t="shared" si="54"/>
        <v>6.6666666666666693E-2</v>
      </c>
      <c r="AB457" s="17">
        <f>+VLOOKUP(E457,[1]base!M:N,2,0)</f>
        <v>355</v>
      </c>
      <c r="AC457" s="17">
        <f>+VLOOKUP(E457,[1]base!M:Q,5,0)</f>
        <v>0</v>
      </c>
      <c r="AD457" s="18">
        <f>+VLOOKUP(E457,[1]base!M:P,4,0)</f>
        <v>0.39212328767123289</v>
      </c>
      <c r="AE457" s="19">
        <f t="shared" si="55"/>
        <v>-32.703767123287683</v>
      </c>
    </row>
    <row r="458" spans="1:31" x14ac:dyDescent="0.25">
      <c r="A458" s="10" t="s">
        <v>190</v>
      </c>
      <c r="B458" s="11">
        <v>46226.387731481482</v>
      </c>
      <c r="C458" s="12" t="s">
        <v>191</v>
      </c>
      <c r="D458" s="12" t="s">
        <v>631</v>
      </c>
      <c r="E458" s="13" t="str">
        <f t="shared" si="49"/>
        <v>EC40154</v>
      </c>
      <c r="F458" s="14" t="str">
        <f t="shared" si="50"/>
        <v>R7016</v>
      </c>
      <c r="G458" s="14">
        <f>+VLOOKUP(F458,[1]base!A:B,2,0)</f>
        <v>31</v>
      </c>
      <c r="H458" s="14">
        <v>6</v>
      </c>
      <c r="I458" s="14">
        <v>6</v>
      </c>
      <c r="J458" s="14"/>
      <c r="K458" s="14" t="s">
        <v>72</v>
      </c>
      <c r="L458" s="14" t="s">
        <v>632</v>
      </c>
      <c r="M458" s="14" t="s">
        <v>35</v>
      </c>
      <c r="N458" s="14">
        <v>6</v>
      </c>
      <c r="O458" s="14">
        <v>6</v>
      </c>
      <c r="P458" s="14">
        <v>0</v>
      </c>
      <c r="Q458" s="14">
        <v>6</v>
      </c>
      <c r="R458" s="14">
        <v>0</v>
      </c>
      <c r="S458" s="14"/>
      <c r="T458" s="15">
        <v>6</v>
      </c>
      <c r="U458" s="16"/>
      <c r="V458" s="17">
        <v>226</v>
      </c>
      <c r="W458" s="17">
        <f t="shared" si="51"/>
        <v>1356</v>
      </c>
      <c r="X458" s="17">
        <f t="shared" si="52"/>
        <v>70.512</v>
      </c>
      <c r="Y458" s="17">
        <v>231</v>
      </c>
      <c r="Z458" s="17">
        <f t="shared" si="53"/>
        <v>1</v>
      </c>
      <c r="AA458" s="17">
        <f t="shared" si="54"/>
        <v>6.6666666666666693E-2</v>
      </c>
      <c r="AB458" s="17">
        <f>+VLOOKUP(E458,[1]base!M:N,2,0)</f>
        <v>392</v>
      </c>
      <c r="AC458" s="17">
        <f>+VLOOKUP(E458,[1]base!M:Q,5,0)</f>
        <v>102.83333333333333</v>
      </c>
      <c r="AD458" s="18">
        <f>+VLOOKUP(E458,[1]base!M:P,4,0)</f>
        <v>1.2594458438287154E-2</v>
      </c>
      <c r="AE458" s="19">
        <f t="shared" si="55"/>
        <v>112.66297229219143</v>
      </c>
    </row>
    <row r="459" spans="1:31" x14ac:dyDescent="0.25">
      <c r="A459" s="10" t="s">
        <v>190</v>
      </c>
      <c r="B459" s="11">
        <v>46226.387731481482</v>
      </c>
      <c r="C459" s="12" t="s">
        <v>191</v>
      </c>
      <c r="D459" s="12" t="s">
        <v>633</v>
      </c>
      <c r="E459" s="13" t="str">
        <f t="shared" si="49"/>
        <v>FR166</v>
      </c>
      <c r="F459" s="14" t="str">
        <f t="shared" si="50"/>
        <v>R7016</v>
      </c>
      <c r="G459" s="14">
        <f>+VLOOKUP(F459,[1]base!A:B,2,0)</f>
        <v>31</v>
      </c>
      <c r="H459" s="14">
        <v>16</v>
      </c>
      <c r="I459" s="14">
        <v>16</v>
      </c>
      <c r="J459" s="14"/>
      <c r="K459" s="14" t="s">
        <v>72</v>
      </c>
      <c r="L459" s="14" t="s">
        <v>634</v>
      </c>
      <c r="M459" s="14" t="s">
        <v>35</v>
      </c>
      <c r="N459" s="14">
        <v>16</v>
      </c>
      <c r="O459" s="14">
        <v>16</v>
      </c>
      <c r="P459" s="14">
        <v>0</v>
      </c>
      <c r="Q459" s="14">
        <v>16</v>
      </c>
      <c r="R459" s="14">
        <v>0</v>
      </c>
      <c r="S459" s="14"/>
      <c r="T459" s="15">
        <v>16</v>
      </c>
      <c r="U459" s="16"/>
      <c r="V459" s="17">
        <v>222</v>
      </c>
      <c r="W459" s="17">
        <f t="shared" si="51"/>
        <v>3552</v>
      </c>
      <c r="X459" s="17">
        <f t="shared" si="52"/>
        <v>184.70399999999998</v>
      </c>
      <c r="Y459" s="17">
        <v>227</v>
      </c>
      <c r="Z459" s="17">
        <f t="shared" si="53"/>
        <v>1</v>
      </c>
      <c r="AA459" s="17">
        <f t="shared" si="54"/>
        <v>6.6666666666666693E-2</v>
      </c>
      <c r="AB459" s="17">
        <f>+VLOOKUP(E459,[1]base!M:N,2,0)</f>
        <v>437</v>
      </c>
      <c r="AC459" s="17">
        <f>+VLOOKUP(E459,[1]base!M:Q,5,0)</f>
        <v>435.66666666666669</v>
      </c>
      <c r="AD459" s="18">
        <f>+VLOOKUP(E459,[1]base!M:P,4,0)</f>
        <v>0.14980544747081712</v>
      </c>
      <c r="AE459" s="19">
        <f t="shared" si="55"/>
        <v>65.635019455252916</v>
      </c>
    </row>
    <row r="460" spans="1:31" x14ac:dyDescent="0.25">
      <c r="A460" s="10" t="s">
        <v>190</v>
      </c>
      <c r="B460" s="11">
        <v>46226.387731481482</v>
      </c>
      <c r="C460" s="12" t="s">
        <v>191</v>
      </c>
      <c r="D460" s="12" t="s">
        <v>635</v>
      </c>
      <c r="E460" s="13" t="str">
        <f t="shared" si="49"/>
        <v>FR108</v>
      </c>
      <c r="F460" s="14" t="str">
        <f t="shared" si="50"/>
        <v>R7016</v>
      </c>
      <c r="G460" s="14">
        <f>+VLOOKUP(F460,[1]base!A:B,2,0)</f>
        <v>31</v>
      </c>
      <c r="H460" s="14">
        <v>5</v>
      </c>
      <c r="I460" s="14">
        <v>5</v>
      </c>
      <c r="J460" s="14"/>
      <c r="K460" s="14" t="s">
        <v>72</v>
      </c>
      <c r="L460" s="14" t="s">
        <v>636</v>
      </c>
      <c r="M460" s="14" t="s">
        <v>35</v>
      </c>
      <c r="N460" s="14">
        <v>5</v>
      </c>
      <c r="O460" s="14">
        <v>5</v>
      </c>
      <c r="P460" s="14">
        <v>0</v>
      </c>
      <c r="Q460" s="14">
        <v>5</v>
      </c>
      <c r="R460" s="14">
        <v>0</v>
      </c>
      <c r="S460" s="14"/>
      <c r="T460" s="15">
        <v>5</v>
      </c>
      <c r="U460" s="16"/>
      <c r="V460" s="17">
        <v>214</v>
      </c>
      <c r="W460" s="17">
        <f t="shared" si="51"/>
        <v>1070</v>
      </c>
      <c r="X460" s="17">
        <f t="shared" si="52"/>
        <v>55.64</v>
      </c>
      <c r="Y460" s="17">
        <v>219</v>
      </c>
      <c r="Z460" s="17">
        <f t="shared" si="53"/>
        <v>1</v>
      </c>
      <c r="AA460" s="17">
        <f t="shared" si="54"/>
        <v>6.6666666666666693E-2</v>
      </c>
      <c r="AB460" s="17">
        <f>+VLOOKUP(E460,[1]base!M:N,2,0)</f>
        <v>1084</v>
      </c>
      <c r="AC460" s="17">
        <f>+VLOOKUP(E460,[1]base!M:Q,5,0)</f>
        <v>67</v>
      </c>
      <c r="AD460" s="18">
        <f>+VLOOKUP(E460,[1]base!M:P,4,0)</f>
        <v>5.4101221640488653E-2</v>
      </c>
      <c r="AE460" s="19">
        <f t="shared" si="55"/>
        <v>266.55427574171028</v>
      </c>
    </row>
    <row r="461" spans="1:31" x14ac:dyDescent="0.25">
      <c r="A461" s="10" t="s">
        <v>190</v>
      </c>
      <c r="B461" s="11">
        <v>46226.387731481482</v>
      </c>
      <c r="C461" s="12" t="s">
        <v>191</v>
      </c>
      <c r="D461" s="12" t="s">
        <v>637</v>
      </c>
      <c r="E461" s="13" t="str">
        <f t="shared" si="49"/>
        <v>FR100</v>
      </c>
      <c r="F461" s="14" t="str">
        <f t="shared" si="50"/>
        <v>R7016</v>
      </c>
      <c r="G461" s="14">
        <f>+VLOOKUP(F461,[1]base!A:B,2,0)</f>
        <v>31</v>
      </c>
      <c r="H461" s="14">
        <v>53</v>
      </c>
      <c r="I461" s="14">
        <v>53</v>
      </c>
      <c r="J461" s="14"/>
      <c r="K461" s="14" t="s">
        <v>72</v>
      </c>
      <c r="L461" s="14" t="s">
        <v>638</v>
      </c>
      <c r="M461" s="14" t="s">
        <v>35</v>
      </c>
      <c r="N461" s="14">
        <v>53</v>
      </c>
      <c r="O461" s="14">
        <v>53</v>
      </c>
      <c r="P461" s="14">
        <v>0</v>
      </c>
      <c r="Q461" s="14">
        <v>53</v>
      </c>
      <c r="R461" s="14">
        <v>0</v>
      </c>
      <c r="S461" s="14"/>
      <c r="T461" s="15">
        <v>53</v>
      </c>
      <c r="U461" s="16"/>
      <c r="V461" s="17">
        <v>213</v>
      </c>
      <c r="W461" s="17">
        <f t="shared" si="51"/>
        <v>11289</v>
      </c>
      <c r="X461" s="17">
        <f t="shared" si="52"/>
        <v>587.02800000000002</v>
      </c>
      <c r="Y461" s="17">
        <v>218</v>
      </c>
      <c r="Z461" s="17">
        <f t="shared" si="53"/>
        <v>1</v>
      </c>
      <c r="AA461" s="17">
        <f t="shared" si="54"/>
        <v>6.6666666666666693E-2</v>
      </c>
      <c r="AB461" s="17">
        <f>+VLOOKUP(E461,[1]base!M:N,2,0)</f>
        <v>1365</v>
      </c>
      <c r="AC461" s="17">
        <f>+VLOOKUP(E461,[1]base!M:Q,5,0)</f>
        <v>812.5</v>
      </c>
      <c r="AD461" s="18">
        <f>+VLOOKUP(E461,[1]base!M:P,4,0)</f>
        <v>7.4576271186440682E-2</v>
      </c>
      <c r="AE461" s="19">
        <f t="shared" si="55"/>
        <v>307.70338983050846</v>
      </c>
    </row>
    <row r="462" spans="1:31" x14ac:dyDescent="0.25">
      <c r="A462" s="10" t="s">
        <v>190</v>
      </c>
      <c r="B462" s="11">
        <v>46226.387731481482</v>
      </c>
      <c r="C462" s="12" t="s">
        <v>191</v>
      </c>
      <c r="D462" s="12" t="s">
        <v>639</v>
      </c>
      <c r="E462" s="13" t="str">
        <f t="shared" si="49"/>
        <v>EC40107</v>
      </c>
      <c r="F462" s="14" t="str">
        <f t="shared" si="50"/>
        <v>R7016</v>
      </c>
      <c r="G462" s="14">
        <f>+VLOOKUP(F462,[1]base!A:B,2,0)</f>
        <v>31</v>
      </c>
      <c r="H462" s="14">
        <v>8</v>
      </c>
      <c r="I462" s="14">
        <v>8</v>
      </c>
      <c r="J462" s="14"/>
      <c r="K462" s="14" t="s">
        <v>72</v>
      </c>
      <c r="L462" s="14" t="s">
        <v>640</v>
      </c>
      <c r="M462" s="14" t="s">
        <v>35</v>
      </c>
      <c r="N462" s="14">
        <v>8</v>
      </c>
      <c r="O462" s="14">
        <v>8</v>
      </c>
      <c r="P462" s="14">
        <v>0</v>
      </c>
      <c r="Q462" s="14">
        <v>8</v>
      </c>
      <c r="R462" s="14">
        <v>0</v>
      </c>
      <c r="S462" s="14"/>
      <c r="T462" s="15">
        <v>8</v>
      </c>
      <c r="U462" s="16"/>
      <c r="V462" s="17">
        <v>225</v>
      </c>
      <c r="W462" s="17">
        <f t="shared" si="51"/>
        <v>1800</v>
      </c>
      <c r="X462" s="17">
        <f t="shared" si="52"/>
        <v>93.6</v>
      </c>
      <c r="Y462" s="17">
        <v>230</v>
      </c>
      <c r="Z462" s="17">
        <f t="shared" si="53"/>
        <v>1</v>
      </c>
      <c r="AA462" s="17">
        <f t="shared" si="54"/>
        <v>6.6666666666666693E-2</v>
      </c>
      <c r="AB462" s="17">
        <f>+VLOOKUP(E462,[1]base!M:N,2,0)</f>
        <v>5450</v>
      </c>
      <c r="AC462" s="17">
        <f>+VLOOKUP(E462,[1]base!M:Q,5,0)</f>
        <v>423</v>
      </c>
      <c r="AD462" s="18">
        <f>+VLOOKUP(E462,[1]base!M:P,4,0)</f>
        <v>5.6930264751687144E-2</v>
      </c>
      <c r="AE462" s="19">
        <f t="shared" si="55"/>
        <v>1324.7300571033049</v>
      </c>
    </row>
    <row r="463" spans="1:31" x14ac:dyDescent="0.25">
      <c r="A463" s="10" t="s">
        <v>641</v>
      </c>
      <c r="B463" s="11">
        <v>46262.468252314815</v>
      </c>
      <c r="C463" s="12" t="s">
        <v>39</v>
      </c>
      <c r="D463" s="12" t="s">
        <v>642</v>
      </c>
      <c r="E463" s="13" t="str">
        <f t="shared" si="49"/>
        <v>381/60</v>
      </c>
      <c r="F463" s="14" t="str">
        <f t="shared" si="50"/>
        <v>R7016</v>
      </c>
      <c r="G463" s="14">
        <f>+VLOOKUP(F463,[1]base!A:B,2,0)</f>
        <v>31</v>
      </c>
      <c r="H463" s="14">
        <v>1</v>
      </c>
      <c r="I463" s="14">
        <v>1</v>
      </c>
      <c r="J463" s="14"/>
      <c r="K463" s="14" t="s">
        <v>33</v>
      </c>
      <c r="L463" s="14" t="s">
        <v>643</v>
      </c>
      <c r="M463" s="14" t="s">
        <v>35</v>
      </c>
      <c r="N463" s="14">
        <v>1</v>
      </c>
      <c r="O463" s="14">
        <v>1</v>
      </c>
      <c r="P463" s="14">
        <v>0</v>
      </c>
      <c r="Q463" s="14">
        <v>0</v>
      </c>
      <c r="R463" s="14">
        <v>0</v>
      </c>
      <c r="S463" s="14"/>
      <c r="T463" s="15">
        <v>1</v>
      </c>
      <c r="U463" s="16"/>
      <c r="V463" s="17">
        <v>727</v>
      </c>
      <c r="W463" s="17">
        <f t="shared" si="51"/>
        <v>727</v>
      </c>
      <c r="X463" s="17">
        <f t="shared" si="52"/>
        <v>37.803999999999995</v>
      </c>
      <c r="Y463" s="17">
        <v>732</v>
      </c>
      <c r="Z463" s="17">
        <f t="shared" si="53"/>
        <v>1</v>
      </c>
      <c r="AA463" s="17">
        <f t="shared" si="54"/>
        <v>6.6666666666666693E-2</v>
      </c>
      <c r="AB463" s="17" t="e">
        <f>+VLOOKUP(E463,[1]base!M:N,2,0)</f>
        <v>#N/A</v>
      </c>
      <c r="AC463" s="17" t="e">
        <f>+VLOOKUP(E463,[1]base!M:Q,5,0)</f>
        <v>#N/A</v>
      </c>
      <c r="AD463" s="18" t="e">
        <f>+VLOOKUP(E463,[1]base!M:P,4,0)</f>
        <v>#N/A</v>
      </c>
      <c r="AE463" s="19" t="e">
        <f t="shared" si="55"/>
        <v>#N/A</v>
      </c>
    </row>
    <row r="464" spans="1:31" x14ac:dyDescent="0.25">
      <c r="A464" s="10" t="s">
        <v>644</v>
      </c>
      <c r="B464" s="11">
        <v>46263.292673611111</v>
      </c>
      <c r="C464" s="12" t="s">
        <v>80</v>
      </c>
      <c r="D464" s="12" t="s">
        <v>645</v>
      </c>
      <c r="E464" s="13" t="str">
        <f t="shared" si="49"/>
        <v>FSQ122</v>
      </c>
      <c r="F464" s="14" t="str">
        <f t="shared" si="50"/>
        <v>R7021</v>
      </c>
      <c r="G464" s="14">
        <f>+VLOOKUP(F464,[1]base!A:B,2,0)</f>
        <v>31.5</v>
      </c>
      <c r="H464" s="14">
        <v>1</v>
      </c>
      <c r="I464" s="14">
        <v>1</v>
      </c>
      <c r="J464" s="14"/>
      <c r="K464" s="14" t="s">
        <v>33</v>
      </c>
      <c r="L464" s="14" t="s">
        <v>646</v>
      </c>
      <c r="M464" s="14" t="s">
        <v>35</v>
      </c>
      <c r="N464" s="14">
        <v>1</v>
      </c>
      <c r="O464" s="14">
        <v>1</v>
      </c>
      <c r="P464" s="14">
        <v>0</v>
      </c>
      <c r="Q464" s="14">
        <v>0</v>
      </c>
      <c r="R464" s="14">
        <v>0</v>
      </c>
      <c r="S464" s="14"/>
      <c r="T464" s="15">
        <v>1</v>
      </c>
      <c r="U464" s="16"/>
      <c r="V464" s="17">
        <v>761</v>
      </c>
      <c r="W464" s="17">
        <f t="shared" si="51"/>
        <v>761</v>
      </c>
      <c r="X464" s="17">
        <f t="shared" si="52"/>
        <v>39.571999999999996</v>
      </c>
      <c r="Y464" s="17">
        <v>766</v>
      </c>
      <c r="Z464" s="17">
        <f t="shared" si="53"/>
        <v>1</v>
      </c>
      <c r="AA464" s="17">
        <f t="shared" si="54"/>
        <v>6.6666666666666693E-2</v>
      </c>
      <c r="AB464" s="17">
        <f>+VLOOKUP(E464,[1]base!M:N,2,0)</f>
        <v>38</v>
      </c>
      <c r="AC464" s="17">
        <f>+VLOOKUP(E464,[1]base!M:Q,5,0)</f>
        <v>23.375</v>
      </c>
      <c r="AD464" s="18">
        <f>+VLOOKUP(E464,[1]base!M:P,4,0)</f>
        <v>0</v>
      </c>
      <c r="AE464" s="19">
        <f t="shared" si="55"/>
        <v>11.4</v>
      </c>
    </row>
    <row r="465" spans="1:31" x14ac:dyDescent="0.25">
      <c r="A465" s="10" t="s">
        <v>644</v>
      </c>
      <c r="B465" s="11">
        <v>46263.292673611111</v>
      </c>
      <c r="C465" s="12" t="s">
        <v>80</v>
      </c>
      <c r="D465" s="12" t="s">
        <v>647</v>
      </c>
      <c r="E465" s="13" t="str">
        <f t="shared" si="49"/>
        <v>CSQ108</v>
      </c>
      <c r="F465" s="14" t="str">
        <f t="shared" si="50"/>
        <v>R7021</v>
      </c>
      <c r="G465" s="14">
        <f>+VLOOKUP(F465,[1]base!A:B,2,0)</f>
        <v>31.5</v>
      </c>
      <c r="H465" s="14">
        <v>4</v>
      </c>
      <c r="I465" s="14">
        <v>4</v>
      </c>
      <c r="J465" s="14"/>
      <c r="K465" s="14" t="s">
        <v>33</v>
      </c>
      <c r="L465" s="14" t="s">
        <v>648</v>
      </c>
      <c r="M465" s="14" t="s">
        <v>35</v>
      </c>
      <c r="N465" s="14">
        <v>4</v>
      </c>
      <c r="O465" s="14">
        <v>4</v>
      </c>
      <c r="P465" s="14">
        <v>0</v>
      </c>
      <c r="Q465" s="14">
        <v>0</v>
      </c>
      <c r="R465" s="14">
        <v>0</v>
      </c>
      <c r="S465" s="14"/>
      <c r="T465" s="15">
        <v>4</v>
      </c>
      <c r="U465" s="16"/>
      <c r="V465" s="17">
        <v>753</v>
      </c>
      <c r="W465" s="17">
        <f t="shared" si="51"/>
        <v>3012</v>
      </c>
      <c r="X465" s="17">
        <f t="shared" si="52"/>
        <v>156.624</v>
      </c>
      <c r="Y465" s="17">
        <v>758</v>
      </c>
      <c r="Z465" s="17">
        <f t="shared" si="53"/>
        <v>1</v>
      </c>
      <c r="AA465" s="17">
        <f t="shared" si="54"/>
        <v>6.6666666666666693E-2</v>
      </c>
      <c r="AB465" s="17">
        <f>+VLOOKUP(E465,[1]base!M:N,2,0)</f>
        <v>70</v>
      </c>
      <c r="AC465" s="17">
        <f>+VLOOKUP(E465,[1]base!M:Q,5,0)</f>
        <v>46.111111111111114</v>
      </c>
      <c r="AD465" s="18">
        <f>+VLOOKUP(E465,[1]base!M:P,4,0)</f>
        <v>0</v>
      </c>
      <c r="AE465" s="19">
        <f t="shared" si="55"/>
        <v>21</v>
      </c>
    </row>
    <row r="466" spans="1:31" x14ac:dyDescent="0.25">
      <c r="A466" s="10" t="s">
        <v>644</v>
      </c>
      <c r="B466" s="11">
        <v>46263.292673611111</v>
      </c>
      <c r="C466" s="12" t="s">
        <v>80</v>
      </c>
      <c r="D466" s="12" t="s">
        <v>649</v>
      </c>
      <c r="E466" s="13" t="str">
        <f t="shared" si="49"/>
        <v>FSQ121</v>
      </c>
      <c r="F466" s="14" t="str">
        <f t="shared" si="50"/>
        <v>R7021</v>
      </c>
      <c r="G466" s="14">
        <f>+VLOOKUP(F466,[1]base!A:B,2,0)</f>
        <v>31.5</v>
      </c>
      <c r="H466" s="14">
        <v>1</v>
      </c>
      <c r="I466" s="14">
        <v>1</v>
      </c>
      <c r="J466" s="14"/>
      <c r="K466" s="14" t="s">
        <v>33</v>
      </c>
      <c r="L466" s="14" t="s">
        <v>650</v>
      </c>
      <c r="M466" s="14" t="s">
        <v>35</v>
      </c>
      <c r="N466" s="14">
        <v>1</v>
      </c>
      <c r="O466" s="14">
        <v>1</v>
      </c>
      <c r="P466" s="14">
        <v>0</v>
      </c>
      <c r="Q466" s="14">
        <v>0</v>
      </c>
      <c r="R466" s="14">
        <v>0</v>
      </c>
      <c r="S466" s="14"/>
      <c r="T466" s="15">
        <v>1</v>
      </c>
      <c r="U466" s="16"/>
      <c r="V466" s="17">
        <v>760</v>
      </c>
      <c r="W466" s="17">
        <f t="shared" si="51"/>
        <v>760</v>
      </c>
      <c r="X466" s="17">
        <f t="shared" si="52"/>
        <v>39.519999999999996</v>
      </c>
      <c r="Y466" s="17">
        <v>765</v>
      </c>
      <c r="Z466" s="17">
        <f t="shared" si="53"/>
        <v>1</v>
      </c>
      <c r="AA466" s="17">
        <f t="shared" si="54"/>
        <v>6.6666666666666693E-2</v>
      </c>
      <c r="AB466" s="17">
        <f>+VLOOKUP(E466,[1]base!M:N,2,0)</f>
        <v>116</v>
      </c>
      <c r="AC466" s="17">
        <f>+VLOOKUP(E466,[1]base!M:Q,5,0)</f>
        <v>22.888888888888889</v>
      </c>
      <c r="AD466" s="18">
        <f>+VLOOKUP(E466,[1]base!M:P,4,0)</f>
        <v>0</v>
      </c>
      <c r="AE466" s="19">
        <f t="shared" si="55"/>
        <v>34.799999999999997</v>
      </c>
    </row>
    <row r="467" spans="1:31" x14ac:dyDescent="0.25">
      <c r="A467" s="10" t="s">
        <v>644</v>
      </c>
      <c r="B467" s="11">
        <v>46263.292673611111</v>
      </c>
      <c r="C467" s="12" t="s">
        <v>80</v>
      </c>
      <c r="D467" s="12" t="s">
        <v>651</v>
      </c>
      <c r="E467" s="13" t="str">
        <f t="shared" si="49"/>
        <v>CSQ104</v>
      </c>
      <c r="F467" s="14" t="str">
        <f t="shared" si="50"/>
        <v>R7021</v>
      </c>
      <c r="G467" s="14">
        <f>+VLOOKUP(F467,[1]base!A:B,2,0)</f>
        <v>31.5</v>
      </c>
      <c r="H467" s="14">
        <v>5</v>
      </c>
      <c r="I467" s="14">
        <v>5</v>
      </c>
      <c r="J467" s="14"/>
      <c r="K467" s="14" t="s">
        <v>33</v>
      </c>
      <c r="L467" s="14" t="s">
        <v>652</v>
      </c>
      <c r="M467" s="14" t="s">
        <v>35</v>
      </c>
      <c r="N467" s="14">
        <v>5</v>
      </c>
      <c r="O467" s="14">
        <v>5</v>
      </c>
      <c r="P467" s="14">
        <v>0</v>
      </c>
      <c r="Q467" s="14">
        <v>0</v>
      </c>
      <c r="R467" s="14">
        <v>0</v>
      </c>
      <c r="S467" s="14"/>
      <c r="T467" s="15">
        <v>5</v>
      </c>
      <c r="U467" s="16"/>
      <c r="V467" s="17">
        <v>750</v>
      </c>
      <c r="W467" s="17">
        <f t="shared" si="51"/>
        <v>3750</v>
      </c>
      <c r="X467" s="17">
        <f t="shared" si="52"/>
        <v>195</v>
      </c>
      <c r="Y467" s="17">
        <v>755</v>
      </c>
      <c r="Z467" s="17">
        <f t="shared" si="53"/>
        <v>1</v>
      </c>
      <c r="AA467" s="17">
        <f t="shared" si="54"/>
        <v>6.6666666666666693E-2</v>
      </c>
      <c r="AB467" s="17">
        <f>+VLOOKUP(E467,[1]base!M:N,2,0)</f>
        <v>183</v>
      </c>
      <c r="AC467" s="17">
        <f>+VLOOKUP(E467,[1]base!M:Q,5,0)</f>
        <v>230.63636363636363</v>
      </c>
      <c r="AD467" s="18">
        <f>+VLOOKUP(E467,[1]base!M:P,4,0)</f>
        <v>3.6842105263157891E-2</v>
      </c>
      <c r="AE467" s="19">
        <f t="shared" si="55"/>
        <v>48.157894736842103</v>
      </c>
    </row>
    <row r="468" spans="1:31" x14ac:dyDescent="0.25">
      <c r="A468" s="10" t="s">
        <v>644</v>
      </c>
      <c r="B468" s="11">
        <v>46263.292673611111</v>
      </c>
      <c r="C468" s="12" t="s">
        <v>80</v>
      </c>
      <c r="D468" s="12" t="s">
        <v>653</v>
      </c>
      <c r="E468" s="13" t="str">
        <f t="shared" si="49"/>
        <v>FSQ403</v>
      </c>
      <c r="F468" s="14" t="str">
        <f t="shared" si="50"/>
        <v>R7021</v>
      </c>
      <c r="G468" s="14">
        <f>+VLOOKUP(F468,[1]base!A:B,2,0)</f>
        <v>31.5</v>
      </c>
      <c r="H468" s="14">
        <v>2</v>
      </c>
      <c r="I468" s="14">
        <v>2</v>
      </c>
      <c r="J468" s="14"/>
      <c r="K468" s="14" t="s">
        <v>33</v>
      </c>
      <c r="L468" s="14" t="s">
        <v>654</v>
      </c>
      <c r="M468" s="14" t="s">
        <v>35</v>
      </c>
      <c r="N468" s="14">
        <v>2</v>
      </c>
      <c r="O468" s="14">
        <v>2</v>
      </c>
      <c r="P468" s="14">
        <v>0</v>
      </c>
      <c r="Q468" s="14">
        <v>0</v>
      </c>
      <c r="R468" s="14">
        <v>0</v>
      </c>
      <c r="S468" s="14"/>
      <c r="T468" s="15">
        <v>2</v>
      </c>
      <c r="U468" s="16"/>
      <c r="V468" s="17">
        <v>762</v>
      </c>
      <c r="W468" s="17">
        <f t="shared" si="51"/>
        <v>1524</v>
      </c>
      <c r="X468" s="17">
        <f t="shared" si="52"/>
        <v>79.24799999999999</v>
      </c>
      <c r="Y468" s="17">
        <v>767</v>
      </c>
      <c r="Z468" s="17">
        <f t="shared" si="53"/>
        <v>1</v>
      </c>
      <c r="AA468" s="17">
        <f t="shared" si="54"/>
        <v>6.6666666666666693E-2</v>
      </c>
      <c r="AB468" s="17">
        <f>+VLOOKUP(E468,[1]base!M:N,2,0)</f>
        <v>326</v>
      </c>
      <c r="AC468" s="17">
        <f>+VLOOKUP(E468,[1]base!M:Q,5,0)</f>
        <v>95.666666666666671</v>
      </c>
      <c r="AD468" s="18">
        <f>+VLOOKUP(E468,[1]base!M:P,4,0)</f>
        <v>3.0581039755351682E-3</v>
      </c>
      <c r="AE468" s="19">
        <f t="shared" si="55"/>
        <v>96.80305810397553</v>
      </c>
    </row>
    <row r="469" spans="1:31" x14ac:dyDescent="0.25">
      <c r="A469" s="10" t="s">
        <v>644</v>
      </c>
      <c r="B469" s="11">
        <v>46263.292673611111</v>
      </c>
      <c r="C469" s="12" t="s">
        <v>80</v>
      </c>
      <c r="D469" s="12" t="s">
        <v>655</v>
      </c>
      <c r="E469" s="13" t="str">
        <f t="shared" si="49"/>
        <v>CSQ105</v>
      </c>
      <c r="F469" s="14" t="str">
        <f t="shared" si="50"/>
        <v>R7021</v>
      </c>
      <c r="G469" s="14">
        <f>+VLOOKUP(F469,[1]base!A:B,2,0)</f>
        <v>31.5</v>
      </c>
      <c r="H469" s="14">
        <v>5</v>
      </c>
      <c r="I469" s="14">
        <v>5</v>
      </c>
      <c r="J469" s="14"/>
      <c r="K469" s="14" t="s">
        <v>33</v>
      </c>
      <c r="L469" s="14" t="s">
        <v>656</v>
      </c>
      <c r="M469" s="14" t="s">
        <v>35</v>
      </c>
      <c r="N469" s="14">
        <v>5</v>
      </c>
      <c r="O469" s="14">
        <v>5</v>
      </c>
      <c r="P469" s="14">
        <v>0</v>
      </c>
      <c r="Q469" s="14">
        <v>0</v>
      </c>
      <c r="R469" s="14">
        <v>0</v>
      </c>
      <c r="S469" s="14"/>
      <c r="T469" s="15">
        <v>5</v>
      </c>
      <c r="U469" s="16"/>
      <c r="V469" s="17">
        <v>751</v>
      </c>
      <c r="W469" s="17">
        <f t="shared" si="51"/>
        <v>3755</v>
      </c>
      <c r="X469" s="17">
        <f t="shared" si="52"/>
        <v>195.26</v>
      </c>
      <c r="Y469" s="17">
        <v>756</v>
      </c>
      <c r="Z469" s="17">
        <f t="shared" si="53"/>
        <v>1</v>
      </c>
      <c r="AA469" s="17">
        <f t="shared" si="54"/>
        <v>6.6666666666666693E-2</v>
      </c>
      <c r="AB469" s="17">
        <f>+VLOOKUP(E469,[1]base!M:N,2,0)</f>
        <v>404</v>
      </c>
      <c r="AC469" s="17">
        <f>+VLOOKUP(E469,[1]base!M:Q,5,0)</f>
        <v>233</v>
      </c>
      <c r="AD469" s="18">
        <f>+VLOOKUP(E469,[1]base!M:P,4,0)</f>
        <v>9.8039215686274508E-3</v>
      </c>
      <c r="AE469" s="19">
        <f t="shared" si="55"/>
        <v>117.23921568627449</v>
      </c>
    </row>
    <row r="470" spans="1:31" x14ac:dyDescent="0.25">
      <c r="A470" s="10" t="s">
        <v>644</v>
      </c>
      <c r="B470" s="11">
        <v>46263.292673611111</v>
      </c>
      <c r="C470" s="12" t="s">
        <v>80</v>
      </c>
      <c r="D470" s="12" t="s">
        <v>657</v>
      </c>
      <c r="E470" s="13" t="str">
        <f t="shared" si="49"/>
        <v>CSQ210</v>
      </c>
      <c r="F470" s="14" t="str">
        <f t="shared" si="50"/>
        <v>R7021</v>
      </c>
      <c r="G470" s="14">
        <f>+VLOOKUP(F470,[1]base!A:B,2,0)</f>
        <v>31.5</v>
      </c>
      <c r="H470" s="14">
        <v>5</v>
      </c>
      <c r="I470" s="14">
        <v>5</v>
      </c>
      <c r="J470" s="14"/>
      <c r="K470" s="14" t="s">
        <v>33</v>
      </c>
      <c r="L470" s="14" t="s">
        <v>658</v>
      </c>
      <c r="M470" s="14" t="s">
        <v>35</v>
      </c>
      <c r="N470" s="14">
        <v>5</v>
      </c>
      <c r="O470" s="14">
        <v>5</v>
      </c>
      <c r="P470" s="14">
        <v>0</v>
      </c>
      <c r="Q470" s="14">
        <v>0</v>
      </c>
      <c r="R470" s="14">
        <v>0</v>
      </c>
      <c r="S470" s="14"/>
      <c r="T470" s="15">
        <v>5</v>
      </c>
      <c r="U470" s="16"/>
      <c r="V470" s="17">
        <v>757</v>
      </c>
      <c r="W470" s="17">
        <f t="shared" si="51"/>
        <v>3785</v>
      </c>
      <c r="X470" s="17">
        <f t="shared" si="52"/>
        <v>196.82</v>
      </c>
      <c r="Y470" s="17">
        <v>762</v>
      </c>
      <c r="Z470" s="17">
        <f t="shared" si="53"/>
        <v>1</v>
      </c>
      <c r="AA470" s="17">
        <f t="shared" si="54"/>
        <v>6.6666666666666693E-2</v>
      </c>
      <c r="AB470" s="17">
        <f>+VLOOKUP(E470,[1]base!M:N,2,0)</f>
        <v>451</v>
      </c>
      <c r="AC470" s="17">
        <f>+VLOOKUP(E470,[1]base!M:Q,5,0)</f>
        <v>19</v>
      </c>
      <c r="AD470" s="18">
        <f>+VLOOKUP(E470,[1]base!M:P,4,0)</f>
        <v>2.2123893805309734E-3</v>
      </c>
      <c r="AE470" s="19">
        <f t="shared" si="55"/>
        <v>134.30221238938051</v>
      </c>
    </row>
    <row r="471" spans="1:31" x14ac:dyDescent="0.25">
      <c r="A471" s="10" t="s">
        <v>644</v>
      </c>
      <c r="B471" s="11">
        <v>46263.292673611111</v>
      </c>
      <c r="C471" s="12" t="s">
        <v>80</v>
      </c>
      <c r="D471" s="12" t="s">
        <v>659</v>
      </c>
      <c r="E471" s="13" t="str">
        <f t="shared" si="49"/>
        <v>FSQ401</v>
      </c>
      <c r="F471" s="14" t="str">
        <f t="shared" si="50"/>
        <v>R7021</v>
      </c>
      <c r="G471" s="14">
        <f>+VLOOKUP(F471,[1]base!A:B,2,0)</f>
        <v>31.5</v>
      </c>
      <c r="H471" s="14">
        <v>4</v>
      </c>
      <c r="I471" s="14">
        <v>4</v>
      </c>
      <c r="J471" s="14"/>
      <c r="K471" s="14" t="s">
        <v>33</v>
      </c>
      <c r="L471" s="14" t="s">
        <v>660</v>
      </c>
      <c r="M471" s="14" t="s">
        <v>35</v>
      </c>
      <c r="N471" s="14">
        <v>4</v>
      </c>
      <c r="O471" s="14">
        <v>4</v>
      </c>
      <c r="P471" s="14">
        <v>0</v>
      </c>
      <c r="Q471" s="14">
        <v>0</v>
      </c>
      <c r="R471" s="14">
        <v>0</v>
      </c>
      <c r="S471" s="14"/>
      <c r="T471" s="15">
        <v>4</v>
      </c>
      <c r="U471" s="16"/>
      <c r="V471" s="17">
        <v>763</v>
      </c>
      <c r="W471" s="17">
        <f t="shared" si="51"/>
        <v>3052</v>
      </c>
      <c r="X471" s="17">
        <f t="shared" si="52"/>
        <v>158.70399999999998</v>
      </c>
      <c r="Y471" s="17">
        <v>768</v>
      </c>
      <c r="Z471" s="17">
        <f t="shared" si="53"/>
        <v>1</v>
      </c>
      <c r="AA471" s="17">
        <f t="shared" si="54"/>
        <v>6.6666666666666693E-2</v>
      </c>
      <c r="AB471" s="17">
        <f>+VLOOKUP(E471,[1]base!M:N,2,0)</f>
        <v>768</v>
      </c>
      <c r="AC471" s="17">
        <f>+VLOOKUP(E471,[1]base!M:Q,5,0)</f>
        <v>104.18181818181819</v>
      </c>
      <c r="AD471" s="18">
        <f>+VLOOKUP(E471,[1]base!M:P,4,0)</f>
        <v>2.5974025974025974E-3</v>
      </c>
      <c r="AE471" s="19">
        <f t="shared" si="55"/>
        <v>228.40519480519481</v>
      </c>
    </row>
    <row r="472" spans="1:31" x14ac:dyDescent="0.25">
      <c r="A472" s="10" t="s">
        <v>644</v>
      </c>
      <c r="B472" s="11">
        <v>46263.292673611111</v>
      </c>
      <c r="C472" s="12" t="s">
        <v>80</v>
      </c>
      <c r="D472" s="12" t="s">
        <v>661</v>
      </c>
      <c r="E472" s="13" t="str">
        <f t="shared" si="49"/>
        <v>CSQ203</v>
      </c>
      <c r="F472" s="14" t="str">
        <f t="shared" si="50"/>
        <v>R7021</v>
      </c>
      <c r="G472" s="14">
        <f>+VLOOKUP(F472,[1]base!A:B,2,0)</f>
        <v>31.5</v>
      </c>
      <c r="H472" s="14">
        <v>10</v>
      </c>
      <c r="I472" s="14">
        <v>10</v>
      </c>
      <c r="J472" s="14"/>
      <c r="K472" s="14" t="s">
        <v>33</v>
      </c>
      <c r="L472" s="14" t="s">
        <v>662</v>
      </c>
      <c r="M472" s="14" t="s">
        <v>35</v>
      </c>
      <c r="N472" s="14">
        <v>10</v>
      </c>
      <c r="O472" s="14">
        <v>10</v>
      </c>
      <c r="P472" s="14">
        <v>0</v>
      </c>
      <c r="Q472" s="14">
        <v>0</v>
      </c>
      <c r="R472" s="14">
        <v>0</v>
      </c>
      <c r="S472" s="14"/>
      <c r="T472" s="15">
        <v>10</v>
      </c>
      <c r="U472" s="16"/>
      <c r="V472" s="17">
        <v>767</v>
      </c>
      <c r="W472" s="17">
        <f t="shared" si="51"/>
        <v>7670</v>
      </c>
      <c r="X472" s="17">
        <f t="shared" si="52"/>
        <v>398.84</v>
      </c>
      <c r="Y472" s="17">
        <v>772</v>
      </c>
      <c r="Z472" s="17">
        <f t="shared" si="53"/>
        <v>1</v>
      </c>
      <c r="AA472" s="17">
        <f t="shared" si="54"/>
        <v>6.6666666666666693E-2</v>
      </c>
      <c r="AB472" s="17">
        <f>+VLOOKUP(E472,[1]base!M:N,2,0)</f>
        <v>938</v>
      </c>
      <c r="AC472" s="17">
        <f>+VLOOKUP(E472,[1]base!M:Q,5,0)</f>
        <v>53.2</v>
      </c>
      <c r="AD472" s="18">
        <f>+VLOOKUP(E472,[1]base!M:P,4,0)</f>
        <v>1.0649627263045794E-3</v>
      </c>
      <c r="AE472" s="19">
        <f t="shared" si="55"/>
        <v>280.40106496272631</v>
      </c>
    </row>
    <row r="473" spans="1:31" x14ac:dyDescent="0.25">
      <c r="A473" s="10" t="s">
        <v>644</v>
      </c>
      <c r="B473" s="11">
        <v>46263.292673611111</v>
      </c>
      <c r="C473" s="12" t="s">
        <v>80</v>
      </c>
      <c r="D473" s="12" t="s">
        <v>663</v>
      </c>
      <c r="E473" s="13" t="str">
        <f t="shared" si="49"/>
        <v>FSQ111</v>
      </c>
      <c r="F473" s="14" t="str">
        <f t="shared" si="50"/>
        <v>R7021</v>
      </c>
      <c r="G473" s="14">
        <f>+VLOOKUP(F473,[1]base!A:B,2,0)</f>
        <v>31.5</v>
      </c>
      <c r="H473" s="14">
        <v>6</v>
      </c>
      <c r="I473" s="14">
        <v>6</v>
      </c>
      <c r="J473" s="14"/>
      <c r="K473" s="14" t="s">
        <v>33</v>
      </c>
      <c r="L473" s="14" t="s">
        <v>664</v>
      </c>
      <c r="M473" s="14" t="s">
        <v>35</v>
      </c>
      <c r="N473" s="14">
        <v>6</v>
      </c>
      <c r="O473" s="14">
        <v>6</v>
      </c>
      <c r="P473" s="14">
        <v>0</v>
      </c>
      <c r="Q473" s="14">
        <v>0</v>
      </c>
      <c r="R473" s="14">
        <v>0</v>
      </c>
      <c r="S473" s="14"/>
      <c r="T473" s="15">
        <v>6</v>
      </c>
      <c r="U473" s="16"/>
      <c r="V473" s="17">
        <v>759</v>
      </c>
      <c r="W473" s="17">
        <f t="shared" si="51"/>
        <v>4554</v>
      </c>
      <c r="X473" s="17">
        <f t="shared" si="52"/>
        <v>236.80799999999999</v>
      </c>
      <c r="Y473" s="17">
        <v>764</v>
      </c>
      <c r="Z473" s="17">
        <f t="shared" si="53"/>
        <v>1</v>
      </c>
      <c r="AA473" s="17">
        <f t="shared" si="54"/>
        <v>6.6666666666666693E-2</v>
      </c>
      <c r="AB473" s="17">
        <f>+VLOOKUP(E473,[1]base!M:N,2,0)</f>
        <v>999</v>
      </c>
      <c r="AC473" s="17">
        <f>+VLOOKUP(E473,[1]base!M:Q,5,0)</f>
        <v>103.33333333333333</v>
      </c>
      <c r="AD473" s="18">
        <f>+VLOOKUP(E473,[1]base!M:P,4,0)</f>
        <v>2.9940119760479044E-3</v>
      </c>
      <c r="AE473" s="19">
        <f t="shared" si="55"/>
        <v>296.7089820359281</v>
      </c>
    </row>
    <row r="474" spans="1:31" x14ac:dyDescent="0.25">
      <c r="A474" s="10" t="s">
        <v>644</v>
      </c>
      <c r="B474" s="11">
        <v>46263.292673611111</v>
      </c>
      <c r="C474" s="12" t="s">
        <v>80</v>
      </c>
      <c r="D474" s="12" t="s">
        <v>665</v>
      </c>
      <c r="E474" s="13" t="str">
        <f t="shared" si="49"/>
        <v>CSQ103</v>
      </c>
      <c r="F474" s="14" t="str">
        <f t="shared" si="50"/>
        <v>R7021</v>
      </c>
      <c r="G474" s="14">
        <f>+VLOOKUP(F474,[1]base!A:B,2,0)</f>
        <v>31.5</v>
      </c>
      <c r="H474" s="14">
        <v>5</v>
      </c>
      <c r="I474" s="14">
        <v>5</v>
      </c>
      <c r="J474" s="14"/>
      <c r="K474" s="14" t="s">
        <v>33</v>
      </c>
      <c r="L474" s="14" t="s">
        <v>666</v>
      </c>
      <c r="M474" s="14" t="s">
        <v>35</v>
      </c>
      <c r="N474" s="14">
        <v>5</v>
      </c>
      <c r="O474" s="14">
        <v>5</v>
      </c>
      <c r="P474" s="14">
        <v>0</v>
      </c>
      <c r="Q474" s="14">
        <v>0</v>
      </c>
      <c r="R474" s="14">
        <v>0</v>
      </c>
      <c r="S474" s="14"/>
      <c r="T474" s="15">
        <v>5</v>
      </c>
      <c r="U474" s="16"/>
      <c r="V474" s="17">
        <v>754</v>
      </c>
      <c r="W474" s="17">
        <f t="shared" si="51"/>
        <v>3770</v>
      </c>
      <c r="X474" s="17">
        <f t="shared" si="52"/>
        <v>196.04</v>
      </c>
      <c r="Y474" s="17">
        <v>759</v>
      </c>
      <c r="Z474" s="17">
        <f t="shared" si="53"/>
        <v>1</v>
      </c>
      <c r="AA474" s="17">
        <f t="shared" si="54"/>
        <v>6.6666666666666693E-2</v>
      </c>
      <c r="AB474" s="17">
        <f>+VLOOKUP(E474,[1]base!M:N,2,0)</f>
        <v>1535</v>
      </c>
      <c r="AC474" s="17">
        <f>+VLOOKUP(E474,[1]base!M:Q,5,0)</f>
        <v>153</v>
      </c>
      <c r="AD474" s="18">
        <f>+VLOOKUP(E474,[1]base!M:P,4,0)</f>
        <v>2.5990903183885639E-3</v>
      </c>
      <c r="AE474" s="19">
        <f t="shared" si="55"/>
        <v>456.51039636127354</v>
      </c>
    </row>
    <row r="475" spans="1:31" x14ac:dyDescent="0.25">
      <c r="A475" s="10" t="s">
        <v>644</v>
      </c>
      <c r="B475" s="11">
        <v>46263.292673611111</v>
      </c>
      <c r="C475" s="12" t="s">
        <v>80</v>
      </c>
      <c r="D475" s="12" t="s">
        <v>667</v>
      </c>
      <c r="E475" s="13" t="str">
        <f t="shared" si="49"/>
        <v>LM-S758</v>
      </c>
      <c r="F475" s="14" t="str">
        <f t="shared" si="50"/>
        <v>R7021</v>
      </c>
      <c r="G475" s="14">
        <f>+VLOOKUP(F475,[1]base!A:B,2,0)</f>
        <v>31.5</v>
      </c>
      <c r="H475" s="14">
        <v>45</v>
      </c>
      <c r="I475" s="14">
        <v>45</v>
      </c>
      <c r="J475" s="14"/>
      <c r="K475" s="14" t="s">
        <v>33</v>
      </c>
      <c r="L475" s="14" t="s">
        <v>668</v>
      </c>
      <c r="M475" s="14" t="s">
        <v>35</v>
      </c>
      <c r="N475" s="14">
        <v>45</v>
      </c>
      <c r="O475" s="14">
        <v>45</v>
      </c>
      <c r="P475" s="14">
        <v>0</v>
      </c>
      <c r="Q475" s="14">
        <v>0</v>
      </c>
      <c r="R475" s="14">
        <v>0</v>
      </c>
      <c r="S475" s="14"/>
      <c r="T475" s="15">
        <v>45</v>
      </c>
      <c r="U475" s="16"/>
      <c r="V475" s="17">
        <v>768</v>
      </c>
      <c r="W475" s="17">
        <f t="shared" si="51"/>
        <v>34560</v>
      </c>
      <c r="X475" s="17">
        <f t="shared" si="52"/>
        <v>1797.12</v>
      </c>
      <c r="Y475" s="17">
        <v>773</v>
      </c>
      <c r="Z475" s="17">
        <f t="shared" si="53"/>
        <v>1</v>
      </c>
      <c r="AA475" s="17">
        <f t="shared" si="54"/>
        <v>6.6666666666666693E-2</v>
      </c>
      <c r="AB475" s="17">
        <f>+VLOOKUP(E475,[1]base!M:N,2,0)</f>
        <v>1989</v>
      </c>
      <c r="AC475" s="17">
        <f>+VLOOKUP(E475,[1]base!M:Q,5,0)</f>
        <v>1750.6</v>
      </c>
      <c r="AD475" s="18">
        <f>+VLOOKUP(E475,[1]base!M:P,4,0)</f>
        <v>3.3527696793002916E-2</v>
      </c>
      <c r="AE475" s="19">
        <f t="shared" si="55"/>
        <v>530.01341107871713</v>
      </c>
    </row>
    <row r="476" spans="1:31" x14ac:dyDescent="0.25">
      <c r="A476" s="10" t="s">
        <v>644</v>
      </c>
      <c r="B476" s="11">
        <v>46263.292673611111</v>
      </c>
      <c r="C476" s="12" t="s">
        <v>80</v>
      </c>
      <c r="D476" s="12" t="s">
        <v>669</v>
      </c>
      <c r="E476" s="13" t="str">
        <f t="shared" si="49"/>
        <v>CSQ301</v>
      </c>
      <c r="F476" s="14" t="str">
        <f t="shared" si="50"/>
        <v>R7021</v>
      </c>
      <c r="G476" s="14">
        <f>+VLOOKUP(F476,[1]base!A:B,2,0)</f>
        <v>31.5</v>
      </c>
      <c r="H476" s="14">
        <v>25</v>
      </c>
      <c r="I476" s="14">
        <v>25</v>
      </c>
      <c r="J476" s="14"/>
      <c r="K476" s="14" t="s">
        <v>33</v>
      </c>
      <c r="L476" s="14" t="s">
        <v>670</v>
      </c>
      <c r="M476" s="14" t="s">
        <v>35</v>
      </c>
      <c r="N476" s="14">
        <v>25</v>
      </c>
      <c r="O476" s="14">
        <v>25</v>
      </c>
      <c r="P476" s="14">
        <v>0</v>
      </c>
      <c r="Q476" s="14">
        <v>0</v>
      </c>
      <c r="R476" s="14">
        <v>0</v>
      </c>
      <c r="S476" s="14"/>
      <c r="T476" s="15">
        <v>25</v>
      </c>
      <c r="U476" s="16"/>
      <c r="V476" s="17">
        <v>756</v>
      </c>
      <c r="W476" s="17">
        <f t="shared" si="51"/>
        <v>18900</v>
      </c>
      <c r="X476" s="17">
        <f t="shared" si="52"/>
        <v>982.8</v>
      </c>
      <c r="Y476" s="17">
        <v>761</v>
      </c>
      <c r="Z476" s="17">
        <f t="shared" si="53"/>
        <v>1</v>
      </c>
      <c r="AA476" s="17">
        <f t="shared" si="54"/>
        <v>6.6666666666666693E-2</v>
      </c>
      <c r="AB476" s="17">
        <f>+VLOOKUP(E476,[1]base!M:N,2,0)</f>
        <v>2616</v>
      </c>
      <c r="AC476" s="17">
        <f>+VLOOKUP(E476,[1]base!M:Q,5,0)</f>
        <v>82.777777777777771</v>
      </c>
      <c r="AD476" s="18">
        <f>+VLOOKUP(E476,[1]base!M:P,4,0)</f>
        <v>7.9635949943117172E-3</v>
      </c>
      <c r="AE476" s="19">
        <f t="shared" si="55"/>
        <v>763.96723549488058</v>
      </c>
    </row>
    <row r="477" spans="1:31" x14ac:dyDescent="0.25">
      <c r="A477" s="10" t="s">
        <v>644</v>
      </c>
      <c r="B477" s="11">
        <v>46263.292673611111</v>
      </c>
      <c r="C477" s="12" t="s">
        <v>80</v>
      </c>
      <c r="D477" s="12" t="s">
        <v>671</v>
      </c>
      <c r="E477" s="13" t="str">
        <f t="shared" si="49"/>
        <v>LM-F/6</v>
      </c>
      <c r="F477" s="14" t="str">
        <f t="shared" si="50"/>
        <v>R7021</v>
      </c>
      <c r="G477" s="14">
        <f>+VLOOKUP(F477,[1]base!A:B,2,0)</f>
        <v>31.5</v>
      </c>
      <c r="H477" s="14">
        <v>8</v>
      </c>
      <c r="I477" s="14">
        <v>8</v>
      </c>
      <c r="J477" s="14"/>
      <c r="K477" s="14" t="s">
        <v>33</v>
      </c>
      <c r="L477" s="14" t="s">
        <v>672</v>
      </c>
      <c r="M477" s="14" t="s">
        <v>35</v>
      </c>
      <c r="N477" s="14">
        <v>8</v>
      </c>
      <c r="O477" s="14">
        <v>8</v>
      </c>
      <c r="P477" s="14">
        <v>0</v>
      </c>
      <c r="Q477" s="14">
        <v>0</v>
      </c>
      <c r="R477" s="14">
        <v>0</v>
      </c>
      <c r="S477" s="14"/>
      <c r="T477" s="15">
        <v>8</v>
      </c>
      <c r="U477" s="16"/>
      <c r="V477" s="17">
        <v>765</v>
      </c>
      <c r="W477" s="17">
        <f t="shared" si="51"/>
        <v>6120</v>
      </c>
      <c r="X477" s="17">
        <f t="shared" si="52"/>
        <v>318.24</v>
      </c>
      <c r="Y477" s="17">
        <v>770</v>
      </c>
      <c r="Z477" s="17">
        <f t="shared" si="53"/>
        <v>1</v>
      </c>
      <c r="AA477" s="17">
        <f t="shared" si="54"/>
        <v>6.6666666666666693E-2</v>
      </c>
      <c r="AB477" s="17">
        <f>+VLOOKUP(E477,[1]base!M:N,2,0)</f>
        <v>4160</v>
      </c>
      <c r="AC477" s="17">
        <f>+VLOOKUP(E477,[1]base!M:Q,5,0)</f>
        <v>1927.6</v>
      </c>
      <c r="AD477" s="18">
        <f>+VLOOKUP(E477,[1]base!M:P,4,0)</f>
        <v>-4.4379084967320264</v>
      </c>
      <c r="AE477" s="19">
        <f t="shared" si="55"/>
        <v>19709.699346405228</v>
      </c>
    </row>
    <row r="478" spans="1:31" x14ac:dyDescent="0.25">
      <c r="A478" s="10" t="s">
        <v>644</v>
      </c>
      <c r="B478" s="11">
        <v>46263.292673611111</v>
      </c>
      <c r="C478" s="12" t="s">
        <v>80</v>
      </c>
      <c r="D478" s="12" t="s">
        <v>673</v>
      </c>
      <c r="E478" s="13" t="str">
        <f t="shared" si="49"/>
        <v>LM-757</v>
      </c>
      <c r="F478" s="14" t="str">
        <f t="shared" si="50"/>
        <v>R7021</v>
      </c>
      <c r="G478" s="14">
        <f>+VLOOKUP(F478,[1]base!A:B,2,0)</f>
        <v>31.5</v>
      </c>
      <c r="H478" s="14">
        <v>220</v>
      </c>
      <c r="I478" s="14">
        <v>220</v>
      </c>
      <c r="J478" s="14"/>
      <c r="K478" s="14" t="s">
        <v>33</v>
      </c>
      <c r="L478" s="14" t="s">
        <v>674</v>
      </c>
      <c r="M478" s="14" t="s">
        <v>35</v>
      </c>
      <c r="N478" s="14">
        <v>220</v>
      </c>
      <c r="O478" s="14">
        <v>220</v>
      </c>
      <c r="P478" s="14">
        <v>0</v>
      </c>
      <c r="Q478" s="14">
        <v>0</v>
      </c>
      <c r="R478" s="14">
        <v>0</v>
      </c>
      <c r="S478" s="14"/>
      <c r="T478" s="15">
        <v>220</v>
      </c>
      <c r="U478" s="16"/>
      <c r="V478" s="17">
        <v>764</v>
      </c>
      <c r="W478" s="17">
        <f t="shared" si="51"/>
        <v>168080</v>
      </c>
      <c r="X478" s="17">
        <f t="shared" si="52"/>
        <v>8740.16</v>
      </c>
      <c r="Y478" s="17">
        <v>769</v>
      </c>
      <c r="Z478" s="17">
        <f t="shared" si="53"/>
        <v>1</v>
      </c>
      <c r="AA478" s="17">
        <f t="shared" si="54"/>
        <v>6.6666666666666693E-2</v>
      </c>
      <c r="AB478" s="17">
        <f>+VLOOKUP(E478,[1]base!M:N,2,0)</f>
        <v>26981</v>
      </c>
      <c r="AC478" s="17">
        <f>+VLOOKUP(E478,[1]base!M:Q,5,0)</f>
        <v>13391.545454545454</v>
      </c>
      <c r="AD478" s="18">
        <f>+VLOOKUP(E478,[1]base!M:P,4,0)</f>
        <v>1.1467721843628636E-2</v>
      </c>
      <c r="AE478" s="19">
        <f t="shared" si="55"/>
        <v>7784.8893969370547</v>
      </c>
    </row>
    <row r="479" spans="1:31" x14ac:dyDescent="0.25">
      <c r="A479" s="10" t="s">
        <v>675</v>
      </c>
      <c r="B479" s="11">
        <v>46266.397581018522</v>
      </c>
      <c r="C479" s="12" t="s">
        <v>39</v>
      </c>
      <c r="D479" s="12" t="s">
        <v>676</v>
      </c>
      <c r="E479" s="13" t="str">
        <f t="shared" si="49"/>
        <v>FR112</v>
      </c>
      <c r="F479" s="14" t="str">
        <f t="shared" si="50"/>
        <v>R5015</v>
      </c>
      <c r="G479" s="14">
        <f>+VLOOKUP(F479,[1]base!A:B,2,0)</f>
        <v>36.5</v>
      </c>
      <c r="H479" s="14">
        <v>1</v>
      </c>
      <c r="I479" s="14">
        <v>1</v>
      </c>
      <c r="J479" s="14"/>
      <c r="K479" s="14" t="s">
        <v>33</v>
      </c>
      <c r="L479" s="14" t="s">
        <v>677</v>
      </c>
      <c r="M479" s="14" t="s">
        <v>35</v>
      </c>
      <c r="N479" s="14">
        <v>1</v>
      </c>
      <c r="O479" s="14">
        <v>1</v>
      </c>
      <c r="P479" s="14">
        <v>0</v>
      </c>
      <c r="Q479" s="14">
        <v>0</v>
      </c>
      <c r="R479" s="14">
        <v>0</v>
      </c>
      <c r="S479" s="14"/>
      <c r="T479" s="15">
        <v>1</v>
      </c>
      <c r="U479" s="16"/>
      <c r="V479" s="17">
        <v>873</v>
      </c>
      <c r="W479" s="17">
        <f t="shared" si="51"/>
        <v>873</v>
      </c>
      <c r="X479" s="17">
        <f t="shared" si="52"/>
        <v>45.396000000000001</v>
      </c>
      <c r="Y479" s="17">
        <v>878</v>
      </c>
      <c r="Z479" s="17">
        <f t="shared" si="53"/>
        <v>1</v>
      </c>
      <c r="AA479" s="17">
        <f t="shared" si="54"/>
        <v>6.6666666666666693E-2</v>
      </c>
      <c r="AB479" s="17">
        <f>+VLOOKUP(E479,[1]base!M:N,2,0)</f>
        <v>205</v>
      </c>
      <c r="AC479" s="17">
        <f>+VLOOKUP(E479,[1]base!M:Q,5,0)</f>
        <v>110.9</v>
      </c>
      <c r="AD479" s="18">
        <f>+VLOOKUP(E479,[1]base!M:P,4,0)</f>
        <v>0.12393162393162394</v>
      </c>
      <c r="AE479" s="19">
        <f t="shared" si="55"/>
        <v>36.09401709401709</v>
      </c>
    </row>
    <row r="480" spans="1:31" x14ac:dyDescent="0.25">
      <c r="A480" s="10" t="s">
        <v>675</v>
      </c>
      <c r="B480" s="11">
        <v>46266.397581018522</v>
      </c>
      <c r="C480" s="12" t="s">
        <v>39</v>
      </c>
      <c r="D480" s="12" t="s">
        <v>678</v>
      </c>
      <c r="E480" s="13" t="str">
        <f t="shared" si="49"/>
        <v>FR404</v>
      </c>
      <c r="F480" s="14" t="str">
        <f t="shared" si="50"/>
        <v>R5015</v>
      </c>
      <c r="G480" s="14">
        <f>+VLOOKUP(F480,[1]base!A:B,2,0)</f>
        <v>36.5</v>
      </c>
      <c r="H480" s="14">
        <v>8</v>
      </c>
      <c r="I480" s="14">
        <v>8</v>
      </c>
      <c r="J480" s="14"/>
      <c r="K480" s="14" t="s">
        <v>33</v>
      </c>
      <c r="L480" s="14" t="s">
        <v>679</v>
      </c>
      <c r="M480" s="14" t="s">
        <v>35</v>
      </c>
      <c r="N480" s="14">
        <v>8</v>
      </c>
      <c r="O480" s="14">
        <v>8</v>
      </c>
      <c r="P480" s="14">
        <v>0</v>
      </c>
      <c r="Q480" s="14">
        <v>0</v>
      </c>
      <c r="R480" s="14">
        <v>0</v>
      </c>
      <c r="S480" s="14"/>
      <c r="T480" s="15">
        <v>8</v>
      </c>
      <c r="U480" s="16"/>
      <c r="V480" s="17">
        <v>868</v>
      </c>
      <c r="W480" s="17">
        <f t="shared" si="51"/>
        <v>6944</v>
      </c>
      <c r="X480" s="17">
        <f t="shared" si="52"/>
        <v>361.08799999999997</v>
      </c>
      <c r="Y480" s="17">
        <v>873</v>
      </c>
      <c r="Z480" s="17">
        <f t="shared" si="53"/>
        <v>1</v>
      </c>
      <c r="AA480" s="17">
        <f t="shared" si="54"/>
        <v>6.6666666666666693E-2</v>
      </c>
      <c r="AB480" s="17">
        <f>+VLOOKUP(E480,[1]base!M:N,2,0)</f>
        <v>2331</v>
      </c>
      <c r="AC480" s="17">
        <f>+VLOOKUP(E480,[1]base!M:Q,5,0)</f>
        <v>578.90909090909088</v>
      </c>
      <c r="AD480" s="18">
        <f>+VLOOKUP(E480,[1]base!M:P,4,0)</f>
        <v>7.0203430394894295E-2</v>
      </c>
      <c r="AE480" s="19">
        <f t="shared" si="55"/>
        <v>535.65580374950139</v>
      </c>
    </row>
    <row r="481" spans="1:31" x14ac:dyDescent="0.25">
      <c r="A481" s="10" t="s">
        <v>680</v>
      </c>
      <c r="B481" s="11">
        <v>46263.399872685186</v>
      </c>
      <c r="C481" s="12" t="s">
        <v>39</v>
      </c>
      <c r="D481" s="12" t="s">
        <v>681</v>
      </c>
      <c r="E481" s="13" t="str">
        <f t="shared" si="49"/>
        <v>AL11026</v>
      </c>
      <c r="F481" s="14" t="str">
        <f t="shared" si="50"/>
        <v>NOIR</v>
      </c>
      <c r="G481" s="14">
        <f>+VLOOKUP(F481,[1]base!A:B,2,0)</f>
        <v>37</v>
      </c>
      <c r="H481" s="14">
        <v>2</v>
      </c>
      <c r="I481" s="14">
        <v>2</v>
      </c>
      <c r="J481" s="14"/>
      <c r="K481" s="14" t="s">
        <v>33</v>
      </c>
      <c r="L481" s="14" t="s">
        <v>682</v>
      </c>
      <c r="M481" s="14" t="s">
        <v>35</v>
      </c>
      <c r="N481" s="14">
        <v>2</v>
      </c>
      <c r="O481" s="14">
        <v>2</v>
      </c>
      <c r="P481" s="14">
        <v>0</v>
      </c>
      <c r="Q481" s="14">
        <v>0</v>
      </c>
      <c r="R481" s="14">
        <v>0</v>
      </c>
      <c r="S481" s="14"/>
      <c r="T481" s="15">
        <v>2</v>
      </c>
      <c r="U481" s="16"/>
      <c r="V481" s="17">
        <v>778</v>
      </c>
      <c r="W481" s="17">
        <f t="shared" si="51"/>
        <v>1556</v>
      </c>
      <c r="X481" s="17">
        <f t="shared" si="52"/>
        <v>80.911999999999992</v>
      </c>
      <c r="Y481" s="17">
        <v>783</v>
      </c>
      <c r="Z481" s="17">
        <f t="shared" si="53"/>
        <v>1</v>
      </c>
      <c r="AA481" s="17">
        <f t="shared" si="54"/>
        <v>6.6666666666666693E-2</v>
      </c>
      <c r="AB481" s="17">
        <f>+VLOOKUP(E481,[1]base!M:N,2,0)</f>
        <v>12</v>
      </c>
      <c r="AC481" s="17">
        <f>+VLOOKUP(E481,[1]base!M:Q,5,0)</f>
        <v>222.375</v>
      </c>
      <c r="AD481" s="18">
        <f>+VLOOKUP(E481,[1]base!M:P,4,0)</f>
        <v>0.625</v>
      </c>
      <c r="AE481" s="19">
        <f t="shared" si="55"/>
        <v>-3.9000000000000004</v>
      </c>
    </row>
    <row r="482" spans="1:31" x14ac:dyDescent="0.25">
      <c r="A482" s="10" t="s">
        <v>680</v>
      </c>
      <c r="B482" s="11">
        <v>46263.399872685186</v>
      </c>
      <c r="C482" s="12" t="s">
        <v>39</v>
      </c>
      <c r="D482" s="12" t="s">
        <v>683</v>
      </c>
      <c r="E482" s="13" t="str">
        <f t="shared" si="49"/>
        <v>CO103</v>
      </c>
      <c r="F482" s="14" t="str">
        <f t="shared" si="50"/>
        <v>NOIR</v>
      </c>
      <c r="G482" s="14">
        <f>+VLOOKUP(F482,[1]base!A:B,2,0)</f>
        <v>37</v>
      </c>
      <c r="H482" s="14">
        <v>8</v>
      </c>
      <c r="I482" s="14">
        <v>8</v>
      </c>
      <c r="J482" s="14"/>
      <c r="K482" s="14" t="s">
        <v>33</v>
      </c>
      <c r="L482" s="14" t="s">
        <v>684</v>
      </c>
      <c r="M482" s="14" t="s">
        <v>35</v>
      </c>
      <c r="N482" s="14">
        <v>8</v>
      </c>
      <c r="O482" s="14">
        <v>8</v>
      </c>
      <c r="P482" s="14">
        <v>0</v>
      </c>
      <c r="Q482" s="14">
        <v>0</v>
      </c>
      <c r="R482" s="14">
        <v>4</v>
      </c>
      <c r="S482" s="14"/>
      <c r="T482" s="15">
        <v>8</v>
      </c>
      <c r="U482" s="16"/>
      <c r="V482" s="17">
        <v>779</v>
      </c>
      <c r="W482" s="17">
        <f t="shared" si="51"/>
        <v>6232</v>
      </c>
      <c r="X482" s="17">
        <f t="shared" si="52"/>
        <v>324.06399999999996</v>
      </c>
      <c r="Y482" s="17">
        <v>784</v>
      </c>
      <c r="Z482" s="17">
        <f t="shared" si="53"/>
        <v>1</v>
      </c>
      <c r="AA482" s="17">
        <f t="shared" si="54"/>
        <v>6.6666666666666693E-2</v>
      </c>
      <c r="AB482" s="17">
        <f>+VLOOKUP(E482,[1]base!M:N,2,0)</f>
        <v>13</v>
      </c>
      <c r="AC482" s="17">
        <f>+VLOOKUP(E482,[1]base!M:Q,5,0)</f>
        <v>593.63636363636363</v>
      </c>
      <c r="AD482" s="18">
        <f>+VLOOKUP(E482,[1]base!M:P,4,0)</f>
        <v>0.90647482014388492</v>
      </c>
      <c r="AE482" s="19">
        <f t="shared" si="55"/>
        <v>-7.8841726618705046</v>
      </c>
    </row>
    <row r="483" spans="1:31" x14ac:dyDescent="0.25">
      <c r="A483" s="10" t="s">
        <v>162</v>
      </c>
      <c r="B483" s="11">
        <v>46266.406585648147</v>
      </c>
      <c r="C483" s="12" t="s">
        <v>102</v>
      </c>
      <c r="D483" s="12" t="s">
        <v>683</v>
      </c>
      <c r="E483" s="13" t="str">
        <f t="shared" si="49"/>
        <v>CO103</v>
      </c>
      <c r="F483" s="14" t="str">
        <f t="shared" si="50"/>
        <v>NOIR</v>
      </c>
      <c r="G483" s="14">
        <f>+VLOOKUP(F483,[1]base!A:B,2,0)</f>
        <v>37</v>
      </c>
      <c r="H483" s="14">
        <v>40</v>
      </c>
      <c r="I483" s="14">
        <v>40</v>
      </c>
      <c r="J483" s="14"/>
      <c r="K483" s="14" t="s">
        <v>33</v>
      </c>
      <c r="L483" s="14" t="s">
        <v>685</v>
      </c>
      <c r="M483" s="14" t="s">
        <v>35</v>
      </c>
      <c r="N483" s="14">
        <v>40</v>
      </c>
      <c r="O483" s="14">
        <v>40</v>
      </c>
      <c r="P483" s="14">
        <v>0</v>
      </c>
      <c r="Q483" s="14">
        <v>0</v>
      </c>
      <c r="R483" s="14">
        <v>4</v>
      </c>
      <c r="S483" s="14"/>
      <c r="T483" s="15">
        <v>40</v>
      </c>
      <c r="U483" s="16"/>
      <c r="V483" s="17">
        <v>875</v>
      </c>
      <c r="W483" s="17">
        <f t="shared" si="51"/>
        <v>35000</v>
      </c>
      <c r="X483" s="17">
        <f t="shared" si="52"/>
        <v>1820</v>
      </c>
      <c r="Y483" s="17">
        <v>880</v>
      </c>
      <c r="Z483" s="17">
        <f t="shared" si="53"/>
        <v>1</v>
      </c>
      <c r="AA483" s="17">
        <f t="shared" si="54"/>
        <v>6.6666666666666693E-2</v>
      </c>
      <c r="AB483" s="17">
        <f>+VLOOKUP(E483,[1]base!M:N,2,0)</f>
        <v>13</v>
      </c>
      <c r="AC483" s="17">
        <f>+VLOOKUP(E483,[1]base!M:Q,5,0)</f>
        <v>593.63636363636363</v>
      </c>
      <c r="AD483" s="18">
        <f>+VLOOKUP(E483,[1]base!M:P,4,0)</f>
        <v>0.90647482014388492</v>
      </c>
      <c r="AE483" s="19">
        <f t="shared" si="55"/>
        <v>-7.8841726618705046</v>
      </c>
    </row>
    <row r="484" spans="1:31" x14ac:dyDescent="0.25">
      <c r="A484" s="10" t="s">
        <v>94</v>
      </c>
      <c r="B484" s="11">
        <v>46266.490532407406</v>
      </c>
      <c r="C484" s="12" t="s">
        <v>95</v>
      </c>
      <c r="D484" s="12" t="s">
        <v>683</v>
      </c>
      <c r="E484" s="13" t="str">
        <f t="shared" si="49"/>
        <v>CO103</v>
      </c>
      <c r="F484" s="14" t="str">
        <f t="shared" si="50"/>
        <v>NOIR</v>
      </c>
      <c r="G484" s="14">
        <f>+VLOOKUP(F484,[1]base!A:B,2,0)</f>
        <v>37</v>
      </c>
      <c r="H484" s="14">
        <v>24</v>
      </c>
      <c r="I484" s="14">
        <v>24</v>
      </c>
      <c r="J484" s="14"/>
      <c r="K484" s="14" t="s">
        <v>33</v>
      </c>
      <c r="L484" s="14" t="s">
        <v>686</v>
      </c>
      <c r="M484" s="14" t="s">
        <v>35</v>
      </c>
      <c r="N484" s="14">
        <v>24</v>
      </c>
      <c r="O484" s="14">
        <v>24</v>
      </c>
      <c r="P484" s="14">
        <v>0</v>
      </c>
      <c r="Q484" s="14">
        <v>0</v>
      </c>
      <c r="R484" s="14">
        <v>4</v>
      </c>
      <c r="S484" s="14"/>
      <c r="T484" s="15">
        <v>24</v>
      </c>
      <c r="U484" s="16"/>
      <c r="V484" s="17">
        <v>926</v>
      </c>
      <c r="W484" s="17">
        <f t="shared" si="51"/>
        <v>22224</v>
      </c>
      <c r="X484" s="17">
        <f t="shared" si="52"/>
        <v>1155.6479999999999</v>
      </c>
      <c r="Y484" s="17">
        <v>931</v>
      </c>
      <c r="Z484" s="17">
        <f t="shared" si="53"/>
        <v>1</v>
      </c>
      <c r="AA484" s="17">
        <f t="shared" si="54"/>
        <v>6.6666666666666693E-2</v>
      </c>
      <c r="AB484" s="17">
        <f>+VLOOKUP(E484,[1]base!M:N,2,0)</f>
        <v>13</v>
      </c>
      <c r="AC484" s="17">
        <f>+VLOOKUP(E484,[1]base!M:Q,5,0)</f>
        <v>593.63636363636363</v>
      </c>
      <c r="AD484" s="18">
        <f>+VLOOKUP(E484,[1]base!M:P,4,0)</f>
        <v>0.90647482014388492</v>
      </c>
      <c r="AE484" s="19">
        <f t="shared" si="55"/>
        <v>-7.8841726618705046</v>
      </c>
    </row>
    <row r="485" spans="1:31" x14ac:dyDescent="0.25">
      <c r="A485" s="10" t="s">
        <v>687</v>
      </c>
      <c r="B485" s="11">
        <v>46267.323657407411</v>
      </c>
      <c r="C485" s="12" t="s">
        <v>199</v>
      </c>
      <c r="D485" s="12" t="s">
        <v>683</v>
      </c>
      <c r="E485" s="13" t="str">
        <f t="shared" si="49"/>
        <v>CO103</v>
      </c>
      <c r="F485" s="14" t="str">
        <f t="shared" si="50"/>
        <v>NOIR</v>
      </c>
      <c r="G485" s="14">
        <f>+VLOOKUP(F485,[1]base!A:B,2,0)</f>
        <v>37</v>
      </c>
      <c r="H485" s="14">
        <v>80</v>
      </c>
      <c r="I485" s="14">
        <v>80</v>
      </c>
      <c r="J485" s="14"/>
      <c r="K485" s="14" t="s">
        <v>33</v>
      </c>
      <c r="L485" s="14" t="s">
        <v>688</v>
      </c>
      <c r="M485" s="14" t="s">
        <v>35</v>
      </c>
      <c r="N485" s="14">
        <v>80</v>
      </c>
      <c r="O485" s="14">
        <v>80</v>
      </c>
      <c r="P485" s="14">
        <v>0</v>
      </c>
      <c r="Q485" s="14">
        <v>0</v>
      </c>
      <c r="R485" s="14">
        <v>4</v>
      </c>
      <c r="S485" s="14"/>
      <c r="T485" s="15">
        <v>80</v>
      </c>
      <c r="U485" s="16"/>
      <c r="V485" s="17">
        <v>988</v>
      </c>
      <c r="W485" s="17">
        <f t="shared" si="51"/>
        <v>79040</v>
      </c>
      <c r="X485" s="17">
        <f t="shared" si="52"/>
        <v>4110.08</v>
      </c>
      <c r="Y485" s="17">
        <v>993</v>
      </c>
      <c r="Z485" s="17">
        <f t="shared" si="53"/>
        <v>1</v>
      </c>
      <c r="AA485" s="17">
        <f t="shared" si="54"/>
        <v>6.6666666666666693E-2</v>
      </c>
      <c r="AB485" s="17">
        <f>+VLOOKUP(E485,[1]base!M:N,2,0)</f>
        <v>13</v>
      </c>
      <c r="AC485" s="17">
        <f>+VLOOKUP(E485,[1]base!M:Q,5,0)</f>
        <v>593.63636363636363</v>
      </c>
      <c r="AD485" s="18">
        <f>+VLOOKUP(E485,[1]base!M:P,4,0)</f>
        <v>0.90647482014388492</v>
      </c>
      <c r="AE485" s="19">
        <f t="shared" si="55"/>
        <v>-7.8841726618705046</v>
      </c>
    </row>
    <row r="486" spans="1:31" x14ac:dyDescent="0.25">
      <c r="A486" s="10" t="s">
        <v>142</v>
      </c>
      <c r="B486" s="11">
        <v>46252.518969907411</v>
      </c>
      <c r="C486" s="12" t="s">
        <v>143</v>
      </c>
      <c r="D486" s="12" t="s">
        <v>683</v>
      </c>
      <c r="E486" s="13" t="str">
        <f t="shared" si="49"/>
        <v>CO103</v>
      </c>
      <c r="F486" s="14" t="str">
        <f t="shared" si="50"/>
        <v>NOIR</v>
      </c>
      <c r="G486" s="14">
        <f>+VLOOKUP(F486,[1]base!A:B,2,0)</f>
        <v>37</v>
      </c>
      <c r="H486" s="14">
        <v>20</v>
      </c>
      <c r="I486" s="14">
        <v>20</v>
      </c>
      <c r="J486" s="14"/>
      <c r="K486" s="14" t="s">
        <v>33</v>
      </c>
      <c r="L486" s="14" t="s">
        <v>689</v>
      </c>
      <c r="M486" s="14" t="s">
        <v>35</v>
      </c>
      <c r="N486" s="14">
        <v>20</v>
      </c>
      <c r="O486" s="14">
        <v>20</v>
      </c>
      <c r="P486" s="14">
        <v>0</v>
      </c>
      <c r="Q486" s="14">
        <v>0</v>
      </c>
      <c r="R486" s="14">
        <v>4</v>
      </c>
      <c r="S486" s="14"/>
      <c r="T486" s="15">
        <v>20</v>
      </c>
      <c r="U486" s="16"/>
      <c r="V486" s="17">
        <v>512</v>
      </c>
      <c r="W486" s="17">
        <f t="shared" si="51"/>
        <v>10240</v>
      </c>
      <c r="X486" s="17">
        <f t="shared" si="52"/>
        <v>532.48</v>
      </c>
      <c r="Y486" s="17">
        <v>517</v>
      </c>
      <c r="Z486" s="17">
        <f t="shared" si="53"/>
        <v>1</v>
      </c>
      <c r="AA486" s="17">
        <f t="shared" si="54"/>
        <v>6.6666666666666693E-2</v>
      </c>
      <c r="AB486" s="17">
        <f>+VLOOKUP(E486,[1]base!M:N,2,0)</f>
        <v>13</v>
      </c>
      <c r="AC486" s="17">
        <f>+VLOOKUP(E486,[1]base!M:Q,5,0)</f>
        <v>593.63636363636363</v>
      </c>
      <c r="AD486" s="18">
        <f>+VLOOKUP(E486,[1]base!M:P,4,0)</f>
        <v>0.90647482014388492</v>
      </c>
      <c r="AE486" s="19">
        <f t="shared" si="55"/>
        <v>-7.8841726618705046</v>
      </c>
    </row>
    <row r="487" spans="1:31" x14ac:dyDescent="0.25">
      <c r="A487" s="10" t="s">
        <v>690</v>
      </c>
      <c r="B487" s="11">
        <v>46259.434999999998</v>
      </c>
      <c r="C487" s="12" t="s">
        <v>691</v>
      </c>
      <c r="D487" s="12" t="s">
        <v>692</v>
      </c>
      <c r="E487" s="13" t="str">
        <f t="shared" si="49"/>
        <v>CSQ306</v>
      </c>
      <c r="F487" s="14" t="str">
        <f t="shared" si="50"/>
        <v>NOIR</v>
      </c>
      <c r="G487" s="14">
        <f>+VLOOKUP(F487,[1]base!A:B,2,0)</f>
        <v>37</v>
      </c>
      <c r="H487" s="14">
        <v>17</v>
      </c>
      <c r="I487" s="14">
        <v>17</v>
      </c>
      <c r="J487" s="14"/>
      <c r="K487" s="14" t="s">
        <v>33</v>
      </c>
      <c r="L487" s="14" t="s">
        <v>693</v>
      </c>
      <c r="M487" s="14" t="s">
        <v>35</v>
      </c>
      <c r="N487" s="14">
        <v>17</v>
      </c>
      <c r="O487" s="14">
        <v>17</v>
      </c>
      <c r="P487" s="14">
        <v>0</v>
      </c>
      <c r="Q487" s="14">
        <v>0</v>
      </c>
      <c r="R487" s="14">
        <v>0</v>
      </c>
      <c r="S487" s="14"/>
      <c r="T487" s="15">
        <v>17</v>
      </c>
      <c r="U487" s="16"/>
      <c r="V487" s="17">
        <v>616</v>
      </c>
      <c r="W487" s="17">
        <f t="shared" si="51"/>
        <v>10472</v>
      </c>
      <c r="X487" s="17">
        <f t="shared" si="52"/>
        <v>544.54399999999998</v>
      </c>
      <c r="Y487" s="17">
        <v>621</v>
      </c>
      <c r="Z487" s="17">
        <f t="shared" si="53"/>
        <v>1</v>
      </c>
      <c r="AA487" s="17">
        <f t="shared" si="54"/>
        <v>6.6666666666666693E-2</v>
      </c>
      <c r="AB487" s="17">
        <f>+VLOOKUP(E487,[1]base!M:N,2,0)</f>
        <v>17</v>
      </c>
      <c r="AC487" s="17">
        <f>+VLOOKUP(E487,[1]base!M:Q,5,0)</f>
        <v>65.8</v>
      </c>
      <c r="AD487" s="18">
        <f>+VLOOKUP(E487,[1]base!M:P,4,0)</f>
        <v>5.5555555555555552E-2</v>
      </c>
      <c r="AE487" s="19">
        <f t="shared" si="55"/>
        <v>4.155555555555555</v>
      </c>
    </row>
    <row r="488" spans="1:31" x14ac:dyDescent="0.25">
      <c r="A488" s="10" t="s">
        <v>680</v>
      </c>
      <c r="B488" s="11">
        <v>46263.399872685186</v>
      </c>
      <c r="C488" s="12" t="s">
        <v>39</v>
      </c>
      <c r="D488" s="12" t="s">
        <v>694</v>
      </c>
      <c r="E488" s="13" t="str">
        <f t="shared" si="49"/>
        <v>FR127</v>
      </c>
      <c r="F488" s="14" t="str">
        <f t="shared" si="50"/>
        <v>NOIR</v>
      </c>
      <c r="G488" s="14">
        <f>+VLOOKUP(F488,[1]base!A:B,2,0)</f>
        <v>37</v>
      </c>
      <c r="H488" s="14">
        <v>1</v>
      </c>
      <c r="I488" s="14">
        <v>1</v>
      </c>
      <c r="J488" s="14"/>
      <c r="K488" s="14" t="s">
        <v>33</v>
      </c>
      <c r="L488" s="14" t="s">
        <v>695</v>
      </c>
      <c r="M488" s="14" t="s">
        <v>35</v>
      </c>
      <c r="N488" s="14">
        <v>1</v>
      </c>
      <c r="O488" s="14">
        <v>1</v>
      </c>
      <c r="P488" s="14">
        <v>0</v>
      </c>
      <c r="Q488" s="14">
        <v>0</v>
      </c>
      <c r="R488" s="14">
        <v>0</v>
      </c>
      <c r="S488" s="14"/>
      <c r="T488" s="15">
        <v>1</v>
      </c>
      <c r="U488" s="16"/>
      <c r="V488" s="17">
        <v>783</v>
      </c>
      <c r="W488" s="17">
        <f t="shared" si="51"/>
        <v>783</v>
      </c>
      <c r="X488" s="17">
        <f t="shared" si="52"/>
        <v>40.716000000000001</v>
      </c>
      <c r="Y488" s="17">
        <v>788</v>
      </c>
      <c r="Z488" s="17">
        <f t="shared" si="53"/>
        <v>1</v>
      </c>
      <c r="AA488" s="17">
        <f t="shared" si="54"/>
        <v>6.6666666666666693E-2</v>
      </c>
      <c r="AB488" s="17">
        <f>+VLOOKUP(E488,[1]base!M:N,2,0)</f>
        <v>21</v>
      </c>
      <c r="AC488" s="17">
        <f>+VLOOKUP(E488,[1]base!M:Q,5,0)</f>
        <v>25.571428571428573</v>
      </c>
      <c r="AD488" s="18">
        <f>+VLOOKUP(E488,[1]base!M:P,4,0)</f>
        <v>0.64406779661016944</v>
      </c>
      <c r="AE488" s="19">
        <f t="shared" si="55"/>
        <v>-7.2254237288135581</v>
      </c>
    </row>
    <row r="489" spans="1:31" x14ac:dyDescent="0.25">
      <c r="A489" s="10" t="s">
        <v>696</v>
      </c>
      <c r="B489" s="11">
        <v>46256.374837962961</v>
      </c>
      <c r="C489" s="12" t="s">
        <v>70</v>
      </c>
      <c r="D489" s="12" t="s">
        <v>697</v>
      </c>
      <c r="E489" s="13" t="str">
        <f t="shared" si="49"/>
        <v>FR133</v>
      </c>
      <c r="F489" s="14" t="str">
        <f t="shared" si="50"/>
        <v>NOIR</v>
      </c>
      <c r="G489" s="14">
        <f>+VLOOKUP(F489,[1]base!A:B,2,0)</f>
        <v>37</v>
      </c>
      <c r="H489" s="14">
        <v>3</v>
      </c>
      <c r="I489" s="14">
        <v>3</v>
      </c>
      <c r="J489" s="14"/>
      <c r="K489" s="14" t="s">
        <v>33</v>
      </c>
      <c r="L489" s="14" t="s">
        <v>698</v>
      </c>
      <c r="M489" s="14" t="s">
        <v>35</v>
      </c>
      <c r="N489" s="14">
        <v>3</v>
      </c>
      <c r="O489" s="14">
        <v>3</v>
      </c>
      <c r="P489" s="14">
        <v>0</v>
      </c>
      <c r="Q489" s="14">
        <v>0</v>
      </c>
      <c r="R489" s="14">
        <v>2</v>
      </c>
      <c r="S489" s="14"/>
      <c r="T489" s="15">
        <v>3</v>
      </c>
      <c r="U489" s="16"/>
      <c r="V489" s="17">
        <v>578</v>
      </c>
      <c r="W489" s="17">
        <f t="shared" si="51"/>
        <v>1734</v>
      </c>
      <c r="X489" s="17">
        <f t="shared" si="52"/>
        <v>90.167999999999992</v>
      </c>
      <c r="Y489" s="17">
        <v>583</v>
      </c>
      <c r="Z489" s="17">
        <f t="shared" si="53"/>
        <v>1</v>
      </c>
      <c r="AA489" s="17">
        <f t="shared" si="54"/>
        <v>6.6666666666666693E-2</v>
      </c>
      <c r="AB489" s="17">
        <f>+VLOOKUP(E489,[1]base!M:N,2,0)</f>
        <v>31</v>
      </c>
      <c r="AC489" s="17">
        <f>+VLOOKUP(E489,[1]base!M:Q,5,0)</f>
        <v>40.25</v>
      </c>
      <c r="AD489" s="18">
        <f>+VLOOKUP(E489,[1]base!M:P,4,0)</f>
        <v>0.73043478260869565</v>
      </c>
      <c r="AE489" s="19">
        <f t="shared" si="55"/>
        <v>-13.343478260869565</v>
      </c>
    </row>
    <row r="490" spans="1:31" x14ac:dyDescent="0.25">
      <c r="A490" s="10" t="s">
        <v>696</v>
      </c>
      <c r="B490" s="11">
        <v>46256.374837962961</v>
      </c>
      <c r="C490" s="12" t="s">
        <v>70</v>
      </c>
      <c r="D490" s="12" t="s">
        <v>699</v>
      </c>
      <c r="E490" s="13" t="str">
        <f t="shared" si="49"/>
        <v>FR161</v>
      </c>
      <c r="F490" s="14" t="str">
        <f t="shared" si="50"/>
        <v>NOIR</v>
      </c>
      <c r="G490" s="14">
        <f>+VLOOKUP(F490,[1]base!A:B,2,0)</f>
        <v>37</v>
      </c>
      <c r="H490" s="14">
        <v>3</v>
      </c>
      <c r="I490" s="14">
        <v>3</v>
      </c>
      <c r="J490" s="14"/>
      <c r="K490" s="14" t="s">
        <v>33</v>
      </c>
      <c r="L490" s="14" t="s">
        <v>700</v>
      </c>
      <c r="M490" s="14" t="s">
        <v>35</v>
      </c>
      <c r="N490" s="14">
        <v>3</v>
      </c>
      <c r="O490" s="14">
        <v>3</v>
      </c>
      <c r="P490" s="14">
        <v>0</v>
      </c>
      <c r="Q490" s="14">
        <v>0</v>
      </c>
      <c r="R490" s="14">
        <v>0</v>
      </c>
      <c r="S490" s="14"/>
      <c r="T490" s="15">
        <v>3</v>
      </c>
      <c r="U490" s="16"/>
      <c r="V490" s="17">
        <v>580</v>
      </c>
      <c r="W490" s="17">
        <f t="shared" si="51"/>
        <v>1740</v>
      </c>
      <c r="X490" s="17">
        <f t="shared" si="52"/>
        <v>90.47999999999999</v>
      </c>
      <c r="Y490" s="17">
        <v>585</v>
      </c>
      <c r="Z490" s="17">
        <f t="shared" si="53"/>
        <v>1</v>
      </c>
      <c r="AA490" s="17">
        <f t="shared" si="54"/>
        <v>6.6666666666666693E-2</v>
      </c>
      <c r="AB490" s="17">
        <f>+VLOOKUP(E490,[1]base!M:N,2,0)</f>
        <v>46</v>
      </c>
      <c r="AC490" s="17">
        <f>+VLOOKUP(E490,[1]base!M:Q,5,0)</f>
        <v>24.285714285714285</v>
      </c>
      <c r="AD490" s="18">
        <f>+VLOOKUP(E490,[1]base!M:P,4,0)</f>
        <v>0.51063829787234039</v>
      </c>
      <c r="AE490" s="19">
        <f t="shared" si="55"/>
        <v>-9.689361702127659</v>
      </c>
    </row>
    <row r="491" spans="1:31" x14ac:dyDescent="0.25">
      <c r="A491" s="10" t="s">
        <v>261</v>
      </c>
      <c r="B491" s="11">
        <v>46254.525277777779</v>
      </c>
      <c r="C491" s="12" t="s">
        <v>262</v>
      </c>
      <c r="D491" s="12" t="s">
        <v>701</v>
      </c>
      <c r="E491" s="13" t="str">
        <f t="shared" si="49"/>
        <v>EC67102</v>
      </c>
      <c r="F491" s="14" t="str">
        <f t="shared" si="50"/>
        <v>NOIR</v>
      </c>
      <c r="G491" s="14">
        <f>+VLOOKUP(F491,[1]base!A:B,2,0)</f>
        <v>37</v>
      </c>
      <c r="H491" s="14">
        <v>20</v>
      </c>
      <c r="I491" s="14">
        <v>20</v>
      </c>
      <c r="J491" s="14"/>
      <c r="K491" s="14" t="s">
        <v>33</v>
      </c>
      <c r="L491" s="14" t="s">
        <v>702</v>
      </c>
      <c r="M491" s="14" t="s">
        <v>35</v>
      </c>
      <c r="N491" s="14">
        <v>20</v>
      </c>
      <c r="O491" s="14">
        <v>20</v>
      </c>
      <c r="P491" s="14">
        <v>0</v>
      </c>
      <c r="Q491" s="14">
        <v>0</v>
      </c>
      <c r="R491" s="14">
        <v>0</v>
      </c>
      <c r="S491" s="14"/>
      <c r="T491" s="15">
        <v>20</v>
      </c>
      <c r="U491" s="16"/>
      <c r="V491" s="17">
        <v>547</v>
      </c>
      <c r="W491" s="17">
        <f t="shared" si="51"/>
        <v>10940</v>
      </c>
      <c r="X491" s="17">
        <f t="shared" si="52"/>
        <v>568.88</v>
      </c>
      <c r="Y491" s="17">
        <v>552</v>
      </c>
      <c r="Z491" s="17">
        <f t="shared" si="53"/>
        <v>1</v>
      </c>
      <c r="AA491" s="17">
        <f t="shared" si="54"/>
        <v>6.6666666666666693E-2</v>
      </c>
      <c r="AB491" s="17">
        <f>+VLOOKUP(E491,[1]base!M:N,2,0)</f>
        <v>50</v>
      </c>
      <c r="AC491" s="17">
        <f>+VLOOKUP(E491,[1]base!M:Q,5,0)</f>
        <v>159.33333333333334</v>
      </c>
      <c r="AD491" s="18">
        <f>+VLOOKUP(E491,[1]base!M:P,4,0)</f>
        <v>0.96053670086819254</v>
      </c>
      <c r="AE491" s="19">
        <f t="shared" si="55"/>
        <v>-33.026835043409633</v>
      </c>
    </row>
    <row r="492" spans="1:31" x14ac:dyDescent="0.25">
      <c r="A492" s="10" t="s">
        <v>703</v>
      </c>
      <c r="B492" s="11">
        <v>46258.403113425928</v>
      </c>
      <c r="C492" s="12" t="s">
        <v>704</v>
      </c>
      <c r="D492" s="12" t="s">
        <v>701</v>
      </c>
      <c r="E492" s="13" t="str">
        <f t="shared" si="49"/>
        <v>EC67102</v>
      </c>
      <c r="F492" s="14" t="str">
        <f t="shared" si="50"/>
        <v>NOIR</v>
      </c>
      <c r="G492" s="14">
        <f>+VLOOKUP(F492,[1]base!A:B,2,0)</f>
        <v>37</v>
      </c>
      <c r="H492" s="14">
        <v>8</v>
      </c>
      <c r="I492" s="14">
        <v>8</v>
      </c>
      <c r="J492" s="14"/>
      <c r="K492" s="14" t="s">
        <v>33</v>
      </c>
      <c r="L492" s="14" t="s">
        <v>705</v>
      </c>
      <c r="M492" s="14" t="s">
        <v>35</v>
      </c>
      <c r="N492" s="14">
        <v>8</v>
      </c>
      <c r="O492" s="14">
        <v>8</v>
      </c>
      <c r="P492" s="14">
        <v>0</v>
      </c>
      <c r="Q492" s="14">
        <v>0</v>
      </c>
      <c r="R492" s="14">
        <v>0</v>
      </c>
      <c r="S492" s="14"/>
      <c r="T492" s="15">
        <v>8</v>
      </c>
      <c r="U492" s="16"/>
      <c r="V492" s="17">
        <v>596</v>
      </c>
      <c r="W492" s="17">
        <f t="shared" si="51"/>
        <v>4768</v>
      </c>
      <c r="X492" s="17">
        <f t="shared" si="52"/>
        <v>247.93599999999998</v>
      </c>
      <c r="Y492" s="17">
        <v>601</v>
      </c>
      <c r="Z492" s="17">
        <f t="shared" si="53"/>
        <v>1</v>
      </c>
      <c r="AA492" s="17">
        <f t="shared" si="54"/>
        <v>6.6666666666666693E-2</v>
      </c>
      <c r="AB492" s="17">
        <f>+VLOOKUP(E492,[1]base!M:N,2,0)</f>
        <v>50</v>
      </c>
      <c r="AC492" s="17">
        <f>+VLOOKUP(E492,[1]base!M:Q,5,0)</f>
        <v>159.33333333333334</v>
      </c>
      <c r="AD492" s="18">
        <f>+VLOOKUP(E492,[1]base!M:P,4,0)</f>
        <v>0.96053670086819254</v>
      </c>
      <c r="AE492" s="19">
        <f t="shared" si="55"/>
        <v>-33.026835043409633</v>
      </c>
    </row>
    <row r="493" spans="1:31" x14ac:dyDescent="0.25">
      <c r="A493" s="10" t="s">
        <v>706</v>
      </c>
      <c r="B493" s="11">
        <v>46256.457442129627</v>
      </c>
      <c r="C493" s="12" t="s">
        <v>707</v>
      </c>
      <c r="D493" s="12" t="s">
        <v>708</v>
      </c>
      <c r="E493" s="13" t="str">
        <f t="shared" si="49"/>
        <v>FR102</v>
      </c>
      <c r="F493" s="14" t="str">
        <f t="shared" si="50"/>
        <v>NOIR</v>
      </c>
      <c r="G493" s="14">
        <f>+VLOOKUP(F493,[1]base!A:B,2,0)</f>
        <v>37</v>
      </c>
      <c r="H493" s="14">
        <v>20</v>
      </c>
      <c r="I493" s="14">
        <v>20</v>
      </c>
      <c r="J493" s="14"/>
      <c r="K493" s="14" t="s">
        <v>33</v>
      </c>
      <c r="L493" s="14" t="s">
        <v>709</v>
      </c>
      <c r="M493" s="14" t="s">
        <v>35</v>
      </c>
      <c r="N493" s="14">
        <v>20</v>
      </c>
      <c r="O493" s="14">
        <v>20</v>
      </c>
      <c r="P493" s="14">
        <v>0</v>
      </c>
      <c r="Q493" s="14">
        <v>0</v>
      </c>
      <c r="R493" s="14">
        <v>0</v>
      </c>
      <c r="S493" s="14"/>
      <c r="T493" s="15">
        <v>20</v>
      </c>
      <c r="U493" s="16"/>
      <c r="V493" s="17">
        <v>590</v>
      </c>
      <c r="W493" s="17">
        <f t="shared" si="51"/>
        <v>11800</v>
      </c>
      <c r="X493" s="17">
        <f t="shared" si="52"/>
        <v>613.6</v>
      </c>
      <c r="Y493" s="17">
        <v>595</v>
      </c>
      <c r="Z493" s="17">
        <f t="shared" si="53"/>
        <v>1</v>
      </c>
      <c r="AA493" s="17">
        <f t="shared" si="54"/>
        <v>6.6666666666666693E-2</v>
      </c>
      <c r="AB493" s="17">
        <f>+VLOOKUP(E493,[1]base!M:N,2,0)</f>
        <v>58</v>
      </c>
      <c r="AC493" s="17">
        <f>+VLOOKUP(E493,[1]base!M:Q,5,0)</f>
        <v>201.6</v>
      </c>
      <c r="AD493" s="18">
        <f>+VLOOKUP(E493,[1]base!M:P,4,0)</f>
        <v>0.75107296137339052</v>
      </c>
      <c r="AE493" s="19">
        <f t="shared" si="55"/>
        <v>-26.162231759656652</v>
      </c>
    </row>
    <row r="494" spans="1:31" x14ac:dyDescent="0.25">
      <c r="A494" s="10" t="s">
        <v>710</v>
      </c>
      <c r="B494" s="11">
        <v>46256.424629629626</v>
      </c>
      <c r="C494" s="12" t="s">
        <v>70</v>
      </c>
      <c r="D494" s="12" t="s">
        <v>711</v>
      </c>
      <c r="E494" s="13" t="str">
        <f t="shared" si="49"/>
        <v>CSQ102</v>
      </c>
      <c r="F494" s="14" t="str">
        <f t="shared" si="50"/>
        <v>NOIR</v>
      </c>
      <c r="G494" s="14">
        <f>+VLOOKUP(F494,[1]base!A:B,2,0)</f>
        <v>37</v>
      </c>
      <c r="H494" s="14">
        <v>3</v>
      </c>
      <c r="I494" s="14">
        <v>3</v>
      </c>
      <c r="J494" s="14"/>
      <c r="K494" s="14" t="s">
        <v>33</v>
      </c>
      <c r="L494" s="14" t="s">
        <v>712</v>
      </c>
      <c r="M494" s="14" t="s">
        <v>35</v>
      </c>
      <c r="N494" s="14">
        <v>3</v>
      </c>
      <c r="O494" s="14">
        <v>3</v>
      </c>
      <c r="P494" s="14">
        <v>0</v>
      </c>
      <c r="Q494" s="14">
        <v>0</v>
      </c>
      <c r="R494" s="14">
        <v>0</v>
      </c>
      <c r="S494" s="14"/>
      <c r="T494" s="15">
        <v>3</v>
      </c>
      <c r="U494" s="16"/>
      <c r="V494" s="17">
        <v>583</v>
      </c>
      <c r="W494" s="17">
        <f t="shared" si="51"/>
        <v>1749</v>
      </c>
      <c r="X494" s="17">
        <f t="shared" si="52"/>
        <v>90.947999999999993</v>
      </c>
      <c r="Y494" s="17">
        <v>588</v>
      </c>
      <c r="Z494" s="17">
        <f t="shared" si="53"/>
        <v>1</v>
      </c>
      <c r="AA494" s="17">
        <f t="shared" si="54"/>
        <v>6.6666666666666693E-2</v>
      </c>
      <c r="AB494" s="17">
        <f>+VLOOKUP(E494,[1]base!M:N,2,0)</f>
        <v>84</v>
      </c>
      <c r="AC494" s="17">
        <f>+VLOOKUP(E494,[1]base!M:Q,5,0)</f>
        <v>266.66666666666669</v>
      </c>
      <c r="AD494" s="18">
        <f>+VLOOKUP(E494,[1]base!M:P,4,0)</f>
        <v>1.1764705882352941E-2</v>
      </c>
      <c r="AE494" s="19">
        <f t="shared" si="55"/>
        <v>24.211764705882352</v>
      </c>
    </row>
    <row r="495" spans="1:31" x14ac:dyDescent="0.25">
      <c r="A495" s="10" t="s">
        <v>713</v>
      </c>
      <c r="B495" s="11">
        <v>46267.43309027778</v>
      </c>
      <c r="C495" s="12" t="s">
        <v>258</v>
      </c>
      <c r="D495" s="12" t="s">
        <v>714</v>
      </c>
      <c r="E495" s="13" t="str">
        <f t="shared" si="49"/>
        <v>FR135</v>
      </c>
      <c r="F495" s="14" t="str">
        <f t="shared" si="50"/>
        <v>NOIR</v>
      </c>
      <c r="G495" s="14">
        <f>+VLOOKUP(F495,[1]base!A:B,2,0)</f>
        <v>37</v>
      </c>
      <c r="H495" s="14">
        <v>20</v>
      </c>
      <c r="I495" s="14">
        <v>20</v>
      </c>
      <c r="J495" s="14"/>
      <c r="K495" s="14" t="s">
        <v>33</v>
      </c>
      <c r="L495" s="14" t="s">
        <v>715</v>
      </c>
      <c r="M495" s="14" t="s">
        <v>35</v>
      </c>
      <c r="N495" s="14">
        <v>20</v>
      </c>
      <c r="O495" s="14">
        <v>20</v>
      </c>
      <c r="P495" s="14">
        <v>0</v>
      </c>
      <c r="Q495" s="14">
        <v>0</v>
      </c>
      <c r="R495" s="14">
        <v>0</v>
      </c>
      <c r="S495" s="14"/>
      <c r="T495" s="15">
        <v>20</v>
      </c>
      <c r="U495" s="16"/>
      <c r="V495" s="17">
        <v>1023</v>
      </c>
      <c r="W495" s="17">
        <f t="shared" si="51"/>
        <v>20460</v>
      </c>
      <c r="X495" s="17">
        <f t="shared" si="52"/>
        <v>1063.9199999999998</v>
      </c>
      <c r="Y495" s="17">
        <v>1028</v>
      </c>
      <c r="Z495" s="17">
        <f t="shared" si="53"/>
        <v>1</v>
      </c>
      <c r="AA495" s="17">
        <f t="shared" si="54"/>
        <v>6.6666666666666693E-2</v>
      </c>
      <c r="AB495" s="17">
        <f>+VLOOKUP(E495,[1]base!M:N,2,0)</f>
        <v>113</v>
      </c>
      <c r="AC495" s="17">
        <f>+VLOOKUP(E495,[1]base!M:Q,5,0)</f>
        <v>99</v>
      </c>
      <c r="AD495" s="18">
        <f>+VLOOKUP(E495,[1]base!M:P,4,0)</f>
        <v>0.28025477707006369</v>
      </c>
      <c r="AE495" s="19">
        <f t="shared" si="55"/>
        <v>2.2312101910828019</v>
      </c>
    </row>
    <row r="496" spans="1:31" x14ac:dyDescent="0.25">
      <c r="A496" s="10" t="s">
        <v>710</v>
      </c>
      <c r="B496" s="11">
        <v>46256.424629629626</v>
      </c>
      <c r="C496" s="12" t="s">
        <v>70</v>
      </c>
      <c r="D496" s="12" t="s">
        <v>716</v>
      </c>
      <c r="E496" s="13" t="str">
        <f t="shared" si="49"/>
        <v>CSQ104</v>
      </c>
      <c r="F496" s="14" t="str">
        <f t="shared" si="50"/>
        <v>NOIR</v>
      </c>
      <c r="G496" s="14">
        <f>+VLOOKUP(F496,[1]base!A:B,2,0)</f>
        <v>37</v>
      </c>
      <c r="H496" s="14">
        <v>17</v>
      </c>
      <c r="I496" s="14">
        <v>17</v>
      </c>
      <c r="J496" s="14"/>
      <c r="K496" s="14" t="s">
        <v>33</v>
      </c>
      <c r="L496" s="14" t="s">
        <v>717</v>
      </c>
      <c r="M496" s="14" t="s">
        <v>35</v>
      </c>
      <c r="N496" s="14">
        <v>17</v>
      </c>
      <c r="O496" s="14">
        <v>17</v>
      </c>
      <c r="P496" s="14">
        <v>0</v>
      </c>
      <c r="Q496" s="14">
        <v>0</v>
      </c>
      <c r="R496" s="14">
        <v>0</v>
      </c>
      <c r="S496" s="14"/>
      <c r="T496" s="15">
        <v>17</v>
      </c>
      <c r="U496" s="16"/>
      <c r="V496" s="17">
        <v>585</v>
      </c>
      <c r="W496" s="17">
        <f t="shared" si="51"/>
        <v>9945</v>
      </c>
      <c r="X496" s="17">
        <f t="shared" si="52"/>
        <v>517.14</v>
      </c>
      <c r="Y496" s="17">
        <v>590</v>
      </c>
      <c r="Z496" s="17">
        <f t="shared" si="53"/>
        <v>1</v>
      </c>
      <c r="AA496" s="17">
        <f t="shared" si="54"/>
        <v>6.6666666666666693E-2</v>
      </c>
      <c r="AB496" s="17">
        <f>+VLOOKUP(E496,[1]base!M:N,2,0)</f>
        <v>183</v>
      </c>
      <c r="AC496" s="17">
        <f>+VLOOKUP(E496,[1]base!M:Q,5,0)</f>
        <v>230.63636363636363</v>
      </c>
      <c r="AD496" s="18">
        <f>+VLOOKUP(E496,[1]base!M:P,4,0)</f>
        <v>3.6842105263157891E-2</v>
      </c>
      <c r="AE496" s="19">
        <f t="shared" si="55"/>
        <v>48.157894736842103</v>
      </c>
    </row>
    <row r="497" spans="1:31" x14ac:dyDescent="0.25">
      <c r="A497" s="10" t="s">
        <v>690</v>
      </c>
      <c r="B497" s="11">
        <v>46259.434999999998</v>
      </c>
      <c r="C497" s="12" t="s">
        <v>691</v>
      </c>
      <c r="D497" s="12" t="s">
        <v>716</v>
      </c>
      <c r="E497" s="13" t="str">
        <f t="shared" si="49"/>
        <v>CSQ104</v>
      </c>
      <c r="F497" s="14" t="str">
        <f t="shared" si="50"/>
        <v>NOIR</v>
      </c>
      <c r="G497" s="14">
        <f>+VLOOKUP(F497,[1]base!A:B,2,0)</f>
        <v>37</v>
      </c>
      <c r="H497" s="14">
        <v>9</v>
      </c>
      <c r="I497" s="14">
        <v>9</v>
      </c>
      <c r="J497" s="14"/>
      <c r="K497" s="14" t="s">
        <v>33</v>
      </c>
      <c r="L497" s="14" t="s">
        <v>718</v>
      </c>
      <c r="M497" s="14" t="s">
        <v>35</v>
      </c>
      <c r="N497" s="14">
        <v>9</v>
      </c>
      <c r="O497" s="14">
        <v>9</v>
      </c>
      <c r="P497" s="14">
        <v>0</v>
      </c>
      <c r="Q497" s="14">
        <v>0</v>
      </c>
      <c r="R497" s="14">
        <v>0</v>
      </c>
      <c r="S497" s="14"/>
      <c r="T497" s="15">
        <v>9</v>
      </c>
      <c r="U497" s="16"/>
      <c r="V497" s="17">
        <v>615</v>
      </c>
      <c r="W497" s="17">
        <f t="shared" si="51"/>
        <v>5535</v>
      </c>
      <c r="X497" s="17">
        <f t="shared" si="52"/>
        <v>287.82</v>
      </c>
      <c r="Y497" s="17">
        <v>620</v>
      </c>
      <c r="Z497" s="17">
        <f t="shared" si="53"/>
        <v>1</v>
      </c>
      <c r="AA497" s="17">
        <f t="shared" si="54"/>
        <v>6.6666666666666693E-2</v>
      </c>
      <c r="AB497" s="17">
        <f>+VLOOKUP(E497,[1]base!M:N,2,0)</f>
        <v>183</v>
      </c>
      <c r="AC497" s="17">
        <f>+VLOOKUP(E497,[1]base!M:Q,5,0)</f>
        <v>230.63636363636363</v>
      </c>
      <c r="AD497" s="18">
        <f>+VLOOKUP(E497,[1]base!M:P,4,0)</f>
        <v>3.6842105263157891E-2</v>
      </c>
      <c r="AE497" s="19">
        <f t="shared" si="55"/>
        <v>48.157894736842103</v>
      </c>
    </row>
    <row r="498" spans="1:31" x14ac:dyDescent="0.25">
      <c r="A498" s="10" t="s">
        <v>703</v>
      </c>
      <c r="B498" s="11">
        <v>46258.403113425928</v>
      </c>
      <c r="C498" s="12" t="s">
        <v>704</v>
      </c>
      <c r="D498" s="12" t="s">
        <v>719</v>
      </c>
      <c r="E498" s="13" t="str">
        <f t="shared" si="49"/>
        <v>EC40102</v>
      </c>
      <c r="F498" s="14" t="str">
        <f t="shared" si="50"/>
        <v>NOIR</v>
      </c>
      <c r="G498" s="14">
        <f>+VLOOKUP(F498,[1]base!A:B,2,0)</f>
        <v>37</v>
      </c>
      <c r="H498" s="14">
        <v>24</v>
      </c>
      <c r="I498" s="14">
        <v>24</v>
      </c>
      <c r="J498" s="14"/>
      <c r="K498" s="14" t="s">
        <v>33</v>
      </c>
      <c r="L498" s="14" t="s">
        <v>720</v>
      </c>
      <c r="M498" s="14" t="s">
        <v>35</v>
      </c>
      <c r="N498" s="14">
        <v>24</v>
      </c>
      <c r="O498" s="14">
        <v>24</v>
      </c>
      <c r="P498" s="14">
        <v>0</v>
      </c>
      <c r="Q498" s="14">
        <v>0</v>
      </c>
      <c r="R498" s="14">
        <v>0</v>
      </c>
      <c r="S498" s="14"/>
      <c r="T498" s="15">
        <v>24</v>
      </c>
      <c r="U498" s="16"/>
      <c r="V498" s="17">
        <v>593</v>
      </c>
      <c r="W498" s="17">
        <f t="shared" si="51"/>
        <v>14232</v>
      </c>
      <c r="X498" s="17">
        <f t="shared" si="52"/>
        <v>740.06399999999996</v>
      </c>
      <c r="Y498" s="17">
        <v>598</v>
      </c>
      <c r="Z498" s="17">
        <f t="shared" si="53"/>
        <v>1</v>
      </c>
      <c r="AA498" s="17">
        <f t="shared" si="54"/>
        <v>6.6666666666666693E-2</v>
      </c>
      <c r="AB498" s="17">
        <f>+VLOOKUP(E498,[1]base!M:N,2,0)</f>
        <v>186</v>
      </c>
      <c r="AC498" s="17">
        <f>+VLOOKUP(E498,[1]base!M:Q,5,0)</f>
        <v>824.22222222222217</v>
      </c>
      <c r="AD498" s="18">
        <f>+VLOOKUP(E498,[1]base!M:P,4,0)</f>
        <v>2.6178010471204188E-2</v>
      </c>
      <c r="AE498" s="19">
        <f t="shared" si="55"/>
        <v>50.930890052356013</v>
      </c>
    </row>
    <row r="499" spans="1:31" x14ac:dyDescent="0.25">
      <c r="A499" s="10" t="s">
        <v>713</v>
      </c>
      <c r="B499" s="11">
        <v>46267.43309027778</v>
      </c>
      <c r="C499" s="12" t="s">
        <v>258</v>
      </c>
      <c r="D499" s="12" t="s">
        <v>719</v>
      </c>
      <c r="E499" s="13" t="str">
        <f t="shared" si="49"/>
        <v>EC40102</v>
      </c>
      <c r="F499" s="14" t="str">
        <f t="shared" si="50"/>
        <v>NOIR</v>
      </c>
      <c r="G499" s="14">
        <f>+VLOOKUP(F499,[1]base!A:B,2,0)</f>
        <v>37</v>
      </c>
      <c r="H499" s="14">
        <v>6</v>
      </c>
      <c r="I499" s="14">
        <v>6</v>
      </c>
      <c r="J499" s="14"/>
      <c r="K499" s="14" t="s">
        <v>33</v>
      </c>
      <c r="L499" s="14" t="s">
        <v>721</v>
      </c>
      <c r="M499" s="14" t="s">
        <v>35</v>
      </c>
      <c r="N499" s="14">
        <v>6</v>
      </c>
      <c r="O499" s="14">
        <v>6</v>
      </c>
      <c r="P499" s="14">
        <v>0</v>
      </c>
      <c r="Q499" s="14">
        <v>0</v>
      </c>
      <c r="R499" s="14">
        <v>0</v>
      </c>
      <c r="S499" s="14"/>
      <c r="T499" s="15">
        <v>6</v>
      </c>
      <c r="U499" s="16"/>
      <c r="V499" s="17">
        <v>1019</v>
      </c>
      <c r="W499" s="17">
        <f t="shared" si="51"/>
        <v>6114</v>
      </c>
      <c r="X499" s="17">
        <f t="shared" si="52"/>
        <v>317.928</v>
      </c>
      <c r="Y499" s="17">
        <v>1024</v>
      </c>
      <c r="Z499" s="17">
        <f t="shared" si="53"/>
        <v>1</v>
      </c>
      <c r="AA499" s="17">
        <f t="shared" si="54"/>
        <v>6.6666666666666693E-2</v>
      </c>
      <c r="AB499" s="17">
        <f>+VLOOKUP(E499,[1]base!M:N,2,0)</f>
        <v>186</v>
      </c>
      <c r="AC499" s="17">
        <f>+VLOOKUP(E499,[1]base!M:Q,5,0)</f>
        <v>824.22222222222217</v>
      </c>
      <c r="AD499" s="18">
        <f>+VLOOKUP(E499,[1]base!M:P,4,0)</f>
        <v>2.6178010471204188E-2</v>
      </c>
      <c r="AE499" s="19">
        <f t="shared" si="55"/>
        <v>50.930890052356013</v>
      </c>
    </row>
    <row r="500" spans="1:31" x14ac:dyDescent="0.25">
      <c r="A500" s="10" t="s">
        <v>703</v>
      </c>
      <c r="B500" s="11">
        <v>46258.403113425928</v>
      </c>
      <c r="C500" s="12" t="s">
        <v>704</v>
      </c>
      <c r="D500" s="12" t="s">
        <v>722</v>
      </c>
      <c r="E500" s="13" t="str">
        <f t="shared" si="49"/>
        <v>EC67105</v>
      </c>
      <c r="F500" s="14" t="str">
        <f t="shared" si="50"/>
        <v>NOIR</v>
      </c>
      <c r="G500" s="14">
        <f>+VLOOKUP(F500,[1]base!A:B,2,0)</f>
        <v>37</v>
      </c>
      <c r="H500" s="14">
        <v>24</v>
      </c>
      <c r="I500" s="14">
        <v>24</v>
      </c>
      <c r="J500" s="14"/>
      <c r="K500" s="14" t="s">
        <v>33</v>
      </c>
      <c r="L500" s="14" t="s">
        <v>723</v>
      </c>
      <c r="M500" s="14" t="s">
        <v>35</v>
      </c>
      <c r="N500" s="14">
        <v>24</v>
      </c>
      <c r="O500" s="14">
        <v>24</v>
      </c>
      <c r="P500" s="14">
        <v>0</v>
      </c>
      <c r="Q500" s="14">
        <v>0</v>
      </c>
      <c r="R500" s="14">
        <v>0</v>
      </c>
      <c r="S500" s="14"/>
      <c r="T500" s="15">
        <v>24</v>
      </c>
      <c r="U500" s="16"/>
      <c r="V500" s="17">
        <v>599</v>
      </c>
      <c r="W500" s="17">
        <f t="shared" si="51"/>
        <v>14376</v>
      </c>
      <c r="X500" s="17">
        <f t="shared" si="52"/>
        <v>747.55200000000002</v>
      </c>
      <c r="Y500" s="17">
        <v>604</v>
      </c>
      <c r="Z500" s="17">
        <f t="shared" si="53"/>
        <v>1</v>
      </c>
      <c r="AA500" s="17">
        <f t="shared" si="54"/>
        <v>6.6666666666666693E-2</v>
      </c>
      <c r="AB500" s="17">
        <f>+VLOOKUP(E500,[1]base!M:N,2,0)</f>
        <v>187</v>
      </c>
      <c r="AC500" s="17">
        <f>+VLOOKUP(E500,[1]base!M:Q,5,0)</f>
        <v>520.63636363636363</v>
      </c>
      <c r="AD500" s="18">
        <f>+VLOOKUP(E500,[1]base!M:P,4,0)</f>
        <v>0.56511627906976747</v>
      </c>
      <c r="AE500" s="19">
        <f t="shared" si="55"/>
        <v>-49.576744186046518</v>
      </c>
    </row>
    <row r="501" spans="1:31" x14ac:dyDescent="0.25">
      <c r="A501" s="10" t="s">
        <v>145</v>
      </c>
      <c r="B501" s="11">
        <v>46263.380335648151</v>
      </c>
      <c r="C501" s="12" t="s">
        <v>146</v>
      </c>
      <c r="D501" s="12" t="s">
        <v>722</v>
      </c>
      <c r="E501" s="13" t="str">
        <f t="shared" si="49"/>
        <v>EC67105</v>
      </c>
      <c r="F501" s="14" t="str">
        <f t="shared" si="50"/>
        <v>NOIR</v>
      </c>
      <c r="G501" s="14">
        <f>+VLOOKUP(F501,[1]base!A:B,2,0)</f>
        <v>37</v>
      </c>
      <c r="H501" s="14">
        <v>20</v>
      </c>
      <c r="I501" s="14">
        <v>20</v>
      </c>
      <c r="J501" s="14"/>
      <c r="K501" s="14" t="s">
        <v>33</v>
      </c>
      <c r="L501" s="14" t="s">
        <v>724</v>
      </c>
      <c r="M501" s="14" t="s">
        <v>35</v>
      </c>
      <c r="N501" s="14">
        <v>20</v>
      </c>
      <c r="O501" s="14">
        <v>20</v>
      </c>
      <c r="P501" s="14">
        <v>0</v>
      </c>
      <c r="Q501" s="14">
        <v>0</v>
      </c>
      <c r="R501" s="14">
        <v>0</v>
      </c>
      <c r="S501" s="14"/>
      <c r="T501" s="15">
        <v>20</v>
      </c>
      <c r="U501" s="16"/>
      <c r="V501" s="17">
        <v>777</v>
      </c>
      <c r="W501" s="17">
        <f t="shared" si="51"/>
        <v>15540</v>
      </c>
      <c r="X501" s="17">
        <f t="shared" si="52"/>
        <v>808.07999999999993</v>
      </c>
      <c r="Y501" s="17">
        <v>782</v>
      </c>
      <c r="Z501" s="17">
        <f t="shared" si="53"/>
        <v>1</v>
      </c>
      <c r="AA501" s="17">
        <f t="shared" si="54"/>
        <v>6.6666666666666693E-2</v>
      </c>
      <c r="AB501" s="17">
        <f>+VLOOKUP(E501,[1]base!M:N,2,0)</f>
        <v>187</v>
      </c>
      <c r="AC501" s="17">
        <f>+VLOOKUP(E501,[1]base!M:Q,5,0)</f>
        <v>520.63636363636363</v>
      </c>
      <c r="AD501" s="18">
        <f>+VLOOKUP(E501,[1]base!M:P,4,0)</f>
        <v>0.56511627906976747</v>
      </c>
      <c r="AE501" s="19">
        <f t="shared" si="55"/>
        <v>-49.576744186046518</v>
      </c>
    </row>
    <row r="502" spans="1:31" x14ac:dyDescent="0.25">
      <c r="A502" s="10" t="s">
        <v>696</v>
      </c>
      <c r="B502" s="11">
        <v>46256.374837962961</v>
      </c>
      <c r="C502" s="12" t="s">
        <v>70</v>
      </c>
      <c r="D502" s="12" t="s">
        <v>725</v>
      </c>
      <c r="E502" s="13" t="str">
        <f t="shared" si="49"/>
        <v>FR112</v>
      </c>
      <c r="F502" s="14" t="str">
        <f t="shared" si="50"/>
        <v>NOIR</v>
      </c>
      <c r="G502" s="14">
        <f>+VLOOKUP(F502,[1]base!A:B,2,0)</f>
        <v>37</v>
      </c>
      <c r="H502" s="14">
        <v>1</v>
      </c>
      <c r="I502" s="14">
        <v>1</v>
      </c>
      <c r="J502" s="14"/>
      <c r="K502" s="14" t="s">
        <v>33</v>
      </c>
      <c r="L502" s="14" t="s">
        <v>726</v>
      </c>
      <c r="M502" s="14" t="s">
        <v>35</v>
      </c>
      <c r="N502" s="14">
        <v>1</v>
      </c>
      <c r="O502" s="14">
        <v>1</v>
      </c>
      <c r="P502" s="14">
        <v>0</v>
      </c>
      <c r="Q502" s="14">
        <v>0</v>
      </c>
      <c r="R502" s="14">
        <v>0</v>
      </c>
      <c r="S502" s="14"/>
      <c r="T502" s="15">
        <v>1</v>
      </c>
      <c r="U502" s="16"/>
      <c r="V502" s="17">
        <v>579</v>
      </c>
      <c r="W502" s="17">
        <f t="shared" si="51"/>
        <v>579</v>
      </c>
      <c r="X502" s="17">
        <f t="shared" si="52"/>
        <v>30.107999999999997</v>
      </c>
      <c r="Y502" s="17">
        <v>584</v>
      </c>
      <c r="Z502" s="17">
        <f t="shared" si="53"/>
        <v>1</v>
      </c>
      <c r="AA502" s="17">
        <f t="shared" si="54"/>
        <v>6.6666666666666693E-2</v>
      </c>
      <c r="AB502" s="17">
        <f>+VLOOKUP(E502,[1]base!M:N,2,0)</f>
        <v>205</v>
      </c>
      <c r="AC502" s="17">
        <f>+VLOOKUP(E502,[1]base!M:Q,5,0)</f>
        <v>110.9</v>
      </c>
      <c r="AD502" s="18">
        <f>+VLOOKUP(E502,[1]base!M:P,4,0)</f>
        <v>0.12393162393162394</v>
      </c>
      <c r="AE502" s="19">
        <f t="shared" si="55"/>
        <v>36.09401709401709</v>
      </c>
    </row>
    <row r="503" spans="1:31" x14ac:dyDescent="0.25">
      <c r="A503" s="10" t="s">
        <v>727</v>
      </c>
      <c r="B503" s="11">
        <v>46258.578530092593</v>
      </c>
      <c r="C503" s="12" t="s">
        <v>728</v>
      </c>
      <c r="D503" s="12" t="s">
        <v>725</v>
      </c>
      <c r="E503" s="13" t="str">
        <f t="shared" si="49"/>
        <v>FR112</v>
      </c>
      <c r="F503" s="14" t="str">
        <f t="shared" si="50"/>
        <v>NOIR</v>
      </c>
      <c r="G503" s="14">
        <f>+VLOOKUP(F503,[1]base!A:B,2,0)</f>
        <v>37</v>
      </c>
      <c r="H503" s="14">
        <v>6</v>
      </c>
      <c r="I503" s="14">
        <v>6</v>
      </c>
      <c r="J503" s="14"/>
      <c r="K503" s="14" t="s">
        <v>33</v>
      </c>
      <c r="L503" s="14" t="s">
        <v>729</v>
      </c>
      <c r="M503" s="14" t="s">
        <v>35</v>
      </c>
      <c r="N503" s="14">
        <v>6</v>
      </c>
      <c r="O503" s="14">
        <v>6</v>
      </c>
      <c r="P503" s="14">
        <v>0</v>
      </c>
      <c r="Q503" s="14">
        <v>0</v>
      </c>
      <c r="R503" s="14">
        <v>0</v>
      </c>
      <c r="S503" s="14"/>
      <c r="T503" s="15">
        <v>6</v>
      </c>
      <c r="U503" s="16"/>
      <c r="V503" s="17">
        <v>612</v>
      </c>
      <c r="W503" s="17">
        <f t="shared" si="51"/>
        <v>3672</v>
      </c>
      <c r="X503" s="17">
        <f t="shared" si="52"/>
        <v>190.94399999999999</v>
      </c>
      <c r="Y503" s="17">
        <v>617</v>
      </c>
      <c r="Z503" s="17">
        <f t="shared" si="53"/>
        <v>1</v>
      </c>
      <c r="AA503" s="17">
        <f t="shared" si="54"/>
        <v>6.6666666666666693E-2</v>
      </c>
      <c r="AB503" s="17">
        <f>+VLOOKUP(E503,[1]base!M:N,2,0)</f>
        <v>205</v>
      </c>
      <c r="AC503" s="17">
        <f>+VLOOKUP(E503,[1]base!M:Q,5,0)</f>
        <v>110.9</v>
      </c>
      <c r="AD503" s="18">
        <f>+VLOOKUP(E503,[1]base!M:P,4,0)</f>
        <v>0.12393162393162394</v>
      </c>
      <c r="AE503" s="19">
        <f t="shared" si="55"/>
        <v>36.09401709401709</v>
      </c>
    </row>
    <row r="504" spans="1:31" x14ac:dyDescent="0.25">
      <c r="A504" s="10" t="s">
        <v>730</v>
      </c>
      <c r="B504" s="11">
        <v>46260.566678240742</v>
      </c>
      <c r="C504" s="12" t="s">
        <v>143</v>
      </c>
      <c r="D504" s="12" t="s">
        <v>725</v>
      </c>
      <c r="E504" s="13" t="str">
        <f t="shared" si="49"/>
        <v>FR112</v>
      </c>
      <c r="F504" s="14" t="str">
        <f t="shared" si="50"/>
        <v>NOIR</v>
      </c>
      <c r="G504" s="14">
        <f>+VLOOKUP(F504,[1]base!A:B,2,0)</f>
        <v>37</v>
      </c>
      <c r="H504" s="14">
        <v>8</v>
      </c>
      <c r="I504" s="14">
        <v>8</v>
      </c>
      <c r="J504" s="14"/>
      <c r="K504" s="14" t="s">
        <v>33</v>
      </c>
      <c r="L504" s="14" t="s">
        <v>731</v>
      </c>
      <c r="M504" s="14" t="s">
        <v>35</v>
      </c>
      <c r="N504" s="14">
        <v>8</v>
      </c>
      <c r="O504" s="14">
        <v>8</v>
      </c>
      <c r="P504" s="14">
        <v>0</v>
      </c>
      <c r="Q504" s="14">
        <v>0</v>
      </c>
      <c r="R504" s="14">
        <v>0</v>
      </c>
      <c r="S504" s="14"/>
      <c r="T504" s="15">
        <v>8</v>
      </c>
      <c r="U504" s="16"/>
      <c r="V504" s="17">
        <v>646</v>
      </c>
      <c r="W504" s="17">
        <f t="shared" si="51"/>
        <v>5168</v>
      </c>
      <c r="X504" s="17">
        <f t="shared" si="52"/>
        <v>268.73599999999999</v>
      </c>
      <c r="Y504" s="17">
        <v>651</v>
      </c>
      <c r="Z504" s="17">
        <f t="shared" si="53"/>
        <v>1</v>
      </c>
      <c r="AA504" s="17">
        <f t="shared" si="54"/>
        <v>6.6666666666666693E-2</v>
      </c>
      <c r="AB504" s="17">
        <f>+VLOOKUP(E504,[1]base!M:N,2,0)</f>
        <v>205</v>
      </c>
      <c r="AC504" s="17">
        <f>+VLOOKUP(E504,[1]base!M:Q,5,0)</f>
        <v>110.9</v>
      </c>
      <c r="AD504" s="18">
        <f>+VLOOKUP(E504,[1]base!M:P,4,0)</f>
        <v>0.12393162393162394</v>
      </c>
      <c r="AE504" s="19">
        <f t="shared" si="55"/>
        <v>36.09401709401709</v>
      </c>
    </row>
    <row r="505" spans="1:31" x14ac:dyDescent="0.25">
      <c r="A505" s="10" t="s">
        <v>703</v>
      </c>
      <c r="B505" s="11">
        <v>46258.403113425928</v>
      </c>
      <c r="C505" s="12" t="s">
        <v>704</v>
      </c>
      <c r="D505" s="12" t="s">
        <v>732</v>
      </c>
      <c r="E505" s="13" t="str">
        <f t="shared" si="49"/>
        <v>EC40100</v>
      </c>
      <c r="F505" s="14" t="str">
        <f t="shared" si="50"/>
        <v>NOIR</v>
      </c>
      <c r="G505" s="14">
        <f>+VLOOKUP(F505,[1]base!A:B,2,0)</f>
        <v>37</v>
      </c>
      <c r="H505" s="14">
        <v>10</v>
      </c>
      <c r="I505" s="14">
        <v>10</v>
      </c>
      <c r="J505" s="14"/>
      <c r="K505" s="14" t="s">
        <v>33</v>
      </c>
      <c r="L505" s="14" t="s">
        <v>733</v>
      </c>
      <c r="M505" s="14" t="s">
        <v>35</v>
      </c>
      <c r="N505" s="14">
        <v>10</v>
      </c>
      <c r="O505" s="14">
        <v>10</v>
      </c>
      <c r="P505" s="14">
        <v>0</v>
      </c>
      <c r="Q505" s="14">
        <v>0</v>
      </c>
      <c r="R505" s="14">
        <v>10</v>
      </c>
      <c r="S505" s="14"/>
      <c r="T505" s="15">
        <v>10</v>
      </c>
      <c r="U505" s="16"/>
      <c r="V505" s="17">
        <v>602</v>
      </c>
      <c r="W505" s="17">
        <f t="shared" si="51"/>
        <v>6020</v>
      </c>
      <c r="X505" s="17">
        <f t="shared" si="52"/>
        <v>313.03999999999996</v>
      </c>
      <c r="Y505" s="17">
        <v>607</v>
      </c>
      <c r="Z505" s="17">
        <f t="shared" si="53"/>
        <v>1</v>
      </c>
      <c r="AA505" s="17">
        <f t="shared" si="54"/>
        <v>6.6666666666666693E-2</v>
      </c>
      <c r="AB505" s="17">
        <f>+VLOOKUP(E505,[1]base!M:N,2,0)</f>
        <v>218</v>
      </c>
      <c r="AC505" s="17">
        <f>+VLOOKUP(E505,[1]base!M:Q,5,0)</f>
        <v>2247.5454545454545</v>
      </c>
      <c r="AD505" s="18">
        <f>+VLOOKUP(E505,[1]base!M:P,4,0)</f>
        <v>0.19557195571955718</v>
      </c>
      <c r="AE505" s="19">
        <f t="shared" si="55"/>
        <v>22.765313653136531</v>
      </c>
    </row>
    <row r="506" spans="1:31" x14ac:dyDescent="0.25">
      <c r="A506" s="10" t="s">
        <v>696</v>
      </c>
      <c r="B506" s="11">
        <v>46256.374837962961</v>
      </c>
      <c r="C506" s="12" t="s">
        <v>70</v>
      </c>
      <c r="D506" s="12" t="s">
        <v>734</v>
      </c>
      <c r="E506" s="13" t="str">
        <f t="shared" si="49"/>
        <v>FR403</v>
      </c>
      <c r="F506" s="14" t="str">
        <f t="shared" si="50"/>
        <v>NOIR</v>
      </c>
      <c r="G506" s="14">
        <f>+VLOOKUP(F506,[1]base!A:B,2,0)</f>
        <v>37</v>
      </c>
      <c r="H506" s="14">
        <v>20</v>
      </c>
      <c r="I506" s="14">
        <v>20</v>
      </c>
      <c r="J506" s="14"/>
      <c r="K506" s="14" t="s">
        <v>33</v>
      </c>
      <c r="L506" s="14" t="s">
        <v>735</v>
      </c>
      <c r="M506" s="14" t="s">
        <v>35</v>
      </c>
      <c r="N506" s="14">
        <v>20</v>
      </c>
      <c r="O506" s="14">
        <v>20</v>
      </c>
      <c r="P506" s="14">
        <v>0</v>
      </c>
      <c r="Q506" s="14">
        <v>0</v>
      </c>
      <c r="R506" s="14">
        <v>0</v>
      </c>
      <c r="S506" s="14"/>
      <c r="T506" s="15">
        <v>20</v>
      </c>
      <c r="U506" s="16"/>
      <c r="V506" s="17">
        <v>581</v>
      </c>
      <c r="W506" s="17">
        <f t="shared" si="51"/>
        <v>11620</v>
      </c>
      <c r="X506" s="17">
        <f t="shared" si="52"/>
        <v>604.24</v>
      </c>
      <c r="Y506" s="17">
        <v>586</v>
      </c>
      <c r="Z506" s="17">
        <f t="shared" si="53"/>
        <v>1</v>
      </c>
      <c r="AA506" s="17">
        <f t="shared" si="54"/>
        <v>6.6666666666666693E-2</v>
      </c>
      <c r="AB506" s="17">
        <f>+VLOOKUP(E506,[1]base!M:N,2,0)</f>
        <v>316</v>
      </c>
      <c r="AC506" s="17">
        <f>+VLOOKUP(E506,[1]base!M:Q,5,0)</f>
        <v>34.875</v>
      </c>
      <c r="AD506" s="18">
        <f>+VLOOKUP(E506,[1]base!M:P,4,0)</f>
        <v>0.25295508274231676</v>
      </c>
      <c r="AE506" s="19">
        <f t="shared" si="55"/>
        <v>14.8661938534279</v>
      </c>
    </row>
    <row r="507" spans="1:31" x14ac:dyDescent="0.25">
      <c r="A507" s="10" t="s">
        <v>327</v>
      </c>
      <c r="B507" s="11">
        <v>46255.604097222225</v>
      </c>
      <c r="C507" s="12" t="s">
        <v>124</v>
      </c>
      <c r="D507" s="12" t="s">
        <v>736</v>
      </c>
      <c r="E507" s="13" t="str">
        <f t="shared" si="49"/>
        <v>CSQ302</v>
      </c>
      <c r="F507" s="14" t="str">
        <f t="shared" si="50"/>
        <v>NOIR</v>
      </c>
      <c r="G507" s="14">
        <f>+VLOOKUP(F507,[1]base!A:B,2,0)</f>
        <v>37</v>
      </c>
      <c r="H507" s="14">
        <v>2</v>
      </c>
      <c r="I507" s="14">
        <v>2</v>
      </c>
      <c r="J507" s="14"/>
      <c r="K507" s="14" t="s">
        <v>33</v>
      </c>
      <c r="L507" s="14" t="s">
        <v>737</v>
      </c>
      <c r="M507" s="14" t="s">
        <v>35</v>
      </c>
      <c r="N507" s="14">
        <v>2</v>
      </c>
      <c r="O507" s="14">
        <v>2</v>
      </c>
      <c r="P507" s="14">
        <v>0</v>
      </c>
      <c r="Q507" s="14">
        <v>0</v>
      </c>
      <c r="R507" s="14">
        <v>1</v>
      </c>
      <c r="S507" s="14"/>
      <c r="T507" s="15">
        <v>2</v>
      </c>
      <c r="U507" s="16"/>
      <c r="V507" s="17">
        <v>564</v>
      </c>
      <c r="W507" s="17">
        <f t="shared" si="51"/>
        <v>1128</v>
      </c>
      <c r="X507" s="17">
        <f t="shared" si="52"/>
        <v>58.655999999999999</v>
      </c>
      <c r="Y507" s="17">
        <v>569</v>
      </c>
      <c r="Z507" s="17">
        <f t="shared" si="53"/>
        <v>1</v>
      </c>
      <c r="AA507" s="17">
        <f t="shared" si="54"/>
        <v>6.6666666666666693E-2</v>
      </c>
      <c r="AB507" s="17">
        <f>+VLOOKUP(E507,[1]base!M:N,2,0)</f>
        <v>361</v>
      </c>
      <c r="AC507" s="17">
        <f>+VLOOKUP(E507,[1]base!M:Q,5,0)</f>
        <v>69</v>
      </c>
      <c r="AD507" s="18">
        <f>+VLOOKUP(E507,[1]base!M:P,4,0)</f>
        <v>5.5096418732782371E-3</v>
      </c>
      <c r="AE507" s="19">
        <f t="shared" si="55"/>
        <v>106.31101928374655</v>
      </c>
    </row>
    <row r="508" spans="1:31" x14ac:dyDescent="0.25">
      <c r="A508" s="10" t="s">
        <v>261</v>
      </c>
      <c r="B508" s="11">
        <v>46254.525277777779</v>
      </c>
      <c r="C508" s="12" t="s">
        <v>262</v>
      </c>
      <c r="D508" s="12" t="s">
        <v>738</v>
      </c>
      <c r="E508" s="13" t="str">
        <f t="shared" si="49"/>
        <v>EC40154</v>
      </c>
      <c r="F508" s="14" t="str">
        <f t="shared" si="50"/>
        <v>NOIR</v>
      </c>
      <c r="G508" s="14">
        <f>+VLOOKUP(F508,[1]base!A:B,2,0)</f>
        <v>37</v>
      </c>
      <c r="H508" s="14">
        <v>10</v>
      </c>
      <c r="I508" s="14">
        <v>10</v>
      </c>
      <c r="J508" s="14"/>
      <c r="K508" s="14" t="s">
        <v>33</v>
      </c>
      <c r="L508" s="14" t="s">
        <v>739</v>
      </c>
      <c r="M508" s="14" t="s">
        <v>35</v>
      </c>
      <c r="N508" s="14">
        <v>10</v>
      </c>
      <c r="O508" s="14">
        <v>10</v>
      </c>
      <c r="P508" s="14">
        <v>0</v>
      </c>
      <c r="Q508" s="14">
        <v>0</v>
      </c>
      <c r="R508" s="14">
        <v>0</v>
      </c>
      <c r="S508" s="14"/>
      <c r="T508" s="15">
        <v>10</v>
      </c>
      <c r="U508" s="16"/>
      <c r="V508" s="17">
        <v>545</v>
      </c>
      <c r="W508" s="17">
        <f t="shared" si="51"/>
        <v>5450</v>
      </c>
      <c r="X508" s="17">
        <f t="shared" si="52"/>
        <v>283.39999999999998</v>
      </c>
      <c r="Y508" s="17">
        <v>550</v>
      </c>
      <c r="Z508" s="17">
        <f t="shared" si="53"/>
        <v>1</v>
      </c>
      <c r="AA508" s="17">
        <f t="shared" si="54"/>
        <v>6.6666666666666693E-2</v>
      </c>
      <c r="AB508" s="17">
        <f>+VLOOKUP(E508,[1]base!M:N,2,0)</f>
        <v>392</v>
      </c>
      <c r="AC508" s="17">
        <f>+VLOOKUP(E508,[1]base!M:Q,5,0)</f>
        <v>102.83333333333333</v>
      </c>
      <c r="AD508" s="18">
        <f>+VLOOKUP(E508,[1]base!M:P,4,0)</f>
        <v>1.2594458438287154E-2</v>
      </c>
      <c r="AE508" s="19">
        <f t="shared" si="55"/>
        <v>112.66297229219143</v>
      </c>
    </row>
    <row r="509" spans="1:31" x14ac:dyDescent="0.25">
      <c r="A509" s="10" t="s">
        <v>696</v>
      </c>
      <c r="B509" s="11">
        <v>46256.374837962961</v>
      </c>
      <c r="C509" s="12" t="s">
        <v>70</v>
      </c>
      <c r="D509" s="12" t="s">
        <v>738</v>
      </c>
      <c r="E509" s="13" t="str">
        <f t="shared" si="49"/>
        <v>EC40154</v>
      </c>
      <c r="F509" s="14" t="str">
        <f t="shared" si="50"/>
        <v>NOIR</v>
      </c>
      <c r="G509" s="14">
        <f>+VLOOKUP(F509,[1]base!A:B,2,0)</f>
        <v>37</v>
      </c>
      <c r="H509" s="14">
        <v>3</v>
      </c>
      <c r="I509" s="14">
        <v>3</v>
      </c>
      <c r="J509" s="14"/>
      <c r="K509" s="14" t="s">
        <v>33</v>
      </c>
      <c r="L509" s="14" t="s">
        <v>740</v>
      </c>
      <c r="M509" s="14" t="s">
        <v>35</v>
      </c>
      <c r="N509" s="14">
        <v>3</v>
      </c>
      <c r="O509" s="14">
        <v>3</v>
      </c>
      <c r="P509" s="14">
        <v>0</v>
      </c>
      <c r="Q509" s="14">
        <v>0</v>
      </c>
      <c r="R509" s="14">
        <v>0</v>
      </c>
      <c r="S509" s="14"/>
      <c r="T509" s="15">
        <v>3</v>
      </c>
      <c r="U509" s="16"/>
      <c r="V509" s="17">
        <v>577</v>
      </c>
      <c r="W509" s="17">
        <f t="shared" si="51"/>
        <v>1731</v>
      </c>
      <c r="X509" s="17">
        <f t="shared" si="52"/>
        <v>90.012</v>
      </c>
      <c r="Y509" s="17">
        <v>582</v>
      </c>
      <c r="Z509" s="17">
        <f t="shared" si="53"/>
        <v>1</v>
      </c>
      <c r="AA509" s="17">
        <f t="shared" si="54"/>
        <v>6.6666666666666693E-2</v>
      </c>
      <c r="AB509" s="17">
        <f>+VLOOKUP(E509,[1]base!M:N,2,0)</f>
        <v>392</v>
      </c>
      <c r="AC509" s="17">
        <f>+VLOOKUP(E509,[1]base!M:Q,5,0)</f>
        <v>102.83333333333333</v>
      </c>
      <c r="AD509" s="18">
        <f>+VLOOKUP(E509,[1]base!M:P,4,0)</f>
        <v>1.2594458438287154E-2</v>
      </c>
      <c r="AE509" s="19">
        <f t="shared" si="55"/>
        <v>112.66297229219143</v>
      </c>
    </row>
    <row r="510" spans="1:31" x14ac:dyDescent="0.25">
      <c r="A510" s="10" t="s">
        <v>741</v>
      </c>
      <c r="B510" s="11">
        <v>46258.508391203701</v>
      </c>
      <c r="C510" s="12" t="s">
        <v>742</v>
      </c>
      <c r="D510" s="12" t="s">
        <v>738</v>
      </c>
      <c r="E510" s="13" t="str">
        <f t="shared" si="49"/>
        <v>EC40154</v>
      </c>
      <c r="F510" s="14" t="str">
        <f t="shared" si="50"/>
        <v>NOIR</v>
      </c>
      <c r="G510" s="14">
        <f>+VLOOKUP(F510,[1]base!A:B,2,0)</f>
        <v>37</v>
      </c>
      <c r="H510" s="14">
        <v>1</v>
      </c>
      <c r="I510" s="14">
        <v>1</v>
      </c>
      <c r="J510" s="14"/>
      <c r="K510" s="14" t="s">
        <v>33</v>
      </c>
      <c r="L510" s="14" t="s">
        <v>743</v>
      </c>
      <c r="M510" s="14" t="s">
        <v>35</v>
      </c>
      <c r="N510" s="14">
        <v>1</v>
      </c>
      <c r="O510" s="14">
        <v>1</v>
      </c>
      <c r="P510" s="14">
        <v>0</v>
      </c>
      <c r="Q510" s="14">
        <v>0</v>
      </c>
      <c r="R510" s="14">
        <v>0</v>
      </c>
      <c r="S510" s="14"/>
      <c r="T510" s="15">
        <v>1</v>
      </c>
      <c r="U510" s="16"/>
      <c r="V510" s="17">
        <v>605</v>
      </c>
      <c r="W510" s="17">
        <f t="shared" si="51"/>
        <v>605</v>
      </c>
      <c r="X510" s="17">
        <f t="shared" si="52"/>
        <v>31.459999999999997</v>
      </c>
      <c r="Y510" s="17">
        <v>610</v>
      </c>
      <c r="Z510" s="17">
        <f t="shared" si="53"/>
        <v>1</v>
      </c>
      <c r="AA510" s="17">
        <f t="shared" si="54"/>
        <v>6.6666666666666693E-2</v>
      </c>
      <c r="AB510" s="17">
        <f>+VLOOKUP(E510,[1]base!M:N,2,0)</f>
        <v>392</v>
      </c>
      <c r="AC510" s="17">
        <f>+VLOOKUP(E510,[1]base!M:Q,5,0)</f>
        <v>102.83333333333333</v>
      </c>
      <c r="AD510" s="18">
        <f>+VLOOKUP(E510,[1]base!M:P,4,0)</f>
        <v>1.2594458438287154E-2</v>
      </c>
      <c r="AE510" s="19">
        <f t="shared" si="55"/>
        <v>112.66297229219143</v>
      </c>
    </row>
    <row r="511" spans="1:31" x14ac:dyDescent="0.25">
      <c r="A511" s="10" t="s">
        <v>727</v>
      </c>
      <c r="B511" s="11">
        <v>46258.578530092593</v>
      </c>
      <c r="C511" s="12" t="s">
        <v>728</v>
      </c>
      <c r="D511" s="12" t="s">
        <v>738</v>
      </c>
      <c r="E511" s="13" t="str">
        <f t="shared" si="49"/>
        <v>EC40154</v>
      </c>
      <c r="F511" s="14" t="str">
        <f t="shared" si="50"/>
        <v>NOIR</v>
      </c>
      <c r="G511" s="14">
        <f>+VLOOKUP(F511,[1]base!A:B,2,0)</f>
        <v>37</v>
      </c>
      <c r="H511" s="14">
        <v>10</v>
      </c>
      <c r="I511" s="14">
        <v>10</v>
      </c>
      <c r="J511" s="14"/>
      <c r="K511" s="14" t="s">
        <v>33</v>
      </c>
      <c r="L511" s="14" t="s">
        <v>744</v>
      </c>
      <c r="M511" s="14" t="s">
        <v>35</v>
      </c>
      <c r="N511" s="14">
        <v>10</v>
      </c>
      <c r="O511" s="14">
        <v>10</v>
      </c>
      <c r="P511" s="14">
        <v>0</v>
      </c>
      <c r="Q511" s="14">
        <v>0</v>
      </c>
      <c r="R511" s="14">
        <v>0</v>
      </c>
      <c r="S511" s="14"/>
      <c r="T511" s="15">
        <v>10</v>
      </c>
      <c r="U511" s="16"/>
      <c r="V511" s="17">
        <v>609</v>
      </c>
      <c r="W511" s="17">
        <f t="shared" si="51"/>
        <v>6090</v>
      </c>
      <c r="X511" s="17">
        <f t="shared" si="52"/>
        <v>316.68</v>
      </c>
      <c r="Y511" s="17">
        <v>614</v>
      </c>
      <c r="Z511" s="17">
        <f t="shared" si="53"/>
        <v>1</v>
      </c>
      <c r="AA511" s="17">
        <f t="shared" si="54"/>
        <v>6.6666666666666693E-2</v>
      </c>
      <c r="AB511" s="17">
        <f>+VLOOKUP(E511,[1]base!M:N,2,0)</f>
        <v>392</v>
      </c>
      <c r="AC511" s="17">
        <f>+VLOOKUP(E511,[1]base!M:Q,5,0)</f>
        <v>102.83333333333333</v>
      </c>
      <c r="AD511" s="18">
        <f>+VLOOKUP(E511,[1]base!M:P,4,0)</f>
        <v>1.2594458438287154E-2</v>
      </c>
      <c r="AE511" s="19">
        <f t="shared" si="55"/>
        <v>112.66297229219143</v>
      </c>
    </row>
    <row r="512" spans="1:31" x14ac:dyDescent="0.25">
      <c r="A512" s="10" t="s">
        <v>687</v>
      </c>
      <c r="B512" s="11">
        <v>46267.323657407411</v>
      </c>
      <c r="C512" s="12" t="s">
        <v>199</v>
      </c>
      <c r="D512" s="12" t="s">
        <v>738</v>
      </c>
      <c r="E512" s="13" t="str">
        <f t="shared" si="49"/>
        <v>EC40154</v>
      </c>
      <c r="F512" s="14" t="str">
        <f t="shared" si="50"/>
        <v>NOIR</v>
      </c>
      <c r="G512" s="14">
        <f>+VLOOKUP(F512,[1]base!A:B,2,0)</f>
        <v>37</v>
      </c>
      <c r="H512" s="14">
        <v>12</v>
      </c>
      <c r="I512" s="14">
        <v>12</v>
      </c>
      <c r="J512" s="14"/>
      <c r="K512" s="14" t="s">
        <v>33</v>
      </c>
      <c r="L512" s="14" t="s">
        <v>745</v>
      </c>
      <c r="M512" s="14" t="s">
        <v>35</v>
      </c>
      <c r="N512" s="14">
        <v>12</v>
      </c>
      <c r="O512" s="14">
        <v>12</v>
      </c>
      <c r="P512" s="14">
        <v>0</v>
      </c>
      <c r="Q512" s="14">
        <v>0</v>
      </c>
      <c r="R512" s="14">
        <v>0</v>
      </c>
      <c r="S512" s="14"/>
      <c r="T512" s="15">
        <v>12</v>
      </c>
      <c r="U512" s="16"/>
      <c r="V512" s="17">
        <v>992</v>
      </c>
      <c r="W512" s="17">
        <f t="shared" si="51"/>
        <v>11904</v>
      </c>
      <c r="X512" s="17">
        <f t="shared" si="52"/>
        <v>619.00799999999992</v>
      </c>
      <c r="Y512" s="17">
        <v>997</v>
      </c>
      <c r="Z512" s="17">
        <f t="shared" si="53"/>
        <v>1</v>
      </c>
      <c r="AA512" s="17">
        <f t="shared" si="54"/>
        <v>6.6666666666666693E-2</v>
      </c>
      <c r="AB512" s="17">
        <f>+VLOOKUP(E512,[1]base!M:N,2,0)</f>
        <v>392</v>
      </c>
      <c r="AC512" s="17">
        <f>+VLOOKUP(E512,[1]base!M:Q,5,0)</f>
        <v>102.83333333333333</v>
      </c>
      <c r="AD512" s="18">
        <f>+VLOOKUP(E512,[1]base!M:P,4,0)</f>
        <v>1.2594458438287154E-2</v>
      </c>
      <c r="AE512" s="19">
        <f t="shared" si="55"/>
        <v>112.66297229219143</v>
      </c>
    </row>
    <row r="513" spans="1:31" x14ac:dyDescent="0.25">
      <c r="A513" s="10" t="s">
        <v>710</v>
      </c>
      <c r="B513" s="11">
        <v>46256.424629629626</v>
      </c>
      <c r="C513" s="12" t="s">
        <v>70</v>
      </c>
      <c r="D513" s="12" t="s">
        <v>746</v>
      </c>
      <c r="E513" s="13" t="str">
        <f t="shared" si="49"/>
        <v>CSQ105</v>
      </c>
      <c r="F513" s="14" t="str">
        <f t="shared" si="50"/>
        <v>NOIR</v>
      </c>
      <c r="G513" s="14">
        <f>+VLOOKUP(F513,[1]base!A:B,2,0)</f>
        <v>37</v>
      </c>
      <c r="H513" s="14">
        <v>17</v>
      </c>
      <c r="I513" s="14">
        <v>17</v>
      </c>
      <c r="J513" s="14"/>
      <c r="K513" s="14" t="s">
        <v>33</v>
      </c>
      <c r="L513" s="14" t="s">
        <v>747</v>
      </c>
      <c r="M513" s="14" t="s">
        <v>35</v>
      </c>
      <c r="N513" s="14">
        <v>17</v>
      </c>
      <c r="O513" s="14">
        <v>17</v>
      </c>
      <c r="P513" s="14">
        <v>0</v>
      </c>
      <c r="Q513" s="14">
        <v>0</v>
      </c>
      <c r="R513" s="14">
        <v>0</v>
      </c>
      <c r="S513" s="14"/>
      <c r="T513" s="15">
        <v>17</v>
      </c>
      <c r="U513" s="16"/>
      <c r="V513" s="17">
        <v>584</v>
      </c>
      <c r="W513" s="17">
        <f t="shared" si="51"/>
        <v>9928</v>
      </c>
      <c r="X513" s="17">
        <f t="shared" si="52"/>
        <v>516.25599999999997</v>
      </c>
      <c r="Y513" s="17">
        <v>589</v>
      </c>
      <c r="Z513" s="17">
        <f t="shared" si="53"/>
        <v>1</v>
      </c>
      <c r="AA513" s="17">
        <f t="shared" si="54"/>
        <v>6.6666666666666693E-2</v>
      </c>
      <c r="AB513" s="17">
        <f>+VLOOKUP(E513,[1]base!M:N,2,0)</f>
        <v>404</v>
      </c>
      <c r="AC513" s="17">
        <f>+VLOOKUP(E513,[1]base!M:Q,5,0)</f>
        <v>233</v>
      </c>
      <c r="AD513" s="18">
        <f>+VLOOKUP(E513,[1]base!M:P,4,0)</f>
        <v>9.8039215686274508E-3</v>
      </c>
      <c r="AE513" s="19">
        <f t="shared" si="55"/>
        <v>117.23921568627449</v>
      </c>
    </row>
    <row r="514" spans="1:31" x14ac:dyDescent="0.25">
      <c r="A514" s="10" t="s">
        <v>690</v>
      </c>
      <c r="B514" s="11">
        <v>46259.434999999998</v>
      </c>
      <c r="C514" s="12" t="s">
        <v>691</v>
      </c>
      <c r="D514" s="12" t="s">
        <v>746</v>
      </c>
      <c r="E514" s="13" t="str">
        <f t="shared" ref="E514:E577" si="56">_xlfn.TEXTBEFORE(D514, "-", -1, 1, , D514)</f>
        <v>CSQ105</v>
      </c>
      <c r="F514" s="14" t="str">
        <f t="shared" ref="F514:F577" si="57">_xlfn.TEXTAFTER(D514, "-", -1, 1, , "")</f>
        <v>NOIR</v>
      </c>
      <c r="G514" s="14">
        <f>+VLOOKUP(F514,[1]base!A:B,2,0)</f>
        <v>37</v>
      </c>
      <c r="H514" s="14">
        <v>10</v>
      </c>
      <c r="I514" s="14">
        <v>10</v>
      </c>
      <c r="J514" s="14"/>
      <c r="K514" s="14" t="s">
        <v>33</v>
      </c>
      <c r="L514" s="14" t="s">
        <v>748</v>
      </c>
      <c r="M514" s="14" t="s">
        <v>35</v>
      </c>
      <c r="N514" s="14">
        <v>10</v>
      </c>
      <c r="O514" s="14">
        <v>10</v>
      </c>
      <c r="P514" s="14">
        <v>0</v>
      </c>
      <c r="Q514" s="14">
        <v>0</v>
      </c>
      <c r="R514" s="14">
        <v>0</v>
      </c>
      <c r="S514" s="14"/>
      <c r="T514" s="15">
        <v>10</v>
      </c>
      <c r="U514" s="16"/>
      <c r="V514" s="17">
        <v>614</v>
      </c>
      <c r="W514" s="17">
        <f t="shared" ref="W514:W577" si="58">(T514+U514)*V514</f>
        <v>6140</v>
      </c>
      <c r="X514" s="17">
        <f t="shared" ref="X514:X577" si="59">+W514*0.052</f>
        <v>319.27999999999997</v>
      </c>
      <c r="Y514" s="17">
        <v>619</v>
      </c>
      <c r="Z514" s="17">
        <f t="shared" ref="Z514:Z577" si="60">ROUNDUP(T514/Y514,0)</f>
        <v>1</v>
      </c>
      <c r="AA514" s="17">
        <f t="shared" ref="AA514:AA577" si="61">+Z514*0.0666666666666667</f>
        <v>6.6666666666666693E-2</v>
      </c>
      <c r="AB514" s="17">
        <f>+VLOOKUP(E514,[1]base!M:N,2,0)</f>
        <v>404</v>
      </c>
      <c r="AC514" s="17">
        <f>+VLOOKUP(E514,[1]base!M:Q,5,0)</f>
        <v>233</v>
      </c>
      <c r="AD514" s="18">
        <f>+VLOOKUP(E514,[1]base!M:P,4,0)</f>
        <v>9.8039215686274508E-3</v>
      </c>
      <c r="AE514" s="19">
        <f t="shared" ref="AE514:AE577" si="62">+AB514*(30%-AD514)</f>
        <v>117.23921568627449</v>
      </c>
    </row>
    <row r="515" spans="1:31" x14ac:dyDescent="0.25">
      <c r="A515" s="10" t="s">
        <v>730</v>
      </c>
      <c r="B515" s="11">
        <v>46260.566678240742</v>
      </c>
      <c r="C515" s="12" t="s">
        <v>143</v>
      </c>
      <c r="D515" s="12" t="s">
        <v>749</v>
      </c>
      <c r="E515" s="13" t="str">
        <f t="shared" si="56"/>
        <v>FR166</v>
      </c>
      <c r="F515" s="14" t="str">
        <f t="shared" si="57"/>
        <v>NOIR</v>
      </c>
      <c r="G515" s="14">
        <f>+VLOOKUP(F515,[1]base!A:B,2,0)</f>
        <v>37</v>
      </c>
      <c r="H515" s="14">
        <v>50</v>
      </c>
      <c r="I515" s="14">
        <v>50</v>
      </c>
      <c r="J515" s="14"/>
      <c r="K515" s="14" t="s">
        <v>33</v>
      </c>
      <c r="L515" s="14" t="s">
        <v>750</v>
      </c>
      <c r="M515" s="14" t="s">
        <v>35</v>
      </c>
      <c r="N515" s="14">
        <v>50</v>
      </c>
      <c r="O515" s="14">
        <v>50</v>
      </c>
      <c r="P515" s="14">
        <v>0</v>
      </c>
      <c r="Q515" s="14">
        <v>0</v>
      </c>
      <c r="R515" s="14">
        <v>0</v>
      </c>
      <c r="S515" s="14"/>
      <c r="T515" s="15">
        <v>50</v>
      </c>
      <c r="U515" s="16"/>
      <c r="V515" s="17">
        <v>647</v>
      </c>
      <c r="W515" s="17">
        <f t="shared" si="58"/>
        <v>32350</v>
      </c>
      <c r="X515" s="17">
        <f t="shared" si="59"/>
        <v>1682.1999999999998</v>
      </c>
      <c r="Y515" s="17">
        <v>652</v>
      </c>
      <c r="Z515" s="17">
        <f t="shared" si="60"/>
        <v>1</v>
      </c>
      <c r="AA515" s="17">
        <f t="shared" si="61"/>
        <v>6.6666666666666693E-2</v>
      </c>
      <c r="AB515" s="17">
        <f>+VLOOKUP(E515,[1]base!M:N,2,0)</f>
        <v>437</v>
      </c>
      <c r="AC515" s="17">
        <f>+VLOOKUP(E515,[1]base!M:Q,5,0)</f>
        <v>435.66666666666669</v>
      </c>
      <c r="AD515" s="18">
        <f>+VLOOKUP(E515,[1]base!M:P,4,0)</f>
        <v>0.14980544747081712</v>
      </c>
      <c r="AE515" s="19">
        <f t="shared" si="62"/>
        <v>65.635019455252916</v>
      </c>
    </row>
    <row r="516" spans="1:31" x14ac:dyDescent="0.25">
      <c r="A516" s="10" t="s">
        <v>710</v>
      </c>
      <c r="B516" s="11">
        <v>46256.424629629626</v>
      </c>
      <c r="C516" s="12" t="s">
        <v>70</v>
      </c>
      <c r="D516" s="12" t="s">
        <v>751</v>
      </c>
      <c r="E516" s="13" t="str">
        <f t="shared" si="56"/>
        <v>FSQ100</v>
      </c>
      <c r="F516" s="14" t="str">
        <f t="shared" si="57"/>
        <v>NOIR</v>
      </c>
      <c r="G516" s="14">
        <f>+VLOOKUP(F516,[1]base!A:B,2,0)</f>
        <v>37</v>
      </c>
      <c r="H516" s="14">
        <v>10</v>
      </c>
      <c r="I516" s="14">
        <v>10</v>
      </c>
      <c r="J516" s="14"/>
      <c r="K516" s="14" t="s">
        <v>33</v>
      </c>
      <c r="L516" s="14" t="s">
        <v>752</v>
      </c>
      <c r="M516" s="14" t="s">
        <v>35</v>
      </c>
      <c r="N516" s="14">
        <v>10</v>
      </c>
      <c r="O516" s="14">
        <v>10</v>
      </c>
      <c r="P516" s="14">
        <v>0</v>
      </c>
      <c r="Q516" s="14">
        <v>0</v>
      </c>
      <c r="R516" s="14">
        <v>0</v>
      </c>
      <c r="S516" s="14"/>
      <c r="T516" s="15">
        <v>10</v>
      </c>
      <c r="U516" s="16"/>
      <c r="V516" s="17">
        <v>586</v>
      </c>
      <c r="W516" s="17">
        <f t="shared" si="58"/>
        <v>5860</v>
      </c>
      <c r="X516" s="17">
        <f t="shared" si="59"/>
        <v>304.71999999999997</v>
      </c>
      <c r="Y516" s="17">
        <v>591</v>
      </c>
      <c r="Z516" s="17">
        <f t="shared" si="60"/>
        <v>1</v>
      </c>
      <c r="AA516" s="17">
        <f t="shared" si="61"/>
        <v>6.6666666666666693E-2</v>
      </c>
      <c r="AB516" s="17">
        <f>+VLOOKUP(E516,[1]base!M:N,2,0)</f>
        <v>611</v>
      </c>
      <c r="AC516" s="17">
        <f>+VLOOKUP(E516,[1]base!M:Q,5,0)</f>
        <v>85.333333333333329</v>
      </c>
      <c r="AD516" s="18">
        <f>+VLOOKUP(E516,[1]base!M:P,4,0)</f>
        <v>3.1695721077654518E-2</v>
      </c>
      <c r="AE516" s="19">
        <f t="shared" si="62"/>
        <v>163.93391442155308</v>
      </c>
    </row>
    <row r="517" spans="1:31" x14ac:dyDescent="0.25">
      <c r="A517" s="10" t="s">
        <v>753</v>
      </c>
      <c r="B517" s="11">
        <v>46246.552789351852</v>
      </c>
      <c r="C517" s="12" t="s">
        <v>39</v>
      </c>
      <c r="D517" s="12" t="s">
        <v>754</v>
      </c>
      <c r="E517" s="13" t="str">
        <f t="shared" si="56"/>
        <v>P013</v>
      </c>
      <c r="F517" s="14" t="str">
        <f t="shared" si="57"/>
        <v>NOIR</v>
      </c>
      <c r="G517" s="14">
        <f>+VLOOKUP(F517,[1]base!A:B,2,0)</f>
        <v>37</v>
      </c>
      <c r="H517" s="14">
        <v>22</v>
      </c>
      <c r="I517" s="14">
        <v>22</v>
      </c>
      <c r="J517" s="14"/>
      <c r="K517" s="14" t="s">
        <v>33</v>
      </c>
      <c r="L517" s="14" t="s">
        <v>755</v>
      </c>
      <c r="M517" s="14" t="s">
        <v>35</v>
      </c>
      <c r="N517" s="14">
        <v>22</v>
      </c>
      <c r="O517" s="14">
        <v>22</v>
      </c>
      <c r="P517" s="14">
        <v>0</v>
      </c>
      <c r="Q517" s="14">
        <v>0</v>
      </c>
      <c r="R517" s="14">
        <v>0</v>
      </c>
      <c r="S517" s="14"/>
      <c r="T517" s="15">
        <v>22</v>
      </c>
      <c r="U517" s="16"/>
      <c r="V517" s="17">
        <v>451</v>
      </c>
      <c r="W517" s="17">
        <f t="shared" si="58"/>
        <v>9922</v>
      </c>
      <c r="X517" s="17">
        <f t="shared" si="59"/>
        <v>515.94399999999996</v>
      </c>
      <c r="Y517" s="17">
        <v>456</v>
      </c>
      <c r="Z517" s="17">
        <f t="shared" si="60"/>
        <v>1</v>
      </c>
      <c r="AA517" s="17">
        <f t="shared" si="61"/>
        <v>6.6666666666666693E-2</v>
      </c>
      <c r="AB517" s="17">
        <f>+VLOOKUP(E517,[1]base!M:N,2,0)</f>
        <v>630</v>
      </c>
      <c r="AC517" s="17">
        <f>+VLOOKUP(E517,[1]base!M:Q,5,0)</f>
        <v>0</v>
      </c>
      <c r="AD517" s="18">
        <f>+VLOOKUP(E517,[1]base!M:P,4,0)</f>
        <v>0</v>
      </c>
      <c r="AE517" s="19">
        <f t="shared" si="62"/>
        <v>189</v>
      </c>
    </row>
    <row r="518" spans="1:31" x14ac:dyDescent="0.25">
      <c r="A518" s="10" t="s">
        <v>756</v>
      </c>
      <c r="B518" s="11">
        <v>46254.622511574074</v>
      </c>
      <c r="C518" s="12" t="s">
        <v>143</v>
      </c>
      <c r="D518" s="12" t="s">
        <v>757</v>
      </c>
      <c r="E518" s="13" t="str">
        <f t="shared" si="56"/>
        <v>EC67103</v>
      </c>
      <c r="F518" s="14" t="str">
        <f t="shared" si="57"/>
        <v>NOIR</v>
      </c>
      <c r="G518" s="14">
        <f>+VLOOKUP(F518,[1]base!A:B,2,0)</f>
        <v>37</v>
      </c>
      <c r="H518" s="14">
        <v>40</v>
      </c>
      <c r="I518" s="14">
        <v>40</v>
      </c>
      <c r="J518" s="14"/>
      <c r="K518" s="14" t="s">
        <v>33</v>
      </c>
      <c r="L518" s="14" t="s">
        <v>758</v>
      </c>
      <c r="M518" s="14" t="s">
        <v>35</v>
      </c>
      <c r="N518" s="14">
        <v>40</v>
      </c>
      <c r="O518" s="14">
        <v>40</v>
      </c>
      <c r="P518" s="14">
        <v>0</v>
      </c>
      <c r="Q518" s="14">
        <v>0</v>
      </c>
      <c r="R518" s="14">
        <v>0</v>
      </c>
      <c r="S518" s="14"/>
      <c r="T518" s="15">
        <v>40</v>
      </c>
      <c r="U518" s="16"/>
      <c r="V518" s="17">
        <v>552</v>
      </c>
      <c r="W518" s="17">
        <f t="shared" si="58"/>
        <v>22080</v>
      </c>
      <c r="X518" s="17">
        <f t="shared" si="59"/>
        <v>1148.1599999999999</v>
      </c>
      <c r="Y518" s="17">
        <v>557</v>
      </c>
      <c r="Z518" s="17">
        <f t="shared" si="60"/>
        <v>1</v>
      </c>
      <c r="AA518" s="17">
        <f t="shared" si="61"/>
        <v>6.6666666666666693E-2</v>
      </c>
      <c r="AB518" s="17">
        <f>+VLOOKUP(E518,[1]base!M:N,2,0)</f>
        <v>639</v>
      </c>
      <c r="AC518" s="17">
        <f>+VLOOKUP(E518,[1]base!M:Q,5,0)</f>
        <v>720.75</v>
      </c>
      <c r="AD518" s="18">
        <f>+VLOOKUP(E518,[1]base!M:P,4,0)</f>
        <v>0.18076923076923077</v>
      </c>
      <c r="AE518" s="19">
        <f t="shared" si="62"/>
        <v>76.188461538461539</v>
      </c>
    </row>
    <row r="519" spans="1:31" x14ac:dyDescent="0.25">
      <c r="A519" s="10" t="s">
        <v>706</v>
      </c>
      <c r="B519" s="11">
        <v>46256.457442129627</v>
      </c>
      <c r="C519" s="12" t="s">
        <v>707</v>
      </c>
      <c r="D519" s="12" t="s">
        <v>757</v>
      </c>
      <c r="E519" s="13" t="str">
        <f t="shared" si="56"/>
        <v>EC67103</v>
      </c>
      <c r="F519" s="14" t="str">
        <f t="shared" si="57"/>
        <v>NOIR</v>
      </c>
      <c r="G519" s="14">
        <f>+VLOOKUP(F519,[1]base!A:B,2,0)</f>
        <v>37</v>
      </c>
      <c r="H519" s="14">
        <v>20</v>
      </c>
      <c r="I519" s="14">
        <v>20</v>
      </c>
      <c r="J519" s="14"/>
      <c r="K519" s="14" t="s">
        <v>33</v>
      </c>
      <c r="L519" s="14" t="s">
        <v>759</v>
      </c>
      <c r="M519" s="14" t="s">
        <v>35</v>
      </c>
      <c r="N519" s="14">
        <v>20</v>
      </c>
      <c r="O519" s="14">
        <v>20</v>
      </c>
      <c r="P519" s="14">
        <v>0</v>
      </c>
      <c r="Q519" s="14">
        <v>0</v>
      </c>
      <c r="R519" s="14">
        <v>0</v>
      </c>
      <c r="S519" s="14"/>
      <c r="T519" s="15">
        <v>20</v>
      </c>
      <c r="U519" s="16"/>
      <c r="V519" s="17">
        <v>589</v>
      </c>
      <c r="W519" s="17">
        <f t="shared" si="58"/>
        <v>11780</v>
      </c>
      <c r="X519" s="17">
        <f t="shared" si="59"/>
        <v>612.55999999999995</v>
      </c>
      <c r="Y519" s="17">
        <v>594</v>
      </c>
      <c r="Z519" s="17">
        <f t="shared" si="60"/>
        <v>1</v>
      </c>
      <c r="AA519" s="17">
        <f t="shared" si="61"/>
        <v>6.6666666666666693E-2</v>
      </c>
      <c r="AB519" s="17">
        <f>+VLOOKUP(E519,[1]base!M:N,2,0)</f>
        <v>639</v>
      </c>
      <c r="AC519" s="17">
        <f>+VLOOKUP(E519,[1]base!M:Q,5,0)</f>
        <v>720.75</v>
      </c>
      <c r="AD519" s="18">
        <f>+VLOOKUP(E519,[1]base!M:P,4,0)</f>
        <v>0.18076923076923077</v>
      </c>
      <c r="AE519" s="19">
        <f t="shared" si="62"/>
        <v>76.188461538461539</v>
      </c>
    </row>
    <row r="520" spans="1:31" x14ac:dyDescent="0.25">
      <c r="A520" s="10" t="s">
        <v>703</v>
      </c>
      <c r="B520" s="11">
        <v>46258.403113425928</v>
      </c>
      <c r="C520" s="12" t="s">
        <v>704</v>
      </c>
      <c r="D520" s="12" t="s">
        <v>757</v>
      </c>
      <c r="E520" s="13" t="str">
        <f t="shared" si="56"/>
        <v>EC67103</v>
      </c>
      <c r="F520" s="14" t="str">
        <f t="shared" si="57"/>
        <v>NOIR</v>
      </c>
      <c r="G520" s="14">
        <f>+VLOOKUP(F520,[1]base!A:B,2,0)</f>
        <v>37</v>
      </c>
      <c r="H520" s="14">
        <v>24</v>
      </c>
      <c r="I520" s="14">
        <v>24</v>
      </c>
      <c r="J520" s="14"/>
      <c r="K520" s="14" t="s">
        <v>33</v>
      </c>
      <c r="L520" s="14" t="s">
        <v>760</v>
      </c>
      <c r="M520" s="14" t="s">
        <v>35</v>
      </c>
      <c r="N520" s="14">
        <v>24</v>
      </c>
      <c r="O520" s="14">
        <v>24</v>
      </c>
      <c r="P520" s="14">
        <v>0</v>
      </c>
      <c r="Q520" s="14">
        <v>0</v>
      </c>
      <c r="R520" s="14">
        <v>0</v>
      </c>
      <c r="S520" s="14"/>
      <c r="T520" s="15">
        <v>24</v>
      </c>
      <c r="U520" s="16"/>
      <c r="V520" s="17">
        <v>598</v>
      </c>
      <c r="W520" s="17">
        <f t="shared" si="58"/>
        <v>14352</v>
      </c>
      <c r="X520" s="17">
        <f t="shared" si="59"/>
        <v>746.30399999999997</v>
      </c>
      <c r="Y520" s="17">
        <v>603</v>
      </c>
      <c r="Z520" s="17">
        <f t="shared" si="60"/>
        <v>1</v>
      </c>
      <c r="AA520" s="17">
        <f t="shared" si="61"/>
        <v>6.6666666666666693E-2</v>
      </c>
      <c r="AB520" s="17">
        <f>+VLOOKUP(E520,[1]base!M:N,2,0)</f>
        <v>639</v>
      </c>
      <c r="AC520" s="17">
        <f>+VLOOKUP(E520,[1]base!M:Q,5,0)</f>
        <v>720.75</v>
      </c>
      <c r="AD520" s="18">
        <f>+VLOOKUP(E520,[1]base!M:P,4,0)</f>
        <v>0.18076923076923077</v>
      </c>
      <c r="AE520" s="19">
        <f t="shared" si="62"/>
        <v>76.188461538461539</v>
      </c>
    </row>
    <row r="521" spans="1:31" x14ac:dyDescent="0.25">
      <c r="A521" s="10" t="s">
        <v>727</v>
      </c>
      <c r="B521" s="11">
        <v>46258.578530092593</v>
      </c>
      <c r="C521" s="12" t="s">
        <v>728</v>
      </c>
      <c r="D521" s="12" t="s">
        <v>757</v>
      </c>
      <c r="E521" s="13" t="str">
        <f t="shared" si="56"/>
        <v>EC67103</v>
      </c>
      <c r="F521" s="14" t="str">
        <f t="shared" si="57"/>
        <v>NOIR</v>
      </c>
      <c r="G521" s="14">
        <f>+VLOOKUP(F521,[1]base!A:B,2,0)</f>
        <v>37</v>
      </c>
      <c r="H521" s="14">
        <v>20</v>
      </c>
      <c r="I521" s="14">
        <v>20</v>
      </c>
      <c r="J521" s="14"/>
      <c r="K521" s="14" t="s">
        <v>33</v>
      </c>
      <c r="L521" s="14" t="s">
        <v>761</v>
      </c>
      <c r="M521" s="14" t="s">
        <v>35</v>
      </c>
      <c r="N521" s="14">
        <v>20</v>
      </c>
      <c r="O521" s="14">
        <v>20</v>
      </c>
      <c r="P521" s="14">
        <v>0</v>
      </c>
      <c r="Q521" s="14">
        <v>0</v>
      </c>
      <c r="R521" s="14">
        <v>0</v>
      </c>
      <c r="S521" s="14"/>
      <c r="T521" s="15">
        <v>20</v>
      </c>
      <c r="U521" s="16"/>
      <c r="V521" s="17">
        <v>611</v>
      </c>
      <c r="W521" s="17">
        <f t="shared" si="58"/>
        <v>12220</v>
      </c>
      <c r="X521" s="17">
        <f t="shared" si="59"/>
        <v>635.43999999999994</v>
      </c>
      <c r="Y521" s="17">
        <v>616</v>
      </c>
      <c r="Z521" s="17">
        <f t="shared" si="60"/>
        <v>1</v>
      </c>
      <c r="AA521" s="17">
        <f t="shared" si="61"/>
        <v>6.6666666666666693E-2</v>
      </c>
      <c r="AB521" s="17">
        <f>+VLOOKUP(E521,[1]base!M:N,2,0)</f>
        <v>639</v>
      </c>
      <c r="AC521" s="17">
        <f>+VLOOKUP(E521,[1]base!M:Q,5,0)</f>
        <v>720.75</v>
      </c>
      <c r="AD521" s="18">
        <f>+VLOOKUP(E521,[1]base!M:P,4,0)</f>
        <v>0.18076923076923077</v>
      </c>
      <c r="AE521" s="19">
        <f t="shared" si="62"/>
        <v>76.188461538461539</v>
      </c>
    </row>
    <row r="522" spans="1:31" x14ac:dyDescent="0.25">
      <c r="A522" s="10" t="s">
        <v>730</v>
      </c>
      <c r="B522" s="11">
        <v>46260.566678240742</v>
      </c>
      <c r="C522" s="12" t="s">
        <v>143</v>
      </c>
      <c r="D522" s="12" t="s">
        <v>757</v>
      </c>
      <c r="E522" s="13" t="str">
        <f t="shared" si="56"/>
        <v>EC67103</v>
      </c>
      <c r="F522" s="14" t="str">
        <f t="shared" si="57"/>
        <v>NOIR</v>
      </c>
      <c r="G522" s="14">
        <f>+VLOOKUP(F522,[1]base!A:B,2,0)</f>
        <v>37</v>
      </c>
      <c r="H522" s="14">
        <v>20</v>
      </c>
      <c r="I522" s="14">
        <v>20</v>
      </c>
      <c r="J522" s="14"/>
      <c r="K522" s="14" t="s">
        <v>33</v>
      </c>
      <c r="L522" s="14" t="s">
        <v>762</v>
      </c>
      <c r="M522" s="14" t="s">
        <v>35</v>
      </c>
      <c r="N522" s="14">
        <v>20</v>
      </c>
      <c r="O522" s="14">
        <v>20</v>
      </c>
      <c r="P522" s="14">
        <v>0</v>
      </c>
      <c r="Q522" s="14">
        <v>0</v>
      </c>
      <c r="R522" s="14">
        <v>0</v>
      </c>
      <c r="S522" s="14"/>
      <c r="T522" s="15">
        <v>20</v>
      </c>
      <c r="U522" s="16"/>
      <c r="V522" s="17">
        <v>644</v>
      </c>
      <c r="W522" s="17">
        <f t="shared" si="58"/>
        <v>12880</v>
      </c>
      <c r="X522" s="17">
        <f t="shared" si="59"/>
        <v>669.76</v>
      </c>
      <c r="Y522" s="17">
        <v>649</v>
      </c>
      <c r="Z522" s="17">
        <f t="shared" si="60"/>
        <v>1</v>
      </c>
      <c r="AA522" s="17">
        <f t="shared" si="61"/>
        <v>6.6666666666666693E-2</v>
      </c>
      <c r="AB522" s="17">
        <f>+VLOOKUP(E522,[1]base!M:N,2,0)</f>
        <v>639</v>
      </c>
      <c r="AC522" s="17">
        <f>+VLOOKUP(E522,[1]base!M:Q,5,0)</f>
        <v>720.75</v>
      </c>
      <c r="AD522" s="18">
        <f>+VLOOKUP(E522,[1]base!M:P,4,0)</f>
        <v>0.18076923076923077</v>
      </c>
      <c r="AE522" s="19">
        <f t="shared" si="62"/>
        <v>76.188461538461539</v>
      </c>
    </row>
    <row r="523" spans="1:31" x14ac:dyDescent="0.25">
      <c r="A523" s="10" t="s">
        <v>703</v>
      </c>
      <c r="B523" s="11">
        <v>46258.403113425928</v>
      </c>
      <c r="C523" s="12" t="s">
        <v>704</v>
      </c>
      <c r="D523" s="12" t="s">
        <v>763</v>
      </c>
      <c r="E523" s="13" t="str">
        <f t="shared" si="56"/>
        <v>EC67101</v>
      </c>
      <c r="F523" s="14" t="str">
        <f t="shared" si="57"/>
        <v>NOIR</v>
      </c>
      <c r="G523" s="14">
        <f>+VLOOKUP(F523,[1]base!A:B,2,0)</f>
        <v>37</v>
      </c>
      <c r="H523" s="14">
        <v>8</v>
      </c>
      <c r="I523" s="14">
        <v>8</v>
      </c>
      <c r="J523" s="14"/>
      <c r="K523" s="14" t="s">
        <v>33</v>
      </c>
      <c r="L523" s="14" t="s">
        <v>764</v>
      </c>
      <c r="M523" s="14" t="s">
        <v>35</v>
      </c>
      <c r="N523" s="14">
        <v>8</v>
      </c>
      <c r="O523" s="14">
        <v>8</v>
      </c>
      <c r="P523" s="14">
        <v>0</v>
      </c>
      <c r="Q523" s="14">
        <v>0</v>
      </c>
      <c r="R523" s="14">
        <v>0</v>
      </c>
      <c r="S523" s="14"/>
      <c r="T523" s="15">
        <v>8</v>
      </c>
      <c r="U523" s="16"/>
      <c r="V523" s="17">
        <v>595</v>
      </c>
      <c r="W523" s="17">
        <f t="shared" si="58"/>
        <v>4760</v>
      </c>
      <c r="X523" s="17">
        <f t="shared" si="59"/>
        <v>247.51999999999998</v>
      </c>
      <c r="Y523" s="17">
        <v>600</v>
      </c>
      <c r="Z523" s="17">
        <f t="shared" si="60"/>
        <v>1</v>
      </c>
      <c r="AA523" s="17">
        <f t="shared" si="61"/>
        <v>6.6666666666666693E-2</v>
      </c>
      <c r="AB523" s="17">
        <f>+VLOOKUP(E523,[1]base!M:N,2,0)</f>
        <v>668</v>
      </c>
      <c r="AC523" s="17">
        <f>+VLOOKUP(E523,[1]base!M:Q,5,0)</f>
        <v>200.44444444444446</v>
      </c>
      <c r="AD523" s="18">
        <f>+VLOOKUP(E523,[1]base!M:P,4,0)</f>
        <v>0.15012722646310434</v>
      </c>
      <c r="AE523" s="19">
        <f t="shared" si="62"/>
        <v>100.1150127226463</v>
      </c>
    </row>
    <row r="524" spans="1:31" x14ac:dyDescent="0.25">
      <c r="A524" s="10" t="s">
        <v>690</v>
      </c>
      <c r="B524" s="11">
        <v>46259.434999999998</v>
      </c>
      <c r="C524" s="12" t="s">
        <v>691</v>
      </c>
      <c r="D524" s="12" t="s">
        <v>765</v>
      </c>
      <c r="E524" s="13" t="str">
        <f t="shared" si="56"/>
        <v>FSQ401</v>
      </c>
      <c r="F524" s="14" t="str">
        <f t="shared" si="57"/>
        <v>NOIR</v>
      </c>
      <c r="G524" s="14">
        <f>+VLOOKUP(F524,[1]base!A:B,2,0)</f>
        <v>37</v>
      </c>
      <c r="H524" s="14">
        <v>6</v>
      </c>
      <c r="I524" s="14">
        <v>6</v>
      </c>
      <c r="J524" s="14"/>
      <c r="K524" s="14" t="s">
        <v>33</v>
      </c>
      <c r="L524" s="14" t="s">
        <v>766</v>
      </c>
      <c r="M524" s="14" t="s">
        <v>35</v>
      </c>
      <c r="N524" s="14">
        <v>6</v>
      </c>
      <c r="O524" s="14">
        <v>6</v>
      </c>
      <c r="P524" s="14">
        <v>0</v>
      </c>
      <c r="Q524" s="14">
        <v>0</v>
      </c>
      <c r="R524" s="14">
        <v>0</v>
      </c>
      <c r="S524" s="14"/>
      <c r="T524" s="15">
        <v>6</v>
      </c>
      <c r="U524" s="16"/>
      <c r="V524" s="17">
        <v>617</v>
      </c>
      <c r="W524" s="17">
        <f t="shared" si="58"/>
        <v>3702</v>
      </c>
      <c r="X524" s="17">
        <f t="shared" si="59"/>
        <v>192.50399999999999</v>
      </c>
      <c r="Y524" s="17">
        <v>622</v>
      </c>
      <c r="Z524" s="17">
        <f t="shared" si="60"/>
        <v>1</v>
      </c>
      <c r="AA524" s="17">
        <f t="shared" si="61"/>
        <v>6.6666666666666693E-2</v>
      </c>
      <c r="AB524" s="17">
        <f>+VLOOKUP(E524,[1]base!M:N,2,0)</f>
        <v>768</v>
      </c>
      <c r="AC524" s="17">
        <f>+VLOOKUP(E524,[1]base!M:Q,5,0)</f>
        <v>104.18181818181819</v>
      </c>
      <c r="AD524" s="18">
        <f>+VLOOKUP(E524,[1]base!M:P,4,0)</f>
        <v>2.5974025974025974E-3</v>
      </c>
      <c r="AE524" s="19">
        <f t="shared" si="62"/>
        <v>228.40519480519481</v>
      </c>
    </row>
    <row r="525" spans="1:31" x14ac:dyDescent="0.25">
      <c r="A525" s="10" t="s">
        <v>145</v>
      </c>
      <c r="B525" s="11">
        <v>46263.380335648151</v>
      </c>
      <c r="C525" s="12" t="s">
        <v>146</v>
      </c>
      <c r="D525" s="12" t="s">
        <v>767</v>
      </c>
      <c r="E525" s="13" t="str">
        <f t="shared" si="56"/>
        <v>EC22106</v>
      </c>
      <c r="F525" s="14" t="str">
        <f t="shared" si="57"/>
        <v>NOIR</v>
      </c>
      <c r="G525" s="14">
        <f>+VLOOKUP(F525,[1]base!A:B,2,0)</f>
        <v>37</v>
      </c>
      <c r="H525" s="14">
        <v>40</v>
      </c>
      <c r="I525" s="14">
        <v>40</v>
      </c>
      <c r="J525" s="14"/>
      <c r="K525" s="14" t="s">
        <v>33</v>
      </c>
      <c r="L525" s="14" t="s">
        <v>768</v>
      </c>
      <c r="M525" s="14" t="s">
        <v>35</v>
      </c>
      <c r="N525" s="14">
        <v>40</v>
      </c>
      <c r="O525" s="14">
        <v>40</v>
      </c>
      <c r="P525" s="14">
        <v>0</v>
      </c>
      <c r="Q525" s="14">
        <v>0</v>
      </c>
      <c r="R525" s="14">
        <v>0</v>
      </c>
      <c r="S525" s="14"/>
      <c r="T525" s="15">
        <v>40</v>
      </c>
      <c r="U525" s="16"/>
      <c r="V525" s="17">
        <v>770</v>
      </c>
      <c r="W525" s="17">
        <f t="shared" si="58"/>
        <v>30800</v>
      </c>
      <c r="X525" s="17">
        <f t="shared" si="59"/>
        <v>1601.6</v>
      </c>
      <c r="Y525" s="17">
        <v>775</v>
      </c>
      <c r="Z525" s="17">
        <f t="shared" si="60"/>
        <v>1</v>
      </c>
      <c r="AA525" s="17">
        <f t="shared" si="61"/>
        <v>6.6666666666666693E-2</v>
      </c>
      <c r="AB525" s="17">
        <f>+VLOOKUP(E525,[1]base!M:N,2,0)</f>
        <v>803</v>
      </c>
      <c r="AC525" s="17">
        <f>+VLOOKUP(E525,[1]base!M:Q,5,0)</f>
        <v>180</v>
      </c>
      <c r="AD525" s="18">
        <f>+VLOOKUP(E525,[1]base!M:P,4,0)</f>
        <v>0.39940164547494389</v>
      </c>
      <c r="AE525" s="19">
        <f t="shared" si="62"/>
        <v>-79.819521316379948</v>
      </c>
    </row>
    <row r="526" spans="1:31" x14ac:dyDescent="0.25">
      <c r="A526" s="10" t="s">
        <v>710</v>
      </c>
      <c r="B526" s="11">
        <v>46256.424629629626</v>
      </c>
      <c r="C526" s="12" t="s">
        <v>70</v>
      </c>
      <c r="D526" s="12" t="s">
        <v>769</v>
      </c>
      <c r="E526" s="13" t="str">
        <f t="shared" si="56"/>
        <v>FSQ111</v>
      </c>
      <c r="F526" s="14" t="str">
        <f t="shared" si="57"/>
        <v>NOIR</v>
      </c>
      <c r="G526" s="14">
        <f>+VLOOKUP(F526,[1]base!A:B,2,0)</f>
        <v>37</v>
      </c>
      <c r="H526" s="14">
        <v>30</v>
      </c>
      <c r="I526" s="14">
        <v>30</v>
      </c>
      <c r="J526" s="14"/>
      <c r="K526" s="14" t="s">
        <v>33</v>
      </c>
      <c r="L526" s="14" t="s">
        <v>770</v>
      </c>
      <c r="M526" s="14" t="s">
        <v>35</v>
      </c>
      <c r="N526" s="14">
        <v>30</v>
      </c>
      <c r="O526" s="14">
        <v>30</v>
      </c>
      <c r="P526" s="14">
        <v>0</v>
      </c>
      <c r="Q526" s="14">
        <v>0</v>
      </c>
      <c r="R526" s="14">
        <v>0</v>
      </c>
      <c r="S526" s="14"/>
      <c r="T526" s="15">
        <v>30</v>
      </c>
      <c r="U526" s="16"/>
      <c r="V526" s="17">
        <v>587</v>
      </c>
      <c r="W526" s="17">
        <f t="shared" si="58"/>
        <v>17610</v>
      </c>
      <c r="X526" s="17">
        <f t="shared" si="59"/>
        <v>915.71999999999991</v>
      </c>
      <c r="Y526" s="17">
        <v>592</v>
      </c>
      <c r="Z526" s="17">
        <f t="shared" si="60"/>
        <v>1</v>
      </c>
      <c r="AA526" s="17">
        <f t="shared" si="61"/>
        <v>6.6666666666666693E-2</v>
      </c>
      <c r="AB526" s="17">
        <f>+VLOOKUP(E526,[1]base!M:N,2,0)</f>
        <v>999</v>
      </c>
      <c r="AC526" s="17">
        <f>+VLOOKUP(E526,[1]base!M:Q,5,0)</f>
        <v>103.33333333333333</v>
      </c>
      <c r="AD526" s="18">
        <f>+VLOOKUP(E526,[1]base!M:P,4,0)</f>
        <v>2.9940119760479044E-3</v>
      </c>
      <c r="AE526" s="19">
        <f t="shared" si="62"/>
        <v>296.7089820359281</v>
      </c>
    </row>
    <row r="527" spans="1:31" x14ac:dyDescent="0.25">
      <c r="A527" s="10" t="s">
        <v>756</v>
      </c>
      <c r="B527" s="11">
        <v>46254.622511574074</v>
      </c>
      <c r="C527" s="12" t="s">
        <v>143</v>
      </c>
      <c r="D527" s="12" t="s">
        <v>771</v>
      </c>
      <c r="E527" s="13" t="str">
        <f t="shared" si="56"/>
        <v>EC40166</v>
      </c>
      <c r="F527" s="14" t="str">
        <f t="shared" si="57"/>
        <v>NOIR</v>
      </c>
      <c r="G527" s="14">
        <f>+VLOOKUP(F527,[1]base!A:B,2,0)</f>
        <v>37</v>
      </c>
      <c r="H527" s="14">
        <v>30</v>
      </c>
      <c r="I527" s="14">
        <v>30</v>
      </c>
      <c r="J527" s="14"/>
      <c r="K527" s="14" t="s">
        <v>33</v>
      </c>
      <c r="L527" s="14" t="s">
        <v>772</v>
      </c>
      <c r="M527" s="14" t="s">
        <v>35</v>
      </c>
      <c r="N527" s="14">
        <v>30</v>
      </c>
      <c r="O527" s="14">
        <v>30</v>
      </c>
      <c r="P527" s="14">
        <v>0</v>
      </c>
      <c r="Q527" s="14">
        <v>0</v>
      </c>
      <c r="R527" s="14">
        <v>0</v>
      </c>
      <c r="S527" s="14"/>
      <c r="T527" s="15">
        <v>30</v>
      </c>
      <c r="U527" s="16"/>
      <c r="V527" s="17">
        <v>551</v>
      </c>
      <c r="W527" s="17">
        <f t="shared" si="58"/>
        <v>16530</v>
      </c>
      <c r="X527" s="17">
        <f t="shared" si="59"/>
        <v>859.56</v>
      </c>
      <c r="Y527" s="17">
        <v>556</v>
      </c>
      <c r="Z527" s="17">
        <f t="shared" si="60"/>
        <v>1</v>
      </c>
      <c r="AA527" s="17">
        <f t="shared" si="61"/>
        <v>6.6666666666666693E-2</v>
      </c>
      <c r="AB527" s="17">
        <f>+VLOOKUP(E527,[1]base!M:N,2,0)</f>
        <v>1063</v>
      </c>
      <c r="AC527" s="17">
        <f>+VLOOKUP(E527,[1]base!M:Q,5,0)</f>
        <v>2305.5454545454545</v>
      </c>
      <c r="AD527" s="18">
        <f>+VLOOKUP(E527,[1]base!M:P,4,0)</f>
        <v>6.5420560747663555E-3</v>
      </c>
      <c r="AE527" s="19">
        <f t="shared" si="62"/>
        <v>311.94579439252334</v>
      </c>
    </row>
    <row r="528" spans="1:31" x14ac:dyDescent="0.25">
      <c r="A528" s="10" t="s">
        <v>706</v>
      </c>
      <c r="B528" s="11">
        <v>46256.457442129627</v>
      </c>
      <c r="C528" s="12" t="s">
        <v>707</v>
      </c>
      <c r="D528" s="12" t="s">
        <v>771</v>
      </c>
      <c r="E528" s="13" t="str">
        <f t="shared" si="56"/>
        <v>EC40166</v>
      </c>
      <c r="F528" s="14" t="str">
        <f t="shared" si="57"/>
        <v>NOIR</v>
      </c>
      <c r="G528" s="14">
        <f>+VLOOKUP(F528,[1]base!A:B,2,0)</f>
        <v>37</v>
      </c>
      <c r="H528" s="14">
        <v>50</v>
      </c>
      <c r="I528" s="14">
        <v>50</v>
      </c>
      <c r="J528" s="14"/>
      <c r="K528" s="14" t="s">
        <v>33</v>
      </c>
      <c r="L528" s="14" t="s">
        <v>773</v>
      </c>
      <c r="M528" s="14" t="s">
        <v>35</v>
      </c>
      <c r="N528" s="14">
        <v>50</v>
      </c>
      <c r="O528" s="14">
        <v>50</v>
      </c>
      <c r="P528" s="14">
        <v>0</v>
      </c>
      <c r="Q528" s="14">
        <v>0</v>
      </c>
      <c r="R528" s="14">
        <v>0</v>
      </c>
      <c r="S528" s="14"/>
      <c r="T528" s="15">
        <v>50</v>
      </c>
      <c r="U528" s="16"/>
      <c r="V528" s="17">
        <v>588</v>
      </c>
      <c r="W528" s="17">
        <f t="shared" si="58"/>
        <v>29400</v>
      </c>
      <c r="X528" s="17">
        <f t="shared" si="59"/>
        <v>1528.8</v>
      </c>
      <c r="Y528" s="17">
        <v>593</v>
      </c>
      <c r="Z528" s="17">
        <f t="shared" si="60"/>
        <v>1</v>
      </c>
      <c r="AA528" s="17">
        <f t="shared" si="61"/>
        <v>6.6666666666666693E-2</v>
      </c>
      <c r="AB528" s="17">
        <f>+VLOOKUP(E528,[1]base!M:N,2,0)</f>
        <v>1063</v>
      </c>
      <c r="AC528" s="17">
        <f>+VLOOKUP(E528,[1]base!M:Q,5,0)</f>
        <v>2305.5454545454545</v>
      </c>
      <c r="AD528" s="18">
        <f>+VLOOKUP(E528,[1]base!M:P,4,0)</f>
        <v>6.5420560747663555E-3</v>
      </c>
      <c r="AE528" s="19">
        <f t="shared" si="62"/>
        <v>311.94579439252334</v>
      </c>
    </row>
    <row r="529" spans="1:31" x14ac:dyDescent="0.25">
      <c r="A529" s="10" t="s">
        <v>285</v>
      </c>
      <c r="B529" s="11">
        <v>46262.577372685184</v>
      </c>
      <c r="C529" s="12" t="s">
        <v>262</v>
      </c>
      <c r="D529" s="12" t="s">
        <v>771</v>
      </c>
      <c r="E529" s="13" t="str">
        <f t="shared" si="56"/>
        <v>EC40166</v>
      </c>
      <c r="F529" s="14" t="str">
        <f t="shared" si="57"/>
        <v>NOIR</v>
      </c>
      <c r="G529" s="14">
        <f>+VLOOKUP(F529,[1]base!A:B,2,0)</f>
        <v>37</v>
      </c>
      <c r="H529" s="14">
        <v>20</v>
      </c>
      <c r="I529" s="14">
        <v>20</v>
      </c>
      <c r="J529" s="14"/>
      <c r="K529" s="14" t="s">
        <v>33</v>
      </c>
      <c r="L529" s="14" t="s">
        <v>774</v>
      </c>
      <c r="M529" s="14" t="s">
        <v>35</v>
      </c>
      <c r="N529" s="14">
        <v>20</v>
      </c>
      <c r="O529" s="14">
        <v>20</v>
      </c>
      <c r="P529" s="14">
        <v>0</v>
      </c>
      <c r="Q529" s="14">
        <v>0</v>
      </c>
      <c r="R529" s="14">
        <v>0</v>
      </c>
      <c r="S529" s="14"/>
      <c r="T529" s="15">
        <v>20</v>
      </c>
      <c r="U529" s="16"/>
      <c r="V529" s="17">
        <v>730</v>
      </c>
      <c r="W529" s="17">
        <f t="shared" si="58"/>
        <v>14600</v>
      </c>
      <c r="X529" s="17">
        <f t="shared" si="59"/>
        <v>759.19999999999993</v>
      </c>
      <c r="Y529" s="17">
        <v>735</v>
      </c>
      <c r="Z529" s="17">
        <f t="shared" si="60"/>
        <v>1</v>
      </c>
      <c r="AA529" s="17">
        <f t="shared" si="61"/>
        <v>6.6666666666666693E-2</v>
      </c>
      <c r="AB529" s="17">
        <f>+VLOOKUP(E529,[1]base!M:N,2,0)</f>
        <v>1063</v>
      </c>
      <c r="AC529" s="17">
        <f>+VLOOKUP(E529,[1]base!M:Q,5,0)</f>
        <v>2305.5454545454545</v>
      </c>
      <c r="AD529" s="18">
        <f>+VLOOKUP(E529,[1]base!M:P,4,0)</f>
        <v>6.5420560747663555E-3</v>
      </c>
      <c r="AE529" s="19">
        <f t="shared" si="62"/>
        <v>311.94579439252334</v>
      </c>
    </row>
    <row r="530" spans="1:31" x14ac:dyDescent="0.25">
      <c r="A530" s="10" t="s">
        <v>94</v>
      </c>
      <c r="B530" s="11">
        <v>46266.490532407406</v>
      </c>
      <c r="C530" s="12" t="s">
        <v>95</v>
      </c>
      <c r="D530" s="12" t="s">
        <v>771</v>
      </c>
      <c r="E530" s="13" t="str">
        <f t="shared" si="56"/>
        <v>EC40166</v>
      </c>
      <c r="F530" s="14" t="str">
        <f t="shared" si="57"/>
        <v>NOIR</v>
      </c>
      <c r="G530" s="14">
        <f>+VLOOKUP(F530,[1]base!A:B,2,0)</f>
        <v>37</v>
      </c>
      <c r="H530" s="14">
        <v>30</v>
      </c>
      <c r="I530" s="14">
        <v>30</v>
      </c>
      <c r="J530" s="14"/>
      <c r="K530" s="14" t="s">
        <v>33</v>
      </c>
      <c r="L530" s="14" t="s">
        <v>775</v>
      </c>
      <c r="M530" s="14" t="s">
        <v>35</v>
      </c>
      <c r="N530" s="14">
        <v>30</v>
      </c>
      <c r="O530" s="14">
        <v>30</v>
      </c>
      <c r="P530" s="14">
        <v>0</v>
      </c>
      <c r="Q530" s="14">
        <v>0</v>
      </c>
      <c r="R530" s="14">
        <v>0</v>
      </c>
      <c r="S530" s="14"/>
      <c r="T530" s="15">
        <v>30</v>
      </c>
      <c r="U530" s="16"/>
      <c r="V530" s="17">
        <v>932</v>
      </c>
      <c r="W530" s="17">
        <f t="shared" si="58"/>
        <v>27960</v>
      </c>
      <c r="X530" s="17">
        <f t="shared" si="59"/>
        <v>1453.9199999999998</v>
      </c>
      <c r="Y530" s="17">
        <v>937</v>
      </c>
      <c r="Z530" s="17">
        <f t="shared" si="60"/>
        <v>1</v>
      </c>
      <c r="AA530" s="17">
        <f t="shared" si="61"/>
        <v>6.6666666666666693E-2</v>
      </c>
      <c r="AB530" s="17">
        <f>+VLOOKUP(E530,[1]base!M:N,2,0)</f>
        <v>1063</v>
      </c>
      <c r="AC530" s="17">
        <f>+VLOOKUP(E530,[1]base!M:Q,5,0)</f>
        <v>2305.5454545454545</v>
      </c>
      <c r="AD530" s="18">
        <f>+VLOOKUP(E530,[1]base!M:P,4,0)</f>
        <v>6.5420560747663555E-3</v>
      </c>
      <c r="AE530" s="19">
        <f t="shared" si="62"/>
        <v>311.94579439252334</v>
      </c>
    </row>
    <row r="531" spans="1:31" x14ac:dyDescent="0.25">
      <c r="A531" s="10" t="s">
        <v>713</v>
      </c>
      <c r="B531" s="11">
        <v>46267.43309027778</v>
      </c>
      <c r="C531" s="12" t="s">
        <v>258</v>
      </c>
      <c r="D531" s="12" t="s">
        <v>771</v>
      </c>
      <c r="E531" s="13" t="str">
        <f t="shared" si="56"/>
        <v>EC40166</v>
      </c>
      <c r="F531" s="14" t="str">
        <f t="shared" si="57"/>
        <v>NOIR</v>
      </c>
      <c r="G531" s="14">
        <f>+VLOOKUP(F531,[1]base!A:B,2,0)</f>
        <v>37</v>
      </c>
      <c r="H531" s="14">
        <v>40</v>
      </c>
      <c r="I531" s="14">
        <v>40</v>
      </c>
      <c r="J531" s="14"/>
      <c r="K531" s="14" t="s">
        <v>33</v>
      </c>
      <c r="L531" s="14" t="s">
        <v>776</v>
      </c>
      <c r="M531" s="14" t="s">
        <v>35</v>
      </c>
      <c r="N531" s="14">
        <v>40</v>
      </c>
      <c r="O531" s="14">
        <v>40</v>
      </c>
      <c r="P531" s="14">
        <v>0</v>
      </c>
      <c r="Q531" s="14">
        <v>0</v>
      </c>
      <c r="R531" s="14">
        <v>0</v>
      </c>
      <c r="S531" s="14"/>
      <c r="T531" s="15">
        <v>40</v>
      </c>
      <c r="U531" s="16"/>
      <c r="V531" s="17">
        <v>1021</v>
      </c>
      <c r="W531" s="17">
        <f t="shared" si="58"/>
        <v>40840</v>
      </c>
      <c r="X531" s="17">
        <f t="shared" si="59"/>
        <v>2123.6799999999998</v>
      </c>
      <c r="Y531" s="17">
        <v>1026</v>
      </c>
      <c r="Z531" s="17">
        <f t="shared" si="60"/>
        <v>1</v>
      </c>
      <c r="AA531" s="17">
        <f t="shared" si="61"/>
        <v>6.6666666666666693E-2</v>
      </c>
      <c r="AB531" s="17">
        <f>+VLOOKUP(E531,[1]base!M:N,2,0)</f>
        <v>1063</v>
      </c>
      <c r="AC531" s="17">
        <f>+VLOOKUP(E531,[1]base!M:Q,5,0)</f>
        <v>2305.5454545454545</v>
      </c>
      <c r="AD531" s="18">
        <f>+VLOOKUP(E531,[1]base!M:P,4,0)</f>
        <v>6.5420560747663555E-3</v>
      </c>
      <c r="AE531" s="19">
        <f t="shared" si="62"/>
        <v>311.94579439252334</v>
      </c>
    </row>
    <row r="532" spans="1:31" x14ac:dyDescent="0.25">
      <c r="A532" s="10" t="s">
        <v>706</v>
      </c>
      <c r="B532" s="11">
        <v>46256.457442129627</v>
      </c>
      <c r="C532" s="12" t="s">
        <v>707</v>
      </c>
      <c r="D532" s="12" t="s">
        <v>777</v>
      </c>
      <c r="E532" s="13" t="str">
        <f t="shared" si="56"/>
        <v>FR100</v>
      </c>
      <c r="F532" s="14" t="str">
        <f t="shared" si="57"/>
        <v>NOIR</v>
      </c>
      <c r="G532" s="14">
        <f>+VLOOKUP(F532,[1]base!A:B,2,0)</f>
        <v>37</v>
      </c>
      <c r="H532" s="14">
        <v>20</v>
      </c>
      <c r="I532" s="14">
        <v>20</v>
      </c>
      <c r="J532" s="14"/>
      <c r="K532" s="14" t="s">
        <v>33</v>
      </c>
      <c r="L532" s="14" t="s">
        <v>778</v>
      </c>
      <c r="M532" s="14" t="s">
        <v>35</v>
      </c>
      <c r="N532" s="14">
        <v>20</v>
      </c>
      <c r="O532" s="14">
        <v>20</v>
      </c>
      <c r="P532" s="14">
        <v>0</v>
      </c>
      <c r="Q532" s="14">
        <v>0</v>
      </c>
      <c r="R532" s="14">
        <v>0</v>
      </c>
      <c r="S532" s="14"/>
      <c r="T532" s="15">
        <v>20</v>
      </c>
      <c r="U532" s="16"/>
      <c r="V532" s="17">
        <v>591</v>
      </c>
      <c r="W532" s="17">
        <f t="shared" si="58"/>
        <v>11820</v>
      </c>
      <c r="X532" s="17">
        <f t="shared" si="59"/>
        <v>614.64</v>
      </c>
      <c r="Y532" s="17">
        <v>596</v>
      </c>
      <c r="Z532" s="17">
        <f t="shared" si="60"/>
        <v>1</v>
      </c>
      <c r="AA532" s="17">
        <f t="shared" si="61"/>
        <v>6.6666666666666693E-2</v>
      </c>
      <c r="AB532" s="17">
        <f>+VLOOKUP(E532,[1]base!M:N,2,0)</f>
        <v>1365</v>
      </c>
      <c r="AC532" s="17">
        <f>+VLOOKUP(E532,[1]base!M:Q,5,0)</f>
        <v>812.5</v>
      </c>
      <c r="AD532" s="18">
        <f>+VLOOKUP(E532,[1]base!M:P,4,0)</f>
        <v>7.4576271186440682E-2</v>
      </c>
      <c r="AE532" s="19">
        <f t="shared" si="62"/>
        <v>307.70338983050846</v>
      </c>
    </row>
    <row r="533" spans="1:31" x14ac:dyDescent="0.25">
      <c r="A533" s="10" t="s">
        <v>741</v>
      </c>
      <c r="B533" s="11">
        <v>46258.508391203701</v>
      </c>
      <c r="C533" s="12" t="s">
        <v>742</v>
      </c>
      <c r="D533" s="12" t="s">
        <v>777</v>
      </c>
      <c r="E533" s="13" t="str">
        <f t="shared" si="56"/>
        <v>FR100</v>
      </c>
      <c r="F533" s="14" t="str">
        <f t="shared" si="57"/>
        <v>NOIR</v>
      </c>
      <c r="G533" s="14">
        <f>+VLOOKUP(F533,[1]base!A:B,2,0)</f>
        <v>37</v>
      </c>
      <c r="H533" s="14">
        <v>7</v>
      </c>
      <c r="I533" s="14">
        <v>7</v>
      </c>
      <c r="J533" s="14"/>
      <c r="K533" s="14" t="s">
        <v>33</v>
      </c>
      <c r="L533" s="14" t="s">
        <v>779</v>
      </c>
      <c r="M533" s="14" t="s">
        <v>35</v>
      </c>
      <c r="N533" s="14">
        <v>7</v>
      </c>
      <c r="O533" s="14">
        <v>7</v>
      </c>
      <c r="P533" s="14">
        <v>0</v>
      </c>
      <c r="Q533" s="14">
        <v>0</v>
      </c>
      <c r="R533" s="14">
        <v>0</v>
      </c>
      <c r="S533" s="14"/>
      <c r="T533" s="15">
        <v>7</v>
      </c>
      <c r="U533" s="16"/>
      <c r="V533" s="17">
        <v>606</v>
      </c>
      <c r="W533" s="17">
        <f t="shared" si="58"/>
        <v>4242</v>
      </c>
      <c r="X533" s="17">
        <f t="shared" si="59"/>
        <v>220.584</v>
      </c>
      <c r="Y533" s="17">
        <v>611</v>
      </c>
      <c r="Z533" s="17">
        <f t="shared" si="60"/>
        <v>1</v>
      </c>
      <c r="AA533" s="17">
        <f t="shared" si="61"/>
        <v>6.6666666666666693E-2</v>
      </c>
      <c r="AB533" s="17">
        <f>+VLOOKUP(E533,[1]base!M:N,2,0)</f>
        <v>1365</v>
      </c>
      <c r="AC533" s="17">
        <f>+VLOOKUP(E533,[1]base!M:Q,5,0)</f>
        <v>812.5</v>
      </c>
      <c r="AD533" s="18">
        <f>+VLOOKUP(E533,[1]base!M:P,4,0)</f>
        <v>7.4576271186440682E-2</v>
      </c>
      <c r="AE533" s="19">
        <f t="shared" si="62"/>
        <v>307.70338983050846</v>
      </c>
    </row>
    <row r="534" spans="1:31" x14ac:dyDescent="0.25">
      <c r="A534" s="10" t="s">
        <v>730</v>
      </c>
      <c r="B534" s="11">
        <v>46260.566678240742</v>
      </c>
      <c r="C534" s="12" t="s">
        <v>143</v>
      </c>
      <c r="D534" s="12" t="s">
        <v>777</v>
      </c>
      <c r="E534" s="13" t="str">
        <f t="shared" si="56"/>
        <v>FR100</v>
      </c>
      <c r="F534" s="14" t="str">
        <f t="shared" si="57"/>
        <v>NOIR</v>
      </c>
      <c r="G534" s="14">
        <f>+VLOOKUP(F534,[1]base!A:B,2,0)</f>
        <v>37</v>
      </c>
      <c r="H534" s="14">
        <v>100</v>
      </c>
      <c r="I534" s="14">
        <v>100</v>
      </c>
      <c r="J534" s="14"/>
      <c r="K534" s="14" t="s">
        <v>33</v>
      </c>
      <c r="L534" s="14" t="s">
        <v>780</v>
      </c>
      <c r="M534" s="14" t="s">
        <v>35</v>
      </c>
      <c r="N534" s="14">
        <v>100</v>
      </c>
      <c r="O534" s="14">
        <v>100</v>
      </c>
      <c r="P534" s="14">
        <v>0</v>
      </c>
      <c r="Q534" s="14">
        <v>0</v>
      </c>
      <c r="R534" s="14">
        <v>0</v>
      </c>
      <c r="S534" s="14"/>
      <c r="T534" s="15">
        <v>100</v>
      </c>
      <c r="U534" s="16"/>
      <c r="V534" s="17">
        <v>645</v>
      </c>
      <c r="W534" s="17">
        <f t="shared" si="58"/>
        <v>64500</v>
      </c>
      <c r="X534" s="17">
        <f t="shared" si="59"/>
        <v>3354</v>
      </c>
      <c r="Y534" s="17">
        <v>650</v>
      </c>
      <c r="Z534" s="17">
        <f t="shared" si="60"/>
        <v>1</v>
      </c>
      <c r="AA534" s="17">
        <f t="shared" si="61"/>
        <v>6.6666666666666693E-2</v>
      </c>
      <c r="AB534" s="17">
        <f>+VLOOKUP(E534,[1]base!M:N,2,0)</f>
        <v>1365</v>
      </c>
      <c r="AC534" s="17">
        <f>+VLOOKUP(E534,[1]base!M:Q,5,0)</f>
        <v>812.5</v>
      </c>
      <c r="AD534" s="18">
        <f>+VLOOKUP(E534,[1]base!M:P,4,0)</f>
        <v>7.4576271186440682E-2</v>
      </c>
      <c r="AE534" s="19">
        <f t="shared" si="62"/>
        <v>307.70338983050846</v>
      </c>
    </row>
    <row r="535" spans="1:31" x14ac:dyDescent="0.25">
      <c r="A535" s="10" t="s">
        <v>680</v>
      </c>
      <c r="B535" s="11">
        <v>46263.399872685186</v>
      </c>
      <c r="C535" s="12" t="s">
        <v>39</v>
      </c>
      <c r="D535" s="12" t="s">
        <v>777</v>
      </c>
      <c r="E535" s="13" t="str">
        <f t="shared" si="56"/>
        <v>FR100</v>
      </c>
      <c r="F535" s="14" t="str">
        <f t="shared" si="57"/>
        <v>NOIR</v>
      </c>
      <c r="G535" s="14">
        <f>+VLOOKUP(F535,[1]base!A:B,2,0)</f>
        <v>37</v>
      </c>
      <c r="H535" s="14">
        <v>4</v>
      </c>
      <c r="I535" s="14">
        <v>4</v>
      </c>
      <c r="J535" s="14"/>
      <c r="K535" s="14" t="s">
        <v>33</v>
      </c>
      <c r="L535" s="14" t="s">
        <v>781</v>
      </c>
      <c r="M535" s="14" t="s">
        <v>35</v>
      </c>
      <c r="N535" s="14">
        <v>4</v>
      </c>
      <c r="O535" s="14">
        <v>4</v>
      </c>
      <c r="P535" s="14">
        <v>0</v>
      </c>
      <c r="Q535" s="14">
        <v>0</v>
      </c>
      <c r="R535" s="14">
        <v>0</v>
      </c>
      <c r="S535" s="14"/>
      <c r="T535" s="15">
        <v>4</v>
      </c>
      <c r="U535" s="16"/>
      <c r="V535" s="17">
        <v>782</v>
      </c>
      <c r="W535" s="17">
        <f t="shared" si="58"/>
        <v>3128</v>
      </c>
      <c r="X535" s="17">
        <f t="shared" si="59"/>
        <v>162.65600000000001</v>
      </c>
      <c r="Y535" s="17">
        <v>787</v>
      </c>
      <c r="Z535" s="17">
        <f t="shared" si="60"/>
        <v>1</v>
      </c>
      <c r="AA535" s="17">
        <f t="shared" si="61"/>
        <v>6.6666666666666693E-2</v>
      </c>
      <c r="AB535" s="17">
        <f>+VLOOKUP(E535,[1]base!M:N,2,0)</f>
        <v>1365</v>
      </c>
      <c r="AC535" s="17">
        <f>+VLOOKUP(E535,[1]base!M:Q,5,0)</f>
        <v>812.5</v>
      </c>
      <c r="AD535" s="18">
        <f>+VLOOKUP(E535,[1]base!M:P,4,0)</f>
        <v>7.4576271186440682E-2</v>
      </c>
      <c r="AE535" s="19">
        <f t="shared" si="62"/>
        <v>307.70338983050846</v>
      </c>
    </row>
    <row r="536" spans="1:31" x14ac:dyDescent="0.25">
      <c r="A536" s="10" t="s">
        <v>162</v>
      </c>
      <c r="B536" s="11">
        <v>46266.406585648147</v>
      </c>
      <c r="C536" s="12" t="s">
        <v>102</v>
      </c>
      <c r="D536" s="12" t="s">
        <v>777</v>
      </c>
      <c r="E536" s="13" t="str">
        <f t="shared" si="56"/>
        <v>FR100</v>
      </c>
      <c r="F536" s="14" t="str">
        <f t="shared" si="57"/>
        <v>NOIR</v>
      </c>
      <c r="G536" s="14">
        <f>+VLOOKUP(F536,[1]base!A:B,2,0)</f>
        <v>37</v>
      </c>
      <c r="H536" s="14">
        <v>100</v>
      </c>
      <c r="I536" s="14">
        <v>100</v>
      </c>
      <c r="J536" s="14"/>
      <c r="K536" s="14" t="s">
        <v>33</v>
      </c>
      <c r="L536" s="14" t="s">
        <v>782</v>
      </c>
      <c r="M536" s="14" t="s">
        <v>35</v>
      </c>
      <c r="N536" s="14">
        <v>100</v>
      </c>
      <c r="O536" s="14">
        <v>100</v>
      </c>
      <c r="P536" s="14">
        <v>0</v>
      </c>
      <c r="Q536" s="14">
        <v>0</v>
      </c>
      <c r="R536" s="14">
        <v>0</v>
      </c>
      <c r="S536" s="14"/>
      <c r="T536" s="15">
        <v>100</v>
      </c>
      <c r="U536" s="16"/>
      <c r="V536" s="17">
        <v>883</v>
      </c>
      <c r="W536" s="17">
        <f t="shared" si="58"/>
        <v>88300</v>
      </c>
      <c r="X536" s="17">
        <f t="shared" si="59"/>
        <v>4591.5999999999995</v>
      </c>
      <c r="Y536" s="17">
        <v>888</v>
      </c>
      <c r="Z536" s="17">
        <f t="shared" si="60"/>
        <v>1</v>
      </c>
      <c r="AA536" s="17">
        <f t="shared" si="61"/>
        <v>6.6666666666666693E-2</v>
      </c>
      <c r="AB536" s="17">
        <f>+VLOOKUP(E536,[1]base!M:N,2,0)</f>
        <v>1365</v>
      </c>
      <c r="AC536" s="17">
        <f>+VLOOKUP(E536,[1]base!M:Q,5,0)</f>
        <v>812.5</v>
      </c>
      <c r="AD536" s="18">
        <f>+VLOOKUP(E536,[1]base!M:P,4,0)</f>
        <v>7.4576271186440682E-2</v>
      </c>
      <c r="AE536" s="19">
        <f t="shared" si="62"/>
        <v>307.70338983050846</v>
      </c>
    </row>
    <row r="537" spans="1:31" x14ac:dyDescent="0.25">
      <c r="A537" s="10" t="s">
        <v>783</v>
      </c>
      <c r="B537" s="11">
        <v>46268.399537037039</v>
      </c>
      <c r="C537" s="12" t="s">
        <v>39</v>
      </c>
      <c r="D537" s="12" t="s">
        <v>784</v>
      </c>
      <c r="E537" s="13" t="str">
        <f t="shared" si="56"/>
        <v>MR002</v>
      </c>
      <c r="F537" s="14" t="str">
        <f t="shared" si="57"/>
        <v>NOIR</v>
      </c>
      <c r="G537" s="14">
        <f>+VLOOKUP(F537,[1]base!A:B,2,0)</f>
        <v>37</v>
      </c>
      <c r="H537" s="14">
        <v>7</v>
      </c>
      <c r="I537" s="14">
        <v>7</v>
      </c>
      <c r="J537" s="14"/>
      <c r="K537" s="14" t="s">
        <v>33</v>
      </c>
      <c r="L537" s="14" t="s">
        <v>785</v>
      </c>
      <c r="M537" s="14" t="s">
        <v>35</v>
      </c>
      <c r="N537" s="14">
        <v>7</v>
      </c>
      <c r="O537" s="14">
        <v>7</v>
      </c>
      <c r="P537" s="14">
        <v>0</v>
      </c>
      <c r="Q537" s="14">
        <v>0</v>
      </c>
      <c r="R537" s="14">
        <v>0</v>
      </c>
      <c r="S537" s="14"/>
      <c r="T537" s="15">
        <v>7</v>
      </c>
      <c r="U537" s="16"/>
      <c r="V537" s="17">
        <v>1069</v>
      </c>
      <c r="W537" s="17">
        <f t="shared" si="58"/>
        <v>7483</v>
      </c>
      <c r="X537" s="17">
        <f t="shared" si="59"/>
        <v>389.11599999999999</v>
      </c>
      <c r="Y537" s="17">
        <v>1074</v>
      </c>
      <c r="Z537" s="17">
        <f t="shared" si="60"/>
        <v>1</v>
      </c>
      <c r="AA537" s="17">
        <f t="shared" si="61"/>
        <v>6.6666666666666693E-2</v>
      </c>
      <c r="AB537" s="17">
        <f>+VLOOKUP(E537,[1]base!M:N,2,0)</f>
        <v>1473</v>
      </c>
      <c r="AC537" s="17">
        <f>+VLOOKUP(E537,[1]base!M:Q,5,0)</f>
        <v>947.8</v>
      </c>
      <c r="AD537" s="18">
        <f>+VLOOKUP(E537,[1]base!M:P,4,0)</f>
        <v>0.67324755989352258</v>
      </c>
      <c r="AE537" s="19">
        <f t="shared" si="62"/>
        <v>-549.79365572315874</v>
      </c>
    </row>
    <row r="538" spans="1:31" x14ac:dyDescent="0.25">
      <c r="A538" s="10" t="s">
        <v>786</v>
      </c>
      <c r="B538" s="11">
        <v>46255.331192129626</v>
      </c>
      <c r="C538" s="12" t="s">
        <v>787</v>
      </c>
      <c r="D538" s="12" t="s">
        <v>788</v>
      </c>
      <c r="E538" s="13" t="str">
        <f t="shared" si="56"/>
        <v>CSQ103</v>
      </c>
      <c r="F538" s="14" t="str">
        <f t="shared" si="57"/>
        <v>NOIR</v>
      </c>
      <c r="G538" s="14">
        <f>+VLOOKUP(F538,[1]base!A:B,2,0)</f>
        <v>37</v>
      </c>
      <c r="H538" s="14">
        <v>1</v>
      </c>
      <c r="I538" s="14">
        <v>1</v>
      </c>
      <c r="J538" s="14"/>
      <c r="K538" s="14" t="s">
        <v>33</v>
      </c>
      <c r="L538" s="14" t="s">
        <v>789</v>
      </c>
      <c r="M538" s="14" t="s">
        <v>35</v>
      </c>
      <c r="N538" s="14">
        <v>1</v>
      </c>
      <c r="O538" s="14">
        <v>1</v>
      </c>
      <c r="P538" s="14">
        <v>0</v>
      </c>
      <c r="Q538" s="14">
        <v>0</v>
      </c>
      <c r="R538" s="14">
        <v>0</v>
      </c>
      <c r="S538" s="14"/>
      <c r="T538" s="15">
        <v>1</v>
      </c>
      <c r="U538" s="16"/>
      <c r="V538" s="17">
        <v>556</v>
      </c>
      <c r="W538" s="17">
        <f t="shared" si="58"/>
        <v>556</v>
      </c>
      <c r="X538" s="17">
        <f t="shared" si="59"/>
        <v>28.911999999999999</v>
      </c>
      <c r="Y538" s="17">
        <v>561</v>
      </c>
      <c r="Z538" s="17">
        <f t="shared" si="60"/>
        <v>1</v>
      </c>
      <c r="AA538" s="17">
        <f t="shared" si="61"/>
        <v>6.6666666666666693E-2</v>
      </c>
      <c r="AB538" s="17">
        <f>+VLOOKUP(E538,[1]base!M:N,2,0)</f>
        <v>1535</v>
      </c>
      <c r="AC538" s="17">
        <f>+VLOOKUP(E538,[1]base!M:Q,5,0)</f>
        <v>153</v>
      </c>
      <c r="AD538" s="18">
        <f>+VLOOKUP(E538,[1]base!M:P,4,0)</f>
        <v>2.5990903183885639E-3</v>
      </c>
      <c r="AE538" s="19">
        <f t="shared" si="62"/>
        <v>456.51039636127354</v>
      </c>
    </row>
    <row r="539" spans="1:31" x14ac:dyDescent="0.25">
      <c r="A539" s="10" t="s">
        <v>690</v>
      </c>
      <c r="B539" s="11">
        <v>46259.434999999998</v>
      </c>
      <c r="C539" s="12" t="s">
        <v>691</v>
      </c>
      <c r="D539" s="12" t="s">
        <v>788</v>
      </c>
      <c r="E539" s="13" t="str">
        <f t="shared" si="56"/>
        <v>CSQ103</v>
      </c>
      <c r="F539" s="14" t="str">
        <f t="shared" si="57"/>
        <v>NOIR</v>
      </c>
      <c r="G539" s="14">
        <f>+VLOOKUP(F539,[1]base!A:B,2,0)</f>
        <v>37</v>
      </c>
      <c r="H539" s="14">
        <v>10</v>
      </c>
      <c r="I539" s="14">
        <v>10</v>
      </c>
      <c r="J539" s="14"/>
      <c r="K539" s="14" t="s">
        <v>33</v>
      </c>
      <c r="L539" s="14" t="s">
        <v>790</v>
      </c>
      <c r="M539" s="14" t="s">
        <v>35</v>
      </c>
      <c r="N539" s="14">
        <v>10</v>
      </c>
      <c r="O539" s="14">
        <v>10</v>
      </c>
      <c r="P539" s="14">
        <v>0</v>
      </c>
      <c r="Q539" s="14">
        <v>0</v>
      </c>
      <c r="R539" s="14">
        <v>0</v>
      </c>
      <c r="S539" s="14"/>
      <c r="T539" s="15">
        <v>10</v>
      </c>
      <c r="U539" s="16"/>
      <c r="V539" s="17">
        <v>613</v>
      </c>
      <c r="W539" s="17">
        <f t="shared" si="58"/>
        <v>6130</v>
      </c>
      <c r="X539" s="17">
        <f t="shared" si="59"/>
        <v>318.76</v>
      </c>
      <c r="Y539" s="17">
        <v>618</v>
      </c>
      <c r="Z539" s="17">
        <f t="shared" si="60"/>
        <v>1</v>
      </c>
      <c r="AA539" s="17">
        <f t="shared" si="61"/>
        <v>6.6666666666666693E-2</v>
      </c>
      <c r="AB539" s="17">
        <f>+VLOOKUP(E539,[1]base!M:N,2,0)</f>
        <v>1535</v>
      </c>
      <c r="AC539" s="17">
        <f>+VLOOKUP(E539,[1]base!M:Q,5,0)</f>
        <v>153</v>
      </c>
      <c r="AD539" s="18">
        <f>+VLOOKUP(E539,[1]base!M:P,4,0)</f>
        <v>2.5990903183885639E-3</v>
      </c>
      <c r="AE539" s="19">
        <f t="shared" si="62"/>
        <v>456.51039636127354</v>
      </c>
    </row>
    <row r="540" spans="1:31" x14ac:dyDescent="0.25">
      <c r="A540" s="10" t="s">
        <v>703</v>
      </c>
      <c r="B540" s="11">
        <v>46258.403113425928</v>
      </c>
      <c r="C540" s="12" t="s">
        <v>704</v>
      </c>
      <c r="D540" s="12" t="s">
        <v>791</v>
      </c>
      <c r="E540" s="13" t="str">
        <f t="shared" si="56"/>
        <v>EC40402</v>
      </c>
      <c r="F540" s="14" t="str">
        <f t="shared" si="57"/>
        <v>NOIR</v>
      </c>
      <c r="G540" s="14">
        <f>+VLOOKUP(F540,[1]base!A:B,2,0)</f>
        <v>37</v>
      </c>
      <c r="H540" s="14">
        <v>24</v>
      </c>
      <c r="I540" s="14">
        <v>24</v>
      </c>
      <c r="J540" s="14"/>
      <c r="K540" s="14" t="s">
        <v>33</v>
      </c>
      <c r="L540" s="14" t="s">
        <v>792</v>
      </c>
      <c r="M540" s="14" t="s">
        <v>35</v>
      </c>
      <c r="N540" s="14">
        <v>24</v>
      </c>
      <c r="O540" s="14">
        <v>24</v>
      </c>
      <c r="P540" s="14">
        <v>0</v>
      </c>
      <c r="Q540" s="14">
        <v>0</v>
      </c>
      <c r="R540" s="14">
        <v>0</v>
      </c>
      <c r="S540" s="14"/>
      <c r="T540" s="15">
        <v>24</v>
      </c>
      <c r="U540" s="16"/>
      <c r="V540" s="17">
        <v>594</v>
      </c>
      <c r="W540" s="17">
        <f t="shared" si="58"/>
        <v>14256</v>
      </c>
      <c r="X540" s="17">
        <f t="shared" si="59"/>
        <v>741.31200000000001</v>
      </c>
      <c r="Y540" s="17">
        <v>599</v>
      </c>
      <c r="Z540" s="17">
        <f t="shared" si="60"/>
        <v>1</v>
      </c>
      <c r="AA540" s="17">
        <f t="shared" si="61"/>
        <v>6.6666666666666693E-2</v>
      </c>
      <c r="AB540" s="17">
        <f>+VLOOKUP(E540,[1]base!M:N,2,0)</f>
        <v>1556</v>
      </c>
      <c r="AC540" s="17">
        <f>+VLOOKUP(E540,[1]base!M:Q,5,0)</f>
        <v>1635.090909090909</v>
      </c>
      <c r="AD540" s="18">
        <f>+VLOOKUP(E540,[1]base!M:P,4,0)</f>
        <v>0.1326644370122631</v>
      </c>
      <c r="AE540" s="19">
        <f t="shared" si="62"/>
        <v>260.37413600891858</v>
      </c>
    </row>
    <row r="541" spans="1:31" x14ac:dyDescent="0.25">
      <c r="A541" s="10" t="s">
        <v>727</v>
      </c>
      <c r="B541" s="11">
        <v>46258.578530092593</v>
      </c>
      <c r="C541" s="12" t="s">
        <v>728</v>
      </c>
      <c r="D541" s="12" t="s">
        <v>791</v>
      </c>
      <c r="E541" s="13" t="str">
        <f t="shared" si="56"/>
        <v>EC40402</v>
      </c>
      <c r="F541" s="14" t="str">
        <f t="shared" si="57"/>
        <v>NOIR</v>
      </c>
      <c r="G541" s="14">
        <f>+VLOOKUP(F541,[1]base!A:B,2,0)</f>
        <v>37</v>
      </c>
      <c r="H541" s="14">
        <v>20</v>
      </c>
      <c r="I541" s="14">
        <v>20</v>
      </c>
      <c r="J541" s="14"/>
      <c r="K541" s="14" t="s">
        <v>33</v>
      </c>
      <c r="L541" s="14" t="s">
        <v>793</v>
      </c>
      <c r="M541" s="14" t="s">
        <v>35</v>
      </c>
      <c r="N541" s="14">
        <v>20</v>
      </c>
      <c r="O541" s="14">
        <v>20</v>
      </c>
      <c r="P541" s="14">
        <v>0</v>
      </c>
      <c r="Q541" s="14">
        <v>0</v>
      </c>
      <c r="R541" s="14">
        <v>0</v>
      </c>
      <c r="S541" s="14"/>
      <c r="T541" s="15">
        <v>20</v>
      </c>
      <c r="U541" s="16"/>
      <c r="V541" s="17">
        <v>610</v>
      </c>
      <c r="W541" s="17">
        <f t="shared" si="58"/>
        <v>12200</v>
      </c>
      <c r="X541" s="17">
        <f t="shared" si="59"/>
        <v>634.4</v>
      </c>
      <c r="Y541" s="17">
        <v>615</v>
      </c>
      <c r="Z541" s="17">
        <f t="shared" si="60"/>
        <v>1</v>
      </c>
      <c r="AA541" s="17">
        <f t="shared" si="61"/>
        <v>6.6666666666666693E-2</v>
      </c>
      <c r="AB541" s="17">
        <f>+VLOOKUP(E541,[1]base!M:N,2,0)</f>
        <v>1556</v>
      </c>
      <c r="AC541" s="17">
        <f>+VLOOKUP(E541,[1]base!M:Q,5,0)</f>
        <v>1635.090909090909</v>
      </c>
      <c r="AD541" s="18">
        <f>+VLOOKUP(E541,[1]base!M:P,4,0)</f>
        <v>0.1326644370122631</v>
      </c>
      <c r="AE541" s="19">
        <f t="shared" si="62"/>
        <v>260.37413600891858</v>
      </c>
    </row>
    <row r="542" spans="1:31" x14ac:dyDescent="0.25">
      <c r="A542" s="10" t="s">
        <v>94</v>
      </c>
      <c r="B542" s="11">
        <v>46266.490532407406</v>
      </c>
      <c r="C542" s="12" t="s">
        <v>95</v>
      </c>
      <c r="D542" s="12" t="s">
        <v>791</v>
      </c>
      <c r="E542" s="13" t="str">
        <f t="shared" si="56"/>
        <v>EC40402</v>
      </c>
      <c r="F542" s="14" t="str">
        <f t="shared" si="57"/>
        <v>NOIR</v>
      </c>
      <c r="G542" s="14">
        <f>+VLOOKUP(F542,[1]base!A:B,2,0)</f>
        <v>37</v>
      </c>
      <c r="H542" s="14">
        <v>16</v>
      </c>
      <c r="I542" s="14">
        <v>16</v>
      </c>
      <c r="J542" s="14"/>
      <c r="K542" s="14" t="s">
        <v>33</v>
      </c>
      <c r="L542" s="14" t="s">
        <v>794</v>
      </c>
      <c r="M542" s="14" t="s">
        <v>35</v>
      </c>
      <c r="N542" s="14">
        <v>16</v>
      </c>
      <c r="O542" s="14">
        <v>16</v>
      </c>
      <c r="P542" s="14">
        <v>0</v>
      </c>
      <c r="Q542" s="14">
        <v>0</v>
      </c>
      <c r="R542" s="14">
        <v>0</v>
      </c>
      <c r="S542" s="14"/>
      <c r="T542" s="15">
        <v>16</v>
      </c>
      <c r="U542" s="16"/>
      <c r="V542" s="17">
        <v>931</v>
      </c>
      <c r="W542" s="17">
        <f t="shared" si="58"/>
        <v>14896</v>
      </c>
      <c r="X542" s="17">
        <f t="shared" si="59"/>
        <v>774.59199999999998</v>
      </c>
      <c r="Y542" s="17">
        <v>936</v>
      </c>
      <c r="Z542" s="17">
        <f t="shared" si="60"/>
        <v>1</v>
      </c>
      <c r="AA542" s="17">
        <f t="shared" si="61"/>
        <v>6.6666666666666693E-2</v>
      </c>
      <c r="AB542" s="17">
        <f>+VLOOKUP(E542,[1]base!M:N,2,0)</f>
        <v>1556</v>
      </c>
      <c r="AC542" s="17">
        <f>+VLOOKUP(E542,[1]base!M:Q,5,0)</f>
        <v>1635.090909090909</v>
      </c>
      <c r="AD542" s="18">
        <f>+VLOOKUP(E542,[1]base!M:P,4,0)</f>
        <v>0.1326644370122631</v>
      </c>
      <c r="AE542" s="19">
        <f t="shared" si="62"/>
        <v>260.37413600891858</v>
      </c>
    </row>
    <row r="543" spans="1:31" x14ac:dyDescent="0.25">
      <c r="A543" s="10" t="s">
        <v>713</v>
      </c>
      <c r="B543" s="11">
        <v>46267.43309027778</v>
      </c>
      <c r="C543" s="12" t="s">
        <v>258</v>
      </c>
      <c r="D543" s="12" t="s">
        <v>791</v>
      </c>
      <c r="E543" s="13" t="str">
        <f t="shared" si="56"/>
        <v>EC40402</v>
      </c>
      <c r="F543" s="14" t="str">
        <f t="shared" si="57"/>
        <v>NOIR</v>
      </c>
      <c r="G543" s="14">
        <f>+VLOOKUP(F543,[1]base!A:B,2,0)</f>
        <v>37</v>
      </c>
      <c r="H543" s="14">
        <v>20</v>
      </c>
      <c r="I543" s="14">
        <v>20</v>
      </c>
      <c r="J543" s="14"/>
      <c r="K543" s="14" t="s">
        <v>33</v>
      </c>
      <c r="L543" s="14" t="s">
        <v>795</v>
      </c>
      <c r="M543" s="14" t="s">
        <v>35</v>
      </c>
      <c r="N543" s="14">
        <v>20</v>
      </c>
      <c r="O543" s="14">
        <v>20</v>
      </c>
      <c r="P543" s="14">
        <v>0</v>
      </c>
      <c r="Q543" s="14">
        <v>0</v>
      </c>
      <c r="R543" s="14">
        <v>0</v>
      </c>
      <c r="S543" s="14"/>
      <c r="T543" s="15">
        <v>20</v>
      </c>
      <c r="U543" s="16"/>
      <c r="V543" s="17">
        <v>1020</v>
      </c>
      <c r="W543" s="17">
        <f t="shared" si="58"/>
        <v>20400</v>
      </c>
      <c r="X543" s="17">
        <f t="shared" si="59"/>
        <v>1060.8</v>
      </c>
      <c r="Y543" s="17">
        <v>1025</v>
      </c>
      <c r="Z543" s="17">
        <f t="shared" si="60"/>
        <v>1</v>
      </c>
      <c r="AA543" s="17">
        <f t="shared" si="61"/>
        <v>6.6666666666666693E-2</v>
      </c>
      <c r="AB543" s="17">
        <f>+VLOOKUP(E543,[1]base!M:N,2,0)</f>
        <v>1556</v>
      </c>
      <c r="AC543" s="17">
        <f>+VLOOKUP(E543,[1]base!M:Q,5,0)</f>
        <v>1635.090909090909</v>
      </c>
      <c r="AD543" s="18">
        <f>+VLOOKUP(E543,[1]base!M:P,4,0)</f>
        <v>0.1326644370122631</v>
      </c>
      <c r="AE543" s="19">
        <f t="shared" si="62"/>
        <v>260.37413600891858</v>
      </c>
    </row>
    <row r="544" spans="1:31" x14ac:dyDescent="0.25">
      <c r="A544" s="10" t="s">
        <v>91</v>
      </c>
      <c r="B544" s="11">
        <v>46267.551539351851</v>
      </c>
      <c r="C544" s="12" t="s">
        <v>39</v>
      </c>
      <c r="D544" s="12" t="s">
        <v>791</v>
      </c>
      <c r="E544" s="13" t="str">
        <f t="shared" si="56"/>
        <v>EC40402</v>
      </c>
      <c r="F544" s="14" t="str">
        <f t="shared" si="57"/>
        <v>NOIR</v>
      </c>
      <c r="G544" s="14">
        <f>+VLOOKUP(F544,[1]base!A:B,2,0)</f>
        <v>37</v>
      </c>
      <c r="H544" s="14">
        <v>60</v>
      </c>
      <c r="I544" s="14">
        <v>60</v>
      </c>
      <c r="J544" s="14"/>
      <c r="K544" s="14" t="s">
        <v>33</v>
      </c>
      <c r="L544" s="14" t="s">
        <v>796</v>
      </c>
      <c r="M544" s="14" t="s">
        <v>35</v>
      </c>
      <c r="N544" s="14">
        <v>60</v>
      </c>
      <c r="O544" s="14">
        <v>60</v>
      </c>
      <c r="P544" s="14">
        <v>0</v>
      </c>
      <c r="Q544" s="14">
        <v>0</v>
      </c>
      <c r="R544" s="14">
        <v>0</v>
      </c>
      <c r="S544" s="14"/>
      <c r="T544" s="15">
        <v>60</v>
      </c>
      <c r="U544" s="16"/>
      <c r="V544" s="17">
        <v>1047</v>
      </c>
      <c r="W544" s="17">
        <f t="shared" si="58"/>
        <v>62820</v>
      </c>
      <c r="X544" s="17">
        <f t="shared" si="59"/>
        <v>3266.64</v>
      </c>
      <c r="Y544" s="17">
        <v>1052</v>
      </c>
      <c r="Z544" s="17">
        <f t="shared" si="60"/>
        <v>1</v>
      </c>
      <c r="AA544" s="17">
        <f t="shared" si="61"/>
        <v>6.6666666666666693E-2</v>
      </c>
      <c r="AB544" s="17">
        <f>+VLOOKUP(E544,[1]base!M:N,2,0)</f>
        <v>1556</v>
      </c>
      <c r="AC544" s="17">
        <f>+VLOOKUP(E544,[1]base!M:Q,5,0)</f>
        <v>1635.090909090909</v>
      </c>
      <c r="AD544" s="18">
        <f>+VLOOKUP(E544,[1]base!M:P,4,0)</f>
        <v>0.1326644370122631</v>
      </c>
      <c r="AE544" s="19">
        <f t="shared" si="62"/>
        <v>260.37413600891858</v>
      </c>
    </row>
    <row r="545" spans="1:31" x14ac:dyDescent="0.25">
      <c r="A545" s="10" t="s">
        <v>261</v>
      </c>
      <c r="B545" s="11">
        <v>46254.525277777779</v>
      </c>
      <c r="C545" s="12" t="s">
        <v>262</v>
      </c>
      <c r="D545" s="12" t="s">
        <v>797</v>
      </c>
      <c r="E545" s="13" t="str">
        <f t="shared" si="56"/>
        <v>EC40404</v>
      </c>
      <c r="F545" s="14" t="str">
        <f t="shared" si="57"/>
        <v>NOIR</v>
      </c>
      <c r="G545" s="14">
        <f>+VLOOKUP(F545,[1]base!A:B,2,0)</f>
        <v>37</v>
      </c>
      <c r="H545" s="14">
        <v>10</v>
      </c>
      <c r="I545" s="14">
        <v>10</v>
      </c>
      <c r="J545" s="14"/>
      <c r="K545" s="14" t="s">
        <v>33</v>
      </c>
      <c r="L545" s="14" t="s">
        <v>798</v>
      </c>
      <c r="M545" s="14" t="s">
        <v>35</v>
      </c>
      <c r="N545" s="14">
        <v>10</v>
      </c>
      <c r="O545" s="14">
        <v>10</v>
      </c>
      <c r="P545" s="14">
        <v>0</v>
      </c>
      <c r="Q545" s="14">
        <v>0</v>
      </c>
      <c r="R545" s="14">
        <v>0</v>
      </c>
      <c r="S545" s="14"/>
      <c r="T545" s="15">
        <v>10</v>
      </c>
      <c r="U545" s="16"/>
      <c r="V545" s="17">
        <v>548</v>
      </c>
      <c r="W545" s="17">
        <f t="shared" si="58"/>
        <v>5480</v>
      </c>
      <c r="X545" s="17">
        <f t="shared" si="59"/>
        <v>284.95999999999998</v>
      </c>
      <c r="Y545" s="17">
        <v>553</v>
      </c>
      <c r="Z545" s="17">
        <f t="shared" si="60"/>
        <v>1</v>
      </c>
      <c r="AA545" s="17">
        <f t="shared" si="61"/>
        <v>6.6666666666666693E-2</v>
      </c>
      <c r="AB545" s="17">
        <f>+VLOOKUP(E545,[1]base!M:N,2,0)</f>
        <v>1778</v>
      </c>
      <c r="AC545" s="17">
        <f>+VLOOKUP(E545,[1]base!M:Q,5,0)</f>
        <v>1288.0999999999999</v>
      </c>
      <c r="AD545" s="18">
        <f>+VLOOKUP(E545,[1]base!M:P,4,0)</f>
        <v>6.95970695970696E-2</v>
      </c>
      <c r="AE545" s="19">
        <f t="shared" si="62"/>
        <v>409.65641025641025</v>
      </c>
    </row>
    <row r="546" spans="1:31" x14ac:dyDescent="0.25">
      <c r="A546" s="10" t="s">
        <v>703</v>
      </c>
      <c r="B546" s="11">
        <v>46258.403113425928</v>
      </c>
      <c r="C546" s="12" t="s">
        <v>704</v>
      </c>
      <c r="D546" s="12" t="s">
        <v>797</v>
      </c>
      <c r="E546" s="13" t="str">
        <f t="shared" si="56"/>
        <v>EC40404</v>
      </c>
      <c r="F546" s="14" t="str">
        <f t="shared" si="57"/>
        <v>NOIR</v>
      </c>
      <c r="G546" s="14">
        <f>+VLOOKUP(F546,[1]base!A:B,2,0)</f>
        <v>37</v>
      </c>
      <c r="H546" s="14">
        <v>24</v>
      </c>
      <c r="I546" s="14">
        <v>24</v>
      </c>
      <c r="J546" s="14"/>
      <c r="K546" s="14" t="s">
        <v>33</v>
      </c>
      <c r="L546" s="14" t="s">
        <v>799</v>
      </c>
      <c r="M546" s="14" t="s">
        <v>35</v>
      </c>
      <c r="N546" s="14">
        <v>24</v>
      </c>
      <c r="O546" s="14">
        <v>24</v>
      </c>
      <c r="P546" s="14">
        <v>0</v>
      </c>
      <c r="Q546" s="14">
        <v>0</v>
      </c>
      <c r="R546" s="14">
        <v>0</v>
      </c>
      <c r="S546" s="14"/>
      <c r="T546" s="15">
        <v>24</v>
      </c>
      <c r="U546" s="16"/>
      <c r="V546" s="17">
        <v>597</v>
      </c>
      <c r="W546" s="17">
        <f t="shared" si="58"/>
        <v>14328</v>
      </c>
      <c r="X546" s="17">
        <f t="shared" si="59"/>
        <v>745.05599999999993</v>
      </c>
      <c r="Y546" s="17">
        <v>602</v>
      </c>
      <c r="Z546" s="17">
        <f t="shared" si="60"/>
        <v>1</v>
      </c>
      <c r="AA546" s="17">
        <f t="shared" si="61"/>
        <v>6.6666666666666693E-2</v>
      </c>
      <c r="AB546" s="17">
        <f>+VLOOKUP(E546,[1]base!M:N,2,0)</f>
        <v>1778</v>
      </c>
      <c r="AC546" s="17">
        <f>+VLOOKUP(E546,[1]base!M:Q,5,0)</f>
        <v>1288.0999999999999</v>
      </c>
      <c r="AD546" s="18">
        <f>+VLOOKUP(E546,[1]base!M:P,4,0)</f>
        <v>6.95970695970696E-2</v>
      </c>
      <c r="AE546" s="19">
        <f t="shared" si="62"/>
        <v>409.65641025641025</v>
      </c>
    </row>
    <row r="547" spans="1:31" x14ac:dyDescent="0.25">
      <c r="A547" s="10" t="s">
        <v>91</v>
      </c>
      <c r="B547" s="11">
        <v>46267.551539351851</v>
      </c>
      <c r="C547" s="12" t="s">
        <v>39</v>
      </c>
      <c r="D547" s="12" t="s">
        <v>797</v>
      </c>
      <c r="E547" s="13" t="str">
        <f t="shared" si="56"/>
        <v>EC40404</v>
      </c>
      <c r="F547" s="14" t="str">
        <f t="shared" si="57"/>
        <v>NOIR</v>
      </c>
      <c r="G547" s="14">
        <f>+VLOOKUP(F547,[1]base!A:B,2,0)</f>
        <v>37</v>
      </c>
      <c r="H547" s="14">
        <v>40</v>
      </c>
      <c r="I547" s="14">
        <v>40</v>
      </c>
      <c r="J547" s="14"/>
      <c r="K547" s="14" t="s">
        <v>33</v>
      </c>
      <c r="L547" s="14" t="s">
        <v>800</v>
      </c>
      <c r="M547" s="14" t="s">
        <v>35</v>
      </c>
      <c r="N547" s="14">
        <v>40</v>
      </c>
      <c r="O547" s="14">
        <v>40</v>
      </c>
      <c r="P547" s="14">
        <v>0</v>
      </c>
      <c r="Q547" s="14">
        <v>0</v>
      </c>
      <c r="R547" s="14">
        <v>0</v>
      </c>
      <c r="S547" s="14"/>
      <c r="T547" s="15">
        <v>40</v>
      </c>
      <c r="U547" s="16"/>
      <c r="V547" s="17">
        <v>1056</v>
      </c>
      <c r="W547" s="17">
        <f t="shared" si="58"/>
        <v>42240</v>
      </c>
      <c r="X547" s="17">
        <f t="shared" si="59"/>
        <v>2196.48</v>
      </c>
      <c r="Y547" s="17">
        <v>1061</v>
      </c>
      <c r="Z547" s="17">
        <f t="shared" si="60"/>
        <v>1</v>
      </c>
      <c r="AA547" s="17">
        <f t="shared" si="61"/>
        <v>6.6666666666666693E-2</v>
      </c>
      <c r="AB547" s="17">
        <f>+VLOOKUP(E547,[1]base!M:N,2,0)</f>
        <v>1778</v>
      </c>
      <c r="AC547" s="17">
        <f>+VLOOKUP(E547,[1]base!M:Q,5,0)</f>
        <v>1288.0999999999999</v>
      </c>
      <c r="AD547" s="18">
        <f>+VLOOKUP(E547,[1]base!M:P,4,0)</f>
        <v>6.95970695970696E-2</v>
      </c>
      <c r="AE547" s="19">
        <f t="shared" si="62"/>
        <v>409.65641025641025</v>
      </c>
    </row>
    <row r="548" spans="1:31" x14ac:dyDescent="0.25">
      <c r="A548" s="10" t="s">
        <v>162</v>
      </c>
      <c r="B548" s="11">
        <v>46266.406585648147</v>
      </c>
      <c r="C548" s="12" t="s">
        <v>102</v>
      </c>
      <c r="D548" s="12" t="s">
        <v>801</v>
      </c>
      <c r="E548" s="13" t="str">
        <f t="shared" si="56"/>
        <v>LM-S758</v>
      </c>
      <c r="F548" s="14" t="str">
        <f t="shared" si="57"/>
        <v>NOIR</v>
      </c>
      <c r="G548" s="14">
        <f>+VLOOKUP(F548,[1]base!A:B,2,0)</f>
        <v>37</v>
      </c>
      <c r="H548" s="14">
        <v>30</v>
      </c>
      <c r="I548" s="14">
        <v>30</v>
      </c>
      <c r="J548" s="14"/>
      <c r="K548" s="14" t="s">
        <v>33</v>
      </c>
      <c r="L548" s="14" t="s">
        <v>802</v>
      </c>
      <c r="M548" s="14" t="s">
        <v>35</v>
      </c>
      <c r="N548" s="14">
        <v>30</v>
      </c>
      <c r="O548" s="14">
        <v>30</v>
      </c>
      <c r="P548" s="14">
        <v>0</v>
      </c>
      <c r="Q548" s="14">
        <v>0</v>
      </c>
      <c r="R548" s="14">
        <v>6</v>
      </c>
      <c r="S548" s="14"/>
      <c r="T548" s="15">
        <v>30</v>
      </c>
      <c r="U548" s="16"/>
      <c r="V548" s="17">
        <v>889</v>
      </c>
      <c r="W548" s="17">
        <f t="shared" si="58"/>
        <v>26670</v>
      </c>
      <c r="X548" s="17">
        <f t="shared" si="59"/>
        <v>1386.84</v>
      </c>
      <c r="Y548" s="17">
        <v>894</v>
      </c>
      <c r="Z548" s="17">
        <f t="shared" si="60"/>
        <v>1</v>
      </c>
      <c r="AA548" s="17">
        <f t="shared" si="61"/>
        <v>6.6666666666666693E-2</v>
      </c>
      <c r="AB548" s="17">
        <f>+VLOOKUP(E548,[1]base!M:N,2,0)</f>
        <v>1989</v>
      </c>
      <c r="AC548" s="17">
        <f>+VLOOKUP(E548,[1]base!M:Q,5,0)</f>
        <v>1750.6</v>
      </c>
      <c r="AD548" s="18">
        <f>+VLOOKUP(E548,[1]base!M:P,4,0)</f>
        <v>3.3527696793002916E-2</v>
      </c>
      <c r="AE548" s="19">
        <f t="shared" si="62"/>
        <v>530.01341107871713</v>
      </c>
    </row>
    <row r="549" spans="1:31" x14ac:dyDescent="0.25">
      <c r="A549" s="10" t="s">
        <v>803</v>
      </c>
      <c r="B549" s="11">
        <v>46267.547002314815</v>
      </c>
      <c r="C549" s="12" t="s">
        <v>258</v>
      </c>
      <c r="D549" s="12" t="s">
        <v>801</v>
      </c>
      <c r="E549" s="13" t="str">
        <f t="shared" si="56"/>
        <v>LM-S758</v>
      </c>
      <c r="F549" s="14" t="str">
        <f t="shared" si="57"/>
        <v>NOIR</v>
      </c>
      <c r="G549" s="14">
        <f>+VLOOKUP(F549,[1]base!A:B,2,0)</f>
        <v>37</v>
      </c>
      <c r="H549" s="14">
        <v>7</v>
      </c>
      <c r="I549" s="14">
        <v>7</v>
      </c>
      <c r="J549" s="14"/>
      <c r="K549" s="14" t="s">
        <v>33</v>
      </c>
      <c r="L549" s="14" t="s">
        <v>804</v>
      </c>
      <c r="M549" s="14" t="s">
        <v>35</v>
      </c>
      <c r="N549" s="14">
        <v>7</v>
      </c>
      <c r="O549" s="14">
        <v>7</v>
      </c>
      <c r="P549" s="14">
        <v>0</v>
      </c>
      <c r="Q549" s="14">
        <v>0</v>
      </c>
      <c r="R549" s="14">
        <v>6</v>
      </c>
      <c r="S549" s="14"/>
      <c r="T549" s="15">
        <v>7</v>
      </c>
      <c r="U549" s="16"/>
      <c r="V549" s="17">
        <v>1030</v>
      </c>
      <c r="W549" s="17">
        <f t="shared" si="58"/>
        <v>7210</v>
      </c>
      <c r="X549" s="17">
        <f t="shared" si="59"/>
        <v>374.91999999999996</v>
      </c>
      <c r="Y549" s="17">
        <v>1035</v>
      </c>
      <c r="Z549" s="17">
        <f t="shared" si="60"/>
        <v>1</v>
      </c>
      <c r="AA549" s="17">
        <f t="shared" si="61"/>
        <v>6.6666666666666693E-2</v>
      </c>
      <c r="AB549" s="17">
        <f>+VLOOKUP(E549,[1]base!M:N,2,0)</f>
        <v>1989</v>
      </c>
      <c r="AC549" s="17">
        <f>+VLOOKUP(E549,[1]base!M:Q,5,0)</f>
        <v>1750.6</v>
      </c>
      <c r="AD549" s="18">
        <f>+VLOOKUP(E549,[1]base!M:P,4,0)</f>
        <v>3.3527696793002916E-2</v>
      </c>
      <c r="AE549" s="19">
        <f t="shared" si="62"/>
        <v>530.01341107871713</v>
      </c>
    </row>
    <row r="550" spans="1:31" x14ac:dyDescent="0.25">
      <c r="A550" s="10" t="s">
        <v>261</v>
      </c>
      <c r="B550" s="11">
        <v>46254.525277777779</v>
      </c>
      <c r="C550" s="12" t="s">
        <v>262</v>
      </c>
      <c r="D550" s="12" t="s">
        <v>805</v>
      </c>
      <c r="E550" s="13" t="str">
        <f t="shared" si="56"/>
        <v>FR404</v>
      </c>
      <c r="F550" s="14" t="str">
        <f t="shared" si="57"/>
        <v>NOIR</v>
      </c>
      <c r="G550" s="14">
        <f>+VLOOKUP(F550,[1]base!A:B,2,0)</f>
        <v>37</v>
      </c>
      <c r="H550" s="14">
        <v>20</v>
      </c>
      <c r="I550" s="14">
        <v>20</v>
      </c>
      <c r="J550" s="14"/>
      <c r="K550" s="14" t="s">
        <v>33</v>
      </c>
      <c r="L550" s="14" t="s">
        <v>806</v>
      </c>
      <c r="M550" s="14" t="s">
        <v>35</v>
      </c>
      <c r="N550" s="14">
        <v>20</v>
      </c>
      <c r="O550" s="14">
        <v>20</v>
      </c>
      <c r="P550" s="14">
        <v>0</v>
      </c>
      <c r="Q550" s="14">
        <v>0</v>
      </c>
      <c r="R550" s="14">
        <v>0</v>
      </c>
      <c r="S550" s="14"/>
      <c r="T550" s="15">
        <v>20</v>
      </c>
      <c r="U550" s="16"/>
      <c r="V550" s="17">
        <v>549</v>
      </c>
      <c r="W550" s="17">
        <f t="shared" si="58"/>
        <v>10980</v>
      </c>
      <c r="X550" s="17">
        <f t="shared" si="59"/>
        <v>570.95999999999992</v>
      </c>
      <c r="Y550" s="17">
        <v>554</v>
      </c>
      <c r="Z550" s="17">
        <f t="shared" si="60"/>
        <v>1</v>
      </c>
      <c r="AA550" s="17">
        <f t="shared" si="61"/>
        <v>6.6666666666666693E-2</v>
      </c>
      <c r="AB550" s="17">
        <f>+VLOOKUP(E550,[1]base!M:N,2,0)</f>
        <v>2331</v>
      </c>
      <c r="AC550" s="17">
        <f>+VLOOKUP(E550,[1]base!M:Q,5,0)</f>
        <v>578.90909090909088</v>
      </c>
      <c r="AD550" s="18">
        <f>+VLOOKUP(E550,[1]base!M:P,4,0)</f>
        <v>7.0203430394894295E-2</v>
      </c>
      <c r="AE550" s="19">
        <f t="shared" si="62"/>
        <v>535.65580374950139</v>
      </c>
    </row>
    <row r="551" spans="1:31" x14ac:dyDescent="0.25">
      <c r="A551" s="10" t="s">
        <v>696</v>
      </c>
      <c r="B551" s="11">
        <v>46256.374837962961</v>
      </c>
      <c r="C551" s="12" t="s">
        <v>70</v>
      </c>
      <c r="D551" s="12" t="s">
        <v>805</v>
      </c>
      <c r="E551" s="13" t="str">
        <f t="shared" si="56"/>
        <v>FR404</v>
      </c>
      <c r="F551" s="14" t="str">
        <f t="shared" si="57"/>
        <v>NOIR</v>
      </c>
      <c r="G551" s="14">
        <f>+VLOOKUP(F551,[1]base!A:B,2,0)</f>
        <v>37</v>
      </c>
      <c r="H551" s="14">
        <v>9</v>
      </c>
      <c r="I551" s="14">
        <v>9</v>
      </c>
      <c r="J551" s="14"/>
      <c r="K551" s="14" t="s">
        <v>33</v>
      </c>
      <c r="L551" s="14" t="s">
        <v>807</v>
      </c>
      <c r="M551" s="14" t="s">
        <v>35</v>
      </c>
      <c r="N551" s="14">
        <v>9</v>
      </c>
      <c r="O551" s="14">
        <v>9</v>
      </c>
      <c r="P551" s="14">
        <v>0</v>
      </c>
      <c r="Q551" s="14">
        <v>0</v>
      </c>
      <c r="R551" s="14">
        <v>0</v>
      </c>
      <c r="S551" s="14"/>
      <c r="T551" s="15">
        <v>9</v>
      </c>
      <c r="U551" s="16"/>
      <c r="V551" s="17">
        <v>582</v>
      </c>
      <c r="W551" s="17">
        <f t="shared" si="58"/>
        <v>5238</v>
      </c>
      <c r="X551" s="17">
        <f t="shared" si="59"/>
        <v>272.37599999999998</v>
      </c>
      <c r="Y551" s="17">
        <v>587</v>
      </c>
      <c r="Z551" s="17">
        <f t="shared" si="60"/>
        <v>1</v>
      </c>
      <c r="AA551" s="17">
        <f t="shared" si="61"/>
        <v>6.6666666666666693E-2</v>
      </c>
      <c r="AB551" s="17">
        <f>+VLOOKUP(E551,[1]base!M:N,2,0)</f>
        <v>2331</v>
      </c>
      <c r="AC551" s="17">
        <f>+VLOOKUP(E551,[1]base!M:Q,5,0)</f>
        <v>578.90909090909088</v>
      </c>
      <c r="AD551" s="18">
        <f>+VLOOKUP(E551,[1]base!M:P,4,0)</f>
        <v>7.0203430394894295E-2</v>
      </c>
      <c r="AE551" s="19">
        <f t="shared" si="62"/>
        <v>535.65580374950139</v>
      </c>
    </row>
    <row r="552" spans="1:31" x14ac:dyDescent="0.25">
      <c r="A552" s="10" t="s">
        <v>741</v>
      </c>
      <c r="B552" s="11">
        <v>46258.508391203701</v>
      </c>
      <c r="C552" s="12" t="s">
        <v>742</v>
      </c>
      <c r="D552" s="12" t="s">
        <v>805</v>
      </c>
      <c r="E552" s="13" t="str">
        <f t="shared" si="56"/>
        <v>FR404</v>
      </c>
      <c r="F552" s="14" t="str">
        <f t="shared" si="57"/>
        <v>NOIR</v>
      </c>
      <c r="G552" s="14">
        <f>+VLOOKUP(F552,[1]base!A:B,2,0)</f>
        <v>37</v>
      </c>
      <c r="H552" s="14">
        <v>4</v>
      </c>
      <c r="I552" s="14">
        <v>4</v>
      </c>
      <c r="J552" s="14"/>
      <c r="K552" s="14" t="s">
        <v>33</v>
      </c>
      <c r="L552" s="14" t="s">
        <v>808</v>
      </c>
      <c r="M552" s="14" t="s">
        <v>35</v>
      </c>
      <c r="N552" s="14">
        <v>4</v>
      </c>
      <c r="O552" s="14">
        <v>4</v>
      </c>
      <c r="P552" s="14">
        <v>0</v>
      </c>
      <c r="Q552" s="14">
        <v>0</v>
      </c>
      <c r="R552" s="14">
        <v>0</v>
      </c>
      <c r="S552" s="14"/>
      <c r="T552" s="15">
        <v>4</v>
      </c>
      <c r="U552" s="16"/>
      <c r="V552" s="17">
        <v>607</v>
      </c>
      <c r="W552" s="17">
        <f t="shared" si="58"/>
        <v>2428</v>
      </c>
      <c r="X552" s="17">
        <f t="shared" si="59"/>
        <v>126.256</v>
      </c>
      <c r="Y552" s="17">
        <v>612</v>
      </c>
      <c r="Z552" s="17">
        <f t="shared" si="60"/>
        <v>1</v>
      </c>
      <c r="AA552" s="17">
        <f t="shared" si="61"/>
        <v>6.6666666666666693E-2</v>
      </c>
      <c r="AB552" s="17">
        <f>+VLOOKUP(E552,[1]base!M:N,2,0)</f>
        <v>2331</v>
      </c>
      <c r="AC552" s="17">
        <f>+VLOOKUP(E552,[1]base!M:Q,5,0)</f>
        <v>578.90909090909088</v>
      </c>
      <c r="AD552" s="18">
        <f>+VLOOKUP(E552,[1]base!M:P,4,0)</f>
        <v>7.0203430394894295E-2</v>
      </c>
      <c r="AE552" s="19">
        <f t="shared" si="62"/>
        <v>535.65580374950139</v>
      </c>
    </row>
    <row r="553" spans="1:31" x14ac:dyDescent="0.25">
      <c r="A553" s="10" t="s">
        <v>680</v>
      </c>
      <c r="B553" s="11">
        <v>46263.399872685186</v>
      </c>
      <c r="C553" s="12" t="s">
        <v>39</v>
      </c>
      <c r="D553" s="12" t="s">
        <v>805</v>
      </c>
      <c r="E553" s="13" t="str">
        <f t="shared" si="56"/>
        <v>FR404</v>
      </c>
      <c r="F553" s="14" t="str">
        <f t="shared" si="57"/>
        <v>NOIR</v>
      </c>
      <c r="G553" s="14">
        <f>+VLOOKUP(F553,[1]base!A:B,2,0)</f>
        <v>37</v>
      </c>
      <c r="H553" s="14">
        <v>6</v>
      </c>
      <c r="I553" s="14">
        <v>6</v>
      </c>
      <c r="J553" s="14"/>
      <c r="K553" s="14" t="s">
        <v>33</v>
      </c>
      <c r="L553" s="14" t="s">
        <v>809</v>
      </c>
      <c r="M553" s="14" t="s">
        <v>35</v>
      </c>
      <c r="N553" s="14">
        <v>6</v>
      </c>
      <c r="O553" s="14">
        <v>6</v>
      </c>
      <c r="P553" s="14">
        <v>0</v>
      </c>
      <c r="Q553" s="14">
        <v>0</v>
      </c>
      <c r="R553" s="14">
        <v>0</v>
      </c>
      <c r="S553" s="14"/>
      <c r="T553" s="15">
        <v>6</v>
      </c>
      <c r="U553" s="16"/>
      <c r="V553" s="17">
        <v>785</v>
      </c>
      <c r="W553" s="17">
        <f t="shared" si="58"/>
        <v>4710</v>
      </c>
      <c r="X553" s="17">
        <f t="shared" si="59"/>
        <v>244.92</v>
      </c>
      <c r="Y553" s="17">
        <v>790</v>
      </c>
      <c r="Z553" s="17">
        <f t="shared" si="60"/>
        <v>1</v>
      </c>
      <c r="AA553" s="17">
        <f t="shared" si="61"/>
        <v>6.6666666666666693E-2</v>
      </c>
      <c r="AB553" s="17">
        <f>+VLOOKUP(E553,[1]base!M:N,2,0)</f>
        <v>2331</v>
      </c>
      <c r="AC553" s="17">
        <f>+VLOOKUP(E553,[1]base!M:Q,5,0)</f>
        <v>578.90909090909088</v>
      </c>
      <c r="AD553" s="18">
        <f>+VLOOKUP(E553,[1]base!M:P,4,0)</f>
        <v>7.0203430394894295E-2</v>
      </c>
      <c r="AE553" s="19">
        <f t="shared" si="62"/>
        <v>535.65580374950139</v>
      </c>
    </row>
    <row r="554" spans="1:31" x14ac:dyDescent="0.25">
      <c r="A554" s="10" t="s">
        <v>687</v>
      </c>
      <c r="B554" s="11">
        <v>46267.323657407411</v>
      </c>
      <c r="C554" s="12" t="s">
        <v>199</v>
      </c>
      <c r="D554" s="12" t="s">
        <v>805</v>
      </c>
      <c r="E554" s="13" t="str">
        <f t="shared" si="56"/>
        <v>FR404</v>
      </c>
      <c r="F554" s="14" t="str">
        <f t="shared" si="57"/>
        <v>NOIR</v>
      </c>
      <c r="G554" s="14">
        <f>+VLOOKUP(F554,[1]base!A:B,2,0)</f>
        <v>37</v>
      </c>
      <c r="H554" s="14">
        <v>80</v>
      </c>
      <c r="I554" s="14">
        <v>80</v>
      </c>
      <c r="J554" s="14"/>
      <c r="K554" s="14" t="s">
        <v>33</v>
      </c>
      <c r="L554" s="14" t="s">
        <v>810</v>
      </c>
      <c r="M554" s="14" t="s">
        <v>35</v>
      </c>
      <c r="N554" s="14">
        <v>80</v>
      </c>
      <c r="O554" s="14">
        <v>80</v>
      </c>
      <c r="P554" s="14">
        <v>0</v>
      </c>
      <c r="Q554" s="14">
        <v>0</v>
      </c>
      <c r="R554" s="14">
        <v>0</v>
      </c>
      <c r="S554" s="14"/>
      <c r="T554" s="15">
        <v>80</v>
      </c>
      <c r="U554" s="16"/>
      <c r="V554" s="17">
        <v>996</v>
      </c>
      <c r="W554" s="17">
        <f t="shared" si="58"/>
        <v>79680</v>
      </c>
      <c r="X554" s="17">
        <f t="shared" si="59"/>
        <v>4143.3599999999997</v>
      </c>
      <c r="Y554" s="17">
        <v>1001</v>
      </c>
      <c r="Z554" s="17">
        <f t="shared" si="60"/>
        <v>1</v>
      </c>
      <c r="AA554" s="17">
        <f t="shared" si="61"/>
        <v>6.6666666666666693E-2</v>
      </c>
      <c r="AB554" s="17">
        <f>+VLOOKUP(E554,[1]base!M:N,2,0)</f>
        <v>2331</v>
      </c>
      <c r="AC554" s="17">
        <f>+VLOOKUP(E554,[1]base!M:Q,5,0)</f>
        <v>578.90909090909088</v>
      </c>
      <c r="AD554" s="18">
        <f>+VLOOKUP(E554,[1]base!M:P,4,0)</f>
        <v>7.0203430394894295E-2</v>
      </c>
      <c r="AE554" s="19">
        <f t="shared" si="62"/>
        <v>535.65580374950139</v>
      </c>
    </row>
    <row r="555" spans="1:31" x14ac:dyDescent="0.25">
      <c r="A555" s="10" t="s">
        <v>786</v>
      </c>
      <c r="B555" s="11">
        <v>46255.331192129626</v>
      </c>
      <c r="C555" s="12" t="s">
        <v>787</v>
      </c>
      <c r="D555" s="12" t="s">
        <v>811</v>
      </c>
      <c r="E555" s="13" t="str">
        <f t="shared" si="56"/>
        <v>CSQ301</v>
      </c>
      <c r="F555" s="14" t="str">
        <f t="shared" si="57"/>
        <v>NOIR</v>
      </c>
      <c r="G555" s="14">
        <f>+VLOOKUP(F555,[1]base!A:B,2,0)</f>
        <v>37</v>
      </c>
      <c r="H555" s="14">
        <v>1</v>
      </c>
      <c r="I555" s="14">
        <v>1</v>
      </c>
      <c r="J555" s="14"/>
      <c r="K555" s="14" t="s">
        <v>33</v>
      </c>
      <c r="L555" s="14" t="s">
        <v>812</v>
      </c>
      <c r="M555" s="14" t="s">
        <v>35</v>
      </c>
      <c r="N555" s="14">
        <v>1</v>
      </c>
      <c r="O555" s="14">
        <v>1</v>
      </c>
      <c r="P555" s="14">
        <v>0</v>
      </c>
      <c r="Q555" s="14">
        <v>0</v>
      </c>
      <c r="R555" s="14">
        <v>0</v>
      </c>
      <c r="S555" s="14"/>
      <c r="T555" s="15">
        <v>1</v>
      </c>
      <c r="U555" s="16"/>
      <c r="V555" s="17">
        <v>557</v>
      </c>
      <c r="W555" s="17">
        <f t="shared" si="58"/>
        <v>557</v>
      </c>
      <c r="X555" s="17">
        <f t="shared" si="59"/>
        <v>28.963999999999999</v>
      </c>
      <c r="Y555" s="17">
        <v>562</v>
      </c>
      <c r="Z555" s="17">
        <f t="shared" si="60"/>
        <v>1</v>
      </c>
      <c r="AA555" s="17">
        <f t="shared" si="61"/>
        <v>6.6666666666666693E-2</v>
      </c>
      <c r="AB555" s="17">
        <f>+VLOOKUP(E555,[1]base!M:N,2,0)</f>
        <v>2616</v>
      </c>
      <c r="AC555" s="17">
        <f>+VLOOKUP(E555,[1]base!M:Q,5,0)</f>
        <v>82.777777777777771</v>
      </c>
      <c r="AD555" s="18">
        <f>+VLOOKUP(E555,[1]base!M:P,4,0)</f>
        <v>7.9635949943117172E-3</v>
      </c>
      <c r="AE555" s="19">
        <f t="shared" si="62"/>
        <v>763.96723549488058</v>
      </c>
    </row>
    <row r="556" spans="1:31" x14ac:dyDescent="0.25">
      <c r="A556" s="10" t="s">
        <v>803</v>
      </c>
      <c r="B556" s="11">
        <v>46267.547002314815</v>
      </c>
      <c r="C556" s="12" t="s">
        <v>258</v>
      </c>
      <c r="D556" s="12" t="s">
        <v>813</v>
      </c>
      <c r="E556" s="13" t="str">
        <f t="shared" si="56"/>
        <v>LM-F/6</v>
      </c>
      <c r="F556" s="14" t="str">
        <f t="shared" si="57"/>
        <v>NOIR</v>
      </c>
      <c r="G556" s="14">
        <f>+VLOOKUP(F556,[1]base!A:B,2,0)</f>
        <v>37</v>
      </c>
      <c r="H556" s="14">
        <v>2</v>
      </c>
      <c r="I556" s="14">
        <v>2</v>
      </c>
      <c r="J556" s="14"/>
      <c r="K556" s="14" t="s">
        <v>33</v>
      </c>
      <c r="L556" s="14" t="s">
        <v>814</v>
      </c>
      <c r="M556" s="14" t="s">
        <v>35</v>
      </c>
      <c r="N556" s="14">
        <v>2</v>
      </c>
      <c r="O556" s="14">
        <v>2</v>
      </c>
      <c r="P556" s="14">
        <v>0</v>
      </c>
      <c r="Q556" s="14">
        <v>0</v>
      </c>
      <c r="R556" s="14">
        <v>0</v>
      </c>
      <c r="S556" s="14"/>
      <c r="T556" s="15">
        <v>2</v>
      </c>
      <c r="U556" s="16"/>
      <c r="V556" s="17">
        <v>1028</v>
      </c>
      <c r="W556" s="17">
        <f t="shared" si="58"/>
        <v>2056</v>
      </c>
      <c r="X556" s="17">
        <f t="shared" si="59"/>
        <v>106.91199999999999</v>
      </c>
      <c r="Y556" s="17">
        <v>1033</v>
      </c>
      <c r="Z556" s="17">
        <f t="shared" si="60"/>
        <v>1</v>
      </c>
      <c r="AA556" s="17">
        <f t="shared" si="61"/>
        <v>6.6666666666666693E-2</v>
      </c>
      <c r="AB556" s="17">
        <f>+VLOOKUP(E556,[1]base!M:N,2,0)</f>
        <v>4160</v>
      </c>
      <c r="AC556" s="17">
        <f>+VLOOKUP(E556,[1]base!M:Q,5,0)</f>
        <v>1927.6</v>
      </c>
      <c r="AD556" s="18">
        <f>+VLOOKUP(E556,[1]base!M:P,4,0)</f>
        <v>-4.4379084967320264</v>
      </c>
      <c r="AE556" s="19">
        <f t="shared" si="62"/>
        <v>19709.699346405228</v>
      </c>
    </row>
    <row r="557" spans="1:31" x14ac:dyDescent="0.25">
      <c r="A557" s="10" t="s">
        <v>327</v>
      </c>
      <c r="B557" s="11">
        <v>46255.604097222225</v>
      </c>
      <c r="C557" s="12" t="s">
        <v>124</v>
      </c>
      <c r="D557" s="12" t="s">
        <v>815</v>
      </c>
      <c r="E557" s="13" t="str">
        <f t="shared" si="56"/>
        <v>EC40107</v>
      </c>
      <c r="F557" s="14" t="str">
        <f t="shared" si="57"/>
        <v>NOIR</v>
      </c>
      <c r="G557" s="14">
        <f>+VLOOKUP(F557,[1]base!A:B,2,0)</f>
        <v>37</v>
      </c>
      <c r="H557" s="14">
        <v>10</v>
      </c>
      <c r="I557" s="14">
        <v>10</v>
      </c>
      <c r="J557" s="14"/>
      <c r="K557" s="14" t="s">
        <v>33</v>
      </c>
      <c r="L557" s="14" t="s">
        <v>816</v>
      </c>
      <c r="M557" s="14" t="s">
        <v>35</v>
      </c>
      <c r="N557" s="14">
        <v>10</v>
      </c>
      <c r="O557" s="14">
        <v>10</v>
      </c>
      <c r="P557" s="14">
        <v>0</v>
      </c>
      <c r="Q557" s="14">
        <v>0</v>
      </c>
      <c r="R557" s="14">
        <v>4</v>
      </c>
      <c r="S557" s="14"/>
      <c r="T557" s="15">
        <v>10</v>
      </c>
      <c r="U557" s="16"/>
      <c r="V557" s="17">
        <v>565</v>
      </c>
      <c r="W557" s="17">
        <f t="shared" si="58"/>
        <v>5650</v>
      </c>
      <c r="X557" s="17">
        <f t="shared" si="59"/>
        <v>293.8</v>
      </c>
      <c r="Y557" s="17">
        <v>570</v>
      </c>
      <c r="Z557" s="17">
        <f t="shared" si="60"/>
        <v>1</v>
      </c>
      <c r="AA557" s="17">
        <f t="shared" si="61"/>
        <v>6.6666666666666693E-2</v>
      </c>
      <c r="AB557" s="17">
        <f>+VLOOKUP(E557,[1]base!M:N,2,0)</f>
        <v>5450</v>
      </c>
      <c r="AC557" s="17">
        <f>+VLOOKUP(E557,[1]base!M:Q,5,0)</f>
        <v>423</v>
      </c>
      <c r="AD557" s="18">
        <f>+VLOOKUP(E557,[1]base!M:P,4,0)</f>
        <v>5.6930264751687144E-2</v>
      </c>
      <c r="AE557" s="19">
        <f t="shared" si="62"/>
        <v>1324.7300571033049</v>
      </c>
    </row>
    <row r="558" spans="1:31" x14ac:dyDescent="0.25">
      <c r="A558" s="10" t="s">
        <v>696</v>
      </c>
      <c r="B558" s="11">
        <v>46256.374837962961</v>
      </c>
      <c r="C558" s="12" t="s">
        <v>70</v>
      </c>
      <c r="D558" s="12" t="s">
        <v>815</v>
      </c>
      <c r="E558" s="13" t="str">
        <f t="shared" si="56"/>
        <v>EC40107</v>
      </c>
      <c r="F558" s="14" t="str">
        <f t="shared" si="57"/>
        <v>NOIR</v>
      </c>
      <c r="G558" s="14">
        <f>+VLOOKUP(F558,[1]base!A:B,2,0)</f>
        <v>37</v>
      </c>
      <c r="H558" s="14">
        <v>4</v>
      </c>
      <c r="I558" s="14">
        <v>4</v>
      </c>
      <c r="J558" s="14"/>
      <c r="K558" s="14" t="s">
        <v>33</v>
      </c>
      <c r="L558" s="14" t="s">
        <v>817</v>
      </c>
      <c r="M558" s="14" t="s">
        <v>35</v>
      </c>
      <c r="N558" s="14">
        <v>4</v>
      </c>
      <c r="O558" s="14">
        <v>4</v>
      </c>
      <c r="P558" s="14">
        <v>0</v>
      </c>
      <c r="Q558" s="14">
        <v>0</v>
      </c>
      <c r="R558" s="14">
        <v>4</v>
      </c>
      <c r="S558" s="14"/>
      <c r="T558" s="15">
        <v>4</v>
      </c>
      <c r="U558" s="16"/>
      <c r="V558" s="17">
        <v>576</v>
      </c>
      <c r="W558" s="17">
        <f t="shared" si="58"/>
        <v>2304</v>
      </c>
      <c r="X558" s="17">
        <f t="shared" si="59"/>
        <v>119.80799999999999</v>
      </c>
      <c r="Y558" s="17">
        <v>581</v>
      </c>
      <c r="Z558" s="17">
        <f t="shared" si="60"/>
        <v>1</v>
      </c>
      <c r="AA558" s="17">
        <f t="shared" si="61"/>
        <v>6.6666666666666693E-2</v>
      </c>
      <c r="AB558" s="17">
        <f>+VLOOKUP(E558,[1]base!M:N,2,0)</f>
        <v>5450</v>
      </c>
      <c r="AC558" s="17">
        <f>+VLOOKUP(E558,[1]base!M:Q,5,0)</f>
        <v>423</v>
      </c>
      <c r="AD558" s="18">
        <f>+VLOOKUP(E558,[1]base!M:P,4,0)</f>
        <v>5.6930264751687144E-2</v>
      </c>
      <c r="AE558" s="19">
        <f t="shared" si="62"/>
        <v>1324.7300571033049</v>
      </c>
    </row>
    <row r="559" spans="1:31" x14ac:dyDescent="0.25">
      <c r="A559" s="10" t="s">
        <v>162</v>
      </c>
      <c r="B559" s="11">
        <v>46266.406585648147</v>
      </c>
      <c r="C559" s="12" t="s">
        <v>102</v>
      </c>
      <c r="D559" s="12" t="s">
        <v>818</v>
      </c>
      <c r="E559" s="13" t="str">
        <f t="shared" si="56"/>
        <v>LM-757</v>
      </c>
      <c r="F559" s="14" t="str">
        <f t="shared" si="57"/>
        <v>NOIR</v>
      </c>
      <c r="G559" s="14">
        <f>+VLOOKUP(F559,[1]base!A:B,2,0)</f>
        <v>37</v>
      </c>
      <c r="H559" s="14">
        <v>100</v>
      </c>
      <c r="I559" s="14">
        <v>100</v>
      </c>
      <c r="J559" s="14"/>
      <c r="K559" s="14" t="s">
        <v>33</v>
      </c>
      <c r="L559" s="14" t="s">
        <v>819</v>
      </c>
      <c r="M559" s="14" t="s">
        <v>35</v>
      </c>
      <c r="N559" s="14">
        <v>100</v>
      </c>
      <c r="O559" s="14">
        <v>100</v>
      </c>
      <c r="P559" s="14">
        <v>0</v>
      </c>
      <c r="Q559" s="14">
        <v>0</v>
      </c>
      <c r="R559" s="14">
        <v>3</v>
      </c>
      <c r="S559" s="14"/>
      <c r="T559" s="15">
        <v>100</v>
      </c>
      <c r="U559" s="16"/>
      <c r="V559" s="17">
        <v>887</v>
      </c>
      <c r="W559" s="17">
        <f t="shared" si="58"/>
        <v>88700</v>
      </c>
      <c r="X559" s="17">
        <f t="shared" si="59"/>
        <v>4612.3999999999996</v>
      </c>
      <c r="Y559" s="17">
        <v>892</v>
      </c>
      <c r="Z559" s="17">
        <f t="shared" si="60"/>
        <v>1</v>
      </c>
      <c r="AA559" s="17">
        <f t="shared" si="61"/>
        <v>6.6666666666666693E-2</v>
      </c>
      <c r="AB559" s="17">
        <f>+VLOOKUP(E559,[1]base!M:N,2,0)</f>
        <v>26981</v>
      </c>
      <c r="AC559" s="17">
        <f>+VLOOKUP(E559,[1]base!M:Q,5,0)</f>
        <v>13391.545454545454</v>
      </c>
      <c r="AD559" s="18">
        <f>+VLOOKUP(E559,[1]base!M:P,4,0)</f>
        <v>1.1467721843628636E-2</v>
      </c>
      <c r="AE559" s="19">
        <f t="shared" si="62"/>
        <v>7784.8893969370547</v>
      </c>
    </row>
    <row r="560" spans="1:31" x14ac:dyDescent="0.25">
      <c r="A560" s="10" t="s">
        <v>803</v>
      </c>
      <c r="B560" s="11">
        <v>46267.547002314815</v>
      </c>
      <c r="C560" s="12" t="s">
        <v>258</v>
      </c>
      <c r="D560" s="12" t="s">
        <v>818</v>
      </c>
      <c r="E560" s="13" t="str">
        <f t="shared" si="56"/>
        <v>LM-757</v>
      </c>
      <c r="F560" s="14" t="str">
        <f t="shared" si="57"/>
        <v>NOIR</v>
      </c>
      <c r="G560" s="14">
        <f>+VLOOKUP(F560,[1]base!A:B,2,0)</f>
        <v>37</v>
      </c>
      <c r="H560" s="14">
        <v>60</v>
      </c>
      <c r="I560" s="14">
        <v>30</v>
      </c>
      <c r="J560" s="14"/>
      <c r="K560" s="14" t="s">
        <v>33</v>
      </c>
      <c r="L560" s="14" t="s">
        <v>820</v>
      </c>
      <c r="M560" s="14" t="s">
        <v>35</v>
      </c>
      <c r="N560" s="14">
        <v>30</v>
      </c>
      <c r="O560" s="14">
        <v>30</v>
      </c>
      <c r="P560" s="14">
        <v>0</v>
      </c>
      <c r="Q560" s="14">
        <v>0</v>
      </c>
      <c r="R560" s="14">
        <v>3</v>
      </c>
      <c r="S560" s="14"/>
      <c r="T560" s="15">
        <v>30</v>
      </c>
      <c r="U560" s="16"/>
      <c r="V560" s="17">
        <v>1029</v>
      </c>
      <c r="W560" s="17">
        <f t="shared" si="58"/>
        <v>30870</v>
      </c>
      <c r="X560" s="17">
        <f t="shared" si="59"/>
        <v>1605.24</v>
      </c>
      <c r="Y560" s="17">
        <v>1034</v>
      </c>
      <c r="Z560" s="17">
        <f t="shared" si="60"/>
        <v>1</v>
      </c>
      <c r="AA560" s="17">
        <f t="shared" si="61"/>
        <v>6.6666666666666693E-2</v>
      </c>
      <c r="AB560" s="17">
        <f>+VLOOKUP(E560,[1]base!M:N,2,0)</f>
        <v>26981</v>
      </c>
      <c r="AC560" s="17">
        <f>+VLOOKUP(E560,[1]base!M:Q,5,0)</f>
        <v>13391.545454545454</v>
      </c>
      <c r="AD560" s="18">
        <f>+VLOOKUP(E560,[1]base!M:P,4,0)</f>
        <v>1.1467721843628636E-2</v>
      </c>
      <c r="AE560" s="19">
        <f t="shared" si="62"/>
        <v>7784.8893969370547</v>
      </c>
    </row>
    <row r="561" spans="1:31" x14ac:dyDescent="0.25">
      <c r="A561" s="10" t="s">
        <v>821</v>
      </c>
      <c r="B561" s="11">
        <v>46255.484942129631</v>
      </c>
      <c r="C561" s="12" t="s">
        <v>31</v>
      </c>
      <c r="D561" s="12" t="s">
        <v>822</v>
      </c>
      <c r="E561" s="13" t="str">
        <f t="shared" si="56"/>
        <v>DS001_P6500</v>
      </c>
      <c r="F561" s="14" t="str">
        <f t="shared" si="57"/>
        <v>NOIR</v>
      </c>
      <c r="G561" s="14">
        <f>+VLOOKUP(F561,[1]base!A:B,2,0)</f>
        <v>37</v>
      </c>
      <c r="H561" s="14">
        <v>100</v>
      </c>
      <c r="I561" s="14">
        <v>100</v>
      </c>
      <c r="J561" s="14"/>
      <c r="K561" s="14" t="s">
        <v>33</v>
      </c>
      <c r="L561" s="14" t="s">
        <v>823</v>
      </c>
      <c r="M561" s="14" t="s">
        <v>35</v>
      </c>
      <c r="N561" s="14">
        <v>100</v>
      </c>
      <c r="O561" s="14">
        <v>100</v>
      </c>
      <c r="P561" s="14">
        <v>0</v>
      </c>
      <c r="Q561" s="14">
        <v>0</v>
      </c>
      <c r="R561" s="14">
        <v>0</v>
      </c>
      <c r="S561" s="14"/>
      <c r="T561" s="15">
        <v>100</v>
      </c>
      <c r="U561" s="16"/>
      <c r="V561" s="17">
        <v>560</v>
      </c>
      <c r="W561" s="17">
        <f t="shared" si="58"/>
        <v>56000</v>
      </c>
      <c r="X561" s="17">
        <f t="shared" si="59"/>
        <v>2912</v>
      </c>
      <c r="Y561" s="17">
        <v>565</v>
      </c>
      <c r="Z561" s="17">
        <f t="shared" si="60"/>
        <v>1</v>
      </c>
      <c r="AA561" s="17">
        <f t="shared" si="61"/>
        <v>6.6666666666666693E-2</v>
      </c>
      <c r="AB561" s="17" t="e">
        <f>+VLOOKUP(E561,[1]base!M:N,2,0)</f>
        <v>#N/A</v>
      </c>
      <c r="AC561" s="17" t="e">
        <f>+VLOOKUP(E561,[1]base!M:Q,5,0)</f>
        <v>#N/A</v>
      </c>
      <c r="AD561" s="18" t="e">
        <f>+VLOOKUP(E561,[1]base!M:P,4,0)</f>
        <v>#N/A</v>
      </c>
      <c r="AE561" s="19" t="e">
        <f t="shared" si="62"/>
        <v>#N/A</v>
      </c>
    </row>
    <row r="562" spans="1:31" x14ac:dyDescent="0.25">
      <c r="A562" s="20" t="s">
        <v>824</v>
      </c>
      <c r="B562" s="11">
        <v>46133.585949074077</v>
      </c>
      <c r="C562" s="12" t="s">
        <v>39</v>
      </c>
      <c r="D562" s="12" t="s">
        <v>825</v>
      </c>
      <c r="E562" s="13" t="str">
        <f t="shared" si="56"/>
        <v>KITOB</v>
      </c>
      <c r="F562" s="14" t="str">
        <f t="shared" si="57"/>
        <v>NOIR</v>
      </c>
      <c r="G562" s="14">
        <f>+VLOOKUP(F562,[1]base!A:B,2,0)</f>
        <v>37</v>
      </c>
      <c r="H562" s="14">
        <v>2</v>
      </c>
      <c r="I562" s="14">
        <v>2</v>
      </c>
      <c r="J562" s="14"/>
      <c r="K562" s="14" t="s">
        <v>33</v>
      </c>
      <c r="L562" s="14" t="s">
        <v>826</v>
      </c>
      <c r="M562" s="14" t="s">
        <v>35</v>
      </c>
      <c r="N562" s="14">
        <v>2</v>
      </c>
      <c r="O562" s="14">
        <v>2</v>
      </c>
      <c r="P562" s="14">
        <v>0</v>
      </c>
      <c r="Q562" s="14">
        <v>0</v>
      </c>
      <c r="R562" s="14">
        <v>1</v>
      </c>
      <c r="S562" s="14"/>
      <c r="T562" s="15">
        <v>2</v>
      </c>
      <c r="U562" s="16"/>
      <c r="V562" s="17">
        <v>5</v>
      </c>
      <c r="W562" s="17">
        <f t="shared" si="58"/>
        <v>10</v>
      </c>
      <c r="X562" s="17">
        <f t="shared" si="59"/>
        <v>0.52</v>
      </c>
      <c r="Y562" s="17">
        <v>10</v>
      </c>
      <c r="Z562" s="17">
        <f t="shared" si="60"/>
        <v>1</v>
      </c>
      <c r="AA562" s="17">
        <f t="shared" si="61"/>
        <v>6.6666666666666693E-2</v>
      </c>
      <c r="AB562" s="17" t="e">
        <f>+VLOOKUP(E562,[1]base!M:N,2,0)</f>
        <v>#N/A</v>
      </c>
      <c r="AC562" s="17" t="e">
        <f>+VLOOKUP(E562,[1]base!M:Q,5,0)</f>
        <v>#N/A</v>
      </c>
      <c r="AD562" s="18" t="e">
        <f>+VLOOKUP(E562,[1]base!M:P,4,0)</f>
        <v>#N/A</v>
      </c>
      <c r="AE562" s="19" t="e">
        <f t="shared" si="62"/>
        <v>#N/A</v>
      </c>
    </row>
    <row r="563" spans="1:31" x14ac:dyDescent="0.25">
      <c r="A563" s="20" t="s">
        <v>827</v>
      </c>
      <c r="B563" s="11">
        <v>46212.477199074077</v>
      </c>
      <c r="C563" s="12" t="s">
        <v>70</v>
      </c>
      <c r="D563" s="12" t="s">
        <v>825</v>
      </c>
      <c r="E563" s="13" t="str">
        <f t="shared" si="56"/>
        <v>KITOB</v>
      </c>
      <c r="F563" s="14" t="str">
        <f t="shared" si="57"/>
        <v>NOIR</v>
      </c>
      <c r="G563" s="14">
        <f>+VLOOKUP(F563,[1]base!A:B,2,0)</f>
        <v>37</v>
      </c>
      <c r="H563" s="14">
        <v>2</v>
      </c>
      <c r="I563" s="14">
        <v>2</v>
      </c>
      <c r="J563" s="14"/>
      <c r="K563" s="14" t="s">
        <v>33</v>
      </c>
      <c r="L563" s="14" t="s">
        <v>828</v>
      </c>
      <c r="M563" s="14" t="s">
        <v>35</v>
      </c>
      <c r="N563" s="14">
        <v>2</v>
      </c>
      <c r="O563" s="14">
        <v>2</v>
      </c>
      <c r="P563" s="14">
        <v>0</v>
      </c>
      <c r="Q563" s="14">
        <v>0</v>
      </c>
      <c r="R563" s="14">
        <v>1</v>
      </c>
      <c r="S563" s="14"/>
      <c r="T563" s="15">
        <v>2</v>
      </c>
      <c r="U563" s="16"/>
      <c r="V563" s="17">
        <v>97</v>
      </c>
      <c r="W563" s="17">
        <f t="shared" si="58"/>
        <v>194</v>
      </c>
      <c r="X563" s="17">
        <f t="shared" si="59"/>
        <v>10.087999999999999</v>
      </c>
      <c r="Y563" s="17">
        <v>102</v>
      </c>
      <c r="Z563" s="17">
        <f t="shared" si="60"/>
        <v>1</v>
      </c>
      <c r="AA563" s="17">
        <f t="shared" si="61"/>
        <v>6.6666666666666693E-2</v>
      </c>
      <c r="AB563" s="17" t="e">
        <f>+VLOOKUP(E563,[1]base!M:N,2,0)</f>
        <v>#N/A</v>
      </c>
      <c r="AC563" s="17" t="e">
        <f>+VLOOKUP(E563,[1]base!M:Q,5,0)</f>
        <v>#N/A</v>
      </c>
      <c r="AD563" s="18" t="e">
        <f>+VLOOKUP(E563,[1]base!M:P,4,0)</f>
        <v>#N/A</v>
      </c>
      <c r="AE563" s="19" t="e">
        <f t="shared" si="62"/>
        <v>#N/A</v>
      </c>
    </row>
    <row r="564" spans="1:31" x14ac:dyDescent="0.25">
      <c r="A564" s="20" t="s">
        <v>357</v>
      </c>
      <c r="B564" s="11">
        <v>46218.542569444442</v>
      </c>
      <c r="C564" s="12" t="s">
        <v>31</v>
      </c>
      <c r="D564" s="12" t="s">
        <v>825</v>
      </c>
      <c r="E564" s="13" t="str">
        <f t="shared" si="56"/>
        <v>KITOB</v>
      </c>
      <c r="F564" s="14" t="str">
        <f t="shared" si="57"/>
        <v>NOIR</v>
      </c>
      <c r="G564" s="14">
        <f>+VLOOKUP(F564,[1]base!A:B,2,0)</f>
        <v>37</v>
      </c>
      <c r="H564" s="14">
        <v>2</v>
      </c>
      <c r="I564" s="14">
        <v>2</v>
      </c>
      <c r="J564" s="14"/>
      <c r="K564" s="14" t="s">
        <v>33</v>
      </c>
      <c r="L564" s="14" t="s">
        <v>829</v>
      </c>
      <c r="M564" s="14" t="s">
        <v>35</v>
      </c>
      <c r="N564" s="14">
        <v>2</v>
      </c>
      <c r="O564" s="14">
        <v>2</v>
      </c>
      <c r="P564" s="14">
        <v>0</v>
      </c>
      <c r="Q564" s="14">
        <v>0</v>
      </c>
      <c r="R564" s="14">
        <v>1</v>
      </c>
      <c r="S564" s="14"/>
      <c r="T564" s="15">
        <v>2</v>
      </c>
      <c r="U564" s="16"/>
      <c r="V564" s="17">
        <v>119</v>
      </c>
      <c r="W564" s="17">
        <f t="shared" si="58"/>
        <v>238</v>
      </c>
      <c r="X564" s="17">
        <f t="shared" si="59"/>
        <v>12.375999999999999</v>
      </c>
      <c r="Y564" s="17">
        <v>124</v>
      </c>
      <c r="Z564" s="17">
        <f t="shared" si="60"/>
        <v>1</v>
      </c>
      <c r="AA564" s="17">
        <f t="shared" si="61"/>
        <v>6.6666666666666693E-2</v>
      </c>
      <c r="AB564" s="17" t="e">
        <f>+VLOOKUP(E564,[1]base!M:N,2,0)</f>
        <v>#N/A</v>
      </c>
      <c r="AC564" s="17" t="e">
        <f>+VLOOKUP(E564,[1]base!M:Q,5,0)</f>
        <v>#N/A</v>
      </c>
      <c r="AD564" s="18" t="e">
        <f>+VLOOKUP(E564,[1]base!M:P,4,0)</f>
        <v>#N/A</v>
      </c>
      <c r="AE564" s="19" t="e">
        <f t="shared" si="62"/>
        <v>#N/A</v>
      </c>
    </row>
    <row r="565" spans="1:31" x14ac:dyDescent="0.25">
      <c r="A565" s="10" t="s">
        <v>830</v>
      </c>
      <c r="B565" s="11">
        <v>46234.563368055555</v>
      </c>
      <c r="C565" s="12" t="s">
        <v>169</v>
      </c>
      <c r="D565" s="12" t="s">
        <v>831</v>
      </c>
      <c r="E565" s="13" t="str">
        <f t="shared" si="56"/>
        <v>kitobT1G</v>
      </c>
      <c r="F565" s="14" t="str">
        <f t="shared" si="57"/>
        <v>NOIR</v>
      </c>
      <c r="G565" s="14">
        <f>+VLOOKUP(F565,[1]base!A:B,2,0)</f>
        <v>37</v>
      </c>
      <c r="H565" s="14">
        <v>2</v>
      </c>
      <c r="I565" s="14">
        <v>2</v>
      </c>
      <c r="J565" s="14"/>
      <c r="K565" s="14" t="s">
        <v>33</v>
      </c>
      <c r="L565" s="14" t="s">
        <v>832</v>
      </c>
      <c r="M565" s="14" t="s">
        <v>35</v>
      </c>
      <c r="N565" s="14">
        <v>2</v>
      </c>
      <c r="O565" s="14">
        <v>2</v>
      </c>
      <c r="P565" s="14">
        <v>0</v>
      </c>
      <c r="Q565" s="14">
        <v>0</v>
      </c>
      <c r="R565" s="14">
        <v>1</v>
      </c>
      <c r="S565" s="14"/>
      <c r="T565" s="15">
        <v>2</v>
      </c>
      <c r="U565" s="16"/>
      <c r="V565" s="17">
        <v>332</v>
      </c>
      <c r="W565" s="17">
        <f t="shared" si="58"/>
        <v>664</v>
      </c>
      <c r="X565" s="17">
        <f t="shared" si="59"/>
        <v>34.527999999999999</v>
      </c>
      <c r="Y565" s="17">
        <v>337</v>
      </c>
      <c r="Z565" s="17">
        <f t="shared" si="60"/>
        <v>1</v>
      </c>
      <c r="AA565" s="17">
        <f t="shared" si="61"/>
        <v>6.6666666666666693E-2</v>
      </c>
      <c r="AB565" s="17" t="e">
        <f>+VLOOKUP(E565,[1]base!M:N,2,0)</f>
        <v>#N/A</v>
      </c>
      <c r="AC565" s="17" t="e">
        <f>+VLOOKUP(E565,[1]base!M:Q,5,0)</f>
        <v>#N/A</v>
      </c>
      <c r="AD565" s="18" t="e">
        <f>+VLOOKUP(E565,[1]base!M:P,4,0)</f>
        <v>#N/A</v>
      </c>
      <c r="AE565" s="19" t="e">
        <f t="shared" si="62"/>
        <v>#N/A</v>
      </c>
    </row>
    <row r="566" spans="1:31" x14ac:dyDescent="0.25">
      <c r="A566" s="10" t="s">
        <v>753</v>
      </c>
      <c r="B566" s="11">
        <v>46246.552789351852</v>
      </c>
      <c r="C566" s="12" t="s">
        <v>39</v>
      </c>
      <c r="D566" s="12" t="s">
        <v>833</v>
      </c>
      <c r="E566" s="13" t="str">
        <f t="shared" si="56"/>
        <v>P014</v>
      </c>
      <c r="F566" s="14" t="str">
        <f t="shared" si="57"/>
        <v>NOIR</v>
      </c>
      <c r="G566" s="14">
        <f>+VLOOKUP(F566,[1]base!A:B,2,0)</f>
        <v>37</v>
      </c>
      <c r="H566" s="14">
        <v>9</v>
      </c>
      <c r="I566" s="14">
        <v>9</v>
      </c>
      <c r="J566" s="14"/>
      <c r="K566" s="14" t="s">
        <v>33</v>
      </c>
      <c r="L566" s="14" t="s">
        <v>834</v>
      </c>
      <c r="M566" s="14" t="s">
        <v>35</v>
      </c>
      <c r="N566" s="14">
        <v>9</v>
      </c>
      <c r="O566" s="14">
        <v>9</v>
      </c>
      <c r="P566" s="14">
        <v>0</v>
      </c>
      <c r="Q566" s="14">
        <v>0</v>
      </c>
      <c r="R566" s="14">
        <v>0</v>
      </c>
      <c r="S566" s="14"/>
      <c r="T566" s="15">
        <v>9</v>
      </c>
      <c r="U566" s="16"/>
      <c r="V566" s="17">
        <v>450</v>
      </c>
      <c r="W566" s="17">
        <f t="shared" si="58"/>
        <v>4050</v>
      </c>
      <c r="X566" s="17">
        <f t="shared" si="59"/>
        <v>210.6</v>
      </c>
      <c r="Y566" s="17">
        <v>455</v>
      </c>
      <c r="Z566" s="17">
        <f t="shared" si="60"/>
        <v>1</v>
      </c>
      <c r="AA566" s="17">
        <f t="shared" si="61"/>
        <v>6.6666666666666693E-2</v>
      </c>
      <c r="AB566" s="17" t="e">
        <f>+VLOOKUP(E566,[1]base!M:N,2,0)</f>
        <v>#N/A</v>
      </c>
      <c r="AC566" s="17" t="e">
        <f>+VLOOKUP(E566,[1]base!M:Q,5,0)</f>
        <v>#N/A</v>
      </c>
      <c r="AD566" s="18" t="e">
        <f>+VLOOKUP(E566,[1]base!M:P,4,0)</f>
        <v>#N/A</v>
      </c>
      <c r="AE566" s="19" t="e">
        <f t="shared" si="62"/>
        <v>#N/A</v>
      </c>
    </row>
    <row r="567" spans="1:31" x14ac:dyDescent="0.25">
      <c r="A567" s="10" t="s">
        <v>753</v>
      </c>
      <c r="B567" s="11">
        <v>46246.552789351852</v>
      </c>
      <c r="C567" s="12" t="s">
        <v>39</v>
      </c>
      <c r="D567" s="12" t="s">
        <v>835</v>
      </c>
      <c r="E567" s="13" t="str">
        <f t="shared" si="56"/>
        <v>T054-12</v>
      </c>
      <c r="F567" s="14" t="str">
        <f t="shared" si="57"/>
        <v>NOIR</v>
      </c>
      <c r="G567" s="14">
        <f>+VLOOKUP(F567,[1]base!A:B,2,0)</f>
        <v>37</v>
      </c>
      <c r="H567" s="14">
        <v>120</v>
      </c>
      <c r="I567" s="14">
        <v>120</v>
      </c>
      <c r="J567" s="14"/>
      <c r="K567" s="14" t="s">
        <v>33</v>
      </c>
      <c r="L567" s="14" t="s">
        <v>836</v>
      </c>
      <c r="M567" s="14" t="s">
        <v>35</v>
      </c>
      <c r="N567" s="14">
        <v>120</v>
      </c>
      <c r="O567" s="14">
        <v>120</v>
      </c>
      <c r="P567" s="14">
        <v>0</v>
      </c>
      <c r="Q567" s="14">
        <v>0</v>
      </c>
      <c r="R567" s="14">
        <v>0</v>
      </c>
      <c r="S567" s="14"/>
      <c r="T567" s="15">
        <v>120</v>
      </c>
      <c r="U567" s="16"/>
      <c r="V567" s="17">
        <v>452</v>
      </c>
      <c r="W567" s="17">
        <f t="shared" si="58"/>
        <v>54240</v>
      </c>
      <c r="X567" s="17">
        <f t="shared" si="59"/>
        <v>2820.48</v>
      </c>
      <c r="Y567" s="17">
        <v>457</v>
      </c>
      <c r="Z567" s="17">
        <f t="shared" si="60"/>
        <v>1</v>
      </c>
      <c r="AA567" s="17">
        <f t="shared" si="61"/>
        <v>6.6666666666666693E-2</v>
      </c>
      <c r="AB567" s="17" t="e">
        <f>+VLOOKUP(E567,[1]base!M:N,2,0)</f>
        <v>#N/A</v>
      </c>
      <c r="AC567" s="17" t="e">
        <f>+VLOOKUP(E567,[1]base!M:Q,5,0)</f>
        <v>#N/A</v>
      </c>
      <c r="AD567" s="18" t="e">
        <f>+VLOOKUP(E567,[1]base!M:P,4,0)</f>
        <v>#N/A</v>
      </c>
      <c r="AE567" s="19" t="e">
        <f t="shared" si="62"/>
        <v>#N/A</v>
      </c>
    </row>
    <row r="568" spans="1:31" x14ac:dyDescent="0.25">
      <c r="A568" s="10" t="s">
        <v>837</v>
      </c>
      <c r="B568" s="11">
        <v>46266.575185185182</v>
      </c>
      <c r="C568" s="12" t="s">
        <v>39</v>
      </c>
      <c r="D568" s="12" t="s">
        <v>838</v>
      </c>
      <c r="E568" s="13" t="str">
        <f t="shared" si="56"/>
        <v>Pr6304</v>
      </c>
      <c r="F568" s="14" t="str">
        <f t="shared" si="57"/>
        <v>DARK</v>
      </c>
      <c r="G568" s="14">
        <f>+VLOOKUP(F568,[1]base!A:B,2,0)</f>
        <v>38</v>
      </c>
      <c r="H568" s="14">
        <v>1</v>
      </c>
      <c r="I568" s="14">
        <v>1</v>
      </c>
      <c r="J568" s="14"/>
      <c r="K568" s="14" t="s">
        <v>33</v>
      </c>
      <c r="L568" s="14" t="s">
        <v>839</v>
      </c>
      <c r="M568" s="14" t="s">
        <v>35</v>
      </c>
      <c r="N568" s="14">
        <v>1</v>
      </c>
      <c r="O568" s="14">
        <v>1</v>
      </c>
      <c r="P568" s="14">
        <v>0</v>
      </c>
      <c r="Q568" s="14">
        <v>0</v>
      </c>
      <c r="R568" s="14">
        <v>1</v>
      </c>
      <c r="S568" s="14"/>
      <c r="T568" s="15">
        <v>1</v>
      </c>
      <c r="U568" s="16"/>
      <c r="V568" s="17">
        <v>962</v>
      </c>
      <c r="W568" s="17">
        <f t="shared" si="58"/>
        <v>962</v>
      </c>
      <c r="X568" s="17">
        <f t="shared" si="59"/>
        <v>50.024000000000001</v>
      </c>
      <c r="Y568" s="17">
        <v>967</v>
      </c>
      <c r="Z568" s="17">
        <f t="shared" si="60"/>
        <v>1</v>
      </c>
      <c r="AA568" s="17">
        <f t="shared" si="61"/>
        <v>6.6666666666666693E-2</v>
      </c>
      <c r="AB568" s="17">
        <f>+VLOOKUP(E568,[1]base!M:N,2,0)</f>
        <v>0</v>
      </c>
      <c r="AC568" s="17">
        <f>+VLOOKUP(E568,[1]base!M:Q,5,0)</f>
        <v>0</v>
      </c>
      <c r="AD568" s="18">
        <f>+VLOOKUP(E568,[1]base!M:P,4,0)</f>
        <v>1</v>
      </c>
      <c r="AE568" s="19">
        <f t="shared" si="62"/>
        <v>0</v>
      </c>
    </row>
    <row r="569" spans="1:31" x14ac:dyDescent="0.25">
      <c r="A569" s="10" t="s">
        <v>840</v>
      </c>
      <c r="B569" s="11">
        <v>46261.381307870368</v>
      </c>
      <c r="C569" s="12" t="s">
        <v>169</v>
      </c>
      <c r="D569" s="12" t="s">
        <v>841</v>
      </c>
      <c r="E569" s="13" t="str">
        <f t="shared" si="56"/>
        <v>FR121</v>
      </c>
      <c r="F569" s="14" t="str">
        <f t="shared" si="57"/>
        <v>DARK</v>
      </c>
      <c r="G569" s="14">
        <f>+VLOOKUP(F569,[1]base!A:B,2,0)</f>
        <v>38</v>
      </c>
      <c r="H569" s="14">
        <v>2</v>
      </c>
      <c r="I569" s="14">
        <v>2</v>
      </c>
      <c r="J569" s="14"/>
      <c r="K569" s="14" t="s">
        <v>33</v>
      </c>
      <c r="L569" s="14" t="s">
        <v>842</v>
      </c>
      <c r="M569" s="14" t="s">
        <v>35</v>
      </c>
      <c r="N569" s="14">
        <v>2</v>
      </c>
      <c r="O569" s="14">
        <v>2</v>
      </c>
      <c r="P569" s="14">
        <v>0</v>
      </c>
      <c r="Q569" s="14">
        <v>0</v>
      </c>
      <c r="R569" s="14">
        <v>0</v>
      </c>
      <c r="S569" s="14"/>
      <c r="T569" s="15">
        <v>2</v>
      </c>
      <c r="U569" s="16"/>
      <c r="V569" s="17">
        <v>654</v>
      </c>
      <c r="W569" s="17">
        <f t="shared" si="58"/>
        <v>1308</v>
      </c>
      <c r="X569" s="17">
        <f t="shared" si="59"/>
        <v>68.015999999999991</v>
      </c>
      <c r="Y569" s="17">
        <v>659</v>
      </c>
      <c r="Z569" s="17">
        <f t="shared" si="60"/>
        <v>1</v>
      </c>
      <c r="AA569" s="17">
        <f t="shared" si="61"/>
        <v>6.6666666666666693E-2</v>
      </c>
      <c r="AB569" s="17">
        <f>+VLOOKUP(E569,[1]base!M:N,2,0)</f>
        <v>2</v>
      </c>
      <c r="AC569" s="17">
        <f>+VLOOKUP(E569,[1]base!M:Q,5,0)</f>
        <v>108.8</v>
      </c>
      <c r="AD569" s="18">
        <f>+VLOOKUP(E569,[1]base!M:P,4,0)</f>
        <v>0.967741935483871</v>
      </c>
      <c r="AE569" s="19">
        <f t="shared" si="62"/>
        <v>-1.3354838709677419</v>
      </c>
    </row>
    <row r="570" spans="1:31" x14ac:dyDescent="0.25">
      <c r="A570" s="10" t="s">
        <v>843</v>
      </c>
      <c r="B570" s="11">
        <v>46267.314710648148</v>
      </c>
      <c r="C570" s="12" t="s">
        <v>39</v>
      </c>
      <c r="D570" s="12" t="s">
        <v>844</v>
      </c>
      <c r="E570" s="13" t="str">
        <f t="shared" si="56"/>
        <v>CO103</v>
      </c>
      <c r="F570" s="14" t="str">
        <f t="shared" si="57"/>
        <v>DARK</v>
      </c>
      <c r="G570" s="14">
        <f>+VLOOKUP(F570,[1]base!A:B,2,0)</f>
        <v>38</v>
      </c>
      <c r="H570" s="14">
        <v>4</v>
      </c>
      <c r="I570" s="14">
        <v>4</v>
      </c>
      <c r="J570" s="14"/>
      <c r="K570" s="14" t="s">
        <v>33</v>
      </c>
      <c r="L570" s="14" t="s">
        <v>845</v>
      </c>
      <c r="M570" s="14" t="s">
        <v>35</v>
      </c>
      <c r="N570" s="14">
        <v>4</v>
      </c>
      <c r="O570" s="14">
        <v>4</v>
      </c>
      <c r="P570" s="14">
        <v>0</v>
      </c>
      <c r="Q570" s="14">
        <v>0</v>
      </c>
      <c r="R570" s="14">
        <v>0</v>
      </c>
      <c r="S570" s="14"/>
      <c r="T570" s="15">
        <v>4</v>
      </c>
      <c r="U570" s="16"/>
      <c r="V570" s="17">
        <v>973</v>
      </c>
      <c r="W570" s="17">
        <f t="shared" si="58"/>
        <v>3892</v>
      </c>
      <c r="X570" s="17">
        <f t="shared" si="59"/>
        <v>202.38399999999999</v>
      </c>
      <c r="Y570" s="17">
        <v>978</v>
      </c>
      <c r="Z570" s="17">
        <f t="shared" si="60"/>
        <v>1</v>
      </c>
      <c r="AA570" s="17">
        <f t="shared" si="61"/>
        <v>6.6666666666666693E-2</v>
      </c>
      <c r="AB570" s="17">
        <f>+VLOOKUP(E570,[1]base!M:N,2,0)</f>
        <v>13</v>
      </c>
      <c r="AC570" s="17">
        <f>+VLOOKUP(E570,[1]base!M:Q,5,0)</f>
        <v>593.63636363636363</v>
      </c>
      <c r="AD570" s="18">
        <f>+VLOOKUP(E570,[1]base!M:P,4,0)</f>
        <v>0.90647482014388492</v>
      </c>
      <c r="AE570" s="19">
        <f t="shared" si="62"/>
        <v>-7.8841726618705046</v>
      </c>
    </row>
    <row r="571" spans="1:31" x14ac:dyDescent="0.25">
      <c r="A571" s="10" t="s">
        <v>846</v>
      </c>
      <c r="B571" s="11">
        <v>46267.412812499999</v>
      </c>
      <c r="C571" s="12" t="s">
        <v>143</v>
      </c>
      <c r="D571" s="12" t="s">
        <v>844</v>
      </c>
      <c r="E571" s="13" t="str">
        <f t="shared" si="56"/>
        <v>CO103</v>
      </c>
      <c r="F571" s="14" t="str">
        <f t="shared" si="57"/>
        <v>DARK</v>
      </c>
      <c r="G571" s="14">
        <f>+VLOOKUP(F571,[1]base!A:B,2,0)</f>
        <v>38</v>
      </c>
      <c r="H571" s="14">
        <v>5</v>
      </c>
      <c r="I571" s="14">
        <v>5</v>
      </c>
      <c r="J571" s="14"/>
      <c r="K571" s="14" t="s">
        <v>33</v>
      </c>
      <c r="L571" s="14" t="s">
        <v>847</v>
      </c>
      <c r="M571" s="14" t="s">
        <v>35</v>
      </c>
      <c r="N571" s="14">
        <v>5</v>
      </c>
      <c r="O571" s="14">
        <v>5</v>
      </c>
      <c r="P571" s="14">
        <v>0</v>
      </c>
      <c r="Q571" s="14">
        <v>0</v>
      </c>
      <c r="R571" s="14">
        <v>0</v>
      </c>
      <c r="S571" s="14"/>
      <c r="T571" s="15">
        <v>5</v>
      </c>
      <c r="U571" s="16"/>
      <c r="V571" s="17">
        <v>1007</v>
      </c>
      <c r="W571" s="17">
        <f t="shared" si="58"/>
        <v>5035</v>
      </c>
      <c r="X571" s="17">
        <f t="shared" si="59"/>
        <v>261.82</v>
      </c>
      <c r="Y571" s="17">
        <v>1012</v>
      </c>
      <c r="Z571" s="17">
        <f t="shared" si="60"/>
        <v>1</v>
      </c>
      <c r="AA571" s="17">
        <f t="shared" si="61"/>
        <v>6.6666666666666693E-2</v>
      </c>
      <c r="AB571" s="17">
        <f>+VLOOKUP(E571,[1]base!M:N,2,0)</f>
        <v>13</v>
      </c>
      <c r="AC571" s="17">
        <f>+VLOOKUP(E571,[1]base!M:Q,5,0)</f>
        <v>593.63636363636363</v>
      </c>
      <c r="AD571" s="18">
        <f>+VLOOKUP(E571,[1]base!M:P,4,0)</f>
        <v>0.90647482014388492</v>
      </c>
      <c r="AE571" s="19">
        <f t="shared" si="62"/>
        <v>-7.8841726618705046</v>
      </c>
    </row>
    <row r="572" spans="1:31" x14ac:dyDescent="0.25">
      <c r="A572" s="10" t="s">
        <v>142</v>
      </c>
      <c r="B572" s="11">
        <v>46252.518969907411</v>
      </c>
      <c r="C572" s="12" t="s">
        <v>143</v>
      </c>
      <c r="D572" s="12" t="s">
        <v>844</v>
      </c>
      <c r="E572" s="13" t="str">
        <f t="shared" si="56"/>
        <v>CO103</v>
      </c>
      <c r="F572" s="14" t="str">
        <f t="shared" si="57"/>
        <v>DARK</v>
      </c>
      <c r="G572" s="14">
        <f>+VLOOKUP(F572,[1]base!A:B,2,0)</f>
        <v>38</v>
      </c>
      <c r="H572" s="14">
        <v>20</v>
      </c>
      <c r="I572" s="14">
        <v>20</v>
      </c>
      <c r="J572" s="14"/>
      <c r="K572" s="14" t="s">
        <v>33</v>
      </c>
      <c r="L572" s="14" t="s">
        <v>848</v>
      </c>
      <c r="M572" s="14" t="s">
        <v>35</v>
      </c>
      <c r="N572" s="14">
        <v>20</v>
      </c>
      <c r="O572" s="14">
        <v>20</v>
      </c>
      <c r="P572" s="14">
        <v>0</v>
      </c>
      <c r="Q572" s="14">
        <v>0</v>
      </c>
      <c r="R572" s="14">
        <v>0</v>
      </c>
      <c r="S572" s="14"/>
      <c r="T572" s="15">
        <v>20</v>
      </c>
      <c r="U572" s="16"/>
      <c r="V572" s="17">
        <v>514</v>
      </c>
      <c r="W572" s="17">
        <f t="shared" si="58"/>
        <v>10280</v>
      </c>
      <c r="X572" s="17">
        <f t="shared" si="59"/>
        <v>534.55999999999995</v>
      </c>
      <c r="Y572" s="17">
        <v>519</v>
      </c>
      <c r="Z572" s="17">
        <f t="shared" si="60"/>
        <v>1</v>
      </c>
      <c r="AA572" s="17">
        <f t="shared" si="61"/>
        <v>6.6666666666666693E-2</v>
      </c>
      <c r="AB572" s="17">
        <f>+VLOOKUP(E572,[1]base!M:N,2,0)</f>
        <v>13</v>
      </c>
      <c r="AC572" s="17">
        <f>+VLOOKUP(E572,[1]base!M:Q,5,0)</f>
        <v>593.63636363636363</v>
      </c>
      <c r="AD572" s="18">
        <f>+VLOOKUP(E572,[1]base!M:P,4,0)</f>
        <v>0.90647482014388492</v>
      </c>
      <c r="AE572" s="19">
        <f t="shared" si="62"/>
        <v>-7.8841726618705046</v>
      </c>
    </row>
    <row r="573" spans="1:31" x14ac:dyDescent="0.25">
      <c r="A573" s="10" t="s">
        <v>843</v>
      </c>
      <c r="B573" s="11">
        <v>46267.314710648148</v>
      </c>
      <c r="C573" s="12" t="s">
        <v>39</v>
      </c>
      <c r="D573" s="12" t="s">
        <v>849</v>
      </c>
      <c r="E573" s="13" t="str">
        <f t="shared" si="56"/>
        <v>FR148</v>
      </c>
      <c r="F573" s="14" t="str">
        <f t="shared" si="57"/>
        <v>DARK</v>
      </c>
      <c r="G573" s="14">
        <f>+VLOOKUP(F573,[1]base!A:B,2,0)</f>
        <v>38</v>
      </c>
      <c r="H573" s="14">
        <v>1</v>
      </c>
      <c r="I573" s="14">
        <v>1</v>
      </c>
      <c r="J573" s="14"/>
      <c r="K573" s="14" t="s">
        <v>33</v>
      </c>
      <c r="L573" s="14" t="s">
        <v>850</v>
      </c>
      <c r="M573" s="14" t="s">
        <v>35</v>
      </c>
      <c r="N573" s="14">
        <v>1</v>
      </c>
      <c r="O573" s="14">
        <v>1</v>
      </c>
      <c r="P573" s="14">
        <v>0</v>
      </c>
      <c r="Q573" s="14">
        <v>0</v>
      </c>
      <c r="R573" s="14">
        <v>0</v>
      </c>
      <c r="S573" s="14"/>
      <c r="T573" s="15">
        <v>1</v>
      </c>
      <c r="U573" s="16"/>
      <c r="V573" s="17">
        <v>983</v>
      </c>
      <c r="W573" s="17">
        <f t="shared" si="58"/>
        <v>983</v>
      </c>
      <c r="X573" s="17">
        <f t="shared" si="59"/>
        <v>51.116</v>
      </c>
      <c r="Y573" s="17">
        <v>988</v>
      </c>
      <c r="Z573" s="17">
        <f t="shared" si="60"/>
        <v>1</v>
      </c>
      <c r="AA573" s="17">
        <f t="shared" si="61"/>
        <v>6.6666666666666693E-2</v>
      </c>
      <c r="AB573" s="17">
        <f>+VLOOKUP(E573,[1]base!M:N,2,0)</f>
        <v>18</v>
      </c>
      <c r="AC573" s="17">
        <f>+VLOOKUP(E573,[1]base!M:Q,5,0)</f>
        <v>92.285714285714292</v>
      </c>
      <c r="AD573" s="18">
        <f>+VLOOKUP(E573,[1]base!M:P,4,0)</f>
        <v>0.53846153846153844</v>
      </c>
      <c r="AE573" s="19">
        <f t="shared" si="62"/>
        <v>-4.2923076923076922</v>
      </c>
    </row>
    <row r="574" spans="1:31" x14ac:dyDescent="0.25">
      <c r="A574" s="10" t="s">
        <v>843</v>
      </c>
      <c r="B574" s="11">
        <v>46267.314710648148</v>
      </c>
      <c r="C574" s="12" t="s">
        <v>39</v>
      </c>
      <c r="D574" s="12" t="s">
        <v>851</v>
      </c>
      <c r="E574" s="13" t="str">
        <f t="shared" si="56"/>
        <v>FR127</v>
      </c>
      <c r="F574" s="14" t="str">
        <f t="shared" si="57"/>
        <v>DARK</v>
      </c>
      <c r="G574" s="14">
        <f>+VLOOKUP(F574,[1]base!A:B,2,0)</f>
        <v>38</v>
      </c>
      <c r="H574" s="14">
        <v>2</v>
      </c>
      <c r="I574" s="14">
        <v>2</v>
      </c>
      <c r="J574" s="14"/>
      <c r="K574" s="14" t="s">
        <v>33</v>
      </c>
      <c r="L574" s="14" t="s">
        <v>852</v>
      </c>
      <c r="M574" s="14" t="s">
        <v>35</v>
      </c>
      <c r="N574" s="14">
        <v>2</v>
      </c>
      <c r="O574" s="14">
        <v>2</v>
      </c>
      <c r="P574" s="14">
        <v>0</v>
      </c>
      <c r="Q574" s="14">
        <v>0</v>
      </c>
      <c r="R574" s="14">
        <v>0</v>
      </c>
      <c r="S574" s="14"/>
      <c r="T574" s="15">
        <v>2</v>
      </c>
      <c r="U574" s="16"/>
      <c r="V574" s="17">
        <v>979</v>
      </c>
      <c r="W574" s="17">
        <f t="shared" si="58"/>
        <v>1958</v>
      </c>
      <c r="X574" s="17">
        <f t="shared" si="59"/>
        <v>101.81599999999999</v>
      </c>
      <c r="Y574" s="17">
        <v>984</v>
      </c>
      <c r="Z574" s="17">
        <f t="shared" si="60"/>
        <v>1</v>
      </c>
      <c r="AA574" s="17">
        <f t="shared" si="61"/>
        <v>6.6666666666666693E-2</v>
      </c>
      <c r="AB574" s="17">
        <f>+VLOOKUP(E574,[1]base!M:N,2,0)</f>
        <v>21</v>
      </c>
      <c r="AC574" s="17">
        <f>+VLOOKUP(E574,[1]base!M:Q,5,0)</f>
        <v>25.571428571428573</v>
      </c>
      <c r="AD574" s="18">
        <f>+VLOOKUP(E574,[1]base!M:P,4,0)</f>
        <v>0.64406779661016944</v>
      </c>
      <c r="AE574" s="19">
        <f t="shared" si="62"/>
        <v>-7.2254237288135581</v>
      </c>
    </row>
    <row r="575" spans="1:31" x14ac:dyDescent="0.25">
      <c r="A575" s="10" t="s">
        <v>843</v>
      </c>
      <c r="B575" s="11">
        <v>46267.314710648148</v>
      </c>
      <c r="C575" s="12" t="s">
        <v>39</v>
      </c>
      <c r="D575" s="12" t="s">
        <v>853</v>
      </c>
      <c r="E575" s="13" t="str">
        <f t="shared" si="56"/>
        <v>FR161</v>
      </c>
      <c r="F575" s="14" t="str">
        <f t="shared" si="57"/>
        <v>DARK</v>
      </c>
      <c r="G575" s="14">
        <f>+VLOOKUP(F575,[1]base!A:B,2,0)</f>
        <v>38</v>
      </c>
      <c r="H575" s="14">
        <v>2</v>
      </c>
      <c r="I575" s="14">
        <v>2</v>
      </c>
      <c r="J575" s="14"/>
      <c r="K575" s="14" t="s">
        <v>33</v>
      </c>
      <c r="L575" s="14" t="s">
        <v>854</v>
      </c>
      <c r="M575" s="14" t="s">
        <v>35</v>
      </c>
      <c r="N575" s="14">
        <v>2</v>
      </c>
      <c r="O575" s="14">
        <v>2</v>
      </c>
      <c r="P575" s="14">
        <v>0</v>
      </c>
      <c r="Q575" s="14">
        <v>0</v>
      </c>
      <c r="R575" s="14">
        <v>1</v>
      </c>
      <c r="S575" s="14"/>
      <c r="T575" s="15">
        <v>2</v>
      </c>
      <c r="U575" s="16"/>
      <c r="V575" s="17">
        <v>982</v>
      </c>
      <c r="W575" s="17">
        <f t="shared" si="58"/>
        <v>1964</v>
      </c>
      <c r="X575" s="17">
        <f t="shared" si="59"/>
        <v>102.128</v>
      </c>
      <c r="Y575" s="17">
        <v>987</v>
      </c>
      <c r="Z575" s="17">
        <f t="shared" si="60"/>
        <v>1</v>
      </c>
      <c r="AA575" s="17">
        <f t="shared" si="61"/>
        <v>6.6666666666666693E-2</v>
      </c>
      <c r="AB575" s="17">
        <f>+VLOOKUP(E575,[1]base!M:N,2,0)</f>
        <v>46</v>
      </c>
      <c r="AC575" s="17">
        <f>+VLOOKUP(E575,[1]base!M:Q,5,0)</f>
        <v>24.285714285714285</v>
      </c>
      <c r="AD575" s="18">
        <f>+VLOOKUP(E575,[1]base!M:P,4,0)</f>
        <v>0.51063829787234039</v>
      </c>
      <c r="AE575" s="19">
        <f t="shared" si="62"/>
        <v>-9.689361702127659</v>
      </c>
    </row>
    <row r="576" spans="1:31" x14ac:dyDescent="0.25">
      <c r="A576" s="10" t="s">
        <v>837</v>
      </c>
      <c r="B576" s="11">
        <v>46266.575185185182</v>
      </c>
      <c r="C576" s="12" t="s">
        <v>39</v>
      </c>
      <c r="D576" s="12" t="s">
        <v>855</v>
      </c>
      <c r="E576" s="13" t="str">
        <f t="shared" si="56"/>
        <v>Pr6310</v>
      </c>
      <c r="F576" s="14" t="str">
        <f t="shared" si="57"/>
        <v>DARK</v>
      </c>
      <c r="G576" s="14">
        <f>+VLOOKUP(F576,[1]base!A:B,2,0)</f>
        <v>38</v>
      </c>
      <c r="H576" s="14">
        <v>2</v>
      </c>
      <c r="I576" s="14">
        <v>2</v>
      </c>
      <c r="J576" s="14"/>
      <c r="K576" s="14" t="s">
        <v>33</v>
      </c>
      <c r="L576" s="14" t="s">
        <v>856</v>
      </c>
      <c r="M576" s="14" t="s">
        <v>35</v>
      </c>
      <c r="N576" s="14">
        <v>2</v>
      </c>
      <c r="O576" s="14">
        <v>2</v>
      </c>
      <c r="P576" s="14">
        <v>0</v>
      </c>
      <c r="Q576" s="14">
        <v>0</v>
      </c>
      <c r="R576" s="14">
        <v>0</v>
      </c>
      <c r="S576" s="14"/>
      <c r="T576" s="15">
        <v>2</v>
      </c>
      <c r="U576" s="16"/>
      <c r="V576" s="17">
        <v>963</v>
      </c>
      <c r="W576" s="17">
        <f t="shared" si="58"/>
        <v>1926</v>
      </c>
      <c r="X576" s="17">
        <f t="shared" si="59"/>
        <v>100.152</v>
      </c>
      <c r="Y576" s="17">
        <v>968</v>
      </c>
      <c r="Z576" s="17">
        <f t="shared" si="60"/>
        <v>1</v>
      </c>
      <c r="AA576" s="17">
        <f t="shared" si="61"/>
        <v>6.6666666666666693E-2</v>
      </c>
      <c r="AB576" s="17">
        <f>+VLOOKUP(E576,[1]base!M:N,2,0)</f>
        <v>66</v>
      </c>
      <c r="AC576" s="17">
        <f>+VLOOKUP(E576,[1]base!M:Q,5,0)</f>
        <v>0</v>
      </c>
      <c r="AD576" s="18">
        <f>+VLOOKUP(E576,[1]base!M:P,4,0)</f>
        <v>0</v>
      </c>
      <c r="AE576" s="19">
        <f t="shared" si="62"/>
        <v>19.8</v>
      </c>
    </row>
    <row r="577" spans="1:31" x14ac:dyDescent="0.25">
      <c r="A577" s="10" t="s">
        <v>857</v>
      </c>
      <c r="B577" s="11">
        <v>46267.531759259262</v>
      </c>
      <c r="C577" s="12" t="s">
        <v>70</v>
      </c>
      <c r="D577" s="12" t="s">
        <v>858</v>
      </c>
      <c r="E577" s="13" t="str">
        <f t="shared" si="56"/>
        <v>CSQ102</v>
      </c>
      <c r="F577" s="14" t="str">
        <f t="shared" si="57"/>
        <v>DARK</v>
      </c>
      <c r="G577" s="14">
        <f>+VLOOKUP(F577,[1]base!A:B,2,0)</f>
        <v>38</v>
      </c>
      <c r="H577" s="14">
        <v>4</v>
      </c>
      <c r="I577" s="14">
        <v>4</v>
      </c>
      <c r="J577" s="14"/>
      <c r="K577" s="14" t="s">
        <v>33</v>
      </c>
      <c r="L577" s="14" t="s">
        <v>859</v>
      </c>
      <c r="M577" s="14" t="s">
        <v>35</v>
      </c>
      <c r="N577" s="14">
        <v>4</v>
      </c>
      <c r="O577" s="14">
        <v>4</v>
      </c>
      <c r="P577" s="14">
        <v>0</v>
      </c>
      <c r="Q577" s="14">
        <v>0</v>
      </c>
      <c r="R577" s="14">
        <v>0</v>
      </c>
      <c r="S577" s="14"/>
      <c r="T577" s="15">
        <v>4</v>
      </c>
      <c r="U577" s="16"/>
      <c r="V577" s="17">
        <v>1027</v>
      </c>
      <c r="W577" s="17">
        <f t="shared" si="58"/>
        <v>4108</v>
      </c>
      <c r="X577" s="17">
        <f t="shared" si="59"/>
        <v>213.61599999999999</v>
      </c>
      <c r="Y577" s="17">
        <v>1032</v>
      </c>
      <c r="Z577" s="17">
        <f t="shared" si="60"/>
        <v>1</v>
      </c>
      <c r="AA577" s="17">
        <f t="shared" si="61"/>
        <v>6.6666666666666693E-2</v>
      </c>
      <c r="AB577" s="17">
        <f>+VLOOKUP(E577,[1]base!M:N,2,0)</f>
        <v>84</v>
      </c>
      <c r="AC577" s="17">
        <f>+VLOOKUP(E577,[1]base!M:Q,5,0)</f>
        <v>266.66666666666669</v>
      </c>
      <c r="AD577" s="18">
        <f>+VLOOKUP(E577,[1]base!M:P,4,0)</f>
        <v>1.1764705882352941E-2</v>
      </c>
      <c r="AE577" s="19">
        <f t="shared" si="62"/>
        <v>24.211764705882352</v>
      </c>
    </row>
    <row r="578" spans="1:31" x14ac:dyDescent="0.25">
      <c r="A578" s="10" t="s">
        <v>840</v>
      </c>
      <c r="B578" s="11">
        <v>46261.381307870368</v>
      </c>
      <c r="C578" s="12" t="s">
        <v>169</v>
      </c>
      <c r="D578" s="12" t="s">
        <v>860</v>
      </c>
      <c r="E578" s="13" t="str">
        <f t="shared" ref="E578:E601" si="63">_xlfn.TEXTBEFORE(D578, "-", -1, 1, , D578)</f>
        <v>EC67105</v>
      </c>
      <c r="F578" s="14" t="str">
        <f t="shared" ref="F578:F601" si="64">_xlfn.TEXTAFTER(D578, "-", -1, 1, , "")</f>
        <v>DARK</v>
      </c>
      <c r="G578" s="14">
        <f>+VLOOKUP(F578,[1]base!A:B,2,0)</f>
        <v>38</v>
      </c>
      <c r="H578" s="14">
        <v>10</v>
      </c>
      <c r="I578" s="14">
        <v>10</v>
      </c>
      <c r="J578" s="14"/>
      <c r="K578" s="14" t="s">
        <v>33</v>
      </c>
      <c r="L578" s="14" t="s">
        <v>861</v>
      </c>
      <c r="M578" s="14" t="s">
        <v>35</v>
      </c>
      <c r="N578" s="14">
        <v>10</v>
      </c>
      <c r="O578" s="14">
        <v>10</v>
      </c>
      <c r="P578" s="14">
        <v>0</v>
      </c>
      <c r="Q578" s="14">
        <v>0</v>
      </c>
      <c r="R578" s="14">
        <v>0</v>
      </c>
      <c r="S578" s="14"/>
      <c r="T578" s="15">
        <v>10</v>
      </c>
      <c r="U578" s="16"/>
      <c r="V578" s="17">
        <v>652</v>
      </c>
      <c r="W578" s="17">
        <f t="shared" ref="W578:W601" si="65">(T578+U578)*V578</f>
        <v>6520</v>
      </c>
      <c r="X578" s="17">
        <f t="shared" ref="X578:X601" si="66">+W578*0.052</f>
        <v>339.03999999999996</v>
      </c>
      <c r="Y578" s="17">
        <v>657</v>
      </c>
      <c r="Z578" s="17">
        <f t="shared" ref="Z578:Z601" si="67">ROUNDUP(T578/Y578,0)</f>
        <v>1</v>
      </c>
      <c r="AA578" s="17">
        <f t="shared" ref="AA578:AA601" si="68">+Z578*0.0666666666666667</f>
        <v>6.6666666666666693E-2</v>
      </c>
      <c r="AB578" s="17">
        <f>+VLOOKUP(E578,[1]base!M:N,2,0)</f>
        <v>187</v>
      </c>
      <c r="AC578" s="17">
        <f>+VLOOKUP(E578,[1]base!M:Q,5,0)</f>
        <v>520.63636363636363</v>
      </c>
      <c r="AD578" s="18">
        <f>+VLOOKUP(E578,[1]base!M:P,4,0)</f>
        <v>0.56511627906976747</v>
      </c>
      <c r="AE578" s="19">
        <f t="shared" ref="AE578:AE601" si="69">+AB578*(30%-AD578)</f>
        <v>-49.576744186046518</v>
      </c>
    </row>
    <row r="579" spans="1:31" x14ac:dyDescent="0.25">
      <c r="A579" s="10" t="s">
        <v>843</v>
      </c>
      <c r="B579" s="11">
        <v>46267.314710648148</v>
      </c>
      <c r="C579" s="12" t="s">
        <v>39</v>
      </c>
      <c r="D579" s="12" t="s">
        <v>860</v>
      </c>
      <c r="E579" s="13" t="str">
        <f t="shared" si="63"/>
        <v>EC67105</v>
      </c>
      <c r="F579" s="14" t="str">
        <f t="shared" si="64"/>
        <v>DARK</v>
      </c>
      <c r="G579" s="14">
        <f>+VLOOKUP(F579,[1]base!A:B,2,0)</f>
        <v>38</v>
      </c>
      <c r="H579" s="14">
        <v>2</v>
      </c>
      <c r="I579" s="14">
        <v>2</v>
      </c>
      <c r="J579" s="14"/>
      <c r="K579" s="14" t="s">
        <v>33</v>
      </c>
      <c r="L579" s="14" t="s">
        <v>862</v>
      </c>
      <c r="M579" s="14" t="s">
        <v>35</v>
      </c>
      <c r="N579" s="14">
        <v>2</v>
      </c>
      <c r="O579" s="14">
        <v>2</v>
      </c>
      <c r="P579" s="14">
        <v>0</v>
      </c>
      <c r="Q579" s="14">
        <v>0</v>
      </c>
      <c r="R579" s="14">
        <v>0</v>
      </c>
      <c r="S579" s="14"/>
      <c r="T579" s="15">
        <v>2</v>
      </c>
      <c r="U579" s="16"/>
      <c r="V579" s="17">
        <v>977</v>
      </c>
      <c r="W579" s="17">
        <f t="shared" si="65"/>
        <v>1954</v>
      </c>
      <c r="X579" s="17">
        <f t="shared" si="66"/>
        <v>101.60799999999999</v>
      </c>
      <c r="Y579" s="17">
        <v>982</v>
      </c>
      <c r="Z579" s="17">
        <f t="shared" si="67"/>
        <v>1</v>
      </c>
      <c r="AA579" s="17">
        <f t="shared" si="68"/>
        <v>6.6666666666666693E-2</v>
      </c>
      <c r="AB579" s="17">
        <f>+VLOOKUP(E579,[1]base!M:N,2,0)</f>
        <v>187</v>
      </c>
      <c r="AC579" s="17">
        <f>+VLOOKUP(E579,[1]base!M:Q,5,0)</f>
        <v>520.63636363636363</v>
      </c>
      <c r="AD579" s="18">
        <f>+VLOOKUP(E579,[1]base!M:P,4,0)</f>
        <v>0.56511627906976747</v>
      </c>
      <c r="AE579" s="19">
        <f t="shared" si="69"/>
        <v>-49.576744186046518</v>
      </c>
    </row>
    <row r="580" spans="1:31" x14ac:dyDescent="0.25">
      <c r="A580" s="10" t="s">
        <v>846</v>
      </c>
      <c r="B580" s="11">
        <v>46267.412812499999</v>
      </c>
      <c r="C580" s="12" t="s">
        <v>143</v>
      </c>
      <c r="D580" s="12" t="s">
        <v>863</v>
      </c>
      <c r="E580" s="13" t="str">
        <f t="shared" si="63"/>
        <v>FR110</v>
      </c>
      <c r="F580" s="14" t="str">
        <f t="shared" si="64"/>
        <v>DARK</v>
      </c>
      <c r="G580" s="14">
        <f>+VLOOKUP(F580,[1]base!A:B,2,0)</f>
        <v>38</v>
      </c>
      <c r="H580" s="14">
        <v>6</v>
      </c>
      <c r="I580" s="14">
        <v>6</v>
      </c>
      <c r="J580" s="14"/>
      <c r="K580" s="14" t="s">
        <v>33</v>
      </c>
      <c r="L580" s="14" t="s">
        <v>864</v>
      </c>
      <c r="M580" s="14" t="s">
        <v>35</v>
      </c>
      <c r="N580" s="14">
        <v>6</v>
      </c>
      <c r="O580" s="14">
        <v>6</v>
      </c>
      <c r="P580" s="14">
        <v>0</v>
      </c>
      <c r="Q580" s="14">
        <v>0</v>
      </c>
      <c r="R580" s="14">
        <v>0</v>
      </c>
      <c r="S580" s="14"/>
      <c r="T580" s="15">
        <v>6</v>
      </c>
      <c r="U580" s="16"/>
      <c r="V580" s="17">
        <v>1009</v>
      </c>
      <c r="W580" s="17">
        <f t="shared" si="65"/>
        <v>6054</v>
      </c>
      <c r="X580" s="17">
        <f t="shared" si="66"/>
        <v>314.80799999999999</v>
      </c>
      <c r="Y580" s="17">
        <v>1014</v>
      </c>
      <c r="Z580" s="17">
        <f t="shared" si="67"/>
        <v>1</v>
      </c>
      <c r="AA580" s="17">
        <f t="shared" si="68"/>
        <v>6.6666666666666693E-2</v>
      </c>
      <c r="AB580" s="17">
        <f>+VLOOKUP(E580,[1]base!M:N,2,0)</f>
        <v>196</v>
      </c>
      <c r="AC580" s="17">
        <f>+VLOOKUP(E580,[1]base!M:Q,5,0)</f>
        <v>52.125</v>
      </c>
      <c r="AD580" s="18">
        <f>+VLOOKUP(E580,[1]base!M:P,4,0)</f>
        <v>0.20647773279352227</v>
      </c>
      <c r="AE580" s="19">
        <f t="shared" si="69"/>
        <v>18.330364372469631</v>
      </c>
    </row>
    <row r="581" spans="1:31" x14ac:dyDescent="0.25">
      <c r="A581" s="10" t="s">
        <v>865</v>
      </c>
      <c r="B581" s="11">
        <v>46265.30091435185</v>
      </c>
      <c r="C581" s="12" t="s">
        <v>183</v>
      </c>
      <c r="D581" s="12" t="s">
        <v>866</v>
      </c>
      <c r="E581" s="13" t="str">
        <f t="shared" si="63"/>
        <v>FR112</v>
      </c>
      <c r="F581" s="14" t="str">
        <f t="shared" si="64"/>
        <v>DARK</v>
      </c>
      <c r="G581" s="14">
        <f>+VLOOKUP(F581,[1]base!A:B,2,0)</f>
        <v>38</v>
      </c>
      <c r="H581" s="14">
        <v>1</v>
      </c>
      <c r="I581" s="14">
        <v>1</v>
      </c>
      <c r="J581" s="14"/>
      <c r="K581" s="14" t="s">
        <v>33</v>
      </c>
      <c r="L581" s="14" t="s">
        <v>867</v>
      </c>
      <c r="M581" s="14" t="s">
        <v>35</v>
      </c>
      <c r="N581" s="14">
        <v>1</v>
      </c>
      <c r="O581" s="14">
        <v>1</v>
      </c>
      <c r="P581" s="14">
        <v>0</v>
      </c>
      <c r="Q581" s="14">
        <v>0</v>
      </c>
      <c r="R581" s="14">
        <v>0</v>
      </c>
      <c r="S581" s="14"/>
      <c r="T581" s="15">
        <v>1</v>
      </c>
      <c r="U581" s="16"/>
      <c r="V581" s="17">
        <v>802</v>
      </c>
      <c r="W581" s="17">
        <f t="shared" si="65"/>
        <v>802</v>
      </c>
      <c r="X581" s="17">
        <f t="shared" si="66"/>
        <v>41.704000000000001</v>
      </c>
      <c r="Y581" s="17">
        <v>807</v>
      </c>
      <c r="Z581" s="17">
        <f t="shared" si="67"/>
        <v>1</v>
      </c>
      <c r="AA581" s="17">
        <f t="shared" si="68"/>
        <v>6.6666666666666693E-2</v>
      </c>
      <c r="AB581" s="17">
        <f>+VLOOKUP(E581,[1]base!M:N,2,0)</f>
        <v>205</v>
      </c>
      <c r="AC581" s="17">
        <f>+VLOOKUP(E581,[1]base!M:Q,5,0)</f>
        <v>110.9</v>
      </c>
      <c r="AD581" s="18">
        <f>+VLOOKUP(E581,[1]base!M:P,4,0)</f>
        <v>0.12393162393162394</v>
      </c>
      <c r="AE581" s="19">
        <f t="shared" si="69"/>
        <v>36.09401709401709</v>
      </c>
    </row>
    <row r="582" spans="1:31" x14ac:dyDescent="0.25">
      <c r="A582" s="10" t="s">
        <v>843</v>
      </c>
      <c r="B582" s="11">
        <v>46267.314710648148</v>
      </c>
      <c r="C582" s="12" t="s">
        <v>39</v>
      </c>
      <c r="D582" s="12" t="s">
        <v>866</v>
      </c>
      <c r="E582" s="13" t="str">
        <f t="shared" si="63"/>
        <v>FR112</v>
      </c>
      <c r="F582" s="14" t="str">
        <f t="shared" si="64"/>
        <v>DARK</v>
      </c>
      <c r="G582" s="14">
        <f>+VLOOKUP(F582,[1]base!A:B,2,0)</f>
        <v>38</v>
      </c>
      <c r="H582" s="14">
        <v>3</v>
      </c>
      <c r="I582" s="14">
        <v>3</v>
      </c>
      <c r="J582" s="14"/>
      <c r="K582" s="14" t="s">
        <v>33</v>
      </c>
      <c r="L582" s="14" t="s">
        <v>868</v>
      </c>
      <c r="M582" s="14" t="s">
        <v>35</v>
      </c>
      <c r="N582" s="14">
        <v>3</v>
      </c>
      <c r="O582" s="14">
        <v>3</v>
      </c>
      <c r="P582" s="14">
        <v>0</v>
      </c>
      <c r="Q582" s="14">
        <v>0</v>
      </c>
      <c r="R582" s="14">
        <v>0</v>
      </c>
      <c r="S582" s="14"/>
      <c r="T582" s="15">
        <v>3</v>
      </c>
      <c r="U582" s="16"/>
      <c r="V582" s="17">
        <v>980</v>
      </c>
      <c r="W582" s="17">
        <f t="shared" si="65"/>
        <v>2940</v>
      </c>
      <c r="X582" s="17">
        <f t="shared" si="66"/>
        <v>152.88</v>
      </c>
      <c r="Y582" s="17">
        <v>985</v>
      </c>
      <c r="Z582" s="17">
        <f t="shared" si="67"/>
        <v>1</v>
      </c>
      <c r="AA582" s="17">
        <f t="shared" si="68"/>
        <v>6.6666666666666693E-2</v>
      </c>
      <c r="AB582" s="17">
        <f>+VLOOKUP(E582,[1]base!M:N,2,0)</f>
        <v>205</v>
      </c>
      <c r="AC582" s="17">
        <f>+VLOOKUP(E582,[1]base!M:Q,5,0)</f>
        <v>110.9</v>
      </c>
      <c r="AD582" s="18">
        <f>+VLOOKUP(E582,[1]base!M:P,4,0)</f>
        <v>0.12393162393162394</v>
      </c>
      <c r="AE582" s="19">
        <f t="shared" si="69"/>
        <v>36.09401709401709</v>
      </c>
    </row>
    <row r="583" spans="1:31" x14ac:dyDescent="0.25">
      <c r="A583" s="10" t="s">
        <v>846</v>
      </c>
      <c r="B583" s="11">
        <v>46267.412812499999</v>
      </c>
      <c r="C583" s="12" t="s">
        <v>143</v>
      </c>
      <c r="D583" s="12" t="s">
        <v>866</v>
      </c>
      <c r="E583" s="13" t="str">
        <f t="shared" si="63"/>
        <v>FR112</v>
      </c>
      <c r="F583" s="14" t="str">
        <f t="shared" si="64"/>
        <v>DARK</v>
      </c>
      <c r="G583" s="14">
        <f>+VLOOKUP(F583,[1]base!A:B,2,0)</f>
        <v>38</v>
      </c>
      <c r="H583" s="14">
        <v>1</v>
      </c>
      <c r="I583" s="14">
        <v>1</v>
      </c>
      <c r="J583" s="14"/>
      <c r="K583" s="14" t="s">
        <v>33</v>
      </c>
      <c r="L583" s="14" t="s">
        <v>869</v>
      </c>
      <c r="M583" s="14" t="s">
        <v>35</v>
      </c>
      <c r="N583" s="14">
        <v>1</v>
      </c>
      <c r="O583" s="14">
        <v>1</v>
      </c>
      <c r="P583" s="14">
        <v>0</v>
      </c>
      <c r="Q583" s="14">
        <v>0</v>
      </c>
      <c r="R583" s="14">
        <v>0</v>
      </c>
      <c r="S583" s="14"/>
      <c r="T583" s="15">
        <v>1</v>
      </c>
      <c r="U583" s="16"/>
      <c r="V583" s="17">
        <v>1010</v>
      </c>
      <c r="W583" s="17">
        <f t="shared" si="65"/>
        <v>1010</v>
      </c>
      <c r="X583" s="17">
        <f t="shared" si="66"/>
        <v>52.519999999999996</v>
      </c>
      <c r="Y583" s="17">
        <v>1015</v>
      </c>
      <c r="Z583" s="17">
        <f t="shared" si="67"/>
        <v>1</v>
      </c>
      <c r="AA583" s="17">
        <f t="shared" si="68"/>
        <v>6.6666666666666693E-2</v>
      </c>
      <c r="AB583" s="17">
        <f>+VLOOKUP(E583,[1]base!M:N,2,0)</f>
        <v>205</v>
      </c>
      <c r="AC583" s="17">
        <f>+VLOOKUP(E583,[1]base!M:Q,5,0)</f>
        <v>110.9</v>
      </c>
      <c r="AD583" s="18">
        <f>+VLOOKUP(E583,[1]base!M:P,4,0)</f>
        <v>0.12393162393162394</v>
      </c>
      <c r="AE583" s="19">
        <f t="shared" si="69"/>
        <v>36.09401709401709</v>
      </c>
    </row>
    <row r="584" spans="1:31" x14ac:dyDescent="0.25">
      <c r="A584" s="10" t="s">
        <v>870</v>
      </c>
      <c r="B584" s="11">
        <v>46263.489895833336</v>
      </c>
      <c r="C584" s="12" t="s">
        <v>70</v>
      </c>
      <c r="D584" s="12" t="s">
        <v>871</v>
      </c>
      <c r="E584" s="13" t="str">
        <f t="shared" si="63"/>
        <v>CSQ201</v>
      </c>
      <c r="F584" s="14" t="str">
        <f t="shared" si="64"/>
        <v>DARK</v>
      </c>
      <c r="G584" s="14">
        <f>+VLOOKUP(F584,[1]base!A:B,2,0)</f>
        <v>38</v>
      </c>
      <c r="H584" s="14">
        <v>3</v>
      </c>
      <c r="I584" s="14">
        <v>3</v>
      </c>
      <c r="J584" s="14"/>
      <c r="K584" s="14" t="s">
        <v>33</v>
      </c>
      <c r="L584" s="14" t="s">
        <v>872</v>
      </c>
      <c r="M584" s="14" t="s">
        <v>35</v>
      </c>
      <c r="N584" s="14">
        <v>3</v>
      </c>
      <c r="O584" s="14">
        <v>3</v>
      </c>
      <c r="P584" s="14">
        <v>0</v>
      </c>
      <c r="Q584" s="14">
        <v>0</v>
      </c>
      <c r="R584" s="14">
        <v>2</v>
      </c>
      <c r="S584" s="14"/>
      <c r="T584" s="15">
        <v>3</v>
      </c>
      <c r="U584" s="16"/>
      <c r="V584" s="17">
        <v>792</v>
      </c>
      <c r="W584" s="17">
        <f t="shared" si="65"/>
        <v>2376</v>
      </c>
      <c r="X584" s="17">
        <f t="shared" si="66"/>
        <v>123.55199999999999</v>
      </c>
      <c r="Y584" s="17">
        <v>797</v>
      </c>
      <c r="Z584" s="17">
        <f t="shared" si="67"/>
        <v>1</v>
      </c>
      <c r="AA584" s="17">
        <f t="shared" si="68"/>
        <v>6.6666666666666693E-2</v>
      </c>
      <c r="AB584" s="17">
        <f>+VLOOKUP(E584,[1]base!M:N,2,0)</f>
        <v>319</v>
      </c>
      <c r="AC584" s="17">
        <f>+VLOOKUP(E584,[1]base!M:Q,5,0)</f>
        <v>4</v>
      </c>
      <c r="AD584" s="18">
        <f>+VLOOKUP(E584,[1]base!M:P,4,0)</f>
        <v>3.0395136778115502E-2</v>
      </c>
      <c r="AE584" s="19">
        <f t="shared" si="69"/>
        <v>86.003951367781156</v>
      </c>
    </row>
    <row r="585" spans="1:31" x14ac:dyDescent="0.25">
      <c r="A585" s="10" t="s">
        <v>873</v>
      </c>
      <c r="B585" s="11">
        <v>46260.417627314811</v>
      </c>
      <c r="C585" s="12" t="s">
        <v>874</v>
      </c>
      <c r="D585" s="12" t="s">
        <v>875</v>
      </c>
      <c r="E585" s="13" t="str">
        <f t="shared" si="63"/>
        <v>FSQ403</v>
      </c>
      <c r="F585" s="14" t="str">
        <f t="shared" si="64"/>
        <v>DARK</v>
      </c>
      <c r="G585" s="14">
        <f>+VLOOKUP(F585,[1]base!A:B,2,0)</f>
        <v>38</v>
      </c>
      <c r="H585" s="14">
        <v>2</v>
      </c>
      <c r="I585" s="14">
        <v>1</v>
      </c>
      <c r="J585" s="14"/>
      <c r="K585" s="14" t="s">
        <v>33</v>
      </c>
      <c r="L585" s="14" t="s">
        <v>876</v>
      </c>
      <c r="M585" s="14" t="s">
        <v>35</v>
      </c>
      <c r="N585" s="14">
        <v>1</v>
      </c>
      <c r="O585" s="14">
        <v>1</v>
      </c>
      <c r="P585" s="14">
        <v>0</v>
      </c>
      <c r="Q585" s="14">
        <v>0</v>
      </c>
      <c r="R585" s="14">
        <v>0</v>
      </c>
      <c r="S585" s="14"/>
      <c r="T585" s="15">
        <v>1</v>
      </c>
      <c r="U585" s="16"/>
      <c r="V585" s="17">
        <v>643</v>
      </c>
      <c r="W585" s="17">
        <f t="shared" si="65"/>
        <v>643</v>
      </c>
      <c r="X585" s="17">
        <f t="shared" si="66"/>
        <v>33.436</v>
      </c>
      <c r="Y585" s="17">
        <v>648</v>
      </c>
      <c r="Z585" s="17">
        <f t="shared" si="67"/>
        <v>1</v>
      </c>
      <c r="AA585" s="17">
        <f t="shared" si="68"/>
        <v>6.6666666666666693E-2</v>
      </c>
      <c r="AB585" s="17">
        <f>+VLOOKUP(E585,[1]base!M:N,2,0)</f>
        <v>326</v>
      </c>
      <c r="AC585" s="17">
        <f>+VLOOKUP(E585,[1]base!M:Q,5,0)</f>
        <v>95.666666666666671</v>
      </c>
      <c r="AD585" s="18">
        <f>+VLOOKUP(E585,[1]base!M:P,4,0)</f>
        <v>3.0581039755351682E-3</v>
      </c>
      <c r="AE585" s="19">
        <f t="shared" si="69"/>
        <v>96.80305810397553</v>
      </c>
    </row>
    <row r="586" spans="1:31" x14ac:dyDescent="0.25">
      <c r="A586" s="10" t="s">
        <v>865</v>
      </c>
      <c r="B586" s="11">
        <v>46265.30091435185</v>
      </c>
      <c r="C586" s="12" t="s">
        <v>183</v>
      </c>
      <c r="D586" s="12" t="s">
        <v>877</v>
      </c>
      <c r="E586" s="13" t="str">
        <f t="shared" si="63"/>
        <v>EC40154</v>
      </c>
      <c r="F586" s="14" t="str">
        <f t="shared" si="64"/>
        <v>DARK</v>
      </c>
      <c r="G586" s="14">
        <f>+VLOOKUP(F586,[1]base!A:B,2,0)</f>
        <v>38</v>
      </c>
      <c r="H586" s="14">
        <v>1</v>
      </c>
      <c r="I586" s="14">
        <v>1</v>
      </c>
      <c r="J586" s="14"/>
      <c r="K586" s="14" t="s">
        <v>33</v>
      </c>
      <c r="L586" s="14" t="s">
        <v>878</v>
      </c>
      <c r="M586" s="14" t="s">
        <v>35</v>
      </c>
      <c r="N586" s="14">
        <v>1</v>
      </c>
      <c r="O586" s="14">
        <v>1</v>
      </c>
      <c r="P586" s="14">
        <v>0</v>
      </c>
      <c r="Q586" s="14">
        <v>0</v>
      </c>
      <c r="R586" s="14">
        <v>0</v>
      </c>
      <c r="S586" s="14"/>
      <c r="T586" s="15">
        <v>1</v>
      </c>
      <c r="U586" s="16"/>
      <c r="V586" s="17">
        <v>800</v>
      </c>
      <c r="W586" s="17">
        <f t="shared" si="65"/>
        <v>800</v>
      </c>
      <c r="X586" s="17">
        <f t="shared" si="66"/>
        <v>41.6</v>
      </c>
      <c r="Y586" s="17">
        <v>805</v>
      </c>
      <c r="Z586" s="17">
        <f t="shared" si="67"/>
        <v>1</v>
      </c>
      <c r="AA586" s="17">
        <f t="shared" si="68"/>
        <v>6.6666666666666693E-2</v>
      </c>
      <c r="AB586" s="17">
        <f>+VLOOKUP(E586,[1]base!M:N,2,0)</f>
        <v>392</v>
      </c>
      <c r="AC586" s="17">
        <f>+VLOOKUP(E586,[1]base!M:Q,5,0)</f>
        <v>102.83333333333333</v>
      </c>
      <c r="AD586" s="18">
        <f>+VLOOKUP(E586,[1]base!M:P,4,0)</f>
        <v>1.2594458438287154E-2</v>
      </c>
      <c r="AE586" s="19">
        <f t="shared" si="69"/>
        <v>112.66297229219143</v>
      </c>
    </row>
    <row r="587" spans="1:31" x14ac:dyDescent="0.25">
      <c r="A587" s="10" t="s">
        <v>843</v>
      </c>
      <c r="B587" s="11">
        <v>46267.314710648148</v>
      </c>
      <c r="C587" s="12" t="s">
        <v>39</v>
      </c>
      <c r="D587" s="12" t="s">
        <v>877</v>
      </c>
      <c r="E587" s="13" t="str">
        <f t="shared" si="63"/>
        <v>EC40154</v>
      </c>
      <c r="F587" s="14" t="str">
        <f t="shared" si="64"/>
        <v>DARK</v>
      </c>
      <c r="G587" s="14">
        <f>+VLOOKUP(F587,[1]base!A:B,2,0)</f>
        <v>38</v>
      </c>
      <c r="H587" s="14">
        <v>2</v>
      </c>
      <c r="I587" s="14">
        <v>2</v>
      </c>
      <c r="J587" s="14"/>
      <c r="K587" s="14" t="s">
        <v>33</v>
      </c>
      <c r="L587" s="14" t="s">
        <v>879</v>
      </c>
      <c r="M587" s="14" t="s">
        <v>35</v>
      </c>
      <c r="N587" s="14">
        <v>2</v>
      </c>
      <c r="O587" s="14">
        <v>2</v>
      </c>
      <c r="P587" s="14">
        <v>0</v>
      </c>
      <c r="Q587" s="14">
        <v>0</v>
      </c>
      <c r="R587" s="14">
        <v>0</v>
      </c>
      <c r="S587" s="14"/>
      <c r="T587" s="15">
        <v>2</v>
      </c>
      <c r="U587" s="16"/>
      <c r="V587" s="17">
        <v>976</v>
      </c>
      <c r="W587" s="17">
        <f t="shared" si="65"/>
        <v>1952</v>
      </c>
      <c r="X587" s="17">
        <f t="shared" si="66"/>
        <v>101.50399999999999</v>
      </c>
      <c r="Y587" s="17">
        <v>981</v>
      </c>
      <c r="Z587" s="17">
        <f t="shared" si="67"/>
        <v>1</v>
      </c>
      <c r="AA587" s="17">
        <f t="shared" si="68"/>
        <v>6.6666666666666693E-2</v>
      </c>
      <c r="AB587" s="17">
        <f>+VLOOKUP(E587,[1]base!M:N,2,0)</f>
        <v>392</v>
      </c>
      <c r="AC587" s="17">
        <f>+VLOOKUP(E587,[1]base!M:Q,5,0)</f>
        <v>102.83333333333333</v>
      </c>
      <c r="AD587" s="18">
        <f>+VLOOKUP(E587,[1]base!M:P,4,0)</f>
        <v>1.2594458438287154E-2</v>
      </c>
      <c r="AE587" s="19">
        <f t="shared" si="69"/>
        <v>112.66297229219143</v>
      </c>
    </row>
    <row r="588" spans="1:31" x14ac:dyDescent="0.25">
      <c r="A588" s="10" t="s">
        <v>857</v>
      </c>
      <c r="B588" s="11">
        <v>46267.531759259262</v>
      </c>
      <c r="C588" s="12" t="s">
        <v>70</v>
      </c>
      <c r="D588" s="12" t="s">
        <v>880</v>
      </c>
      <c r="E588" s="13" t="str">
        <f t="shared" si="63"/>
        <v>CSQ105</v>
      </c>
      <c r="F588" s="14" t="str">
        <f t="shared" si="64"/>
        <v>DARK</v>
      </c>
      <c r="G588" s="14">
        <f>+VLOOKUP(F588,[1]base!A:B,2,0)</f>
        <v>38</v>
      </c>
      <c r="H588" s="14">
        <v>2</v>
      </c>
      <c r="I588" s="14">
        <v>2</v>
      </c>
      <c r="J588" s="14"/>
      <c r="K588" s="14" t="s">
        <v>33</v>
      </c>
      <c r="L588" s="14" t="s">
        <v>881</v>
      </c>
      <c r="M588" s="14" t="s">
        <v>35</v>
      </c>
      <c r="N588" s="14">
        <v>2</v>
      </c>
      <c r="O588" s="14">
        <v>2</v>
      </c>
      <c r="P588" s="14">
        <v>0</v>
      </c>
      <c r="Q588" s="14">
        <v>0</v>
      </c>
      <c r="R588" s="14">
        <v>0</v>
      </c>
      <c r="S588" s="14"/>
      <c r="T588" s="15">
        <v>2</v>
      </c>
      <c r="U588" s="16"/>
      <c r="V588" s="17">
        <v>1024</v>
      </c>
      <c r="W588" s="17">
        <f t="shared" si="65"/>
        <v>2048</v>
      </c>
      <c r="X588" s="17">
        <f t="shared" si="66"/>
        <v>106.496</v>
      </c>
      <c r="Y588" s="17">
        <v>1029</v>
      </c>
      <c r="Z588" s="17">
        <f t="shared" si="67"/>
        <v>1</v>
      </c>
      <c r="AA588" s="17">
        <f t="shared" si="68"/>
        <v>6.6666666666666693E-2</v>
      </c>
      <c r="AB588" s="17">
        <f>+VLOOKUP(E588,[1]base!M:N,2,0)</f>
        <v>404</v>
      </c>
      <c r="AC588" s="17">
        <f>+VLOOKUP(E588,[1]base!M:Q,5,0)</f>
        <v>233</v>
      </c>
      <c r="AD588" s="18">
        <f>+VLOOKUP(E588,[1]base!M:P,4,0)</f>
        <v>9.8039215686274508E-3</v>
      </c>
      <c r="AE588" s="19">
        <f t="shared" si="69"/>
        <v>117.23921568627449</v>
      </c>
    </row>
    <row r="589" spans="1:31" x14ac:dyDescent="0.25">
      <c r="A589" s="10" t="s">
        <v>840</v>
      </c>
      <c r="B589" s="11">
        <v>46261.381307870368</v>
      </c>
      <c r="C589" s="12" t="s">
        <v>169</v>
      </c>
      <c r="D589" s="12" t="s">
        <v>882</v>
      </c>
      <c r="E589" s="13" t="str">
        <f t="shared" si="63"/>
        <v>FR166</v>
      </c>
      <c r="F589" s="14" t="str">
        <f t="shared" si="64"/>
        <v>DARK</v>
      </c>
      <c r="G589" s="14">
        <f>+VLOOKUP(F589,[1]base!A:B,2,0)</f>
        <v>38</v>
      </c>
      <c r="H589" s="14">
        <v>20</v>
      </c>
      <c r="I589" s="14">
        <v>20</v>
      </c>
      <c r="J589" s="14"/>
      <c r="K589" s="14" t="s">
        <v>33</v>
      </c>
      <c r="L589" s="14" t="s">
        <v>883</v>
      </c>
      <c r="M589" s="14" t="s">
        <v>35</v>
      </c>
      <c r="N589" s="14">
        <v>20</v>
      </c>
      <c r="O589" s="14">
        <v>20</v>
      </c>
      <c r="P589" s="14">
        <v>0</v>
      </c>
      <c r="Q589" s="14">
        <v>0</v>
      </c>
      <c r="R589" s="14">
        <v>0</v>
      </c>
      <c r="S589" s="14"/>
      <c r="T589" s="15">
        <v>20</v>
      </c>
      <c r="U589" s="16"/>
      <c r="V589" s="17">
        <v>655</v>
      </c>
      <c r="W589" s="17">
        <f t="shared" si="65"/>
        <v>13100</v>
      </c>
      <c r="X589" s="17">
        <f t="shared" si="66"/>
        <v>681.19999999999993</v>
      </c>
      <c r="Y589" s="17">
        <v>660</v>
      </c>
      <c r="Z589" s="17">
        <f t="shared" si="67"/>
        <v>1</v>
      </c>
      <c r="AA589" s="17">
        <f t="shared" si="68"/>
        <v>6.6666666666666693E-2</v>
      </c>
      <c r="AB589" s="17">
        <f>+VLOOKUP(E589,[1]base!M:N,2,0)</f>
        <v>437</v>
      </c>
      <c r="AC589" s="17">
        <f>+VLOOKUP(E589,[1]base!M:Q,5,0)</f>
        <v>435.66666666666669</v>
      </c>
      <c r="AD589" s="18">
        <f>+VLOOKUP(E589,[1]base!M:P,4,0)</f>
        <v>0.14980544747081712</v>
      </c>
      <c r="AE589" s="19">
        <f t="shared" si="69"/>
        <v>65.635019455252916</v>
      </c>
    </row>
    <row r="590" spans="1:31" x14ac:dyDescent="0.25">
      <c r="A590" s="10" t="s">
        <v>840</v>
      </c>
      <c r="B590" s="11">
        <v>46261.381307870368</v>
      </c>
      <c r="C590" s="12" t="s">
        <v>169</v>
      </c>
      <c r="D590" s="12" t="s">
        <v>884</v>
      </c>
      <c r="E590" s="13" t="str">
        <f t="shared" si="63"/>
        <v>EC67103</v>
      </c>
      <c r="F590" s="14" t="str">
        <f t="shared" si="64"/>
        <v>DARK</v>
      </c>
      <c r="G590" s="14">
        <f>+VLOOKUP(F590,[1]base!A:B,2,0)</f>
        <v>38</v>
      </c>
      <c r="H590" s="14">
        <v>18</v>
      </c>
      <c r="I590" s="14">
        <v>18</v>
      </c>
      <c r="J590" s="14"/>
      <c r="K590" s="14" t="s">
        <v>33</v>
      </c>
      <c r="L590" s="14" t="s">
        <v>885</v>
      </c>
      <c r="M590" s="14" t="s">
        <v>35</v>
      </c>
      <c r="N590" s="14">
        <v>18</v>
      </c>
      <c r="O590" s="14">
        <v>18</v>
      </c>
      <c r="P590" s="14">
        <v>0</v>
      </c>
      <c r="Q590" s="14">
        <v>0</v>
      </c>
      <c r="R590" s="14">
        <v>0</v>
      </c>
      <c r="S590" s="14"/>
      <c r="T590" s="15">
        <v>18</v>
      </c>
      <c r="U590" s="16"/>
      <c r="V590" s="17">
        <v>650</v>
      </c>
      <c r="W590" s="17">
        <f t="shared" si="65"/>
        <v>11700</v>
      </c>
      <c r="X590" s="17">
        <f t="shared" si="66"/>
        <v>608.4</v>
      </c>
      <c r="Y590" s="17">
        <v>655</v>
      </c>
      <c r="Z590" s="17">
        <f t="shared" si="67"/>
        <v>1</v>
      </c>
      <c r="AA590" s="17">
        <f t="shared" si="68"/>
        <v>6.6666666666666693E-2</v>
      </c>
      <c r="AB590" s="17">
        <f>+VLOOKUP(E590,[1]base!M:N,2,0)</f>
        <v>639</v>
      </c>
      <c r="AC590" s="17">
        <f>+VLOOKUP(E590,[1]base!M:Q,5,0)</f>
        <v>720.75</v>
      </c>
      <c r="AD590" s="18">
        <f>+VLOOKUP(E590,[1]base!M:P,4,0)</f>
        <v>0.18076923076923077</v>
      </c>
      <c r="AE590" s="19">
        <f t="shared" si="69"/>
        <v>76.188461538461539</v>
      </c>
    </row>
    <row r="591" spans="1:31" x14ac:dyDescent="0.25">
      <c r="A591" s="10" t="s">
        <v>857</v>
      </c>
      <c r="B591" s="11">
        <v>46267.531759259262</v>
      </c>
      <c r="C591" s="12" t="s">
        <v>70</v>
      </c>
      <c r="D591" s="12" t="s">
        <v>886</v>
      </c>
      <c r="E591" s="13" t="str">
        <f t="shared" si="63"/>
        <v>FSQ401</v>
      </c>
      <c r="F591" s="14" t="str">
        <f t="shared" si="64"/>
        <v>DARK</v>
      </c>
      <c r="G591" s="14">
        <f>+VLOOKUP(F591,[1]base!A:B,2,0)</f>
        <v>38</v>
      </c>
      <c r="H591" s="14">
        <v>8</v>
      </c>
      <c r="I591" s="14">
        <v>8</v>
      </c>
      <c r="J591" s="14"/>
      <c r="K591" s="14" t="s">
        <v>33</v>
      </c>
      <c r="L591" s="14" t="s">
        <v>887</v>
      </c>
      <c r="M591" s="14" t="s">
        <v>35</v>
      </c>
      <c r="N591" s="14">
        <v>8</v>
      </c>
      <c r="O591" s="14">
        <v>8</v>
      </c>
      <c r="P591" s="14">
        <v>0</v>
      </c>
      <c r="Q591" s="14">
        <v>0</v>
      </c>
      <c r="R591" s="14">
        <v>0</v>
      </c>
      <c r="S591" s="14"/>
      <c r="T591" s="15">
        <v>8</v>
      </c>
      <c r="U591" s="16"/>
      <c r="V591" s="17">
        <v>1025</v>
      </c>
      <c r="W591" s="17">
        <f t="shared" si="65"/>
        <v>8200</v>
      </c>
      <c r="X591" s="17">
        <f t="shared" si="66"/>
        <v>426.4</v>
      </c>
      <c r="Y591" s="17">
        <v>1030</v>
      </c>
      <c r="Z591" s="17">
        <f t="shared" si="67"/>
        <v>1</v>
      </c>
      <c r="AA591" s="17">
        <f t="shared" si="68"/>
        <v>6.6666666666666693E-2</v>
      </c>
      <c r="AB591" s="17">
        <f>+VLOOKUP(E591,[1]base!M:N,2,0)</f>
        <v>768</v>
      </c>
      <c r="AC591" s="17">
        <f>+VLOOKUP(E591,[1]base!M:Q,5,0)</f>
        <v>104.18181818181819</v>
      </c>
      <c r="AD591" s="18">
        <f>+VLOOKUP(E591,[1]base!M:P,4,0)</f>
        <v>2.5974025974025974E-3</v>
      </c>
      <c r="AE591" s="19">
        <f t="shared" si="69"/>
        <v>228.40519480519481</v>
      </c>
    </row>
    <row r="592" spans="1:31" x14ac:dyDescent="0.25">
      <c r="A592" s="10" t="s">
        <v>857</v>
      </c>
      <c r="B592" s="11">
        <v>46267.531759259262</v>
      </c>
      <c r="C592" s="12" t="s">
        <v>70</v>
      </c>
      <c r="D592" s="12" t="s">
        <v>888</v>
      </c>
      <c r="E592" s="13" t="str">
        <f t="shared" si="63"/>
        <v>FSQ150</v>
      </c>
      <c r="F592" s="14" t="str">
        <f t="shared" si="64"/>
        <v>DARK</v>
      </c>
      <c r="G592" s="14">
        <f>+VLOOKUP(F592,[1]base!A:B,2,0)</f>
        <v>38</v>
      </c>
      <c r="H592" s="14">
        <v>3</v>
      </c>
      <c r="I592" s="14">
        <v>3</v>
      </c>
      <c r="J592" s="14"/>
      <c r="K592" s="14" t="s">
        <v>33</v>
      </c>
      <c r="L592" s="14" t="s">
        <v>889</v>
      </c>
      <c r="M592" s="14" t="s">
        <v>35</v>
      </c>
      <c r="N592" s="14">
        <v>3</v>
      </c>
      <c r="O592" s="14">
        <v>3</v>
      </c>
      <c r="P592" s="14">
        <v>0</v>
      </c>
      <c r="Q592" s="14">
        <v>0</v>
      </c>
      <c r="R592" s="14">
        <v>4</v>
      </c>
      <c r="S592" s="14"/>
      <c r="T592" s="15">
        <v>3</v>
      </c>
      <c r="U592" s="16"/>
      <c r="V592" s="17">
        <v>1026</v>
      </c>
      <c r="W592" s="17">
        <f t="shared" si="65"/>
        <v>3078</v>
      </c>
      <c r="X592" s="17">
        <f t="shared" si="66"/>
        <v>160.05599999999998</v>
      </c>
      <c r="Y592" s="17">
        <v>1031</v>
      </c>
      <c r="Z592" s="17">
        <f t="shared" si="67"/>
        <v>1</v>
      </c>
      <c r="AA592" s="17">
        <f t="shared" si="68"/>
        <v>6.6666666666666693E-2</v>
      </c>
      <c r="AB592" s="17">
        <f>+VLOOKUP(E592,[1]base!M:N,2,0)</f>
        <v>784</v>
      </c>
      <c r="AC592" s="17">
        <f>+VLOOKUP(E592,[1]base!M:Q,5,0)</f>
        <v>16.666666666666668</v>
      </c>
      <c r="AD592" s="18">
        <f>+VLOOKUP(E592,[1]base!M:P,4,0)</f>
        <v>0.13656387665198239</v>
      </c>
      <c r="AE592" s="19">
        <f t="shared" si="69"/>
        <v>128.13392070484579</v>
      </c>
    </row>
    <row r="593" spans="1:31" x14ac:dyDescent="0.25">
      <c r="A593" s="10" t="s">
        <v>837</v>
      </c>
      <c r="B593" s="11">
        <v>46266.575185185182</v>
      </c>
      <c r="C593" s="12" t="s">
        <v>39</v>
      </c>
      <c r="D593" s="12" t="s">
        <v>890</v>
      </c>
      <c r="E593" s="13" t="str">
        <f t="shared" si="63"/>
        <v>OK4716</v>
      </c>
      <c r="F593" s="14" t="str">
        <f t="shared" si="64"/>
        <v>DARK</v>
      </c>
      <c r="G593" s="14">
        <f>+VLOOKUP(F593,[1]base!A:B,2,0)</f>
        <v>38</v>
      </c>
      <c r="H593" s="14">
        <v>2</v>
      </c>
      <c r="I593" s="14">
        <v>2</v>
      </c>
      <c r="J593" s="14"/>
      <c r="K593" s="14" t="s">
        <v>33</v>
      </c>
      <c r="L593" s="14" t="s">
        <v>891</v>
      </c>
      <c r="M593" s="14" t="s">
        <v>35</v>
      </c>
      <c r="N593" s="14">
        <v>2</v>
      </c>
      <c r="O593" s="14">
        <v>2</v>
      </c>
      <c r="P593" s="14">
        <v>0</v>
      </c>
      <c r="Q593" s="14">
        <v>0</v>
      </c>
      <c r="R593" s="14">
        <v>0</v>
      </c>
      <c r="S593" s="14"/>
      <c r="T593" s="15">
        <v>2</v>
      </c>
      <c r="U593" s="16"/>
      <c r="V593" s="17">
        <v>957</v>
      </c>
      <c r="W593" s="17">
        <f t="shared" si="65"/>
        <v>1914</v>
      </c>
      <c r="X593" s="17">
        <f t="shared" si="66"/>
        <v>99.527999999999992</v>
      </c>
      <c r="Y593" s="17">
        <v>962</v>
      </c>
      <c r="Z593" s="17">
        <f t="shared" si="67"/>
        <v>1</v>
      </c>
      <c r="AA593" s="17">
        <f t="shared" si="68"/>
        <v>6.6666666666666693E-2</v>
      </c>
      <c r="AB593" s="17">
        <f>+VLOOKUP(E593,[1]base!M:N,2,0)</f>
        <v>1199</v>
      </c>
      <c r="AC593" s="17">
        <f>+VLOOKUP(E593,[1]base!M:Q,5,0)</f>
        <v>0</v>
      </c>
      <c r="AD593" s="18">
        <f>+VLOOKUP(E593,[1]base!M:P,4,0)</f>
        <v>-1198</v>
      </c>
      <c r="AE593" s="19">
        <f t="shared" si="69"/>
        <v>1436761.7</v>
      </c>
    </row>
    <row r="594" spans="1:31" x14ac:dyDescent="0.25">
      <c r="A594" s="10" t="s">
        <v>840</v>
      </c>
      <c r="B594" s="11">
        <v>46261.381307870368</v>
      </c>
      <c r="C594" s="12" t="s">
        <v>169</v>
      </c>
      <c r="D594" s="12" t="s">
        <v>892</v>
      </c>
      <c r="E594" s="13" t="str">
        <f t="shared" si="63"/>
        <v>FR100</v>
      </c>
      <c r="F594" s="14" t="str">
        <f t="shared" si="64"/>
        <v>DARK</v>
      </c>
      <c r="G594" s="14">
        <f>+VLOOKUP(F594,[1]base!A:B,2,0)</f>
        <v>38</v>
      </c>
      <c r="H594" s="14">
        <v>10</v>
      </c>
      <c r="I594" s="14">
        <v>10</v>
      </c>
      <c r="J594" s="14"/>
      <c r="K594" s="14" t="s">
        <v>33</v>
      </c>
      <c r="L594" s="14" t="s">
        <v>893</v>
      </c>
      <c r="M594" s="14" t="s">
        <v>35</v>
      </c>
      <c r="N594" s="14">
        <v>10</v>
      </c>
      <c r="O594" s="14">
        <v>10</v>
      </c>
      <c r="P594" s="14">
        <v>0</v>
      </c>
      <c r="Q594" s="14">
        <v>0</v>
      </c>
      <c r="R594" s="14">
        <v>0</v>
      </c>
      <c r="S594" s="14"/>
      <c r="T594" s="15">
        <v>10</v>
      </c>
      <c r="U594" s="16"/>
      <c r="V594" s="17">
        <v>653</v>
      </c>
      <c r="W594" s="17">
        <f t="shared" si="65"/>
        <v>6530</v>
      </c>
      <c r="X594" s="17">
        <f t="shared" si="66"/>
        <v>339.56</v>
      </c>
      <c r="Y594" s="17">
        <v>658</v>
      </c>
      <c r="Z594" s="17">
        <f t="shared" si="67"/>
        <v>1</v>
      </c>
      <c r="AA594" s="17">
        <f t="shared" si="68"/>
        <v>6.6666666666666693E-2</v>
      </c>
      <c r="AB594" s="17">
        <f>+VLOOKUP(E594,[1]base!M:N,2,0)</f>
        <v>1365</v>
      </c>
      <c r="AC594" s="17">
        <f>+VLOOKUP(E594,[1]base!M:Q,5,0)</f>
        <v>812.5</v>
      </c>
      <c r="AD594" s="18">
        <f>+VLOOKUP(E594,[1]base!M:P,4,0)</f>
        <v>7.4576271186440682E-2</v>
      </c>
      <c r="AE594" s="19">
        <f t="shared" si="69"/>
        <v>307.70338983050846</v>
      </c>
    </row>
    <row r="595" spans="1:31" x14ac:dyDescent="0.25">
      <c r="A595" s="10" t="s">
        <v>840</v>
      </c>
      <c r="B595" s="11">
        <v>46261.381307870368</v>
      </c>
      <c r="C595" s="12" t="s">
        <v>169</v>
      </c>
      <c r="D595" s="12" t="s">
        <v>894</v>
      </c>
      <c r="E595" s="13" t="str">
        <f t="shared" si="63"/>
        <v>EC40402</v>
      </c>
      <c r="F595" s="14" t="str">
        <f t="shared" si="64"/>
        <v>DARK</v>
      </c>
      <c r="G595" s="14">
        <f>+VLOOKUP(F595,[1]base!A:B,2,0)</f>
        <v>38</v>
      </c>
      <c r="H595" s="14">
        <v>16</v>
      </c>
      <c r="I595" s="14">
        <v>16</v>
      </c>
      <c r="J595" s="14"/>
      <c r="K595" s="14" t="s">
        <v>33</v>
      </c>
      <c r="L595" s="14" t="s">
        <v>895</v>
      </c>
      <c r="M595" s="14" t="s">
        <v>35</v>
      </c>
      <c r="N595" s="14">
        <v>16</v>
      </c>
      <c r="O595" s="14">
        <v>16</v>
      </c>
      <c r="P595" s="14">
        <v>0</v>
      </c>
      <c r="Q595" s="14">
        <v>0</v>
      </c>
      <c r="R595" s="14">
        <v>0</v>
      </c>
      <c r="S595" s="14"/>
      <c r="T595" s="15">
        <v>16</v>
      </c>
      <c r="U595" s="16"/>
      <c r="V595" s="17">
        <v>651</v>
      </c>
      <c r="W595" s="17">
        <f t="shared" si="65"/>
        <v>10416</v>
      </c>
      <c r="X595" s="17">
        <f t="shared" si="66"/>
        <v>541.63199999999995</v>
      </c>
      <c r="Y595" s="17">
        <v>656</v>
      </c>
      <c r="Z595" s="17">
        <f t="shared" si="67"/>
        <v>1</v>
      </c>
      <c r="AA595" s="17">
        <f t="shared" si="68"/>
        <v>6.6666666666666693E-2</v>
      </c>
      <c r="AB595" s="17">
        <f>+VLOOKUP(E595,[1]base!M:N,2,0)</f>
        <v>1556</v>
      </c>
      <c r="AC595" s="17">
        <f>+VLOOKUP(E595,[1]base!M:Q,5,0)</f>
        <v>1635.090909090909</v>
      </c>
      <c r="AD595" s="18">
        <f>+VLOOKUP(E595,[1]base!M:P,4,0)</f>
        <v>0.1326644370122631</v>
      </c>
      <c r="AE595" s="19">
        <f t="shared" si="69"/>
        <v>260.37413600891858</v>
      </c>
    </row>
    <row r="596" spans="1:31" x14ac:dyDescent="0.25">
      <c r="A596" s="10" t="s">
        <v>865</v>
      </c>
      <c r="B596" s="11">
        <v>46265.30091435185</v>
      </c>
      <c r="C596" s="12" t="s">
        <v>183</v>
      </c>
      <c r="D596" s="12" t="s">
        <v>894</v>
      </c>
      <c r="E596" s="13" t="str">
        <f t="shared" si="63"/>
        <v>EC40402</v>
      </c>
      <c r="F596" s="14" t="str">
        <f t="shared" si="64"/>
        <v>DARK</v>
      </c>
      <c r="G596" s="14">
        <f>+VLOOKUP(F596,[1]base!A:B,2,0)</f>
        <v>38</v>
      </c>
      <c r="H596" s="14">
        <v>8</v>
      </c>
      <c r="I596" s="14">
        <v>8</v>
      </c>
      <c r="J596" s="14"/>
      <c r="K596" s="14" t="s">
        <v>33</v>
      </c>
      <c r="L596" s="14" t="s">
        <v>896</v>
      </c>
      <c r="M596" s="14" t="s">
        <v>35</v>
      </c>
      <c r="N596" s="14">
        <v>8</v>
      </c>
      <c r="O596" s="14">
        <v>8</v>
      </c>
      <c r="P596" s="14">
        <v>0</v>
      </c>
      <c r="Q596" s="14">
        <v>0</v>
      </c>
      <c r="R596" s="14">
        <v>0</v>
      </c>
      <c r="S596" s="14"/>
      <c r="T596" s="15">
        <v>8</v>
      </c>
      <c r="U596" s="16"/>
      <c r="V596" s="17">
        <v>801</v>
      </c>
      <c r="W596" s="17">
        <f t="shared" si="65"/>
        <v>6408</v>
      </c>
      <c r="X596" s="17">
        <f t="shared" si="66"/>
        <v>333.21600000000001</v>
      </c>
      <c r="Y596" s="17">
        <v>806</v>
      </c>
      <c r="Z596" s="17">
        <f t="shared" si="67"/>
        <v>1</v>
      </c>
      <c r="AA596" s="17">
        <f t="shared" si="68"/>
        <v>6.6666666666666693E-2</v>
      </c>
      <c r="AB596" s="17">
        <f>+VLOOKUP(E596,[1]base!M:N,2,0)</f>
        <v>1556</v>
      </c>
      <c r="AC596" s="17">
        <f>+VLOOKUP(E596,[1]base!M:Q,5,0)</f>
        <v>1635.090909090909</v>
      </c>
      <c r="AD596" s="18">
        <f>+VLOOKUP(E596,[1]base!M:P,4,0)</f>
        <v>0.1326644370122631</v>
      </c>
      <c r="AE596" s="19">
        <f t="shared" si="69"/>
        <v>260.37413600891858</v>
      </c>
    </row>
    <row r="597" spans="1:31" x14ac:dyDescent="0.25">
      <c r="A597" s="10" t="s">
        <v>865</v>
      </c>
      <c r="B597" s="11">
        <v>46265.30091435185</v>
      </c>
      <c r="C597" s="12" t="s">
        <v>183</v>
      </c>
      <c r="D597" s="12" t="s">
        <v>897</v>
      </c>
      <c r="E597" s="13" t="str">
        <f t="shared" si="63"/>
        <v>FR404</v>
      </c>
      <c r="F597" s="14" t="str">
        <f t="shared" si="64"/>
        <v>DARK</v>
      </c>
      <c r="G597" s="14">
        <f>+VLOOKUP(F597,[1]base!A:B,2,0)</f>
        <v>38</v>
      </c>
      <c r="H597" s="14">
        <v>2</v>
      </c>
      <c r="I597" s="14">
        <v>2</v>
      </c>
      <c r="J597" s="14"/>
      <c r="K597" s="14" t="s">
        <v>33</v>
      </c>
      <c r="L597" s="14" t="s">
        <v>898</v>
      </c>
      <c r="M597" s="14" t="s">
        <v>35</v>
      </c>
      <c r="N597" s="14">
        <v>2</v>
      </c>
      <c r="O597" s="14">
        <v>2</v>
      </c>
      <c r="P597" s="14">
        <v>0</v>
      </c>
      <c r="Q597" s="14">
        <v>0</v>
      </c>
      <c r="R597" s="14">
        <v>0</v>
      </c>
      <c r="S597" s="14"/>
      <c r="T597" s="15">
        <v>2</v>
      </c>
      <c r="U597" s="16"/>
      <c r="V597" s="17">
        <v>803</v>
      </c>
      <c r="W597" s="17">
        <f t="shared" si="65"/>
        <v>1606</v>
      </c>
      <c r="X597" s="17">
        <f t="shared" si="66"/>
        <v>83.512</v>
      </c>
      <c r="Y597" s="17">
        <v>808</v>
      </c>
      <c r="Z597" s="17">
        <f t="shared" si="67"/>
        <v>1</v>
      </c>
      <c r="AA597" s="17">
        <f t="shared" si="68"/>
        <v>6.6666666666666693E-2</v>
      </c>
      <c r="AB597" s="17">
        <f>+VLOOKUP(E597,[1]base!M:N,2,0)</f>
        <v>2331</v>
      </c>
      <c r="AC597" s="17">
        <f>+VLOOKUP(E597,[1]base!M:Q,5,0)</f>
        <v>578.90909090909088</v>
      </c>
      <c r="AD597" s="18">
        <f>+VLOOKUP(E597,[1]base!M:P,4,0)</f>
        <v>7.0203430394894295E-2</v>
      </c>
      <c r="AE597" s="19">
        <f t="shared" si="69"/>
        <v>535.65580374950139</v>
      </c>
    </row>
    <row r="598" spans="1:31" x14ac:dyDescent="0.25">
      <c r="A598" s="10" t="s">
        <v>846</v>
      </c>
      <c r="B598" s="11">
        <v>46267.412812499999</v>
      </c>
      <c r="C598" s="12" t="s">
        <v>143</v>
      </c>
      <c r="D598" s="12" t="s">
        <v>897</v>
      </c>
      <c r="E598" s="13" t="str">
        <f t="shared" si="63"/>
        <v>FR404</v>
      </c>
      <c r="F598" s="14" t="str">
        <f t="shared" si="64"/>
        <v>DARK</v>
      </c>
      <c r="G598" s="14">
        <f>+VLOOKUP(F598,[1]base!A:B,2,0)</f>
        <v>38</v>
      </c>
      <c r="H598" s="14">
        <v>2</v>
      </c>
      <c r="I598" s="14">
        <v>2</v>
      </c>
      <c r="J598" s="14"/>
      <c r="K598" s="14" t="s">
        <v>33</v>
      </c>
      <c r="L598" s="14" t="s">
        <v>899</v>
      </c>
      <c r="M598" s="14" t="s">
        <v>35</v>
      </c>
      <c r="N598" s="14">
        <v>2</v>
      </c>
      <c r="O598" s="14">
        <v>2</v>
      </c>
      <c r="P598" s="14">
        <v>0</v>
      </c>
      <c r="Q598" s="14">
        <v>0</v>
      </c>
      <c r="R598" s="14">
        <v>0</v>
      </c>
      <c r="S598" s="14"/>
      <c r="T598" s="15">
        <v>2</v>
      </c>
      <c r="U598" s="16"/>
      <c r="V598" s="17">
        <v>1012</v>
      </c>
      <c r="W598" s="17">
        <f t="shared" si="65"/>
        <v>2024</v>
      </c>
      <c r="X598" s="17">
        <f t="shared" si="66"/>
        <v>105.24799999999999</v>
      </c>
      <c r="Y598" s="17">
        <v>1017</v>
      </c>
      <c r="Z598" s="17">
        <f t="shared" si="67"/>
        <v>1</v>
      </c>
      <c r="AA598" s="17">
        <f t="shared" si="68"/>
        <v>6.6666666666666693E-2</v>
      </c>
      <c r="AB598" s="17">
        <f>+VLOOKUP(E598,[1]base!M:N,2,0)</f>
        <v>2331</v>
      </c>
      <c r="AC598" s="17">
        <f>+VLOOKUP(E598,[1]base!M:Q,5,0)</f>
        <v>578.90909090909088</v>
      </c>
      <c r="AD598" s="18">
        <f>+VLOOKUP(E598,[1]base!M:P,4,0)</f>
        <v>7.0203430394894295E-2</v>
      </c>
      <c r="AE598" s="19">
        <f t="shared" si="69"/>
        <v>535.65580374950139</v>
      </c>
    </row>
    <row r="599" spans="1:31" x14ac:dyDescent="0.25">
      <c r="A599" s="10" t="s">
        <v>873</v>
      </c>
      <c r="B599" s="11">
        <v>46260.417627314811</v>
      </c>
      <c r="C599" s="12" t="s">
        <v>874</v>
      </c>
      <c r="D599" s="12" t="s">
        <v>900</v>
      </c>
      <c r="E599" s="13" t="str">
        <f t="shared" si="63"/>
        <v>FSQ139</v>
      </c>
      <c r="F599" s="14" t="str">
        <f t="shared" si="64"/>
        <v>DARK</v>
      </c>
      <c r="G599" s="14">
        <f>+VLOOKUP(F599,[1]base!A:B,2,0)</f>
        <v>38</v>
      </c>
      <c r="H599" s="14">
        <v>4</v>
      </c>
      <c r="I599" s="14">
        <v>4</v>
      </c>
      <c r="J599" s="14"/>
      <c r="K599" s="14" t="s">
        <v>33</v>
      </c>
      <c r="L599" s="14" t="s">
        <v>901</v>
      </c>
      <c r="M599" s="14" t="s">
        <v>35</v>
      </c>
      <c r="N599" s="14">
        <v>4</v>
      </c>
      <c r="O599" s="14">
        <v>4</v>
      </c>
      <c r="P599" s="14">
        <v>0</v>
      </c>
      <c r="Q599" s="14">
        <v>0</v>
      </c>
      <c r="R599" s="14">
        <v>0</v>
      </c>
      <c r="S599" s="14"/>
      <c r="T599" s="15">
        <v>4</v>
      </c>
      <c r="U599" s="16"/>
      <c r="V599" s="17">
        <v>642</v>
      </c>
      <c r="W599" s="17">
        <f t="shared" si="65"/>
        <v>2568</v>
      </c>
      <c r="X599" s="17">
        <f t="shared" si="66"/>
        <v>133.536</v>
      </c>
      <c r="Y599" s="17">
        <v>647</v>
      </c>
      <c r="Z599" s="17">
        <f t="shared" si="67"/>
        <v>1</v>
      </c>
      <c r="AA599" s="17">
        <f t="shared" si="68"/>
        <v>6.6666666666666693E-2</v>
      </c>
      <c r="AB599" s="17">
        <f>+VLOOKUP(E599,[1]base!M:N,2,0)</f>
        <v>2404</v>
      </c>
      <c r="AC599" s="17">
        <f>+VLOOKUP(E599,[1]base!M:Q,5,0)</f>
        <v>157.22222222222223</v>
      </c>
      <c r="AD599" s="18">
        <f>+VLOOKUP(E599,[1]base!M:P,4,0)</f>
        <v>5.7899090157154673E-3</v>
      </c>
      <c r="AE599" s="19">
        <f t="shared" si="69"/>
        <v>707.28105872621995</v>
      </c>
    </row>
    <row r="600" spans="1:31" x14ac:dyDescent="0.25">
      <c r="A600" s="10" t="s">
        <v>865</v>
      </c>
      <c r="B600" s="11">
        <v>46265.30091435185</v>
      </c>
      <c r="C600" s="12" t="s">
        <v>183</v>
      </c>
      <c r="D600" s="12" t="s">
        <v>902</v>
      </c>
      <c r="E600" s="13" t="str">
        <f t="shared" si="63"/>
        <v>C-40139</v>
      </c>
      <c r="F600" s="14" t="str">
        <f t="shared" si="64"/>
        <v>DARK</v>
      </c>
      <c r="G600" s="14">
        <f>+VLOOKUP(F600,[1]base!A:B,2,0)</f>
        <v>38</v>
      </c>
      <c r="H600" s="14">
        <v>2</v>
      </c>
      <c r="I600" s="14">
        <v>2</v>
      </c>
      <c r="J600" s="14"/>
      <c r="K600" s="14" t="s">
        <v>33</v>
      </c>
      <c r="L600" s="14" t="s">
        <v>903</v>
      </c>
      <c r="M600" s="14" t="s">
        <v>35</v>
      </c>
      <c r="N600" s="14">
        <v>2</v>
      </c>
      <c r="O600" s="14">
        <v>2</v>
      </c>
      <c r="P600" s="14">
        <v>0</v>
      </c>
      <c r="Q600" s="14">
        <v>0</v>
      </c>
      <c r="R600" s="14">
        <v>0</v>
      </c>
      <c r="S600" s="14"/>
      <c r="T600" s="15">
        <v>2</v>
      </c>
      <c r="U600" s="16"/>
      <c r="V600" s="17">
        <v>798</v>
      </c>
      <c r="W600" s="17">
        <f t="shared" si="65"/>
        <v>1596</v>
      </c>
      <c r="X600" s="17">
        <f t="shared" si="66"/>
        <v>82.99199999999999</v>
      </c>
      <c r="Y600" s="17">
        <v>803</v>
      </c>
      <c r="Z600" s="17">
        <f t="shared" si="67"/>
        <v>1</v>
      </c>
      <c r="AA600" s="17">
        <f t="shared" si="68"/>
        <v>6.6666666666666693E-2</v>
      </c>
      <c r="AB600" s="17" t="e">
        <f>+VLOOKUP(E600,[1]base!M:N,2,0)</f>
        <v>#N/A</v>
      </c>
      <c r="AC600" s="17" t="e">
        <f>+VLOOKUP(E600,[1]base!M:Q,5,0)</f>
        <v>#N/A</v>
      </c>
      <c r="AD600" s="18" t="e">
        <f>+VLOOKUP(E600,[1]base!M:P,4,0)</f>
        <v>#N/A</v>
      </c>
      <c r="AE600" s="19" t="e">
        <f t="shared" si="69"/>
        <v>#N/A</v>
      </c>
    </row>
    <row r="601" spans="1:31" x14ac:dyDescent="0.25">
      <c r="A601" s="10" t="s">
        <v>865</v>
      </c>
      <c r="B601" s="11">
        <v>46265.30091435185</v>
      </c>
      <c r="C601" s="12" t="s">
        <v>183</v>
      </c>
      <c r="D601" s="12" t="s">
        <v>904</v>
      </c>
      <c r="E601" s="13" t="str">
        <f t="shared" si="63"/>
        <v>C-AL11026</v>
      </c>
      <c r="F601" s="14" t="str">
        <f t="shared" si="64"/>
        <v>DARK</v>
      </c>
      <c r="G601" s="14">
        <f>+VLOOKUP(F601,[1]base!A:B,2,0)</f>
        <v>38</v>
      </c>
      <c r="H601" s="14">
        <v>2</v>
      </c>
      <c r="I601" s="14">
        <v>2</v>
      </c>
      <c r="J601" s="14"/>
      <c r="K601" s="14" t="s">
        <v>33</v>
      </c>
      <c r="L601" s="14" t="s">
        <v>905</v>
      </c>
      <c r="M601" s="14" t="s">
        <v>35</v>
      </c>
      <c r="N601" s="14">
        <v>2</v>
      </c>
      <c r="O601" s="14">
        <v>2</v>
      </c>
      <c r="P601" s="14">
        <v>0</v>
      </c>
      <c r="Q601" s="14">
        <v>0</v>
      </c>
      <c r="R601" s="14">
        <v>0</v>
      </c>
      <c r="S601" s="14"/>
      <c r="T601" s="15">
        <v>2</v>
      </c>
      <c r="U601" s="16"/>
      <c r="V601" s="17">
        <v>799</v>
      </c>
      <c r="W601" s="17">
        <f t="shared" si="65"/>
        <v>1598</v>
      </c>
      <c r="X601" s="17">
        <f t="shared" si="66"/>
        <v>83.095999999999989</v>
      </c>
      <c r="Y601" s="17">
        <v>804</v>
      </c>
      <c r="Z601" s="17">
        <f t="shared" si="67"/>
        <v>1</v>
      </c>
      <c r="AA601" s="17">
        <f t="shared" si="68"/>
        <v>6.6666666666666693E-2</v>
      </c>
      <c r="AB601" s="17" t="e">
        <f>+VLOOKUP(E601,[1]base!M:N,2,0)</f>
        <v>#N/A</v>
      </c>
      <c r="AC601" s="17" t="e">
        <f>+VLOOKUP(E601,[1]base!M:Q,5,0)</f>
        <v>#N/A</v>
      </c>
      <c r="AD601" s="18" t="e">
        <f>+VLOOKUP(E601,[1]base!M:P,4,0)</f>
        <v>#N/A</v>
      </c>
      <c r="AE601" s="19" t="e">
        <f t="shared" si="69"/>
        <v>#N/A</v>
      </c>
    </row>
    <row r="602" spans="1:31" x14ac:dyDescent="0.25">
      <c r="A602" s="21"/>
      <c r="B602" s="22"/>
      <c r="E602" s="23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5"/>
      <c r="U602" s="25"/>
      <c r="V602" s="24"/>
      <c r="W602" s="24"/>
      <c r="X602" s="24"/>
      <c r="Y602" s="24"/>
      <c r="Z602" s="24"/>
      <c r="AA602" s="26"/>
      <c r="AB602" s="24"/>
      <c r="AC602" s="24"/>
      <c r="AD602" s="27"/>
      <c r="AE602" s="28"/>
    </row>
    <row r="604" spans="1:31" x14ac:dyDescent="0.25">
      <c r="AA604" s="29">
        <f>SUM(AA2:AA603)</f>
        <v>49.200000000000784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Mehdi Maatoug</dc:creator>
  <cp:lastModifiedBy>Mohamed Mehdi Maatoug</cp:lastModifiedBy>
  <dcterms:created xsi:type="dcterms:W3CDTF">2026-09-03T15:14:55Z</dcterms:created>
  <dcterms:modified xsi:type="dcterms:W3CDTF">2026-09-03T15:15:52Z</dcterms:modified>
</cp:coreProperties>
</file>