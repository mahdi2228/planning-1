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HK\Desktop\preparation planning laquage\"/>
    </mc:Choice>
  </mc:AlternateContent>
  <xr:revisionPtr revIDLastSave="0" documentId="13_ncr:1_{1C5807A3-9633-4277-A24F-5065B8241EE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extraction ax" sheetId="1" r:id="rId1"/>
    <sheet name="preparation planning v0" sheetId="3" r:id="rId2"/>
    <sheet name="preparation pour planning v1" sheetId="2" r:id="rId3"/>
    <sheet name="preparation pour planning VF" sheetId="4" r:id="rId4"/>
    <sheet name="base couleur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52" i="4" l="1"/>
  <c r="AB552" i="4"/>
  <c r="AE552" i="4" s="1"/>
  <c r="Y552" i="4"/>
  <c r="Z552" i="4" s="1"/>
  <c r="AA552" i="4" s="1"/>
  <c r="V552" i="4"/>
  <c r="W552" i="4" s="1"/>
  <c r="X552" i="4" s="1"/>
  <c r="F552" i="4"/>
  <c r="G552" i="4" s="1"/>
  <c r="E552" i="4"/>
  <c r="AC552" i="4" s="1"/>
  <c r="Y551" i="4"/>
  <c r="Z551" i="4" s="1"/>
  <c r="AA551" i="4" s="1"/>
  <c r="V551" i="4"/>
  <c r="W551" i="4" s="1"/>
  <c r="X551" i="4" s="1"/>
  <c r="G551" i="4"/>
  <c r="F551" i="4"/>
  <c r="E551" i="4"/>
  <c r="AD551" i="4" s="1"/>
  <c r="AB550" i="4"/>
  <c r="Y550" i="4"/>
  <c r="Z550" i="4" s="1"/>
  <c r="AA550" i="4" s="1"/>
  <c r="F550" i="4"/>
  <c r="G550" i="4" s="1"/>
  <c r="E550" i="4"/>
  <c r="AC550" i="4" s="1"/>
  <c r="AD549" i="4"/>
  <c r="Y549" i="4"/>
  <c r="Z549" i="4" s="1"/>
  <c r="AA549" i="4" s="1"/>
  <c r="G549" i="4"/>
  <c r="F549" i="4"/>
  <c r="E549" i="4"/>
  <c r="AB549" i="4" s="1"/>
  <c r="AD548" i="4"/>
  <c r="V548" i="4"/>
  <c r="W548" i="4" s="1"/>
  <c r="X548" i="4" s="1"/>
  <c r="F548" i="4"/>
  <c r="G548" i="4" s="1"/>
  <c r="E548" i="4"/>
  <c r="Y548" i="4" s="1"/>
  <c r="Z548" i="4" s="1"/>
  <c r="AA548" i="4" s="1"/>
  <c r="Y547" i="4"/>
  <c r="Z547" i="4" s="1"/>
  <c r="AA547" i="4" s="1"/>
  <c r="G547" i="4"/>
  <c r="F547" i="4"/>
  <c r="E547" i="4"/>
  <c r="AD546" i="4"/>
  <c r="AC546" i="4"/>
  <c r="AB546" i="4"/>
  <c r="Y546" i="4"/>
  <c r="Z546" i="4" s="1"/>
  <c r="AA546" i="4" s="1"/>
  <c r="V546" i="4"/>
  <c r="W546" i="4" s="1"/>
  <c r="X546" i="4" s="1"/>
  <c r="F546" i="4"/>
  <c r="G546" i="4" s="1"/>
  <c r="E546" i="4"/>
  <c r="AD545" i="4"/>
  <c r="Z545" i="4"/>
  <c r="AA545" i="4" s="1"/>
  <c r="Y545" i="4"/>
  <c r="V545" i="4"/>
  <c r="W545" i="4" s="1"/>
  <c r="X545" i="4" s="1"/>
  <c r="G545" i="4"/>
  <c r="F545" i="4"/>
  <c r="E545" i="4"/>
  <c r="AC545" i="4" s="1"/>
  <c r="AD544" i="4"/>
  <c r="AB544" i="4"/>
  <c r="AE544" i="4" s="1"/>
  <c r="F544" i="4"/>
  <c r="G544" i="4" s="1"/>
  <c r="E544" i="4"/>
  <c r="AD543" i="4"/>
  <c r="AC543" i="4"/>
  <c r="Y543" i="4"/>
  <c r="Z543" i="4" s="1"/>
  <c r="AA543" i="4" s="1"/>
  <c r="V543" i="4"/>
  <c r="W543" i="4" s="1"/>
  <c r="X543" i="4" s="1"/>
  <c r="G543" i="4"/>
  <c r="F543" i="4"/>
  <c r="E543" i="4"/>
  <c r="AB543" i="4" s="1"/>
  <c r="AB542" i="4"/>
  <c r="Y542" i="4"/>
  <c r="Z542" i="4" s="1"/>
  <c r="AA542" i="4" s="1"/>
  <c r="F542" i="4"/>
  <c r="G542" i="4" s="1"/>
  <c r="E542" i="4"/>
  <c r="V541" i="4"/>
  <c r="W541" i="4" s="1"/>
  <c r="X541" i="4" s="1"/>
  <c r="G541" i="4"/>
  <c r="F541" i="4"/>
  <c r="E541" i="4"/>
  <c r="AC541" i="4" s="1"/>
  <c r="F540" i="4"/>
  <c r="G540" i="4" s="1"/>
  <c r="E540" i="4"/>
  <c r="G539" i="4"/>
  <c r="F539" i="4"/>
  <c r="E539" i="4"/>
  <c r="AD538" i="4"/>
  <c r="AE538" i="4" s="1"/>
  <c r="AC538" i="4"/>
  <c r="AB538" i="4"/>
  <c r="Y538" i="4"/>
  <c r="Z538" i="4" s="1"/>
  <c r="AA538" i="4" s="1"/>
  <c r="V538" i="4"/>
  <c r="W538" i="4" s="1"/>
  <c r="X538" i="4" s="1"/>
  <c r="F538" i="4"/>
  <c r="G538" i="4" s="1"/>
  <c r="E538" i="4"/>
  <c r="G537" i="4"/>
  <c r="F537" i="4"/>
  <c r="E537" i="4"/>
  <c r="Y536" i="4"/>
  <c r="Z536" i="4" s="1"/>
  <c r="AA536" i="4" s="1"/>
  <c r="V536" i="4"/>
  <c r="W536" i="4" s="1"/>
  <c r="X536" i="4" s="1"/>
  <c r="F536" i="4"/>
  <c r="G536" i="4" s="1"/>
  <c r="E536" i="4"/>
  <c r="AC536" i="4" s="1"/>
  <c r="AD535" i="4"/>
  <c r="AC535" i="4"/>
  <c r="Y535" i="4"/>
  <c r="Z535" i="4" s="1"/>
  <c r="AA535" i="4" s="1"/>
  <c r="F535" i="4"/>
  <c r="G535" i="4" s="1"/>
  <c r="E535" i="4"/>
  <c r="AB535" i="4" s="1"/>
  <c r="AD534" i="4"/>
  <c r="AC534" i="4"/>
  <c r="Y534" i="4"/>
  <c r="Z534" i="4" s="1"/>
  <c r="AA534" i="4" s="1"/>
  <c r="V534" i="4"/>
  <c r="W534" i="4" s="1"/>
  <c r="X534" i="4" s="1"/>
  <c r="F534" i="4"/>
  <c r="G534" i="4" s="1"/>
  <c r="E534" i="4"/>
  <c r="AB534" i="4" s="1"/>
  <c r="AC533" i="4"/>
  <c r="AA533" i="4"/>
  <c r="Y533" i="4"/>
  <c r="Z533" i="4" s="1"/>
  <c r="G533" i="4"/>
  <c r="F533" i="4"/>
  <c r="E533" i="4"/>
  <c r="AD532" i="4"/>
  <c r="AC532" i="4"/>
  <c r="X532" i="4"/>
  <c r="W532" i="4"/>
  <c r="V532" i="4"/>
  <c r="G532" i="4"/>
  <c r="F532" i="4"/>
  <c r="E532" i="4"/>
  <c r="Y532" i="4" s="1"/>
  <c r="Z532" i="4" s="1"/>
  <c r="AA532" i="4" s="1"/>
  <c r="F531" i="4"/>
  <c r="G531" i="4" s="1"/>
  <c r="E531" i="4"/>
  <c r="AB531" i="4" s="1"/>
  <c r="AD530" i="4"/>
  <c r="AC530" i="4"/>
  <c r="AB530" i="4"/>
  <c r="AE530" i="4" s="1"/>
  <c r="Y530" i="4"/>
  <c r="Z530" i="4" s="1"/>
  <c r="AA530" i="4" s="1"/>
  <c r="V530" i="4"/>
  <c r="W530" i="4" s="1"/>
  <c r="X530" i="4" s="1"/>
  <c r="G530" i="4"/>
  <c r="F530" i="4"/>
  <c r="E530" i="4"/>
  <c r="F529" i="4"/>
  <c r="G529" i="4" s="1"/>
  <c r="E529" i="4"/>
  <c r="AB528" i="4"/>
  <c r="F528" i="4"/>
  <c r="G528" i="4" s="1"/>
  <c r="E528" i="4"/>
  <c r="Y527" i="4"/>
  <c r="Z527" i="4" s="1"/>
  <c r="AA527" i="4" s="1"/>
  <c r="V527" i="4"/>
  <c r="W527" i="4" s="1"/>
  <c r="X527" i="4" s="1"/>
  <c r="F527" i="4"/>
  <c r="G527" i="4" s="1"/>
  <c r="E527" i="4"/>
  <c r="AD527" i="4" s="1"/>
  <c r="F526" i="4"/>
  <c r="G526" i="4" s="1"/>
  <c r="E526" i="4"/>
  <c r="AD526" i="4" s="1"/>
  <c r="AD525" i="4"/>
  <c r="AE525" i="4" s="1"/>
  <c r="Y525" i="4"/>
  <c r="Z525" i="4" s="1"/>
  <c r="AA525" i="4" s="1"/>
  <c r="V525" i="4"/>
  <c r="W525" i="4" s="1"/>
  <c r="X525" i="4" s="1"/>
  <c r="G525" i="4"/>
  <c r="F525" i="4"/>
  <c r="E525" i="4"/>
  <c r="AB525" i="4" s="1"/>
  <c r="AD524" i="4"/>
  <c r="AC524" i="4"/>
  <c r="F524" i="4"/>
  <c r="G524" i="4" s="1"/>
  <c r="E524" i="4"/>
  <c r="AC523" i="4"/>
  <c r="Y523" i="4"/>
  <c r="Z523" i="4" s="1"/>
  <c r="AA523" i="4" s="1"/>
  <c r="F523" i="4"/>
  <c r="G523" i="4" s="1"/>
  <c r="E523" i="4"/>
  <c r="AD522" i="4"/>
  <c r="AC522" i="4"/>
  <c r="AB522" i="4"/>
  <c r="Y522" i="4"/>
  <c r="Z522" i="4" s="1"/>
  <c r="AA522" i="4" s="1"/>
  <c r="V522" i="4"/>
  <c r="W522" i="4" s="1"/>
  <c r="X522" i="4" s="1"/>
  <c r="F522" i="4"/>
  <c r="G522" i="4" s="1"/>
  <c r="E522" i="4"/>
  <c r="AD521" i="4"/>
  <c r="AC521" i="4"/>
  <c r="Y521" i="4"/>
  <c r="Z521" i="4" s="1"/>
  <c r="AA521" i="4" s="1"/>
  <c r="V521" i="4"/>
  <c r="W521" i="4" s="1"/>
  <c r="X521" i="4" s="1"/>
  <c r="F521" i="4"/>
  <c r="G521" i="4" s="1"/>
  <c r="E521" i="4"/>
  <c r="AB521" i="4" s="1"/>
  <c r="Y520" i="4"/>
  <c r="Z520" i="4" s="1"/>
  <c r="AA520" i="4" s="1"/>
  <c r="F520" i="4"/>
  <c r="G520" i="4" s="1"/>
  <c r="E520" i="4"/>
  <c r="V519" i="4"/>
  <c r="W519" i="4" s="1"/>
  <c r="X519" i="4" s="1"/>
  <c r="G519" i="4"/>
  <c r="F519" i="4"/>
  <c r="E519" i="4"/>
  <c r="AB519" i="4" s="1"/>
  <c r="Y518" i="4"/>
  <c r="Z518" i="4" s="1"/>
  <c r="AA518" i="4" s="1"/>
  <c r="V518" i="4"/>
  <c r="W518" i="4" s="1"/>
  <c r="X518" i="4" s="1"/>
  <c r="F518" i="4"/>
  <c r="G518" i="4" s="1"/>
  <c r="E518" i="4"/>
  <c r="AD518" i="4" s="1"/>
  <c r="V517" i="4"/>
  <c r="W517" i="4" s="1"/>
  <c r="X517" i="4" s="1"/>
  <c r="G517" i="4"/>
  <c r="F517" i="4"/>
  <c r="E517" i="4"/>
  <c r="X516" i="4"/>
  <c r="V516" i="4"/>
  <c r="W516" i="4" s="1"/>
  <c r="F516" i="4"/>
  <c r="G516" i="4" s="1"/>
  <c r="E516" i="4"/>
  <c r="Y516" i="4" s="1"/>
  <c r="Z516" i="4" s="1"/>
  <c r="AA516" i="4" s="1"/>
  <c r="G515" i="4"/>
  <c r="F515" i="4"/>
  <c r="E515" i="4"/>
  <c r="AB515" i="4" s="1"/>
  <c r="AD514" i="4"/>
  <c r="AC514" i="4"/>
  <c r="AB514" i="4"/>
  <c r="Y514" i="4"/>
  <c r="Z514" i="4" s="1"/>
  <c r="AA514" i="4" s="1"/>
  <c r="V514" i="4"/>
  <c r="W514" i="4" s="1"/>
  <c r="X514" i="4" s="1"/>
  <c r="G514" i="4"/>
  <c r="F514" i="4"/>
  <c r="E514" i="4"/>
  <c r="AC513" i="4"/>
  <c r="AB513" i="4"/>
  <c r="G513" i="4"/>
  <c r="F513" i="4"/>
  <c r="E513" i="4"/>
  <c r="AD513" i="4" s="1"/>
  <c r="AD512" i="4"/>
  <c r="Y512" i="4"/>
  <c r="Z512" i="4" s="1"/>
  <c r="AA512" i="4" s="1"/>
  <c r="V512" i="4"/>
  <c r="W512" i="4" s="1"/>
  <c r="X512" i="4" s="1"/>
  <c r="F512" i="4"/>
  <c r="G512" i="4" s="1"/>
  <c r="E512" i="4"/>
  <c r="AC512" i="4" s="1"/>
  <c r="AC511" i="4"/>
  <c r="AB511" i="4"/>
  <c r="Y511" i="4"/>
  <c r="Z511" i="4" s="1"/>
  <c r="AA511" i="4" s="1"/>
  <c r="F511" i="4"/>
  <c r="G511" i="4" s="1"/>
  <c r="E511" i="4"/>
  <c r="AD510" i="4"/>
  <c r="AC510" i="4"/>
  <c r="AB510" i="4"/>
  <c r="AE510" i="4" s="1"/>
  <c r="V510" i="4"/>
  <c r="W510" i="4" s="1"/>
  <c r="X510" i="4" s="1"/>
  <c r="G510" i="4"/>
  <c r="F510" i="4"/>
  <c r="E510" i="4"/>
  <c r="Y510" i="4" s="1"/>
  <c r="Z510" i="4" s="1"/>
  <c r="AA510" i="4" s="1"/>
  <c r="Y509" i="4"/>
  <c r="Z509" i="4" s="1"/>
  <c r="AA509" i="4" s="1"/>
  <c r="G509" i="4"/>
  <c r="F509" i="4"/>
  <c r="E509" i="4"/>
  <c r="AC508" i="4"/>
  <c r="AB508" i="4"/>
  <c r="V508" i="4"/>
  <c r="W508" i="4" s="1"/>
  <c r="X508" i="4" s="1"/>
  <c r="G508" i="4"/>
  <c r="F508" i="4"/>
  <c r="E508" i="4"/>
  <c r="Y508" i="4" s="1"/>
  <c r="Z508" i="4" s="1"/>
  <c r="AA508" i="4" s="1"/>
  <c r="Y507" i="4"/>
  <c r="Z507" i="4" s="1"/>
  <c r="AA507" i="4" s="1"/>
  <c r="F507" i="4"/>
  <c r="G507" i="4" s="1"/>
  <c r="E507" i="4"/>
  <c r="AD506" i="4"/>
  <c r="AC506" i="4"/>
  <c r="AB506" i="4"/>
  <c r="Y506" i="4"/>
  <c r="Z506" i="4" s="1"/>
  <c r="AA506" i="4" s="1"/>
  <c r="V506" i="4"/>
  <c r="W506" i="4" s="1"/>
  <c r="X506" i="4" s="1"/>
  <c r="F506" i="4"/>
  <c r="G506" i="4" s="1"/>
  <c r="E506" i="4"/>
  <c r="Y505" i="4"/>
  <c r="Z505" i="4" s="1"/>
  <c r="AA505" i="4" s="1"/>
  <c r="V505" i="4"/>
  <c r="W505" i="4" s="1"/>
  <c r="X505" i="4" s="1"/>
  <c r="G505" i="4"/>
  <c r="F505" i="4"/>
  <c r="E505" i="4"/>
  <c r="AD505" i="4" s="1"/>
  <c r="AD504" i="4"/>
  <c r="AE504" i="4" s="1"/>
  <c r="AB504" i="4"/>
  <c r="F504" i="4"/>
  <c r="G504" i="4" s="1"/>
  <c r="E504" i="4"/>
  <c r="AD503" i="4"/>
  <c r="AC503" i="4"/>
  <c r="Y503" i="4"/>
  <c r="Z503" i="4" s="1"/>
  <c r="AA503" i="4" s="1"/>
  <c r="V503" i="4"/>
  <c r="W503" i="4" s="1"/>
  <c r="X503" i="4" s="1"/>
  <c r="G503" i="4"/>
  <c r="F503" i="4"/>
  <c r="E503" i="4"/>
  <c r="AB503" i="4" s="1"/>
  <c r="AC502" i="4"/>
  <c r="AB502" i="4"/>
  <c r="Y502" i="4"/>
  <c r="Z502" i="4" s="1"/>
  <c r="AA502" i="4" s="1"/>
  <c r="F502" i="4"/>
  <c r="G502" i="4" s="1"/>
  <c r="E502" i="4"/>
  <c r="AD501" i="4"/>
  <c r="AC501" i="4"/>
  <c r="Y501" i="4"/>
  <c r="Z501" i="4" s="1"/>
  <c r="AA501" i="4" s="1"/>
  <c r="V501" i="4"/>
  <c r="W501" i="4" s="1"/>
  <c r="X501" i="4" s="1"/>
  <c r="G501" i="4"/>
  <c r="F501" i="4"/>
  <c r="E501" i="4"/>
  <c r="AB501" i="4" s="1"/>
  <c r="AE501" i="4" s="1"/>
  <c r="AD500" i="4"/>
  <c r="AB500" i="4"/>
  <c r="F500" i="4"/>
  <c r="G500" i="4" s="1"/>
  <c r="E500" i="4"/>
  <c r="AC499" i="4"/>
  <c r="AB499" i="4"/>
  <c r="Y499" i="4"/>
  <c r="Z499" i="4" s="1"/>
  <c r="AA499" i="4" s="1"/>
  <c r="F499" i="4"/>
  <c r="G499" i="4" s="1"/>
  <c r="E499" i="4"/>
  <c r="AD498" i="4"/>
  <c r="AC498" i="4"/>
  <c r="AB498" i="4"/>
  <c r="AE498" i="4" s="1"/>
  <c r="Y498" i="4"/>
  <c r="Z498" i="4" s="1"/>
  <c r="AA498" i="4" s="1"/>
  <c r="V498" i="4"/>
  <c r="W498" i="4" s="1"/>
  <c r="X498" i="4" s="1"/>
  <c r="F498" i="4"/>
  <c r="G498" i="4" s="1"/>
  <c r="E498" i="4"/>
  <c r="V497" i="4"/>
  <c r="W497" i="4" s="1"/>
  <c r="X497" i="4" s="1"/>
  <c r="G497" i="4"/>
  <c r="F497" i="4"/>
  <c r="E497" i="4"/>
  <c r="Y497" i="4" s="1"/>
  <c r="Z497" i="4" s="1"/>
  <c r="AA497" i="4" s="1"/>
  <c r="V496" i="4"/>
  <c r="W496" i="4" s="1"/>
  <c r="X496" i="4" s="1"/>
  <c r="F496" i="4"/>
  <c r="G496" i="4" s="1"/>
  <c r="E496" i="4"/>
  <c r="AB496" i="4" s="1"/>
  <c r="AC495" i="4"/>
  <c r="Y495" i="4"/>
  <c r="Z495" i="4" s="1"/>
  <c r="AA495" i="4" s="1"/>
  <c r="V495" i="4"/>
  <c r="W495" i="4" s="1"/>
  <c r="X495" i="4" s="1"/>
  <c r="F495" i="4"/>
  <c r="G495" i="4" s="1"/>
  <c r="E495" i="4"/>
  <c r="AD495" i="4" s="1"/>
  <c r="AD494" i="4"/>
  <c r="AC494" i="4"/>
  <c r="Y494" i="4"/>
  <c r="Z494" i="4" s="1"/>
  <c r="AA494" i="4" s="1"/>
  <c r="V494" i="4"/>
  <c r="W494" i="4" s="1"/>
  <c r="X494" i="4" s="1"/>
  <c r="G494" i="4"/>
  <c r="F494" i="4"/>
  <c r="E494" i="4"/>
  <c r="AB494" i="4" s="1"/>
  <c r="AE494" i="4" s="1"/>
  <c r="AC493" i="4"/>
  <c r="G493" i="4"/>
  <c r="F493" i="4"/>
  <c r="E493" i="4"/>
  <c r="AD492" i="4"/>
  <c r="AC492" i="4"/>
  <c r="V492" i="4"/>
  <c r="W492" i="4" s="1"/>
  <c r="X492" i="4" s="1"/>
  <c r="F492" i="4"/>
  <c r="G492" i="4" s="1"/>
  <c r="E492" i="4"/>
  <c r="Y492" i="4" s="1"/>
  <c r="Z492" i="4" s="1"/>
  <c r="AA492" i="4" s="1"/>
  <c r="V491" i="4"/>
  <c r="W491" i="4" s="1"/>
  <c r="X491" i="4" s="1"/>
  <c r="G491" i="4"/>
  <c r="F491" i="4"/>
  <c r="E491" i="4"/>
  <c r="AB491" i="4" s="1"/>
  <c r="Y490" i="4"/>
  <c r="Z490" i="4" s="1"/>
  <c r="AA490" i="4" s="1"/>
  <c r="V490" i="4"/>
  <c r="W490" i="4" s="1"/>
  <c r="X490" i="4" s="1"/>
  <c r="G490" i="4"/>
  <c r="F490" i="4"/>
  <c r="E490" i="4"/>
  <c r="F489" i="4"/>
  <c r="G489" i="4" s="1"/>
  <c r="E489" i="4"/>
  <c r="AC488" i="4"/>
  <c r="Y488" i="4"/>
  <c r="Z488" i="4" s="1"/>
  <c r="AA488" i="4" s="1"/>
  <c r="G488" i="4"/>
  <c r="F488" i="4"/>
  <c r="E488" i="4"/>
  <c r="AD487" i="4"/>
  <c r="AE487" i="4" s="1"/>
  <c r="AC487" i="4"/>
  <c r="AB487" i="4"/>
  <c r="Y487" i="4"/>
  <c r="Z487" i="4" s="1"/>
  <c r="AA487" i="4" s="1"/>
  <c r="V487" i="4"/>
  <c r="W487" i="4" s="1"/>
  <c r="X487" i="4" s="1"/>
  <c r="G487" i="4"/>
  <c r="F487" i="4"/>
  <c r="E487" i="4"/>
  <c r="AD486" i="4"/>
  <c r="AC486" i="4"/>
  <c r="Y486" i="4"/>
  <c r="Z486" i="4" s="1"/>
  <c r="AA486" i="4" s="1"/>
  <c r="V486" i="4"/>
  <c r="W486" i="4" s="1"/>
  <c r="X486" i="4" s="1"/>
  <c r="F486" i="4"/>
  <c r="G486" i="4" s="1"/>
  <c r="E486" i="4"/>
  <c r="AB486" i="4" s="1"/>
  <c r="V485" i="4"/>
  <c r="W485" i="4" s="1"/>
  <c r="X485" i="4" s="1"/>
  <c r="F485" i="4"/>
  <c r="G485" i="4" s="1"/>
  <c r="E485" i="4"/>
  <c r="AC485" i="4" s="1"/>
  <c r="Y484" i="4"/>
  <c r="Z484" i="4" s="1"/>
  <c r="AA484" i="4" s="1"/>
  <c r="V484" i="4"/>
  <c r="W484" i="4" s="1"/>
  <c r="X484" i="4" s="1"/>
  <c r="G484" i="4"/>
  <c r="F484" i="4"/>
  <c r="E484" i="4"/>
  <c r="AD484" i="4" s="1"/>
  <c r="AB483" i="4"/>
  <c r="Y483" i="4"/>
  <c r="Z483" i="4" s="1"/>
  <c r="AA483" i="4" s="1"/>
  <c r="F483" i="4"/>
  <c r="G483" i="4" s="1"/>
  <c r="E483" i="4"/>
  <c r="AD483" i="4" s="1"/>
  <c r="AD482" i="4"/>
  <c r="G482" i="4"/>
  <c r="F482" i="4"/>
  <c r="E482" i="4"/>
  <c r="V482" i="4" s="1"/>
  <c r="W482" i="4" s="1"/>
  <c r="X482" i="4" s="1"/>
  <c r="V481" i="4"/>
  <c r="W481" i="4" s="1"/>
  <c r="X481" i="4" s="1"/>
  <c r="F481" i="4"/>
  <c r="G481" i="4" s="1"/>
  <c r="E481" i="4"/>
  <c r="AB481" i="4" s="1"/>
  <c r="G480" i="4"/>
  <c r="F480" i="4"/>
  <c r="E480" i="4"/>
  <c r="AB480" i="4" s="1"/>
  <c r="AD479" i="4"/>
  <c r="AC479" i="4"/>
  <c r="AB479" i="4"/>
  <c r="AE479" i="4" s="1"/>
  <c r="Y479" i="4"/>
  <c r="Z479" i="4" s="1"/>
  <c r="AA479" i="4" s="1"/>
  <c r="V479" i="4"/>
  <c r="W479" i="4" s="1"/>
  <c r="X479" i="4" s="1"/>
  <c r="G479" i="4"/>
  <c r="F479" i="4"/>
  <c r="E479" i="4"/>
  <c r="AD478" i="4"/>
  <c r="AB478" i="4"/>
  <c r="AE478" i="4" s="1"/>
  <c r="Z478" i="4"/>
  <c r="AA478" i="4" s="1"/>
  <c r="V478" i="4"/>
  <c r="W478" i="4" s="1"/>
  <c r="X478" i="4" s="1"/>
  <c r="G478" i="4"/>
  <c r="F478" i="4"/>
  <c r="E478" i="4"/>
  <c r="Y478" i="4" s="1"/>
  <c r="AD477" i="4"/>
  <c r="Y477" i="4"/>
  <c r="Z477" i="4" s="1"/>
  <c r="AA477" i="4" s="1"/>
  <c r="V477" i="4"/>
  <c r="W477" i="4" s="1"/>
  <c r="X477" i="4" s="1"/>
  <c r="F477" i="4"/>
  <c r="G477" i="4" s="1"/>
  <c r="E477" i="4"/>
  <c r="AC477" i="4" s="1"/>
  <c r="AB476" i="4"/>
  <c r="F476" i="4"/>
  <c r="G476" i="4" s="1"/>
  <c r="E476" i="4"/>
  <c r="AD475" i="4"/>
  <c r="Y475" i="4"/>
  <c r="Z475" i="4" s="1"/>
  <c r="AA475" i="4" s="1"/>
  <c r="W475" i="4"/>
  <c r="X475" i="4" s="1"/>
  <c r="V475" i="4"/>
  <c r="G475" i="4"/>
  <c r="F475" i="4"/>
  <c r="E475" i="4"/>
  <c r="AB475" i="4" s="1"/>
  <c r="AE475" i="4" s="1"/>
  <c r="AB474" i="4"/>
  <c r="F474" i="4"/>
  <c r="G474" i="4" s="1"/>
  <c r="E474" i="4"/>
  <c r="AC473" i="4"/>
  <c r="Y473" i="4"/>
  <c r="Z473" i="4" s="1"/>
  <c r="AA473" i="4" s="1"/>
  <c r="G473" i="4"/>
  <c r="F473" i="4"/>
  <c r="E473" i="4"/>
  <c r="AD472" i="4"/>
  <c r="AC472" i="4"/>
  <c r="AB472" i="4"/>
  <c r="AE472" i="4" s="1"/>
  <c r="Y472" i="4"/>
  <c r="Z472" i="4" s="1"/>
  <c r="AA472" i="4" s="1"/>
  <c r="V472" i="4"/>
  <c r="W472" i="4" s="1"/>
  <c r="X472" i="4" s="1"/>
  <c r="F472" i="4"/>
  <c r="G472" i="4" s="1"/>
  <c r="E472" i="4"/>
  <c r="AD471" i="4"/>
  <c r="AC471" i="4"/>
  <c r="Y471" i="4"/>
  <c r="Z471" i="4" s="1"/>
  <c r="AA471" i="4" s="1"/>
  <c r="V471" i="4"/>
  <c r="W471" i="4" s="1"/>
  <c r="X471" i="4" s="1"/>
  <c r="F471" i="4"/>
  <c r="G471" i="4" s="1"/>
  <c r="E471" i="4"/>
  <c r="AB471" i="4" s="1"/>
  <c r="F470" i="4"/>
  <c r="G470" i="4" s="1"/>
  <c r="E470" i="4"/>
  <c r="AD469" i="4"/>
  <c r="G469" i="4"/>
  <c r="F469" i="4"/>
  <c r="E469" i="4"/>
  <c r="V468" i="4"/>
  <c r="W468" i="4" s="1"/>
  <c r="X468" i="4" s="1"/>
  <c r="F468" i="4"/>
  <c r="G468" i="4" s="1"/>
  <c r="E468" i="4"/>
  <c r="AC467" i="4"/>
  <c r="V467" i="4"/>
  <c r="W467" i="4" s="1"/>
  <c r="X467" i="4" s="1"/>
  <c r="G467" i="4"/>
  <c r="F467" i="4"/>
  <c r="E467" i="4"/>
  <c r="F466" i="4"/>
  <c r="G466" i="4" s="1"/>
  <c r="E466" i="4"/>
  <c r="AC465" i="4"/>
  <c r="AB465" i="4"/>
  <c r="F465" i="4"/>
  <c r="G465" i="4" s="1"/>
  <c r="E465" i="4"/>
  <c r="AD464" i="4"/>
  <c r="AC464" i="4"/>
  <c r="AB464" i="4"/>
  <c r="Y464" i="4"/>
  <c r="Z464" i="4" s="1"/>
  <c r="AA464" i="4" s="1"/>
  <c r="V464" i="4"/>
  <c r="W464" i="4" s="1"/>
  <c r="X464" i="4" s="1"/>
  <c r="G464" i="4"/>
  <c r="F464" i="4"/>
  <c r="E464" i="4"/>
  <c r="AC463" i="4"/>
  <c r="F463" i="4"/>
  <c r="G463" i="4" s="1"/>
  <c r="E463" i="4"/>
  <c r="AD462" i="4"/>
  <c r="Y462" i="4"/>
  <c r="Z462" i="4" s="1"/>
  <c r="AA462" i="4" s="1"/>
  <c r="V462" i="4"/>
  <c r="W462" i="4" s="1"/>
  <c r="X462" i="4" s="1"/>
  <c r="F462" i="4"/>
  <c r="G462" i="4" s="1"/>
  <c r="E462" i="4"/>
  <c r="AC462" i="4" s="1"/>
  <c r="AD461" i="4"/>
  <c r="AC461" i="4"/>
  <c r="F461" i="4"/>
  <c r="G461" i="4" s="1"/>
  <c r="E461" i="4"/>
  <c r="AB461" i="4" s="1"/>
  <c r="AB460" i="4"/>
  <c r="Y460" i="4"/>
  <c r="Z460" i="4" s="1"/>
  <c r="AA460" i="4" s="1"/>
  <c r="V460" i="4"/>
  <c r="W460" i="4" s="1"/>
  <c r="X460" i="4" s="1"/>
  <c r="G460" i="4"/>
  <c r="F460" i="4"/>
  <c r="E460" i="4"/>
  <c r="AD460" i="4" s="1"/>
  <c r="AD459" i="4"/>
  <c r="Y459" i="4"/>
  <c r="Z459" i="4" s="1"/>
  <c r="AA459" i="4" s="1"/>
  <c r="G459" i="4"/>
  <c r="F459" i="4"/>
  <c r="E459" i="4"/>
  <c r="AD457" i="4"/>
  <c r="AC457" i="4"/>
  <c r="AB457" i="4"/>
  <c r="AE457" i="4" s="1"/>
  <c r="G457" i="4"/>
  <c r="F457" i="4"/>
  <c r="E457" i="4"/>
  <c r="AC456" i="4"/>
  <c r="F456" i="4"/>
  <c r="G456" i="4" s="1"/>
  <c r="E456" i="4"/>
  <c r="AD455" i="4"/>
  <c r="AC455" i="4"/>
  <c r="AB455" i="4"/>
  <c r="Y455" i="4"/>
  <c r="Z455" i="4" s="1"/>
  <c r="AA455" i="4" s="1"/>
  <c r="V455" i="4"/>
  <c r="W455" i="4" s="1"/>
  <c r="X455" i="4" s="1"/>
  <c r="F455" i="4"/>
  <c r="G455" i="4" s="1"/>
  <c r="E455" i="4"/>
  <c r="AC454" i="4"/>
  <c r="AB454" i="4"/>
  <c r="F454" i="4"/>
  <c r="G454" i="4" s="1"/>
  <c r="E454" i="4"/>
  <c r="AD453" i="4"/>
  <c r="V453" i="4"/>
  <c r="W453" i="4" s="1"/>
  <c r="X453" i="4" s="1"/>
  <c r="F453" i="4"/>
  <c r="G453" i="4" s="1"/>
  <c r="E453" i="4"/>
  <c r="V452" i="4"/>
  <c r="W452" i="4" s="1"/>
  <c r="X452" i="4" s="1"/>
  <c r="G452" i="4"/>
  <c r="F452" i="4"/>
  <c r="E452" i="4"/>
  <c r="AB452" i="4" s="1"/>
  <c r="G451" i="4"/>
  <c r="F451" i="4"/>
  <c r="E451" i="4"/>
  <c r="AD450" i="4"/>
  <c r="AC450" i="4"/>
  <c r="Y450" i="4"/>
  <c r="Z450" i="4" s="1"/>
  <c r="AA450" i="4" s="1"/>
  <c r="V450" i="4"/>
  <c r="W450" i="4" s="1"/>
  <c r="X450" i="4" s="1"/>
  <c r="G450" i="4"/>
  <c r="F450" i="4"/>
  <c r="E450" i="4"/>
  <c r="AB450" i="4" s="1"/>
  <c r="AE450" i="4" s="1"/>
  <c r="F449" i="4"/>
  <c r="G449" i="4" s="1"/>
  <c r="E449" i="4"/>
  <c r="G448" i="4"/>
  <c r="F448" i="4"/>
  <c r="E448" i="4"/>
  <c r="AD447" i="4"/>
  <c r="AC447" i="4"/>
  <c r="AB447" i="4"/>
  <c r="Y447" i="4"/>
  <c r="Z447" i="4" s="1"/>
  <c r="AA447" i="4" s="1"/>
  <c r="V447" i="4"/>
  <c r="W447" i="4" s="1"/>
  <c r="X447" i="4" s="1"/>
  <c r="F447" i="4"/>
  <c r="G447" i="4" s="1"/>
  <c r="E447" i="4"/>
  <c r="F446" i="4"/>
  <c r="G446" i="4" s="1"/>
  <c r="E446" i="4"/>
  <c r="AB445" i="4"/>
  <c r="Y445" i="4"/>
  <c r="Z445" i="4" s="1"/>
  <c r="AA445" i="4" s="1"/>
  <c r="F445" i="4"/>
  <c r="G445" i="4" s="1"/>
  <c r="E445" i="4"/>
  <c r="F444" i="4"/>
  <c r="G444" i="4" s="1"/>
  <c r="E444" i="4"/>
  <c r="AD443" i="4"/>
  <c r="Y443" i="4"/>
  <c r="Z443" i="4" s="1"/>
  <c r="AA443" i="4" s="1"/>
  <c r="V443" i="4"/>
  <c r="W443" i="4" s="1"/>
  <c r="X443" i="4" s="1"/>
  <c r="G443" i="4"/>
  <c r="F443" i="4"/>
  <c r="E443" i="4"/>
  <c r="AC443" i="4" s="1"/>
  <c r="AD442" i="4"/>
  <c r="Y442" i="4"/>
  <c r="Z442" i="4" s="1"/>
  <c r="AA442" i="4" s="1"/>
  <c r="G442" i="4"/>
  <c r="F442" i="4"/>
  <c r="E442" i="4"/>
  <c r="AB442" i="4" s="1"/>
  <c r="AD441" i="4"/>
  <c r="G441" i="4"/>
  <c r="F441" i="4"/>
  <c r="E441" i="4"/>
  <c r="AB440" i="4"/>
  <c r="Y440" i="4"/>
  <c r="Z440" i="4" s="1"/>
  <c r="AA440" i="4" s="1"/>
  <c r="F440" i="4"/>
  <c r="G440" i="4" s="1"/>
  <c r="E440" i="4"/>
  <c r="AD439" i="4"/>
  <c r="AC439" i="4"/>
  <c r="AB439" i="4"/>
  <c r="Y439" i="4"/>
  <c r="Z439" i="4" s="1"/>
  <c r="AA439" i="4" s="1"/>
  <c r="V439" i="4"/>
  <c r="W439" i="4" s="1"/>
  <c r="X439" i="4" s="1"/>
  <c r="F439" i="4"/>
  <c r="G439" i="4" s="1"/>
  <c r="E439" i="4"/>
  <c r="AC438" i="4"/>
  <c r="Y438" i="4"/>
  <c r="Z438" i="4" s="1"/>
  <c r="AA438" i="4" s="1"/>
  <c r="V438" i="4"/>
  <c r="W438" i="4" s="1"/>
  <c r="X438" i="4" s="1"/>
  <c r="F438" i="4"/>
  <c r="G438" i="4" s="1"/>
  <c r="E438" i="4"/>
  <c r="AB438" i="4" s="1"/>
  <c r="AD437" i="4"/>
  <c r="F437" i="4"/>
  <c r="G437" i="4" s="1"/>
  <c r="E437" i="4"/>
  <c r="AC436" i="4"/>
  <c r="AB436" i="4"/>
  <c r="F436" i="4"/>
  <c r="G436" i="4" s="1"/>
  <c r="E436" i="4"/>
  <c r="V436" i="4" s="1"/>
  <c r="W436" i="4" s="1"/>
  <c r="X436" i="4" s="1"/>
  <c r="F435" i="4"/>
  <c r="G435" i="4" s="1"/>
  <c r="E435" i="4"/>
  <c r="AC434" i="4"/>
  <c r="Y434" i="4"/>
  <c r="Z434" i="4" s="1"/>
  <c r="AA434" i="4" s="1"/>
  <c r="V434" i="4"/>
  <c r="W434" i="4" s="1"/>
  <c r="X434" i="4" s="1"/>
  <c r="G434" i="4"/>
  <c r="F434" i="4"/>
  <c r="E434" i="4"/>
  <c r="AB433" i="4"/>
  <c r="G433" i="4"/>
  <c r="F433" i="4"/>
  <c r="E433" i="4"/>
  <c r="AC433" i="4" s="1"/>
  <c r="AB432" i="4"/>
  <c r="G432" i="4"/>
  <c r="F432" i="4"/>
  <c r="E432" i="4"/>
  <c r="AD431" i="4"/>
  <c r="AC431" i="4"/>
  <c r="AB431" i="4"/>
  <c r="Y431" i="4"/>
  <c r="Z431" i="4" s="1"/>
  <c r="AA431" i="4" s="1"/>
  <c r="V431" i="4"/>
  <c r="W431" i="4" s="1"/>
  <c r="X431" i="4" s="1"/>
  <c r="G431" i="4"/>
  <c r="F431" i="4"/>
  <c r="E431" i="4"/>
  <c r="AD430" i="4"/>
  <c r="Y430" i="4"/>
  <c r="Z430" i="4" s="1"/>
  <c r="AA430" i="4" s="1"/>
  <c r="G430" i="4"/>
  <c r="F430" i="4"/>
  <c r="E430" i="4"/>
  <c r="AD429" i="4"/>
  <c r="Y429" i="4"/>
  <c r="Z429" i="4" s="1"/>
  <c r="AA429" i="4" s="1"/>
  <c r="V429" i="4"/>
  <c r="W429" i="4" s="1"/>
  <c r="X429" i="4" s="1"/>
  <c r="F429" i="4"/>
  <c r="G429" i="4" s="1"/>
  <c r="E429" i="4"/>
  <c r="AC429" i="4" s="1"/>
  <c r="AD428" i="4"/>
  <c r="AC428" i="4"/>
  <c r="AA428" i="4"/>
  <c r="Y428" i="4"/>
  <c r="Z428" i="4" s="1"/>
  <c r="V428" i="4"/>
  <c r="W428" i="4" s="1"/>
  <c r="X428" i="4" s="1"/>
  <c r="G428" i="4"/>
  <c r="F428" i="4"/>
  <c r="E428" i="4"/>
  <c r="AB428" i="4" s="1"/>
  <c r="AE428" i="4" s="1"/>
  <c r="AD427" i="4"/>
  <c r="AC427" i="4"/>
  <c r="F427" i="4"/>
  <c r="G427" i="4" s="1"/>
  <c r="E427" i="4"/>
  <c r="AB427" i="4" s="1"/>
  <c r="G426" i="4"/>
  <c r="F426" i="4"/>
  <c r="E426" i="4"/>
  <c r="V425" i="4"/>
  <c r="W425" i="4" s="1"/>
  <c r="X425" i="4" s="1"/>
  <c r="G425" i="4"/>
  <c r="F425" i="4"/>
  <c r="E425" i="4"/>
  <c r="G424" i="4"/>
  <c r="F424" i="4"/>
  <c r="E424" i="4"/>
  <c r="AD423" i="4"/>
  <c r="AC423" i="4"/>
  <c r="AB423" i="4"/>
  <c r="Y423" i="4"/>
  <c r="Z423" i="4" s="1"/>
  <c r="AA423" i="4" s="1"/>
  <c r="V423" i="4"/>
  <c r="W423" i="4" s="1"/>
  <c r="X423" i="4" s="1"/>
  <c r="G423" i="4"/>
  <c r="F423" i="4"/>
  <c r="E423" i="4"/>
  <c r="AD422" i="4"/>
  <c r="AB422" i="4"/>
  <c r="Y422" i="4"/>
  <c r="Z422" i="4" s="1"/>
  <c r="AA422" i="4" s="1"/>
  <c r="V422" i="4"/>
  <c r="W422" i="4" s="1"/>
  <c r="X422" i="4" s="1"/>
  <c r="F422" i="4"/>
  <c r="G422" i="4" s="1"/>
  <c r="E422" i="4"/>
  <c r="AC422" i="4" s="1"/>
  <c r="AD421" i="4"/>
  <c r="AB421" i="4"/>
  <c r="Y421" i="4"/>
  <c r="Z421" i="4" s="1"/>
  <c r="AA421" i="4" s="1"/>
  <c r="F421" i="4"/>
  <c r="G421" i="4" s="1"/>
  <c r="E421" i="4"/>
  <c r="F420" i="4"/>
  <c r="G420" i="4" s="1"/>
  <c r="E420" i="4"/>
  <c r="AD419" i="4"/>
  <c r="AB419" i="4"/>
  <c r="Y419" i="4"/>
  <c r="Z419" i="4" s="1"/>
  <c r="AA419" i="4" s="1"/>
  <c r="V419" i="4"/>
  <c r="W419" i="4" s="1"/>
  <c r="X419" i="4" s="1"/>
  <c r="F419" i="4"/>
  <c r="G419" i="4" s="1"/>
  <c r="E419" i="4"/>
  <c r="AC419" i="4" s="1"/>
  <c r="G418" i="4"/>
  <c r="F418" i="4"/>
  <c r="E418" i="4"/>
  <c r="F417" i="4"/>
  <c r="G417" i="4" s="1"/>
  <c r="E417" i="4"/>
  <c r="Y416" i="4"/>
  <c r="Z416" i="4" s="1"/>
  <c r="AA416" i="4" s="1"/>
  <c r="G416" i="4"/>
  <c r="F416" i="4"/>
  <c r="E416" i="4"/>
  <c r="AD415" i="4"/>
  <c r="AC415" i="4"/>
  <c r="AB415" i="4"/>
  <c r="Y415" i="4"/>
  <c r="Z415" i="4" s="1"/>
  <c r="AA415" i="4" s="1"/>
  <c r="V415" i="4"/>
  <c r="W415" i="4" s="1"/>
  <c r="X415" i="4" s="1"/>
  <c r="G415" i="4"/>
  <c r="F415" i="4"/>
  <c r="E415" i="4"/>
  <c r="AB414" i="4"/>
  <c r="G414" i="4"/>
  <c r="F414" i="4"/>
  <c r="E414" i="4"/>
  <c r="AD414" i="4" s="1"/>
  <c r="AB413" i="4"/>
  <c r="Z413" i="4"/>
  <c r="AA413" i="4" s="1"/>
  <c r="Y413" i="4"/>
  <c r="V413" i="4"/>
  <c r="W413" i="4" s="1"/>
  <c r="X413" i="4" s="1"/>
  <c r="F413" i="4"/>
  <c r="G413" i="4" s="1"/>
  <c r="E413" i="4"/>
  <c r="AC413" i="4" s="1"/>
  <c r="AD412" i="4"/>
  <c r="AC412" i="4"/>
  <c r="AA412" i="4"/>
  <c r="Y412" i="4"/>
  <c r="Z412" i="4" s="1"/>
  <c r="V412" i="4"/>
  <c r="W412" i="4" s="1"/>
  <c r="X412" i="4" s="1"/>
  <c r="G412" i="4"/>
  <c r="F412" i="4"/>
  <c r="E412" i="4"/>
  <c r="AB412" i="4" s="1"/>
  <c r="AD411" i="4"/>
  <c r="AC411" i="4"/>
  <c r="G411" i="4"/>
  <c r="F411" i="4"/>
  <c r="E411" i="4"/>
  <c r="AB411" i="4" s="1"/>
  <c r="AD410" i="4"/>
  <c r="V410" i="4"/>
  <c r="W410" i="4" s="1"/>
  <c r="X410" i="4" s="1"/>
  <c r="G410" i="4"/>
  <c r="F410" i="4"/>
  <c r="E410" i="4"/>
  <c r="AB410" i="4" s="1"/>
  <c r="AD409" i="4"/>
  <c r="AB409" i="4"/>
  <c r="F409" i="4"/>
  <c r="G409" i="4" s="1"/>
  <c r="E409" i="4"/>
  <c r="AC408" i="4"/>
  <c r="AB408" i="4"/>
  <c r="Y408" i="4"/>
  <c r="Z408" i="4" s="1"/>
  <c r="AA408" i="4" s="1"/>
  <c r="F408" i="4"/>
  <c r="G408" i="4" s="1"/>
  <c r="E408" i="4"/>
  <c r="AD407" i="4"/>
  <c r="AC407" i="4"/>
  <c r="AB407" i="4"/>
  <c r="Z407" i="4"/>
  <c r="AA407" i="4" s="1"/>
  <c r="Y407" i="4"/>
  <c r="V407" i="4"/>
  <c r="W407" i="4" s="1"/>
  <c r="X407" i="4" s="1"/>
  <c r="F407" i="4"/>
  <c r="G407" i="4" s="1"/>
  <c r="E407" i="4"/>
  <c r="AD406" i="4"/>
  <c r="AB406" i="4"/>
  <c r="AE406" i="4" s="1"/>
  <c r="Y406" i="4"/>
  <c r="Z406" i="4" s="1"/>
  <c r="AA406" i="4" s="1"/>
  <c r="V406" i="4"/>
  <c r="W406" i="4" s="1"/>
  <c r="X406" i="4" s="1"/>
  <c r="F406" i="4"/>
  <c r="G406" i="4" s="1"/>
  <c r="E406" i="4"/>
  <c r="AC406" i="4" s="1"/>
  <c r="F405" i="4"/>
  <c r="G405" i="4" s="1"/>
  <c r="E405" i="4"/>
  <c r="AB405" i="4" s="1"/>
  <c r="AD404" i="4"/>
  <c r="V404" i="4"/>
  <c r="W404" i="4" s="1"/>
  <c r="X404" i="4" s="1"/>
  <c r="G404" i="4"/>
  <c r="F404" i="4"/>
  <c r="E404" i="4"/>
  <c r="AC404" i="4" s="1"/>
  <c r="AD403" i="4"/>
  <c r="AC403" i="4"/>
  <c r="Y403" i="4"/>
  <c r="Z403" i="4" s="1"/>
  <c r="AA403" i="4" s="1"/>
  <c r="V403" i="4"/>
  <c r="W403" i="4" s="1"/>
  <c r="X403" i="4" s="1"/>
  <c r="G403" i="4"/>
  <c r="F403" i="4"/>
  <c r="E403" i="4"/>
  <c r="AB403" i="4" s="1"/>
  <c r="Y402" i="4"/>
  <c r="Z402" i="4" s="1"/>
  <c r="AA402" i="4" s="1"/>
  <c r="G402" i="4"/>
  <c r="F402" i="4"/>
  <c r="E402" i="4"/>
  <c r="AB402" i="4" s="1"/>
  <c r="AD401" i="4"/>
  <c r="AC401" i="4"/>
  <c r="Z401" i="4"/>
  <c r="AA401" i="4" s="1"/>
  <c r="V401" i="4"/>
  <c r="W401" i="4" s="1"/>
  <c r="X401" i="4" s="1"/>
  <c r="G401" i="4"/>
  <c r="F401" i="4"/>
  <c r="E401" i="4"/>
  <c r="Y401" i="4" s="1"/>
  <c r="AC400" i="4"/>
  <c r="Y400" i="4"/>
  <c r="Z400" i="4" s="1"/>
  <c r="AA400" i="4" s="1"/>
  <c r="G400" i="4"/>
  <c r="F400" i="4"/>
  <c r="E400" i="4"/>
  <c r="AD399" i="4"/>
  <c r="AC399" i="4"/>
  <c r="AB399" i="4"/>
  <c r="Y399" i="4"/>
  <c r="Z399" i="4" s="1"/>
  <c r="AA399" i="4" s="1"/>
  <c r="V399" i="4"/>
  <c r="W399" i="4" s="1"/>
  <c r="X399" i="4" s="1"/>
  <c r="F399" i="4"/>
  <c r="G399" i="4" s="1"/>
  <c r="E399" i="4"/>
  <c r="AD398" i="4"/>
  <c r="AC398" i="4"/>
  <c r="AB398" i="4"/>
  <c r="G398" i="4"/>
  <c r="F398" i="4"/>
  <c r="E398" i="4"/>
  <c r="AB397" i="4"/>
  <c r="Y397" i="4"/>
  <c r="Z397" i="4" s="1"/>
  <c r="AA397" i="4" s="1"/>
  <c r="V397" i="4"/>
  <c r="W397" i="4" s="1"/>
  <c r="X397" i="4" s="1"/>
  <c r="F397" i="4"/>
  <c r="G397" i="4" s="1"/>
  <c r="E397" i="4"/>
  <c r="AC397" i="4" s="1"/>
  <c r="AB396" i="4"/>
  <c r="G396" i="4"/>
  <c r="F396" i="4"/>
  <c r="E396" i="4"/>
  <c r="AD395" i="4"/>
  <c r="F395" i="4"/>
  <c r="G395" i="4" s="1"/>
  <c r="E395" i="4"/>
  <c r="AD394" i="4"/>
  <c r="AC394" i="4"/>
  <c r="Y394" i="4"/>
  <c r="Z394" i="4" s="1"/>
  <c r="AA394" i="4" s="1"/>
  <c r="V394" i="4"/>
  <c r="W394" i="4" s="1"/>
  <c r="X394" i="4" s="1"/>
  <c r="G394" i="4"/>
  <c r="F394" i="4"/>
  <c r="E394" i="4"/>
  <c r="AB394" i="4" s="1"/>
  <c r="AB393" i="4"/>
  <c r="F393" i="4"/>
  <c r="G393" i="4" s="1"/>
  <c r="E393" i="4"/>
  <c r="Y393" i="4" s="1"/>
  <c r="Z393" i="4" s="1"/>
  <c r="AA393" i="4" s="1"/>
  <c r="AB392" i="4"/>
  <c r="Y392" i="4"/>
  <c r="Z392" i="4" s="1"/>
  <c r="AA392" i="4" s="1"/>
  <c r="G392" i="4"/>
  <c r="F392" i="4"/>
  <c r="E392" i="4"/>
  <c r="F391" i="4"/>
  <c r="G391" i="4" s="1"/>
  <c r="E391" i="4"/>
  <c r="Y390" i="4"/>
  <c r="Z390" i="4" s="1"/>
  <c r="AA390" i="4" s="1"/>
  <c r="G390" i="4"/>
  <c r="F390" i="4"/>
  <c r="E390" i="4"/>
  <c r="AD389" i="4"/>
  <c r="AC389" i="4"/>
  <c r="AB389" i="4"/>
  <c r="X389" i="4"/>
  <c r="W389" i="4"/>
  <c r="V389" i="4"/>
  <c r="F389" i="4"/>
  <c r="G389" i="4" s="1"/>
  <c r="E389" i="4"/>
  <c r="Y389" i="4" s="1"/>
  <c r="Z389" i="4" s="1"/>
  <c r="AA389" i="4" s="1"/>
  <c r="AC388" i="4"/>
  <c r="AB388" i="4"/>
  <c r="G388" i="4"/>
  <c r="F388" i="4"/>
  <c r="E388" i="4"/>
  <c r="AD387" i="4"/>
  <c r="AC387" i="4"/>
  <c r="AB387" i="4"/>
  <c r="AE387" i="4" s="1"/>
  <c r="Z387" i="4"/>
  <c r="AA387" i="4" s="1"/>
  <c r="Y387" i="4"/>
  <c r="V387" i="4"/>
  <c r="W387" i="4" s="1"/>
  <c r="X387" i="4" s="1"/>
  <c r="F387" i="4"/>
  <c r="G387" i="4" s="1"/>
  <c r="E387" i="4"/>
  <c r="AD386" i="4"/>
  <c r="Y386" i="4"/>
  <c r="Z386" i="4" s="1"/>
  <c r="AA386" i="4" s="1"/>
  <c r="F386" i="4"/>
  <c r="G386" i="4" s="1"/>
  <c r="E386" i="4"/>
  <c r="V386" i="4" s="1"/>
  <c r="W386" i="4" s="1"/>
  <c r="X386" i="4" s="1"/>
  <c r="AB385" i="4"/>
  <c r="Y385" i="4"/>
  <c r="Z385" i="4" s="1"/>
  <c r="AA385" i="4" s="1"/>
  <c r="V385" i="4"/>
  <c r="W385" i="4" s="1"/>
  <c r="X385" i="4" s="1"/>
  <c r="F385" i="4"/>
  <c r="G385" i="4" s="1"/>
  <c r="E385" i="4"/>
  <c r="AC385" i="4" s="1"/>
  <c r="AD384" i="4"/>
  <c r="G384" i="4"/>
  <c r="F384" i="4"/>
  <c r="E384" i="4"/>
  <c r="AB384" i="4" s="1"/>
  <c r="AB383" i="4"/>
  <c r="V383" i="4"/>
  <c r="W383" i="4" s="1"/>
  <c r="X383" i="4" s="1"/>
  <c r="G383" i="4"/>
  <c r="F383" i="4"/>
  <c r="E383" i="4"/>
  <c r="Y383" i="4" s="1"/>
  <c r="Z383" i="4" s="1"/>
  <c r="AA383" i="4" s="1"/>
  <c r="Y382" i="4"/>
  <c r="Z382" i="4" s="1"/>
  <c r="AA382" i="4" s="1"/>
  <c r="G382" i="4"/>
  <c r="F382" i="4"/>
  <c r="E382" i="4"/>
  <c r="AD381" i="4"/>
  <c r="AC381" i="4"/>
  <c r="AB381" i="4"/>
  <c r="V381" i="4"/>
  <c r="W381" i="4" s="1"/>
  <c r="X381" i="4" s="1"/>
  <c r="F381" i="4"/>
  <c r="G381" i="4" s="1"/>
  <c r="E381" i="4"/>
  <c r="Y381" i="4" s="1"/>
  <c r="Z381" i="4" s="1"/>
  <c r="AA381" i="4" s="1"/>
  <c r="AB380" i="4"/>
  <c r="AA380" i="4"/>
  <c r="F380" i="4"/>
  <c r="G380" i="4" s="1"/>
  <c r="E380" i="4"/>
  <c r="Y380" i="4" s="1"/>
  <c r="Z380" i="4" s="1"/>
  <c r="AD379" i="4"/>
  <c r="AC379" i="4"/>
  <c r="AB379" i="4"/>
  <c r="Y379" i="4"/>
  <c r="Z379" i="4" s="1"/>
  <c r="AA379" i="4" s="1"/>
  <c r="V379" i="4"/>
  <c r="W379" i="4" s="1"/>
  <c r="X379" i="4" s="1"/>
  <c r="F379" i="4"/>
  <c r="G379" i="4" s="1"/>
  <c r="E379" i="4"/>
  <c r="AB378" i="4"/>
  <c r="F378" i="4"/>
  <c r="G378" i="4" s="1"/>
  <c r="E378" i="4"/>
  <c r="AD378" i="4" s="1"/>
  <c r="F377" i="4"/>
  <c r="G377" i="4" s="1"/>
  <c r="E377" i="4"/>
  <c r="AC376" i="4"/>
  <c r="V376" i="4"/>
  <c r="W376" i="4" s="1"/>
  <c r="X376" i="4" s="1"/>
  <c r="G376" i="4"/>
  <c r="F376" i="4"/>
  <c r="E376" i="4"/>
  <c r="AD375" i="4"/>
  <c r="AB375" i="4"/>
  <c r="Z375" i="4"/>
  <c r="AA375" i="4" s="1"/>
  <c r="V375" i="4"/>
  <c r="W375" i="4" s="1"/>
  <c r="X375" i="4" s="1"/>
  <c r="G375" i="4"/>
  <c r="F375" i="4"/>
  <c r="E375" i="4"/>
  <c r="Y375" i="4" s="1"/>
  <c r="AC374" i="4"/>
  <c r="G374" i="4"/>
  <c r="F374" i="4"/>
  <c r="E374" i="4"/>
  <c r="AD373" i="4"/>
  <c r="AE373" i="4" s="1"/>
  <c r="AC373" i="4"/>
  <c r="AB373" i="4"/>
  <c r="V373" i="4"/>
  <c r="W373" i="4" s="1"/>
  <c r="X373" i="4" s="1"/>
  <c r="G373" i="4"/>
  <c r="F373" i="4"/>
  <c r="E373" i="4"/>
  <c r="Y373" i="4" s="1"/>
  <c r="Z373" i="4" s="1"/>
  <c r="AA373" i="4" s="1"/>
  <c r="Y372" i="4"/>
  <c r="Z372" i="4" s="1"/>
  <c r="AA372" i="4" s="1"/>
  <c r="F372" i="4"/>
  <c r="G372" i="4" s="1"/>
  <c r="E372" i="4"/>
  <c r="AB372" i="4" s="1"/>
  <c r="AD371" i="4"/>
  <c r="AC371" i="4"/>
  <c r="AB371" i="4"/>
  <c r="Y371" i="4"/>
  <c r="Z371" i="4" s="1"/>
  <c r="AA371" i="4" s="1"/>
  <c r="V371" i="4"/>
  <c r="W371" i="4" s="1"/>
  <c r="X371" i="4" s="1"/>
  <c r="F371" i="4"/>
  <c r="G371" i="4" s="1"/>
  <c r="E371" i="4"/>
  <c r="AB370" i="4"/>
  <c r="V370" i="4"/>
  <c r="W370" i="4" s="1"/>
  <c r="X370" i="4" s="1"/>
  <c r="G370" i="4"/>
  <c r="F370" i="4"/>
  <c r="E370" i="4"/>
  <c r="AD370" i="4" s="1"/>
  <c r="Y369" i="4"/>
  <c r="Z369" i="4" s="1"/>
  <c r="AA369" i="4" s="1"/>
  <c r="F369" i="4"/>
  <c r="G369" i="4" s="1"/>
  <c r="E369" i="4"/>
  <c r="AD369" i="4" s="1"/>
  <c r="AC368" i="4"/>
  <c r="V368" i="4"/>
  <c r="W368" i="4" s="1"/>
  <c r="X368" i="4" s="1"/>
  <c r="G368" i="4"/>
  <c r="F368" i="4"/>
  <c r="E368" i="4"/>
  <c r="Y368" i="4" s="1"/>
  <c r="Z368" i="4" s="1"/>
  <c r="AA368" i="4" s="1"/>
  <c r="F367" i="4"/>
  <c r="G367" i="4" s="1"/>
  <c r="E367" i="4"/>
  <c r="G366" i="4"/>
  <c r="F366" i="4"/>
  <c r="E366" i="4"/>
  <c r="Y366" i="4" s="1"/>
  <c r="Z366" i="4" s="1"/>
  <c r="AA366" i="4" s="1"/>
  <c r="AD365" i="4"/>
  <c r="AC365" i="4"/>
  <c r="AB365" i="4"/>
  <c r="AE365" i="4" s="1"/>
  <c r="Z365" i="4"/>
  <c r="AA365" i="4" s="1"/>
  <c r="V365" i="4"/>
  <c r="W365" i="4" s="1"/>
  <c r="X365" i="4" s="1"/>
  <c r="G365" i="4"/>
  <c r="F365" i="4"/>
  <c r="E365" i="4"/>
  <c r="Y365" i="4" s="1"/>
  <c r="AC364" i="4"/>
  <c r="AB364" i="4"/>
  <c r="Y364" i="4"/>
  <c r="Z364" i="4" s="1"/>
  <c r="AA364" i="4" s="1"/>
  <c r="F364" i="4"/>
  <c r="G364" i="4" s="1"/>
  <c r="E364" i="4"/>
  <c r="AD363" i="4"/>
  <c r="AE363" i="4" s="1"/>
  <c r="AC363" i="4"/>
  <c r="AB363" i="4"/>
  <c r="Y363" i="4"/>
  <c r="Z363" i="4" s="1"/>
  <c r="AA363" i="4" s="1"/>
  <c r="V363" i="4"/>
  <c r="W363" i="4" s="1"/>
  <c r="X363" i="4" s="1"/>
  <c r="F363" i="4"/>
  <c r="G363" i="4" s="1"/>
  <c r="E363" i="4"/>
  <c r="AD362" i="4"/>
  <c r="AB362" i="4"/>
  <c r="Y362" i="4"/>
  <c r="Z362" i="4" s="1"/>
  <c r="AA362" i="4" s="1"/>
  <c r="V362" i="4"/>
  <c r="W362" i="4" s="1"/>
  <c r="X362" i="4" s="1"/>
  <c r="G362" i="4"/>
  <c r="F362" i="4"/>
  <c r="E362" i="4"/>
  <c r="AC362" i="4" s="1"/>
  <c r="F361" i="4"/>
  <c r="G361" i="4" s="1"/>
  <c r="E361" i="4"/>
  <c r="AD360" i="4"/>
  <c r="Y360" i="4"/>
  <c r="Z360" i="4" s="1"/>
  <c r="AA360" i="4" s="1"/>
  <c r="V360" i="4"/>
  <c r="W360" i="4" s="1"/>
  <c r="X360" i="4" s="1"/>
  <c r="G360" i="4"/>
  <c r="F360" i="4"/>
  <c r="E360" i="4"/>
  <c r="AB360" i="4" s="1"/>
  <c r="AC359" i="4"/>
  <c r="F359" i="4"/>
  <c r="G359" i="4" s="1"/>
  <c r="E359" i="4"/>
  <c r="Y358" i="4"/>
  <c r="Z358" i="4" s="1"/>
  <c r="AA358" i="4" s="1"/>
  <c r="G358" i="4"/>
  <c r="F358" i="4"/>
  <c r="E358" i="4"/>
  <c r="AD357" i="4"/>
  <c r="AC357" i="4"/>
  <c r="AB357" i="4"/>
  <c r="AE357" i="4" s="1"/>
  <c r="V357" i="4"/>
  <c r="W357" i="4" s="1"/>
  <c r="X357" i="4" s="1"/>
  <c r="F357" i="4"/>
  <c r="G357" i="4" s="1"/>
  <c r="E357" i="4"/>
  <c r="Y357" i="4" s="1"/>
  <c r="Z357" i="4" s="1"/>
  <c r="AA357" i="4" s="1"/>
  <c r="AB356" i="4"/>
  <c r="Y356" i="4"/>
  <c r="Z356" i="4" s="1"/>
  <c r="AA356" i="4" s="1"/>
  <c r="G356" i="4"/>
  <c r="F356" i="4"/>
  <c r="E356" i="4"/>
  <c r="AD355" i="4"/>
  <c r="AC355" i="4"/>
  <c r="AB355" i="4"/>
  <c r="AE355" i="4" s="1"/>
  <c r="Z355" i="4"/>
  <c r="AA355" i="4" s="1"/>
  <c r="Y355" i="4"/>
  <c r="V355" i="4"/>
  <c r="W355" i="4" s="1"/>
  <c r="X355" i="4" s="1"/>
  <c r="F355" i="4"/>
  <c r="G355" i="4" s="1"/>
  <c r="E355" i="4"/>
  <c r="G354" i="4"/>
  <c r="F354" i="4"/>
  <c r="E354" i="4"/>
  <c r="AB353" i="4"/>
  <c r="V353" i="4"/>
  <c r="W353" i="4" s="1"/>
  <c r="X353" i="4" s="1"/>
  <c r="F353" i="4"/>
  <c r="G353" i="4" s="1"/>
  <c r="E353" i="4"/>
  <c r="AC353" i="4" s="1"/>
  <c r="AD352" i="4"/>
  <c r="AC352" i="4"/>
  <c r="G352" i="4"/>
  <c r="F352" i="4"/>
  <c r="E352" i="4"/>
  <c r="Y352" i="4" s="1"/>
  <c r="Z352" i="4" s="1"/>
  <c r="AA352" i="4" s="1"/>
  <c r="AC351" i="4"/>
  <c r="V351" i="4"/>
  <c r="W351" i="4" s="1"/>
  <c r="X351" i="4" s="1"/>
  <c r="G351" i="4"/>
  <c r="F351" i="4"/>
  <c r="E351" i="4"/>
  <c r="AB351" i="4" s="1"/>
  <c r="AC350" i="4"/>
  <c r="Y350" i="4"/>
  <c r="Z350" i="4" s="1"/>
  <c r="AA350" i="4" s="1"/>
  <c r="G350" i="4"/>
  <c r="F350" i="4"/>
  <c r="E350" i="4"/>
  <c r="AD349" i="4"/>
  <c r="AC349" i="4"/>
  <c r="AB349" i="4"/>
  <c r="AE349" i="4" s="1"/>
  <c r="V349" i="4"/>
  <c r="W349" i="4" s="1"/>
  <c r="X349" i="4" s="1"/>
  <c r="F349" i="4"/>
  <c r="G349" i="4" s="1"/>
  <c r="E349" i="4"/>
  <c r="Y349" i="4" s="1"/>
  <c r="Z349" i="4" s="1"/>
  <c r="AA349" i="4" s="1"/>
  <c r="AB348" i="4"/>
  <c r="AA348" i="4"/>
  <c r="Y348" i="4"/>
  <c r="Z348" i="4" s="1"/>
  <c r="G348" i="4"/>
  <c r="F348" i="4"/>
  <c r="E348" i="4"/>
  <c r="AD347" i="4"/>
  <c r="AC347" i="4"/>
  <c r="AB347" i="4"/>
  <c r="AE347" i="4" s="1"/>
  <c r="Y347" i="4"/>
  <c r="Z347" i="4" s="1"/>
  <c r="AA347" i="4" s="1"/>
  <c r="V347" i="4"/>
  <c r="W347" i="4" s="1"/>
  <c r="X347" i="4" s="1"/>
  <c r="F347" i="4"/>
  <c r="G347" i="4" s="1"/>
  <c r="E347" i="4"/>
  <c r="AC346" i="4"/>
  <c r="AB346" i="4"/>
  <c r="Y346" i="4"/>
  <c r="Z346" i="4" s="1"/>
  <c r="AA346" i="4" s="1"/>
  <c r="V346" i="4"/>
  <c r="W346" i="4" s="1"/>
  <c r="X346" i="4" s="1"/>
  <c r="F346" i="4"/>
  <c r="G346" i="4" s="1"/>
  <c r="E346" i="4"/>
  <c r="AD346" i="4" s="1"/>
  <c r="F345" i="4"/>
  <c r="G345" i="4" s="1"/>
  <c r="E345" i="4"/>
  <c r="AD344" i="4"/>
  <c r="V344" i="4"/>
  <c r="W344" i="4" s="1"/>
  <c r="X344" i="4" s="1"/>
  <c r="G344" i="4"/>
  <c r="F344" i="4"/>
  <c r="E344" i="4"/>
  <c r="AD343" i="4"/>
  <c r="V343" i="4"/>
  <c r="W343" i="4" s="1"/>
  <c r="X343" i="4" s="1"/>
  <c r="G343" i="4"/>
  <c r="F343" i="4"/>
  <c r="E343" i="4"/>
  <c r="AC343" i="4" s="1"/>
  <c r="Y342" i="4"/>
  <c r="Z342" i="4" s="1"/>
  <c r="AA342" i="4" s="1"/>
  <c r="G342" i="4"/>
  <c r="F342" i="4"/>
  <c r="E342" i="4"/>
  <c r="AD341" i="4"/>
  <c r="V341" i="4"/>
  <c r="W341" i="4" s="1"/>
  <c r="X341" i="4" s="1"/>
  <c r="G341" i="4"/>
  <c r="F341" i="4"/>
  <c r="E341" i="4"/>
  <c r="Y341" i="4" s="1"/>
  <c r="Z341" i="4" s="1"/>
  <c r="AA341" i="4" s="1"/>
  <c r="AC340" i="4"/>
  <c r="AA340" i="4"/>
  <c r="Y340" i="4"/>
  <c r="Z340" i="4" s="1"/>
  <c r="F340" i="4"/>
  <c r="G340" i="4" s="1"/>
  <c r="E340" i="4"/>
  <c r="AD339" i="4"/>
  <c r="AC339" i="4"/>
  <c r="AB339" i="4"/>
  <c r="AE339" i="4" s="1"/>
  <c r="Y339" i="4"/>
  <c r="Z339" i="4" s="1"/>
  <c r="AA339" i="4" s="1"/>
  <c r="V339" i="4"/>
  <c r="W339" i="4" s="1"/>
  <c r="X339" i="4" s="1"/>
  <c r="F339" i="4"/>
  <c r="G339" i="4" s="1"/>
  <c r="E339" i="4"/>
  <c r="AD338" i="4"/>
  <c r="AC338" i="4"/>
  <c r="Y338" i="4"/>
  <c r="Z338" i="4" s="1"/>
  <c r="AA338" i="4" s="1"/>
  <c r="V338" i="4"/>
  <c r="W338" i="4" s="1"/>
  <c r="X338" i="4" s="1"/>
  <c r="G338" i="4"/>
  <c r="F338" i="4"/>
  <c r="E338" i="4"/>
  <c r="AB338" i="4" s="1"/>
  <c r="AB337" i="4"/>
  <c r="F337" i="4"/>
  <c r="G337" i="4" s="1"/>
  <c r="E337" i="4"/>
  <c r="AC337" i="4" s="1"/>
  <c r="AC336" i="4"/>
  <c r="AB336" i="4"/>
  <c r="Y336" i="4"/>
  <c r="Z336" i="4" s="1"/>
  <c r="AA336" i="4" s="1"/>
  <c r="X336" i="4"/>
  <c r="G336" i="4"/>
  <c r="F336" i="4"/>
  <c r="E336" i="4"/>
  <c r="V336" i="4" s="1"/>
  <c r="W336" i="4" s="1"/>
  <c r="AC335" i="4"/>
  <c r="AB335" i="4"/>
  <c r="Y335" i="4"/>
  <c r="Z335" i="4" s="1"/>
  <c r="AA335" i="4" s="1"/>
  <c r="V335" i="4"/>
  <c r="W335" i="4" s="1"/>
  <c r="X335" i="4" s="1"/>
  <c r="F335" i="4"/>
  <c r="G335" i="4" s="1"/>
  <c r="E335" i="4"/>
  <c r="AD335" i="4" s="1"/>
  <c r="G334" i="4"/>
  <c r="F334" i="4"/>
  <c r="E334" i="4"/>
  <c r="AC334" i="4" s="1"/>
  <c r="AC333" i="4"/>
  <c r="AB333" i="4"/>
  <c r="V333" i="4"/>
  <c r="W333" i="4" s="1"/>
  <c r="X333" i="4" s="1"/>
  <c r="F333" i="4"/>
  <c r="G333" i="4" s="1"/>
  <c r="E333" i="4"/>
  <c r="G332" i="4"/>
  <c r="F332" i="4"/>
  <c r="E332" i="4"/>
  <c r="AD331" i="4"/>
  <c r="AC331" i="4"/>
  <c r="AB331" i="4"/>
  <c r="Y331" i="4"/>
  <c r="Z331" i="4" s="1"/>
  <c r="AA331" i="4" s="1"/>
  <c r="V331" i="4"/>
  <c r="W331" i="4" s="1"/>
  <c r="X331" i="4" s="1"/>
  <c r="G331" i="4"/>
  <c r="F331" i="4"/>
  <c r="E331" i="4"/>
  <c r="AD330" i="4"/>
  <c r="AB330" i="4"/>
  <c r="V330" i="4"/>
  <c r="W330" i="4" s="1"/>
  <c r="X330" i="4" s="1"/>
  <c r="G330" i="4"/>
  <c r="F330" i="4"/>
  <c r="E330" i="4"/>
  <c r="AD329" i="4"/>
  <c r="AA329" i="4"/>
  <c r="Y329" i="4"/>
  <c r="Z329" i="4" s="1"/>
  <c r="V329" i="4"/>
  <c r="W329" i="4" s="1"/>
  <c r="X329" i="4" s="1"/>
  <c r="F329" i="4"/>
  <c r="G329" i="4" s="1"/>
  <c r="E329" i="4"/>
  <c r="AC329" i="4" s="1"/>
  <c r="AD328" i="4"/>
  <c r="AC328" i="4"/>
  <c r="AA328" i="4"/>
  <c r="Y328" i="4"/>
  <c r="Z328" i="4" s="1"/>
  <c r="V328" i="4"/>
  <c r="W328" i="4" s="1"/>
  <c r="X328" i="4" s="1"/>
  <c r="G328" i="4"/>
  <c r="F328" i="4"/>
  <c r="E328" i="4"/>
  <c r="AB328" i="4" s="1"/>
  <c r="AC327" i="4"/>
  <c r="AB327" i="4"/>
  <c r="Y327" i="4"/>
  <c r="Z327" i="4" s="1"/>
  <c r="AA327" i="4" s="1"/>
  <c r="F327" i="4"/>
  <c r="G327" i="4" s="1"/>
  <c r="E327" i="4"/>
  <c r="V327" i="4" s="1"/>
  <c r="W327" i="4" s="1"/>
  <c r="X327" i="4" s="1"/>
  <c r="G326" i="4"/>
  <c r="F326" i="4"/>
  <c r="E326" i="4"/>
  <c r="AD325" i="4"/>
  <c r="F325" i="4"/>
  <c r="G325" i="4" s="1"/>
  <c r="E325" i="4"/>
  <c r="AB324" i="4"/>
  <c r="Y324" i="4"/>
  <c r="Z324" i="4" s="1"/>
  <c r="AA324" i="4" s="1"/>
  <c r="F324" i="4"/>
  <c r="G324" i="4" s="1"/>
  <c r="E324" i="4"/>
  <c r="AD323" i="4"/>
  <c r="AC323" i="4"/>
  <c r="AB323" i="4"/>
  <c r="Z323" i="4"/>
  <c r="AA323" i="4" s="1"/>
  <c r="Y323" i="4"/>
  <c r="V323" i="4"/>
  <c r="W323" i="4" s="1"/>
  <c r="X323" i="4" s="1"/>
  <c r="G323" i="4"/>
  <c r="F323" i="4"/>
  <c r="E323" i="4"/>
  <c r="AC322" i="4"/>
  <c r="AB322" i="4"/>
  <c r="F322" i="4"/>
  <c r="G322" i="4" s="1"/>
  <c r="E322" i="4"/>
  <c r="AD322" i="4" s="1"/>
  <c r="AB321" i="4"/>
  <c r="V321" i="4"/>
  <c r="W321" i="4" s="1"/>
  <c r="X321" i="4" s="1"/>
  <c r="F321" i="4"/>
  <c r="G321" i="4" s="1"/>
  <c r="E321" i="4"/>
  <c r="AD320" i="4"/>
  <c r="AA320" i="4"/>
  <c r="Y320" i="4"/>
  <c r="Z320" i="4" s="1"/>
  <c r="G320" i="4"/>
  <c r="F320" i="4"/>
  <c r="E320" i="4"/>
  <c r="AC320" i="4" s="1"/>
  <c r="AD319" i="4"/>
  <c r="AB319" i="4"/>
  <c r="Y319" i="4"/>
  <c r="Z319" i="4" s="1"/>
  <c r="AA319" i="4" s="1"/>
  <c r="V319" i="4"/>
  <c r="W319" i="4" s="1"/>
  <c r="X319" i="4" s="1"/>
  <c r="F319" i="4"/>
  <c r="G319" i="4" s="1"/>
  <c r="E319" i="4"/>
  <c r="AC319" i="4" s="1"/>
  <c r="AD318" i="4"/>
  <c r="AE318" i="4" s="1"/>
  <c r="AC318" i="4"/>
  <c r="Y318" i="4"/>
  <c r="Z318" i="4" s="1"/>
  <c r="AA318" i="4" s="1"/>
  <c r="V318" i="4"/>
  <c r="W318" i="4" s="1"/>
  <c r="X318" i="4" s="1"/>
  <c r="G318" i="4"/>
  <c r="F318" i="4"/>
  <c r="E318" i="4"/>
  <c r="AB318" i="4" s="1"/>
  <c r="AD317" i="4"/>
  <c r="G317" i="4"/>
  <c r="F317" i="4"/>
  <c r="E317" i="4"/>
  <c r="AC316" i="4"/>
  <c r="AB316" i="4"/>
  <c r="Y316" i="4"/>
  <c r="Z316" i="4" s="1"/>
  <c r="AA316" i="4" s="1"/>
  <c r="F316" i="4"/>
  <c r="G316" i="4" s="1"/>
  <c r="E316" i="4"/>
  <c r="AD315" i="4"/>
  <c r="AC315" i="4"/>
  <c r="AB315" i="4"/>
  <c r="Y315" i="4"/>
  <c r="Z315" i="4" s="1"/>
  <c r="AA315" i="4" s="1"/>
  <c r="V315" i="4"/>
  <c r="W315" i="4" s="1"/>
  <c r="X315" i="4" s="1"/>
  <c r="G315" i="4"/>
  <c r="F315" i="4"/>
  <c r="E315" i="4"/>
  <c r="AB314" i="4"/>
  <c r="AE314" i="4" s="1"/>
  <c r="V314" i="4"/>
  <c r="W314" i="4" s="1"/>
  <c r="X314" i="4" s="1"/>
  <c r="F314" i="4"/>
  <c r="G314" i="4" s="1"/>
  <c r="E314" i="4"/>
  <c r="AD314" i="4" s="1"/>
  <c r="F313" i="4"/>
  <c r="G313" i="4" s="1"/>
  <c r="E313" i="4"/>
  <c r="G312" i="4"/>
  <c r="F312" i="4"/>
  <c r="E312" i="4"/>
  <c r="AC311" i="4"/>
  <c r="AB311" i="4"/>
  <c r="AE311" i="4" s="1"/>
  <c r="Y311" i="4"/>
  <c r="Z311" i="4" s="1"/>
  <c r="AA311" i="4" s="1"/>
  <c r="G311" i="4"/>
  <c r="F311" i="4"/>
  <c r="E311" i="4"/>
  <c r="AD311" i="4" s="1"/>
  <c r="AD310" i="4"/>
  <c r="AE310" i="4" s="1"/>
  <c r="AC310" i="4"/>
  <c r="AB310" i="4"/>
  <c r="Y310" i="4"/>
  <c r="Z310" i="4" s="1"/>
  <c r="AA310" i="4" s="1"/>
  <c r="V310" i="4"/>
  <c r="W310" i="4" s="1"/>
  <c r="X310" i="4" s="1"/>
  <c r="F310" i="4"/>
  <c r="G310" i="4" s="1"/>
  <c r="E310" i="4"/>
  <c r="F309" i="4"/>
  <c r="G309" i="4" s="1"/>
  <c r="E309" i="4"/>
  <c r="Y308" i="4"/>
  <c r="Z308" i="4" s="1"/>
  <c r="AA308" i="4" s="1"/>
  <c r="V308" i="4"/>
  <c r="W308" i="4" s="1"/>
  <c r="X308" i="4" s="1"/>
  <c r="F308" i="4"/>
  <c r="G308" i="4" s="1"/>
  <c r="E308" i="4"/>
  <c r="AC308" i="4" s="1"/>
  <c r="AB307" i="4"/>
  <c r="AE307" i="4" s="1"/>
  <c r="V307" i="4"/>
  <c r="W307" i="4" s="1"/>
  <c r="X307" i="4" s="1"/>
  <c r="G307" i="4"/>
  <c r="F307" i="4"/>
  <c r="E307" i="4"/>
  <c r="AD307" i="4" s="1"/>
  <c r="AD306" i="4"/>
  <c r="Y306" i="4"/>
  <c r="Z306" i="4" s="1"/>
  <c r="AA306" i="4" s="1"/>
  <c r="G306" i="4"/>
  <c r="F306" i="4"/>
  <c r="E306" i="4"/>
  <c r="AB306" i="4" s="1"/>
  <c r="G305" i="4"/>
  <c r="F305" i="4"/>
  <c r="E305" i="4"/>
  <c r="AB304" i="4"/>
  <c r="G304" i="4"/>
  <c r="F304" i="4"/>
  <c r="E304" i="4"/>
  <c r="AC303" i="4"/>
  <c r="AB303" i="4"/>
  <c r="AE303" i="4" s="1"/>
  <c r="Y303" i="4"/>
  <c r="Z303" i="4" s="1"/>
  <c r="AA303" i="4" s="1"/>
  <c r="F303" i="4"/>
  <c r="G303" i="4" s="1"/>
  <c r="E303" i="4"/>
  <c r="AD303" i="4" s="1"/>
  <c r="AD302" i="4"/>
  <c r="AC302" i="4"/>
  <c r="AB302" i="4"/>
  <c r="Y302" i="4"/>
  <c r="Z302" i="4" s="1"/>
  <c r="AA302" i="4" s="1"/>
  <c r="V302" i="4"/>
  <c r="W302" i="4" s="1"/>
  <c r="X302" i="4" s="1"/>
  <c r="G302" i="4"/>
  <c r="F302" i="4"/>
  <c r="E302" i="4"/>
  <c r="Z301" i="4"/>
  <c r="AA301" i="4" s="1"/>
  <c r="Y301" i="4"/>
  <c r="V301" i="4"/>
  <c r="W301" i="4" s="1"/>
  <c r="X301" i="4" s="1"/>
  <c r="F301" i="4"/>
  <c r="G301" i="4" s="1"/>
  <c r="E301" i="4"/>
  <c r="AC301" i="4" s="1"/>
  <c r="AB300" i="4"/>
  <c r="F300" i="4"/>
  <c r="G300" i="4" s="1"/>
  <c r="E300" i="4"/>
  <c r="AC300" i="4" s="1"/>
  <c r="AD299" i="4"/>
  <c r="Y299" i="4"/>
  <c r="Z299" i="4" s="1"/>
  <c r="AA299" i="4" s="1"/>
  <c r="F299" i="4"/>
  <c r="G299" i="4" s="1"/>
  <c r="E299" i="4"/>
  <c r="V299" i="4" s="1"/>
  <c r="W299" i="4" s="1"/>
  <c r="X299" i="4" s="1"/>
  <c r="V298" i="4"/>
  <c r="W298" i="4" s="1"/>
  <c r="X298" i="4" s="1"/>
  <c r="G298" i="4"/>
  <c r="F298" i="4"/>
  <c r="E298" i="4"/>
  <c r="AC298" i="4" s="1"/>
  <c r="AD297" i="4"/>
  <c r="V297" i="4"/>
  <c r="W297" i="4" s="1"/>
  <c r="X297" i="4" s="1"/>
  <c r="G297" i="4"/>
  <c r="F297" i="4"/>
  <c r="E297" i="4"/>
  <c r="F296" i="4"/>
  <c r="G296" i="4" s="1"/>
  <c r="E296" i="4"/>
  <c r="AC295" i="4"/>
  <c r="AB295" i="4"/>
  <c r="AE295" i="4" s="1"/>
  <c r="Y295" i="4"/>
  <c r="Z295" i="4" s="1"/>
  <c r="AA295" i="4" s="1"/>
  <c r="G295" i="4"/>
  <c r="F295" i="4"/>
  <c r="E295" i="4"/>
  <c r="AD295" i="4" s="1"/>
  <c r="AD294" i="4"/>
  <c r="AC294" i="4"/>
  <c r="AB294" i="4"/>
  <c r="Y294" i="4"/>
  <c r="Z294" i="4" s="1"/>
  <c r="AA294" i="4" s="1"/>
  <c r="V294" i="4"/>
  <c r="W294" i="4" s="1"/>
  <c r="X294" i="4" s="1"/>
  <c r="F294" i="4"/>
  <c r="G294" i="4" s="1"/>
  <c r="E294" i="4"/>
  <c r="AB293" i="4"/>
  <c r="Y293" i="4"/>
  <c r="Z293" i="4" s="1"/>
  <c r="AA293" i="4" s="1"/>
  <c r="V293" i="4"/>
  <c r="W293" i="4" s="1"/>
  <c r="X293" i="4" s="1"/>
  <c r="F293" i="4"/>
  <c r="G293" i="4" s="1"/>
  <c r="E293" i="4"/>
  <c r="AC293" i="4" s="1"/>
  <c r="Y292" i="4"/>
  <c r="Z292" i="4" s="1"/>
  <c r="AA292" i="4" s="1"/>
  <c r="F292" i="4"/>
  <c r="G292" i="4" s="1"/>
  <c r="E292" i="4"/>
  <c r="AC292" i="4" s="1"/>
  <c r="G291" i="4"/>
  <c r="F291" i="4"/>
  <c r="E291" i="4"/>
  <c r="AD290" i="4"/>
  <c r="Y290" i="4"/>
  <c r="Z290" i="4" s="1"/>
  <c r="AA290" i="4" s="1"/>
  <c r="G290" i="4"/>
  <c r="F290" i="4"/>
  <c r="E290" i="4"/>
  <c r="AB290" i="4" s="1"/>
  <c r="G289" i="4"/>
  <c r="F289" i="4"/>
  <c r="E289" i="4"/>
  <c r="AC289" i="4" s="1"/>
  <c r="AB288" i="4"/>
  <c r="G288" i="4"/>
  <c r="F288" i="4"/>
  <c r="E288" i="4"/>
  <c r="AC287" i="4"/>
  <c r="AB287" i="4"/>
  <c r="Y287" i="4"/>
  <c r="Z287" i="4" s="1"/>
  <c r="AA287" i="4" s="1"/>
  <c r="F287" i="4"/>
  <c r="G287" i="4" s="1"/>
  <c r="E287" i="4"/>
  <c r="AD287" i="4" s="1"/>
  <c r="AD286" i="4"/>
  <c r="AC286" i="4"/>
  <c r="AB286" i="4"/>
  <c r="Y286" i="4"/>
  <c r="Z286" i="4" s="1"/>
  <c r="AA286" i="4" s="1"/>
  <c r="V286" i="4"/>
  <c r="W286" i="4" s="1"/>
  <c r="X286" i="4" s="1"/>
  <c r="G286" i="4"/>
  <c r="F286" i="4"/>
  <c r="E286" i="4"/>
  <c r="F285" i="4"/>
  <c r="G285" i="4" s="1"/>
  <c r="E285" i="4"/>
  <c r="F284" i="4"/>
  <c r="G284" i="4" s="1"/>
  <c r="E284" i="4"/>
  <c r="AD283" i="4"/>
  <c r="AC283" i="4"/>
  <c r="G283" i="4"/>
  <c r="F283" i="4"/>
  <c r="E283" i="4"/>
  <c r="Y282" i="4"/>
  <c r="Z282" i="4" s="1"/>
  <c r="AA282" i="4" s="1"/>
  <c r="V282" i="4"/>
  <c r="W282" i="4" s="1"/>
  <c r="X282" i="4" s="1"/>
  <c r="G282" i="4"/>
  <c r="F282" i="4"/>
  <c r="E282" i="4"/>
  <c r="AB282" i="4" s="1"/>
  <c r="G281" i="4"/>
  <c r="F281" i="4"/>
  <c r="E281" i="4"/>
  <c r="AD281" i="4" s="1"/>
  <c r="AD280" i="4"/>
  <c r="V280" i="4"/>
  <c r="W280" i="4" s="1"/>
  <c r="X280" i="4" s="1"/>
  <c r="G280" i="4"/>
  <c r="F280" i="4"/>
  <c r="E280" i="4"/>
  <c r="Y280" i="4" s="1"/>
  <c r="Z280" i="4" s="1"/>
  <c r="AA280" i="4" s="1"/>
  <c r="AC279" i="4"/>
  <c r="Y279" i="4"/>
  <c r="Z279" i="4" s="1"/>
  <c r="AA279" i="4" s="1"/>
  <c r="F279" i="4"/>
  <c r="G279" i="4" s="1"/>
  <c r="E279" i="4"/>
  <c r="AD277" i="4"/>
  <c r="AC277" i="4"/>
  <c r="AB277" i="4"/>
  <c r="Y277" i="4"/>
  <c r="Z277" i="4" s="1"/>
  <c r="AA277" i="4" s="1"/>
  <c r="V277" i="4"/>
  <c r="W277" i="4" s="1"/>
  <c r="X277" i="4" s="1"/>
  <c r="G277" i="4"/>
  <c r="F277" i="4"/>
  <c r="E277" i="4"/>
  <c r="AD276" i="4"/>
  <c r="AC276" i="4"/>
  <c r="Y276" i="4"/>
  <c r="Z276" i="4" s="1"/>
  <c r="AA276" i="4" s="1"/>
  <c r="V276" i="4"/>
  <c r="W276" i="4" s="1"/>
  <c r="X276" i="4" s="1"/>
  <c r="G276" i="4"/>
  <c r="F276" i="4"/>
  <c r="E276" i="4"/>
  <c r="AB276" i="4" s="1"/>
  <c r="AB275" i="4"/>
  <c r="Y275" i="4"/>
  <c r="Z275" i="4" s="1"/>
  <c r="AA275" i="4" s="1"/>
  <c r="V275" i="4"/>
  <c r="W275" i="4" s="1"/>
  <c r="X275" i="4" s="1"/>
  <c r="F275" i="4"/>
  <c r="G275" i="4" s="1"/>
  <c r="E275" i="4"/>
  <c r="AC275" i="4" s="1"/>
  <c r="AC274" i="4"/>
  <c r="F274" i="4"/>
  <c r="G274" i="4" s="1"/>
  <c r="E274" i="4"/>
  <c r="AB274" i="4" s="1"/>
  <c r="V273" i="4"/>
  <c r="W273" i="4" s="1"/>
  <c r="X273" i="4" s="1"/>
  <c r="F273" i="4"/>
  <c r="G273" i="4" s="1"/>
  <c r="E273" i="4"/>
  <c r="AC273" i="4" s="1"/>
  <c r="V272" i="4"/>
  <c r="W272" i="4" s="1"/>
  <c r="X272" i="4" s="1"/>
  <c r="G272" i="4"/>
  <c r="F272" i="4"/>
  <c r="E272" i="4"/>
  <c r="AC271" i="4"/>
  <c r="V271" i="4"/>
  <c r="W271" i="4" s="1"/>
  <c r="X271" i="4" s="1"/>
  <c r="F271" i="4"/>
  <c r="G271" i="4" s="1"/>
  <c r="E271" i="4"/>
  <c r="AB271" i="4" s="1"/>
  <c r="G269" i="4"/>
  <c r="F269" i="4"/>
  <c r="E269" i="4"/>
  <c r="Y269" i="4" s="1"/>
  <c r="Z269" i="4" s="1"/>
  <c r="AA269" i="4" s="1"/>
  <c r="AD268" i="4"/>
  <c r="AC268" i="4"/>
  <c r="AB268" i="4"/>
  <c r="Y268" i="4"/>
  <c r="Z268" i="4" s="1"/>
  <c r="AA268" i="4" s="1"/>
  <c r="V268" i="4"/>
  <c r="W268" i="4" s="1"/>
  <c r="X268" i="4" s="1"/>
  <c r="G268" i="4"/>
  <c r="F268" i="4"/>
  <c r="E268" i="4"/>
  <c r="AD267" i="4"/>
  <c r="V267" i="4"/>
  <c r="W267" i="4" s="1"/>
  <c r="X267" i="4" s="1"/>
  <c r="G267" i="4"/>
  <c r="F267" i="4"/>
  <c r="E267" i="4"/>
  <c r="AC267" i="4" s="1"/>
  <c r="AD266" i="4"/>
  <c r="Y266" i="4"/>
  <c r="Z266" i="4" s="1"/>
  <c r="AA266" i="4" s="1"/>
  <c r="V266" i="4"/>
  <c r="W266" i="4" s="1"/>
  <c r="X266" i="4" s="1"/>
  <c r="F266" i="4"/>
  <c r="G266" i="4" s="1"/>
  <c r="E266" i="4"/>
  <c r="AC266" i="4" s="1"/>
  <c r="AD265" i="4"/>
  <c r="AC265" i="4"/>
  <c r="Y265" i="4"/>
  <c r="Z265" i="4" s="1"/>
  <c r="AA265" i="4" s="1"/>
  <c r="V265" i="4"/>
  <c r="W265" i="4" s="1"/>
  <c r="X265" i="4" s="1"/>
  <c r="G265" i="4"/>
  <c r="F265" i="4"/>
  <c r="E265" i="4"/>
  <c r="AB265" i="4" s="1"/>
  <c r="AC264" i="4"/>
  <c r="AB264" i="4"/>
  <c r="Z264" i="4"/>
  <c r="AA264" i="4" s="1"/>
  <c r="Y264" i="4"/>
  <c r="F264" i="4"/>
  <c r="G264" i="4" s="1"/>
  <c r="E264" i="4"/>
  <c r="AD263" i="4"/>
  <c r="AC263" i="4"/>
  <c r="G263" i="4"/>
  <c r="F263" i="4"/>
  <c r="E263" i="4"/>
  <c r="AB262" i="4"/>
  <c r="F262" i="4"/>
  <c r="G262" i="4" s="1"/>
  <c r="E262" i="4"/>
  <c r="AC262" i="4" s="1"/>
  <c r="F261" i="4"/>
  <c r="G261" i="4" s="1"/>
  <c r="E261" i="4"/>
  <c r="AC261" i="4" s="1"/>
  <c r="AD260" i="4"/>
  <c r="AC260" i="4"/>
  <c r="AB260" i="4"/>
  <c r="Y260" i="4"/>
  <c r="Z260" i="4" s="1"/>
  <c r="AA260" i="4" s="1"/>
  <c r="V260" i="4"/>
  <c r="W260" i="4" s="1"/>
  <c r="X260" i="4" s="1"/>
  <c r="F260" i="4"/>
  <c r="G260" i="4" s="1"/>
  <c r="E260" i="4"/>
  <c r="AC259" i="4"/>
  <c r="G259" i="4"/>
  <c r="F259" i="4"/>
  <c r="E259" i="4"/>
  <c r="AA258" i="4"/>
  <c r="V258" i="4"/>
  <c r="W258" i="4" s="1"/>
  <c r="X258" i="4" s="1"/>
  <c r="F258" i="4"/>
  <c r="G258" i="4" s="1"/>
  <c r="E258" i="4"/>
  <c r="Y258" i="4" s="1"/>
  <c r="Z258" i="4" s="1"/>
  <c r="AB257" i="4"/>
  <c r="Y257" i="4"/>
  <c r="Z257" i="4" s="1"/>
  <c r="AA257" i="4" s="1"/>
  <c r="V257" i="4"/>
  <c r="W257" i="4" s="1"/>
  <c r="X257" i="4" s="1"/>
  <c r="G257" i="4"/>
  <c r="F257" i="4"/>
  <c r="E257" i="4"/>
  <c r="AD257" i="4" s="1"/>
  <c r="AD256" i="4"/>
  <c r="AC256" i="4"/>
  <c r="Y256" i="4"/>
  <c r="Z256" i="4" s="1"/>
  <c r="AA256" i="4" s="1"/>
  <c r="X256" i="4"/>
  <c r="V256" i="4"/>
  <c r="W256" i="4" s="1"/>
  <c r="F256" i="4"/>
  <c r="G256" i="4" s="1"/>
  <c r="E256" i="4"/>
  <c r="AB256" i="4" s="1"/>
  <c r="AE256" i="4" s="1"/>
  <c r="AD255" i="4"/>
  <c r="V255" i="4"/>
  <c r="W255" i="4" s="1"/>
  <c r="X255" i="4" s="1"/>
  <c r="G255" i="4"/>
  <c r="F255" i="4"/>
  <c r="E255" i="4"/>
  <c r="AB255" i="4" s="1"/>
  <c r="AD254" i="4"/>
  <c r="AC254" i="4"/>
  <c r="V254" i="4"/>
  <c r="W254" i="4" s="1"/>
  <c r="X254" i="4" s="1"/>
  <c r="G254" i="4"/>
  <c r="F254" i="4"/>
  <c r="E254" i="4"/>
  <c r="Y254" i="4" s="1"/>
  <c r="Z254" i="4" s="1"/>
  <c r="AA254" i="4" s="1"/>
  <c r="F253" i="4"/>
  <c r="G253" i="4" s="1"/>
  <c r="E253" i="4"/>
  <c r="AD252" i="4"/>
  <c r="AC252" i="4"/>
  <c r="AB252" i="4"/>
  <c r="AE252" i="4" s="1"/>
  <c r="Y252" i="4"/>
  <c r="Z252" i="4" s="1"/>
  <c r="AA252" i="4" s="1"/>
  <c r="V252" i="4"/>
  <c r="W252" i="4" s="1"/>
  <c r="X252" i="4" s="1"/>
  <c r="G252" i="4"/>
  <c r="F252" i="4"/>
  <c r="E252" i="4"/>
  <c r="AD251" i="4"/>
  <c r="AB251" i="4"/>
  <c r="Y251" i="4"/>
  <c r="Z251" i="4" s="1"/>
  <c r="AA251" i="4" s="1"/>
  <c r="F251" i="4"/>
  <c r="G251" i="4" s="1"/>
  <c r="E251" i="4"/>
  <c r="V251" i="4" s="1"/>
  <c r="W251" i="4" s="1"/>
  <c r="X251" i="4" s="1"/>
  <c r="AD250" i="4"/>
  <c r="AC250" i="4"/>
  <c r="AB250" i="4"/>
  <c r="Y250" i="4"/>
  <c r="Z250" i="4" s="1"/>
  <c r="AA250" i="4" s="1"/>
  <c r="V250" i="4"/>
  <c r="W250" i="4" s="1"/>
  <c r="X250" i="4" s="1"/>
  <c r="F250" i="4"/>
  <c r="G250" i="4" s="1"/>
  <c r="E250" i="4"/>
  <c r="AD249" i="4"/>
  <c r="AC249" i="4"/>
  <c r="Y249" i="4"/>
  <c r="Z249" i="4" s="1"/>
  <c r="AA249" i="4" s="1"/>
  <c r="V249" i="4"/>
  <c r="W249" i="4" s="1"/>
  <c r="X249" i="4" s="1"/>
  <c r="F249" i="4"/>
  <c r="G249" i="4" s="1"/>
  <c r="E249" i="4"/>
  <c r="AB249" i="4" s="1"/>
  <c r="AE249" i="4" s="1"/>
  <c r="AD247" i="4"/>
  <c r="AB247" i="4"/>
  <c r="F247" i="4"/>
  <c r="G247" i="4" s="1"/>
  <c r="E247" i="4"/>
  <c r="AB246" i="4"/>
  <c r="V246" i="4"/>
  <c r="W246" i="4" s="1"/>
  <c r="X246" i="4" s="1"/>
  <c r="G246" i="4"/>
  <c r="F246" i="4"/>
  <c r="E246" i="4"/>
  <c r="F245" i="4"/>
  <c r="G245" i="4" s="1"/>
  <c r="E245" i="4"/>
  <c r="AD244" i="4"/>
  <c r="AC244" i="4"/>
  <c r="V244" i="4"/>
  <c r="W244" i="4" s="1"/>
  <c r="X244" i="4" s="1"/>
  <c r="G244" i="4"/>
  <c r="F244" i="4"/>
  <c r="E244" i="4"/>
  <c r="AB244" i="4" s="1"/>
  <c r="AE244" i="4" s="1"/>
  <c r="F243" i="4"/>
  <c r="G243" i="4" s="1"/>
  <c r="E243" i="4"/>
  <c r="AC242" i="4"/>
  <c r="F242" i="4"/>
  <c r="G242" i="4" s="1"/>
  <c r="E242" i="4"/>
  <c r="Y242" i="4" s="1"/>
  <c r="Z242" i="4" s="1"/>
  <c r="AA242" i="4" s="1"/>
  <c r="AD241" i="4"/>
  <c r="AC241" i="4"/>
  <c r="AB241" i="4"/>
  <c r="Y241" i="4"/>
  <c r="Z241" i="4" s="1"/>
  <c r="AA241" i="4" s="1"/>
  <c r="W241" i="4"/>
  <c r="X241" i="4" s="1"/>
  <c r="V241" i="4"/>
  <c r="G241" i="4"/>
  <c r="F241" i="4"/>
  <c r="E241" i="4"/>
  <c r="AD240" i="4"/>
  <c r="AC240" i="4"/>
  <c r="V240" i="4"/>
  <c r="W240" i="4" s="1"/>
  <c r="X240" i="4" s="1"/>
  <c r="G240" i="4"/>
  <c r="F240" i="4"/>
  <c r="E240" i="4"/>
  <c r="AB240" i="4" s="1"/>
  <c r="AD239" i="4"/>
  <c r="Y239" i="4"/>
  <c r="Z239" i="4" s="1"/>
  <c r="AA239" i="4" s="1"/>
  <c r="V239" i="4"/>
  <c r="W239" i="4" s="1"/>
  <c r="X239" i="4" s="1"/>
  <c r="F239" i="4"/>
  <c r="G239" i="4" s="1"/>
  <c r="E239" i="4"/>
  <c r="AC239" i="4" s="1"/>
  <c r="F238" i="4"/>
  <c r="G238" i="4" s="1"/>
  <c r="E238" i="4"/>
  <c r="AD238" i="4" s="1"/>
  <c r="G237" i="4"/>
  <c r="F237" i="4"/>
  <c r="E237" i="4"/>
  <c r="G236" i="4"/>
  <c r="F236" i="4"/>
  <c r="E236" i="4"/>
  <c r="G235" i="4"/>
  <c r="F235" i="4"/>
  <c r="E235" i="4"/>
  <c r="AB234" i="4"/>
  <c r="F234" i="4"/>
  <c r="G234" i="4" s="1"/>
  <c r="E234" i="4"/>
  <c r="AD233" i="4"/>
  <c r="AC233" i="4"/>
  <c r="AB233" i="4"/>
  <c r="Y233" i="4"/>
  <c r="Z233" i="4" s="1"/>
  <c r="AA233" i="4" s="1"/>
  <c r="V233" i="4"/>
  <c r="W233" i="4" s="1"/>
  <c r="X233" i="4" s="1"/>
  <c r="G233" i="4"/>
  <c r="F233" i="4"/>
  <c r="E233" i="4"/>
  <c r="G232" i="4"/>
  <c r="F232" i="4"/>
  <c r="E232" i="4"/>
  <c r="AD231" i="4"/>
  <c r="W231" i="4"/>
  <c r="X231" i="4" s="1"/>
  <c r="V231" i="4"/>
  <c r="F231" i="4"/>
  <c r="G231" i="4" s="1"/>
  <c r="E231" i="4"/>
  <c r="AC231" i="4" s="1"/>
  <c r="AD230" i="4"/>
  <c r="AC230" i="4"/>
  <c r="Y230" i="4"/>
  <c r="Z230" i="4" s="1"/>
  <c r="AA230" i="4" s="1"/>
  <c r="V230" i="4"/>
  <c r="W230" i="4" s="1"/>
  <c r="X230" i="4" s="1"/>
  <c r="G230" i="4"/>
  <c r="F230" i="4"/>
  <c r="E230" i="4"/>
  <c r="AB230" i="4" s="1"/>
  <c r="F229" i="4"/>
  <c r="G229" i="4" s="1"/>
  <c r="E229" i="4"/>
  <c r="AD228" i="4"/>
  <c r="AC228" i="4"/>
  <c r="Y228" i="4"/>
  <c r="Z228" i="4" s="1"/>
  <c r="AA228" i="4" s="1"/>
  <c r="V228" i="4"/>
  <c r="W228" i="4" s="1"/>
  <c r="X228" i="4" s="1"/>
  <c r="G228" i="4"/>
  <c r="F228" i="4"/>
  <c r="E228" i="4"/>
  <c r="AB228" i="4" s="1"/>
  <c r="F227" i="4"/>
  <c r="G227" i="4" s="1"/>
  <c r="E227" i="4"/>
  <c r="AD227" i="4" s="1"/>
  <c r="G226" i="4"/>
  <c r="F226" i="4"/>
  <c r="E226" i="4"/>
  <c r="AD225" i="4"/>
  <c r="AC225" i="4"/>
  <c r="AB225" i="4"/>
  <c r="Y225" i="4"/>
  <c r="Z225" i="4" s="1"/>
  <c r="AA225" i="4" s="1"/>
  <c r="V225" i="4"/>
  <c r="W225" i="4" s="1"/>
  <c r="X225" i="4" s="1"/>
  <c r="F225" i="4"/>
  <c r="G225" i="4" s="1"/>
  <c r="E225" i="4"/>
  <c r="G224" i="4"/>
  <c r="F224" i="4"/>
  <c r="E224" i="4"/>
  <c r="AB224" i="4" s="1"/>
  <c r="F223" i="4"/>
  <c r="G223" i="4" s="1"/>
  <c r="E223" i="4"/>
  <c r="AD222" i="4"/>
  <c r="AC222" i="4"/>
  <c r="V222" i="4"/>
  <c r="W222" i="4" s="1"/>
  <c r="X222" i="4" s="1"/>
  <c r="G222" i="4"/>
  <c r="F222" i="4"/>
  <c r="E222" i="4"/>
  <c r="AB222" i="4" s="1"/>
  <c r="AD221" i="4"/>
  <c r="AC221" i="4"/>
  <c r="Y221" i="4"/>
  <c r="Z221" i="4" s="1"/>
  <c r="AA221" i="4" s="1"/>
  <c r="V221" i="4"/>
  <c r="W221" i="4" s="1"/>
  <c r="X221" i="4" s="1"/>
  <c r="G221" i="4"/>
  <c r="F221" i="4"/>
  <c r="E221" i="4"/>
  <c r="AB221" i="4" s="1"/>
  <c r="AE220" i="4"/>
  <c r="AD220" i="4"/>
  <c r="AC220" i="4"/>
  <c r="Y220" i="4"/>
  <c r="Z220" i="4" s="1"/>
  <c r="AA220" i="4" s="1"/>
  <c r="V220" i="4"/>
  <c r="W220" i="4" s="1"/>
  <c r="X220" i="4" s="1"/>
  <c r="G220" i="4"/>
  <c r="F220" i="4"/>
  <c r="E220" i="4"/>
  <c r="AB220" i="4" s="1"/>
  <c r="AD219" i="4"/>
  <c r="AC219" i="4"/>
  <c r="V219" i="4"/>
  <c r="W219" i="4" s="1"/>
  <c r="X219" i="4" s="1"/>
  <c r="G219" i="4"/>
  <c r="F219" i="4"/>
  <c r="E219" i="4"/>
  <c r="Y219" i="4" s="1"/>
  <c r="Z219" i="4" s="1"/>
  <c r="AA219" i="4" s="1"/>
  <c r="AB218" i="4"/>
  <c r="Y218" i="4"/>
  <c r="Z218" i="4" s="1"/>
  <c r="AA218" i="4" s="1"/>
  <c r="G218" i="4"/>
  <c r="F218" i="4"/>
  <c r="E218" i="4"/>
  <c r="AC218" i="4" s="1"/>
  <c r="AD217" i="4"/>
  <c r="AC217" i="4"/>
  <c r="AB217" i="4"/>
  <c r="AE217" i="4" s="1"/>
  <c r="Y217" i="4"/>
  <c r="Z217" i="4" s="1"/>
  <c r="AA217" i="4" s="1"/>
  <c r="X217" i="4"/>
  <c r="V217" i="4"/>
  <c r="W217" i="4" s="1"/>
  <c r="F217" i="4"/>
  <c r="G217" i="4" s="1"/>
  <c r="E217" i="4"/>
  <c r="AD216" i="4"/>
  <c r="AC216" i="4"/>
  <c r="AB216" i="4"/>
  <c r="G216" i="4"/>
  <c r="F216" i="4"/>
  <c r="E216" i="4"/>
  <c r="V216" i="4" s="1"/>
  <c r="W216" i="4" s="1"/>
  <c r="X216" i="4" s="1"/>
  <c r="AB215" i="4"/>
  <c r="Y215" i="4"/>
  <c r="Z215" i="4" s="1"/>
  <c r="AA215" i="4" s="1"/>
  <c r="V215" i="4"/>
  <c r="W215" i="4" s="1"/>
  <c r="X215" i="4" s="1"/>
  <c r="F215" i="4"/>
  <c r="G215" i="4" s="1"/>
  <c r="E215" i="4"/>
  <c r="AB214" i="4"/>
  <c r="Y214" i="4"/>
  <c r="Z214" i="4" s="1"/>
  <c r="AA214" i="4" s="1"/>
  <c r="F214" i="4"/>
  <c r="G214" i="4" s="1"/>
  <c r="E214" i="4"/>
  <c r="AC214" i="4" s="1"/>
  <c r="AD213" i="4"/>
  <c r="AC213" i="4"/>
  <c r="V213" i="4"/>
  <c r="W213" i="4" s="1"/>
  <c r="X213" i="4" s="1"/>
  <c r="F213" i="4"/>
  <c r="G213" i="4" s="1"/>
  <c r="E213" i="4"/>
  <c r="AB213" i="4" s="1"/>
  <c r="Y212" i="4"/>
  <c r="Z212" i="4" s="1"/>
  <c r="AA212" i="4" s="1"/>
  <c r="G212" i="4"/>
  <c r="F212" i="4"/>
  <c r="E212" i="4"/>
  <c r="AD211" i="4"/>
  <c r="AC211" i="4"/>
  <c r="V211" i="4"/>
  <c r="W211" i="4" s="1"/>
  <c r="X211" i="4" s="1"/>
  <c r="G211" i="4"/>
  <c r="F211" i="4"/>
  <c r="E211" i="4"/>
  <c r="Y211" i="4" s="1"/>
  <c r="Z211" i="4" s="1"/>
  <c r="AA211" i="4" s="1"/>
  <c r="AC210" i="4"/>
  <c r="Y210" i="4"/>
  <c r="Z210" i="4" s="1"/>
  <c r="AA210" i="4" s="1"/>
  <c r="G210" i="4"/>
  <c r="F210" i="4"/>
  <c r="E210" i="4"/>
  <c r="AD209" i="4"/>
  <c r="AE209" i="4" s="1"/>
  <c r="AC209" i="4"/>
  <c r="AB209" i="4"/>
  <c r="Y209" i="4"/>
  <c r="Z209" i="4" s="1"/>
  <c r="AA209" i="4" s="1"/>
  <c r="V209" i="4"/>
  <c r="W209" i="4" s="1"/>
  <c r="X209" i="4" s="1"/>
  <c r="F209" i="4"/>
  <c r="G209" i="4" s="1"/>
  <c r="E209" i="4"/>
  <c r="AD208" i="4"/>
  <c r="AC208" i="4"/>
  <c r="Z208" i="4"/>
  <c r="AA208" i="4" s="1"/>
  <c r="Y208" i="4"/>
  <c r="V208" i="4"/>
  <c r="W208" i="4" s="1"/>
  <c r="X208" i="4" s="1"/>
  <c r="G208" i="4"/>
  <c r="F208" i="4"/>
  <c r="E208" i="4"/>
  <c r="AB208" i="4" s="1"/>
  <c r="AD207" i="4"/>
  <c r="AB207" i="4"/>
  <c r="Y207" i="4"/>
  <c r="Z207" i="4" s="1"/>
  <c r="AA207" i="4" s="1"/>
  <c r="V207" i="4"/>
  <c r="W207" i="4" s="1"/>
  <c r="X207" i="4" s="1"/>
  <c r="F207" i="4"/>
  <c r="G207" i="4" s="1"/>
  <c r="E207" i="4"/>
  <c r="AC207" i="4" s="1"/>
  <c r="AD206" i="4"/>
  <c r="AC206" i="4"/>
  <c r="Y206" i="4"/>
  <c r="Z206" i="4" s="1"/>
  <c r="AA206" i="4" s="1"/>
  <c r="V206" i="4"/>
  <c r="W206" i="4" s="1"/>
  <c r="X206" i="4" s="1"/>
  <c r="F206" i="4"/>
  <c r="G206" i="4" s="1"/>
  <c r="E206" i="4"/>
  <c r="AB206" i="4" s="1"/>
  <c r="AC205" i="4"/>
  <c r="AB205" i="4"/>
  <c r="F205" i="4"/>
  <c r="G205" i="4" s="1"/>
  <c r="E205" i="4"/>
  <c r="V204" i="4"/>
  <c r="W204" i="4" s="1"/>
  <c r="X204" i="4" s="1"/>
  <c r="G204" i="4"/>
  <c r="F204" i="4"/>
  <c r="E204" i="4"/>
  <c r="AD204" i="4" s="1"/>
  <c r="AC203" i="4"/>
  <c r="AB203" i="4"/>
  <c r="F203" i="4"/>
  <c r="G203" i="4" s="1"/>
  <c r="E203" i="4"/>
  <c r="AC202" i="4"/>
  <c r="AA202" i="4"/>
  <c r="G202" i="4"/>
  <c r="F202" i="4"/>
  <c r="E202" i="4"/>
  <c r="Y202" i="4" s="1"/>
  <c r="Z202" i="4" s="1"/>
  <c r="AD201" i="4"/>
  <c r="AE201" i="4" s="1"/>
  <c r="AC201" i="4"/>
  <c r="AB201" i="4"/>
  <c r="Y201" i="4"/>
  <c r="Z201" i="4" s="1"/>
  <c r="AA201" i="4" s="1"/>
  <c r="X201" i="4"/>
  <c r="V201" i="4"/>
  <c r="W201" i="4" s="1"/>
  <c r="G201" i="4"/>
  <c r="F201" i="4"/>
  <c r="E201" i="4"/>
  <c r="AD200" i="4"/>
  <c r="AC200" i="4"/>
  <c r="V200" i="4"/>
  <c r="W200" i="4" s="1"/>
  <c r="X200" i="4" s="1"/>
  <c r="G200" i="4"/>
  <c r="F200" i="4"/>
  <c r="E200" i="4"/>
  <c r="AB200" i="4" s="1"/>
  <c r="AD199" i="4"/>
  <c r="Y199" i="4"/>
  <c r="Z199" i="4" s="1"/>
  <c r="AA199" i="4" s="1"/>
  <c r="X199" i="4"/>
  <c r="V199" i="4"/>
  <c r="W199" i="4" s="1"/>
  <c r="F199" i="4"/>
  <c r="G199" i="4" s="1"/>
  <c r="E199" i="4"/>
  <c r="AC199" i="4" s="1"/>
  <c r="F198" i="4"/>
  <c r="G198" i="4" s="1"/>
  <c r="E198" i="4"/>
  <c r="AC197" i="4"/>
  <c r="Y197" i="4"/>
  <c r="Z197" i="4" s="1"/>
  <c r="AA197" i="4" s="1"/>
  <c r="X197" i="4"/>
  <c r="V197" i="4"/>
  <c r="W197" i="4" s="1"/>
  <c r="F197" i="4"/>
  <c r="G197" i="4" s="1"/>
  <c r="E197" i="4"/>
  <c r="AD197" i="4" s="1"/>
  <c r="G196" i="4"/>
  <c r="F196" i="4"/>
  <c r="E196" i="4"/>
  <c r="AC195" i="4"/>
  <c r="Z195" i="4"/>
  <c r="AA195" i="4" s="1"/>
  <c r="V195" i="4"/>
  <c r="W195" i="4" s="1"/>
  <c r="X195" i="4" s="1"/>
  <c r="F195" i="4"/>
  <c r="G195" i="4" s="1"/>
  <c r="E195" i="4"/>
  <c r="Y195" i="4" s="1"/>
  <c r="AC194" i="4"/>
  <c r="AB194" i="4"/>
  <c r="F194" i="4"/>
  <c r="G194" i="4" s="1"/>
  <c r="E194" i="4"/>
  <c r="AD193" i="4"/>
  <c r="AE193" i="4" s="1"/>
  <c r="AC193" i="4"/>
  <c r="AB193" i="4"/>
  <c r="Z193" i="4"/>
  <c r="AA193" i="4" s="1"/>
  <c r="Y193" i="4"/>
  <c r="V193" i="4"/>
  <c r="W193" i="4" s="1"/>
  <c r="X193" i="4" s="1"/>
  <c r="G193" i="4"/>
  <c r="F193" i="4"/>
  <c r="E193" i="4"/>
  <c r="F192" i="4"/>
  <c r="G192" i="4" s="1"/>
  <c r="E192" i="4"/>
  <c r="AC192" i="4" s="1"/>
  <c r="AD191" i="4"/>
  <c r="V191" i="4"/>
  <c r="W191" i="4" s="1"/>
  <c r="X191" i="4" s="1"/>
  <c r="F191" i="4"/>
  <c r="G191" i="4" s="1"/>
  <c r="E191" i="4"/>
  <c r="AC191" i="4" s="1"/>
  <c r="AB190" i="4"/>
  <c r="Y190" i="4"/>
  <c r="Z190" i="4" s="1"/>
  <c r="AA190" i="4" s="1"/>
  <c r="V190" i="4"/>
  <c r="W190" i="4" s="1"/>
  <c r="X190" i="4" s="1"/>
  <c r="G190" i="4"/>
  <c r="F190" i="4"/>
  <c r="E190" i="4"/>
  <c r="Y189" i="4"/>
  <c r="Z189" i="4" s="1"/>
  <c r="AA189" i="4" s="1"/>
  <c r="V189" i="4"/>
  <c r="W189" i="4" s="1"/>
  <c r="X189" i="4" s="1"/>
  <c r="G189" i="4"/>
  <c r="F189" i="4"/>
  <c r="E189" i="4"/>
  <c r="AD189" i="4" s="1"/>
  <c r="AD188" i="4"/>
  <c r="AE188" i="4" s="1"/>
  <c r="AC188" i="4"/>
  <c r="Y188" i="4"/>
  <c r="Z188" i="4" s="1"/>
  <c r="AA188" i="4" s="1"/>
  <c r="V188" i="4"/>
  <c r="W188" i="4" s="1"/>
  <c r="X188" i="4" s="1"/>
  <c r="G188" i="4"/>
  <c r="F188" i="4"/>
  <c r="E188" i="4"/>
  <c r="AB188" i="4" s="1"/>
  <c r="G187" i="4"/>
  <c r="F187" i="4"/>
  <c r="E187" i="4"/>
  <c r="AC186" i="4"/>
  <c r="F186" i="4"/>
  <c r="G186" i="4" s="1"/>
  <c r="E186" i="4"/>
  <c r="AD185" i="4"/>
  <c r="AC185" i="4"/>
  <c r="AB185" i="4"/>
  <c r="Y185" i="4"/>
  <c r="Z185" i="4" s="1"/>
  <c r="AA185" i="4" s="1"/>
  <c r="V185" i="4"/>
  <c r="W185" i="4" s="1"/>
  <c r="X185" i="4" s="1"/>
  <c r="G185" i="4"/>
  <c r="F185" i="4"/>
  <c r="E185" i="4"/>
  <c r="Y184" i="4"/>
  <c r="Z184" i="4" s="1"/>
  <c r="AA184" i="4" s="1"/>
  <c r="V184" i="4"/>
  <c r="W184" i="4" s="1"/>
  <c r="X184" i="4" s="1"/>
  <c r="F184" i="4"/>
  <c r="G184" i="4" s="1"/>
  <c r="E184" i="4"/>
  <c r="AD184" i="4" s="1"/>
  <c r="F183" i="4"/>
  <c r="G183" i="4" s="1"/>
  <c r="E183" i="4"/>
  <c r="AD183" i="4" s="1"/>
  <c r="AB182" i="4"/>
  <c r="G182" i="4"/>
  <c r="F182" i="4"/>
  <c r="E182" i="4"/>
  <c r="AB181" i="4"/>
  <c r="G181" i="4"/>
  <c r="F181" i="4"/>
  <c r="E181" i="4"/>
  <c r="AD180" i="4"/>
  <c r="Y180" i="4"/>
  <c r="Z180" i="4" s="1"/>
  <c r="AA180" i="4" s="1"/>
  <c r="V180" i="4"/>
  <c r="W180" i="4" s="1"/>
  <c r="X180" i="4" s="1"/>
  <c r="G180" i="4"/>
  <c r="F180" i="4"/>
  <c r="E180" i="4"/>
  <c r="AB180" i="4" s="1"/>
  <c r="AD179" i="4"/>
  <c r="Y179" i="4"/>
  <c r="Z179" i="4" s="1"/>
  <c r="AA179" i="4" s="1"/>
  <c r="V179" i="4"/>
  <c r="W179" i="4" s="1"/>
  <c r="X179" i="4" s="1"/>
  <c r="F179" i="4"/>
  <c r="G179" i="4" s="1"/>
  <c r="E179" i="4"/>
  <c r="AC179" i="4" s="1"/>
  <c r="AD178" i="4"/>
  <c r="AC178" i="4"/>
  <c r="G178" i="4"/>
  <c r="F178" i="4"/>
  <c r="E178" i="4"/>
  <c r="AB178" i="4" s="1"/>
  <c r="AC177" i="4"/>
  <c r="Y177" i="4"/>
  <c r="Z177" i="4" s="1"/>
  <c r="AA177" i="4" s="1"/>
  <c r="X177" i="4"/>
  <c r="V177" i="4"/>
  <c r="W177" i="4" s="1"/>
  <c r="F177" i="4"/>
  <c r="G177" i="4" s="1"/>
  <c r="E177" i="4"/>
  <c r="AD177" i="4" s="1"/>
  <c r="G176" i="4"/>
  <c r="F176" i="4"/>
  <c r="E176" i="4"/>
  <c r="AC175" i="4"/>
  <c r="X175" i="4"/>
  <c r="V175" i="4"/>
  <c r="W175" i="4" s="1"/>
  <c r="F175" i="4"/>
  <c r="G175" i="4" s="1"/>
  <c r="E175" i="4"/>
  <c r="Y175" i="4" s="1"/>
  <c r="Z175" i="4" s="1"/>
  <c r="AA175" i="4" s="1"/>
  <c r="G174" i="4"/>
  <c r="F174" i="4"/>
  <c r="E174" i="4"/>
  <c r="AB174" i="4" s="1"/>
  <c r="AD173" i="4"/>
  <c r="AC173" i="4"/>
  <c r="AB173" i="4"/>
  <c r="Y173" i="4"/>
  <c r="Z173" i="4" s="1"/>
  <c r="AA173" i="4" s="1"/>
  <c r="V173" i="4"/>
  <c r="W173" i="4" s="1"/>
  <c r="X173" i="4" s="1"/>
  <c r="G173" i="4"/>
  <c r="F173" i="4"/>
  <c r="E173" i="4"/>
  <c r="G172" i="4"/>
  <c r="F172" i="4"/>
  <c r="E172" i="4"/>
  <c r="AB172" i="4" s="1"/>
  <c r="AD171" i="4"/>
  <c r="Y171" i="4"/>
  <c r="Z171" i="4" s="1"/>
  <c r="AA171" i="4" s="1"/>
  <c r="V171" i="4"/>
  <c r="W171" i="4" s="1"/>
  <c r="X171" i="4" s="1"/>
  <c r="F171" i="4"/>
  <c r="G171" i="4" s="1"/>
  <c r="E171" i="4"/>
  <c r="AC171" i="4" s="1"/>
  <c r="AD169" i="4"/>
  <c r="AC169" i="4"/>
  <c r="Y169" i="4"/>
  <c r="Z169" i="4" s="1"/>
  <c r="AA169" i="4" s="1"/>
  <c r="V169" i="4"/>
  <c r="W169" i="4" s="1"/>
  <c r="X169" i="4" s="1"/>
  <c r="G169" i="4"/>
  <c r="F169" i="4"/>
  <c r="E169" i="4"/>
  <c r="AB169" i="4" s="1"/>
  <c r="AE169" i="4" s="1"/>
  <c r="AD168" i="4"/>
  <c r="AC168" i="4"/>
  <c r="F168" i="4"/>
  <c r="G168" i="4" s="1"/>
  <c r="E168" i="4"/>
  <c r="AB168" i="4" s="1"/>
  <c r="AD167" i="4"/>
  <c r="AC167" i="4"/>
  <c r="Y167" i="4"/>
  <c r="Z167" i="4" s="1"/>
  <c r="AA167" i="4" s="1"/>
  <c r="G167" i="4"/>
  <c r="F167" i="4"/>
  <c r="E167" i="4"/>
  <c r="AB167" i="4" s="1"/>
  <c r="AD166" i="4"/>
  <c r="AC166" i="4"/>
  <c r="G166" i="4"/>
  <c r="F166" i="4"/>
  <c r="E166" i="4"/>
  <c r="Y166" i="4" s="1"/>
  <c r="Z166" i="4" s="1"/>
  <c r="AA166" i="4" s="1"/>
  <c r="AC165" i="4"/>
  <c r="Y165" i="4"/>
  <c r="Z165" i="4" s="1"/>
  <c r="AA165" i="4" s="1"/>
  <c r="F165" i="4"/>
  <c r="G165" i="4" s="1"/>
  <c r="E165" i="4"/>
  <c r="AD164" i="4"/>
  <c r="AC164" i="4"/>
  <c r="AB164" i="4"/>
  <c r="AE164" i="4" s="1"/>
  <c r="Y164" i="4"/>
  <c r="Z164" i="4" s="1"/>
  <c r="AA164" i="4" s="1"/>
  <c r="V164" i="4"/>
  <c r="W164" i="4" s="1"/>
  <c r="X164" i="4" s="1"/>
  <c r="F164" i="4"/>
  <c r="G164" i="4" s="1"/>
  <c r="E164" i="4"/>
  <c r="AC163" i="4"/>
  <c r="Y163" i="4"/>
  <c r="Z163" i="4" s="1"/>
  <c r="AA163" i="4" s="1"/>
  <c r="V163" i="4"/>
  <c r="W163" i="4" s="1"/>
  <c r="X163" i="4" s="1"/>
  <c r="F163" i="4"/>
  <c r="G163" i="4" s="1"/>
  <c r="E163" i="4"/>
  <c r="AD163" i="4" s="1"/>
  <c r="AB162" i="4"/>
  <c r="F162" i="4"/>
  <c r="G162" i="4" s="1"/>
  <c r="E162" i="4"/>
  <c r="AD161" i="4"/>
  <c r="V161" i="4"/>
  <c r="W161" i="4" s="1"/>
  <c r="X161" i="4" s="1"/>
  <c r="G161" i="4"/>
  <c r="F161" i="4"/>
  <c r="E161" i="4"/>
  <c r="AC161" i="4" s="1"/>
  <c r="AD160" i="4"/>
  <c r="AC160" i="4"/>
  <c r="Y160" i="4"/>
  <c r="Z160" i="4" s="1"/>
  <c r="AA160" i="4" s="1"/>
  <c r="V160" i="4"/>
  <c r="W160" i="4" s="1"/>
  <c r="X160" i="4" s="1"/>
  <c r="G160" i="4"/>
  <c r="F160" i="4"/>
  <c r="E160" i="4"/>
  <c r="AB160" i="4" s="1"/>
  <c r="AD159" i="4"/>
  <c r="AE159" i="4" s="1"/>
  <c r="AC159" i="4"/>
  <c r="Y159" i="4"/>
  <c r="Z159" i="4" s="1"/>
  <c r="AA159" i="4" s="1"/>
  <c r="V159" i="4"/>
  <c r="W159" i="4" s="1"/>
  <c r="X159" i="4" s="1"/>
  <c r="G159" i="4"/>
  <c r="F159" i="4"/>
  <c r="E159" i="4"/>
  <c r="AB159" i="4" s="1"/>
  <c r="AD158" i="4"/>
  <c r="AC158" i="4"/>
  <c r="V158" i="4"/>
  <c r="W158" i="4" s="1"/>
  <c r="X158" i="4" s="1"/>
  <c r="G158" i="4"/>
  <c r="F158" i="4"/>
  <c r="E158" i="4"/>
  <c r="Y158" i="4" s="1"/>
  <c r="Z158" i="4" s="1"/>
  <c r="AA158" i="4" s="1"/>
  <c r="G157" i="4"/>
  <c r="F157" i="4"/>
  <c r="E157" i="4"/>
  <c r="AD156" i="4"/>
  <c r="AC156" i="4"/>
  <c r="AB156" i="4"/>
  <c r="Y156" i="4"/>
  <c r="Z156" i="4" s="1"/>
  <c r="AA156" i="4" s="1"/>
  <c r="V156" i="4"/>
  <c r="W156" i="4" s="1"/>
  <c r="X156" i="4" s="1"/>
  <c r="F156" i="4"/>
  <c r="G156" i="4" s="1"/>
  <c r="E156" i="4"/>
  <c r="AD155" i="4"/>
  <c r="AC155" i="4"/>
  <c r="AB155" i="4"/>
  <c r="F155" i="4"/>
  <c r="G155" i="4" s="1"/>
  <c r="E155" i="4"/>
  <c r="Y154" i="4"/>
  <c r="Z154" i="4" s="1"/>
  <c r="AA154" i="4" s="1"/>
  <c r="F154" i="4"/>
  <c r="G154" i="4" s="1"/>
  <c r="E154" i="4"/>
  <c r="AC154" i="4" s="1"/>
  <c r="AC153" i="4"/>
  <c r="AB153" i="4"/>
  <c r="F153" i="4"/>
  <c r="G153" i="4" s="1"/>
  <c r="E153" i="4"/>
  <c r="AD152" i="4"/>
  <c r="V152" i="4"/>
  <c r="W152" i="4" s="1"/>
  <c r="X152" i="4" s="1"/>
  <c r="G152" i="4"/>
  <c r="F152" i="4"/>
  <c r="E152" i="4"/>
  <c r="AC152" i="4" s="1"/>
  <c r="Y151" i="4"/>
  <c r="Z151" i="4" s="1"/>
  <c r="AA151" i="4" s="1"/>
  <c r="G151" i="4"/>
  <c r="F151" i="4"/>
  <c r="E151" i="4"/>
  <c r="AD150" i="4"/>
  <c r="V150" i="4"/>
  <c r="W150" i="4" s="1"/>
  <c r="X150" i="4" s="1"/>
  <c r="G150" i="4"/>
  <c r="F150" i="4"/>
  <c r="E150" i="4"/>
  <c r="Y150" i="4" s="1"/>
  <c r="Z150" i="4" s="1"/>
  <c r="AA150" i="4" s="1"/>
  <c r="AC149" i="4"/>
  <c r="Y149" i="4"/>
  <c r="Z149" i="4" s="1"/>
  <c r="AA149" i="4" s="1"/>
  <c r="G149" i="4"/>
  <c r="F149" i="4"/>
  <c r="E149" i="4"/>
  <c r="AD148" i="4"/>
  <c r="AC148" i="4"/>
  <c r="AB148" i="4"/>
  <c r="Y148" i="4"/>
  <c r="Z148" i="4" s="1"/>
  <c r="AA148" i="4" s="1"/>
  <c r="V148" i="4"/>
  <c r="W148" i="4" s="1"/>
  <c r="X148" i="4" s="1"/>
  <c r="G148" i="4"/>
  <c r="F148" i="4"/>
  <c r="E148" i="4"/>
  <c r="AD147" i="4"/>
  <c r="AC147" i="4"/>
  <c r="Y147" i="4"/>
  <c r="Z147" i="4" s="1"/>
  <c r="AA147" i="4" s="1"/>
  <c r="V147" i="4"/>
  <c r="W147" i="4" s="1"/>
  <c r="X147" i="4" s="1"/>
  <c r="G147" i="4"/>
  <c r="F147" i="4"/>
  <c r="E147" i="4"/>
  <c r="AB147" i="4" s="1"/>
  <c r="AB146" i="4"/>
  <c r="F146" i="4"/>
  <c r="G146" i="4" s="1"/>
  <c r="E146" i="4"/>
  <c r="AD146" i="4" s="1"/>
  <c r="AD145" i="4"/>
  <c r="AC145" i="4"/>
  <c r="Y145" i="4"/>
  <c r="Z145" i="4" s="1"/>
  <c r="AA145" i="4" s="1"/>
  <c r="F145" i="4"/>
  <c r="G145" i="4" s="1"/>
  <c r="E145" i="4"/>
  <c r="V145" i="4" s="1"/>
  <c r="W145" i="4" s="1"/>
  <c r="X145" i="4" s="1"/>
  <c r="AC144" i="4"/>
  <c r="AB144" i="4"/>
  <c r="F144" i="4"/>
  <c r="G144" i="4" s="1"/>
  <c r="E144" i="4"/>
  <c r="V143" i="4"/>
  <c r="W143" i="4" s="1"/>
  <c r="X143" i="4" s="1"/>
  <c r="G143" i="4"/>
  <c r="F143" i="4"/>
  <c r="E143" i="4"/>
  <c r="AB143" i="4" s="1"/>
  <c r="F142" i="4"/>
  <c r="G142" i="4" s="1"/>
  <c r="E142" i="4"/>
  <c r="AC142" i="4" s="1"/>
  <c r="G141" i="4"/>
  <c r="F141" i="4"/>
  <c r="E141" i="4"/>
  <c r="Y141" i="4" s="1"/>
  <c r="Z141" i="4" s="1"/>
  <c r="AA141" i="4" s="1"/>
  <c r="AD140" i="4"/>
  <c r="AC140" i="4"/>
  <c r="AB140" i="4"/>
  <c r="AE140" i="4" s="1"/>
  <c r="Y140" i="4"/>
  <c r="Z140" i="4" s="1"/>
  <c r="AA140" i="4" s="1"/>
  <c r="V140" i="4"/>
  <c r="W140" i="4" s="1"/>
  <c r="X140" i="4" s="1"/>
  <c r="G140" i="4"/>
  <c r="F140" i="4"/>
  <c r="E140" i="4"/>
  <c r="AD139" i="4"/>
  <c r="V139" i="4"/>
  <c r="W139" i="4" s="1"/>
  <c r="X139" i="4" s="1"/>
  <c r="G139" i="4"/>
  <c r="F139" i="4"/>
  <c r="E139" i="4"/>
  <c r="AC139" i="4" s="1"/>
  <c r="AD138" i="4"/>
  <c r="Y138" i="4"/>
  <c r="Z138" i="4" s="1"/>
  <c r="AA138" i="4" s="1"/>
  <c r="V138" i="4"/>
  <c r="W138" i="4" s="1"/>
  <c r="X138" i="4" s="1"/>
  <c r="F138" i="4"/>
  <c r="G138" i="4" s="1"/>
  <c r="E138" i="4"/>
  <c r="AC138" i="4" s="1"/>
  <c r="AD137" i="4"/>
  <c r="AC137" i="4"/>
  <c r="Y137" i="4"/>
  <c r="Z137" i="4" s="1"/>
  <c r="AA137" i="4" s="1"/>
  <c r="V137" i="4"/>
  <c r="W137" i="4" s="1"/>
  <c r="X137" i="4" s="1"/>
  <c r="G137" i="4"/>
  <c r="F137" i="4"/>
  <c r="E137" i="4"/>
  <c r="AB137" i="4" s="1"/>
  <c r="AD136" i="4"/>
  <c r="AC136" i="4"/>
  <c r="Y136" i="4"/>
  <c r="Z136" i="4" s="1"/>
  <c r="AA136" i="4" s="1"/>
  <c r="X136" i="4"/>
  <c r="F136" i="4"/>
  <c r="G136" i="4" s="1"/>
  <c r="E136" i="4"/>
  <c r="V136" i="4" s="1"/>
  <c r="W136" i="4" s="1"/>
  <c r="G135" i="4"/>
  <c r="F135" i="4"/>
  <c r="E135" i="4"/>
  <c r="AD135" i="4" s="1"/>
  <c r="AD134" i="4"/>
  <c r="AC134" i="4"/>
  <c r="Z134" i="4"/>
  <c r="AA134" i="4" s="1"/>
  <c r="F134" i="4"/>
  <c r="G134" i="4" s="1"/>
  <c r="E134" i="4"/>
  <c r="Y134" i="4" s="1"/>
  <c r="AC133" i="4"/>
  <c r="G133" i="4"/>
  <c r="F133" i="4"/>
  <c r="E133" i="4"/>
  <c r="AB133" i="4" s="1"/>
  <c r="AD132" i="4"/>
  <c r="AC132" i="4"/>
  <c r="AB132" i="4"/>
  <c r="AE132" i="4" s="1"/>
  <c r="Y132" i="4"/>
  <c r="Z132" i="4" s="1"/>
  <c r="AA132" i="4" s="1"/>
  <c r="X132" i="4"/>
  <c r="V132" i="4"/>
  <c r="W132" i="4" s="1"/>
  <c r="G132" i="4"/>
  <c r="F132" i="4"/>
  <c r="E132" i="4"/>
  <c r="AD131" i="4"/>
  <c r="AC131" i="4"/>
  <c r="V131" i="4"/>
  <c r="W131" i="4" s="1"/>
  <c r="X131" i="4" s="1"/>
  <c r="G131" i="4"/>
  <c r="F131" i="4"/>
  <c r="E131" i="4"/>
  <c r="AB131" i="4" s="1"/>
  <c r="F130" i="4"/>
  <c r="G130" i="4" s="1"/>
  <c r="E130" i="4"/>
  <c r="AB130" i="4" s="1"/>
  <c r="AC129" i="4"/>
  <c r="AB129" i="4"/>
  <c r="Y129" i="4"/>
  <c r="Z129" i="4" s="1"/>
  <c r="AA129" i="4" s="1"/>
  <c r="F129" i="4"/>
  <c r="G129" i="4" s="1"/>
  <c r="E129" i="4"/>
  <c r="AD129" i="4" s="1"/>
  <c r="AD128" i="4"/>
  <c r="AC128" i="4"/>
  <c r="AB128" i="4"/>
  <c r="Y128" i="4"/>
  <c r="Z128" i="4" s="1"/>
  <c r="AA128" i="4" s="1"/>
  <c r="V128" i="4"/>
  <c r="W128" i="4" s="1"/>
  <c r="X128" i="4" s="1"/>
  <c r="F128" i="4"/>
  <c r="G128" i="4" s="1"/>
  <c r="E128" i="4"/>
  <c r="Y127" i="4"/>
  <c r="Z127" i="4" s="1"/>
  <c r="AA127" i="4" s="1"/>
  <c r="G127" i="4"/>
  <c r="F127" i="4"/>
  <c r="E127" i="4"/>
  <c r="AD127" i="4" s="1"/>
  <c r="F126" i="4"/>
  <c r="G126" i="4" s="1"/>
  <c r="E126" i="4"/>
  <c r="AD126" i="4" s="1"/>
  <c r="G125" i="4"/>
  <c r="F125" i="4"/>
  <c r="E125" i="4"/>
  <c r="AC125" i="4" s="1"/>
  <c r="AD124" i="4"/>
  <c r="AC124" i="4"/>
  <c r="AB124" i="4"/>
  <c r="Y124" i="4"/>
  <c r="Z124" i="4" s="1"/>
  <c r="AA124" i="4" s="1"/>
  <c r="V124" i="4"/>
  <c r="W124" i="4" s="1"/>
  <c r="X124" i="4" s="1"/>
  <c r="G124" i="4"/>
  <c r="F124" i="4"/>
  <c r="E124" i="4"/>
  <c r="AD123" i="4"/>
  <c r="AC123" i="4"/>
  <c r="V123" i="4"/>
  <c r="W123" i="4" s="1"/>
  <c r="X123" i="4" s="1"/>
  <c r="G123" i="4"/>
  <c r="F123" i="4"/>
  <c r="E123" i="4"/>
  <c r="AB123" i="4" s="1"/>
  <c r="AB122" i="4"/>
  <c r="F122" i="4"/>
  <c r="G122" i="4" s="1"/>
  <c r="E122" i="4"/>
  <c r="AC121" i="4"/>
  <c r="AB121" i="4"/>
  <c r="AE121" i="4" s="1"/>
  <c r="Y121" i="4"/>
  <c r="Z121" i="4" s="1"/>
  <c r="AA121" i="4" s="1"/>
  <c r="F121" i="4"/>
  <c r="G121" i="4" s="1"/>
  <c r="E121" i="4"/>
  <c r="AD121" i="4" s="1"/>
  <c r="AD120" i="4"/>
  <c r="AC120" i="4"/>
  <c r="AB120" i="4"/>
  <c r="AE120" i="4" s="1"/>
  <c r="Y120" i="4"/>
  <c r="Z120" i="4" s="1"/>
  <c r="AA120" i="4" s="1"/>
  <c r="V120" i="4"/>
  <c r="W120" i="4" s="1"/>
  <c r="X120" i="4" s="1"/>
  <c r="F120" i="4"/>
  <c r="G120" i="4" s="1"/>
  <c r="E120" i="4"/>
  <c r="AD119" i="4"/>
  <c r="Y119" i="4"/>
  <c r="Z119" i="4" s="1"/>
  <c r="AA119" i="4" s="1"/>
  <c r="V119" i="4"/>
  <c r="W119" i="4" s="1"/>
  <c r="X119" i="4" s="1"/>
  <c r="G119" i="4"/>
  <c r="F119" i="4"/>
  <c r="E119" i="4"/>
  <c r="AD118" i="4"/>
  <c r="V118" i="4"/>
  <c r="W118" i="4" s="1"/>
  <c r="X118" i="4" s="1"/>
  <c r="F118" i="4"/>
  <c r="G118" i="4" s="1"/>
  <c r="E118" i="4"/>
  <c r="F117" i="4"/>
  <c r="G117" i="4" s="1"/>
  <c r="E117" i="4"/>
  <c r="AC117" i="4" s="1"/>
  <c r="AD116" i="4"/>
  <c r="AC116" i="4"/>
  <c r="AB116" i="4"/>
  <c r="AE116" i="4" s="1"/>
  <c r="Y116" i="4"/>
  <c r="Z116" i="4" s="1"/>
  <c r="AA116" i="4" s="1"/>
  <c r="V116" i="4"/>
  <c r="W116" i="4" s="1"/>
  <c r="X116" i="4" s="1"/>
  <c r="G116" i="4"/>
  <c r="F116" i="4"/>
  <c r="E116" i="4"/>
  <c r="AD115" i="4"/>
  <c r="AC115" i="4"/>
  <c r="V115" i="4"/>
  <c r="W115" i="4" s="1"/>
  <c r="X115" i="4" s="1"/>
  <c r="G115" i="4"/>
  <c r="F115" i="4"/>
  <c r="E115" i="4"/>
  <c r="AB115" i="4" s="1"/>
  <c r="AB114" i="4"/>
  <c r="F114" i="4"/>
  <c r="G114" i="4" s="1"/>
  <c r="E114" i="4"/>
  <c r="AC113" i="4"/>
  <c r="AB113" i="4"/>
  <c r="Y113" i="4"/>
  <c r="Z113" i="4" s="1"/>
  <c r="AA113" i="4" s="1"/>
  <c r="F113" i="4"/>
  <c r="G113" i="4" s="1"/>
  <c r="E113" i="4"/>
  <c r="AD113" i="4" s="1"/>
  <c r="AD112" i="4"/>
  <c r="AC112" i="4"/>
  <c r="AB112" i="4"/>
  <c r="Y112" i="4"/>
  <c r="Z112" i="4" s="1"/>
  <c r="AA112" i="4" s="1"/>
  <c r="V112" i="4"/>
  <c r="W112" i="4" s="1"/>
  <c r="X112" i="4" s="1"/>
  <c r="G112" i="4"/>
  <c r="F112" i="4"/>
  <c r="E112" i="4"/>
  <c r="V111" i="4"/>
  <c r="W111" i="4" s="1"/>
  <c r="X111" i="4" s="1"/>
  <c r="G111" i="4"/>
  <c r="F111" i="4"/>
  <c r="E111" i="4"/>
  <c r="AD111" i="4" s="1"/>
  <c r="AD110" i="4"/>
  <c r="V110" i="4"/>
  <c r="W110" i="4" s="1"/>
  <c r="X110" i="4" s="1"/>
  <c r="F110" i="4"/>
  <c r="G110" i="4" s="1"/>
  <c r="E110" i="4"/>
  <c r="AC109" i="4"/>
  <c r="AB109" i="4"/>
  <c r="F109" i="4"/>
  <c r="G109" i="4" s="1"/>
  <c r="E109" i="4"/>
  <c r="AD108" i="4"/>
  <c r="AC108" i="4"/>
  <c r="AB108" i="4"/>
  <c r="AE108" i="4" s="1"/>
  <c r="Y108" i="4"/>
  <c r="Z108" i="4" s="1"/>
  <c r="AA108" i="4" s="1"/>
  <c r="V108" i="4"/>
  <c r="W108" i="4" s="1"/>
  <c r="X108" i="4" s="1"/>
  <c r="G108" i="4"/>
  <c r="F108" i="4"/>
  <c r="E108" i="4"/>
  <c r="AD107" i="4"/>
  <c r="AC107" i="4"/>
  <c r="V107" i="4"/>
  <c r="W107" i="4" s="1"/>
  <c r="X107" i="4" s="1"/>
  <c r="G107" i="4"/>
  <c r="F107" i="4"/>
  <c r="E107" i="4"/>
  <c r="AB107" i="4" s="1"/>
  <c r="AE107" i="4" s="1"/>
  <c r="F106" i="4"/>
  <c r="G106" i="4" s="1"/>
  <c r="E106" i="4"/>
  <c r="AC105" i="4"/>
  <c r="AB105" i="4"/>
  <c r="AE105" i="4" s="1"/>
  <c r="Y105" i="4"/>
  <c r="Z105" i="4" s="1"/>
  <c r="AA105" i="4" s="1"/>
  <c r="F105" i="4"/>
  <c r="G105" i="4" s="1"/>
  <c r="E105" i="4"/>
  <c r="AD105" i="4" s="1"/>
  <c r="AD104" i="4"/>
  <c r="AC104" i="4"/>
  <c r="AB104" i="4"/>
  <c r="Y104" i="4"/>
  <c r="Z104" i="4" s="1"/>
  <c r="AA104" i="4" s="1"/>
  <c r="V104" i="4"/>
  <c r="W104" i="4" s="1"/>
  <c r="X104" i="4" s="1"/>
  <c r="F104" i="4"/>
  <c r="G104" i="4" s="1"/>
  <c r="E104" i="4"/>
  <c r="AD103" i="4"/>
  <c r="Y103" i="4"/>
  <c r="Z103" i="4" s="1"/>
  <c r="AA103" i="4" s="1"/>
  <c r="V103" i="4"/>
  <c r="W103" i="4" s="1"/>
  <c r="X103" i="4" s="1"/>
  <c r="G103" i="4"/>
  <c r="F103" i="4"/>
  <c r="E103" i="4"/>
  <c r="AD102" i="4"/>
  <c r="F102" i="4"/>
  <c r="G102" i="4" s="1"/>
  <c r="E102" i="4"/>
  <c r="AC101" i="4"/>
  <c r="AB101" i="4"/>
  <c r="G101" i="4"/>
  <c r="F101" i="4"/>
  <c r="E101" i="4"/>
  <c r="AD100" i="4"/>
  <c r="AC100" i="4"/>
  <c r="AB100" i="4"/>
  <c r="Y100" i="4"/>
  <c r="Z100" i="4" s="1"/>
  <c r="AA100" i="4" s="1"/>
  <c r="V100" i="4"/>
  <c r="W100" i="4" s="1"/>
  <c r="X100" i="4" s="1"/>
  <c r="G100" i="4"/>
  <c r="F100" i="4"/>
  <c r="E100" i="4"/>
  <c r="AD99" i="4"/>
  <c r="AC99" i="4"/>
  <c r="V99" i="4"/>
  <c r="W99" i="4" s="1"/>
  <c r="X99" i="4" s="1"/>
  <c r="G99" i="4"/>
  <c r="F99" i="4"/>
  <c r="E99" i="4"/>
  <c r="AB99" i="4" s="1"/>
  <c r="F98" i="4"/>
  <c r="G98" i="4" s="1"/>
  <c r="E98" i="4"/>
  <c r="AC97" i="4"/>
  <c r="AB97" i="4"/>
  <c r="Y97" i="4"/>
  <c r="Z97" i="4" s="1"/>
  <c r="AA97" i="4" s="1"/>
  <c r="F97" i="4"/>
  <c r="G97" i="4" s="1"/>
  <c r="E97" i="4"/>
  <c r="AD97" i="4" s="1"/>
  <c r="AD96" i="4"/>
  <c r="AC96" i="4"/>
  <c r="AB96" i="4"/>
  <c r="Y96" i="4"/>
  <c r="Z96" i="4" s="1"/>
  <c r="AA96" i="4" s="1"/>
  <c r="V96" i="4"/>
  <c r="W96" i="4" s="1"/>
  <c r="X96" i="4" s="1"/>
  <c r="G96" i="4"/>
  <c r="F96" i="4"/>
  <c r="E96" i="4"/>
  <c r="G95" i="4"/>
  <c r="F95" i="4"/>
  <c r="E95" i="4"/>
  <c r="F94" i="4"/>
  <c r="G94" i="4" s="1"/>
  <c r="E94" i="4"/>
  <c r="AC93" i="4"/>
  <c r="F93" i="4"/>
  <c r="G93" i="4" s="1"/>
  <c r="E93" i="4"/>
  <c r="AD92" i="4"/>
  <c r="AC92" i="4"/>
  <c r="AB92" i="4"/>
  <c r="Y92" i="4"/>
  <c r="Z92" i="4" s="1"/>
  <c r="AA92" i="4" s="1"/>
  <c r="V92" i="4"/>
  <c r="W92" i="4" s="1"/>
  <c r="X92" i="4" s="1"/>
  <c r="G92" i="4"/>
  <c r="F92" i="4"/>
  <c r="E92" i="4"/>
  <c r="AD91" i="4"/>
  <c r="AC91" i="4"/>
  <c r="V91" i="4"/>
  <c r="W91" i="4" s="1"/>
  <c r="X91" i="4" s="1"/>
  <c r="G91" i="4"/>
  <c r="F91" i="4"/>
  <c r="E91" i="4"/>
  <c r="AB91" i="4" s="1"/>
  <c r="AB90" i="4"/>
  <c r="F90" i="4"/>
  <c r="G90" i="4" s="1"/>
  <c r="E90" i="4"/>
  <c r="AC89" i="4"/>
  <c r="AB89" i="4"/>
  <c r="Y89" i="4"/>
  <c r="Z89" i="4" s="1"/>
  <c r="AA89" i="4" s="1"/>
  <c r="F89" i="4"/>
  <c r="G89" i="4" s="1"/>
  <c r="E89" i="4"/>
  <c r="AD89" i="4" s="1"/>
  <c r="AD88" i="4"/>
  <c r="AC88" i="4"/>
  <c r="AB88" i="4"/>
  <c r="Y88" i="4"/>
  <c r="Z88" i="4" s="1"/>
  <c r="AA88" i="4" s="1"/>
  <c r="V88" i="4"/>
  <c r="W88" i="4" s="1"/>
  <c r="X88" i="4" s="1"/>
  <c r="F88" i="4"/>
  <c r="G88" i="4" s="1"/>
  <c r="E88" i="4"/>
  <c r="G87" i="4"/>
  <c r="F87" i="4"/>
  <c r="E87" i="4"/>
  <c r="AD87" i="4" s="1"/>
  <c r="F86" i="4"/>
  <c r="G86" i="4" s="1"/>
  <c r="E86" i="4"/>
  <c r="AD86" i="4" s="1"/>
  <c r="G84" i="4"/>
  <c r="F84" i="4"/>
  <c r="E84" i="4"/>
  <c r="AD83" i="4"/>
  <c r="AC83" i="4"/>
  <c r="AB83" i="4"/>
  <c r="Y83" i="4"/>
  <c r="Z83" i="4" s="1"/>
  <c r="AA83" i="4" s="1"/>
  <c r="V83" i="4"/>
  <c r="W83" i="4" s="1"/>
  <c r="X83" i="4" s="1"/>
  <c r="G83" i="4"/>
  <c r="F83" i="4"/>
  <c r="E83" i="4"/>
  <c r="AD82" i="4"/>
  <c r="AC82" i="4"/>
  <c r="V82" i="4"/>
  <c r="W82" i="4" s="1"/>
  <c r="X82" i="4" s="1"/>
  <c r="G82" i="4"/>
  <c r="F82" i="4"/>
  <c r="E82" i="4"/>
  <c r="AB82" i="4" s="1"/>
  <c r="F81" i="4"/>
  <c r="G81" i="4" s="1"/>
  <c r="E81" i="4"/>
  <c r="AB81" i="4" s="1"/>
  <c r="AE80" i="4"/>
  <c r="AC80" i="4"/>
  <c r="AB80" i="4"/>
  <c r="Y80" i="4"/>
  <c r="Z80" i="4" s="1"/>
  <c r="AA80" i="4" s="1"/>
  <c r="F80" i="4"/>
  <c r="G80" i="4" s="1"/>
  <c r="E80" i="4"/>
  <c r="AD80" i="4" s="1"/>
  <c r="AD79" i="4"/>
  <c r="AC79" i="4"/>
  <c r="AB79" i="4"/>
  <c r="Y79" i="4"/>
  <c r="Z79" i="4" s="1"/>
  <c r="AA79" i="4" s="1"/>
  <c r="V79" i="4"/>
  <c r="W79" i="4" s="1"/>
  <c r="X79" i="4" s="1"/>
  <c r="G79" i="4"/>
  <c r="F79" i="4"/>
  <c r="E79" i="4"/>
  <c r="AD78" i="4"/>
  <c r="Y78" i="4"/>
  <c r="Z78" i="4" s="1"/>
  <c r="AA78" i="4" s="1"/>
  <c r="V78" i="4"/>
  <c r="W78" i="4" s="1"/>
  <c r="X78" i="4" s="1"/>
  <c r="G78" i="4"/>
  <c r="F78" i="4"/>
  <c r="E78" i="4"/>
  <c r="AD77" i="4"/>
  <c r="V77" i="4"/>
  <c r="W77" i="4" s="1"/>
  <c r="X77" i="4" s="1"/>
  <c r="F77" i="4"/>
  <c r="G77" i="4" s="1"/>
  <c r="E77" i="4"/>
  <c r="AB76" i="4"/>
  <c r="F76" i="4"/>
  <c r="G76" i="4" s="1"/>
  <c r="E76" i="4"/>
  <c r="AC76" i="4" s="1"/>
  <c r="AD75" i="4"/>
  <c r="AC75" i="4"/>
  <c r="AB75" i="4"/>
  <c r="AE75" i="4" s="1"/>
  <c r="Y75" i="4"/>
  <c r="Z75" i="4" s="1"/>
  <c r="AA75" i="4" s="1"/>
  <c r="V75" i="4"/>
  <c r="W75" i="4" s="1"/>
  <c r="X75" i="4" s="1"/>
  <c r="G75" i="4"/>
  <c r="F75" i="4"/>
  <c r="E75" i="4"/>
  <c r="AD74" i="4"/>
  <c r="AC74" i="4"/>
  <c r="W74" i="4"/>
  <c r="X74" i="4" s="1"/>
  <c r="V74" i="4"/>
  <c r="G74" i="4"/>
  <c r="F74" i="4"/>
  <c r="E74" i="4"/>
  <c r="AB74" i="4" s="1"/>
  <c r="AB73" i="4"/>
  <c r="F73" i="4"/>
  <c r="G73" i="4" s="1"/>
  <c r="E73" i="4"/>
  <c r="AE72" i="4"/>
  <c r="AC72" i="4"/>
  <c r="AB72" i="4"/>
  <c r="Y72" i="4"/>
  <c r="Z72" i="4" s="1"/>
  <c r="AA72" i="4" s="1"/>
  <c r="F72" i="4"/>
  <c r="G72" i="4" s="1"/>
  <c r="E72" i="4"/>
  <c r="AD72" i="4" s="1"/>
  <c r="AD71" i="4"/>
  <c r="AC71" i="4"/>
  <c r="AB71" i="4"/>
  <c r="Y71" i="4"/>
  <c r="Z71" i="4" s="1"/>
  <c r="AA71" i="4" s="1"/>
  <c r="V71" i="4"/>
  <c r="W71" i="4" s="1"/>
  <c r="X71" i="4" s="1"/>
  <c r="G71" i="4"/>
  <c r="F71" i="4"/>
  <c r="E71" i="4"/>
  <c r="AD70" i="4"/>
  <c r="V70" i="4"/>
  <c r="W70" i="4" s="1"/>
  <c r="X70" i="4" s="1"/>
  <c r="G70" i="4"/>
  <c r="F70" i="4"/>
  <c r="E70" i="4"/>
  <c r="Y70" i="4" s="1"/>
  <c r="Z70" i="4" s="1"/>
  <c r="AA70" i="4" s="1"/>
  <c r="V69" i="4"/>
  <c r="W69" i="4" s="1"/>
  <c r="X69" i="4" s="1"/>
  <c r="F69" i="4"/>
  <c r="G69" i="4" s="1"/>
  <c r="E69" i="4"/>
  <c r="AD69" i="4" s="1"/>
  <c r="AC68" i="4"/>
  <c r="G68" i="4"/>
  <c r="F68" i="4"/>
  <c r="E68" i="4"/>
  <c r="AB68" i="4" s="1"/>
  <c r="AD67" i="4"/>
  <c r="AC67" i="4"/>
  <c r="AB67" i="4"/>
  <c r="Y67" i="4"/>
  <c r="Z67" i="4" s="1"/>
  <c r="AA67" i="4" s="1"/>
  <c r="V67" i="4"/>
  <c r="W67" i="4" s="1"/>
  <c r="X67" i="4" s="1"/>
  <c r="G67" i="4"/>
  <c r="F67" i="4"/>
  <c r="E67" i="4"/>
  <c r="AD65" i="4"/>
  <c r="AC65" i="4"/>
  <c r="V65" i="4"/>
  <c r="W65" i="4" s="1"/>
  <c r="X65" i="4" s="1"/>
  <c r="G65" i="4"/>
  <c r="F65" i="4"/>
  <c r="E65" i="4"/>
  <c r="AB65" i="4" s="1"/>
  <c r="F64" i="4"/>
  <c r="G64" i="4" s="1"/>
  <c r="E64" i="4"/>
  <c r="AB64" i="4" s="1"/>
  <c r="AC63" i="4"/>
  <c r="AB63" i="4"/>
  <c r="Y63" i="4"/>
  <c r="Z63" i="4" s="1"/>
  <c r="AA63" i="4" s="1"/>
  <c r="F63" i="4"/>
  <c r="G63" i="4" s="1"/>
  <c r="E63" i="4"/>
  <c r="AD63" i="4" s="1"/>
  <c r="AD62" i="4"/>
  <c r="AC62" i="4"/>
  <c r="AB62" i="4"/>
  <c r="Y62" i="4"/>
  <c r="Z62" i="4" s="1"/>
  <c r="AA62" i="4" s="1"/>
  <c r="V62" i="4"/>
  <c r="W62" i="4" s="1"/>
  <c r="X62" i="4" s="1"/>
  <c r="F62" i="4"/>
  <c r="G62" i="4" s="1"/>
  <c r="E62" i="4"/>
  <c r="Y61" i="4"/>
  <c r="Z61" i="4" s="1"/>
  <c r="AA61" i="4" s="1"/>
  <c r="G61" i="4"/>
  <c r="F61" i="4"/>
  <c r="E61" i="4"/>
  <c r="AD61" i="4" s="1"/>
  <c r="F60" i="4"/>
  <c r="G60" i="4" s="1"/>
  <c r="E60" i="4"/>
  <c r="AD60" i="4" s="1"/>
  <c r="G59" i="4"/>
  <c r="F59" i="4"/>
  <c r="E59" i="4"/>
  <c r="AC59" i="4" s="1"/>
  <c r="AD58" i="4"/>
  <c r="AC58" i="4"/>
  <c r="AB58" i="4"/>
  <c r="Y58" i="4"/>
  <c r="Z58" i="4" s="1"/>
  <c r="AA58" i="4" s="1"/>
  <c r="V58" i="4"/>
  <c r="W58" i="4" s="1"/>
  <c r="X58" i="4" s="1"/>
  <c r="G58" i="4"/>
  <c r="F58" i="4"/>
  <c r="E58" i="4"/>
  <c r="AD57" i="4"/>
  <c r="AC57" i="4"/>
  <c r="V57" i="4"/>
  <c r="W57" i="4" s="1"/>
  <c r="X57" i="4" s="1"/>
  <c r="G57" i="4"/>
  <c r="F57" i="4"/>
  <c r="E57" i="4"/>
  <c r="AB57" i="4" s="1"/>
  <c r="AB56" i="4"/>
  <c r="F56" i="4"/>
  <c r="G56" i="4" s="1"/>
  <c r="E56" i="4"/>
  <c r="AC55" i="4"/>
  <c r="AB55" i="4"/>
  <c r="AE55" i="4" s="1"/>
  <c r="Y55" i="4"/>
  <c r="Z55" i="4" s="1"/>
  <c r="AA55" i="4" s="1"/>
  <c r="F55" i="4"/>
  <c r="G55" i="4" s="1"/>
  <c r="E55" i="4"/>
  <c r="AD55" i="4" s="1"/>
  <c r="AD54" i="4"/>
  <c r="AC54" i="4"/>
  <c r="AB54" i="4"/>
  <c r="Y54" i="4"/>
  <c r="Z54" i="4" s="1"/>
  <c r="AA54" i="4" s="1"/>
  <c r="V54" i="4"/>
  <c r="W54" i="4" s="1"/>
  <c r="X54" i="4" s="1"/>
  <c r="F54" i="4"/>
  <c r="G54" i="4" s="1"/>
  <c r="E54" i="4"/>
  <c r="AD53" i="4"/>
  <c r="Y53" i="4"/>
  <c r="Z53" i="4" s="1"/>
  <c r="AA53" i="4" s="1"/>
  <c r="V53" i="4"/>
  <c r="W53" i="4" s="1"/>
  <c r="X53" i="4" s="1"/>
  <c r="G53" i="4"/>
  <c r="F53" i="4"/>
  <c r="E53" i="4"/>
  <c r="AD52" i="4"/>
  <c r="V52" i="4"/>
  <c r="W52" i="4" s="1"/>
  <c r="X52" i="4" s="1"/>
  <c r="F52" i="4"/>
  <c r="G52" i="4" s="1"/>
  <c r="E52" i="4"/>
  <c r="F51" i="4"/>
  <c r="G51" i="4" s="1"/>
  <c r="E51" i="4"/>
  <c r="AC51" i="4" s="1"/>
  <c r="AD50" i="4"/>
  <c r="AC50" i="4"/>
  <c r="AB50" i="4"/>
  <c r="AE50" i="4" s="1"/>
  <c r="Y50" i="4"/>
  <c r="Z50" i="4" s="1"/>
  <c r="AA50" i="4" s="1"/>
  <c r="V50" i="4"/>
  <c r="W50" i="4" s="1"/>
  <c r="X50" i="4" s="1"/>
  <c r="G50" i="4"/>
  <c r="F50" i="4"/>
  <c r="E50" i="4"/>
  <c r="AD49" i="4"/>
  <c r="AC49" i="4"/>
  <c r="V49" i="4"/>
  <c r="W49" i="4" s="1"/>
  <c r="X49" i="4" s="1"/>
  <c r="G49" i="4"/>
  <c r="F49" i="4"/>
  <c r="E49" i="4"/>
  <c r="AB49" i="4" s="1"/>
  <c r="AE49" i="4" s="1"/>
  <c r="AB48" i="4"/>
  <c r="F48" i="4"/>
  <c r="G48" i="4" s="1"/>
  <c r="E48" i="4"/>
  <c r="AC47" i="4"/>
  <c r="AB47" i="4"/>
  <c r="AE47" i="4" s="1"/>
  <c r="Y47" i="4"/>
  <c r="Z47" i="4" s="1"/>
  <c r="AA47" i="4" s="1"/>
  <c r="F47" i="4"/>
  <c r="G47" i="4" s="1"/>
  <c r="E47" i="4"/>
  <c r="AD47" i="4" s="1"/>
  <c r="AD46" i="4"/>
  <c r="AC46" i="4"/>
  <c r="AB46" i="4"/>
  <c r="Y46" i="4"/>
  <c r="Z46" i="4" s="1"/>
  <c r="AA46" i="4" s="1"/>
  <c r="V46" i="4"/>
  <c r="W46" i="4" s="1"/>
  <c r="X46" i="4" s="1"/>
  <c r="G46" i="4"/>
  <c r="F46" i="4"/>
  <c r="E46" i="4"/>
  <c r="V45" i="4"/>
  <c r="W45" i="4" s="1"/>
  <c r="X45" i="4" s="1"/>
  <c r="G45" i="4"/>
  <c r="F45" i="4"/>
  <c r="E45" i="4"/>
  <c r="AD45" i="4" s="1"/>
  <c r="AD44" i="4"/>
  <c r="V44" i="4"/>
  <c r="W44" i="4" s="1"/>
  <c r="X44" i="4" s="1"/>
  <c r="F44" i="4"/>
  <c r="G44" i="4" s="1"/>
  <c r="E44" i="4"/>
  <c r="AC43" i="4"/>
  <c r="AB43" i="4"/>
  <c r="F43" i="4"/>
  <c r="G43" i="4" s="1"/>
  <c r="E43" i="4"/>
  <c r="AD42" i="4"/>
  <c r="AC42" i="4"/>
  <c r="AB42" i="4"/>
  <c r="Y42" i="4"/>
  <c r="Z42" i="4" s="1"/>
  <c r="AA42" i="4" s="1"/>
  <c r="V42" i="4"/>
  <c r="W42" i="4" s="1"/>
  <c r="X42" i="4" s="1"/>
  <c r="G42" i="4"/>
  <c r="F42" i="4"/>
  <c r="E42" i="4"/>
  <c r="AD41" i="4"/>
  <c r="AC41" i="4"/>
  <c r="V41" i="4"/>
  <c r="W41" i="4" s="1"/>
  <c r="X41" i="4" s="1"/>
  <c r="G41" i="4"/>
  <c r="F41" i="4"/>
  <c r="E41" i="4"/>
  <c r="AB41" i="4" s="1"/>
  <c r="F40" i="4"/>
  <c r="G40" i="4" s="1"/>
  <c r="E40" i="4"/>
  <c r="AC39" i="4"/>
  <c r="AB39" i="4"/>
  <c r="Y39" i="4"/>
  <c r="Z39" i="4" s="1"/>
  <c r="AA39" i="4" s="1"/>
  <c r="F39" i="4"/>
  <c r="G39" i="4" s="1"/>
  <c r="E39" i="4"/>
  <c r="AD39" i="4" s="1"/>
  <c r="AD38" i="4"/>
  <c r="AC38" i="4"/>
  <c r="AB38" i="4"/>
  <c r="Y38" i="4"/>
  <c r="Z38" i="4" s="1"/>
  <c r="AA38" i="4" s="1"/>
  <c r="V38" i="4"/>
  <c r="W38" i="4" s="1"/>
  <c r="X38" i="4" s="1"/>
  <c r="F38" i="4"/>
  <c r="G38" i="4" s="1"/>
  <c r="E38" i="4"/>
  <c r="AD37" i="4"/>
  <c r="Y37" i="4"/>
  <c r="Z37" i="4" s="1"/>
  <c r="AA37" i="4" s="1"/>
  <c r="V37" i="4"/>
  <c r="W37" i="4" s="1"/>
  <c r="X37" i="4" s="1"/>
  <c r="G37" i="4"/>
  <c r="F37" i="4"/>
  <c r="E37" i="4"/>
  <c r="AD36" i="4"/>
  <c r="F36" i="4"/>
  <c r="G36" i="4" s="1"/>
  <c r="E36" i="4"/>
  <c r="AC35" i="4"/>
  <c r="AB35" i="4"/>
  <c r="G35" i="4"/>
  <c r="F35" i="4"/>
  <c r="E35" i="4"/>
  <c r="AD34" i="4"/>
  <c r="AC34" i="4"/>
  <c r="AB34" i="4"/>
  <c r="Y34" i="4"/>
  <c r="Z34" i="4" s="1"/>
  <c r="AA34" i="4" s="1"/>
  <c r="V34" i="4"/>
  <c r="W34" i="4" s="1"/>
  <c r="X34" i="4" s="1"/>
  <c r="G34" i="4"/>
  <c r="F34" i="4"/>
  <c r="E34" i="4"/>
  <c r="AD33" i="4"/>
  <c r="AC33" i="4"/>
  <c r="V33" i="4"/>
  <c r="W33" i="4" s="1"/>
  <c r="X33" i="4" s="1"/>
  <c r="G33" i="4"/>
  <c r="F33" i="4"/>
  <c r="E33" i="4"/>
  <c r="AB33" i="4" s="1"/>
  <c r="AE33" i="4" s="1"/>
  <c r="F32" i="4"/>
  <c r="G32" i="4" s="1"/>
  <c r="E32" i="4"/>
  <c r="AC31" i="4"/>
  <c r="AB31" i="4"/>
  <c r="AE31" i="4" s="1"/>
  <c r="Y31" i="4"/>
  <c r="Z31" i="4" s="1"/>
  <c r="AA31" i="4" s="1"/>
  <c r="F31" i="4"/>
  <c r="G31" i="4" s="1"/>
  <c r="E31" i="4"/>
  <c r="AD31" i="4" s="1"/>
  <c r="AD30" i="4"/>
  <c r="AC30" i="4"/>
  <c r="AB30" i="4"/>
  <c r="Y30" i="4"/>
  <c r="Z30" i="4" s="1"/>
  <c r="AA30" i="4" s="1"/>
  <c r="V30" i="4"/>
  <c r="W30" i="4" s="1"/>
  <c r="X30" i="4" s="1"/>
  <c r="G30" i="4"/>
  <c r="F30" i="4"/>
  <c r="E30" i="4"/>
  <c r="AD29" i="4"/>
  <c r="G29" i="4"/>
  <c r="F29" i="4"/>
  <c r="E29" i="4"/>
  <c r="F28" i="4"/>
  <c r="G28" i="4" s="1"/>
  <c r="E28" i="4"/>
  <c r="V28" i="4" s="1"/>
  <c r="W28" i="4" s="1"/>
  <c r="X28" i="4" s="1"/>
  <c r="AC27" i="4"/>
  <c r="F27" i="4"/>
  <c r="G27" i="4" s="1"/>
  <c r="E27" i="4"/>
  <c r="AD26" i="4"/>
  <c r="AC26" i="4"/>
  <c r="AB26" i="4"/>
  <c r="Y26" i="4"/>
  <c r="Z26" i="4" s="1"/>
  <c r="AA26" i="4" s="1"/>
  <c r="V26" i="4"/>
  <c r="W26" i="4" s="1"/>
  <c r="X26" i="4" s="1"/>
  <c r="G26" i="4"/>
  <c r="F26" i="4"/>
  <c r="E26" i="4"/>
  <c r="AD25" i="4"/>
  <c r="AC25" i="4"/>
  <c r="V25" i="4"/>
  <c r="W25" i="4" s="1"/>
  <c r="X25" i="4" s="1"/>
  <c r="G25" i="4"/>
  <c r="F25" i="4"/>
  <c r="E25" i="4"/>
  <c r="AB25" i="4" s="1"/>
  <c r="F24" i="4"/>
  <c r="G24" i="4" s="1"/>
  <c r="E24" i="4"/>
  <c r="AB24" i="4" s="1"/>
  <c r="AC23" i="4"/>
  <c r="AB23" i="4"/>
  <c r="AE23" i="4" s="1"/>
  <c r="Y23" i="4"/>
  <c r="Z23" i="4" s="1"/>
  <c r="AA23" i="4" s="1"/>
  <c r="F23" i="4"/>
  <c r="G23" i="4" s="1"/>
  <c r="E23" i="4"/>
  <c r="AD23" i="4" s="1"/>
  <c r="AD22" i="4"/>
  <c r="AC22" i="4"/>
  <c r="AB22" i="4"/>
  <c r="Y22" i="4"/>
  <c r="Z22" i="4" s="1"/>
  <c r="AA22" i="4" s="1"/>
  <c r="V22" i="4"/>
  <c r="W22" i="4" s="1"/>
  <c r="X22" i="4" s="1"/>
  <c r="F22" i="4"/>
  <c r="G22" i="4" s="1"/>
  <c r="E22" i="4"/>
  <c r="AD21" i="4"/>
  <c r="AC21" i="4"/>
  <c r="AA21" i="4"/>
  <c r="Z21" i="4"/>
  <c r="V21" i="4"/>
  <c r="W21" i="4" s="1"/>
  <c r="X21" i="4" s="1"/>
  <c r="G21" i="4"/>
  <c r="F21" i="4"/>
  <c r="E21" i="4"/>
  <c r="AB21" i="4" s="1"/>
  <c r="AE21" i="4" s="1"/>
  <c r="AD20" i="4"/>
  <c r="AC20" i="4"/>
  <c r="V20" i="4"/>
  <c r="W20" i="4" s="1"/>
  <c r="X20" i="4" s="1"/>
  <c r="G20" i="4"/>
  <c r="F20" i="4"/>
  <c r="E20" i="4"/>
  <c r="AB20" i="4" s="1"/>
  <c r="F19" i="4"/>
  <c r="G19" i="4" s="1"/>
  <c r="E19" i="4"/>
  <c r="AB19" i="4" s="1"/>
  <c r="AC18" i="4"/>
  <c r="AB18" i="4"/>
  <c r="AE18" i="4" s="1"/>
  <c r="Y18" i="4"/>
  <c r="Z18" i="4" s="1"/>
  <c r="AA18" i="4" s="1"/>
  <c r="F18" i="4"/>
  <c r="G18" i="4" s="1"/>
  <c r="E18" i="4"/>
  <c r="AD18" i="4" s="1"/>
  <c r="AD17" i="4"/>
  <c r="AC17" i="4"/>
  <c r="AB17" i="4"/>
  <c r="Y17" i="4"/>
  <c r="Z17" i="4" s="1"/>
  <c r="AA17" i="4" s="1"/>
  <c r="V17" i="4"/>
  <c r="W17" i="4" s="1"/>
  <c r="X17" i="4" s="1"/>
  <c r="F17" i="4"/>
  <c r="G17" i="4" s="1"/>
  <c r="E17" i="4"/>
  <c r="AD16" i="4"/>
  <c r="Y16" i="4"/>
  <c r="Z16" i="4" s="1"/>
  <c r="AA16" i="4" s="1"/>
  <c r="V16" i="4"/>
  <c r="W16" i="4" s="1"/>
  <c r="X16" i="4" s="1"/>
  <c r="G16" i="4"/>
  <c r="F16" i="4"/>
  <c r="E16" i="4"/>
  <c r="AD15" i="4"/>
  <c r="V15" i="4"/>
  <c r="W15" i="4" s="1"/>
  <c r="X15" i="4" s="1"/>
  <c r="F15" i="4"/>
  <c r="G15" i="4" s="1"/>
  <c r="E15" i="4"/>
  <c r="F14" i="4"/>
  <c r="G14" i="4" s="1"/>
  <c r="E14" i="4"/>
  <c r="AB14" i="4" s="1"/>
  <c r="AD13" i="4"/>
  <c r="AC13" i="4"/>
  <c r="AB13" i="4"/>
  <c r="Y13" i="4"/>
  <c r="Z13" i="4" s="1"/>
  <c r="AA13" i="4" s="1"/>
  <c r="V13" i="4"/>
  <c r="W13" i="4" s="1"/>
  <c r="X13" i="4" s="1"/>
  <c r="G13" i="4"/>
  <c r="F13" i="4"/>
  <c r="E13" i="4"/>
  <c r="AD12" i="4"/>
  <c r="AC12" i="4"/>
  <c r="V12" i="4"/>
  <c r="W12" i="4" s="1"/>
  <c r="X12" i="4" s="1"/>
  <c r="G12" i="4"/>
  <c r="F12" i="4"/>
  <c r="E12" i="4"/>
  <c r="AB12" i="4" s="1"/>
  <c r="AE12" i="4" s="1"/>
  <c r="AB11" i="4"/>
  <c r="F11" i="4"/>
  <c r="G11" i="4" s="1"/>
  <c r="E11" i="4"/>
  <c r="AC10" i="4"/>
  <c r="AB10" i="4"/>
  <c r="Y10" i="4"/>
  <c r="Z10" i="4" s="1"/>
  <c r="AA10" i="4" s="1"/>
  <c r="F10" i="4"/>
  <c r="G10" i="4" s="1"/>
  <c r="E10" i="4"/>
  <c r="AD10" i="4" s="1"/>
  <c r="AE10" i="4" s="1"/>
  <c r="AD9" i="4"/>
  <c r="AC9" i="4"/>
  <c r="AB9" i="4"/>
  <c r="Y9" i="4"/>
  <c r="Z9" i="4" s="1"/>
  <c r="AA9" i="4" s="1"/>
  <c r="V9" i="4"/>
  <c r="W9" i="4" s="1"/>
  <c r="X9" i="4" s="1"/>
  <c r="G9" i="4"/>
  <c r="F9" i="4"/>
  <c r="E9" i="4"/>
  <c r="AD8" i="4"/>
  <c r="V8" i="4"/>
  <c r="W8" i="4" s="1"/>
  <c r="X8" i="4" s="1"/>
  <c r="G8" i="4"/>
  <c r="F8" i="4"/>
  <c r="E8" i="4"/>
  <c r="Y8" i="4" s="1"/>
  <c r="Z8" i="4" s="1"/>
  <c r="AA8" i="4" s="1"/>
  <c r="V7" i="4"/>
  <c r="W7" i="4" s="1"/>
  <c r="X7" i="4" s="1"/>
  <c r="F7" i="4"/>
  <c r="G7" i="4" s="1"/>
  <c r="E7" i="4"/>
  <c r="AD7" i="4" s="1"/>
  <c r="AC6" i="4"/>
  <c r="G6" i="4"/>
  <c r="F6" i="4"/>
  <c r="E6" i="4"/>
  <c r="AB6" i="4" s="1"/>
  <c r="AD5" i="4"/>
  <c r="AC5" i="4"/>
  <c r="AB5" i="4"/>
  <c r="Y5" i="4"/>
  <c r="Z5" i="4" s="1"/>
  <c r="AA5" i="4" s="1"/>
  <c r="V5" i="4"/>
  <c r="W5" i="4" s="1"/>
  <c r="X5" i="4" s="1"/>
  <c r="G5" i="4"/>
  <c r="F5" i="4"/>
  <c r="E5" i="4"/>
  <c r="AC4" i="4"/>
  <c r="V4" i="4"/>
  <c r="W4" i="4" s="1"/>
  <c r="X4" i="4" s="1"/>
  <c r="G4" i="4"/>
  <c r="F4" i="4"/>
  <c r="E4" i="4"/>
  <c r="AB3" i="4"/>
  <c r="F3" i="4"/>
  <c r="G3" i="4" s="1"/>
  <c r="E3" i="4"/>
  <c r="AC2" i="4"/>
  <c r="AB2" i="4"/>
  <c r="Y2" i="4"/>
  <c r="Z2" i="4" s="1"/>
  <c r="AA2" i="4" s="1"/>
  <c r="G2" i="4"/>
  <c r="F2" i="4"/>
  <c r="E2" i="4"/>
  <c r="AD2" i="4" s="1"/>
  <c r="AE2" i="4" s="1"/>
  <c r="AD545" i="2"/>
  <c r="AC545" i="2"/>
  <c r="AB545" i="2"/>
  <c r="Y545" i="2"/>
  <c r="Z545" i="2" s="1"/>
  <c r="AA545" i="2" s="1"/>
  <c r="V545" i="2"/>
  <c r="W545" i="2" s="1"/>
  <c r="X545" i="2" s="1"/>
  <c r="G545" i="2"/>
  <c r="F545" i="2"/>
  <c r="E545" i="2"/>
  <c r="Y544" i="2"/>
  <c r="Z544" i="2" s="1"/>
  <c r="AA544" i="2" s="1"/>
  <c r="V544" i="2"/>
  <c r="W544" i="2" s="1"/>
  <c r="X544" i="2" s="1"/>
  <c r="F544" i="2"/>
  <c r="G544" i="2" s="1"/>
  <c r="E544" i="2"/>
  <c r="AD544" i="2" s="1"/>
  <c r="AD543" i="2"/>
  <c r="F543" i="2"/>
  <c r="G543" i="2" s="1"/>
  <c r="E543" i="2"/>
  <c r="AD542" i="2"/>
  <c r="AC542" i="2"/>
  <c r="Y542" i="2"/>
  <c r="Z542" i="2" s="1"/>
  <c r="AA542" i="2" s="1"/>
  <c r="V542" i="2"/>
  <c r="W542" i="2" s="1"/>
  <c r="X542" i="2" s="1"/>
  <c r="G542" i="2"/>
  <c r="F542" i="2"/>
  <c r="E542" i="2"/>
  <c r="AB542" i="2" s="1"/>
  <c r="AD541" i="2"/>
  <c r="AC541" i="2"/>
  <c r="Y541" i="2"/>
  <c r="Z541" i="2" s="1"/>
  <c r="AA541" i="2" s="1"/>
  <c r="V541" i="2"/>
  <c r="W541" i="2" s="1"/>
  <c r="X541" i="2" s="1"/>
  <c r="F541" i="2"/>
  <c r="G541" i="2" s="1"/>
  <c r="E541" i="2"/>
  <c r="AB541" i="2" s="1"/>
  <c r="AD540" i="2"/>
  <c r="AC540" i="2"/>
  <c r="V540" i="2"/>
  <c r="W540" i="2" s="1"/>
  <c r="X540" i="2" s="1"/>
  <c r="G540" i="2"/>
  <c r="F540" i="2"/>
  <c r="E540" i="2"/>
  <c r="AB540" i="2" s="1"/>
  <c r="AD539" i="2"/>
  <c r="AC539" i="2"/>
  <c r="V539" i="2"/>
  <c r="W539" i="2" s="1"/>
  <c r="X539" i="2" s="1"/>
  <c r="F539" i="2"/>
  <c r="G539" i="2" s="1"/>
  <c r="E539" i="2"/>
  <c r="Y539" i="2" s="1"/>
  <c r="Z539" i="2" s="1"/>
  <c r="AA539" i="2" s="1"/>
  <c r="AC538" i="2"/>
  <c r="AB538" i="2"/>
  <c r="F538" i="2"/>
  <c r="G538" i="2" s="1"/>
  <c r="E538" i="2"/>
  <c r="AD537" i="2"/>
  <c r="AC537" i="2"/>
  <c r="AB537" i="2"/>
  <c r="Y537" i="2"/>
  <c r="Z537" i="2" s="1"/>
  <c r="AA537" i="2" s="1"/>
  <c r="V537" i="2"/>
  <c r="W537" i="2" s="1"/>
  <c r="X537" i="2" s="1"/>
  <c r="F537" i="2"/>
  <c r="G537" i="2" s="1"/>
  <c r="E537" i="2"/>
  <c r="AD536" i="2"/>
  <c r="AC536" i="2"/>
  <c r="AB536" i="2"/>
  <c r="G536" i="2"/>
  <c r="F536" i="2"/>
  <c r="E536" i="2"/>
  <c r="Y535" i="2"/>
  <c r="Z535" i="2" s="1"/>
  <c r="AA535" i="2" s="1"/>
  <c r="V535" i="2"/>
  <c r="W535" i="2" s="1"/>
  <c r="X535" i="2" s="1"/>
  <c r="F535" i="2"/>
  <c r="G535" i="2" s="1"/>
  <c r="E535" i="2"/>
  <c r="AC535" i="2" s="1"/>
  <c r="AC534" i="2"/>
  <c r="AB534" i="2"/>
  <c r="F534" i="2"/>
  <c r="G534" i="2" s="1"/>
  <c r="E534" i="2"/>
  <c r="AD533" i="2"/>
  <c r="AC533" i="2"/>
  <c r="V533" i="2"/>
  <c r="W533" i="2" s="1"/>
  <c r="X533" i="2" s="1"/>
  <c r="G533" i="2"/>
  <c r="F533" i="2"/>
  <c r="E533" i="2"/>
  <c r="AB533" i="2" s="1"/>
  <c r="AE533" i="2" s="1"/>
  <c r="Y532" i="2"/>
  <c r="Z532" i="2" s="1"/>
  <c r="AA532" i="2" s="1"/>
  <c r="X532" i="2"/>
  <c r="V532" i="2"/>
  <c r="W532" i="2" s="1"/>
  <c r="G532" i="2"/>
  <c r="F532" i="2"/>
  <c r="E532" i="2"/>
  <c r="AD532" i="2" s="1"/>
  <c r="AD531" i="2"/>
  <c r="AC531" i="2"/>
  <c r="Z531" i="2"/>
  <c r="AA531" i="2" s="1"/>
  <c r="V531" i="2"/>
  <c r="W531" i="2" s="1"/>
  <c r="X531" i="2" s="1"/>
  <c r="G531" i="2"/>
  <c r="F531" i="2"/>
  <c r="E531" i="2"/>
  <c r="Y531" i="2" s="1"/>
  <c r="AC530" i="2"/>
  <c r="Y530" i="2"/>
  <c r="Z530" i="2" s="1"/>
  <c r="AA530" i="2" s="1"/>
  <c r="F530" i="2"/>
  <c r="G530" i="2" s="1"/>
  <c r="E530" i="2"/>
  <c r="AD529" i="2"/>
  <c r="AC529" i="2"/>
  <c r="AB529" i="2"/>
  <c r="Y529" i="2"/>
  <c r="Z529" i="2" s="1"/>
  <c r="AA529" i="2" s="1"/>
  <c r="V529" i="2"/>
  <c r="W529" i="2" s="1"/>
  <c r="X529" i="2" s="1"/>
  <c r="F529" i="2"/>
  <c r="G529" i="2" s="1"/>
  <c r="E529" i="2"/>
  <c r="AD528" i="2"/>
  <c r="AC528" i="2"/>
  <c r="Y528" i="2"/>
  <c r="Z528" i="2" s="1"/>
  <c r="AA528" i="2" s="1"/>
  <c r="V528" i="2"/>
  <c r="W528" i="2" s="1"/>
  <c r="X528" i="2" s="1"/>
  <c r="G528" i="2"/>
  <c r="F528" i="2"/>
  <c r="E528" i="2"/>
  <c r="AB528" i="2" s="1"/>
  <c r="AD527" i="2"/>
  <c r="AB527" i="2"/>
  <c r="Y527" i="2"/>
  <c r="Z527" i="2" s="1"/>
  <c r="AA527" i="2" s="1"/>
  <c r="V527" i="2"/>
  <c r="W527" i="2" s="1"/>
  <c r="X527" i="2" s="1"/>
  <c r="F527" i="2"/>
  <c r="G527" i="2" s="1"/>
  <c r="E527" i="2"/>
  <c r="AC527" i="2" s="1"/>
  <c r="AD526" i="2"/>
  <c r="AC526" i="2"/>
  <c r="G526" i="2"/>
  <c r="F526" i="2"/>
  <c r="E526" i="2"/>
  <c r="F525" i="2"/>
  <c r="G525" i="2" s="1"/>
  <c r="E525" i="2"/>
  <c r="G524" i="2"/>
  <c r="F524" i="2"/>
  <c r="E524" i="2"/>
  <c r="V523" i="2"/>
  <c r="W523" i="2" s="1"/>
  <c r="X523" i="2" s="1"/>
  <c r="F523" i="2"/>
  <c r="G523" i="2" s="1"/>
  <c r="E523" i="2"/>
  <c r="AC523" i="2" s="1"/>
  <c r="G522" i="2"/>
  <c r="F522" i="2"/>
  <c r="E522" i="2"/>
  <c r="AC522" i="2" s="1"/>
  <c r="AD521" i="2"/>
  <c r="AC521" i="2"/>
  <c r="AB521" i="2"/>
  <c r="AE521" i="2" s="1"/>
  <c r="Y521" i="2"/>
  <c r="Z521" i="2" s="1"/>
  <c r="AA521" i="2" s="1"/>
  <c r="V521" i="2"/>
  <c r="W521" i="2" s="1"/>
  <c r="X521" i="2" s="1"/>
  <c r="G521" i="2"/>
  <c r="F521" i="2"/>
  <c r="E521" i="2"/>
  <c r="F520" i="2"/>
  <c r="G520" i="2" s="1"/>
  <c r="E520" i="2"/>
  <c r="AD519" i="2"/>
  <c r="Y519" i="2"/>
  <c r="Z519" i="2" s="1"/>
  <c r="AA519" i="2" s="1"/>
  <c r="V519" i="2"/>
  <c r="W519" i="2" s="1"/>
  <c r="X519" i="2" s="1"/>
  <c r="F519" i="2"/>
  <c r="G519" i="2" s="1"/>
  <c r="E519" i="2"/>
  <c r="AC519" i="2" s="1"/>
  <c r="Y518" i="2"/>
  <c r="Z518" i="2" s="1"/>
  <c r="AA518" i="2" s="1"/>
  <c r="V518" i="2"/>
  <c r="W518" i="2" s="1"/>
  <c r="X518" i="2" s="1"/>
  <c r="F518" i="2"/>
  <c r="G518" i="2" s="1"/>
  <c r="E518" i="2"/>
  <c r="AD518" i="2" s="1"/>
  <c r="AC517" i="2"/>
  <c r="Y517" i="2"/>
  <c r="Z517" i="2" s="1"/>
  <c r="AA517" i="2" s="1"/>
  <c r="V517" i="2"/>
  <c r="W517" i="2" s="1"/>
  <c r="X517" i="2" s="1"/>
  <c r="G517" i="2"/>
  <c r="F517" i="2"/>
  <c r="E517" i="2"/>
  <c r="AD517" i="2" s="1"/>
  <c r="Y516" i="2"/>
  <c r="Z516" i="2" s="1"/>
  <c r="AA516" i="2" s="1"/>
  <c r="G516" i="2"/>
  <c r="F516" i="2"/>
  <c r="E516" i="2"/>
  <c r="AC516" i="2" s="1"/>
  <c r="AC515" i="2"/>
  <c r="AB515" i="2"/>
  <c r="G515" i="2"/>
  <c r="F515" i="2"/>
  <c r="E515" i="2"/>
  <c r="F514" i="2"/>
  <c r="G514" i="2" s="1"/>
  <c r="E514" i="2"/>
  <c r="AD513" i="2"/>
  <c r="AC513" i="2"/>
  <c r="AB513" i="2"/>
  <c r="Z513" i="2"/>
  <c r="AA513" i="2" s="1"/>
  <c r="Y513" i="2"/>
  <c r="V513" i="2"/>
  <c r="W513" i="2" s="1"/>
  <c r="X513" i="2" s="1"/>
  <c r="G513" i="2"/>
  <c r="F513" i="2"/>
  <c r="E513" i="2"/>
  <c r="AB512" i="2"/>
  <c r="Y512" i="2"/>
  <c r="Z512" i="2" s="1"/>
  <c r="AA512" i="2" s="1"/>
  <c r="V512" i="2"/>
  <c r="W512" i="2" s="1"/>
  <c r="X512" i="2" s="1"/>
  <c r="F512" i="2"/>
  <c r="G512" i="2" s="1"/>
  <c r="E512" i="2"/>
  <c r="AD512" i="2" s="1"/>
  <c r="AB511" i="2"/>
  <c r="F511" i="2"/>
  <c r="G511" i="2" s="1"/>
  <c r="E511" i="2"/>
  <c r="AD511" i="2" s="1"/>
  <c r="AD510" i="2"/>
  <c r="G510" i="2"/>
  <c r="F510" i="2"/>
  <c r="E510" i="2"/>
  <c r="AD509" i="2"/>
  <c r="AC509" i="2"/>
  <c r="F509" i="2"/>
  <c r="G509" i="2" s="1"/>
  <c r="E509" i="2"/>
  <c r="AD508" i="2"/>
  <c r="AC508" i="2"/>
  <c r="Y508" i="2"/>
  <c r="Z508" i="2" s="1"/>
  <c r="AA508" i="2" s="1"/>
  <c r="V508" i="2"/>
  <c r="W508" i="2" s="1"/>
  <c r="X508" i="2" s="1"/>
  <c r="G508" i="2"/>
  <c r="F508" i="2"/>
  <c r="E508" i="2"/>
  <c r="AB508" i="2" s="1"/>
  <c r="AC507" i="2"/>
  <c r="V507" i="2"/>
  <c r="W507" i="2" s="1"/>
  <c r="X507" i="2" s="1"/>
  <c r="G507" i="2"/>
  <c r="F507" i="2"/>
  <c r="E507" i="2"/>
  <c r="Y507" i="2" s="1"/>
  <c r="Z507" i="2" s="1"/>
  <c r="AA507" i="2" s="1"/>
  <c r="Y506" i="2"/>
  <c r="Z506" i="2" s="1"/>
  <c r="AA506" i="2" s="1"/>
  <c r="G506" i="2"/>
  <c r="F506" i="2"/>
  <c r="E506" i="2"/>
  <c r="AC506" i="2" s="1"/>
  <c r="AD505" i="2"/>
  <c r="AC505" i="2"/>
  <c r="AB505" i="2"/>
  <c r="Z505" i="2"/>
  <c r="AA505" i="2" s="1"/>
  <c r="Y505" i="2"/>
  <c r="W505" i="2"/>
  <c r="X505" i="2" s="1"/>
  <c r="V505" i="2"/>
  <c r="F505" i="2"/>
  <c r="G505" i="2" s="1"/>
  <c r="E505" i="2"/>
  <c r="AD504" i="2"/>
  <c r="F504" i="2"/>
  <c r="G504" i="2" s="1"/>
  <c r="E504" i="2"/>
  <c r="F503" i="2"/>
  <c r="G503" i="2" s="1"/>
  <c r="E503" i="2"/>
  <c r="V502" i="2"/>
  <c r="W502" i="2" s="1"/>
  <c r="X502" i="2" s="1"/>
  <c r="G502" i="2"/>
  <c r="F502" i="2"/>
  <c r="E502" i="2"/>
  <c r="AB502" i="2" s="1"/>
  <c r="AB501" i="2"/>
  <c r="Y501" i="2"/>
  <c r="Z501" i="2" s="1"/>
  <c r="AA501" i="2" s="1"/>
  <c r="G501" i="2"/>
  <c r="F501" i="2"/>
  <c r="E501" i="2"/>
  <c r="AC500" i="2"/>
  <c r="Y500" i="2"/>
  <c r="Z500" i="2" s="1"/>
  <c r="AA500" i="2" s="1"/>
  <c r="W500" i="2"/>
  <c r="X500" i="2" s="1"/>
  <c r="V500" i="2"/>
  <c r="G500" i="2"/>
  <c r="F500" i="2"/>
  <c r="E500" i="2"/>
  <c r="AB500" i="2" s="1"/>
  <c r="G499" i="2"/>
  <c r="F499" i="2"/>
  <c r="E499" i="2"/>
  <c r="F498" i="2"/>
  <c r="G498" i="2" s="1"/>
  <c r="E498" i="2"/>
  <c r="AD497" i="2"/>
  <c r="AC497" i="2"/>
  <c r="AB497" i="2"/>
  <c r="AE497" i="2" s="1"/>
  <c r="Y497" i="2"/>
  <c r="Z497" i="2" s="1"/>
  <c r="AA497" i="2" s="1"/>
  <c r="V497" i="2"/>
  <c r="W497" i="2" s="1"/>
  <c r="X497" i="2" s="1"/>
  <c r="G497" i="2"/>
  <c r="F497" i="2"/>
  <c r="E497" i="2"/>
  <c r="AB496" i="2"/>
  <c r="Y496" i="2"/>
  <c r="Z496" i="2" s="1"/>
  <c r="AA496" i="2" s="1"/>
  <c r="V496" i="2"/>
  <c r="W496" i="2" s="1"/>
  <c r="X496" i="2" s="1"/>
  <c r="F496" i="2"/>
  <c r="G496" i="2" s="1"/>
  <c r="E496" i="2"/>
  <c r="AD496" i="2" s="1"/>
  <c r="AD495" i="2"/>
  <c r="AB495" i="2"/>
  <c r="Y495" i="2"/>
  <c r="Z495" i="2" s="1"/>
  <c r="AA495" i="2" s="1"/>
  <c r="V495" i="2"/>
  <c r="W495" i="2" s="1"/>
  <c r="X495" i="2" s="1"/>
  <c r="F495" i="2"/>
  <c r="G495" i="2" s="1"/>
  <c r="E495" i="2"/>
  <c r="AC495" i="2" s="1"/>
  <c r="AC494" i="2"/>
  <c r="G494" i="2"/>
  <c r="F494" i="2"/>
  <c r="E494" i="2"/>
  <c r="AD493" i="2"/>
  <c r="AB493" i="2"/>
  <c r="Y493" i="2"/>
  <c r="Z493" i="2" s="1"/>
  <c r="AA493" i="2" s="1"/>
  <c r="V493" i="2"/>
  <c r="W493" i="2" s="1"/>
  <c r="X493" i="2" s="1"/>
  <c r="F493" i="2"/>
  <c r="G493" i="2" s="1"/>
  <c r="E493" i="2"/>
  <c r="AC493" i="2" s="1"/>
  <c r="G492" i="2"/>
  <c r="F492" i="2"/>
  <c r="E492" i="2"/>
  <c r="Y492" i="2" s="1"/>
  <c r="Z492" i="2" s="1"/>
  <c r="AA492" i="2" s="1"/>
  <c r="AC491" i="2"/>
  <c r="V491" i="2"/>
  <c r="W491" i="2" s="1"/>
  <c r="X491" i="2" s="1"/>
  <c r="G491" i="2"/>
  <c r="F491" i="2"/>
  <c r="E491" i="2"/>
  <c r="Y491" i="2" s="1"/>
  <c r="Z491" i="2" s="1"/>
  <c r="AA491" i="2" s="1"/>
  <c r="Y490" i="2"/>
  <c r="Z490" i="2" s="1"/>
  <c r="AA490" i="2" s="1"/>
  <c r="G490" i="2"/>
  <c r="F490" i="2"/>
  <c r="E490" i="2"/>
  <c r="AD489" i="2"/>
  <c r="AC489" i="2"/>
  <c r="AB489" i="2"/>
  <c r="Y489" i="2"/>
  <c r="Z489" i="2" s="1"/>
  <c r="AA489" i="2" s="1"/>
  <c r="W489" i="2"/>
  <c r="X489" i="2" s="1"/>
  <c r="V489" i="2"/>
  <c r="F489" i="2"/>
  <c r="G489" i="2" s="1"/>
  <c r="E489" i="2"/>
  <c r="V488" i="2"/>
  <c r="W488" i="2" s="1"/>
  <c r="X488" i="2" s="1"/>
  <c r="G488" i="2"/>
  <c r="F488" i="2"/>
  <c r="E488" i="2"/>
  <c r="AC488" i="2" s="1"/>
  <c r="AB487" i="2"/>
  <c r="Y487" i="2"/>
  <c r="Z487" i="2" s="1"/>
  <c r="AA487" i="2" s="1"/>
  <c r="V487" i="2"/>
  <c r="W487" i="2" s="1"/>
  <c r="X487" i="2" s="1"/>
  <c r="F487" i="2"/>
  <c r="G487" i="2" s="1"/>
  <c r="E487" i="2"/>
  <c r="AC487" i="2" s="1"/>
  <c r="AD486" i="2"/>
  <c r="AC486" i="2"/>
  <c r="Y486" i="2"/>
  <c r="Z486" i="2" s="1"/>
  <c r="AA486" i="2" s="1"/>
  <c r="W486" i="2"/>
  <c r="X486" i="2" s="1"/>
  <c r="V486" i="2"/>
  <c r="F486" i="2"/>
  <c r="G486" i="2" s="1"/>
  <c r="E486" i="2"/>
  <c r="AB486" i="2" s="1"/>
  <c r="G485" i="2"/>
  <c r="F485" i="2"/>
  <c r="E485" i="2"/>
  <c r="AD484" i="2"/>
  <c r="AA484" i="2"/>
  <c r="Y484" i="2"/>
  <c r="Z484" i="2" s="1"/>
  <c r="V484" i="2"/>
  <c r="W484" i="2" s="1"/>
  <c r="X484" i="2" s="1"/>
  <c r="F484" i="2"/>
  <c r="G484" i="2" s="1"/>
  <c r="E484" i="2"/>
  <c r="AB484" i="2" s="1"/>
  <c r="AD483" i="2"/>
  <c r="Y483" i="2"/>
  <c r="Z483" i="2" s="1"/>
  <c r="AA483" i="2" s="1"/>
  <c r="G483" i="2"/>
  <c r="F483" i="2"/>
  <c r="E483" i="2"/>
  <c r="V483" i="2" s="1"/>
  <c r="W483" i="2" s="1"/>
  <c r="X483" i="2" s="1"/>
  <c r="AD482" i="2"/>
  <c r="Y482" i="2"/>
  <c r="Z482" i="2" s="1"/>
  <c r="AA482" i="2" s="1"/>
  <c r="V482" i="2"/>
  <c r="W482" i="2" s="1"/>
  <c r="X482" i="2" s="1"/>
  <c r="G482" i="2"/>
  <c r="F482" i="2"/>
  <c r="E482" i="2"/>
  <c r="AB482" i="2" s="1"/>
  <c r="F481" i="2"/>
  <c r="G481" i="2" s="1"/>
  <c r="E481" i="2"/>
  <c r="AB480" i="2"/>
  <c r="G480" i="2"/>
  <c r="F480" i="2"/>
  <c r="E480" i="2"/>
  <c r="Y480" i="2" s="1"/>
  <c r="Z480" i="2" s="1"/>
  <c r="AA480" i="2" s="1"/>
  <c r="AD479" i="2"/>
  <c r="AC479" i="2"/>
  <c r="AB479" i="2"/>
  <c r="AE479" i="2" s="1"/>
  <c r="Z479" i="2"/>
  <c r="AA479" i="2" s="1"/>
  <c r="Y479" i="2"/>
  <c r="V479" i="2"/>
  <c r="W479" i="2" s="1"/>
  <c r="X479" i="2" s="1"/>
  <c r="F479" i="2"/>
  <c r="G479" i="2" s="1"/>
  <c r="E479" i="2"/>
  <c r="AD478" i="2"/>
  <c r="AB478" i="2"/>
  <c r="F478" i="2"/>
  <c r="G478" i="2" s="1"/>
  <c r="E478" i="2"/>
  <c r="V478" i="2" s="1"/>
  <c r="W478" i="2" s="1"/>
  <c r="X478" i="2" s="1"/>
  <c r="V477" i="2"/>
  <c r="W477" i="2" s="1"/>
  <c r="X477" i="2" s="1"/>
  <c r="F477" i="2"/>
  <c r="G477" i="2" s="1"/>
  <c r="E477" i="2"/>
  <c r="Y477" i="2" s="1"/>
  <c r="Z477" i="2" s="1"/>
  <c r="AA477" i="2" s="1"/>
  <c r="Y476" i="2"/>
  <c r="Z476" i="2" s="1"/>
  <c r="AA476" i="2" s="1"/>
  <c r="V476" i="2"/>
  <c r="W476" i="2" s="1"/>
  <c r="X476" i="2" s="1"/>
  <c r="G476" i="2"/>
  <c r="F476" i="2"/>
  <c r="E476" i="2"/>
  <c r="AD476" i="2" s="1"/>
  <c r="AD475" i="2"/>
  <c r="AC475" i="2"/>
  <c r="Y475" i="2"/>
  <c r="Z475" i="2" s="1"/>
  <c r="AA475" i="2" s="1"/>
  <c r="V475" i="2"/>
  <c r="W475" i="2" s="1"/>
  <c r="X475" i="2" s="1"/>
  <c r="F475" i="2"/>
  <c r="G475" i="2" s="1"/>
  <c r="E475" i="2"/>
  <c r="AB475" i="2" s="1"/>
  <c r="AE475" i="2" s="1"/>
  <c r="AD474" i="2"/>
  <c r="AE474" i="2" s="1"/>
  <c r="V474" i="2"/>
  <c r="W474" i="2" s="1"/>
  <c r="X474" i="2" s="1"/>
  <c r="G474" i="2"/>
  <c r="F474" i="2"/>
  <c r="E474" i="2"/>
  <c r="AB474" i="2" s="1"/>
  <c r="AD473" i="2"/>
  <c r="AC473" i="2"/>
  <c r="W473" i="2"/>
  <c r="X473" i="2" s="1"/>
  <c r="V473" i="2"/>
  <c r="G473" i="2"/>
  <c r="F473" i="2"/>
  <c r="E473" i="2"/>
  <c r="Y473" i="2" s="1"/>
  <c r="Z473" i="2" s="1"/>
  <c r="AA473" i="2" s="1"/>
  <c r="F472" i="2"/>
  <c r="G472" i="2" s="1"/>
  <c r="E472" i="2"/>
  <c r="AD471" i="2"/>
  <c r="AC471" i="2"/>
  <c r="AB471" i="2"/>
  <c r="Y471" i="2"/>
  <c r="Z471" i="2" s="1"/>
  <c r="AA471" i="2" s="1"/>
  <c r="V471" i="2"/>
  <c r="W471" i="2" s="1"/>
  <c r="X471" i="2" s="1"/>
  <c r="F471" i="2"/>
  <c r="G471" i="2" s="1"/>
  <c r="E471" i="2"/>
  <c r="AD470" i="2"/>
  <c r="Y470" i="2"/>
  <c r="Z470" i="2" s="1"/>
  <c r="AA470" i="2" s="1"/>
  <c r="W470" i="2"/>
  <c r="X470" i="2" s="1"/>
  <c r="F470" i="2"/>
  <c r="G470" i="2" s="1"/>
  <c r="E470" i="2"/>
  <c r="V470" i="2" s="1"/>
  <c r="F469" i="2"/>
  <c r="G469" i="2" s="1"/>
  <c r="E469" i="2"/>
  <c r="AC468" i="2"/>
  <c r="Y468" i="2"/>
  <c r="Z468" i="2" s="1"/>
  <c r="AA468" i="2" s="1"/>
  <c r="F468" i="2"/>
  <c r="G468" i="2" s="1"/>
  <c r="E468" i="2"/>
  <c r="AD468" i="2" s="1"/>
  <c r="AD467" i="2"/>
  <c r="AB467" i="2"/>
  <c r="V467" i="2"/>
  <c r="W467" i="2" s="1"/>
  <c r="X467" i="2" s="1"/>
  <c r="G467" i="2"/>
  <c r="F467" i="2"/>
  <c r="E467" i="2"/>
  <c r="Y467" i="2" s="1"/>
  <c r="Z467" i="2" s="1"/>
  <c r="AA467" i="2" s="1"/>
  <c r="AD466" i="2"/>
  <c r="Y466" i="2"/>
  <c r="Z466" i="2" s="1"/>
  <c r="AA466" i="2" s="1"/>
  <c r="V466" i="2"/>
  <c r="W466" i="2" s="1"/>
  <c r="X466" i="2" s="1"/>
  <c r="G466" i="2"/>
  <c r="F466" i="2"/>
  <c r="E466" i="2"/>
  <c r="AD465" i="2"/>
  <c r="AB465" i="2"/>
  <c r="G465" i="2"/>
  <c r="F465" i="2"/>
  <c r="E465" i="2"/>
  <c r="AC464" i="2"/>
  <c r="Y464" i="2"/>
  <c r="Z464" i="2" s="1"/>
  <c r="AA464" i="2" s="1"/>
  <c r="F464" i="2"/>
  <c r="G464" i="2" s="1"/>
  <c r="E464" i="2"/>
  <c r="AD463" i="2"/>
  <c r="AC463" i="2"/>
  <c r="AB463" i="2"/>
  <c r="AE463" i="2" s="1"/>
  <c r="Y463" i="2"/>
  <c r="Z463" i="2" s="1"/>
  <c r="AA463" i="2" s="1"/>
  <c r="V463" i="2"/>
  <c r="W463" i="2" s="1"/>
  <c r="X463" i="2" s="1"/>
  <c r="G463" i="2"/>
  <c r="F463" i="2"/>
  <c r="E463" i="2"/>
  <c r="AD462" i="2"/>
  <c r="AC462" i="2"/>
  <c r="Y462" i="2"/>
  <c r="Z462" i="2" s="1"/>
  <c r="AA462" i="2" s="1"/>
  <c r="V462" i="2"/>
  <c r="W462" i="2" s="1"/>
  <c r="X462" i="2" s="1"/>
  <c r="F462" i="2"/>
  <c r="G462" i="2" s="1"/>
  <c r="E462" i="2"/>
  <c r="AB462" i="2" s="1"/>
  <c r="AE462" i="2" s="1"/>
  <c r="AB461" i="2"/>
  <c r="F461" i="2"/>
  <c r="G461" i="2" s="1"/>
  <c r="E461" i="2"/>
  <c r="AB460" i="2"/>
  <c r="G460" i="2"/>
  <c r="F460" i="2"/>
  <c r="E460" i="2"/>
  <c r="AC459" i="2"/>
  <c r="Y459" i="2"/>
  <c r="Z459" i="2" s="1"/>
  <c r="AA459" i="2" s="1"/>
  <c r="F459" i="2"/>
  <c r="G459" i="2" s="1"/>
  <c r="E459" i="2"/>
  <c r="V458" i="2"/>
  <c r="W458" i="2" s="1"/>
  <c r="X458" i="2" s="1"/>
  <c r="G458" i="2"/>
  <c r="F458" i="2"/>
  <c r="E458" i="2"/>
  <c r="AC458" i="2" s="1"/>
  <c r="AC457" i="2"/>
  <c r="V457" i="2"/>
  <c r="W457" i="2" s="1"/>
  <c r="X457" i="2" s="1"/>
  <c r="F457" i="2"/>
  <c r="G457" i="2" s="1"/>
  <c r="E457" i="2"/>
  <c r="AC456" i="2"/>
  <c r="Y456" i="2"/>
  <c r="Z456" i="2" s="1"/>
  <c r="AA456" i="2" s="1"/>
  <c r="F456" i="2"/>
  <c r="G456" i="2" s="1"/>
  <c r="E456" i="2"/>
  <c r="AD455" i="2"/>
  <c r="AC455" i="2"/>
  <c r="AB455" i="2"/>
  <c r="Y455" i="2"/>
  <c r="Z455" i="2" s="1"/>
  <c r="AA455" i="2" s="1"/>
  <c r="V455" i="2"/>
  <c r="W455" i="2" s="1"/>
  <c r="X455" i="2" s="1"/>
  <c r="G455" i="2"/>
  <c r="F455" i="2"/>
  <c r="E455" i="2"/>
  <c r="Y454" i="2"/>
  <c r="Z454" i="2" s="1"/>
  <c r="AA454" i="2" s="1"/>
  <c r="V454" i="2"/>
  <c r="W454" i="2" s="1"/>
  <c r="X454" i="2" s="1"/>
  <c r="F454" i="2"/>
  <c r="G454" i="2" s="1"/>
  <c r="E454" i="2"/>
  <c r="AD454" i="2" s="1"/>
  <c r="F453" i="2"/>
  <c r="G453" i="2" s="1"/>
  <c r="E453" i="2"/>
  <c r="AD452" i="2"/>
  <c r="AB452" i="2"/>
  <c r="Y452" i="2"/>
  <c r="Z452" i="2" s="1"/>
  <c r="AA452" i="2" s="1"/>
  <c r="V452" i="2"/>
  <c r="W452" i="2" s="1"/>
  <c r="X452" i="2" s="1"/>
  <c r="G452" i="2"/>
  <c r="F452" i="2"/>
  <c r="E452" i="2"/>
  <c r="AC452" i="2" s="1"/>
  <c r="AD451" i="2"/>
  <c r="AC451" i="2"/>
  <c r="Y451" i="2"/>
  <c r="Z451" i="2" s="1"/>
  <c r="AA451" i="2" s="1"/>
  <c r="V451" i="2"/>
  <c r="W451" i="2" s="1"/>
  <c r="X451" i="2" s="1"/>
  <c r="F451" i="2"/>
  <c r="G451" i="2" s="1"/>
  <c r="E451" i="2"/>
  <c r="AB451" i="2" s="1"/>
  <c r="AD450" i="2"/>
  <c r="AC450" i="2"/>
  <c r="Z450" i="2"/>
  <c r="AA450" i="2" s="1"/>
  <c r="Y450" i="2"/>
  <c r="W450" i="2"/>
  <c r="X450" i="2" s="1"/>
  <c r="V450" i="2"/>
  <c r="G450" i="2"/>
  <c r="F450" i="2"/>
  <c r="E450" i="2"/>
  <c r="AB450" i="2" s="1"/>
  <c r="AE450" i="2" s="1"/>
  <c r="AC449" i="2"/>
  <c r="AB449" i="2"/>
  <c r="V449" i="2"/>
  <c r="W449" i="2" s="1"/>
  <c r="X449" i="2" s="1"/>
  <c r="G449" i="2"/>
  <c r="F449" i="2"/>
  <c r="E449" i="2"/>
  <c r="Y449" i="2" s="1"/>
  <c r="Z449" i="2" s="1"/>
  <c r="AA449" i="2" s="1"/>
  <c r="AC448" i="2"/>
  <c r="Y448" i="2"/>
  <c r="Z448" i="2" s="1"/>
  <c r="AA448" i="2" s="1"/>
  <c r="F448" i="2"/>
  <c r="G448" i="2" s="1"/>
  <c r="E448" i="2"/>
  <c r="AD447" i="2"/>
  <c r="AC447" i="2"/>
  <c r="AB447" i="2"/>
  <c r="AE447" i="2" s="1"/>
  <c r="Y447" i="2"/>
  <c r="Z447" i="2" s="1"/>
  <c r="AA447" i="2" s="1"/>
  <c r="V447" i="2"/>
  <c r="W447" i="2" s="1"/>
  <c r="X447" i="2" s="1"/>
  <c r="G447" i="2"/>
  <c r="F447" i="2"/>
  <c r="E447" i="2"/>
  <c r="AD446" i="2"/>
  <c r="AC446" i="2"/>
  <c r="AB446" i="2"/>
  <c r="V446" i="2"/>
  <c r="W446" i="2" s="1"/>
  <c r="X446" i="2" s="1"/>
  <c r="F446" i="2"/>
  <c r="G446" i="2" s="1"/>
  <c r="E446" i="2"/>
  <c r="Y446" i="2" s="1"/>
  <c r="Z446" i="2" s="1"/>
  <c r="AA446" i="2" s="1"/>
  <c r="AB445" i="2"/>
  <c r="AE445" i="2" s="1"/>
  <c r="Y445" i="2"/>
  <c r="Z445" i="2" s="1"/>
  <c r="AA445" i="2" s="1"/>
  <c r="F445" i="2"/>
  <c r="G445" i="2" s="1"/>
  <c r="E445" i="2"/>
  <c r="AD445" i="2" s="1"/>
  <c r="AD444" i="2"/>
  <c r="AB444" i="2"/>
  <c r="V444" i="2"/>
  <c r="W444" i="2" s="1"/>
  <c r="X444" i="2" s="1"/>
  <c r="G444" i="2"/>
  <c r="F444" i="2"/>
  <c r="E444" i="2"/>
  <c r="Y444" i="2" s="1"/>
  <c r="Z444" i="2" s="1"/>
  <c r="AA444" i="2" s="1"/>
  <c r="AB443" i="2"/>
  <c r="Y443" i="2"/>
  <c r="Z443" i="2" s="1"/>
  <c r="AA443" i="2" s="1"/>
  <c r="G443" i="2"/>
  <c r="F443" i="2"/>
  <c r="E443" i="2"/>
  <c r="AD442" i="2"/>
  <c r="AC442" i="2"/>
  <c r="G442" i="2"/>
  <c r="F442" i="2"/>
  <c r="E442" i="2"/>
  <c r="AD441" i="2"/>
  <c r="V441" i="2"/>
  <c r="W441" i="2" s="1"/>
  <c r="X441" i="2" s="1"/>
  <c r="G441" i="2"/>
  <c r="F441" i="2"/>
  <c r="E441" i="2"/>
  <c r="AC440" i="2"/>
  <c r="Y440" i="2"/>
  <c r="Z440" i="2" s="1"/>
  <c r="AA440" i="2" s="1"/>
  <c r="F440" i="2"/>
  <c r="G440" i="2" s="1"/>
  <c r="E440" i="2"/>
  <c r="AD439" i="2"/>
  <c r="AC439" i="2"/>
  <c r="AB439" i="2"/>
  <c r="AE439" i="2" s="1"/>
  <c r="Y439" i="2"/>
  <c r="Z439" i="2" s="1"/>
  <c r="AA439" i="2" s="1"/>
  <c r="V439" i="2"/>
  <c r="W439" i="2" s="1"/>
  <c r="X439" i="2" s="1"/>
  <c r="G439" i="2"/>
  <c r="F439" i="2"/>
  <c r="E439" i="2"/>
  <c r="AB438" i="2"/>
  <c r="Y438" i="2"/>
  <c r="Z438" i="2" s="1"/>
  <c r="AA438" i="2" s="1"/>
  <c r="V438" i="2"/>
  <c r="W438" i="2" s="1"/>
  <c r="X438" i="2" s="1"/>
  <c r="G438" i="2"/>
  <c r="F438" i="2"/>
  <c r="E438" i="2"/>
  <c r="AD438" i="2" s="1"/>
  <c r="F437" i="2"/>
  <c r="G437" i="2" s="1"/>
  <c r="E437" i="2"/>
  <c r="F436" i="2"/>
  <c r="G436" i="2" s="1"/>
  <c r="E436" i="2"/>
  <c r="AD435" i="2"/>
  <c r="Y435" i="2"/>
  <c r="Z435" i="2" s="1"/>
  <c r="AA435" i="2" s="1"/>
  <c r="V435" i="2"/>
  <c r="W435" i="2" s="1"/>
  <c r="X435" i="2" s="1"/>
  <c r="F435" i="2"/>
  <c r="G435" i="2" s="1"/>
  <c r="E435" i="2"/>
  <c r="AC435" i="2" s="1"/>
  <c r="AC434" i="2"/>
  <c r="G434" i="2"/>
  <c r="F434" i="2"/>
  <c r="E434" i="2"/>
  <c r="F433" i="2"/>
  <c r="G433" i="2" s="1"/>
  <c r="E433" i="2"/>
  <c r="Z432" i="2"/>
  <c r="AA432" i="2" s="1"/>
  <c r="Y432" i="2"/>
  <c r="G432" i="2"/>
  <c r="F432" i="2"/>
  <c r="E432" i="2"/>
  <c r="AD431" i="2"/>
  <c r="AC431" i="2"/>
  <c r="AB431" i="2"/>
  <c r="Y431" i="2"/>
  <c r="Z431" i="2" s="1"/>
  <c r="AA431" i="2" s="1"/>
  <c r="V431" i="2"/>
  <c r="W431" i="2" s="1"/>
  <c r="X431" i="2" s="1"/>
  <c r="F431" i="2"/>
  <c r="G431" i="2" s="1"/>
  <c r="E431" i="2"/>
  <c r="AD430" i="2"/>
  <c r="G430" i="2"/>
  <c r="F430" i="2"/>
  <c r="E430" i="2"/>
  <c r="Y429" i="2"/>
  <c r="Z429" i="2" s="1"/>
  <c r="AA429" i="2" s="1"/>
  <c r="V429" i="2"/>
  <c r="W429" i="2" s="1"/>
  <c r="X429" i="2" s="1"/>
  <c r="F429" i="2"/>
  <c r="G429" i="2" s="1"/>
  <c r="E429" i="2"/>
  <c r="AC429" i="2" s="1"/>
  <c r="AD428" i="2"/>
  <c r="AC428" i="2"/>
  <c r="Y428" i="2"/>
  <c r="Z428" i="2" s="1"/>
  <c r="AA428" i="2" s="1"/>
  <c r="V428" i="2"/>
  <c r="W428" i="2" s="1"/>
  <c r="X428" i="2" s="1"/>
  <c r="F428" i="2"/>
  <c r="G428" i="2" s="1"/>
  <c r="E428" i="2"/>
  <c r="AB428" i="2" s="1"/>
  <c r="AC427" i="2"/>
  <c r="AB427" i="2"/>
  <c r="F427" i="2"/>
  <c r="G427" i="2" s="1"/>
  <c r="E427" i="2"/>
  <c r="AD426" i="2"/>
  <c r="AE426" i="2" s="1"/>
  <c r="Y426" i="2"/>
  <c r="Z426" i="2" s="1"/>
  <c r="AA426" i="2" s="1"/>
  <c r="V426" i="2"/>
  <c r="W426" i="2" s="1"/>
  <c r="X426" i="2" s="1"/>
  <c r="G426" i="2"/>
  <c r="F426" i="2"/>
  <c r="E426" i="2"/>
  <c r="AB426" i="2" s="1"/>
  <c r="AC425" i="2"/>
  <c r="G425" i="2"/>
  <c r="F425" i="2"/>
  <c r="E425" i="2"/>
  <c r="AC424" i="2"/>
  <c r="AB424" i="2"/>
  <c r="G424" i="2"/>
  <c r="F424" i="2"/>
  <c r="E424" i="2"/>
  <c r="AD423" i="2"/>
  <c r="AC423" i="2"/>
  <c r="AB423" i="2"/>
  <c r="Y423" i="2"/>
  <c r="Z423" i="2" s="1"/>
  <c r="AA423" i="2" s="1"/>
  <c r="V423" i="2"/>
  <c r="W423" i="2" s="1"/>
  <c r="X423" i="2" s="1"/>
  <c r="F423" i="2"/>
  <c r="G423" i="2" s="1"/>
  <c r="E423" i="2"/>
  <c r="AC422" i="2"/>
  <c r="AB422" i="2"/>
  <c r="V422" i="2"/>
  <c r="W422" i="2" s="1"/>
  <c r="X422" i="2" s="1"/>
  <c r="G422" i="2"/>
  <c r="F422" i="2"/>
  <c r="E422" i="2"/>
  <c r="F421" i="2"/>
  <c r="G421" i="2" s="1"/>
  <c r="E421" i="2"/>
  <c r="G420" i="2"/>
  <c r="F420" i="2"/>
  <c r="E420" i="2"/>
  <c r="AD419" i="2"/>
  <c r="AC419" i="2"/>
  <c r="Z419" i="2"/>
  <c r="AA419" i="2" s="1"/>
  <c r="Y419" i="2"/>
  <c r="V419" i="2"/>
  <c r="W419" i="2" s="1"/>
  <c r="X419" i="2" s="1"/>
  <c r="G419" i="2"/>
  <c r="F419" i="2"/>
  <c r="E419" i="2"/>
  <c r="AB419" i="2" s="1"/>
  <c r="AD418" i="2"/>
  <c r="AC418" i="2"/>
  <c r="Y418" i="2"/>
  <c r="Z418" i="2" s="1"/>
  <c r="AA418" i="2" s="1"/>
  <c r="G418" i="2"/>
  <c r="F418" i="2"/>
  <c r="E418" i="2"/>
  <c r="AD417" i="2"/>
  <c r="AC417" i="2"/>
  <c r="V417" i="2"/>
  <c r="W417" i="2" s="1"/>
  <c r="X417" i="2" s="1"/>
  <c r="F417" i="2"/>
  <c r="G417" i="2" s="1"/>
  <c r="E417" i="2"/>
  <c r="Y417" i="2" s="1"/>
  <c r="Z417" i="2" s="1"/>
  <c r="AA417" i="2" s="1"/>
  <c r="AB416" i="2"/>
  <c r="Y416" i="2"/>
  <c r="Z416" i="2" s="1"/>
  <c r="AA416" i="2" s="1"/>
  <c r="G416" i="2"/>
  <c r="F416" i="2"/>
  <c r="E416" i="2"/>
  <c r="AD415" i="2"/>
  <c r="AC415" i="2"/>
  <c r="AB415" i="2"/>
  <c r="Y415" i="2"/>
  <c r="Z415" i="2" s="1"/>
  <c r="AA415" i="2" s="1"/>
  <c r="X415" i="2"/>
  <c r="V415" i="2"/>
  <c r="W415" i="2" s="1"/>
  <c r="F415" i="2"/>
  <c r="G415" i="2" s="1"/>
  <c r="E415" i="2"/>
  <c r="AB414" i="2"/>
  <c r="AE414" i="2" s="1"/>
  <c r="Y414" i="2"/>
  <c r="Z414" i="2" s="1"/>
  <c r="AA414" i="2" s="1"/>
  <c r="G414" i="2"/>
  <c r="F414" i="2"/>
  <c r="E414" i="2"/>
  <c r="AD414" i="2" s="1"/>
  <c r="Y413" i="2"/>
  <c r="Z413" i="2" s="1"/>
  <c r="AA413" i="2" s="1"/>
  <c r="V413" i="2"/>
  <c r="W413" i="2" s="1"/>
  <c r="X413" i="2" s="1"/>
  <c r="F413" i="2"/>
  <c r="G413" i="2" s="1"/>
  <c r="E413" i="2"/>
  <c r="AC413" i="2" s="1"/>
  <c r="F412" i="2"/>
  <c r="G412" i="2" s="1"/>
  <c r="E412" i="2"/>
  <c r="F411" i="2"/>
  <c r="G411" i="2" s="1"/>
  <c r="E411" i="2"/>
  <c r="G410" i="2"/>
  <c r="F410" i="2"/>
  <c r="E410" i="2"/>
  <c r="AB409" i="2"/>
  <c r="F409" i="2"/>
  <c r="G409" i="2" s="1"/>
  <c r="E409" i="2"/>
  <c r="AC408" i="2"/>
  <c r="AB408" i="2"/>
  <c r="F408" i="2"/>
  <c r="G408" i="2" s="1"/>
  <c r="E408" i="2"/>
  <c r="AD407" i="2"/>
  <c r="AE407" i="2" s="1"/>
  <c r="AC407" i="2"/>
  <c r="AB407" i="2"/>
  <c r="Y407" i="2"/>
  <c r="Z407" i="2" s="1"/>
  <c r="AA407" i="2" s="1"/>
  <c r="V407" i="2"/>
  <c r="W407" i="2" s="1"/>
  <c r="X407" i="2" s="1"/>
  <c r="G407" i="2"/>
  <c r="F407" i="2"/>
  <c r="E407" i="2"/>
  <c r="AD406" i="2"/>
  <c r="V406" i="2"/>
  <c r="W406" i="2" s="1"/>
  <c r="X406" i="2" s="1"/>
  <c r="G406" i="2"/>
  <c r="F406" i="2"/>
  <c r="E406" i="2"/>
  <c r="AC406" i="2" s="1"/>
  <c r="AD405" i="2"/>
  <c r="Y405" i="2"/>
  <c r="Z405" i="2" s="1"/>
  <c r="AA405" i="2" s="1"/>
  <c r="V405" i="2"/>
  <c r="W405" i="2" s="1"/>
  <c r="X405" i="2" s="1"/>
  <c r="F405" i="2"/>
  <c r="G405" i="2" s="1"/>
  <c r="E405" i="2"/>
  <c r="AC405" i="2" s="1"/>
  <c r="AD404" i="2"/>
  <c r="AC404" i="2"/>
  <c r="AB404" i="2"/>
  <c r="F404" i="2"/>
  <c r="G404" i="2" s="1"/>
  <c r="E404" i="2"/>
  <c r="Y404" i="2" s="1"/>
  <c r="Z404" i="2" s="1"/>
  <c r="AA404" i="2" s="1"/>
  <c r="AD403" i="2"/>
  <c r="AC403" i="2"/>
  <c r="Y403" i="2"/>
  <c r="Z403" i="2" s="1"/>
  <c r="AA403" i="2" s="1"/>
  <c r="V403" i="2"/>
  <c r="W403" i="2" s="1"/>
  <c r="X403" i="2" s="1"/>
  <c r="F403" i="2"/>
  <c r="G403" i="2" s="1"/>
  <c r="E403" i="2"/>
  <c r="AB403" i="2" s="1"/>
  <c r="G402" i="2"/>
  <c r="F402" i="2"/>
  <c r="E402" i="2"/>
  <c r="AD402" i="2" s="1"/>
  <c r="AD401" i="2"/>
  <c r="AC401" i="2"/>
  <c r="V401" i="2"/>
  <c r="W401" i="2" s="1"/>
  <c r="X401" i="2" s="1"/>
  <c r="F401" i="2"/>
  <c r="G401" i="2" s="1"/>
  <c r="E401" i="2"/>
  <c r="Y401" i="2" s="1"/>
  <c r="Z401" i="2" s="1"/>
  <c r="AA401" i="2" s="1"/>
  <c r="F400" i="2"/>
  <c r="G400" i="2" s="1"/>
  <c r="E400" i="2"/>
  <c r="AD399" i="2"/>
  <c r="AC399" i="2"/>
  <c r="AB399" i="2"/>
  <c r="Z399" i="2"/>
  <c r="AA399" i="2" s="1"/>
  <c r="Y399" i="2"/>
  <c r="V399" i="2"/>
  <c r="W399" i="2" s="1"/>
  <c r="X399" i="2" s="1"/>
  <c r="F399" i="2"/>
  <c r="G399" i="2" s="1"/>
  <c r="E399" i="2"/>
  <c r="AC398" i="2"/>
  <c r="AB398" i="2"/>
  <c r="Y398" i="2"/>
  <c r="Z398" i="2" s="1"/>
  <c r="AA398" i="2" s="1"/>
  <c r="F398" i="2"/>
  <c r="G398" i="2" s="1"/>
  <c r="E398" i="2"/>
  <c r="AD397" i="2"/>
  <c r="AB397" i="2"/>
  <c r="X397" i="2"/>
  <c r="V397" i="2"/>
  <c r="W397" i="2" s="1"/>
  <c r="F397" i="2"/>
  <c r="G397" i="2" s="1"/>
  <c r="E397" i="2"/>
  <c r="AB396" i="2"/>
  <c r="Y396" i="2"/>
  <c r="Z396" i="2" s="1"/>
  <c r="AA396" i="2" s="1"/>
  <c r="V396" i="2"/>
  <c r="W396" i="2" s="1"/>
  <c r="X396" i="2" s="1"/>
  <c r="G396" i="2"/>
  <c r="F396" i="2"/>
  <c r="E396" i="2"/>
  <c r="AD395" i="2"/>
  <c r="AC395" i="2"/>
  <c r="V395" i="2"/>
  <c r="W395" i="2" s="1"/>
  <c r="X395" i="2" s="1"/>
  <c r="G395" i="2"/>
  <c r="F395" i="2"/>
  <c r="E395" i="2"/>
  <c r="AD394" i="2"/>
  <c r="AC394" i="2"/>
  <c r="Y394" i="2"/>
  <c r="Z394" i="2" s="1"/>
  <c r="AA394" i="2" s="1"/>
  <c r="V394" i="2"/>
  <c r="W394" i="2" s="1"/>
  <c r="X394" i="2" s="1"/>
  <c r="G394" i="2"/>
  <c r="F394" i="2"/>
  <c r="E394" i="2"/>
  <c r="AB394" i="2" s="1"/>
  <c r="AC393" i="2"/>
  <c r="F393" i="2"/>
  <c r="G393" i="2" s="1"/>
  <c r="E393" i="2"/>
  <c r="AC392" i="2"/>
  <c r="Y392" i="2"/>
  <c r="Z392" i="2" s="1"/>
  <c r="AA392" i="2" s="1"/>
  <c r="G392" i="2"/>
  <c r="F392" i="2"/>
  <c r="E392" i="2"/>
  <c r="AD391" i="2"/>
  <c r="AC391" i="2"/>
  <c r="AB391" i="2"/>
  <c r="Y391" i="2"/>
  <c r="Z391" i="2" s="1"/>
  <c r="AA391" i="2" s="1"/>
  <c r="V391" i="2"/>
  <c r="W391" i="2" s="1"/>
  <c r="X391" i="2" s="1"/>
  <c r="F391" i="2"/>
  <c r="G391" i="2" s="1"/>
  <c r="E391" i="2"/>
  <c r="AD390" i="2"/>
  <c r="AC390" i="2"/>
  <c r="Y390" i="2"/>
  <c r="Z390" i="2" s="1"/>
  <c r="AA390" i="2" s="1"/>
  <c r="V390" i="2"/>
  <c r="W390" i="2" s="1"/>
  <c r="X390" i="2" s="1"/>
  <c r="G390" i="2"/>
  <c r="F390" i="2"/>
  <c r="E390" i="2"/>
  <c r="AB390" i="2" s="1"/>
  <c r="AD389" i="2"/>
  <c r="AB389" i="2"/>
  <c r="Y389" i="2"/>
  <c r="Z389" i="2" s="1"/>
  <c r="AA389" i="2" s="1"/>
  <c r="F389" i="2"/>
  <c r="G389" i="2" s="1"/>
  <c r="E389" i="2"/>
  <c r="AC388" i="2"/>
  <c r="G388" i="2"/>
  <c r="F388" i="2"/>
  <c r="E388" i="2"/>
  <c r="AD388" i="2" s="1"/>
  <c r="G387" i="2"/>
  <c r="F387" i="2"/>
  <c r="E387" i="2"/>
  <c r="G386" i="2"/>
  <c r="F386" i="2"/>
  <c r="E386" i="2"/>
  <c r="W385" i="2"/>
  <c r="X385" i="2" s="1"/>
  <c r="V385" i="2"/>
  <c r="G385" i="2"/>
  <c r="F385" i="2"/>
  <c r="E385" i="2"/>
  <c r="AB384" i="2"/>
  <c r="G384" i="2"/>
  <c r="F384" i="2"/>
  <c r="E384" i="2"/>
  <c r="AD383" i="2"/>
  <c r="AC383" i="2"/>
  <c r="AB383" i="2"/>
  <c r="Y383" i="2"/>
  <c r="Z383" i="2" s="1"/>
  <c r="AA383" i="2" s="1"/>
  <c r="V383" i="2"/>
  <c r="W383" i="2" s="1"/>
  <c r="X383" i="2" s="1"/>
  <c r="G383" i="2"/>
  <c r="F383" i="2"/>
  <c r="E383" i="2"/>
  <c r="AD382" i="2"/>
  <c r="AB382" i="2"/>
  <c r="V382" i="2"/>
  <c r="W382" i="2" s="1"/>
  <c r="X382" i="2" s="1"/>
  <c r="F382" i="2"/>
  <c r="G382" i="2" s="1"/>
  <c r="E382" i="2"/>
  <c r="AD381" i="2"/>
  <c r="Y381" i="2"/>
  <c r="Z381" i="2" s="1"/>
  <c r="AA381" i="2" s="1"/>
  <c r="V381" i="2"/>
  <c r="W381" i="2" s="1"/>
  <c r="X381" i="2" s="1"/>
  <c r="F381" i="2"/>
  <c r="G381" i="2" s="1"/>
  <c r="E381" i="2"/>
  <c r="AC381" i="2" s="1"/>
  <c r="AC380" i="2"/>
  <c r="AB380" i="2"/>
  <c r="Y380" i="2"/>
  <c r="Z380" i="2" s="1"/>
  <c r="AA380" i="2" s="1"/>
  <c r="G380" i="2"/>
  <c r="F380" i="2"/>
  <c r="E380" i="2"/>
  <c r="V380" i="2" s="1"/>
  <c r="W380" i="2" s="1"/>
  <c r="X380" i="2" s="1"/>
  <c r="AD379" i="2"/>
  <c r="AC379" i="2"/>
  <c r="AB379" i="2"/>
  <c r="Y379" i="2"/>
  <c r="Z379" i="2" s="1"/>
  <c r="AA379" i="2" s="1"/>
  <c r="V379" i="2"/>
  <c r="W379" i="2" s="1"/>
  <c r="X379" i="2" s="1"/>
  <c r="F379" i="2"/>
  <c r="G379" i="2" s="1"/>
  <c r="E379" i="2"/>
  <c r="AC378" i="2"/>
  <c r="Y378" i="2"/>
  <c r="Z378" i="2" s="1"/>
  <c r="AA378" i="2" s="1"/>
  <c r="G378" i="2"/>
  <c r="F378" i="2"/>
  <c r="E378" i="2"/>
  <c r="AD377" i="2"/>
  <c r="AB377" i="2"/>
  <c r="AE377" i="2" s="1"/>
  <c r="V377" i="2"/>
  <c r="W377" i="2" s="1"/>
  <c r="X377" i="2" s="1"/>
  <c r="F377" i="2"/>
  <c r="G377" i="2" s="1"/>
  <c r="E377" i="2"/>
  <c r="Y377" i="2" s="1"/>
  <c r="Z377" i="2" s="1"/>
  <c r="AA377" i="2" s="1"/>
  <c r="G376" i="2"/>
  <c r="F376" i="2"/>
  <c r="E376" i="2"/>
  <c r="AD375" i="2"/>
  <c r="AC375" i="2"/>
  <c r="AB375" i="2"/>
  <c r="Y375" i="2"/>
  <c r="Z375" i="2" s="1"/>
  <c r="AA375" i="2" s="1"/>
  <c r="V375" i="2"/>
  <c r="W375" i="2" s="1"/>
  <c r="X375" i="2" s="1"/>
  <c r="F375" i="2"/>
  <c r="G375" i="2" s="1"/>
  <c r="E375" i="2"/>
  <c r="AD374" i="2"/>
  <c r="Y374" i="2"/>
  <c r="Z374" i="2" s="1"/>
  <c r="AA374" i="2" s="1"/>
  <c r="V374" i="2"/>
  <c r="W374" i="2" s="1"/>
  <c r="X374" i="2" s="1"/>
  <c r="G374" i="2"/>
  <c r="F374" i="2"/>
  <c r="E374" i="2"/>
  <c r="AC374" i="2" s="1"/>
  <c r="AD373" i="2"/>
  <c r="Y373" i="2"/>
  <c r="Z373" i="2" s="1"/>
  <c r="AA373" i="2" s="1"/>
  <c r="F373" i="2"/>
  <c r="G373" i="2" s="1"/>
  <c r="E373" i="2"/>
  <c r="AB373" i="2" s="1"/>
  <c r="AE373" i="2" s="1"/>
  <c r="AD372" i="2"/>
  <c r="AC372" i="2"/>
  <c r="Y372" i="2"/>
  <c r="Z372" i="2" s="1"/>
  <c r="AA372" i="2" s="1"/>
  <c r="V372" i="2"/>
  <c r="W372" i="2" s="1"/>
  <c r="X372" i="2" s="1"/>
  <c r="F372" i="2"/>
  <c r="G372" i="2" s="1"/>
  <c r="E372" i="2"/>
  <c r="AB372" i="2" s="1"/>
  <c r="AC371" i="2"/>
  <c r="Y371" i="2"/>
  <c r="Z371" i="2" s="1"/>
  <c r="AA371" i="2" s="1"/>
  <c r="F371" i="2"/>
  <c r="G371" i="2" s="1"/>
  <c r="E371" i="2"/>
  <c r="Y370" i="2"/>
  <c r="Z370" i="2" s="1"/>
  <c r="AA370" i="2" s="1"/>
  <c r="V370" i="2"/>
  <c r="W370" i="2" s="1"/>
  <c r="X370" i="2" s="1"/>
  <c r="G370" i="2"/>
  <c r="F370" i="2"/>
  <c r="E370" i="2"/>
  <c r="AB370" i="2" s="1"/>
  <c r="G369" i="2"/>
  <c r="F369" i="2"/>
  <c r="E369" i="2"/>
  <c r="G368" i="2"/>
  <c r="F368" i="2"/>
  <c r="E368" i="2"/>
  <c r="AD367" i="2"/>
  <c r="AC367" i="2"/>
  <c r="AB367" i="2"/>
  <c r="AE367" i="2" s="1"/>
  <c r="Y367" i="2"/>
  <c r="Z367" i="2" s="1"/>
  <c r="AA367" i="2" s="1"/>
  <c r="V367" i="2"/>
  <c r="W367" i="2" s="1"/>
  <c r="X367" i="2" s="1"/>
  <c r="F367" i="2"/>
  <c r="G367" i="2" s="1"/>
  <c r="E367" i="2"/>
  <c r="AC366" i="2"/>
  <c r="AB366" i="2"/>
  <c r="Y366" i="2"/>
  <c r="Z366" i="2" s="1"/>
  <c r="AA366" i="2" s="1"/>
  <c r="V366" i="2"/>
  <c r="W366" i="2" s="1"/>
  <c r="X366" i="2" s="1"/>
  <c r="G366" i="2"/>
  <c r="F366" i="2"/>
  <c r="E366" i="2"/>
  <c r="AD366" i="2" s="1"/>
  <c r="F365" i="2"/>
  <c r="G365" i="2" s="1"/>
  <c r="E365" i="2"/>
  <c r="AC364" i="2"/>
  <c r="V364" i="2"/>
  <c r="W364" i="2" s="1"/>
  <c r="X364" i="2" s="1"/>
  <c r="G364" i="2"/>
  <c r="F364" i="2"/>
  <c r="E364" i="2"/>
  <c r="AD363" i="2"/>
  <c r="AC363" i="2"/>
  <c r="Y363" i="2"/>
  <c r="Z363" i="2" s="1"/>
  <c r="AA363" i="2" s="1"/>
  <c r="V363" i="2"/>
  <c r="W363" i="2" s="1"/>
  <c r="X363" i="2" s="1"/>
  <c r="F363" i="2"/>
  <c r="G363" i="2" s="1"/>
  <c r="E363" i="2"/>
  <c r="AB363" i="2" s="1"/>
  <c r="G362" i="2"/>
  <c r="F362" i="2"/>
  <c r="E362" i="2"/>
  <c r="F361" i="2"/>
  <c r="G361" i="2" s="1"/>
  <c r="E361" i="2"/>
  <c r="AC360" i="2"/>
  <c r="AB360" i="2"/>
  <c r="V360" i="2"/>
  <c r="W360" i="2" s="1"/>
  <c r="X360" i="2" s="1"/>
  <c r="G360" i="2"/>
  <c r="F360" i="2"/>
  <c r="E360" i="2"/>
  <c r="Y360" i="2" s="1"/>
  <c r="Z360" i="2" s="1"/>
  <c r="AA360" i="2" s="1"/>
  <c r="V359" i="2"/>
  <c r="W359" i="2" s="1"/>
  <c r="X359" i="2" s="1"/>
  <c r="G359" i="2"/>
  <c r="F359" i="2"/>
  <c r="E359" i="2"/>
  <c r="AD359" i="2" s="1"/>
  <c r="Y358" i="2"/>
  <c r="Z358" i="2" s="1"/>
  <c r="AA358" i="2" s="1"/>
  <c r="V358" i="2"/>
  <c r="W358" i="2" s="1"/>
  <c r="X358" i="2" s="1"/>
  <c r="G358" i="2"/>
  <c r="F358" i="2"/>
  <c r="E358" i="2"/>
  <c r="AB357" i="2"/>
  <c r="G357" i="2"/>
  <c r="F357" i="2"/>
  <c r="E357" i="2"/>
  <c r="F356" i="2"/>
  <c r="G356" i="2" s="1"/>
  <c r="E356" i="2"/>
  <c r="AD355" i="2"/>
  <c r="AC355" i="2"/>
  <c r="AB355" i="2"/>
  <c r="Y355" i="2"/>
  <c r="Z355" i="2" s="1"/>
  <c r="AA355" i="2" s="1"/>
  <c r="V355" i="2"/>
  <c r="W355" i="2" s="1"/>
  <c r="X355" i="2" s="1"/>
  <c r="F355" i="2"/>
  <c r="G355" i="2" s="1"/>
  <c r="E355" i="2"/>
  <c r="AC354" i="2"/>
  <c r="AB354" i="2"/>
  <c r="V354" i="2"/>
  <c r="W354" i="2" s="1"/>
  <c r="X354" i="2" s="1"/>
  <c r="G354" i="2"/>
  <c r="F354" i="2"/>
  <c r="E354" i="2"/>
  <c r="Y354" i="2" s="1"/>
  <c r="Z354" i="2" s="1"/>
  <c r="AA354" i="2" s="1"/>
  <c r="AD353" i="2"/>
  <c r="F353" i="2"/>
  <c r="G353" i="2" s="1"/>
  <c r="E353" i="2"/>
  <c r="AB352" i="2"/>
  <c r="G352" i="2"/>
  <c r="F352" i="2"/>
  <c r="E352" i="2"/>
  <c r="AD351" i="2"/>
  <c r="F351" i="2"/>
  <c r="G351" i="2" s="1"/>
  <c r="E351" i="2"/>
  <c r="V350" i="2"/>
  <c r="W350" i="2" s="1"/>
  <c r="X350" i="2" s="1"/>
  <c r="G350" i="2"/>
  <c r="F350" i="2"/>
  <c r="E350" i="2"/>
  <c r="G349" i="2"/>
  <c r="F349" i="2"/>
  <c r="E349" i="2"/>
  <c r="AB349" i="2" s="1"/>
  <c r="AB348" i="2"/>
  <c r="G348" i="2"/>
  <c r="F348" i="2"/>
  <c r="E348" i="2"/>
  <c r="AD347" i="2"/>
  <c r="AE347" i="2" s="1"/>
  <c r="AC347" i="2"/>
  <c r="AB347" i="2"/>
  <c r="Y347" i="2"/>
  <c r="Z347" i="2" s="1"/>
  <c r="AA347" i="2" s="1"/>
  <c r="V347" i="2"/>
  <c r="W347" i="2" s="1"/>
  <c r="X347" i="2" s="1"/>
  <c r="F347" i="2"/>
  <c r="G347" i="2" s="1"/>
  <c r="E347" i="2"/>
  <c r="Y346" i="2"/>
  <c r="Z346" i="2" s="1"/>
  <c r="AA346" i="2" s="1"/>
  <c r="V346" i="2"/>
  <c r="W346" i="2" s="1"/>
  <c r="X346" i="2" s="1"/>
  <c r="G346" i="2"/>
  <c r="F346" i="2"/>
  <c r="E346" i="2"/>
  <c r="AD345" i="2"/>
  <c r="Y345" i="2"/>
  <c r="Z345" i="2" s="1"/>
  <c r="AA345" i="2" s="1"/>
  <c r="V345" i="2"/>
  <c r="W345" i="2" s="1"/>
  <c r="X345" i="2" s="1"/>
  <c r="F345" i="2"/>
  <c r="G345" i="2" s="1"/>
  <c r="E345" i="2"/>
  <c r="AC345" i="2" s="1"/>
  <c r="AD344" i="2"/>
  <c r="AC344" i="2"/>
  <c r="AA344" i="2"/>
  <c r="Y344" i="2"/>
  <c r="Z344" i="2" s="1"/>
  <c r="V344" i="2"/>
  <c r="W344" i="2" s="1"/>
  <c r="X344" i="2" s="1"/>
  <c r="G344" i="2"/>
  <c r="F344" i="2"/>
  <c r="E344" i="2"/>
  <c r="AB344" i="2" s="1"/>
  <c r="AE344" i="2" s="1"/>
  <c r="AD343" i="2"/>
  <c r="AB343" i="2"/>
  <c r="AE343" i="2" s="1"/>
  <c r="AA343" i="2"/>
  <c r="Y343" i="2"/>
  <c r="Z343" i="2" s="1"/>
  <c r="G343" i="2"/>
  <c r="F343" i="2"/>
  <c r="E343" i="2"/>
  <c r="V343" i="2" s="1"/>
  <c r="W343" i="2" s="1"/>
  <c r="X343" i="2" s="1"/>
  <c r="G342" i="2"/>
  <c r="F342" i="2"/>
  <c r="E342" i="2"/>
  <c r="AC341" i="2"/>
  <c r="AB341" i="2"/>
  <c r="G341" i="2"/>
  <c r="F341" i="2"/>
  <c r="E341" i="2"/>
  <c r="AC340" i="2"/>
  <c r="G340" i="2"/>
  <c r="F340" i="2"/>
  <c r="E340" i="2"/>
  <c r="Y340" i="2" s="1"/>
  <c r="Z340" i="2" s="1"/>
  <c r="AA340" i="2" s="1"/>
  <c r="AD339" i="2"/>
  <c r="AC339" i="2"/>
  <c r="AB339" i="2"/>
  <c r="AE339" i="2" s="1"/>
  <c r="Y339" i="2"/>
  <c r="Z339" i="2" s="1"/>
  <c r="AA339" i="2" s="1"/>
  <c r="W339" i="2"/>
  <c r="X339" i="2" s="1"/>
  <c r="V339" i="2"/>
  <c r="F339" i="2"/>
  <c r="G339" i="2" s="1"/>
  <c r="E339" i="2"/>
  <c r="AD338" i="2"/>
  <c r="AC338" i="2"/>
  <c r="AB338" i="2"/>
  <c r="AE338" i="2" s="1"/>
  <c r="G338" i="2"/>
  <c r="F338" i="2"/>
  <c r="E338" i="2"/>
  <c r="Y338" i="2" s="1"/>
  <c r="Z338" i="2" s="1"/>
  <c r="AA338" i="2" s="1"/>
  <c r="AB337" i="2"/>
  <c r="F337" i="2"/>
  <c r="G337" i="2" s="1"/>
  <c r="E337" i="2"/>
  <c r="F336" i="2"/>
  <c r="G336" i="2" s="1"/>
  <c r="E336" i="2"/>
  <c r="AB335" i="2"/>
  <c r="X335" i="2"/>
  <c r="V335" i="2"/>
  <c r="W335" i="2" s="1"/>
  <c r="G335" i="2"/>
  <c r="F335" i="2"/>
  <c r="E335" i="2"/>
  <c r="Y335" i="2" s="1"/>
  <c r="Z335" i="2" s="1"/>
  <c r="AA335" i="2" s="1"/>
  <c r="AD334" i="2"/>
  <c r="Y334" i="2"/>
  <c r="Z334" i="2" s="1"/>
  <c r="AA334" i="2" s="1"/>
  <c r="V334" i="2"/>
  <c r="W334" i="2" s="1"/>
  <c r="X334" i="2" s="1"/>
  <c r="G334" i="2"/>
  <c r="F334" i="2"/>
  <c r="E334" i="2"/>
  <c r="AD333" i="2"/>
  <c r="AC333" i="2"/>
  <c r="F333" i="2"/>
  <c r="G333" i="2" s="1"/>
  <c r="E333" i="2"/>
  <c r="AC332" i="2"/>
  <c r="Y332" i="2"/>
  <c r="Z332" i="2" s="1"/>
  <c r="AA332" i="2" s="1"/>
  <c r="G332" i="2"/>
  <c r="F332" i="2"/>
  <c r="E332" i="2"/>
  <c r="AD331" i="2"/>
  <c r="AC331" i="2"/>
  <c r="AB331" i="2"/>
  <c r="AE331" i="2" s="1"/>
  <c r="Y331" i="2"/>
  <c r="Z331" i="2" s="1"/>
  <c r="AA331" i="2" s="1"/>
  <c r="V331" i="2"/>
  <c r="W331" i="2" s="1"/>
  <c r="X331" i="2" s="1"/>
  <c r="G331" i="2"/>
  <c r="F331" i="2"/>
  <c r="E331" i="2"/>
  <c r="AD330" i="2"/>
  <c r="AC330" i="2"/>
  <c r="Y330" i="2"/>
  <c r="Z330" i="2" s="1"/>
  <c r="AA330" i="2" s="1"/>
  <c r="V330" i="2"/>
  <c r="W330" i="2" s="1"/>
  <c r="X330" i="2" s="1"/>
  <c r="F330" i="2"/>
  <c r="G330" i="2" s="1"/>
  <c r="E330" i="2"/>
  <c r="AB330" i="2" s="1"/>
  <c r="AB329" i="2"/>
  <c r="Y329" i="2"/>
  <c r="Z329" i="2" s="1"/>
  <c r="AA329" i="2" s="1"/>
  <c r="V329" i="2"/>
  <c r="W329" i="2" s="1"/>
  <c r="X329" i="2" s="1"/>
  <c r="F329" i="2"/>
  <c r="G329" i="2" s="1"/>
  <c r="E329" i="2"/>
  <c r="AC329" i="2" s="1"/>
  <c r="AD328" i="2"/>
  <c r="AB328" i="2"/>
  <c r="AE328" i="2" s="1"/>
  <c r="Y328" i="2"/>
  <c r="Z328" i="2" s="1"/>
  <c r="AA328" i="2" s="1"/>
  <c r="V328" i="2"/>
  <c r="W328" i="2" s="1"/>
  <c r="X328" i="2" s="1"/>
  <c r="G328" i="2"/>
  <c r="F328" i="2"/>
  <c r="E328" i="2"/>
  <c r="AC328" i="2" s="1"/>
  <c r="AC327" i="2"/>
  <c r="AB327" i="2"/>
  <c r="F327" i="2"/>
  <c r="G327" i="2" s="1"/>
  <c r="E327" i="2"/>
  <c r="AD326" i="2"/>
  <c r="V326" i="2"/>
  <c r="W326" i="2" s="1"/>
  <c r="X326" i="2" s="1"/>
  <c r="G326" i="2"/>
  <c r="F326" i="2"/>
  <c r="E326" i="2"/>
  <c r="F325" i="2"/>
  <c r="G325" i="2" s="1"/>
  <c r="E325" i="2"/>
  <c r="AC325" i="2" s="1"/>
  <c r="AB324" i="2"/>
  <c r="G324" i="2"/>
  <c r="F324" i="2"/>
  <c r="E324" i="2"/>
  <c r="AD323" i="2"/>
  <c r="AE323" i="2" s="1"/>
  <c r="AC323" i="2"/>
  <c r="AB323" i="2"/>
  <c r="Y323" i="2"/>
  <c r="Z323" i="2" s="1"/>
  <c r="AA323" i="2" s="1"/>
  <c r="V323" i="2"/>
  <c r="W323" i="2" s="1"/>
  <c r="X323" i="2" s="1"/>
  <c r="G323" i="2"/>
  <c r="F323" i="2"/>
  <c r="E323" i="2"/>
  <c r="AD322" i="2"/>
  <c r="F322" i="2"/>
  <c r="G322" i="2" s="1"/>
  <c r="E322" i="2"/>
  <c r="Y322" i="2" s="1"/>
  <c r="Z322" i="2" s="1"/>
  <c r="AA322" i="2" s="1"/>
  <c r="AD321" i="2"/>
  <c r="Y321" i="2"/>
  <c r="Z321" i="2" s="1"/>
  <c r="AA321" i="2" s="1"/>
  <c r="V321" i="2"/>
  <c r="W321" i="2" s="1"/>
  <c r="X321" i="2" s="1"/>
  <c r="F321" i="2"/>
  <c r="G321" i="2" s="1"/>
  <c r="E321" i="2"/>
  <c r="AC321" i="2" s="1"/>
  <c r="AD320" i="2"/>
  <c r="AB320" i="2"/>
  <c r="Y320" i="2"/>
  <c r="Z320" i="2" s="1"/>
  <c r="AA320" i="2" s="1"/>
  <c r="V320" i="2"/>
  <c r="W320" i="2" s="1"/>
  <c r="X320" i="2" s="1"/>
  <c r="F320" i="2"/>
  <c r="G320" i="2" s="1"/>
  <c r="E320" i="2"/>
  <c r="AC320" i="2" s="1"/>
  <c r="F319" i="2"/>
  <c r="G319" i="2" s="1"/>
  <c r="E319" i="2"/>
  <c r="AD318" i="2"/>
  <c r="Y318" i="2"/>
  <c r="Z318" i="2" s="1"/>
  <c r="AA318" i="2" s="1"/>
  <c r="G318" i="2"/>
  <c r="F318" i="2"/>
  <c r="E318" i="2"/>
  <c r="AD317" i="2"/>
  <c r="AC317" i="2"/>
  <c r="F317" i="2"/>
  <c r="G317" i="2" s="1"/>
  <c r="E317" i="2"/>
  <c r="AB316" i="2"/>
  <c r="Y316" i="2"/>
  <c r="Z316" i="2" s="1"/>
  <c r="AA316" i="2" s="1"/>
  <c r="F316" i="2"/>
  <c r="G316" i="2" s="1"/>
  <c r="E316" i="2"/>
  <c r="AD315" i="2"/>
  <c r="AE315" i="2" s="1"/>
  <c r="AC315" i="2"/>
  <c r="AB315" i="2"/>
  <c r="Y315" i="2"/>
  <c r="Z315" i="2" s="1"/>
  <c r="AA315" i="2" s="1"/>
  <c r="V315" i="2"/>
  <c r="W315" i="2" s="1"/>
  <c r="X315" i="2" s="1"/>
  <c r="G315" i="2"/>
  <c r="F315" i="2"/>
  <c r="E315" i="2"/>
  <c r="AC314" i="2"/>
  <c r="Y314" i="2"/>
  <c r="Z314" i="2" s="1"/>
  <c r="AA314" i="2" s="1"/>
  <c r="F314" i="2"/>
  <c r="G314" i="2" s="1"/>
  <c r="E314" i="2"/>
  <c r="AB313" i="2"/>
  <c r="V313" i="2"/>
  <c r="W313" i="2" s="1"/>
  <c r="X313" i="2" s="1"/>
  <c r="F313" i="2"/>
  <c r="G313" i="2" s="1"/>
  <c r="E313" i="2"/>
  <c r="AD312" i="2"/>
  <c r="Y312" i="2"/>
  <c r="Z312" i="2" s="1"/>
  <c r="AA312" i="2" s="1"/>
  <c r="G312" i="2"/>
  <c r="F312" i="2"/>
  <c r="E312" i="2"/>
  <c r="AC312" i="2" s="1"/>
  <c r="AC311" i="2"/>
  <c r="AB311" i="2"/>
  <c r="V311" i="2"/>
  <c r="W311" i="2" s="1"/>
  <c r="X311" i="2" s="1"/>
  <c r="G311" i="2"/>
  <c r="F311" i="2"/>
  <c r="E311" i="2"/>
  <c r="AD310" i="2"/>
  <c r="AE310" i="2" s="1"/>
  <c r="AC310" i="2"/>
  <c r="Y310" i="2"/>
  <c r="Z310" i="2" s="1"/>
  <c r="AA310" i="2" s="1"/>
  <c r="V310" i="2"/>
  <c r="W310" i="2" s="1"/>
  <c r="X310" i="2" s="1"/>
  <c r="G310" i="2"/>
  <c r="F310" i="2"/>
  <c r="E310" i="2"/>
  <c r="AB310" i="2" s="1"/>
  <c r="AD309" i="2"/>
  <c r="Z309" i="2"/>
  <c r="AA309" i="2" s="1"/>
  <c r="F309" i="2"/>
  <c r="G309" i="2" s="1"/>
  <c r="E309" i="2"/>
  <c r="Y309" i="2" s="1"/>
  <c r="AC308" i="2"/>
  <c r="G308" i="2"/>
  <c r="F308" i="2"/>
  <c r="E308" i="2"/>
  <c r="AD307" i="2"/>
  <c r="AC307" i="2"/>
  <c r="AB307" i="2"/>
  <c r="Y307" i="2"/>
  <c r="Z307" i="2" s="1"/>
  <c r="AA307" i="2" s="1"/>
  <c r="V307" i="2"/>
  <c r="W307" i="2" s="1"/>
  <c r="X307" i="2" s="1"/>
  <c r="F307" i="2"/>
  <c r="G307" i="2" s="1"/>
  <c r="E307" i="2"/>
  <c r="AD306" i="2"/>
  <c r="Y306" i="2"/>
  <c r="Z306" i="2" s="1"/>
  <c r="AA306" i="2" s="1"/>
  <c r="F306" i="2"/>
  <c r="G306" i="2" s="1"/>
  <c r="E306" i="2"/>
  <c r="V306" i="2" s="1"/>
  <c r="W306" i="2" s="1"/>
  <c r="X306" i="2" s="1"/>
  <c r="AB305" i="2"/>
  <c r="F305" i="2"/>
  <c r="G305" i="2" s="1"/>
  <c r="E305" i="2"/>
  <c r="AC304" i="2"/>
  <c r="F304" i="2"/>
  <c r="G304" i="2" s="1"/>
  <c r="E304" i="2"/>
  <c r="AD304" i="2" s="1"/>
  <c r="V303" i="2"/>
  <c r="W303" i="2" s="1"/>
  <c r="X303" i="2" s="1"/>
  <c r="G303" i="2"/>
  <c r="F303" i="2"/>
  <c r="E303" i="2"/>
  <c r="AC303" i="2" s="1"/>
  <c r="AD302" i="2"/>
  <c r="Y302" i="2"/>
  <c r="Z302" i="2" s="1"/>
  <c r="AA302" i="2" s="1"/>
  <c r="V302" i="2"/>
  <c r="W302" i="2" s="1"/>
  <c r="X302" i="2" s="1"/>
  <c r="G302" i="2"/>
  <c r="F302" i="2"/>
  <c r="E302" i="2"/>
  <c r="AB302" i="2" s="1"/>
  <c r="AD301" i="2"/>
  <c r="AB301" i="2"/>
  <c r="AE301" i="2" s="1"/>
  <c r="G301" i="2"/>
  <c r="F301" i="2"/>
  <c r="E301" i="2"/>
  <c r="AB300" i="2"/>
  <c r="Y300" i="2"/>
  <c r="Z300" i="2" s="1"/>
  <c r="AA300" i="2" s="1"/>
  <c r="G300" i="2"/>
  <c r="F300" i="2"/>
  <c r="E300" i="2"/>
  <c r="AD299" i="2"/>
  <c r="AC299" i="2"/>
  <c r="AB299" i="2"/>
  <c r="Y299" i="2"/>
  <c r="Z299" i="2" s="1"/>
  <c r="AA299" i="2" s="1"/>
  <c r="V299" i="2"/>
  <c r="W299" i="2" s="1"/>
  <c r="X299" i="2" s="1"/>
  <c r="G299" i="2"/>
  <c r="F299" i="2"/>
  <c r="E299" i="2"/>
  <c r="AD298" i="2"/>
  <c r="AE298" i="2" s="1"/>
  <c r="AB298" i="2"/>
  <c r="Y298" i="2"/>
  <c r="Z298" i="2" s="1"/>
  <c r="AA298" i="2" s="1"/>
  <c r="V298" i="2"/>
  <c r="W298" i="2" s="1"/>
  <c r="X298" i="2" s="1"/>
  <c r="F298" i="2"/>
  <c r="G298" i="2" s="1"/>
  <c r="E298" i="2"/>
  <c r="AC298" i="2" s="1"/>
  <c r="AD297" i="2"/>
  <c r="Y297" i="2"/>
  <c r="Z297" i="2" s="1"/>
  <c r="AA297" i="2" s="1"/>
  <c r="F297" i="2"/>
  <c r="G297" i="2" s="1"/>
  <c r="E297" i="2"/>
  <c r="AD296" i="2"/>
  <c r="AB296" i="2"/>
  <c r="Y296" i="2"/>
  <c r="Z296" i="2" s="1"/>
  <c r="AA296" i="2" s="1"/>
  <c r="G296" i="2"/>
  <c r="F296" i="2"/>
  <c r="E296" i="2"/>
  <c r="V296" i="2" s="1"/>
  <c r="W296" i="2" s="1"/>
  <c r="X296" i="2" s="1"/>
  <c r="F295" i="2"/>
  <c r="G295" i="2" s="1"/>
  <c r="E295" i="2"/>
  <c r="V294" i="2"/>
  <c r="W294" i="2" s="1"/>
  <c r="X294" i="2" s="1"/>
  <c r="G294" i="2"/>
  <c r="F294" i="2"/>
  <c r="E294" i="2"/>
  <c r="Y294" i="2" s="1"/>
  <c r="Z294" i="2" s="1"/>
  <c r="AA294" i="2" s="1"/>
  <c r="AD293" i="2"/>
  <c r="AB293" i="2"/>
  <c r="AE293" i="2" s="1"/>
  <c r="V293" i="2"/>
  <c r="W293" i="2" s="1"/>
  <c r="X293" i="2" s="1"/>
  <c r="G293" i="2"/>
  <c r="F293" i="2"/>
  <c r="E293" i="2"/>
  <c r="Y293" i="2" s="1"/>
  <c r="Z293" i="2" s="1"/>
  <c r="AA293" i="2" s="1"/>
  <c r="G292" i="2"/>
  <c r="F292" i="2"/>
  <c r="E292" i="2"/>
  <c r="AD291" i="2"/>
  <c r="AC291" i="2"/>
  <c r="AB291" i="2"/>
  <c r="Y291" i="2"/>
  <c r="Z291" i="2" s="1"/>
  <c r="AA291" i="2" s="1"/>
  <c r="V291" i="2"/>
  <c r="W291" i="2" s="1"/>
  <c r="X291" i="2" s="1"/>
  <c r="G291" i="2"/>
  <c r="F291" i="2"/>
  <c r="E291" i="2"/>
  <c r="AD290" i="2"/>
  <c r="Y290" i="2"/>
  <c r="Z290" i="2" s="1"/>
  <c r="AA290" i="2" s="1"/>
  <c r="V290" i="2"/>
  <c r="W290" i="2" s="1"/>
  <c r="X290" i="2" s="1"/>
  <c r="G290" i="2"/>
  <c r="F290" i="2"/>
  <c r="E290" i="2"/>
  <c r="AC290" i="2" s="1"/>
  <c r="F289" i="2"/>
  <c r="G289" i="2" s="1"/>
  <c r="E289" i="2"/>
  <c r="AD288" i="2"/>
  <c r="AC288" i="2"/>
  <c r="Y288" i="2"/>
  <c r="Z288" i="2" s="1"/>
  <c r="AA288" i="2" s="1"/>
  <c r="V288" i="2"/>
  <c r="W288" i="2" s="1"/>
  <c r="X288" i="2" s="1"/>
  <c r="G288" i="2"/>
  <c r="F288" i="2"/>
  <c r="E288" i="2"/>
  <c r="AB288" i="2" s="1"/>
  <c r="AD287" i="2"/>
  <c r="Y287" i="2"/>
  <c r="Z287" i="2" s="1"/>
  <c r="AA287" i="2" s="1"/>
  <c r="F287" i="2"/>
  <c r="G287" i="2" s="1"/>
  <c r="E287" i="2"/>
  <c r="V287" i="2" s="1"/>
  <c r="W287" i="2" s="1"/>
  <c r="X287" i="2" s="1"/>
  <c r="G286" i="2"/>
  <c r="F286" i="2"/>
  <c r="E286" i="2"/>
  <c r="AD285" i="2"/>
  <c r="AB285" i="2"/>
  <c r="AE285" i="2" s="1"/>
  <c r="F285" i="2"/>
  <c r="G285" i="2" s="1"/>
  <c r="E285" i="2"/>
  <c r="F284" i="2"/>
  <c r="G284" i="2" s="1"/>
  <c r="E284" i="2"/>
  <c r="AD283" i="2"/>
  <c r="AC283" i="2"/>
  <c r="AB283" i="2"/>
  <c r="Y283" i="2"/>
  <c r="Z283" i="2" s="1"/>
  <c r="AA283" i="2" s="1"/>
  <c r="V283" i="2"/>
  <c r="W283" i="2" s="1"/>
  <c r="X283" i="2" s="1"/>
  <c r="F283" i="2"/>
  <c r="G283" i="2" s="1"/>
  <c r="E283" i="2"/>
  <c r="AD282" i="2"/>
  <c r="AB282" i="2"/>
  <c r="Y282" i="2"/>
  <c r="Z282" i="2" s="1"/>
  <c r="AA282" i="2" s="1"/>
  <c r="V282" i="2"/>
  <c r="W282" i="2" s="1"/>
  <c r="X282" i="2" s="1"/>
  <c r="F282" i="2"/>
  <c r="G282" i="2" s="1"/>
  <c r="E282" i="2"/>
  <c r="AC282" i="2" s="1"/>
  <c r="AB281" i="2"/>
  <c r="Y281" i="2"/>
  <c r="Z281" i="2" s="1"/>
  <c r="AA281" i="2" s="1"/>
  <c r="F281" i="2"/>
  <c r="G281" i="2" s="1"/>
  <c r="E281" i="2"/>
  <c r="AC280" i="2"/>
  <c r="AB280" i="2"/>
  <c r="V280" i="2"/>
  <c r="W280" i="2" s="1"/>
  <c r="X280" i="2" s="1"/>
  <c r="G280" i="2"/>
  <c r="F280" i="2"/>
  <c r="E280" i="2"/>
  <c r="AD279" i="2"/>
  <c r="AC279" i="2"/>
  <c r="Y279" i="2"/>
  <c r="Z279" i="2" s="1"/>
  <c r="AA279" i="2" s="1"/>
  <c r="V279" i="2"/>
  <c r="W279" i="2" s="1"/>
  <c r="X279" i="2" s="1"/>
  <c r="F279" i="2"/>
  <c r="G279" i="2" s="1"/>
  <c r="E279" i="2"/>
  <c r="AB279" i="2" s="1"/>
  <c r="AD278" i="2"/>
  <c r="AC278" i="2"/>
  <c r="G278" i="2"/>
  <c r="F278" i="2"/>
  <c r="E278" i="2"/>
  <c r="AD277" i="2"/>
  <c r="AC277" i="2"/>
  <c r="V277" i="2"/>
  <c r="W277" i="2" s="1"/>
  <c r="X277" i="2" s="1"/>
  <c r="G277" i="2"/>
  <c r="F277" i="2"/>
  <c r="E277" i="2"/>
  <c r="Y277" i="2" s="1"/>
  <c r="Z277" i="2" s="1"/>
  <c r="AA277" i="2" s="1"/>
  <c r="AC276" i="2"/>
  <c r="Y276" i="2"/>
  <c r="Z276" i="2" s="1"/>
  <c r="AA276" i="2" s="1"/>
  <c r="G276" i="2"/>
  <c r="F276" i="2"/>
  <c r="E276" i="2"/>
  <c r="AD275" i="2"/>
  <c r="AC275" i="2"/>
  <c r="AB275" i="2"/>
  <c r="Y275" i="2"/>
  <c r="Z275" i="2" s="1"/>
  <c r="AA275" i="2" s="1"/>
  <c r="V275" i="2"/>
  <c r="W275" i="2" s="1"/>
  <c r="X275" i="2" s="1"/>
  <c r="F275" i="2"/>
  <c r="G275" i="2" s="1"/>
  <c r="E275" i="2"/>
  <c r="AD274" i="2"/>
  <c r="AB274" i="2"/>
  <c r="W274" i="2"/>
  <c r="X274" i="2" s="1"/>
  <c r="G274" i="2"/>
  <c r="F274" i="2"/>
  <c r="E274" i="2"/>
  <c r="V274" i="2" s="1"/>
  <c r="F273" i="2"/>
  <c r="G273" i="2" s="1"/>
  <c r="E273" i="2"/>
  <c r="AB272" i="2"/>
  <c r="AE272" i="2" s="1"/>
  <c r="Y272" i="2"/>
  <c r="Z272" i="2" s="1"/>
  <c r="AA272" i="2" s="1"/>
  <c r="V272" i="2"/>
  <c r="W272" i="2" s="1"/>
  <c r="X272" i="2" s="1"/>
  <c r="F272" i="2"/>
  <c r="G272" i="2" s="1"/>
  <c r="E272" i="2"/>
  <c r="AD272" i="2" s="1"/>
  <c r="AC271" i="2"/>
  <c r="AB271" i="2"/>
  <c r="V271" i="2"/>
  <c r="W271" i="2" s="1"/>
  <c r="X271" i="2" s="1"/>
  <c r="F271" i="2"/>
  <c r="G271" i="2" s="1"/>
  <c r="E271" i="2"/>
  <c r="Y271" i="2" s="1"/>
  <c r="Z271" i="2" s="1"/>
  <c r="AA271" i="2" s="1"/>
  <c r="AD270" i="2"/>
  <c r="G270" i="2"/>
  <c r="F270" i="2"/>
  <c r="E270" i="2"/>
  <c r="AD269" i="2"/>
  <c r="AB269" i="2"/>
  <c r="Z269" i="2"/>
  <c r="AA269" i="2" s="1"/>
  <c r="V269" i="2"/>
  <c r="W269" i="2" s="1"/>
  <c r="X269" i="2" s="1"/>
  <c r="G269" i="2"/>
  <c r="F269" i="2"/>
  <c r="E269" i="2"/>
  <c r="Y269" i="2" s="1"/>
  <c r="AC268" i="2"/>
  <c r="Y268" i="2"/>
  <c r="Z268" i="2" s="1"/>
  <c r="AA268" i="2" s="1"/>
  <c r="F268" i="2"/>
  <c r="G268" i="2" s="1"/>
  <c r="E268" i="2"/>
  <c r="AD267" i="2"/>
  <c r="AC267" i="2"/>
  <c r="AB267" i="2"/>
  <c r="Y267" i="2"/>
  <c r="Z267" i="2" s="1"/>
  <c r="AA267" i="2" s="1"/>
  <c r="V267" i="2"/>
  <c r="W267" i="2" s="1"/>
  <c r="X267" i="2" s="1"/>
  <c r="G267" i="2"/>
  <c r="F267" i="2"/>
  <c r="E267" i="2"/>
  <c r="AD266" i="2"/>
  <c r="AC266" i="2"/>
  <c r="Y266" i="2"/>
  <c r="Z266" i="2" s="1"/>
  <c r="AA266" i="2" s="1"/>
  <c r="V266" i="2"/>
  <c r="W266" i="2" s="1"/>
  <c r="X266" i="2" s="1"/>
  <c r="G266" i="2"/>
  <c r="F266" i="2"/>
  <c r="E266" i="2"/>
  <c r="AB266" i="2" s="1"/>
  <c r="AD265" i="2"/>
  <c r="AB265" i="2"/>
  <c r="Y265" i="2"/>
  <c r="Z265" i="2" s="1"/>
  <c r="AA265" i="2" s="1"/>
  <c r="F265" i="2"/>
  <c r="G265" i="2" s="1"/>
  <c r="E265" i="2"/>
  <c r="V264" i="2"/>
  <c r="W264" i="2" s="1"/>
  <c r="X264" i="2" s="1"/>
  <c r="F264" i="2"/>
  <c r="G264" i="2" s="1"/>
  <c r="E264" i="2"/>
  <c r="AD264" i="2" s="1"/>
  <c r="F263" i="2"/>
  <c r="G263" i="2" s="1"/>
  <c r="E263" i="2"/>
  <c r="V262" i="2"/>
  <c r="W262" i="2" s="1"/>
  <c r="X262" i="2" s="1"/>
  <c r="G262" i="2"/>
  <c r="F262" i="2"/>
  <c r="E262" i="2"/>
  <c r="AC261" i="2"/>
  <c r="AB261" i="2"/>
  <c r="F261" i="2"/>
  <c r="G261" i="2" s="1"/>
  <c r="E261" i="2"/>
  <c r="F260" i="2"/>
  <c r="G260" i="2" s="1"/>
  <c r="E260" i="2"/>
  <c r="AD259" i="2"/>
  <c r="AC259" i="2"/>
  <c r="AB259" i="2"/>
  <c r="AE259" i="2" s="1"/>
  <c r="Y259" i="2"/>
  <c r="Z259" i="2" s="1"/>
  <c r="AA259" i="2" s="1"/>
  <c r="V259" i="2"/>
  <c r="W259" i="2" s="1"/>
  <c r="X259" i="2" s="1"/>
  <c r="G259" i="2"/>
  <c r="F259" i="2"/>
  <c r="E259" i="2"/>
  <c r="AC258" i="2"/>
  <c r="AB258" i="2"/>
  <c r="V258" i="2"/>
  <c r="W258" i="2" s="1"/>
  <c r="X258" i="2" s="1"/>
  <c r="G258" i="2"/>
  <c r="F258" i="2"/>
  <c r="E258" i="2"/>
  <c r="Y258" i="2" s="1"/>
  <c r="Z258" i="2" s="1"/>
  <c r="AA258" i="2" s="1"/>
  <c r="AD257" i="2"/>
  <c r="Y257" i="2"/>
  <c r="Z257" i="2" s="1"/>
  <c r="AA257" i="2" s="1"/>
  <c r="V257" i="2"/>
  <c r="W257" i="2" s="1"/>
  <c r="X257" i="2" s="1"/>
  <c r="F257" i="2"/>
  <c r="G257" i="2" s="1"/>
  <c r="E257" i="2"/>
  <c r="AC257" i="2" s="1"/>
  <c r="G256" i="2"/>
  <c r="F256" i="2"/>
  <c r="E256" i="2"/>
  <c r="AC255" i="2"/>
  <c r="AB255" i="2"/>
  <c r="Y255" i="2"/>
  <c r="Z255" i="2" s="1"/>
  <c r="AA255" i="2" s="1"/>
  <c r="F255" i="2"/>
  <c r="G255" i="2" s="1"/>
  <c r="E255" i="2"/>
  <c r="V255" i="2" s="1"/>
  <c r="W255" i="2" s="1"/>
  <c r="X255" i="2" s="1"/>
  <c r="AC254" i="2"/>
  <c r="G254" i="2"/>
  <c r="F254" i="2"/>
  <c r="E254" i="2"/>
  <c r="AD253" i="2"/>
  <c r="AB253" i="2"/>
  <c r="V253" i="2"/>
  <c r="W253" i="2" s="1"/>
  <c r="X253" i="2" s="1"/>
  <c r="F253" i="2"/>
  <c r="G253" i="2" s="1"/>
  <c r="E253" i="2"/>
  <c r="Y253" i="2" s="1"/>
  <c r="Z253" i="2" s="1"/>
  <c r="AA253" i="2" s="1"/>
  <c r="AB252" i="2"/>
  <c r="F252" i="2"/>
  <c r="G252" i="2" s="1"/>
  <c r="E252" i="2"/>
  <c r="AD251" i="2"/>
  <c r="AC251" i="2"/>
  <c r="AB251" i="2"/>
  <c r="Y251" i="2"/>
  <c r="Z251" i="2" s="1"/>
  <c r="AA251" i="2" s="1"/>
  <c r="V251" i="2"/>
  <c r="W251" i="2" s="1"/>
  <c r="X251" i="2" s="1"/>
  <c r="F251" i="2"/>
  <c r="G251" i="2" s="1"/>
  <c r="E251" i="2"/>
  <c r="AC250" i="2"/>
  <c r="Y250" i="2"/>
  <c r="Z250" i="2" s="1"/>
  <c r="AA250" i="2" s="1"/>
  <c r="V250" i="2"/>
  <c r="W250" i="2" s="1"/>
  <c r="X250" i="2" s="1"/>
  <c r="F250" i="2"/>
  <c r="G250" i="2" s="1"/>
  <c r="E250" i="2"/>
  <c r="AB249" i="2"/>
  <c r="W249" i="2"/>
  <c r="X249" i="2" s="1"/>
  <c r="V249" i="2"/>
  <c r="F249" i="2"/>
  <c r="G249" i="2" s="1"/>
  <c r="E249" i="2"/>
  <c r="AB248" i="2"/>
  <c r="Y248" i="2"/>
  <c r="Z248" i="2" s="1"/>
  <c r="AA248" i="2" s="1"/>
  <c r="G248" i="2"/>
  <c r="F248" i="2"/>
  <c r="E248" i="2"/>
  <c r="AC248" i="2" s="1"/>
  <c r="AC247" i="2"/>
  <c r="AB247" i="2"/>
  <c r="Z247" i="2"/>
  <c r="AA247" i="2" s="1"/>
  <c r="V247" i="2"/>
  <c r="W247" i="2" s="1"/>
  <c r="X247" i="2" s="1"/>
  <c r="G247" i="2"/>
  <c r="F247" i="2"/>
  <c r="E247" i="2"/>
  <c r="Y247" i="2" s="1"/>
  <c r="AD246" i="2"/>
  <c r="AC246" i="2"/>
  <c r="Y246" i="2"/>
  <c r="Z246" i="2" s="1"/>
  <c r="AA246" i="2" s="1"/>
  <c r="V246" i="2"/>
  <c r="W246" i="2" s="1"/>
  <c r="X246" i="2" s="1"/>
  <c r="G246" i="2"/>
  <c r="F246" i="2"/>
  <c r="E246" i="2"/>
  <c r="AB246" i="2" s="1"/>
  <c r="AC245" i="2"/>
  <c r="V245" i="2"/>
  <c r="W245" i="2" s="1"/>
  <c r="X245" i="2" s="1"/>
  <c r="G245" i="2"/>
  <c r="F245" i="2"/>
  <c r="E245" i="2"/>
  <c r="Y245" i="2" s="1"/>
  <c r="Z245" i="2" s="1"/>
  <c r="AA245" i="2" s="1"/>
  <c r="F244" i="2"/>
  <c r="G244" i="2" s="1"/>
  <c r="E244" i="2"/>
  <c r="AD243" i="2"/>
  <c r="AC243" i="2"/>
  <c r="AB243" i="2"/>
  <c r="Y243" i="2"/>
  <c r="Z243" i="2" s="1"/>
  <c r="AA243" i="2" s="1"/>
  <c r="V243" i="2"/>
  <c r="W243" i="2" s="1"/>
  <c r="X243" i="2" s="1"/>
  <c r="G243" i="2"/>
  <c r="F243" i="2"/>
  <c r="E243" i="2"/>
  <c r="F242" i="2"/>
  <c r="G242" i="2" s="1"/>
  <c r="E242" i="2"/>
  <c r="F241" i="2"/>
  <c r="G241" i="2" s="1"/>
  <c r="E241" i="2"/>
  <c r="AD240" i="2"/>
  <c r="AB240" i="2"/>
  <c r="V240" i="2"/>
  <c r="W240" i="2" s="1"/>
  <c r="X240" i="2" s="1"/>
  <c r="G240" i="2"/>
  <c r="F240" i="2"/>
  <c r="E240" i="2"/>
  <c r="Y240" i="2" s="1"/>
  <c r="Z240" i="2" s="1"/>
  <c r="AA240" i="2" s="1"/>
  <c r="AD239" i="2"/>
  <c r="Y239" i="2"/>
  <c r="Z239" i="2" s="1"/>
  <c r="AA239" i="2" s="1"/>
  <c r="G239" i="2"/>
  <c r="F239" i="2"/>
  <c r="E239" i="2"/>
  <c r="AC239" i="2" s="1"/>
  <c r="AD238" i="2"/>
  <c r="V238" i="2"/>
  <c r="W238" i="2" s="1"/>
  <c r="X238" i="2" s="1"/>
  <c r="G238" i="2"/>
  <c r="F238" i="2"/>
  <c r="E238" i="2"/>
  <c r="AC238" i="2" s="1"/>
  <c r="AD237" i="2"/>
  <c r="V237" i="2"/>
  <c r="W237" i="2" s="1"/>
  <c r="X237" i="2" s="1"/>
  <c r="G237" i="2"/>
  <c r="F237" i="2"/>
  <c r="E237" i="2"/>
  <c r="AB236" i="2"/>
  <c r="Y236" i="2"/>
  <c r="Z236" i="2" s="1"/>
  <c r="AA236" i="2" s="1"/>
  <c r="G236" i="2"/>
  <c r="F236" i="2"/>
  <c r="E236" i="2"/>
  <c r="AB235" i="2"/>
  <c r="Y235" i="2"/>
  <c r="Z235" i="2" s="1"/>
  <c r="AA235" i="2" s="1"/>
  <c r="V235" i="2"/>
  <c r="W235" i="2" s="1"/>
  <c r="X235" i="2" s="1"/>
  <c r="F235" i="2"/>
  <c r="G235" i="2" s="1"/>
  <c r="E235" i="2"/>
  <c r="AC235" i="2" s="1"/>
  <c r="AC234" i="2"/>
  <c r="AB234" i="2"/>
  <c r="F234" i="2"/>
  <c r="G234" i="2" s="1"/>
  <c r="E234" i="2"/>
  <c r="AD233" i="2"/>
  <c r="AC233" i="2"/>
  <c r="AB233" i="2"/>
  <c r="AE233" i="2" s="1"/>
  <c r="Y233" i="2"/>
  <c r="Z233" i="2" s="1"/>
  <c r="AA233" i="2" s="1"/>
  <c r="W233" i="2"/>
  <c r="X233" i="2" s="1"/>
  <c r="V233" i="2"/>
  <c r="F233" i="2"/>
  <c r="G233" i="2" s="1"/>
  <c r="E233" i="2"/>
  <c r="AC232" i="2"/>
  <c r="AB232" i="2"/>
  <c r="F232" i="2"/>
  <c r="G232" i="2" s="1"/>
  <c r="E232" i="2"/>
  <c r="V231" i="2"/>
  <c r="W231" i="2" s="1"/>
  <c r="X231" i="2" s="1"/>
  <c r="F231" i="2"/>
  <c r="G231" i="2" s="1"/>
  <c r="E231" i="2"/>
  <c r="AC231" i="2" s="1"/>
  <c r="Y230" i="2"/>
  <c r="Z230" i="2" s="1"/>
  <c r="AA230" i="2" s="1"/>
  <c r="V230" i="2"/>
  <c r="W230" i="2" s="1"/>
  <c r="X230" i="2" s="1"/>
  <c r="F230" i="2"/>
  <c r="G230" i="2" s="1"/>
  <c r="E230" i="2"/>
  <c r="AB230" i="2" s="1"/>
  <c r="AD229" i="2"/>
  <c r="AC229" i="2"/>
  <c r="Z229" i="2"/>
  <c r="AA229" i="2" s="1"/>
  <c r="Y229" i="2"/>
  <c r="V229" i="2"/>
  <c r="W229" i="2" s="1"/>
  <c r="X229" i="2" s="1"/>
  <c r="G229" i="2"/>
  <c r="F229" i="2"/>
  <c r="E229" i="2"/>
  <c r="AB229" i="2" s="1"/>
  <c r="AD228" i="2"/>
  <c r="Y228" i="2"/>
  <c r="Z228" i="2" s="1"/>
  <c r="AA228" i="2" s="1"/>
  <c r="V228" i="2"/>
  <c r="W228" i="2" s="1"/>
  <c r="X228" i="2" s="1"/>
  <c r="G228" i="2"/>
  <c r="F228" i="2"/>
  <c r="E228" i="2"/>
  <c r="AB228" i="2" s="1"/>
  <c r="AD227" i="2"/>
  <c r="AC227" i="2"/>
  <c r="Z227" i="2"/>
  <c r="AA227" i="2" s="1"/>
  <c r="V227" i="2"/>
  <c r="W227" i="2" s="1"/>
  <c r="X227" i="2" s="1"/>
  <c r="G227" i="2"/>
  <c r="F227" i="2"/>
  <c r="E227" i="2"/>
  <c r="Y227" i="2" s="1"/>
  <c r="AC226" i="2"/>
  <c r="Y226" i="2"/>
  <c r="Z226" i="2" s="1"/>
  <c r="AA226" i="2" s="1"/>
  <c r="F226" i="2"/>
  <c r="G226" i="2" s="1"/>
  <c r="E226" i="2"/>
  <c r="AD225" i="2"/>
  <c r="AC225" i="2"/>
  <c r="AB225" i="2"/>
  <c r="Y225" i="2"/>
  <c r="Z225" i="2" s="1"/>
  <c r="AA225" i="2" s="1"/>
  <c r="V225" i="2"/>
  <c r="W225" i="2" s="1"/>
  <c r="X225" i="2" s="1"/>
  <c r="G225" i="2"/>
  <c r="F225" i="2"/>
  <c r="E225" i="2"/>
  <c r="AD224" i="2"/>
  <c r="AC224" i="2"/>
  <c r="Y224" i="2"/>
  <c r="Z224" i="2" s="1"/>
  <c r="AA224" i="2" s="1"/>
  <c r="F224" i="2"/>
  <c r="G224" i="2" s="1"/>
  <c r="E224" i="2"/>
  <c r="V224" i="2" s="1"/>
  <c r="W224" i="2" s="1"/>
  <c r="X224" i="2" s="1"/>
  <c r="F223" i="2"/>
  <c r="G223" i="2" s="1"/>
  <c r="E223" i="2"/>
  <c r="AB222" i="2"/>
  <c r="V222" i="2"/>
  <c r="W222" i="2" s="1"/>
  <c r="X222" i="2" s="1"/>
  <c r="F222" i="2"/>
  <c r="G222" i="2" s="1"/>
  <c r="E222" i="2"/>
  <c r="AB221" i="2"/>
  <c r="F221" i="2"/>
  <c r="G221" i="2" s="1"/>
  <c r="E221" i="2"/>
  <c r="AD220" i="2"/>
  <c r="AE220" i="2" s="1"/>
  <c r="V220" i="2"/>
  <c r="W220" i="2" s="1"/>
  <c r="X220" i="2" s="1"/>
  <c r="G220" i="2"/>
  <c r="F220" i="2"/>
  <c r="E220" i="2"/>
  <c r="AB220" i="2" s="1"/>
  <c r="AB219" i="2"/>
  <c r="V219" i="2"/>
  <c r="W219" i="2" s="1"/>
  <c r="X219" i="2" s="1"/>
  <c r="F219" i="2"/>
  <c r="G219" i="2" s="1"/>
  <c r="E219" i="2"/>
  <c r="AC218" i="2"/>
  <c r="Z218" i="2"/>
  <c r="AA218" i="2" s="1"/>
  <c r="Y218" i="2"/>
  <c r="G218" i="2"/>
  <c r="F218" i="2"/>
  <c r="E218" i="2"/>
  <c r="AD217" i="2"/>
  <c r="AC217" i="2"/>
  <c r="AB217" i="2"/>
  <c r="Y217" i="2"/>
  <c r="Z217" i="2" s="1"/>
  <c r="AA217" i="2" s="1"/>
  <c r="V217" i="2"/>
  <c r="W217" i="2" s="1"/>
  <c r="X217" i="2" s="1"/>
  <c r="G217" i="2"/>
  <c r="F217" i="2"/>
  <c r="E217" i="2"/>
  <c r="AD216" i="2"/>
  <c r="AC216" i="2"/>
  <c r="Y216" i="2"/>
  <c r="Z216" i="2" s="1"/>
  <c r="AA216" i="2" s="1"/>
  <c r="V216" i="2"/>
  <c r="W216" i="2" s="1"/>
  <c r="X216" i="2" s="1"/>
  <c r="G216" i="2"/>
  <c r="F216" i="2"/>
  <c r="E216" i="2"/>
  <c r="AB216" i="2" s="1"/>
  <c r="AD215" i="2"/>
  <c r="Y215" i="2"/>
  <c r="Z215" i="2" s="1"/>
  <c r="AA215" i="2" s="1"/>
  <c r="V215" i="2"/>
  <c r="W215" i="2" s="1"/>
  <c r="X215" i="2" s="1"/>
  <c r="F215" i="2"/>
  <c r="G215" i="2" s="1"/>
  <c r="E215" i="2"/>
  <c r="AC215" i="2" s="1"/>
  <c r="AC214" i="2"/>
  <c r="AB214" i="2"/>
  <c r="G214" i="2"/>
  <c r="F214" i="2"/>
  <c r="E214" i="2"/>
  <c r="AD214" i="2" s="1"/>
  <c r="Y213" i="2"/>
  <c r="Z213" i="2" s="1"/>
  <c r="AA213" i="2" s="1"/>
  <c r="V213" i="2"/>
  <c r="W213" i="2" s="1"/>
  <c r="X213" i="2" s="1"/>
  <c r="F213" i="2"/>
  <c r="G213" i="2" s="1"/>
  <c r="E213" i="2"/>
  <c r="AB213" i="2" s="1"/>
  <c r="G212" i="2"/>
  <c r="F212" i="2"/>
  <c r="E212" i="2"/>
  <c r="F211" i="2"/>
  <c r="G211" i="2" s="1"/>
  <c r="E211" i="2"/>
  <c r="AB210" i="2"/>
  <c r="F210" i="2"/>
  <c r="G210" i="2" s="1"/>
  <c r="E210" i="2"/>
  <c r="AD209" i="2"/>
  <c r="AC209" i="2"/>
  <c r="AB209" i="2"/>
  <c r="Y209" i="2"/>
  <c r="Z209" i="2" s="1"/>
  <c r="AA209" i="2" s="1"/>
  <c r="V209" i="2"/>
  <c r="W209" i="2" s="1"/>
  <c r="X209" i="2" s="1"/>
  <c r="G209" i="2"/>
  <c r="F209" i="2"/>
  <c r="E209" i="2"/>
  <c r="F208" i="2"/>
  <c r="G208" i="2" s="1"/>
  <c r="E208" i="2"/>
  <c r="AD207" i="2"/>
  <c r="Y207" i="2"/>
  <c r="Z207" i="2" s="1"/>
  <c r="AA207" i="2" s="1"/>
  <c r="V207" i="2"/>
  <c r="W207" i="2" s="1"/>
  <c r="X207" i="2" s="1"/>
  <c r="F207" i="2"/>
  <c r="G207" i="2" s="1"/>
  <c r="E207" i="2"/>
  <c r="AC207" i="2" s="1"/>
  <c r="AD206" i="2"/>
  <c r="Y206" i="2"/>
  <c r="Z206" i="2" s="1"/>
  <c r="AA206" i="2" s="1"/>
  <c r="V206" i="2"/>
  <c r="W206" i="2" s="1"/>
  <c r="X206" i="2" s="1"/>
  <c r="G206" i="2"/>
  <c r="F206" i="2"/>
  <c r="E206" i="2"/>
  <c r="AC206" i="2" s="1"/>
  <c r="AD205" i="2"/>
  <c r="AC205" i="2"/>
  <c r="V205" i="2"/>
  <c r="W205" i="2" s="1"/>
  <c r="X205" i="2" s="1"/>
  <c r="G205" i="2"/>
  <c r="F205" i="2"/>
  <c r="E205" i="2"/>
  <c r="AB205" i="2" s="1"/>
  <c r="AE205" i="2" s="1"/>
  <c r="F204" i="2"/>
  <c r="G204" i="2" s="1"/>
  <c r="E204" i="2"/>
  <c r="AC203" i="2"/>
  <c r="AB203" i="2"/>
  <c r="Y203" i="2"/>
  <c r="Z203" i="2" s="1"/>
  <c r="AA203" i="2" s="1"/>
  <c r="F203" i="2"/>
  <c r="G203" i="2" s="1"/>
  <c r="E203" i="2"/>
  <c r="AD203" i="2" s="1"/>
  <c r="AD202" i="2"/>
  <c r="AC202" i="2"/>
  <c r="AB202" i="2"/>
  <c r="Y202" i="2"/>
  <c r="Z202" i="2" s="1"/>
  <c r="AA202" i="2" s="1"/>
  <c r="V202" i="2"/>
  <c r="W202" i="2" s="1"/>
  <c r="X202" i="2" s="1"/>
  <c r="F202" i="2"/>
  <c r="G202" i="2" s="1"/>
  <c r="E202" i="2"/>
  <c r="AD201" i="2"/>
  <c r="F201" i="2"/>
  <c r="G201" i="2" s="1"/>
  <c r="E201" i="2"/>
  <c r="AD200" i="2"/>
  <c r="F200" i="2"/>
  <c r="G200" i="2" s="1"/>
  <c r="E200" i="2"/>
  <c r="AC199" i="2"/>
  <c r="AB199" i="2"/>
  <c r="G199" i="2"/>
  <c r="F199" i="2"/>
  <c r="E199" i="2"/>
  <c r="AD198" i="2"/>
  <c r="AC198" i="2"/>
  <c r="Y198" i="2"/>
  <c r="Z198" i="2" s="1"/>
  <c r="AA198" i="2" s="1"/>
  <c r="V198" i="2"/>
  <c r="W198" i="2" s="1"/>
  <c r="X198" i="2" s="1"/>
  <c r="G198" i="2"/>
  <c r="F198" i="2"/>
  <c r="E198" i="2"/>
  <c r="AB198" i="2" s="1"/>
  <c r="AD197" i="2"/>
  <c r="AC197" i="2"/>
  <c r="V197" i="2"/>
  <c r="W197" i="2" s="1"/>
  <c r="X197" i="2" s="1"/>
  <c r="G197" i="2"/>
  <c r="F197" i="2"/>
  <c r="E197" i="2"/>
  <c r="AB197" i="2" s="1"/>
  <c r="F196" i="2"/>
  <c r="G196" i="2" s="1"/>
  <c r="E196" i="2"/>
  <c r="AC195" i="2"/>
  <c r="AB195" i="2"/>
  <c r="Y195" i="2"/>
  <c r="Z195" i="2" s="1"/>
  <c r="AA195" i="2" s="1"/>
  <c r="F195" i="2"/>
  <c r="G195" i="2" s="1"/>
  <c r="E195" i="2"/>
  <c r="AD195" i="2" s="1"/>
  <c r="AE195" i="2" s="1"/>
  <c r="AD194" i="2"/>
  <c r="AC194" i="2"/>
  <c r="AB194" i="2"/>
  <c r="Y194" i="2"/>
  <c r="Z194" i="2" s="1"/>
  <c r="AA194" i="2" s="1"/>
  <c r="V194" i="2"/>
  <c r="W194" i="2" s="1"/>
  <c r="X194" i="2" s="1"/>
  <c r="F194" i="2"/>
  <c r="G194" i="2" s="1"/>
  <c r="E194" i="2"/>
  <c r="AD193" i="2"/>
  <c r="V193" i="2"/>
  <c r="W193" i="2" s="1"/>
  <c r="X193" i="2" s="1"/>
  <c r="F193" i="2"/>
  <c r="G193" i="2" s="1"/>
  <c r="E193" i="2"/>
  <c r="AD192" i="2"/>
  <c r="V192" i="2"/>
  <c r="W192" i="2" s="1"/>
  <c r="X192" i="2" s="1"/>
  <c r="F192" i="2"/>
  <c r="G192" i="2" s="1"/>
  <c r="E192" i="2"/>
  <c r="AC191" i="2"/>
  <c r="AB191" i="2"/>
  <c r="F191" i="2"/>
  <c r="G191" i="2" s="1"/>
  <c r="E191" i="2"/>
  <c r="AD190" i="2"/>
  <c r="AC190" i="2"/>
  <c r="Y190" i="2"/>
  <c r="Z190" i="2" s="1"/>
  <c r="AA190" i="2" s="1"/>
  <c r="X190" i="2"/>
  <c r="V190" i="2"/>
  <c r="W190" i="2" s="1"/>
  <c r="G190" i="2"/>
  <c r="F190" i="2"/>
  <c r="E190" i="2"/>
  <c r="AB190" i="2" s="1"/>
  <c r="AE190" i="2" s="1"/>
  <c r="AD189" i="2"/>
  <c r="AC189" i="2"/>
  <c r="V189" i="2"/>
  <c r="W189" i="2" s="1"/>
  <c r="X189" i="2" s="1"/>
  <c r="G189" i="2"/>
  <c r="F189" i="2"/>
  <c r="E189" i="2"/>
  <c r="AB189" i="2" s="1"/>
  <c r="AE189" i="2" s="1"/>
  <c r="AB188" i="2"/>
  <c r="F188" i="2"/>
  <c r="G188" i="2" s="1"/>
  <c r="E188" i="2"/>
  <c r="AC187" i="2"/>
  <c r="AB187" i="2"/>
  <c r="Y187" i="2"/>
  <c r="Z187" i="2" s="1"/>
  <c r="AA187" i="2" s="1"/>
  <c r="F187" i="2"/>
  <c r="G187" i="2" s="1"/>
  <c r="E187" i="2"/>
  <c r="AD187" i="2" s="1"/>
  <c r="AD186" i="2"/>
  <c r="AC186" i="2"/>
  <c r="AB186" i="2"/>
  <c r="Y186" i="2"/>
  <c r="Z186" i="2" s="1"/>
  <c r="AA186" i="2" s="1"/>
  <c r="V186" i="2"/>
  <c r="W186" i="2" s="1"/>
  <c r="X186" i="2" s="1"/>
  <c r="G186" i="2"/>
  <c r="F186" i="2"/>
  <c r="E186" i="2"/>
  <c r="AD185" i="2"/>
  <c r="Y185" i="2"/>
  <c r="Z185" i="2" s="1"/>
  <c r="AA185" i="2" s="1"/>
  <c r="F185" i="2"/>
  <c r="G185" i="2" s="1"/>
  <c r="E185" i="2"/>
  <c r="AD184" i="2"/>
  <c r="F184" i="2"/>
  <c r="G184" i="2" s="1"/>
  <c r="E184" i="2"/>
  <c r="AB183" i="2"/>
  <c r="G183" i="2"/>
  <c r="F183" i="2"/>
  <c r="E183" i="2"/>
  <c r="AC183" i="2" s="1"/>
  <c r="AD182" i="2"/>
  <c r="AC182" i="2"/>
  <c r="Y182" i="2"/>
  <c r="Z182" i="2" s="1"/>
  <c r="AA182" i="2" s="1"/>
  <c r="V182" i="2"/>
  <c r="W182" i="2" s="1"/>
  <c r="X182" i="2" s="1"/>
  <c r="G182" i="2"/>
  <c r="F182" i="2"/>
  <c r="E182" i="2"/>
  <c r="AB182" i="2" s="1"/>
  <c r="AE182" i="2" s="1"/>
  <c r="AD181" i="2"/>
  <c r="AC181" i="2"/>
  <c r="V181" i="2"/>
  <c r="W181" i="2" s="1"/>
  <c r="X181" i="2" s="1"/>
  <c r="G181" i="2"/>
  <c r="F181" i="2"/>
  <c r="E181" i="2"/>
  <c r="AB181" i="2" s="1"/>
  <c r="AB180" i="2"/>
  <c r="F180" i="2"/>
  <c r="G180" i="2" s="1"/>
  <c r="E180" i="2"/>
  <c r="AC179" i="2"/>
  <c r="AB179" i="2"/>
  <c r="AE179" i="2" s="1"/>
  <c r="Y179" i="2"/>
  <c r="Z179" i="2" s="1"/>
  <c r="AA179" i="2" s="1"/>
  <c r="F179" i="2"/>
  <c r="G179" i="2" s="1"/>
  <c r="E179" i="2"/>
  <c r="AD179" i="2" s="1"/>
  <c r="AD178" i="2"/>
  <c r="AC178" i="2"/>
  <c r="AB178" i="2"/>
  <c r="AE178" i="2" s="1"/>
  <c r="Y178" i="2"/>
  <c r="Z178" i="2" s="1"/>
  <c r="AA178" i="2" s="1"/>
  <c r="V178" i="2"/>
  <c r="W178" i="2" s="1"/>
  <c r="X178" i="2" s="1"/>
  <c r="F178" i="2"/>
  <c r="G178" i="2" s="1"/>
  <c r="E178" i="2"/>
  <c r="Y177" i="2"/>
  <c r="Z177" i="2" s="1"/>
  <c r="AA177" i="2" s="1"/>
  <c r="F177" i="2"/>
  <c r="G177" i="2" s="1"/>
  <c r="E177" i="2"/>
  <c r="AD177" i="2" s="1"/>
  <c r="F176" i="2"/>
  <c r="G176" i="2" s="1"/>
  <c r="E176" i="2"/>
  <c r="AD176" i="2" s="1"/>
  <c r="AB175" i="2"/>
  <c r="G175" i="2"/>
  <c r="F175" i="2"/>
  <c r="E175" i="2"/>
  <c r="AC175" i="2" s="1"/>
  <c r="AD174" i="2"/>
  <c r="AC174" i="2"/>
  <c r="Y174" i="2"/>
  <c r="Z174" i="2" s="1"/>
  <c r="AA174" i="2" s="1"/>
  <c r="V174" i="2"/>
  <c r="W174" i="2" s="1"/>
  <c r="X174" i="2" s="1"/>
  <c r="G174" i="2"/>
  <c r="F174" i="2"/>
  <c r="E174" i="2"/>
  <c r="AB174" i="2" s="1"/>
  <c r="AC173" i="2"/>
  <c r="G173" i="2"/>
  <c r="F173" i="2"/>
  <c r="E173" i="2"/>
  <c r="AB172" i="2"/>
  <c r="F172" i="2"/>
  <c r="G172" i="2" s="1"/>
  <c r="E172" i="2"/>
  <c r="AC171" i="2"/>
  <c r="AB171" i="2"/>
  <c r="Y171" i="2"/>
  <c r="Z171" i="2" s="1"/>
  <c r="AA171" i="2" s="1"/>
  <c r="F171" i="2"/>
  <c r="G171" i="2" s="1"/>
  <c r="E171" i="2"/>
  <c r="AD171" i="2" s="1"/>
  <c r="AD170" i="2"/>
  <c r="AC170" i="2"/>
  <c r="AB170" i="2"/>
  <c r="Y170" i="2"/>
  <c r="Z170" i="2" s="1"/>
  <c r="AA170" i="2" s="1"/>
  <c r="V170" i="2"/>
  <c r="W170" i="2" s="1"/>
  <c r="X170" i="2" s="1"/>
  <c r="F170" i="2"/>
  <c r="G170" i="2" s="1"/>
  <c r="E170" i="2"/>
  <c r="F169" i="2"/>
  <c r="G169" i="2" s="1"/>
  <c r="E169" i="2"/>
  <c r="AB168" i="2"/>
  <c r="V168" i="2"/>
  <c r="W168" i="2" s="1"/>
  <c r="X168" i="2" s="1"/>
  <c r="F168" i="2"/>
  <c r="G168" i="2" s="1"/>
  <c r="E168" i="2"/>
  <c r="AD168" i="2" s="1"/>
  <c r="AB167" i="2"/>
  <c r="Y167" i="2"/>
  <c r="Z167" i="2" s="1"/>
  <c r="AA167" i="2" s="1"/>
  <c r="G167" i="2"/>
  <c r="F167" i="2"/>
  <c r="E167" i="2"/>
  <c r="AC167" i="2" s="1"/>
  <c r="AD166" i="2"/>
  <c r="AC166" i="2"/>
  <c r="Y166" i="2"/>
  <c r="Z166" i="2" s="1"/>
  <c r="AA166" i="2" s="1"/>
  <c r="V166" i="2"/>
  <c r="W166" i="2" s="1"/>
  <c r="X166" i="2" s="1"/>
  <c r="G166" i="2"/>
  <c r="F166" i="2"/>
  <c r="E166" i="2"/>
  <c r="AB166" i="2" s="1"/>
  <c r="AE166" i="2" s="1"/>
  <c r="AC165" i="2"/>
  <c r="V165" i="2"/>
  <c r="W165" i="2" s="1"/>
  <c r="X165" i="2" s="1"/>
  <c r="G165" i="2"/>
  <c r="F165" i="2"/>
  <c r="E165" i="2"/>
  <c r="AB164" i="2"/>
  <c r="F164" i="2"/>
  <c r="G164" i="2" s="1"/>
  <c r="E164" i="2"/>
  <c r="AC163" i="2"/>
  <c r="AB163" i="2"/>
  <c r="AE163" i="2" s="1"/>
  <c r="Y163" i="2"/>
  <c r="Z163" i="2" s="1"/>
  <c r="AA163" i="2" s="1"/>
  <c r="G163" i="2"/>
  <c r="F163" i="2"/>
  <c r="E163" i="2"/>
  <c r="AD163" i="2" s="1"/>
  <c r="AD162" i="2"/>
  <c r="AC162" i="2"/>
  <c r="AB162" i="2"/>
  <c r="Y162" i="2"/>
  <c r="Z162" i="2" s="1"/>
  <c r="AA162" i="2" s="1"/>
  <c r="V162" i="2"/>
  <c r="W162" i="2" s="1"/>
  <c r="X162" i="2" s="1"/>
  <c r="F162" i="2"/>
  <c r="G162" i="2" s="1"/>
  <c r="E162" i="2"/>
  <c r="AD161" i="2"/>
  <c r="F161" i="2"/>
  <c r="G161" i="2" s="1"/>
  <c r="E161" i="2"/>
  <c r="V160" i="2"/>
  <c r="W160" i="2" s="1"/>
  <c r="X160" i="2" s="1"/>
  <c r="F160" i="2"/>
  <c r="G160" i="2" s="1"/>
  <c r="E160" i="2"/>
  <c r="F159" i="2"/>
  <c r="G159" i="2" s="1"/>
  <c r="E159" i="2"/>
  <c r="AD158" i="2"/>
  <c r="AC158" i="2"/>
  <c r="Z158" i="2"/>
  <c r="AA158" i="2" s="1"/>
  <c r="G158" i="2"/>
  <c r="F158" i="2"/>
  <c r="E158" i="2"/>
  <c r="V158" i="2" s="1"/>
  <c r="W158" i="2" s="1"/>
  <c r="X158" i="2" s="1"/>
  <c r="AD157" i="2"/>
  <c r="AC157" i="2"/>
  <c r="AB157" i="2"/>
  <c r="Y157" i="2"/>
  <c r="Z157" i="2" s="1"/>
  <c r="AA157" i="2" s="1"/>
  <c r="V157" i="2"/>
  <c r="W157" i="2" s="1"/>
  <c r="X157" i="2" s="1"/>
  <c r="G157" i="2"/>
  <c r="F157" i="2"/>
  <c r="E157" i="2"/>
  <c r="AD156" i="2"/>
  <c r="Y156" i="2"/>
  <c r="Z156" i="2" s="1"/>
  <c r="AA156" i="2" s="1"/>
  <c r="V156" i="2"/>
  <c r="W156" i="2" s="1"/>
  <c r="X156" i="2" s="1"/>
  <c r="F156" i="2"/>
  <c r="G156" i="2" s="1"/>
  <c r="E156" i="2"/>
  <c r="F155" i="2"/>
  <c r="G155" i="2" s="1"/>
  <c r="E155" i="2"/>
  <c r="AD155" i="2" s="1"/>
  <c r="Y154" i="2"/>
  <c r="Z154" i="2" s="1"/>
  <c r="AA154" i="2" s="1"/>
  <c r="G154" i="2"/>
  <c r="F154" i="2"/>
  <c r="E154" i="2"/>
  <c r="AC154" i="2" s="1"/>
  <c r="AD153" i="2"/>
  <c r="AC153" i="2"/>
  <c r="Y153" i="2"/>
  <c r="Z153" i="2" s="1"/>
  <c r="AA153" i="2" s="1"/>
  <c r="V153" i="2"/>
  <c r="W153" i="2" s="1"/>
  <c r="X153" i="2" s="1"/>
  <c r="G153" i="2"/>
  <c r="F153" i="2"/>
  <c r="E153" i="2"/>
  <c r="AB153" i="2" s="1"/>
  <c r="G152" i="2"/>
  <c r="F152" i="2"/>
  <c r="E152" i="2"/>
  <c r="AD152" i="2" s="1"/>
  <c r="AB151" i="2"/>
  <c r="F151" i="2"/>
  <c r="G151" i="2" s="1"/>
  <c r="E151" i="2"/>
  <c r="AC150" i="2"/>
  <c r="AB150" i="2"/>
  <c r="Y150" i="2"/>
  <c r="Z150" i="2" s="1"/>
  <c r="AA150" i="2" s="1"/>
  <c r="F150" i="2"/>
  <c r="G150" i="2" s="1"/>
  <c r="E150" i="2"/>
  <c r="AD150" i="2" s="1"/>
  <c r="AD149" i="2"/>
  <c r="AC149" i="2"/>
  <c r="AB149" i="2"/>
  <c r="Y149" i="2"/>
  <c r="Z149" i="2" s="1"/>
  <c r="AA149" i="2" s="1"/>
  <c r="V149" i="2"/>
  <c r="W149" i="2" s="1"/>
  <c r="X149" i="2" s="1"/>
  <c r="F149" i="2"/>
  <c r="G149" i="2" s="1"/>
  <c r="E149" i="2"/>
  <c r="Y148" i="2"/>
  <c r="Z148" i="2" s="1"/>
  <c r="AA148" i="2" s="1"/>
  <c r="W148" i="2"/>
  <c r="X148" i="2" s="1"/>
  <c r="V148" i="2"/>
  <c r="F148" i="2"/>
  <c r="G148" i="2" s="1"/>
  <c r="E148" i="2"/>
  <c r="AD148" i="2" s="1"/>
  <c r="AD147" i="2"/>
  <c r="V147" i="2"/>
  <c r="W147" i="2" s="1"/>
  <c r="X147" i="2" s="1"/>
  <c r="F147" i="2"/>
  <c r="G147" i="2" s="1"/>
  <c r="E147" i="2"/>
  <c r="AB147" i="2" s="1"/>
  <c r="AC146" i="2"/>
  <c r="Y146" i="2"/>
  <c r="Z146" i="2" s="1"/>
  <c r="AA146" i="2" s="1"/>
  <c r="G146" i="2"/>
  <c r="F146" i="2"/>
  <c r="E146" i="2"/>
  <c r="AB146" i="2" s="1"/>
  <c r="AD145" i="2"/>
  <c r="AC145" i="2"/>
  <c r="Y145" i="2"/>
  <c r="Z145" i="2" s="1"/>
  <c r="AA145" i="2" s="1"/>
  <c r="V145" i="2"/>
  <c r="W145" i="2" s="1"/>
  <c r="X145" i="2" s="1"/>
  <c r="G145" i="2"/>
  <c r="F145" i="2"/>
  <c r="E145" i="2"/>
  <c r="AB145" i="2" s="1"/>
  <c r="AC144" i="2"/>
  <c r="G144" i="2"/>
  <c r="F144" i="2"/>
  <c r="E144" i="2"/>
  <c r="AB143" i="2"/>
  <c r="F143" i="2"/>
  <c r="G143" i="2" s="1"/>
  <c r="E143" i="2"/>
  <c r="AC142" i="2"/>
  <c r="AB142" i="2"/>
  <c r="Y142" i="2"/>
  <c r="Z142" i="2" s="1"/>
  <c r="AA142" i="2" s="1"/>
  <c r="F142" i="2"/>
  <c r="G142" i="2" s="1"/>
  <c r="E142" i="2"/>
  <c r="AD142" i="2" s="1"/>
  <c r="AD141" i="2"/>
  <c r="AC141" i="2"/>
  <c r="AB141" i="2"/>
  <c r="Y141" i="2"/>
  <c r="Z141" i="2" s="1"/>
  <c r="AA141" i="2" s="1"/>
  <c r="V141" i="2"/>
  <c r="W141" i="2" s="1"/>
  <c r="X141" i="2" s="1"/>
  <c r="F141" i="2"/>
  <c r="G141" i="2" s="1"/>
  <c r="E141" i="2"/>
  <c r="V140" i="2"/>
  <c r="W140" i="2" s="1"/>
  <c r="X140" i="2" s="1"/>
  <c r="F140" i="2"/>
  <c r="G140" i="2" s="1"/>
  <c r="E140" i="2"/>
  <c r="AB139" i="2"/>
  <c r="V139" i="2"/>
  <c r="W139" i="2" s="1"/>
  <c r="X139" i="2" s="1"/>
  <c r="F139" i="2"/>
  <c r="G139" i="2" s="1"/>
  <c r="E139" i="2"/>
  <c r="AD139" i="2" s="1"/>
  <c r="AB138" i="2"/>
  <c r="Y138" i="2"/>
  <c r="Z138" i="2" s="1"/>
  <c r="AA138" i="2" s="1"/>
  <c r="F138" i="2"/>
  <c r="G138" i="2" s="1"/>
  <c r="E138" i="2"/>
  <c r="AC138" i="2" s="1"/>
  <c r="AD137" i="2"/>
  <c r="AC137" i="2"/>
  <c r="Y137" i="2"/>
  <c r="Z137" i="2" s="1"/>
  <c r="AA137" i="2" s="1"/>
  <c r="V137" i="2"/>
  <c r="W137" i="2" s="1"/>
  <c r="X137" i="2" s="1"/>
  <c r="G137" i="2"/>
  <c r="F137" i="2"/>
  <c r="E137" i="2"/>
  <c r="AB137" i="2" s="1"/>
  <c r="AC136" i="2"/>
  <c r="V136" i="2"/>
  <c r="W136" i="2" s="1"/>
  <c r="X136" i="2" s="1"/>
  <c r="G136" i="2"/>
  <c r="F136" i="2"/>
  <c r="E136" i="2"/>
  <c r="AB135" i="2"/>
  <c r="F135" i="2"/>
  <c r="G135" i="2" s="1"/>
  <c r="E135" i="2"/>
  <c r="AC134" i="2"/>
  <c r="AB134" i="2"/>
  <c r="AE134" i="2" s="1"/>
  <c r="Y134" i="2"/>
  <c r="Z134" i="2" s="1"/>
  <c r="AA134" i="2" s="1"/>
  <c r="G134" i="2"/>
  <c r="F134" i="2"/>
  <c r="E134" i="2"/>
  <c r="AD134" i="2" s="1"/>
  <c r="AD133" i="2"/>
  <c r="AC133" i="2"/>
  <c r="AB133" i="2"/>
  <c r="Z133" i="2"/>
  <c r="AA133" i="2" s="1"/>
  <c r="Y133" i="2"/>
  <c r="V133" i="2"/>
  <c r="W133" i="2" s="1"/>
  <c r="X133" i="2" s="1"/>
  <c r="F133" i="2"/>
  <c r="G133" i="2" s="1"/>
  <c r="E133" i="2"/>
  <c r="F132" i="2"/>
  <c r="G132" i="2" s="1"/>
  <c r="E132" i="2"/>
  <c r="AD132" i="2" s="1"/>
  <c r="V131" i="2"/>
  <c r="W131" i="2" s="1"/>
  <c r="X131" i="2" s="1"/>
  <c r="F131" i="2"/>
  <c r="G131" i="2" s="1"/>
  <c r="E131" i="2"/>
  <c r="G130" i="2"/>
  <c r="F130" i="2"/>
  <c r="E130" i="2"/>
  <c r="AD129" i="2"/>
  <c r="AC129" i="2"/>
  <c r="Z129" i="2"/>
  <c r="AA129" i="2" s="1"/>
  <c r="Y129" i="2"/>
  <c r="V129" i="2"/>
  <c r="W129" i="2" s="1"/>
  <c r="X129" i="2" s="1"/>
  <c r="G129" i="2"/>
  <c r="F129" i="2"/>
  <c r="E129" i="2"/>
  <c r="AB129" i="2" s="1"/>
  <c r="AE129" i="2" s="1"/>
  <c r="V128" i="2"/>
  <c r="W128" i="2" s="1"/>
  <c r="X128" i="2" s="1"/>
  <c r="G128" i="2"/>
  <c r="F128" i="2"/>
  <c r="E128" i="2"/>
  <c r="F127" i="2"/>
  <c r="G127" i="2" s="1"/>
  <c r="E127" i="2"/>
  <c r="AC126" i="2"/>
  <c r="AB126" i="2"/>
  <c r="AE126" i="2" s="1"/>
  <c r="Y126" i="2"/>
  <c r="Z126" i="2" s="1"/>
  <c r="AA126" i="2" s="1"/>
  <c r="F126" i="2"/>
  <c r="G126" i="2" s="1"/>
  <c r="E126" i="2"/>
  <c r="AD126" i="2" s="1"/>
  <c r="AD125" i="2"/>
  <c r="AC125" i="2"/>
  <c r="AB125" i="2"/>
  <c r="Y125" i="2"/>
  <c r="Z125" i="2" s="1"/>
  <c r="AA125" i="2" s="1"/>
  <c r="V125" i="2"/>
  <c r="W125" i="2" s="1"/>
  <c r="X125" i="2" s="1"/>
  <c r="G125" i="2"/>
  <c r="F125" i="2"/>
  <c r="E125" i="2"/>
  <c r="AD124" i="2"/>
  <c r="F124" i="2"/>
  <c r="G124" i="2" s="1"/>
  <c r="E124" i="2"/>
  <c r="AD123" i="2"/>
  <c r="V123" i="2"/>
  <c r="W123" i="2" s="1"/>
  <c r="X123" i="2" s="1"/>
  <c r="F123" i="2"/>
  <c r="G123" i="2" s="1"/>
  <c r="E123" i="2"/>
  <c r="Y122" i="2"/>
  <c r="Z122" i="2" s="1"/>
  <c r="AA122" i="2" s="1"/>
  <c r="F122" i="2"/>
  <c r="G122" i="2" s="1"/>
  <c r="E122" i="2"/>
  <c r="AD121" i="2"/>
  <c r="AC121" i="2"/>
  <c r="Y121" i="2"/>
  <c r="Z121" i="2" s="1"/>
  <c r="AA121" i="2" s="1"/>
  <c r="V121" i="2"/>
  <c r="W121" i="2" s="1"/>
  <c r="X121" i="2" s="1"/>
  <c r="G121" i="2"/>
  <c r="F121" i="2"/>
  <c r="E121" i="2"/>
  <c r="AB121" i="2" s="1"/>
  <c r="AC120" i="2"/>
  <c r="V120" i="2"/>
  <c r="W120" i="2" s="1"/>
  <c r="X120" i="2" s="1"/>
  <c r="G120" i="2"/>
  <c r="F120" i="2"/>
  <c r="E120" i="2"/>
  <c r="F119" i="2"/>
  <c r="G119" i="2" s="1"/>
  <c r="E119" i="2"/>
  <c r="AB119" i="2" s="1"/>
  <c r="AC118" i="2"/>
  <c r="AB118" i="2"/>
  <c r="Y118" i="2"/>
  <c r="Z118" i="2" s="1"/>
  <c r="AA118" i="2" s="1"/>
  <c r="G118" i="2"/>
  <c r="F118" i="2"/>
  <c r="E118" i="2"/>
  <c r="AD118" i="2" s="1"/>
  <c r="AD117" i="2"/>
  <c r="AC117" i="2"/>
  <c r="AB117" i="2"/>
  <c r="Y117" i="2"/>
  <c r="Z117" i="2" s="1"/>
  <c r="AA117" i="2" s="1"/>
  <c r="V117" i="2"/>
  <c r="W117" i="2" s="1"/>
  <c r="X117" i="2" s="1"/>
  <c r="F117" i="2"/>
  <c r="G117" i="2" s="1"/>
  <c r="E117" i="2"/>
  <c r="F116" i="2"/>
  <c r="G116" i="2" s="1"/>
  <c r="E116" i="2"/>
  <c r="AD116" i="2" s="1"/>
  <c r="AD115" i="2"/>
  <c r="AB115" i="2"/>
  <c r="F115" i="2"/>
  <c r="G115" i="2" s="1"/>
  <c r="E115" i="2"/>
  <c r="AB114" i="2"/>
  <c r="F114" i="2"/>
  <c r="G114" i="2" s="1"/>
  <c r="E114" i="2"/>
  <c r="AD113" i="2"/>
  <c r="AC113" i="2"/>
  <c r="Y113" i="2"/>
  <c r="Z113" i="2" s="1"/>
  <c r="AA113" i="2" s="1"/>
  <c r="X113" i="2"/>
  <c r="V113" i="2"/>
  <c r="W113" i="2" s="1"/>
  <c r="G113" i="2"/>
  <c r="F113" i="2"/>
  <c r="E113" i="2"/>
  <c r="AB113" i="2" s="1"/>
  <c r="V112" i="2"/>
  <c r="W112" i="2" s="1"/>
  <c r="X112" i="2" s="1"/>
  <c r="G112" i="2"/>
  <c r="F112" i="2"/>
  <c r="E112" i="2"/>
  <c r="AC112" i="2" s="1"/>
  <c r="AB111" i="2"/>
  <c r="F111" i="2"/>
  <c r="G111" i="2" s="1"/>
  <c r="E111" i="2"/>
  <c r="AC110" i="2"/>
  <c r="AB110" i="2"/>
  <c r="Y110" i="2"/>
  <c r="Z110" i="2" s="1"/>
  <c r="AA110" i="2" s="1"/>
  <c r="G110" i="2"/>
  <c r="F110" i="2"/>
  <c r="E110" i="2"/>
  <c r="AD110" i="2" s="1"/>
  <c r="AD109" i="2"/>
  <c r="AC109" i="2"/>
  <c r="AB109" i="2"/>
  <c r="Y109" i="2"/>
  <c r="Z109" i="2" s="1"/>
  <c r="AA109" i="2" s="1"/>
  <c r="V109" i="2"/>
  <c r="W109" i="2" s="1"/>
  <c r="X109" i="2" s="1"/>
  <c r="G109" i="2"/>
  <c r="F109" i="2"/>
  <c r="E109" i="2"/>
  <c r="AD108" i="2"/>
  <c r="Y108" i="2"/>
  <c r="Z108" i="2" s="1"/>
  <c r="AA108" i="2" s="1"/>
  <c r="V108" i="2"/>
  <c r="W108" i="2" s="1"/>
  <c r="X108" i="2" s="1"/>
  <c r="F108" i="2"/>
  <c r="G108" i="2" s="1"/>
  <c r="E108" i="2"/>
  <c r="AD107" i="2"/>
  <c r="F107" i="2"/>
  <c r="G107" i="2" s="1"/>
  <c r="E107" i="2"/>
  <c r="AB107" i="2" s="1"/>
  <c r="AC106" i="2"/>
  <c r="AB106" i="2"/>
  <c r="G106" i="2"/>
  <c r="F106" i="2"/>
  <c r="E106" i="2"/>
  <c r="AD105" i="2"/>
  <c r="AC105" i="2"/>
  <c r="Y105" i="2"/>
  <c r="Z105" i="2" s="1"/>
  <c r="AA105" i="2" s="1"/>
  <c r="V105" i="2"/>
  <c r="W105" i="2" s="1"/>
  <c r="X105" i="2" s="1"/>
  <c r="G105" i="2"/>
  <c r="F105" i="2"/>
  <c r="E105" i="2"/>
  <c r="AB105" i="2" s="1"/>
  <c r="AD104" i="2"/>
  <c r="V104" i="2"/>
  <c r="W104" i="2" s="1"/>
  <c r="X104" i="2" s="1"/>
  <c r="G104" i="2"/>
  <c r="F104" i="2"/>
  <c r="E104" i="2"/>
  <c r="F103" i="2"/>
  <c r="G103" i="2" s="1"/>
  <c r="E103" i="2"/>
  <c r="AC102" i="2"/>
  <c r="AB102" i="2"/>
  <c r="Y102" i="2"/>
  <c r="Z102" i="2" s="1"/>
  <c r="AA102" i="2" s="1"/>
  <c r="F102" i="2"/>
  <c r="G102" i="2" s="1"/>
  <c r="E102" i="2"/>
  <c r="AD102" i="2" s="1"/>
  <c r="AD101" i="2"/>
  <c r="AC101" i="2"/>
  <c r="AB101" i="2"/>
  <c r="Y101" i="2"/>
  <c r="Z101" i="2" s="1"/>
  <c r="AA101" i="2" s="1"/>
  <c r="V101" i="2"/>
  <c r="W101" i="2" s="1"/>
  <c r="X101" i="2" s="1"/>
  <c r="G101" i="2"/>
  <c r="F101" i="2"/>
  <c r="E101" i="2"/>
  <c r="Y100" i="2"/>
  <c r="Z100" i="2" s="1"/>
  <c r="AA100" i="2" s="1"/>
  <c r="F100" i="2"/>
  <c r="G100" i="2" s="1"/>
  <c r="E100" i="2"/>
  <c r="AD99" i="2"/>
  <c r="AB99" i="2"/>
  <c r="V99" i="2"/>
  <c r="W99" i="2" s="1"/>
  <c r="X99" i="2" s="1"/>
  <c r="F99" i="2"/>
  <c r="G99" i="2" s="1"/>
  <c r="E99" i="2"/>
  <c r="AC98" i="2"/>
  <c r="AB98" i="2"/>
  <c r="Y98" i="2"/>
  <c r="Z98" i="2" s="1"/>
  <c r="AA98" i="2" s="1"/>
  <c r="F98" i="2"/>
  <c r="G98" i="2" s="1"/>
  <c r="E98" i="2"/>
  <c r="AD97" i="2"/>
  <c r="AC97" i="2"/>
  <c r="Y97" i="2"/>
  <c r="Z97" i="2" s="1"/>
  <c r="AA97" i="2" s="1"/>
  <c r="V97" i="2"/>
  <c r="W97" i="2" s="1"/>
  <c r="X97" i="2" s="1"/>
  <c r="G97" i="2"/>
  <c r="F97" i="2"/>
  <c r="E97" i="2"/>
  <c r="AB97" i="2" s="1"/>
  <c r="AD96" i="2"/>
  <c r="G96" i="2"/>
  <c r="F96" i="2"/>
  <c r="E96" i="2"/>
  <c r="AC96" i="2" s="1"/>
  <c r="F95" i="2"/>
  <c r="G95" i="2" s="1"/>
  <c r="E95" i="2"/>
  <c r="AC94" i="2"/>
  <c r="AB94" i="2"/>
  <c r="Y94" i="2"/>
  <c r="Z94" i="2" s="1"/>
  <c r="AA94" i="2" s="1"/>
  <c r="G94" i="2"/>
  <c r="F94" i="2"/>
  <c r="E94" i="2"/>
  <c r="AD94" i="2" s="1"/>
  <c r="AD93" i="2"/>
  <c r="AC93" i="2"/>
  <c r="AB93" i="2"/>
  <c r="Y93" i="2"/>
  <c r="Z93" i="2" s="1"/>
  <c r="AA93" i="2" s="1"/>
  <c r="V93" i="2"/>
  <c r="W93" i="2" s="1"/>
  <c r="X93" i="2" s="1"/>
  <c r="G93" i="2"/>
  <c r="F93" i="2"/>
  <c r="E93" i="2"/>
  <c r="AD92" i="2"/>
  <c r="Y92" i="2"/>
  <c r="Z92" i="2" s="1"/>
  <c r="AA92" i="2" s="1"/>
  <c r="V92" i="2"/>
  <c r="W92" i="2" s="1"/>
  <c r="X92" i="2" s="1"/>
  <c r="F92" i="2"/>
  <c r="G92" i="2" s="1"/>
  <c r="E92" i="2"/>
  <c r="F91" i="2"/>
  <c r="G91" i="2" s="1"/>
  <c r="E91" i="2"/>
  <c r="AB91" i="2" s="1"/>
  <c r="AB90" i="2"/>
  <c r="G90" i="2"/>
  <c r="F90" i="2"/>
  <c r="E90" i="2"/>
  <c r="AD89" i="2"/>
  <c r="AC89" i="2"/>
  <c r="Y89" i="2"/>
  <c r="Z89" i="2" s="1"/>
  <c r="AA89" i="2" s="1"/>
  <c r="V89" i="2"/>
  <c r="W89" i="2" s="1"/>
  <c r="X89" i="2" s="1"/>
  <c r="G89" i="2"/>
  <c r="F89" i="2"/>
  <c r="E89" i="2"/>
  <c r="AB89" i="2" s="1"/>
  <c r="G88" i="2"/>
  <c r="F88" i="2"/>
  <c r="E88" i="2"/>
  <c r="AC88" i="2" s="1"/>
  <c r="F87" i="2"/>
  <c r="G87" i="2" s="1"/>
  <c r="E87" i="2"/>
  <c r="AC86" i="2"/>
  <c r="AB86" i="2"/>
  <c r="Y86" i="2"/>
  <c r="Z86" i="2" s="1"/>
  <c r="AA86" i="2" s="1"/>
  <c r="F86" i="2"/>
  <c r="G86" i="2" s="1"/>
  <c r="E86" i="2"/>
  <c r="AD86" i="2" s="1"/>
  <c r="AD85" i="2"/>
  <c r="AC85" i="2"/>
  <c r="AB85" i="2"/>
  <c r="Y85" i="2"/>
  <c r="Z85" i="2" s="1"/>
  <c r="AA85" i="2" s="1"/>
  <c r="V85" i="2"/>
  <c r="W85" i="2" s="1"/>
  <c r="X85" i="2" s="1"/>
  <c r="F85" i="2"/>
  <c r="G85" i="2" s="1"/>
  <c r="E85" i="2"/>
  <c r="Y84" i="2"/>
  <c r="Z84" i="2" s="1"/>
  <c r="AA84" i="2" s="1"/>
  <c r="V84" i="2"/>
  <c r="W84" i="2" s="1"/>
  <c r="X84" i="2" s="1"/>
  <c r="F84" i="2"/>
  <c r="G84" i="2" s="1"/>
  <c r="E84" i="2"/>
  <c r="AD84" i="2" s="1"/>
  <c r="AD83" i="2"/>
  <c r="W83" i="2"/>
  <c r="X83" i="2" s="1"/>
  <c r="V83" i="2"/>
  <c r="F83" i="2"/>
  <c r="G83" i="2" s="1"/>
  <c r="E83" i="2"/>
  <c r="AB83" i="2" s="1"/>
  <c r="AC82" i="2"/>
  <c r="Y82" i="2"/>
  <c r="Z82" i="2" s="1"/>
  <c r="AA82" i="2" s="1"/>
  <c r="G82" i="2"/>
  <c r="F82" i="2"/>
  <c r="E82" i="2"/>
  <c r="AB82" i="2" s="1"/>
  <c r="AD81" i="2"/>
  <c r="AC81" i="2"/>
  <c r="Y81" i="2"/>
  <c r="Z81" i="2" s="1"/>
  <c r="AA81" i="2" s="1"/>
  <c r="V81" i="2"/>
  <c r="W81" i="2" s="1"/>
  <c r="X81" i="2" s="1"/>
  <c r="G81" i="2"/>
  <c r="F81" i="2"/>
  <c r="E81" i="2"/>
  <c r="AB81" i="2" s="1"/>
  <c r="AE81" i="2" s="1"/>
  <c r="AD80" i="2"/>
  <c r="AC80" i="2"/>
  <c r="G80" i="2"/>
  <c r="F80" i="2"/>
  <c r="E80" i="2"/>
  <c r="F79" i="2"/>
  <c r="G79" i="2" s="1"/>
  <c r="E79" i="2"/>
  <c r="AE78" i="2"/>
  <c r="AC78" i="2"/>
  <c r="AB78" i="2"/>
  <c r="Y78" i="2"/>
  <c r="Z78" i="2" s="1"/>
  <c r="AA78" i="2" s="1"/>
  <c r="F78" i="2"/>
  <c r="G78" i="2" s="1"/>
  <c r="E78" i="2"/>
  <c r="AD78" i="2" s="1"/>
  <c r="AD77" i="2"/>
  <c r="AC77" i="2"/>
  <c r="AB77" i="2"/>
  <c r="Y77" i="2"/>
  <c r="Z77" i="2" s="1"/>
  <c r="AA77" i="2" s="1"/>
  <c r="V77" i="2"/>
  <c r="W77" i="2" s="1"/>
  <c r="X77" i="2" s="1"/>
  <c r="F77" i="2"/>
  <c r="G77" i="2" s="1"/>
  <c r="E77" i="2"/>
  <c r="F76" i="2"/>
  <c r="G76" i="2" s="1"/>
  <c r="E76" i="2"/>
  <c r="AB75" i="2"/>
  <c r="AE75" i="2" s="1"/>
  <c r="V75" i="2"/>
  <c r="W75" i="2" s="1"/>
  <c r="X75" i="2" s="1"/>
  <c r="F75" i="2"/>
  <c r="G75" i="2" s="1"/>
  <c r="E75" i="2"/>
  <c r="AD75" i="2" s="1"/>
  <c r="AB74" i="2"/>
  <c r="Y74" i="2"/>
  <c r="Z74" i="2" s="1"/>
  <c r="AA74" i="2" s="1"/>
  <c r="F74" i="2"/>
  <c r="G74" i="2" s="1"/>
  <c r="E74" i="2"/>
  <c r="AC74" i="2" s="1"/>
  <c r="AD73" i="2"/>
  <c r="AC73" i="2"/>
  <c r="Y73" i="2"/>
  <c r="Z73" i="2" s="1"/>
  <c r="AA73" i="2" s="1"/>
  <c r="V73" i="2"/>
  <c r="W73" i="2" s="1"/>
  <c r="X73" i="2" s="1"/>
  <c r="G73" i="2"/>
  <c r="F73" i="2"/>
  <c r="E73" i="2"/>
  <c r="AB73" i="2" s="1"/>
  <c r="AC72" i="2"/>
  <c r="V72" i="2"/>
  <c r="W72" i="2" s="1"/>
  <c r="X72" i="2" s="1"/>
  <c r="G72" i="2"/>
  <c r="F72" i="2"/>
  <c r="E72" i="2"/>
  <c r="AB71" i="2"/>
  <c r="F71" i="2"/>
  <c r="G71" i="2" s="1"/>
  <c r="E71" i="2"/>
  <c r="AC70" i="2"/>
  <c r="AB70" i="2"/>
  <c r="AE70" i="2" s="1"/>
  <c r="Y70" i="2"/>
  <c r="Z70" i="2" s="1"/>
  <c r="AA70" i="2" s="1"/>
  <c r="G70" i="2"/>
  <c r="F70" i="2"/>
  <c r="E70" i="2"/>
  <c r="AD70" i="2" s="1"/>
  <c r="AD69" i="2"/>
  <c r="AC69" i="2"/>
  <c r="AB69" i="2"/>
  <c r="Y69" i="2"/>
  <c r="Z69" i="2" s="1"/>
  <c r="AA69" i="2" s="1"/>
  <c r="V69" i="2"/>
  <c r="W69" i="2" s="1"/>
  <c r="X69" i="2" s="1"/>
  <c r="F69" i="2"/>
  <c r="G69" i="2" s="1"/>
  <c r="E69" i="2"/>
  <c r="AD68" i="2"/>
  <c r="F68" i="2"/>
  <c r="G68" i="2" s="1"/>
  <c r="E68" i="2"/>
  <c r="V67" i="2"/>
  <c r="W67" i="2" s="1"/>
  <c r="X67" i="2" s="1"/>
  <c r="F67" i="2"/>
  <c r="G67" i="2" s="1"/>
  <c r="E67" i="2"/>
  <c r="G66" i="2"/>
  <c r="F66" i="2"/>
  <c r="E66" i="2"/>
  <c r="AD65" i="2"/>
  <c r="AC65" i="2"/>
  <c r="Y65" i="2"/>
  <c r="Z65" i="2" s="1"/>
  <c r="AA65" i="2" s="1"/>
  <c r="V65" i="2"/>
  <c r="W65" i="2" s="1"/>
  <c r="X65" i="2" s="1"/>
  <c r="G65" i="2"/>
  <c r="F65" i="2"/>
  <c r="E65" i="2"/>
  <c r="AB65" i="2" s="1"/>
  <c r="V64" i="2"/>
  <c r="W64" i="2" s="1"/>
  <c r="X64" i="2" s="1"/>
  <c r="G64" i="2"/>
  <c r="F64" i="2"/>
  <c r="E64" i="2"/>
  <c r="F63" i="2"/>
  <c r="G63" i="2" s="1"/>
  <c r="E63" i="2"/>
  <c r="AC62" i="2"/>
  <c r="AB62" i="2"/>
  <c r="Y62" i="2"/>
  <c r="Z62" i="2" s="1"/>
  <c r="AA62" i="2" s="1"/>
  <c r="F62" i="2"/>
  <c r="G62" i="2" s="1"/>
  <c r="E62" i="2"/>
  <c r="AD62" i="2" s="1"/>
  <c r="AD61" i="2"/>
  <c r="AC61" i="2"/>
  <c r="AB61" i="2"/>
  <c r="Y61" i="2"/>
  <c r="Z61" i="2" s="1"/>
  <c r="AA61" i="2" s="1"/>
  <c r="V61" i="2"/>
  <c r="W61" i="2" s="1"/>
  <c r="X61" i="2" s="1"/>
  <c r="G61" i="2"/>
  <c r="F61" i="2"/>
  <c r="E61" i="2"/>
  <c r="AD60" i="2"/>
  <c r="F60" i="2"/>
  <c r="G60" i="2" s="1"/>
  <c r="E60" i="2"/>
  <c r="AD59" i="2"/>
  <c r="V59" i="2"/>
  <c r="W59" i="2" s="1"/>
  <c r="X59" i="2" s="1"/>
  <c r="F59" i="2"/>
  <c r="G59" i="2" s="1"/>
  <c r="E59" i="2"/>
  <c r="Y58" i="2"/>
  <c r="Z58" i="2" s="1"/>
  <c r="AA58" i="2" s="1"/>
  <c r="F58" i="2"/>
  <c r="G58" i="2" s="1"/>
  <c r="E58" i="2"/>
  <c r="AD57" i="2"/>
  <c r="AC57" i="2"/>
  <c r="Y57" i="2"/>
  <c r="Z57" i="2" s="1"/>
  <c r="AA57" i="2" s="1"/>
  <c r="V57" i="2"/>
  <c r="W57" i="2" s="1"/>
  <c r="X57" i="2" s="1"/>
  <c r="G57" i="2"/>
  <c r="F57" i="2"/>
  <c r="E57" i="2"/>
  <c r="AB57" i="2" s="1"/>
  <c r="AC56" i="2"/>
  <c r="V56" i="2"/>
  <c r="W56" i="2" s="1"/>
  <c r="X56" i="2" s="1"/>
  <c r="G56" i="2"/>
  <c r="F56" i="2"/>
  <c r="E56" i="2"/>
  <c r="F55" i="2"/>
  <c r="G55" i="2" s="1"/>
  <c r="E55" i="2"/>
  <c r="AB55" i="2" s="1"/>
  <c r="AC54" i="2"/>
  <c r="AB54" i="2"/>
  <c r="Y54" i="2"/>
  <c r="Z54" i="2" s="1"/>
  <c r="AA54" i="2" s="1"/>
  <c r="G54" i="2"/>
  <c r="F54" i="2"/>
  <c r="E54" i="2"/>
  <c r="AD54" i="2" s="1"/>
  <c r="AE54" i="2" s="1"/>
  <c r="AD53" i="2"/>
  <c r="AC53" i="2"/>
  <c r="AB53" i="2"/>
  <c r="Y53" i="2"/>
  <c r="Z53" i="2" s="1"/>
  <c r="AA53" i="2" s="1"/>
  <c r="V53" i="2"/>
  <c r="W53" i="2" s="1"/>
  <c r="X53" i="2" s="1"/>
  <c r="F53" i="2"/>
  <c r="G53" i="2" s="1"/>
  <c r="E53" i="2"/>
  <c r="F52" i="2"/>
  <c r="G52" i="2" s="1"/>
  <c r="E52" i="2"/>
  <c r="AD52" i="2" s="1"/>
  <c r="AD51" i="2"/>
  <c r="AB51" i="2"/>
  <c r="F51" i="2"/>
  <c r="G51" i="2" s="1"/>
  <c r="E51" i="2"/>
  <c r="AB50" i="2"/>
  <c r="F50" i="2"/>
  <c r="G50" i="2" s="1"/>
  <c r="E50" i="2"/>
  <c r="AD49" i="2"/>
  <c r="AC49" i="2"/>
  <c r="Y49" i="2"/>
  <c r="Z49" i="2" s="1"/>
  <c r="AA49" i="2" s="1"/>
  <c r="X49" i="2"/>
  <c r="V49" i="2"/>
  <c r="W49" i="2" s="1"/>
  <c r="G49" i="2"/>
  <c r="F49" i="2"/>
  <c r="E49" i="2"/>
  <c r="AB49" i="2" s="1"/>
  <c r="AE49" i="2" s="1"/>
  <c r="V48" i="2"/>
  <c r="W48" i="2" s="1"/>
  <c r="X48" i="2" s="1"/>
  <c r="G48" i="2"/>
  <c r="F48" i="2"/>
  <c r="E48" i="2"/>
  <c r="AC48" i="2" s="1"/>
  <c r="AB47" i="2"/>
  <c r="F47" i="2"/>
  <c r="G47" i="2" s="1"/>
  <c r="E47" i="2"/>
  <c r="AC46" i="2"/>
  <c r="AB46" i="2"/>
  <c r="Y46" i="2"/>
  <c r="Z46" i="2" s="1"/>
  <c r="AA46" i="2" s="1"/>
  <c r="G46" i="2"/>
  <c r="F46" i="2"/>
  <c r="E46" i="2"/>
  <c r="AD46" i="2" s="1"/>
  <c r="AD45" i="2"/>
  <c r="AC45" i="2"/>
  <c r="AB45" i="2"/>
  <c r="Y45" i="2"/>
  <c r="Z45" i="2" s="1"/>
  <c r="AA45" i="2" s="1"/>
  <c r="V45" i="2"/>
  <c r="W45" i="2" s="1"/>
  <c r="X45" i="2" s="1"/>
  <c r="G45" i="2"/>
  <c r="F45" i="2"/>
  <c r="E45" i="2"/>
  <c r="AD44" i="2"/>
  <c r="Y44" i="2"/>
  <c r="Z44" i="2" s="1"/>
  <c r="AA44" i="2" s="1"/>
  <c r="V44" i="2"/>
  <c r="W44" i="2" s="1"/>
  <c r="X44" i="2" s="1"/>
  <c r="F44" i="2"/>
  <c r="G44" i="2" s="1"/>
  <c r="E44" i="2"/>
  <c r="AD43" i="2"/>
  <c r="F43" i="2"/>
  <c r="G43" i="2" s="1"/>
  <c r="E43" i="2"/>
  <c r="V43" i="2" s="1"/>
  <c r="W43" i="2" s="1"/>
  <c r="X43" i="2" s="1"/>
  <c r="AB42" i="2"/>
  <c r="G42" i="2"/>
  <c r="F42" i="2"/>
  <c r="E42" i="2"/>
  <c r="AC42" i="2" s="1"/>
  <c r="AD41" i="2"/>
  <c r="Y41" i="2"/>
  <c r="Z41" i="2" s="1"/>
  <c r="AA41" i="2" s="1"/>
  <c r="G41" i="2"/>
  <c r="F41" i="2"/>
  <c r="E41" i="2"/>
  <c r="AB41" i="2" s="1"/>
  <c r="AC40" i="2"/>
  <c r="G40" i="2"/>
  <c r="F40" i="2"/>
  <c r="E40" i="2"/>
  <c r="AD40" i="2" s="1"/>
  <c r="G39" i="2"/>
  <c r="F39" i="2"/>
  <c r="E39" i="2"/>
  <c r="AC39" i="2" s="1"/>
  <c r="AC38" i="2"/>
  <c r="AB38" i="2"/>
  <c r="Y38" i="2"/>
  <c r="Z38" i="2" s="1"/>
  <c r="AA38" i="2" s="1"/>
  <c r="G38" i="2"/>
  <c r="F38" i="2"/>
  <c r="E38" i="2"/>
  <c r="AD38" i="2" s="1"/>
  <c r="AD37" i="2"/>
  <c r="AC37" i="2"/>
  <c r="AB37" i="2"/>
  <c r="Y37" i="2"/>
  <c r="Z37" i="2" s="1"/>
  <c r="AA37" i="2" s="1"/>
  <c r="V37" i="2"/>
  <c r="W37" i="2" s="1"/>
  <c r="X37" i="2" s="1"/>
  <c r="F37" i="2"/>
  <c r="G37" i="2" s="1"/>
  <c r="E37" i="2"/>
  <c r="AB36" i="2"/>
  <c r="Y36" i="2"/>
  <c r="Z36" i="2" s="1"/>
  <c r="AA36" i="2" s="1"/>
  <c r="V36" i="2"/>
  <c r="W36" i="2" s="1"/>
  <c r="X36" i="2" s="1"/>
  <c r="F36" i="2"/>
  <c r="G36" i="2" s="1"/>
  <c r="E36" i="2"/>
  <c r="AC36" i="2" s="1"/>
  <c r="AB35" i="2"/>
  <c r="Y35" i="2"/>
  <c r="Z35" i="2" s="1"/>
  <c r="AA35" i="2" s="1"/>
  <c r="V35" i="2"/>
  <c r="W35" i="2" s="1"/>
  <c r="X35" i="2" s="1"/>
  <c r="F35" i="2"/>
  <c r="G35" i="2" s="1"/>
  <c r="E35" i="2"/>
  <c r="AC35" i="2" s="1"/>
  <c r="AD34" i="2"/>
  <c r="F34" i="2"/>
  <c r="G34" i="2" s="1"/>
  <c r="E34" i="2"/>
  <c r="AC34" i="2" s="1"/>
  <c r="AD33" i="2"/>
  <c r="G33" i="2"/>
  <c r="F33" i="2"/>
  <c r="E33" i="2"/>
  <c r="AB33" i="2" s="1"/>
  <c r="G32" i="2"/>
  <c r="F32" i="2"/>
  <c r="E32" i="2"/>
  <c r="V32" i="2" s="1"/>
  <c r="W32" i="2" s="1"/>
  <c r="X32" i="2" s="1"/>
  <c r="G31" i="2"/>
  <c r="F31" i="2"/>
  <c r="E31" i="2"/>
  <c r="AD30" i="2"/>
  <c r="AC30" i="2"/>
  <c r="AB30" i="2"/>
  <c r="Y30" i="2"/>
  <c r="Z30" i="2" s="1"/>
  <c r="AA30" i="2" s="1"/>
  <c r="V30" i="2"/>
  <c r="W30" i="2" s="1"/>
  <c r="X30" i="2" s="1"/>
  <c r="G30" i="2"/>
  <c r="F30" i="2"/>
  <c r="E30" i="2"/>
  <c r="AB29" i="2"/>
  <c r="Y29" i="2"/>
  <c r="Z29" i="2" s="1"/>
  <c r="AA29" i="2" s="1"/>
  <c r="G29" i="2"/>
  <c r="F29" i="2"/>
  <c r="E29" i="2"/>
  <c r="AD28" i="2"/>
  <c r="AB28" i="2"/>
  <c r="Y28" i="2"/>
  <c r="Z28" i="2" s="1"/>
  <c r="AA28" i="2" s="1"/>
  <c r="F28" i="2"/>
  <c r="G28" i="2" s="1"/>
  <c r="E28" i="2"/>
  <c r="AC28" i="2" s="1"/>
  <c r="AD27" i="2"/>
  <c r="AC27" i="2"/>
  <c r="Y27" i="2"/>
  <c r="Z27" i="2" s="1"/>
  <c r="AA27" i="2" s="1"/>
  <c r="V27" i="2"/>
  <c r="W27" i="2" s="1"/>
  <c r="X27" i="2" s="1"/>
  <c r="F27" i="2"/>
  <c r="G27" i="2" s="1"/>
  <c r="E27" i="2"/>
  <c r="AB27" i="2" s="1"/>
  <c r="AC26" i="2"/>
  <c r="F26" i="2"/>
  <c r="G26" i="2" s="1"/>
  <c r="E26" i="2"/>
  <c r="Y25" i="2"/>
  <c r="Z25" i="2" s="1"/>
  <c r="AA25" i="2" s="1"/>
  <c r="V25" i="2"/>
  <c r="W25" i="2" s="1"/>
  <c r="X25" i="2" s="1"/>
  <c r="G25" i="2"/>
  <c r="F25" i="2"/>
  <c r="E25" i="2"/>
  <c r="AC24" i="2"/>
  <c r="AB24" i="2"/>
  <c r="G24" i="2"/>
  <c r="F24" i="2"/>
  <c r="E24" i="2"/>
  <c r="AC23" i="2"/>
  <c r="Y23" i="2"/>
  <c r="Z23" i="2" s="1"/>
  <c r="AA23" i="2" s="1"/>
  <c r="F23" i="2"/>
  <c r="G23" i="2" s="1"/>
  <c r="E23" i="2"/>
  <c r="AC22" i="2"/>
  <c r="AB22" i="2"/>
  <c r="Y22" i="2"/>
  <c r="Z22" i="2" s="1"/>
  <c r="AA22" i="2" s="1"/>
  <c r="F22" i="2"/>
  <c r="G22" i="2" s="1"/>
  <c r="E22" i="2"/>
  <c r="AD22" i="2" s="1"/>
  <c r="G21" i="2"/>
  <c r="F21" i="2"/>
  <c r="E21" i="2"/>
  <c r="AB21" i="2" s="1"/>
  <c r="AD20" i="2"/>
  <c r="AB20" i="2"/>
  <c r="Z20" i="2"/>
  <c r="AA20" i="2" s="1"/>
  <c r="V20" i="2"/>
  <c r="W20" i="2" s="1"/>
  <c r="X20" i="2" s="1"/>
  <c r="F20" i="2"/>
  <c r="G20" i="2" s="1"/>
  <c r="E20" i="2"/>
  <c r="Y20" i="2" s="1"/>
  <c r="Y19" i="2"/>
  <c r="Z19" i="2" s="1"/>
  <c r="AA19" i="2" s="1"/>
  <c r="G19" i="2"/>
  <c r="F19" i="2"/>
  <c r="E19" i="2"/>
  <c r="AD18" i="2"/>
  <c r="AC18" i="2"/>
  <c r="AB18" i="2"/>
  <c r="V18" i="2"/>
  <c r="W18" i="2" s="1"/>
  <c r="X18" i="2" s="1"/>
  <c r="F18" i="2"/>
  <c r="G18" i="2" s="1"/>
  <c r="E18" i="2"/>
  <c r="Y18" i="2" s="1"/>
  <c r="Z18" i="2" s="1"/>
  <c r="AA18" i="2" s="1"/>
  <c r="F17" i="2"/>
  <c r="G17" i="2" s="1"/>
  <c r="E17" i="2"/>
  <c r="AD16" i="2"/>
  <c r="AC16" i="2"/>
  <c r="AB16" i="2"/>
  <c r="Y16" i="2"/>
  <c r="Z16" i="2" s="1"/>
  <c r="AA16" i="2" s="1"/>
  <c r="V16" i="2"/>
  <c r="W16" i="2" s="1"/>
  <c r="X16" i="2" s="1"/>
  <c r="F16" i="2"/>
  <c r="G16" i="2" s="1"/>
  <c r="E16" i="2"/>
  <c r="AB15" i="2"/>
  <c r="F15" i="2"/>
  <c r="G15" i="2" s="1"/>
  <c r="E15" i="2"/>
  <c r="Y15" i="2" s="1"/>
  <c r="Z15" i="2" s="1"/>
  <c r="AA15" i="2" s="1"/>
  <c r="AB14" i="2"/>
  <c r="F14" i="2"/>
  <c r="G14" i="2" s="1"/>
  <c r="E14" i="2"/>
  <c r="AC14" i="2" s="1"/>
  <c r="Y13" i="2"/>
  <c r="Z13" i="2" s="1"/>
  <c r="AA13" i="2" s="1"/>
  <c r="V13" i="2"/>
  <c r="W13" i="2" s="1"/>
  <c r="X13" i="2" s="1"/>
  <c r="G13" i="2"/>
  <c r="F13" i="2"/>
  <c r="E13" i="2"/>
  <c r="AB13" i="2" s="1"/>
  <c r="AB12" i="2"/>
  <c r="F12" i="2"/>
  <c r="G12" i="2" s="1"/>
  <c r="E12" i="2"/>
  <c r="Y12" i="2" s="1"/>
  <c r="Z12" i="2" s="1"/>
  <c r="AA12" i="2" s="1"/>
  <c r="G11" i="2"/>
  <c r="F11" i="2"/>
  <c r="E11" i="2"/>
  <c r="AD10" i="2"/>
  <c r="V10" i="2"/>
  <c r="W10" i="2" s="1"/>
  <c r="X10" i="2" s="1"/>
  <c r="G10" i="2"/>
  <c r="F10" i="2"/>
  <c r="E10" i="2"/>
  <c r="Y10" i="2" s="1"/>
  <c r="Z10" i="2" s="1"/>
  <c r="AA10" i="2" s="1"/>
  <c r="Y9" i="2"/>
  <c r="Z9" i="2" s="1"/>
  <c r="AA9" i="2" s="1"/>
  <c r="F9" i="2"/>
  <c r="G9" i="2" s="1"/>
  <c r="E9" i="2"/>
  <c r="AD8" i="2"/>
  <c r="AC8" i="2"/>
  <c r="AB8" i="2"/>
  <c r="Y8" i="2"/>
  <c r="Z8" i="2" s="1"/>
  <c r="AA8" i="2" s="1"/>
  <c r="V8" i="2"/>
  <c r="W8" i="2" s="1"/>
  <c r="X8" i="2" s="1"/>
  <c r="F8" i="2"/>
  <c r="G8" i="2" s="1"/>
  <c r="E8" i="2"/>
  <c r="AB7" i="2"/>
  <c r="Y7" i="2"/>
  <c r="Z7" i="2" s="1"/>
  <c r="AA7" i="2" s="1"/>
  <c r="F7" i="2"/>
  <c r="G7" i="2" s="1"/>
  <c r="E7" i="2"/>
  <c r="V7" i="2" s="1"/>
  <c r="W7" i="2" s="1"/>
  <c r="X7" i="2" s="1"/>
  <c r="F6" i="2"/>
  <c r="G6" i="2" s="1"/>
  <c r="E6" i="2"/>
  <c r="AC6" i="2" s="1"/>
  <c r="Y5" i="2"/>
  <c r="Z5" i="2" s="1"/>
  <c r="AA5" i="2" s="1"/>
  <c r="F5" i="2"/>
  <c r="G5" i="2" s="1"/>
  <c r="E5" i="2"/>
  <c r="V5" i="2" s="1"/>
  <c r="W5" i="2" s="1"/>
  <c r="X5" i="2" s="1"/>
  <c r="F4" i="2"/>
  <c r="G4" i="2" s="1"/>
  <c r="E4" i="2"/>
  <c r="Y4" i="2" s="1"/>
  <c r="Z4" i="2" s="1"/>
  <c r="AA4" i="2" s="1"/>
  <c r="Y3" i="2"/>
  <c r="Z3" i="2" s="1"/>
  <c r="AA3" i="2" s="1"/>
  <c r="V3" i="2"/>
  <c r="W3" i="2" s="1"/>
  <c r="X3" i="2" s="1"/>
  <c r="G3" i="2"/>
  <c r="F3" i="2"/>
  <c r="E3" i="2"/>
  <c r="AB3" i="2" s="1"/>
  <c r="F2" i="2"/>
  <c r="G2" i="2" s="1"/>
  <c r="E2" i="2"/>
  <c r="Y2" i="2" s="1"/>
  <c r="Z2" i="2" s="1"/>
  <c r="AA2" i="2" s="1"/>
  <c r="AE240" i="2" l="1"/>
  <c r="AE269" i="2"/>
  <c r="AE65" i="4"/>
  <c r="AE115" i="4"/>
  <c r="AE89" i="4"/>
  <c r="AE107" i="2"/>
  <c r="AE330" i="2"/>
  <c r="AE283" i="2"/>
  <c r="AE288" i="2"/>
  <c r="AE394" i="2"/>
  <c r="AE540" i="2"/>
  <c r="AE38" i="2"/>
  <c r="AE197" i="2"/>
  <c r="AE495" i="2"/>
  <c r="AE124" i="4"/>
  <c r="AE128" i="4"/>
  <c r="AE142" i="2"/>
  <c r="AE484" i="2"/>
  <c r="AE22" i="2"/>
  <c r="AE30" i="2"/>
  <c r="AE86" i="2"/>
  <c r="AE109" i="2"/>
  <c r="AE113" i="2"/>
  <c r="AE150" i="2"/>
  <c r="AE246" i="2"/>
  <c r="AE438" i="2"/>
  <c r="AE355" i="2"/>
  <c r="AE399" i="2"/>
  <c r="AE428" i="2"/>
  <c r="AE173" i="4"/>
  <c r="AE384" i="4"/>
  <c r="AE403" i="4"/>
  <c r="AE411" i="4"/>
  <c r="AE431" i="4"/>
  <c r="AE180" i="4"/>
  <c r="AE370" i="4"/>
  <c r="AE410" i="4"/>
  <c r="AE94" i="2"/>
  <c r="AE243" i="2"/>
  <c r="AE299" i="2"/>
  <c r="AE423" i="2"/>
  <c r="AE508" i="2"/>
  <c r="AE123" i="4"/>
  <c r="AE240" i="4"/>
  <c r="AE257" i="4"/>
  <c r="AE268" i="4"/>
  <c r="AE277" i="4"/>
  <c r="AE53" i="2"/>
  <c r="AE61" i="2"/>
  <c r="AE89" i="2"/>
  <c r="AE93" i="2"/>
  <c r="AE117" i="2"/>
  <c r="AE125" i="2"/>
  <c r="AE171" i="2"/>
  <c r="AE214" i="2"/>
  <c r="AE291" i="2"/>
  <c r="AE320" i="2"/>
  <c r="AE372" i="2"/>
  <c r="AE513" i="2"/>
  <c r="AE22" i="4"/>
  <c r="AE39" i="4"/>
  <c r="AE63" i="4"/>
  <c r="AE83" i="4"/>
  <c r="AE99" i="4"/>
  <c r="AE113" i="4"/>
  <c r="AE225" i="4"/>
  <c r="AE228" i="4"/>
  <c r="AE302" i="4"/>
  <c r="AE514" i="4"/>
  <c r="AE415" i="2"/>
  <c r="AE482" i="2"/>
  <c r="AE493" i="2"/>
  <c r="AE528" i="2"/>
  <c r="AE100" i="4"/>
  <c r="AE160" i="4"/>
  <c r="AE207" i="4"/>
  <c r="AE287" i="4"/>
  <c r="AE439" i="4"/>
  <c r="AE464" i="4"/>
  <c r="AE486" i="4"/>
  <c r="AE415" i="4"/>
  <c r="AE8" i="2"/>
  <c r="AE27" i="2"/>
  <c r="AE51" i="2"/>
  <c r="AE102" i="2"/>
  <c r="AE168" i="2"/>
  <c r="AE209" i="2"/>
  <c r="AE216" i="2"/>
  <c r="AE253" i="2"/>
  <c r="AE267" i="2"/>
  <c r="AE302" i="2"/>
  <c r="AE383" i="2"/>
  <c r="AE389" i="2"/>
  <c r="AE478" i="2"/>
  <c r="AE486" i="2"/>
  <c r="AE20" i="4"/>
  <c r="AE41" i="4"/>
  <c r="AE200" i="4"/>
  <c r="AE394" i="4"/>
  <c r="AE412" i="4"/>
  <c r="AE37" i="2"/>
  <c r="AE16" i="2"/>
  <c r="AE157" i="2"/>
  <c r="AE455" i="2"/>
  <c r="AE26" i="4"/>
  <c r="AE34" i="4"/>
  <c r="AE46" i="4"/>
  <c r="AE58" i="4"/>
  <c r="AE62" i="4"/>
  <c r="AE67" i="4"/>
  <c r="AE92" i="4"/>
  <c r="AE131" i="4"/>
  <c r="AE148" i="4"/>
  <c r="AE178" i="4"/>
  <c r="AE260" i="4"/>
  <c r="AE276" i="4"/>
  <c r="AE45" i="2"/>
  <c r="AE18" i="2"/>
  <c r="AE28" i="2"/>
  <c r="AE110" i="2"/>
  <c r="AE147" i="2"/>
  <c r="AE198" i="2"/>
  <c r="AE379" i="2"/>
  <c r="AE390" i="2"/>
  <c r="AE403" i="2"/>
  <c r="AE505" i="2"/>
  <c r="AE13" i="4"/>
  <c r="AE54" i="4"/>
  <c r="AE74" i="4"/>
  <c r="AE88" i="4"/>
  <c r="AE147" i="4"/>
  <c r="AE167" i="4"/>
  <c r="AE407" i="4"/>
  <c r="AE187" i="2"/>
  <c r="AE203" i="2"/>
  <c r="AE446" i="2"/>
  <c r="AE465" i="2"/>
  <c r="AE97" i="4"/>
  <c r="AE265" i="4"/>
  <c r="AE371" i="4"/>
  <c r="AE471" i="2"/>
  <c r="AE527" i="2"/>
  <c r="AE529" i="2"/>
  <c r="AE541" i="2"/>
  <c r="AE25" i="4"/>
  <c r="AE233" i="4"/>
  <c r="AE241" i="4"/>
  <c r="AE346" i="4"/>
  <c r="AE423" i="4"/>
  <c r="AE62" i="2"/>
  <c r="AE65" i="2"/>
  <c r="AE73" i="2"/>
  <c r="AE97" i="2"/>
  <c r="AE115" i="2"/>
  <c r="AE137" i="2"/>
  <c r="AE228" i="2"/>
  <c r="AE282" i="2"/>
  <c r="AE363" i="2"/>
  <c r="AE82" i="4"/>
  <c r="AE255" i="4"/>
  <c r="AE422" i="4"/>
  <c r="AE162" i="2"/>
  <c r="AE217" i="2"/>
  <c r="AE251" i="2"/>
  <c r="AE294" i="4"/>
  <c r="AE322" i="4"/>
  <c r="AE323" i="4"/>
  <c r="AE331" i="4"/>
  <c r="AE409" i="4"/>
  <c r="AE460" i="4"/>
  <c r="AE112" i="4"/>
  <c r="AE129" i="4"/>
  <c r="AE137" i="4"/>
  <c r="AE216" i="4"/>
  <c r="AE286" i="4"/>
  <c r="AE319" i="4"/>
  <c r="AE335" i="4"/>
  <c r="AE360" i="4"/>
  <c r="AE379" i="4"/>
  <c r="AE427" i="4"/>
  <c r="AE461" i="4"/>
  <c r="AE362" i="4"/>
  <c r="AE381" i="4"/>
  <c r="AE455" i="4"/>
  <c r="AE471" i="4"/>
  <c r="AE522" i="4"/>
  <c r="AE534" i="4"/>
  <c r="AE421" i="4"/>
  <c r="AE513" i="4"/>
  <c r="AE46" i="2"/>
  <c r="AE118" i="2"/>
  <c r="AE153" i="2"/>
  <c r="AE174" i="2"/>
  <c r="AE181" i="2"/>
  <c r="AE186" i="2"/>
  <c r="AE225" i="2"/>
  <c r="AE265" i="2"/>
  <c r="AE266" i="2"/>
  <c r="AE296" i="2"/>
  <c r="AE382" i="2"/>
  <c r="AE444" i="2"/>
  <c r="AE467" i="2"/>
  <c r="AE489" i="2"/>
  <c r="AE496" i="2"/>
  <c r="AE512" i="2"/>
  <c r="AE537" i="2"/>
  <c r="AE42" i="4"/>
  <c r="AE57" i="4"/>
  <c r="AE91" i="4"/>
  <c r="AE156" i="4"/>
  <c r="AE206" i="4"/>
  <c r="AE213" i="4"/>
  <c r="AE222" i="4"/>
  <c r="AE375" i="4"/>
  <c r="AE389" i="4"/>
  <c r="AE414" i="4"/>
  <c r="AE483" i="4"/>
  <c r="AE506" i="4"/>
  <c r="AE521" i="4"/>
  <c r="AE543" i="4"/>
  <c r="AE546" i="4"/>
  <c r="AE549" i="4"/>
  <c r="AE146" i="4"/>
  <c r="AC94" i="4"/>
  <c r="AB94" i="4"/>
  <c r="Y94" i="4"/>
  <c r="Z94" i="4" s="1"/>
  <c r="AA94" i="4" s="1"/>
  <c r="Y98" i="4"/>
  <c r="Z98" i="4" s="1"/>
  <c r="AA98" i="4" s="1"/>
  <c r="AD98" i="4"/>
  <c r="V98" i="4"/>
  <c r="W98" i="4" s="1"/>
  <c r="X98" i="4" s="1"/>
  <c r="AC98" i="4"/>
  <c r="Y3" i="4"/>
  <c r="Z3" i="4" s="1"/>
  <c r="AA3" i="4" s="1"/>
  <c r="AD3" i="4"/>
  <c r="AE3" i="4" s="1"/>
  <c r="V3" i="4"/>
  <c r="W3" i="4" s="1"/>
  <c r="X3" i="4" s="1"/>
  <c r="AC3" i="4"/>
  <c r="AB4" i="4"/>
  <c r="Y4" i="4"/>
  <c r="Z4" i="4" s="1"/>
  <c r="AA4" i="4" s="1"/>
  <c r="AD4" i="4"/>
  <c r="Y6" i="4"/>
  <c r="Z6" i="4" s="1"/>
  <c r="AA6" i="4" s="1"/>
  <c r="Y27" i="4"/>
  <c r="Z27" i="4" s="1"/>
  <c r="AA27" i="4" s="1"/>
  <c r="AD27" i="4"/>
  <c r="V27" i="4"/>
  <c r="W27" i="4" s="1"/>
  <c r="X27" i="4" s="1"/>
  <c r="AC36" i="4"/>
  <c r="AB36" i="4"/>
  <c r="AE36" i="4" s="1"/>
  <c r="Y36" i="4"/>
  <c r="Z36" i="4" s="1"/>
  <c r="AA36" i="4" s="1"/>
  <c r="AC37" i="4"/>
  <c r="AB37" i="4"/>
  <c r="AE37" i="4" s="1"/>
  <c r="Y40" i="4"/>
  <c r="Z40" i="4" s="1"/>
  <c r="AA40" i="4" s="1"/>
  <c r="AD40" i="4"/>
  <c r="V40" i="4"/>
  <c r="W40" i="4" s="1"/>
  <c r="X40" i="4" s="1"/>
  <c r="AC40" i="4"/>
  <c r="AB51" i="4"/>
  <c r="V86" i="4"/>
  <c r="W86" i="4" s="1"/>
  <c r="X86" i="4" s="1"/>
  <c r="Y93" i="4"/>
  <c r="Z93" i="4" s="1"/>
  <c r="AA93" i="4" s="1"/>
  <c r="AD93" i="4"/>
  <c r="V93" i="4"/>
  <c r="W93" i="4" s="1"/>
  <c r="X93" i="4" s="1"/>
  <c r="AC102" i="4"/>
  <c r="AB102" i="4"/>
  <c r="AE102" i="4" s="1"/>
  <c r="Y102" i="4"/>
  <c r="Z102" i="4" s="1"/>
  <c r="AA102" i="4" s="1"/>
  <c r="AC103" i="4"/>
  <c r="AB103" i="4"/>
  <c r="AE103" i="4" s="1"/>
  <c r="Y106" i="4"/>
  <c r="Z106" i="4" s="1"/>
  <c r="AA106" i="4" s="1"/>
  <c r="AD106" i="4"/>
  <c r="V106" i="4"/>
  <c r="W106" i="4" s="1"/>
  <c r="X106" i="4" s="1"/>
  <c r="AC106" i="4"/>
  <c r="AB117" i="4"/>
  <c r="AC135" i="4"/>
  <c r="V146" i="4"/>
  <c r="W146" i="4" s="1"/>
  <c r="X146" i="4" s="1"/>
  <c r="Y153" i="4"/>
  <c r="Z153" i="4" s="1"/>
  <c r="AA153" i="4" s="1"/>
  <c r="V153" i="4"/>
  <c r="W153" i="4" s="1"/>
  <c r="X153" i="4" s="1"/>
  <c r="AD153" i="4"/>
  <c r="AC162" i="4"/>
  <c r="Y162" i="4"/>
  <c r="Z162" i="4" s="1"/>
  <c r="AA162" i="4" s="1"/>
  <c r="V162" i="4"/>
  <c r="W162" i="4" s="1"/>
  <c r="X162" i="4" s="1"/>
  <c r="AD162" i="4"/>
  <c r="AE162" i="4" s="1"/>
  <c r="AE168" i="4"/>
  <c r="AC181" i="4"/>
  <c r="Y181" i="4"/>
  <c r="Z181" i="4" s="1"/>
  <c r="AA181" i="4" s="1"/>
  <c r="V181" i="4"/>
  <c r="W181" i="4" s="1"/>
  <c r="X181" i="4" s="1"/>
  <c r="AD181" i="4"/>
  <c r="AB196" i="4"/>
  <c r="Y196" i="4"/>
  <c r="Z196" i="4" s="1"/>
  <c r="AA196" i="4" s="1"/>
  <c r="V196" i="4"/>
  <c r="W196" i="4" s="1"/>
  <c r="X196" i="4" s="1"/>
  <c r="AC196" i="4"/>
  <c r="AD253" i="4"/>
  <c r="V253" i="4"/>
  <c r="W253" i="4" s="1"/>
  <c r="X253" i="4" s="1"/>
  <c r="AC253" i="4"/>
  <c r="AB253" i="4"/>
  <c r="Y253" i="4"/>
  <c r="Z253" i="4" s="1"/>
  <c r="AA253" i="4" s="1"/>
  <c r="AC29" i="4"/>
  <c r="AB29" i="4"/>
  <c r="AE29" i="4" s="1"/>
  <c r="Y32" i="4"/>
  <c r="Z32" i="4" s="1"/>
  <c r="AA32" i="4" s="1"/>
  <c r="AD32" i="4"/>
  <c r="V32" i="4"/>
  <c r="W32" i="4" s="1"/>
  <c r="X32" i="4" s="1"/>
  <c r="AC32" i="4"/>
  <c r="Y84" i="4"/>
  <c r="Z84" i="4" s="1"/>
  <c r="AA84" i="4" s="1"/>
  <c r="AD84" i="4"/>
  <c r="V84" i="4"/>
  <c r="W84" i="4" s="1"/>
  <c r="X84" i="4" s="1"/>
  <c r="AE9" i="4"/>
  <c r="Y35" i="4"/>
  <c r="Z35" i="4" s="1"/>
  <c r="AA35" i="4" s="1"/>
  <c r="AD35" i="4"/>
  <c r="V35" i="4"/>
  <c r="W35" i="4" s="1"/>
  <c r="X35" i="4" s="1"/>
  <c r="AC44" i="4"/>
  <c r="AB44" i="4"/>
  <c r="AE44" i="4" s="1"/>
  <c r="Y44" i="4"/>
  <c r="Z44" i="4" s="1"/>
  <c r="AA44" i="4" s="1"/>
  <c r="AC45" i="4"/>
  <c r="AB45" i="4"/>
  <c r="AE45" i="4" s="1"/>
  <c r="Y48" i="4"/>
  <c r="Z48" i="4" s="1"/>
  <c r="AA48" i="4" s="1"/>
  <c r="AD48" i="4"/>
  <c r="AE48" i="4" s="1"/>
  <c r="V48" i="4"/>
  <c r="W48" i="4" s="1"/>
  <c r="X48" i="4" s="1"/>
  <c r="AC48" i="4"/>
  <c r="AB59" i="4"/>
  <c r="AE71" i="4"/>
  <c r="V87" i="4"/>
  <c r="W87" i="4" s="1"/>
  <c r="X87" i="4" s="1"/>
  <c r="V94" i="4"/>
  <c r="W94" i="4" s="1"/>
  <c r="X94" i="4" s="1"/>
  <c r="Y101" i="4"/>
  <c r="Z101" i="4" s="1"/>
  <c r="AA101" i="4" s="1"/>
  <c r="AD101" i="4"/>
  <c r="V101" i="4"/>
  <c r="W101" i="4" s="1"/>
  <c r="X101" i="4" s="1"/>
  <c r="AC110" i="4"/>
  <c r="AB110" i="4"/>
  <c r="AE110" i="4" s="1"/>
  <c r="Y110" i="4"/>
  <c r="Z110" i="4" s="1"/>
  <c r="AA110" i="4" s="1"/>
  <c r="AC111" i="4"/>
  <c r="AB111" i="4"/>
  <c r="AE111" i="4" s="1"/>
  <c r="Y114" i="4"/>
  <c r="Z114" i="4" s="1"/>
  <c r="AA114" i="4" s="1"/>
  <c r="AD114" i="4"/>
  <c r="AE114" i="4" s="1"/>
  <c r="V114" i="4"/>
  <c r="W114" i="4" s="1"/>
  <c r="X114" i="4" s="1"/>
  <c r="AC114" i="4"/>
  <c r="AB125" i="4"/>
  <c r="AB142" i="4"/>
  <c r="AD157" i="4"/>
  <c r="V157" i="4"/>
  <c r="W157" i="4" s="1"/>
  <c r="X157" i="4" s="1"/>
  <c r="Y157" i="4"/>
  <c r="Z157" i="4" s="1"/>
  <c r="AA157" i="4" s="1"/>
  <c r="AB176" i="4"/>
  <c r="Y176" i="4"/>
  <c r="Z176" i="4" s="1"/>
  <c r="AA176" i="4" s="1"/>
  <c r="V176" i="4"/>
  <c r="W176" i="4" s="1"/>
  <c r="X176" i="4" s="1"/>
  <c r="AD176" i="4"/>
  <c r="Y187" i="4"/>
  <c r="Z187" i="4" s="1"/>
  <c r="AA187" i="4" s="1"/>
  <c r="AB187" i="4"/>
  <c r="V187" i="4"/>
  <c r="W187" i="4" s="1"/>
  <c r="X187" i="4" s="1"/>
  <c r="AC309" i="4"/>
  <c r="Y309" i="4"/>
  <c r="Z309" i="4" s="1"/>
  <c r="AA309" i="4" s="1"/>
  <c r="V309" i="4"/>
  <c r="W309" i="4" s="1"/>
  <c r="X309" i="4" s="1"/>
  <c r="AD309" i="4"/>
  <c r="AB309" i="4"/>
  <c r="AE309" i="4" s="1"/>
  <c r="AC28" i="4"/>
  <c r="AB28" i="4"/>
  <c r="Y28" i="4"/>
  <c r="Z28" i="4" s="1"/>
  <c r="AA28" i="4" s="1"/>
  <c r="AC95" i="4"/>
  <c r="AB95" i="4"/>
  <c r="AE5" i="4"/>
  <c r="AE17" i="4"/>
  <c r="V29" i="4"/>
  <c r="W29" i="4" s="1"/>
  <c r="X29" i="4" s="1"/>
  <c r="V36" i="4"/>
  <c r="W36" i="4" s="1"/>
  <c r="X36" i="4" s="1"/>
  <c r="Y43" i="4"/>
  <c r="Z43" i="4" s="1"/>
  <c r="AA43" i="4" s="1"/>
  <c r="AD43" i="4"/>
  <c r="AE43" i="4" s="1"/>
  <c r="V43" i="4"/>
  <c r="W43" i="4" s="1"/>
  <c r="X43" i="4" s="1"/>
  <c r="AC52" i="4"/>
  <c r="AB52" i="4"/>
  <c r="AE52" i="4" s="1"/>
  <c r="Y52" i="4"/>
  <c r="Z52" i="4" s="1"/>
  <c r="AA52" i="4" s="1"/>
  <c r="AC53" i="4"/>
  <c r="AB53" i="4"/>
  <c r="AE53" i="4" s="1"/>
  <c r="Y56" i="4"/>
  <c r="Z56" i="4" s="1"/>
  <c r="AA56" i="4" s="1"/>
  <c r="AD56" i="4"/>
  <c r="AE56" i="4" s="1"/>
  <c r="V56" i="4"/>
  <c r="W56" i="4" s="1"/>
  <c r="X56" i="4" s="1"/>
  <c r="AC56" i="4"/>
  <c r="AE79" i="4"/>
  <c r="Y87" i="4"/>
  <c r="Z87" i="4" s="1"/>
  <c r="AA87" i="4" s="1"/>
  <c r="V95" i="4"/>
  <c r="W95" i="4" s="1"/>
  <c r="X95" i="4" s="1"/>
  <c r="V102" i="4"/>
  <c r="W102" i="4" s="1"/>
  <c r="X102" i="4" s="1"/>
  <c r="Y109" i="4"/>
  <c r="Z109" i="4" s="1"/>
  <c r="AA109" i="4" s="1"/>
  <c r="AD109" i="4"/>
  <c r="AE109" i="4" s="1"/>
  <c r="V109" i="4"/>
  <c r="W109" i="4" s="1"/>
  <c r="X109" i="4" s="1"/>
  <c r="AC118" i="4"/>
  <c r="AB118" i="4"/>
  <c r="AE118" i="4" s="1"/>
  <c r="Y118" i="4"/>
  <c r="Z118" i="4" s="1"/>
  <c r="AA118" i="4" s="1"/>
  <c r="AC119" i="4"/>
  <c r="AB119" i="4"/>
  <c r="AE119" i="4" s="1"/>
  <c r="Y122" i="4"/>
  <c r="Z122" i="4" s="1"/>
  <c r="AA122" i="4" s="1"/>
  <c r="AD122" i="4"/>
  <c r="AE122" i="4" s="1"/>
  <c r="V122" i="4"/>
  <c r="W122" i="4" s="1"/>
  <c r="X122" i="4" s="1"/>
  <c r="AC122" i="4"/>
  <c r="Y144" i="4"/>
  <c r="Z144" i="4" s="1"/>
  <c r="AA144" i="4" s="1"/>
  <c r="V144" i="4"/>
  <c r="W144" i="4" s="1"/>
  <c r="X144" i="4" s="1"/>
  <c r="AD144" i="4"/>
  <c r="Y155" i="4"/>
  <c r="Z155" i="4" s="1"/>
  <c r="AA155" i="4" s="1"/>
  <c r="V155" i="4"/>
  <c r="W155" i="4" s="1"/>
  <c r="X155" i="4" s="1"/>
  <c r="AD198" i="4"/>
  <c r="AC198" i="4"/>
  <c r="AB198" i="4"/>
  <c r="Y198" i="4"/>
  <c r="Z198" i="4" s="1"/>
  <c r="AA198" i="4" s="1"/>
  <c r="V198" i="4"/>
  <c r="W198" i="4" s="1"/>
  <c r="X198" i="4" s="1"/>
  <c r="AD237" i="4"/>
  <c r="AC237" i="4"/>
  <c r="AB237" i="4"/>
  <c r="Y237" i="4"/>
  <c r="Z237" i="4" s="1"/>
  <c r="AA237" i="4" s="1"/>
  <c r="V237" i="4"/>
  <c r="W237" i="4" s="1"/>
  <c r="X237" i="4" s="1"/>
  <c r="Y117" i="4"/>
  <c r="Z117" i="4" s="1"/>
  <c r="AA117" i="4" s="1"/>
  <c r="AD117" i="4"/>
  <c r="V117" i="4"/>
  <c r="W117" i="4" s="1"/>
  <c r="X117" i="4" s="1"/>
  <c r="AC126" i="4"/>
  <c r="AB126" i="4"/>
  <c r="AE126" i="4" s="1"/>
  <c r="Y126" i="4"/>
  <c r="Z126" i="4" s="1"/>
  <c r="AA126" i="4" s="1"/>
  <c r="AC127" i="4"/>
  <c r="AB127" i="4"/>
  <c r="AE127" i="4" s="1"/>
  <c r="Y130" i="4"/>
  <c r="Z130" i="4" s="1"/>
  <c r="AA130" i="4" s="1"/>
  <c r="AD130" i="4"/>
  <c r="AE130" i="4" s="1"/>
  <c r="V130" i="4"/>
  <c r="W130" i="4" s="1"/>
  <c r="X130" i="4" s="1"/>
  <c r="AC130" i="4"/>
  <c r="AB135" i="4"/>
  <c r="AE135" i="4" s="1"/>
  <c r="Y135" i="4"/>
  <c r="Z135" i="4" s="1"/>
  <c r="AA135" i="4" s="1"/>
  <c r="V135" i="4"/>
  <c r="W135" i="4" s="1"/>
  <c r="X135" i="4" s="1"/>
  <c r="AE153" i="4"/>
  <c r="AD196" i="4"/>
  <c r="V229" i="4"/>
  <c r="W229" i="4" s="1"/>
  <c r="X229" i="4" s="1"/>
  <c r="AD229" i="4"/>
  <c r="AC229" i="4"/>
  <c r="AB229" i="4"/>
  <c r="Y229" i="4"/>
  <c r="Z229" i="4" s="1"/>
  <c r="AA229" i="4" s="1"/>
  <c r="Y232" i="4"/>
  <c r="Z232" i="4" s="1"/>
  <c r="AA232" i="4" s="1"/>
  <c r="AD232" i="4"/>
  <c r="AC232" i="4"/>
  <c r="AB232" i="4"/>
  <c r="V232" i="4"/>
  <c r="W232" i="4" s="1"/>
  <c r="X232" i="4" s="1"/>
  <c r="Y291" i="4"/>
  <c r="Z291" i="4" s="1"/>
  <c r="AA291" i="4" s="1"/>
  <c r="AD291" i="4"/>
  <c r="AC291" i="4"/>
  <c r="AB291" i="4"/>
  <c r="V291" i="4"/>
  <c r="W291" i="4" s="1"/>
  <c r="X291" i="4" s="1"/>
  <c r="Y51" i="4"/>
  <c r="Z51" i="4" s="1"/>
  <c r="AA51" i="4" s="1"/>
  <c r="AD51" i="4"/>
  <c r="V51" i="4"/>
  <c r="W51" i="4" s="1"/>
  <c r="X51" i="4" s="1"/>
  <c r="AC60" i="4"/>
  <c r="AB60" i="4"/>
  <c r="AE60" i="4" s="1"/>
  <c r="Y60" i="4"/>
  <c r="Z60" i="4" s="1"/>
  <c r="AA60" i="4" s="1"/>
  <c r="AD6" i="4"/>
  <c r="AE6" i="4" s="1"/>
  <c r="V6" i="4"/>
  <c r="W6" i="4" s="1"/>
  <c r="X6" i="4" s="1"/>
  <c r="AC7" i="4"/>
  <c r="AB7" i="4"/>
  <c r="AE7" i="4" s="1"/>
  <c r="Y7" i="4"/>
  <c r="Z7" i="4" s="1"/>
  <c r="AA7" i="4" s="1"/>
  <c r="AC8" i="4"/>
  <c r="AB8" i="4"/>
  <c r="AE8" i="4" s="1"/>
  <c r="Y11" i="4"/>
  <c r="Z11" i="4" s="1"/>
  <c r="AA11" i="4" s="1"/>
  <c r="AD11" i="4"/>
  <c r="AE11" i="4" s="1"/>
  <c r="V11" i="4"/>
  <c r="W11" i="4" s="1"/>
  <c r="X11" i="4" s="1"/>
  <c r="AC11" i="4"/>
  <c r="AC14" i="4"/>
  <c r="AE30" i="4"/>
  <c r="AB32" i="4"/>
  <c r="Y59" i="4"/>
  <c r="Z59" i="4" s="1"/>
  <c r="AA59" i="4" s="1"/>
  <c r="AD59" i="4"/>
  <c r="V59" i="4"/>
  <c r="W59" i="4" s="1"/>
  <c r="X59" i="4" s="1"/>
  <c r="AC69" i="4"/>
  <c r="AB69" i="4"/>
  <c r="AE69" i="4" s="1"/>
  <c r="Y69" i="4"/>
  <c r="Z69" i="4" s="1"/>
  <c r="AA69" i="4" s="1"/>
  <c r="AC70" i="4"/>
  <c r="AB70" i="4"/>
  <c r="AE70" i="4" s="1"/>
  <c r="Y73" i="4"/>
  <c r="Z73" i="4" s="1"/>
  <c r="AA73" i="4" s="1"/>
  <c r="AD73" i="4"/>
  <c r="AE73" i="4" s="1"/>
  <c r="V73" i="4"/>
  <c r="W73" i="4" s="1"/>
  <c r="X73" i="4" s="1"/>
  <c r="AC73" i="4"/>
  <c r="AB84" i="4"/>
  <c r="AE84" i="4" s="1"/>
  <c r="AE96" i="4"/>
  <c r="AB98" i="4"/>
  <c r="AE98" i="4" s="1"/>
  <c r="Y125" i="4"/>
  <c r="Z125" i="4" s="1"/>
  <c r="AA125" i="4" s="1"/>
  <c r="AD125" i="4"/>
  <c r="V125" i="4"/>
  <c r="W125" i="4" s="1"/>
  <c r="X125" i="4" s="1"/>
  <c r="AB151" i="4"/>
  <c r="V151" i="4"/>
  <c r="W151" i="4" s="1"/>
  <c r="X151" i="4" s="1"/>
  <c r="AD151" i="4"/>
  <c r="AC151" i="4"/>
  <c r="AB157" i="4"/>
  <c r="AE181" i="4"/>
  <c r="AC187" i="4"/>
  <c r="Y243" i="4"/>
  <c r="Z243" i="4" s="1"/>
  <c r="AA243" i="4" s="1"/>
  <c r="AD243" i="4"/>
  <c r="AC243" i="4"/>
  <c r="AB243" i="4"/>
  <c r="V243" i="4"/>
  <c r="W243" i="4" s="1"/>
  <c r="X243" i="4" s="1"/>
  <c r="Y29" i="4"/>
  <c r="Z29" i="4" s="1"/>
  <c r="AA29" i="4" s="1"/>
  <c r="AC61" i="4"/>
  <c r="AB61" i="4"/>
  <c r="AE61" i="4" s="1"/>
  <c r="Y64" i="4"/>
  <c r="Z64" i="4" s="1"/>
  <c r="AA64" i="4" s="1"/>
  <c r="AD64" i="4"/>
  <c r="AE64" i="4" s="1"/>
  <c r="V64" i="4"/>
  <c r="W64" i="4" s="1"/>
  <c r="X64" i="4" s="1"/>
  <c r="AC64" i="4"/>
  <c r="Y95" i="4"/>
  <c r="Z95" i="4" s="1"/>
  <c r="AA95" i="4" s="1"/>
  <c r="AC15" i="4"/>
  <c r="AB15" i="4"/>
  <c r="AE15" i="4" s="1"/>
  <c r="Y15" i="4"/>
  <c r="Z15" i="4" s="1"/>
  <c r="AA15" i="4" s="1"/>
  <c r="AC16" i="4"/>
  <c r="AB16" i="4"/>
  <c r="AE16" i="4" s="1"/>
  <c r="Y19" i="4"/>
  <c r="Z19" i="4" s="1"/>
  <c r="AA19" i="4" s="1"/>
  <c r="AD19" i="4"/>
  <c r="AE19" i="4" s="1"/>
  <c r="V19" i="4"/>
  <c r="W19" i="4" s="1"/>
  <c r="X19" i="4" s="1"/>
  <c r="AC19" i="4"/>
  <c r="AB27" i="4"/>
  <c r="AE27" i="4" s="1"/>
  <c r="AD28" i="4"/>
  <c r="AE38" i="4"/>
  <c r="AB40" i="4"/>
  <c r="AE40" i="4" s="1"/>
  <c r="Y45" i="4"/>
  <c r="Z45" i="4" s="1"/>
  <c r="AA45" i="4" s="1"/>
  <c r="V60" i="4"/>
  <c r="W60" i="4" s="1"/>
  <c r="X60" i="4" s="1"/>
  <c r="Y68" i="4"/>
  <c r="Z68" i="4" s="1"/>
  <c r="AA68" i="4" s="1"/>
  <c r="AD68" i="4"/>
  <c r="AE68" i="4" s="1"/>
  <c r="V68" i="4"/>
  <c r="W68" i="4" s="1"/>
  <c r="X68" i="4" s="1"/>
  <c r="AC77" i="4"/>
  <c r="AB77" i="4"/>
  <c r="AE77" i="4" s="1"/>
  <c r="Y77" i="4"/>
  <c r="Z77" i="4" s="1"/>
  <c r="AA77" i="4" s="1"/>
  <c r="AC78" i="4"/>
  <c r="AB78" i="4"/>
  <c r="AE78" i="4" s="1"/>
  <c r="Y81" i="4"/>
  <c r="Z81" i="4" s="1"/>
  <c r="AA81" i="4" s="1"/>
  <c r="AD81" i="4"/>
  <c r="AE81" i="4" s="1"/>
  <c r="V81" i="4"/>
  <c r="W81" i="4" s="1"/>
  <c r="X81" i="4" s="1"/>
  <c r="AC81" i="4"/>
  <c r="AC84" i="4"/>
  <c r="AB93" i="4"/>
  <c r="AE93" i="4" s="1"/>
  <c r="AD94" i="4"/>
  <c r="AE104" i="4"/>
  <c r="AB106" i="4"/>
  <c r="AE106" i="4" s="1"/>
  <c r="Y111" i="4"/>
  <c r="Z111" i="4" s="1"/>
  <c r="AA111" i="4" s="1"/>
  <c r="V126" i="4"/>
  <c r="W126" i="4" s="1"/>
  <c r="X126" i="4" s="1"/>
  <c r="AD133" i="4"/>
  <c r="AE133" i="4" s="1"/>
  <c r="Y133" i="4"/>
  <c r="Z133" i="4" s="1"/>
  <c r="AA133" i="4" s="1"/>
  <c r="V133" i="4"/>
  <c r="W133" i="4" s="1"/>
  <c r="X133" i="4" s="1"/>
  <c r="AE144" i="4"/>
  <c r="AE155" i="4"/>
  <c r="AC157" i="4"/>
  <c r="AC176" i="4"/>
  <c r="AD187" i="4"/>
  <c r="AD226" i="4"/>
  <c r="V226" i="4"/>
  <c r="W226" i="4" s="1"/>
  <c r="X226" i="4" s="1"/>
  <c r="AC226" i="4"/>
  <c r="AB226" i="4"/>
  <c r="Y226" i="4"/>
  <c r="Z226" i="4" s="1"/>
  <c r="AA226" i="4" s="1"/>
  <c r="Y245" i="4"/>
  <c r="Z245" i="4" s="1"/>
  <c r="AA245" i="4" s="1"/>
  <c r="AD245" i="4"/>
  <c r="AC245" i="4"/>
  <c r="AB245" i="4"/>
  <c r="V245" i="4"/>
  <c r="W245" i="4" s="1"/>
  <c r="X245" i="4" s="1"/>
  <c r="AC284" i="4"/>
  <c r="Y284" i="4"/>
  <c r="Z284" i="4" s="1"/>
  <c r="AA284" i="4" s="1"/>
  <c r="AD284" i="4"/>
  <c r="AB284" i="4"/>
  <c r="AE284" i="4" s="1"/>
  <c r="V284" i="4"/>
  <c r="W284" i="4" s="1"/>
  <c r="X284" i="4" s="1"/>
  <c r="Y14" i="4"/>
  <c r="Z14" i="4" s="1"/>
  <c r="AA14" i="4" s="1"/>
  <c r="AD14" i="4"/>
  <c r="AE14" i="4" s="1"/>
  <c r="V14" i="4"/>
  <c r="W14" i="4" s="1"/>
  <c r="X14" i="4" s="1"/>
  <c r="Y24" i="4"/>
  <c r="Z24" i="4" s="1"/>
  <c r="AA24" i="4" s="1"/>
  <c r="AD24" i="4"/>
  <c r="AE24" i="4" s="1"/>
  <c r="V24" i="4"/>
  <c r="W24" i="4" s="1"/>
  <c r="X24" i="4" s="1"/>
  <c r="AC24" i="4"/>
  <c r="AE35" i="4"/>
  <c r="V61" i="4"/>
  <c r="W61" i="4" s="1"/>
  <c r="X61" i="4" s="1"/>
  <c r="Y76" i="4"/>
  <c r="Z76" i="4" s="1"/>
  <c r="AA76" i="4" s="1"/>
  <c r="AD76" i="4"/>
  <c r="AE76" i="4" s="1"/>
  <c r="V76" i="4"/>
  <c r="W76" i="4" s="1"/>
  <c r="X76" i="4" s="1"/>
  <c r="AC86" i="4"/>
  <c r="AB86" i="4"/>
  <c r="AE86" i="4" s="1"/>
  <c r="Y86" i="4"/>
  <c r="Z86" i="4" s="1"/>
  <c r="AA86" i="4" s="1"/>
  <c r="AC87" i="4"/>
  <c r="AB87" i="4"/>
  <c r="AE87" i="4" s="1"/>
  <c r="Y90" i="4"/>
  <c r="Z90" i="4" s="1"/>
  <c r="AA90" i="4" s="1"/>
  <c r="AD90" i="4"/>
  <c r="AE90" i="4" s="1"/>
  <c r="V90" i="4"/>
  <c r="W90" i="4" s="1"/>
  <c r="X90" i="4" s="1"/>
  <c r="AC90" i="4"/>
  <c r="AD95" i="4"/>
  <c r="AE101" i="4"/>
  <c r="V127" i="4"/>
  <c r="W127" i="4" s="1"/>
  <c r="X127" i="4" s="1"/>
  <c r="Y142" i="4"/>
  <c r="Z142" i="4" s="1"/>
  <c r="AA142" i="4" s="1"/>
  <c r="V142" i="4"/>
  <c r="W142" i="4" s="1"/>
  <c r="X142" i="4" s="1"/>
  <c r="AD142" i="4"/>
  <c r="AC146" i="4"/>
  <c r="Y146" i="4"/>
  <c r="Z146" i="4" s="1"/>
  <c r="AA146" i="4" s="1"/>
  <c r="Y172" i="4"/>
  <c r="Z172" i="4" s="1"/>
  <c r="AA172" i="4" s="1"/>
  <c r="V172" i="4"/>
  <c r="W172" i="4" s="1"/>
  <c r="X172" i="4" s="1"/>
  <c r="AD172" i="4"/>
  <c r="AE172" i="4" s="1"/>
  <c r="AC172" i="4"/>
  <c r="AD174" i="4"/>
  <c r="AE174" i="4" s="1"/>
  <c r="V174" i="4"/>
  <c r="W174" i="4" s="1"/>
  <c r="X174" i="4" s="1"/>
  <c r="Y174" i="4"/>
  <c r="Z174" i="4" s="1"/>
  <c r="AA174" i="4" s="1"/>
  <c r="AC174" i="4"/>
  <c r="AD186" i="4"/>
  <c r="V186" i="4"/>
  <c r="W186" i="4" s="1"/>
  <c r="X186" i="4" s="1"/>
  <c r="AB186" i="4"/>
  <c r="Y186" i="4"/>
  <c r="Z186" i="4" s="1"/>
  <c r="AA186" i="4" s="1"/>
  <c r="AC223" i="4"/>
  <c r="Y223" i="4"/>
  <c r="Z223" i="4" s="1"/>
  <c r="AA223" i="4" s="1"/>
  <c r="V223" i="4"/>
  <c r="W223" i="4" s="1"/>
  <c r="X223" i="4" s="1"/>
  <c r="AD223" i="4"/>
  <c r="Y235" i="4"/>
  <c r="Z235" i="4" s="1"/>
  <c r="AA235" i="4" s="1"/>
  <c r="AD235" i="4"/>
  <c r="AC235" i="4"/>
  <c r="AB236" i="4"/>
  <c r="Y236" i="4"/>
  <c r="Z236" i="4" s="1"/>
  <c r="AA236" i="4" s="1"/>
  <c r="V236" i="4"/>
  <c r="W236" i="4" s="1"/>
  <c r="X236" i="4" s="1"/>
  <c r="AD236" i="4"/>
  <c r="AB259" i="4"/>
  <c r="V259" i="4"/>
  <c r="W259" i="4" s="1"/>
  <c r="X259" i="4" s="1"/>
  <c r="AB138" i="4"/>
  <c r="AE138" i="4" s="1"/>
  <c r="Y139" i="4"/>
  <c r="Z139" i="4" s="1"/>
  <c r="AA139" i="4" s="1"/>
  <c r="Y143" i="4"/>
  <c r="Z143" i="4" s="1"/>
  <c r="AA143" i="4" s="1"/>
  <c r="AD149" i="4"/>
  <c r="V149" i="4"/>
  <c r="W149" i="4" s="1"/>
  <c r="X149" i="4" s="1"/>
  <c r="AB149" i="4"/>
  <c r="Y152" i="4"/>
  <c r="Z152" i="4" s="1"/>
  <c r="AA152" i="4" s="1"/>
  <c r="AB158" i="4"/>
  <c r="AE158" i="4" s="1"/>
  <c r="V166" i="4"/>
  <c r="W166" i="4" s="1"/>
  <c r="X166" i="4" s="1"/>
  <c r="V168" i="4"/>
  <c r="W168" i="4" s="1"/>
  <c r="X168" i="4" s="1"/>
  <c r="V178" i="4"/>
  <c r="W178" i="4" s="1"/>
  <c r="X178" i="4" s="1"/>
  <c r="AD194" i="4"/>
  <c r="V194" i="4"/>
  <c r="W194" i="4" s="1"/>
  <c r="X194" i="4" s="1"/>
  <c r="Y194" i="4"/>
  <c r="Z194" i="4" s="1"/>
  <c r="AA194" i="4" s="1"/>
  <c r="V224" i="4"/>
  <c r="W224" i="4" s="1"/>
  <c r="X224" i="4" s="1"/>
  <c r="AE247" i="4"/>
  <c r="AC285" i="4"/>
  <c r="V285" i="4"/>
  <c r="W285" i="4" s="1"/>
  <c r="X285" i="4" s="1"/>
  <c r="AB285" i="4"/>
  <c r="AE285" i="4" s="1"/>
  <c r="AD285" i="4"/>
  <c r="Y285" i="4"/>
  <c r="Z285" i="4" s="1"/>
  <c r="AA285" i="4" s="1"/>
  <c r="Y12" i="4"/>
  <c r="Z12" i="4" s="1"/>
  <c r="AA12" i="4" s="1"/>
  <c r="Y20" i="4"/>
  <c r="Z20" i="4" s="1"/>
  <c r="AA20" i="4" s="1"/>
  <c r="Y25" i="4"/>
  <c r="Z25" i="4" s="1"/>
  <c r="AA25" i="4" s="1"/>
  <c r="Y33" i="4"/>
  <c r="Z33" i="4" s="1"/>
  <c r="AA33" i="4" s="1"/>
  <c r="Y41" i="4"/>
  <c r="Z41" i="4" s="1"/>
  <c r="AA41" i="4" s="1"/>
  <c r="Y49" i="4"/>
  <c r="Z49" i="4" s="1"/>
  <c r="AA49" i="4" s="1"/>
  <c r="Y57" i="4"/>
  <c r="Z57" i="4" s="1"/>
  <c r="AA57" i="4" s="1"/>
  <c r="Y65" i="4"/>
  <c r="Z65" i="4" s="1"/>
  <c r="AA65" i="4" s="1"/>
  <c r="Y74" i="4"/>
  <c r="Z74" i="4" s="1"/>
  <c r="AA74" i="4" s="1"/>
  <c r="Y82" i="4"/>
  <c r="Z82" i="4" s="1"/>
  <c r="AA82" i="4" s="1"/>
  <c r="Y91" i="4"/>
  <c r="Z91" i="4" s="1"/>
  <c r="AA91" i="4" s="1"/>
  <c r="Y99" i="4"/>
  <c r="Z99" i="4" s="1"/>
  <c r="AA99" i="4" s="1"/>
  <c r="Y107" i="4"/>
  <c r="Z107" i="4" s="1"/>
  <c r="AA107" i="4" s="1"/>
  <c r="Y115" i="4"/>
  <c r="Z115" i="4" s="1"/>
  <c r="AA115" i="4" s="1"/>
  <c r="Y123" i="4"/>
  <c r="Z123" i="4" s="1"/>
  <c r="AA123" i="4" s="1"/>
  <c r="Y131" i="4"/>
  <c r="Z131" i="4" s="1"/>
  <c r="AA131" i="4" s="1"/>
  <c r="AB134" i="4"/>
  <c r="AE134" i="4" s="1"/>
  <c r="AB136" i="4"/>
  <c r="AE136" i="4" s="1"/>
  <c r="AB145" i="4"/>
  <c r="AE145" i="4" s="1"/>
  <c r="Y161" i="4"/>
  <c r="Z161" i="4" s="1"/>
  <c r="AA161" i="4" s="1"/>
  <c r="AB179" i="4"/>
  <c r="AE179" i="4" s="1"/>
  <c r="AC182" i="4"/>
  <c r="Y182" i="4"/>
  <c r="Z182" i="4" s="1"/>
  <c r="AA182" i="4" s="1"/>
  <c r="AD182" i="4"/>
  <c r="AE182" i="4" s="1"/>
  <c r="AB183" i="4"/>
  <c r="AE183" i="4" s="1"/>
  <c r="AB184" i="4"/>
  <c r="AE184" i="4" s="1"/>
  <c r="AB189" i="4"/>
  <c r="AE189" i="4" s="1"/>
  <c r="AB212" i="4"/>
  <c r="AD212" i="4"/>
  <c r="AC212" i="4"/>
  <c r="AC215" i="4"/>
  <c r="AD215" i="4"/>
  <c r="AE215" i="4" s="1"/>
  <c r="AB227" i="4"/>
  <c r="AE227" i="4" s="1"/>
  <c r="AD234" i="4"/>
  <c r="AE234" i="4" s="1"/>
  <c r="V234" i="4"/>
  <c r="W234" i="4" s="1"/>
  <c r="X234" i="4" s="1"/>
  <c r="Y234" i="4"/>
  <c r="Z234" i="4" s="1"/>
  <c r="AA234" i="4" s="1"/>
  <c r="AC234" i="4"/>
  <c r="AB238" i="4"/>
  <c r="AE238" i="4" s="1"/>
  <c r="AE250" i="4"/>
  <c r="AB154" i="4"/>
  <c r="AB163" i="4"/>
  <c r="AE163" i="4" s="1"/>
  <c r="AD165" i="4"/>
  <c r="V165" i="4"/>
  <c r="W165" i="4" s="1"/>
  <c r="X165" i="4" s="1"/>
  <c r="AB165" i="4"/>
  <c r="AE165" i="4" s="1"/>
  <c r="Y168" i="4"/>
  <c r="Z168" i="4" s="1"/>
  <c r="AA168" i="4" s="1"/>
  <c r="AB175" i="4"/>
  <c r="AB177" i="4"/>
  <c r="AE177" i="4" s="1"/>
  <c r="AC184" i="4"/>
  <c r="AC189" i="4"/>
  <c r="AB192" i="4"/>
  <c r="V214" i="4"/>
  <c r="W214" i="4" s="1"/>
  <c r="X214" i="4" s="1"/>
  <c r="AD214" i="4"/>
  <c r="AE214" i="4" s="1"/>
  <c r="Y224" i="4"/>
  <c r="Z224" i="4" s="1"/>
  <c r="AA224" i="4" s="1"/>
  <c r="AC227" i="4"/>
  <c r="V235" i="4"/>
  <c r="W235" i="4" s="1"/>
  <c r="X235" i="4" s="1"/>
  <c r="AC238" i="4"/>
  <c r="Y259" i="4"/>
  <c r="Z259" i="4" s="1"/>
  <c r="AA259" i="4" s="1"/>
  <c r="AB139" i="4"/>
  <c r="AE139" i="4" s="1"/>
  <c r="AD141" i="4"/>
  <c r="V141" i="4"/>
  <c r="W141" i="4" s="1"/>
  <c r="X141" i="4" s="1"/>
  <c r="AB141" i="4"/>
  <c r="AE141" i="4" s="1"/>
  <c r="AC143" i="4"/>
  <c r="AB150" i="4"/>
  <c r="AE150" i="4" s="1"/>
  <c r="AB152" i="4"/>
  <c r="AE152" i="4" s="1"/>
  <c r="AD154" i="4"/>
  <c r="AB161" i="4"/>
  <c r="AE161" i="4" s="1"/>
  <c r="Y178" i="4"/>
  <c r="Z178" i="4" s="1"/>
  <c r="AA178" i="4" s="1"/>
  <c r="AC183" i="4"/>
  <c r="Y183" i="4"/>
  <c r="Z183" i="4" s="1"/>
  <c r="AA183" i="4" s="1"/>
  <c r="V183" i="4"/>
  <c r="W183" i="4" s="1"/>
  <c r="X183" i="4" s="1"/>
  <c r="AB204" i="4"/>
  <c r="AE204" i="4" s="1"/>
  <c r="AC204" i="4"/>
  <c r="Y204" i="4"/>
  <c r="Z204" i="4" s="1"/>
  <c r="AA204" i="4" s="1"/>
  <c r="AD218" i="4"/>
  <c r="AE218" i="4" s="1"/>
  <c r="V218" i="4"/>
  <c r="W218" i="4" s="1"/>
  <c r="X218" i="4" s="1"/>
  <c r="V2" i="4"/>
  <c r="W2" i="4" s="1"/>
  <c r="X2" i="4" s="1"/>
  <c r="V10" i="4"/>
  <c r="W10" i="4" s="1"/>
  <c r="X10" i="4" s="1"/>
  <c r="V18" i="4"/>
  <c r="W18" i="4" s="1"/>
  <c r="X18" i="4" s="1"/>
  <c r="V23" i="4"/>
  <c r="W23" i="4" s="1"/>
  <c r="X23" i="4" s="1"/>
  <c r="V31" i="4"/>
  <c r="W31" i="4" s="1"/>
  <c r="X31" i="4" s="1"/>
  <c r="V39" i="4"/>
  <c r="W39" i="4" s="1"/>
  <c r="X39" i="4" s="1"/>
  <c r="V47" i="4"/>
  <c r="W47" i="4" s="1"/>
  <c r="X47" i="4" s="1"/>
  <c r="V55" i="4"/>
  <c r="W55" i="4" s="1"/>
  <c r="X55" i="4" s="1"/>
  <c r="V63" i="4"/>
  <c r="W63" i="4" s="1"/>
  <c r="X63" i="4" s="1"/>
  <c r="V72" i="4"/>
  <c r="W72" i="4" s="1"/>
  <c r="X72" i="4" s="1"/>
  <c r="V80" i="4"/>
  <c r="W80" i="4" s="1"/>
  <c r="X80" i="4" s="1"/>
  <c r="V89" i="4"/>
  <c r="W89" i="4" s="1"/>
  <c r="X89" i="4" s="1"/>
  <c r="V97" i="4"/>
  <c r="W97" i="4" s="1"/>
  <c r="X97" i="4" s="1"/>
  <c r="V105" i="4"/>
  <c r="W105" i="4" s="1"/>
  <c r="X105" i="4" s="1"/>
  <c r="V113" i="4"/>
  <c r="W113" i="4" s="1"/>
  <c r="X113" i="4" s="1"/>
  <c r="V121" i="4"/>
  <c r="W121" i="4" s="1"/>
  <c r="X121" i="4" s="1"/>
  <c r="V129" i="4"/>
  <c r="W129" i="4" s="1"/>
  <c r="X129" i="4" s="1"/>
  <c r="V134" i="4"/>
  <c r="W134" i="4" s="1"/>
  <c r="X134" i="4" s="1"/>
  <c r="AC141" i="4"/>
  <c r="AD143" i="4"/>
  <c r="AE143" i="4" s="1"/>
  <c r="AC150" i="4"/>
  <c r="V154" i="4"/>
  <c r="W154" i="4" s="1"/>
  <c r="X154" i="4" s="1"/>
  <c r="V167" i="4"/>
  <c r="W167" i="4" s="1"/>
  <c r="X167" i="4" s="1"/>
  <c r="AB171" i="4"/>
  <c r="AE171" i="4" s="1"/>
  <c r="AD175" i="4"/>
  <c r="AC180" i="4"/>
  <c r="V182" i="4"/>
  <c r="W182" i="4" s="1"/>
  <c r="X182" i="4" s="1"/>
  <c r="AE185" i="4"/>
  <c r="AD190" i="4"/>
  <c r="AE190" i="4" s="1"/>
  <c r="AC190" i="4"/>
  <c r="Y203" i="4"/>
  <c r="Z203" i="4" s="1"/>
  <c r="AA203" i="4" s="1"/>
  <c r="V203" i="4"/>
  <c r="W203" i="4" s="1"/>
  <c r="X203" i="4" s="1"/>
  <c r="AD203" i="4"/>
  <c r="AE203" i="4" s="1"/>
  <c r="Y205" i="4"/>
  <c r="Z205" i="4" s="1"/>
  <c r="AA205" i="4" s="1"/>
  <c r="V205" i="4"/>
  <c r="W205" i="4" s="1"/>
  <c r="X205" i="4" s="1"/>
  <c r="AD205" i="4"/>
  <c r="AE205" i="4" s="1"/>
  <c r="AE208" i="4"/>
  <c r="V212" i="4"/>
  <c r="W212" i="4" s="1"/>
  <c r="X212" i="4" s="1"/>
  <c r="Y216" i="4"/>
  <c r="Z216" i="4" s="1"/>
  <c r="AA216" i="4" s="1"/>
  <c r="AE221" i="4"/>
  <c r="AB223" i="4"/>
  <c r="AD246" i="4"/>
  <c r="AE246" i="4" s="1"/>
  <c r="AC246" i="4"/>
  <c r="Y246" i="4"/>
  <c r="Z246" i="4" s="1"/>
  <c r="AA246" i="4" s="1"/>
  <c r="AC247" i="4"/>
  <c r="Y247" i="4"/>
  <c r="Z247" i="4" s="1"/>
  <c r="AA247" i="4" s="1"/>
  <c r="V247" i="4"/>
  <c r="W247" i="4" s="1"/>
  <c r="X247" i="4" s="1"/>
  <c r="AD259" i="4"/>
  <c r="Y305" i="4"/>
  <c r="Z305" i="4" s="1"/>
  <c r="AA305" i="4" s="1"/>
  <c r="AB305" i="4"/>
  <c r="AE305" i="4" s="1"/>
  <c r="V305" i="4"/>
  <c r="W305" i="4" s="1"/>
  <c r="X305" i="4" s="1"/>
  <c r="AD305" i="4"/>
  <c r="AC305" i="4"/>
  <c r="AC313" i="4"/>
  <c r="Y313" i="4"/>
  <c r="Z313" i="4" s="1"/>
  <c r="AA313" i="4" s="1"/>
  <c r="V313" i="4"/>
  <c r="W313" i="4" s="1"/>
  <c r="X313" i="4" s="1"/>
  <c r="AD313" i="4"/>
  <c r="AB313" i="4"/>
  <c r="AB166" i="4"/>
  <c r="AE166" i="4" s="1"/>
  <c r="Y192" i="4"/>
  <c r="Z192" i="4" s="1"/>
  <c r="AA192" i="4" s="1"/>
  <c r="V192" i="4"/>
  <c r="W192" i="4" s="1"/>
  <c r="X192" i="4" s="1"/>
  <c r="AD192" i="4"/>
  <c r="AE194" i="4"/>
  <c r="AD224" i="4"/>
  <c r="AE224" i="4" s="1"/>
  <c r="AC224" i="4"/>
  <c r="Y227" i="4"/>
  <c r="Z227" i="4" s="1"/>
  <c r="AA227" i="4" s="1"/>
  <c r="V227" i="4"/>
  <c r="W227" i="4" s="1"/>
  <c r="X227" i="4" s="1"/>
  <c r="AE230" i="4"/>
  <c r="AB235" i="4"/>
  <c r="AE235" i="4" s="1"/>
  <c r="AC236" i="4"/>
  <c r="Y238" i="4"/>
  <c r="Z238" i="4" s="1"/>
  <c r="AA238" i="4" s="1"/>
  <c r="V238" i="4"/>
  <c r="W238" i="4" s="1"/>
  <c r="X238" i="4" s="1"/>
  <c r="AB281" i="4"/>
  <c r="AE281" i="4" s="1"/>
  <c r="AC281" i="4"/>
  <c r="Y281" i="4"/>
  <c r="Z281" i="4" s="1"/>
  <c r="AA281" i="4" s="1"/>
  <c r="V281" i="4"/>
  <c r="W281" i="4" s="1"/>
  <c r="X281" i="4" s="1"/>
  <c r="Y191" i="4"/>
  <c r="Z191" i="4" s="1"/>
  <c r="AA191" i="4" s="1"/>
  <c r="AB199" i="4"/>
  <c r="AE199" i="4" s="1"/>
  <c r="Y200" i="4"/>
  <c r="Z200" i="4" s="1"/>
  <c r="AA200" i="4" s="1"/>
  <c r="AD210" i="4"/>
  <c r="V210" i="4"/>
  <c r="W210" i="4" s="1"/>
  <c r="X210" i="4" s="1"/>
  <c r="AB210" i="4"/>
  <c r="Y213" i="4"/>
  <c r="Z213" i="4" s="1"/>
  <c r="AA213" i="4" s="1"/>
  <c r="AB219" i="4"/>
  <c r="AE219" i="4" s="1"/>
  <c r="AE251" i="4"/>
  <c r="Y255" i="4"/>
  <c r="Z255" i="4" s="1"/>
  <c r="AA255" i="4" s="1"/>
  <c r="AC257" i="4"/>
  <c r="AB261" i="4"/>
  <c r="Y274" i="4"/>
  <c r="Z274" i="4" s="1"/>
  <c r="AA274" i="4" s="1"/>
  <c r="AB283" i="4"/>
  <c r="AE283" i="4" s="1"/>
  <c r="V283" i="4"/>
  <c r="W283" i="4" s="1"/>
  <c r="X283" i="4" s="1"/>
  <c r="AD296" i="4"/>
  <c r="V296" i="4"/>
  <c r="W296" i="4" s="1"/>
  <c r="X296" i="4" s="1"/>
  <c r="Y296" i="4"/>
  <c r="Z296" i="4" s="1"/>
  <c r="AA296" i="4" s="1"/>
  <c r="AB296" i="4"/>
  <c r="AB195" i="4"/>
  <c r="AB197" i="4"/>
  <c r="AE197" i="4" s="1"/>
  <c r="Y222" i="4"/>
  <c r="Z222" i="4" s="1"/>
  <c r="AA222" i="4" s="1"/>
  <c r="Y231" i="4"/>
  <c r="Z231" i="4" s="1"/>
  <c r="AA231" i="4" s="1"/>
  <c r="AB239" i="4"/>
  <c r="AE239" i="4" s="1"/>
  <c r="Y240" i="4"/>
  <c r="Z240" i="4" s="1"/>
  <c r="AA240" i="4" s="1"/>
  <c r="Y244" i="4"/>
  <c r="Z244" i="4" s="1"/>
  <c r="AA244" i="4" s="1"/>
  <c r="AC251" i="4"/>
  <c r="AB263" i="4"/>
  <c r="AE263" i="4" s="1"/>
  <c r="Y263" i="4"/>
  <c r="Z263" i="4" s="1"/>
  <c r="AA263" i="4" s="1"/>
  <c r="V263" i="4"/>
  <c r="W263" i="4" s="1"/>
  <c r="X263" i="4" s="1"/>
  <c r="V264" i="4"/>
  <c r="W264" i="4" s="1"/>
  <c r="X264" i="4" s="1"/>
  <c r="AD264" i="4"/>
  <c r="AE264" i="4" s="1"/>
  <c r="AD275" i="4"/>
  <c r="AE275" i="4" s="1"/>
  <c r="Y391" i="4"/>
  <c r="Z391" i="4" s="1"/>
  <c r="AA391" i="4" s="1"/>
  <c r="AB391" i="4"/>
  <c r="V391" i="4"/>
  <c r="W391" i="4" s="1"/>
  <c r="X391" i="4" s="1"/>
  <c r="AD391" i="4"/>
  <c r="AC391" i="4"/>
  <c r="Y262" i="4"/>
  <c r="Z262" i="4" s="1"/>
  <c r="AA262" i="4" s="1"/>
  <c r="V262" i="4"/>
  <c r="W262" i="4" s="1"/>
  <c r="X262" i="4" s="1"/>
  <c r="AD262" i="4"/>
  <c r="AE262" i="4" s="1"/>
  <c r="AB273" i="4"/>
  <c r="AB191" i="4"/>
  <c r="AE191" i="4" s="1"/>
  <c r="AD195" i="4"/>
  <c r="AD202" i="4"/>
  <c r="V202" i="4"/>
  <c r="W202" i="4" s="1"/>
  <c r="X202" i="4" s="1"/>
  <c r="AB202" i="4"/>
  <c r="AB211" i="4"/>
  <c r="AE211" i="4" s="1"/>
  <c r="AC255" i="4"/>
  <c r="AC258" i="4"/>
  <c r="AD258" i="4"/>
  <c r="AB258" i="4"/>
  <c r="AD261" i="4"/>
  <c r="V261" i="4"/>
  <c r="W261" i="4" s="1"/>
  <c r="X261" i="4" s="1"/>
  <c r="Y261" i="4"/>
  <c r="Z261" i="4" s="1"/>
  <c r="AA261" i="4" s="1"/>
  <c r="Y289" i="4"/>
  <c r="Z289" i="4" s="1"/>
  <c r="AA289" i="4" s="1"/>
  <c r="AB289" i="4"/>
  <c r="V289" i="4"/>
  <c r="W289" i="4" s="1"/>
  <c r="X289" i="4" s="1"/>
  <c r="AD289" i="4"/>
  <c r="V312" i="4"/>
  <c r="W312" i="4" s="1"/>
  <c r="X312" i="4" s="1"/>
  <c r="AC312" i="4"/>
  <c r="Y312" i="4"/>
  <c r="Z312" i="4" s="1"/>
  <c r="AA312" i="4" s="1"/>
  <c r="AD312" i="4"/>
  <c r="AB312" i="4"/>
  <c r="AB326" i="4"/>
  <c r="V326" i="4"/>
  <c r="W326" i="4" s="1"/>
  <c r="X326" i="4" s="1"/>
  <c r="AD326" i="4"/>
  <c r="AC326" i="4"/>
  <c r="Y326" i="4"/>
  <c r="Z326" i="4" s="1"/>
  <c r="AA326" i="4" s="1"/>
  <c r="AB231" i="4"/>
  <c r="AE231" i="4" s="1"/>
  <c r="AD242" i="4"/>
  <c r="V242" i="4"/>
  <c r="W242" i="4" s="1"/>
  <c r="X242" i="4" s="1"/>
  <c r="AB242" i="4"/>
  <c r="Y271" i="4"/>
  <c r="Z271" i="4" s="1"/>
  <c r="AA271" i="4" s="1"/>
  <c r="AD271" i="4"/>
  <c r="AE271" i="4" s="1"/>
  <c r="AB272" i="4"/>
  <c r="AD272" i="4"/>
  <c r="AC272" i="4"/>
  <c r="Y272" i="4"/>
  <c r="Z272" i="4" s="1"/>
  <c r="AA272" i="4" s="1"/>
  <c r="V274" i="4"/>
  <c r="W274" i="4" s="1"/>
  <c r="X274" i="4" s="1"/>
  <c r="AD274" i="4"/>
  <c r="AE274" i="4" s="1"/>
  <c r="Y283" i="4"/>
  <c r="Z283" i="4" s="1"/>
  <c r="AA283" i="4" s="1"/>
  <c r="AC296" i="4"/>
  <c r="AB298" i="4"/>
  <c r="Y298" i="4"/>
  <c r="Z298" i="4" s="1"/>
  <c r="AA298" i="4" s="1"/>
  <c r="AD298" i="4"/>
  <c r="Y317" i="4"/>
  <c r="Z317" i="4" s="1"/>
  <c r="AA317" i="4" s="1"/>
  <c r="AC317" i="4"/>
  <c r="AB317" i="4"/>
  <c r="AE317" i="4" s="1"/>
  <c r="V317" i="4"/>
  <c r="W317" i="4" s="1"/>
  <c r="X317" i="4" s="1"/>
  <c r="Y273" i="4"/>
  <c r="Z273" i="4" s="1"/>
  <c r="AA273" i="4" s="1"/>
  <c r="AD273" i="4"/>
  <c r="AB266" i="4"/>
  <c r="AE266" i="4" s="1"/>
  <c r="Y267" i="4"/>
  <c r="Z267" i="4" s="1"/>
  <c r="AA267" i="4" s="1"/>
  <c r="AD279" i="4"/>
  <c r="V279" i="4"/>
  <c r="W279" i="4" s="1"/>
  <c r="X279" i="4" s="1"/>
  <c r="AB279" i="4"/>
  <c r="AD288" i="4"/>
  <c r="AE288" i="4" s="1"/>
  <c r="V288" i="4"/>
  <c r="W288" i="4" s="1"/>
  <c r="X288" i="4" s="1"/>
  <c r="Y288" i="4"/>
  <c r="Z288" i="4" s="1"/>
  <c r="AA288" i="4" s="1"/>
  <c r="AC288" i="4"/>
  <c r="V290" i="4"/>
  <c r="W290" i="4" s="1"/>
  <c r="X290" i="4" s="1"/>
  <c r="AB292" i="4"/>
  <c r="AB299" i="4"/>
  <c r="AE299" i="4" s="1"/>
  <c r="Y300" i="4"/>
  <c r="Z300" i="4" s="1"/>
  <c r="AA300" i="4" s="1"/>
  <c r="Y307" i="4"/>
  <c r="Z307" i="4" s="1"/>
  <c r="AA307" i="4" s="1"/>
  <c r="Y314" i="4"/>
  <c r="Z314" i="4" s="1"/>
  <c r="AA314" i="4" s="1"/>
  <c r="AD316" i="4"/>
  <c r="AE316" i="4" s="1"/>
  <c r="V316" i="4"/>
  <c r="W316" i="4" s="1"/>
  <c r="X316" i="4" s="1"/>
  <c r="AB354" i="4"/>
  <c r="V354" i="4"/>
  <c r="W354" i="4" s="1"/>
  <c r="X354" i="4" s="1"/>
  <c r="AD354" i="4"/>
  <c r="AD292" i="4"/>
  <c r="AC299" i="4"/>
  <c r="AE306" i="4"/>
  <c r="AC306" i="4"/>
  <c r="Y325" i="4"/>
  <c r="Z325" i="4" s="1"/>
  <c r="AA325" i="4" s="1"/>
  <c r="V325" i="4"/>
  <c r="W325" i="4" s="1"/>
  <c r="X325" i="4" s="1"/>
  <c r="AC325" i="4"/>
  <c r="AE330" i="4"/>
  <c r="Y367" i="4"/>
  <c r="Z367" i="4" s="1"/>
  <c r="AA367" i="4" s="1"/>
  <c r="AB367" i="4"/>
  <c r="V367" i="4"/>
  <c r="W367" i="4" s="1"/>
  <c r="X367" i="4" s="1"/>
  <c r="AD367" i="4"/>
  <c r="Y417" i="4"/>
  <c r="Z417" i="4" s="1"/>
  <c r="AA417" i="4" s="1"/>
  <c r="AD417" i="4"/>
  <c r="AC417" i="4"/>
  <c r="AB417" i="4"/>
  <c r="V417" i="4"/>
  <c r="W417" i="4" s="1"/>
  <c r="X417" i="4" s="1"/>
  <c r="Y435" i="4"/>
  <c r="Z435" i="4" s="1"/>
  <c r="AA435" i="4" s="1"/>
  <c r="V435" i="4"/>
  <c r="W435" i="4" s="1"/>
  <c r="X435" i="4" s="1"/>
  <c r="AD435" i="4"/>
  <c r="AC435" i="4"/>
  <c r="AB435" i="4"/>
  <c r="AB334" i="4"/>
  <c r="AD334" i="4"/>
  <c r="Y334" i="4"/>
  <c r="Z334" i="4" s="1"/>
  <c r="AA334" i="4" s="1"/>
  <c r="AC345" i="4"/>
  <c r="V345" i="4"/>
  <c r="W345" i="4" s="1"/>
  <c r="X345" i="4" s="1"/>
  <c r="AB345" i="4"/>
  <c r="AD345" i="4"/>
  <c r="Y345" i="4"/>
  <c r="Z345" i="4" s="1"/>
  <c r="AA345" i="4" s="1"/>
  <c r="AE378" i="4"/>
  <c r="AB267" i="4"/>
  <c r="AE267" i="4" s="1"/>
  <c r="AD269" i="4"/>
  <c r="V269" i="4"/>
  <c r="W269" i="4" s="1"/>
  <c r="X269" i="4" s="1"/>
  <c r="AB269" i="4"/>
  <c r="AB280" i="4"/>
  <c r="AE280" i="4" s="1"/>
  <c r="AC282" i="4"/>
  <c r="V292" i="4"/>
  <c r="W292" i="4" s="1"/>
  <c r="X292" i="4" s="1"/>
  <c r="AD293" i="4"/>
  <c r="AE293" i="4" s="1"/>
  <c r="AD300" i="4"/>
  <c r="AE300" i="4" s="1"/>
  <c r="AC307" i="4"/>
  <c r="AC314" i="4"/>
  <c r="V322" i="4"/>
  <c r="W322" i="4" s="1"/>
  <c r="X322" i="4" s="1"/>
  <c r="AB342" i="4"/>
  <c r="AC342" i="4"/>
  <c r="AD342" i="4"/>
  <c r="V342" i="4"/>
  <c r="W342" i="4" s="1"/>
  <c r="X342" i="4" s="1"/>
  <c r="Y354" i="4"/>
  <c r="Z354" i="4" s="1"/>
  <c r="AA354" i="4" s="1"/>
  <c r="AC361" i="4"/>
  <c r="Y361" i="4"/>
  <c r="Z361" i="4" s="1"/>
  <c r="AA361" i="4" s="1"/>
  <c r="V361" i="4"/>
  <c r="W361" i="4" s="1"/>
  <c r="X361" i="4" s="1"/>
  <c r="AD361" i="4"/>
  <c r="AC367" i="4"/>
  <c r="AB254" i="4"/>
  <c r="AE254" i="4" s="1"/>
  <c r="AC269" i="4"/>
  <c r="AC280" i="4"/>
  <c r="AD282" i="4"/>
  <c r="AE282" i="4" s="1"/>
  <c r="Y297" i="4"/>
  <c r="Z297" i="4" s="1"/>
  <c r="AA297" i="4" s="1"/>
  <c r="AB297" i="4"/>
  <c r="AE297" i="4" s="1"/>
  <c r="AC297" i="4"/>
  <c r="AB301" i="4"/>
  <c r="AD304" i="4"/>
  <c r="AE304" i="4" s="1"/>
  <c r="V304" i="4"/>
  <c r="W304" i="4" s="1"/>
  <c r="X304" i="4" s="1"/>
  <c r="Y304" i="4"/>
  <c r="Z304" i="4" s="1"/>
  <c r="AA304" i="4" s="1"/>
  <c r="AC304" i="4"/>
  <c r="V306" i="4"/>
  <c r="W306" i="4" s="1"/>
  <c r="X306" i="4" s="1"/>
  <c r="AB308" i="4"/>
  <c r="Y322" i="4"/>
  <c r="Z322" i="4" s="1"/>
  <c r="AA322" i="4" s="1"/>
  <c r="AE328" i="4"/>
  <c r="AC330" i="4"/>
  <c r="Y330" i="4"/>
  <c r="Z330" i="4" s="1"/>
  <c r="AA330" i="4" s="1"/>
  <c r="AD332" i="4"/>
  <c r="V332" i="4"/>
  <c r="W332" i="4" s="1"/>
  <c r="X332" i="4" s="1"/>
  <c r="AC332" i="4"/>
  <c r="Y332" i="4"/>
  <c r="Z332" i="4" s="1"/>
  <c r="AA332" i="4" s="1"/>
  <c r="AB332" i="4"/>
  <c r="AE338" i="4"/>
  <c r="AC354" i="4"/>
  <c r="AC377" i="4"/>
  <c r="AB377" i="4"/>
  <c r="Y377" i="4"/>
  <c r="Z377" i="4" s="1"/>
  <c r="AA377" i="4" s="1"/>
  <c r="AD377" i="4"/>
  <c r="V377" i="4"/>
  <c r="W377" i="4" s="1"/>
  <c r="X377" i="4" s="1"/>
  <c r="AE290" i="4"/>
  <c r="AC290" i="4"/>
  <c r="V300" i="4"/>
  <c r="W300" i="4" s="1"/>
  <c r="X300" i="4" s="1"/>
  <c r="AD301" i="4"/>
  <c r="AD308" i="4"/>
  <c r="AE315" i="4"/>
  <c r="AB325" i="4"/>
  <c r="AE325" i="4" s="1"/>
  <c r="V334" i="4"/>
  <c r="W334" i="4" s="1"/>
  <c r="X334" i="4" s="1"/>
  <c r="AB344" i="4"/>
  <c r="AE344" i="4" s="1"/>
  <c r="Y344" i="4"/>
  <c r="Z344" i="4" s="1"/>
  <c r="AA344" i="4" s="1"/>
  <c r="AC344" i="4"/>
  <c r="AB361" i="4"/>
  <c r="V287" i="4"/>
  <c r="W287" i="4" s="1"/>
  <c r="X287" i="4" s="1"/>
  <c r="V295" i="4"/>
  <c r="W295" i="4" s="1"/>
  <c r="X295" i="4" s="1"/>
  <c r="V303" i="4"/>
  <c r="W303" i="4" s="1"/>
  <c r="X303" i="4" s="1"/>
  <c r="V311" i="4"/>
  <c r="W311" i="4" s="1"/>
  <c r="X311" i="4" s="1"/>
  <c r="V320" i="4"/>
  <c r="W320" i="4" s="1"/>
  <c r="X320" i="4" s="1"/>
  <c r="AC321" i="4"/>
  <c r="Y321" i="4"/>
  <c r="Z321" i="4" s="1"/>
  <c r="AA321" i="4" s="1"/>
  <c r="AD321" i="4"/>
  <c r="AE321" i="4" s="1"/>
  <c r="AD324" i="4"/>
  <c r="AE324" i="4" s="1"/>
  <c r="V324" i="4"/>
  <c r="W324" i="4" s="1"/>
  <c r="X324" i="4" s="1"/>
  <c r="AC324" i="4"/>
  <c r="AD336" i="4"/>
  <c r="AE336" i="4" s="1"/>
  <c r="AD337" i="4"/>
  <c r="AE337" i="4" s="1"/>
  <c r="AD364" i="4"/>
  <c r="AE364" i="4" s="1"/>
  <c r="V364" i="4"/>
  <c r="W364" i="4" s="1"/>
  <c r="X364" i="4" s="1"/>
  <c r="AB376" i="4"/>
  <c r="AD376" i="4"/>
  <c r="Y376" i="4"/>
  <c r="Z376" i="4" s="1"/>
  <c r="AA376" i="4" s="1"/>
  <c r="AC378" i="4"/>
  <c r="AB418" i="4"/>
  <c r="AD418" i="4"/>
  <c r="V418" i="4"/>
  <c r="W418" i="4" s="1"/>
  <c r="X418" i="4" s="1"/>
  <c r="AC418" i="4"/>
  <c r="Y418" i="4"/>
  <c r="Z418" i="4" s="1"/>
  <c r="AA418" i="4" s="1"/>
  <c r="AD424" i="4"/>
  <c r="V424" i="4"/>
  <c r="W424" i="4" s="1"/>
  <c r="X424" i="4" s="1"/>
  <c r="AC424" i="4"/>
  <c r="AB424" i="4"/>
  <c r="Y424" i="4"/>
  <c r="Z424" i="4" s="1"/>
  <c r="AA424" i="4" s="1"/>
  <c r="AB426" i="4"/>
  <c r="Y426" i="4"/>
  <c r="Z426" i="4" s="1"/>
  <c r="AA426" i="4" s="1"/>
  <c r="AD426" i="4"/>
  <c r="AC426" i="4"/>
  <c r="V426" i="4"/>
  <c r="W426" i="4" s="1"/>
  <c r="X426" i="4" s="1"/>
  <c r="Y359" i="4"/>
  <c r="Z359" i="4" s="1"/>
  <c r="AA359" i="4" s="1"/>
  <c r="AD359" i="4"/>
  <c r="AB359" i="4"/>
  <c r="AD374" i="4"/>
  <c r="V374" i="4"/>
  <c r="W374" i="4" s="1"/>
  <c r="X374" i="4" s="1"/>
  <c r="AB374" i="4"/>
  <c r="Y374" i="4"/>
  <c r="Z374" i="4" s="1"/>
  <c r="AA374" i="4" s="1"/>
  <c r="AC395" i="4"/>
  <c r="AB395" i="4"/>
  <c r="AE395" i="4" s="1"/>
  <c r="V395" i="4"/>
  <c r="W395" i="4" s="1"/>
  <c r="X395" i="4" s="1"/>
  <c r="Y449" i="4"/>
  <c r="Z449" i="4" s="1"/>
  <c r="AA449" i="4" s="1"/>
  <c r="AB449" i="4"/>
  <c r="AD449" i="4"/>
  <c r="AC449" i="4"/>
  <c r="V449" i="4"/>
  <c r="W449" i="4" s="1"/>
  <c r="X449" i="4" s="1"/>
  <c r="AD388" i="4"/>
  <c r="AE388" i="4" s="1"/>
  <c r="V388" i="4"/>
  <c r="W388" i="4" s="1"/>
  <c r="X388" i="4" s="1"/>
  <c r="Y388" i="4"/>
  <c r="Z388" i="4" s="1"/>
  <c r="AA388" i="4" s="1"/>
  <c r="V420" i="4"/>
  <c r="W420" i="4" s="1"/>
  <c r="X420" i="4" s="1"/>
  <c r="Y420" i="4"/>
  <c r="Z420" i="4" s="1"/>
  <c r="AA420" i="4" s="1"/>
  <c r="AD420" i="4"/>
  <c r="AC420" i="4"/>
  <c r="AB420" i="4"/>
  <c r="AE420" i="4" s="1"/>
  <c r="AD327" i="4"/>
  <c r="AE327" i="4" s="1"/>
  <c r="V337" i="4"/>
  <c r="W337" i="4" s="1"/>
  <c r="X337" i="4" s="1"/>
  <c r="AB352" i="4"/>
  <c r="AE352" i="4" s="1"/>
  <c r="V352" i="4"/>
  <c r="W352" i="4" s="1"/>
  <c r="X352" i="4" s="1"/>
  <c r="V359" i="4"/>
  <c r="W359" i="4" s="1"/>
  <c r="X359" i="4" s="1"/>
  <c r="AC369" i="4"/>
  <c r="V369" i="4"/>
  <c r="W369" i="4" s="1"/>
  <c r="X369" i="4" s="1"/>
  <c r="AB369" i="4"/>
  <c r="AE369" i="4" s="1"/>
  <c r="Y395" i="4"/>
  <c r="Z395" i="4" s="1"/>
  <c r="AA395" i="4" s="1"/>
  <c r="AB446" i="4"/>
  <c r="AD446" i="4"/>
  <c r="AC446" i="4"/>
  <c r="Y446" i="4"/>
  <c r="Z446" i="4" s="1"/>
  <c r="AA446" i="4" s="1"/>
  <c r="V446" i="4"/>
  <c r="W446" i="4" s="1"/>
  <c r="X446" i="4" s="1"/>
  <c r="Y351" i="4"/>
  <c r="Z351" i="4" s="1"/>
  <c r="AA351" i="4" s="1"/>
  <c r="AD351" i="4"/>
  <c r="AE351" i="4" s="1"/>
  <c r="AB368" i="4"/>
  <c r="AE368" i="4" s="1"/>
  <c r="AD368" i="4"/>
  <c r="Y378" i="4"/>
  <c r="Z378" i="4" s="1"/>
  <c r="AA378" i="4" s="1"/>
  <c r="V378" i="4"/>
  <c r="W378" i="4" s="1"/>
  <c r="X378" i="4" s="1"/>
  <c r="AB320" i="4"/>
  <c r="AE320" i="4" s="1"/>
  <c r="Y333" i="4"/>
  <c r="Z333" i="4" s="1"/>
  <c r="AA333" i="4" s="1"/>
  <c r="AD333" i="4"/>
  <c r="AE333" i="4" s="1"/>
  <c r="Y337" i="4"/>
  <c r="Z337" i="4" s="1"/>
  <c r="AA337" i="4" s="1"/>
  <c r="AD350" i="4"/>
  <c r="V350" i="4"/>
  <c r="W350" i="4" s="1"/>
  <c r="X350" i="4" s="1"/>
  <c r="AB350" i="4"/>
  <c r="AE350" i="4" s="1"/>
  <c r="AD396" i="4"/>
  <c r="AE396" i="4" s="1"/>
  <c r="V396" i="4"/>
  <c r="W396" i="4" s="1"/>
  <c r="X396" i="4" s="1"/>
  <c r="AC396" i="4"/>
  <c r="Y396" i="4"/>
  <c r="Z396" i="4" s="1"/>
  <c r="AA396" i="4" s="1"/>
  <c r="Y444" i="4"/>
  <c r="Z444" i="4" s="1"/>
  <c r="AA444" i="4" s="1"/>
  <c r="V444" i="4"/>
  <c r="W444" i="4" s="1"/>
  <c r="X444" i="4" s="1"/>
  <c r="AC444" i="4"/>
  <c r="AB444" i="4"/>
  <c r="AD444" i="4"/>
  <c r="AB329" i="4"/>
  <c r="AE329" i="4" s="1"/>
  <c r="AD340" i="4"/>
  <c r="V340" i="4"/>
  <c r="W340" i="4" s="1"/>
  <c r="X340" i="4" s="1"/>
  <c r="AB340" i="4"/>
  <c r="Y343" i="4"/>
  <c r="Z343" i="4" s="1"/>
  <c r="AA343" i="4" s="1"/>
  <c r="AD348" i="4"/>
  <c r="AE348" i="4" s="1"/>
  <c r="V348" i="4"/>
  <c r="W348" i="4" s="1"/>
  <c r="X348" i="4" s="1"/>
  <c r="AC348" i="4"/>
  <c r="Y353" i="4"/>
  <c r="Z353" i="4" s="1"/>
  <c r="AA353" i="4" s="1"/>
  <c r="AD358" i="4"/>
  <c r="V358" i="4"/>
  <c r="W358" i="4" s="1"/>
  <c r="X358" i="4" s="1"/>
  <c r="AB358" i="4"/>
  <c r="AC358" i="4"/>
  <c r="Y370" i="4"/>
  <c r="Z370" i="4" s="1"/>
  <c r="AA370" i="4" s="1"/>
  <c r="AC375" i="4"/>
  <c r="V384" i="4"/>
  <c r="W384" i="4" s="1"/>
  <c r="X384" i="4" s="1"/>
  <c r="AD385" i="4"/>
  <c r="AE385" i="4" s="1"/>
  <c r="AB386" i="4"/>
  <c r="AE386" i="4" s="1"/>
  <c r="AD392" i="4"/>
  <c r="AE392" i="4" s="1"/>
  <c r="V392" i="4"/>
  <c r="W392" i="4" s="1"/>
  <c r="X392" i="4" s="1"/>
  <c r="AC392" i="4"/>
  <c r="AC393" i="4"/>
  <c r="V398" i="4"/>
  <c r="W398" i="4" s="1"/>
  <c r="X398" i="4" s="1"/>
  <c r="Y398" i="4"/>
  <c r="Z398" i="4" s="1"/>
  <c r="AA398" i="4" s="1"/>
  <c r="AD400" i="4"/>
  <c r="V400" i="4"/>
  <c r="W400" i="4" s="1"/>
  <c r="X400" i="4" s="1"/>
  <c r="AB400" i="4"/>
  <c r="AC402" i="4"/>
  <c r="V414" i="4"/>
  <c r="W414" i="4" s="1"/>
  <c r="X414" i="4" s="1"/>
  <c r="AE442" i="4"/>
  <c r="AD372" i="4"/>
  <c r="AE372" i="4" s="1"/>
  <c r="V372" i="4"/>
  <c r="W372" i="4" s="1"/>
  <c r="X372" i="4" s="1"/>
  <c r="AC372" i="4"/>
  <c r="AD382" i="4"/>
  <c r="V382" i="4"/>
  <c r="W382" i="4" s="1"/>
  <c r="X382" i="4" s="1"/>
  <c r="AB382" i="4"/>
  <c r="AC382" i="4"/>
  <c r="AC386" i="4"/>
  <c r="AD393" i="4"/>
  <c r="AE393" i="4" s="1"/>
  <c r="AD402" i="4"/>
  <c r="AE402" i="4" s="1"/>
  <c r="AC437" i="4"/>
  <c r="V437" i="4"/>
  <c r="W437" i="4" s="1"/>
  <c r="X437" i="4" s="1"/>
  <c r="AB437" i="4"/>
  <c r="AE437" i="4" s="1"/>
  <c r="AD451" i="4"/>
  <c r="Y451" i="4"/>
  <c r="Z451" i="4" s="1"/>
  <c r="AA451" i="4" s="1"/>
  <c r="V451" i="4"/>
  <c r="W451" i="4" s="1"/>
  <c r="X451" i="4" s="1"/>
  <c r="AC451" i="4"/>
  <c r="AB451" i="4"/>
  <c r="AE451" i="4" s="1"/>
  <c r="AB341" i="4"/>
  <c r="AE341" i="4" s="1"/>
  <c r="AB343" i="4"/>
  <c r="AE343" i="4" s="1"/>
  <c r="AD356" i="4"/>
  <c r="AE356" i="4" s="1"/>
  <c r="V356" i="4"/>
  <c r="W356" i="4" s="1"/>
  <c r="X356" i="4" s="1"/>
  <c r="AC356" i="4"/>
  <c r="AD366" i="4"/>
  <c r="V366" i="4"/>
  <c r="W366" i="4" s="1"/>
  <c r="X366" i="4" s="1"/>
  <c r="AB366" i="4"/>
  <c r="AC366" i="4"/>
  <c r="AC370" i="4"/>
  <c r="AC383" i="4"/>
  <c r="Y384" i="4"/>
  <c r="Z384" i="4" s="1"/>
  <c r="AA384" i="4" s="1"/>
  <c r="AB404" i="4"/>
  <c r="AE404" i="4" s="1"/>
  <c r="Y404" i="4"/>
  <c r="Z404" i="4" s="1"/>
  <c r="AA404" i="4" s="1"/>
  <c r="AC405" i="4"/>
  <c r="AD405" i="4"/>
  <c r="AE405" i="4" s="1"/>
  <c r="V405" i="4"/>
  <c r="W405" i="4" s="1"/>
  <c r="X405" i="4" s="1"/>
  <c r="Y441" i="4"/>
  <c r="Z441" i="4" s="1"/>
  <c r="AA441" i="4" s="1"/>
  <c r="AC441" i="4"/>
  <c r="V441" i="4"/>
  <c r="W441" i="4" s="1"/>
  <c r="X441" i="4" s="1"/>
  <c r="AB441" i="4"/>
  <c r="AE441" i="4" s="1"/>
  <c r="AD448" i="4"/>
  <c r="V448" i="4"/>
  <c r="W448" i="4" s="1"/>
  <c r="X448" i="4" s="1"/>
  <c r="AC448" i="4"/>
  <c r="AB448" i="4"/>
  <c r="Y448" i="4"/>
  <c r="Z448" i="4" s="1"/>
  <c r="AA448" i="4" s="1"/>
  <c r="AC341" i="4"/>
  <c r="AD353" i="4"/>
  <c r="AE353" i="4" s="1"/>
  <c r="AC360" i="4"/>
  <c r="AD380" i="4"/>
  <c r="AE380" i="4" s="1"/>
  <c r="V380" i="4"/>
  <c r="W380" i="4" s="1"/>
  <c r="X380" i="4" s="1"/>
  <c r="AC380" i="4"/>
  <c r="AD383" i="4"/>
  <c r="AE383" i="4" s="1"/>
  <c r="AD390" i="4"/>
  <c r="V390" i="4"/>
  <c r="W390" i="4" s="1"/>
  <c r="X390" i="4" s="1"/>
  <c r="AB390" i="4"/>
  <c r="AE390" i="4" s="1"/>
  <c r="AC390" i="4"/>
  <c r="V393" i="4"/>
  <c r="W393" i="4" s="1"/>
  <c r="X393" i="4" s="1"/>
  <c r="V402" i="4"/>
  <c r="W402" i="4" s="1"/>
  <c r="X402" i="4" s="1"/>
  <c r="V411" i="4"/>
  <c r="W411" i="4" s="1"/>
  <c r="X411" i="4" s="1"/>
  <c r="Y411" i="4"/>
  <c r="Z411" i="4" s="1"/>
  <c r="AA411" i="4" s="1"/>
  <c r="Y437" i="4"/>
  <c r="Z437" i="4" s="1"/>
  <c r="AA437" i="4" s="1"/>
  <c r="AC384" i="4"/>
  <c r="AE398" i="4"/>
  <c r="AE399" i="4"/>
  <c r="Y405" i="4"/>
  <c r="Z405" i="4" s="1"/>
  <c r="AA405" i="4" s="1"/>
  <c r="AD408" i="4"/>
  <c r="AE408" i="4" s="1"/>
  <c r="V408" i="4"/>
  <c r="W408" i="4" s="1"/>
  <c r="X408" i="4" s="1"/>
  <c r="AC414" i="4"/>
  <c r="Y414" i="4"/>
  <c r="Z414" i="4" s="1"/>
  <c r="AA414" i="4" s="1"/>
  <c r="AC421" i="4"/>
  <c r="V421" i="4"/>
  <c r="W421" i="4" s="1"/>
  <c r="X421" i="4" s="1"/>
  <c r="V427" i="4"/>
  <c r="W427" i="4" s="1"/>
  <c r="X427" i="4" s="1"/>
  <c r="Y427" i="4"/>
  <c r="Z427" i="4" s="1"/>
  <c r="AA427" i="4" s="1"/>
  <c r="AC430" i="4"/>
  <c r="V430" i="4"/>
  <c r="W430" i="4" s="1"/>
  <c r="X430" i="4" s="1"/>
  <c r="AB430" i="4"/>
  <c r="AE430" i="4" s="1"/>
  <c r="Y466" i="4"/>
  <c r="Z466" i="4" s="1"/>
  <c r="AA466" i="4" s="1"/>
  <c r="AD466" i="4"/>
  <c r="AC466" i="4"/>
  <c r="AB466" i="4"/>
  <c r="V466" i="4"/>
  <c r="W466" i="4" s="1"/>
  <c r="X466" i="4" s="1"/>
  <c r="AD436" i="4"/>
  <c r="AE436" i="4" s="1"/>
  <c r="Y463" i="4"/>
  <c r="Z463" i="4" s="1"/>
  <c r="AA463" i="4" s="1"/>
  <c r="AB463" i="4"/>
  <c r="AD463" i="4"/>
  <c r="AC470" i="4"/>
  <c r="V470" i="4"/>
  <c r="W470" i="4" s="1"/>
  <c r="X470" i="4" s="1"/>
  <c r="Y409" i="4"/>
  <c r="Z409" i="4" s="1"/>
  <c r="AA409" i="4" s="1"/>
  <c r="V409" i="4"/>
  <c r="W409" i="4" s="1"/>
  <c r="X409" i="4" s="1"/>
  <c r="AC409" i="4"/>
  <c r="Y410" i="4"/>
  <c r="Z410" i="4" s="1"/>
  <c r="AA410" i="4" s="1"/>
  <c r="AB429" i="4"/>
  <c r="AE429" i="4" s="1"/>
  <c r="AD432" i="4"/>
  <c r="AE432" i="4" s="1"/>
  <c r="V432" i="4"/>
  <c r="W432" i="4" s="1"/>
  <c r="X432" i="4" s="1"/>
  <c r="AC432" i="4"/>
  <c r="Y432" i="4"/>
  <c r="Z432" i="4" s="1"/>
  <c r="AA432" i="4" s="1"/>
  <c r="AD438" i="4"/>
  <c r="AE438" i="4" s="1"/>
  <c r="Y452" i="4"/>
  <c r="Z452" i="4" s="1"/>
  <c r="AA452" i="4" s="1"/>
  <c r="Y457" i="4"/>
  <c r="Z457" i="4" s="1"/>
  <c r="AA457" i="4" s="1"/>
  <c r="V457" i="4"/>
  <c r="W457" i="4" s="1"/>
  <c r="X457" i="4" s="1"/>
  <c r="V463" i="4"/>
  <c r="W463" i="4" s="1"/>
  <c r="X463" i="4" s="1"/>
  <c r="Y469" i="4"/>
  <c r="Z469" i="4" s="1"/>
  <c r="AA469" i="4" s="1"/>
  <c r="AC469" i="4"/>
  <c r="AB469" i="4"/>
  <c r="AE469" i="4" s="1"/>
  <c r="Y476" i="4"/>
  <c r="Z476" i="4" s="1"/>
  <c r="AA476" i="4" s="1"/>
  <c r="V476" i="4"/>
  <c r="W476" i="4" s="1"/>
  <c r="X476" i="4" s="1"/>
  <c r="AD476" i="4"/>
  <c r="AE476" i="4" s="1"/>
  <c r="AE419" i="4"/>
  <c r="Y425" i="4"/>
  <c r="Z425" i="4" s="1"/>
  <c r="AA425" i="4" s="1"/>
  <c r="AC425" i="4"/>
  <c r="AB425" i="4"/>
  <c r="Y433" i="4"/>
  <c r="Z433" i="4" s="1"/>
  <c r="AA433" i="4" s="1"/>
  <c r="V433" i="4"/>
  <c r="W433" i="4" s="1"/>
  <c r="X433" i="4" s="1"/>
  <c r="AD433" i="4"/>
  <c r="AE433" i="4" s="1"/>
  <c r="AE447" i="4"/>
  <c r="AD454" i="4"/>
  <c r="AE454" i="4" s="1"/>
  <c r="V454" i="4"/>
  <c r="W454" i="4" s="1"/>
  <c r="X454" i="4" s="1"/>
  <c r="Y454" i="4"/>
  <c r="Z454" i="4" s="1"/>
  <c r="AA454" i="4" s="1"/>
  <c r="Y470" i="4"/>
  <c r="Z470" i="4" s="1"/>
  <c r="AA470" i="4" s="1"/>
  <c r="Y489" i="4"/>
  <c r="Z489" i="4" s="1"/>
  <c r="AA489" i="4" s="1"/>
  <c r="AB489" i="4"/>
  <c r="V489" i="4"/>
  <c r="W489" i="4" s="1"/>
  <c r="X489" i="4" s="1"/>
  <c r="AD489" i="4"/>
  <c r="AC489" i="4"/>
  <c r="AD397" i="4"/>
  <c r="AE397" i="4" s="1"/>
  <c r="AC410" i="4"/>
  <c r="AD413" i="4"/>
  <c r="AE413" i="4" s="1"/>
  <c r="AD416" i="4"/>
  <c r="V416" i="4"/>
  <c r="W416" i="4" s="1"/>
  <c r="X416" i="4" s="1"/>
  <c r="AC416" i="4"/>
  <c r="AB416" i="4"/>
  <c r="AD425" i="4"/>
  <c r="Y436" i="4"/>
  <c r="Z436" i="4" s="1"/>
  <c r="AA436" i="4" s="1"/>
  <c r="AC452" i="4"/>
  <c r="AD452" i="4"/>
  <c r="AE452" i="4" s="1"/>
  <c r="AC453" i="4"/>
  <c r="Y453" i="4"/>
  <c r="Z453" i="4" s="1"/>
  <c r="AA453" i="4" s="1"/>
  <c r="AB453" i="4"/>
  <c r="AE453" i="4" s="1"/>
  <c r="AD456" i="4"/>
  <c r="V456" i="4"/>
  <c r="W456" i="4" s="1"/>
  <c r="X456" i="4" s="1"/>
  <c r="Y456" i="4"/>
  <c r="Z456" i="4" s="1"/>
  <c r="AA456" i="4" s="1"/>
  <c r="AB456" i="4"/>
  <c r="V461" i="4"/>
  <c r="W461" i="4" s="1"/>
  <c r="X461" i="4" s="1"/>
  <c r="AB470" i="4"/>
  <c r="Y461" i="4"/>
  <c r="Z461" i="4" s="1"/>
  <c r="AA461" i="4" s="1"/>
  <c r="AD468" i="4"/>
  <c r="AC468" i="4"/>
  <c r="Y468" i="4"/>
  <c r="Z468" i="4" s="1"/>
  <c r="AA468" i="4" s="1"/>
  <c r="AB468" i="4"/>
  <c r="V469" i="4"/>
  <c r="W469" i="4" s="1"/>
  <c r="X469" i="4" s="1"/>
  <c r="AD470" i="4"/>
  <c r="Y474" i="4"/>
  <c r="Z474" i="4" s="1"/>
  <c r="AA474" i="4" s="1"/>
  <c r="V474" i="4"/>
  <c r="W474" i="4" s="1"/>
  <c r="X474" i="4" s="1"/>
  <c r="AD474" i="4"/>
  <c r="AE474" i="4" s="1"/>
  <c r="AC474" i="4"/>
  <c r="AC476" i="4"/>
  <c r="AC460" i="4"/>
  <c r="AB467" i="4"/>
  <c r="Y467" i="4"/>
  <c r="Z467" i="4" s="1"/>
  <c r="AA467" i="4" s="1"/>
  <c r="AD467" i="4"/>
  <c r="AB493" i="4"/>
  <c r="Y493" i="4"/>
  <c r="Z493" i="4" s="1"/>
  <c r="AA493" i="4" s="1"/>
  <c r="V493" i="4"/>
  <c r="W493" i="4" s="1"/>
  <c r="X493" i="4" s="1"/>
  <c r="AE503" i="4"/>
  <c r="AB401" i="4"/>
  <c r="AE401" i="4" s="1"/>
  <c r="AB434" i="4"/>
  <c r="AD434" i="4"/>
  <c r="AD440" i="4"/>
  <c r="AE440" i="4" s="1"/>
  <c r="V440" i="4"/>
  <c r="W440" i="4" s="1"/>
  <c r="X440" i="4" s="1"/>
  <c r="AC440" i="4"/>
  <c r="V442" i="4"/>
  <c r="W442" i="4" s="1"/>
  <c r="X442" i="4" s="1"/>
  <c r="AB443" i="4"/>
  <c r="AE443" i="4" s="1"/>
  <c r="AC537" i="4"/>
  <c r="Y537" i="4"/>
  <c r="Z537" i="4" s="1"/>
  <c r="AA537" i="4" s="1"/>
  <c r="AD537" i="4"/>
  <c r="AB537" i="4"/>
  <c r="V537" i="4"/>
  <c r="W537" i="4" s="1"/>
  <c r="X537" i="4" s="1"/>
  <c r="AD493" i="4"/>
  <c r="V529" i="4"/>
  <c r="W529" i="4" s="1"/>
  <c r="X529" i="4" s="1"/>
  <c r="AD529" i="4"/>
  <c r="AC529" i="4"/>
  <c r="Y529" i="4"/>
  <c r="Z529" i="4" s="1"/>
  <c r="AA529" i="4" s="1"/>
  <c r="AB529" i="4"/>
  <c r="AC442" i="4"/>
  <c r="AC445" i="4"/>
  <c r="V445" i="4"/>
  <c r="W445" i="4" s="1"/>
  <c r="X445" i="4" s="1"/>
  <c r="AD445" i="4"/>
  <c r="AE445" i="4" s="1"/>
  <c r="AB459" i="4"/>
  <c r="AE459" i="4" s="1"/>
  <c r="V459" i="4"/>
  <c r="W459" i="4" s="1"/>
  <c r="X459" i="4" s="1"/>
  <c r="AC459" i="4"/>
  <c r="AD465" i="4"/>
  <c r="AE465" i="4" s="1"/>
  <c r="V465" i="4"/>
  <c r="W465" i="4" s="1"/>
  <c r="X465" i="4" s="1"/>
  <c r="Y465" i="4"/>
  <c r="Z465" i="4" s="1"/>
  <c r="AA465" i="4" s="1"/>
  <c r="AE500" i="4"/>
  <c r="AC483" i="4"/>
  <c r="AB484" i="4"/>
  <c r="AE484" i="4" s="1"/>
  <c r="Y485" i="4"/>
  <c r="Z485" i="4" s="1"/>
  <c r="AA485" i="4" s="1"/>
  <c r="AB495" i="4"/>
  <c r="AE495" i="4" s="1"/>
  <c r="Y496" i="4"/>
  <c r="Z496" i="4" s="1"/>
  <c r="AA496" i="4" s="1"/>
  <c r="Y500" i="4"/>
  <c r="Z500" i="4" s="1"/>
  <c r="AA500" i="4" s="1"/>
  <c r="V500" i="4"/>
  <c r="W500" i="4" s="1"/>
  <c r="X500" i="4" s="1"/>
  <c r="AC500" i="4"/>
  <c r="AD508" i="4"/>
  <c r="AE508" i="4" s="1"/>
  <c r="AB517" i="4"/>
  <c r="Y517" i="4"/>
  <c r="Z517" i="4" s="1"/>
  <c r="AA517" i="4" s="1"/>
  <c r="AD517" i="4"/>
  <c r="AC517" i="4"/>
  <c r="Y524" i="4"/>
  <c r="Z524" i="4" s="1"/>
  <c r="AA524" i="4" s="1"/>
  <c r="V524" i="4"/>
  <c r="W524" i="4" s="1"/>
  <c r="X524" i="4" s="1"/>
  <c r="AB524" i="4"/>
  <c r="AE524" i="4" s="1"/>
  <c r="AB526" i="4"/>
  <c r="AE526" i="4" s="1"/>
  <c r="Y540" i="4"/>
  <c r="Z540" i="4" s="1"/>
  <c r="AA540" i="4" s="1"/>
  <c r="V540" i="4"/>
  <c r="W540" i="4" s="1"/>
  <c r="X540" i="4" s="1"/>
  <c r="AD540" i="4"/>
  <c r="AC540" i="4"/>
  <c r="AB540" i="4"/>
  <c r="AD480" i="4"/>
  <c r="AE480" i="4" s="1"/>
  <c r="V480" i="4"/>
  <c r="W480" i="4" s="1"/>
  <c r="X480" i="4" s="1"/>
  <c r="Y480" i="4"/>
  <c r="Z480" i="4" s="1"/>
  <c r="AA480" i="4" s="1"/>
  <c r="AC480" i="4"/>
  <c r="AC484" i="4"/>
  <c r="AB490" i="4"/>
  <c r="AC490" i="4"/>
  <c r="AC504" i="4"/>
  <c r="Y504" i="4"/>
  <c r="Z504" i="4" s="1"/>
  <c r="AA504" i="4" s="1"/>
  <c r="Y513" i="4"/>
  <c r="Z513" i="4" s="1"/>
  <c r="AA513" i="4" s="1"/>
  <c r="V513" i="4"/>
  <c r="W513" i="4" s="1"/>
  <c r="X513" i="4" s="1"/>
  <c r="AC526" i="4"/>
  <c r="AC528" i="4"/>
  <c r="Y528" i="4"/>
  <c r="Z528" i="4" s="1"/>
  <c r="AA528" i="4" s="1"/>
  <c r="AE535" i="4"/>
  <c r="AB462" i="4"/>
  <c r="AE462" i="4" s="1"/>
  <c r="AD473" i="4"/>
  <c r="V473" i="4"/>
  <c r="W473" i="4" s="1"/>
  <c r="X473" i="4" s="1"/>
  <c r="AB473" i="4"/>
  <c r="AC475" i="4"/>
  <c r="AC478" i="4"/>
  <c r="V483" i="4"/>
  <c r="W483" i="4" s="1"/>
  <c r="X483" i="4" s="1"/>
  <c r="AD490" i="4"/>
  <c r="AB497" i="4"/>
  <c r="V502" i="4"/>
  <c r="W502" i="4" s="1"/>
  <c r="X502" i="4" s="1"/>
  <c r="AD502" i="4"/>
  <c r="AE502" i="4" s="1"/>
  <c r="Y481" i="4"/>
  <c r="Z481" i="4" s="1"/>
  <c r="AA481" i="4" s="1"/>
  <c r="AD481" i="4"/>
  <c r="AE481" i="4" s="1"/>
  <c r="AC481" i="4"/>
  <c r="AB485" i="4"/>
  <c r="AC496" i="4"/>
  <c r="AD496" i="4"/>
  <c r="AE496" i="4" s="1"/>
  <c r="AC497" i="4"/>
  <c r="V504" i="4"/>
  <c r="W504" i="4" s="1"/>
  <c r="X504" i="4" s="1"/>
  <c r="AC520" i="4"/>
  <c r="V520" i="4"/>
  <c r="W520" i="4" s="1"/>
  <c r="X520" i="4" s="1"/>
  <c r="AD520" i="4"/>
  <c r="AB520" i="4"/>
  <c r="V528" i="4"/>
  <c r="W528" i="4" s="1"/>
  <c r="X528" i="4" s="1"/>
  <c r="AB533" i="4"/>
  <c r="V533" i="4"/>
  <c r="W533" i="4" s="1"/>
  <c r="X533" i="4" s="1"/>
  <c r="AD533" i="4"/>
  <c r="AD485" i="4"/>
  <c r="AD491" i="4"/>
  <c r="AE491" i="4" s="1"/>
  <c r="Y491" i="4"/>
  <c r="Z491" i="4" s="1"/>
  <c r="AA491" i="4" s="1"/>
  <c r="AC491" i="4"/>
  <c r="AD497" i="4"/>
  <c r="AD515" i="4"/>
  <c r="AE515" i="4" s="1"/>
  <c r="V515" i="4"/>
  <c r="W515" i="4" s="1"/>
  <c r="X515" i="4" s="1"/>
  <c r="Y515" i="4"/>
  <c r="Z515" i="4" s="1"/>
  <c r="AA515" i="4" s="1"/>
  <c r="AC515" i="4"/>
  <c r="Y519" i="4"/>
  <c r="Z519" i="4" s="1"/>
  <c r="AA519" i="4" s="1"/>
  <c r="AD519" i="4"/>
  <c r="AE519" i="4" s="1"/>
  <c r="AC519" i="4"/>
  <c r="AD539" i="4"/>
  <c r="V539" i="4"/>
  <c r="W539" i="4" s="1"/>
  <c r="X539" i="4" s="1"/>
  <c r="AC539" i="4"/>
  <c r="Y539" i="4"/>
  <c r="Z539" i="4" s="1"/>
  <c r="AA539" i="4" s="1"/>
  <c r="AB539" i="4"/>
  <c r="AB482" i="4"/>
  <c r="AE482" i="4" s="1"/>
  <c r="Y482" i="4"/>
  <c r="Z482" i="4" s="1"/>
  <c r="AA482" i="4" s="1"/>
  <c r="AC482" i="4"/>
  <c r="Y526" i="4"/>
  <c r="Z526" i="4" s="1"/>
  <c r="AA526" i="4" s="1"/>
  <c r="V526" i="4"/>
  <c r="W526" i="4" s="1"/>
  <c r="X526" i="4" s="1"/>
  <c r="AD528" i="4"/>
  <c r="AE528" i="4" s="1"/>
  <c r="AD531" i="4"/>
  <c r="AE531" i="4" s="1"/>
  <c r="V531" i="4"/>
  <c r="W531" i="4" s="1"/>
  <c r="X531" i="4" s="1"/>
  <c r="AC531" i="4"/>
  <c r="Y531" i="4"/>
  <c r="Z531" i="4" s="1"/>
  <c r="AA531" i="4" s="1"/>
  <c r="AB477" i="4"/>
  <c r="AE477" i="4" s="1"/>
  <c r="AD488" i="4"/>
  <c r="V488" i="4"/>
  <c r="W488" i="4" s="1"/>
  <c r="X488" i="4" s="1"/>
  <c r="AB488" i="4"/>
  <c r="AD499" i="4"/>
  <c r="AE499" i="4" s="1"/>
  <c r="V499" i="4"/>
  <c r="W499" i="4" s="1"/>
  <c r="X499" i="4" s="1"/>
  <c r="AB509" i="4"/>
  <c r="V509" i="4"/>
  <c r="W509" i="4" s="1"/>
  <c r="X509" i="4" s="1"/>
  <c r="AD509" i="4"/>
  <c r="AC509" i="4"/>
  <c r="V511" i="4"/>
  <c r="W511" i="4" s="1"/>
  <c r="X511" i="4" s="1"/>
  <c r="AD511" i="4"/>
  <c r="AE511" i="4" s="1"/>
  <c r="AC544" i="4"/>
  <c r="Y544" i="4"/>
  <c r="Z544" i="4" s="1"/>
  <c r="AA544" i="4" s="1"/>
  <c r="V544" i="4"/>
  <c r="W544" i="4" s="1"/>
  <c r="X544" i="4" s="1"/>
  <c r="AB541" i="4"/>
  <c r="AD541" i="4"/>
  <c r="Y541" i="4"/>
  <c r="Z541" i="4" s="1"/>
  <c r="AA541" i="4" s="1"/>
  <c r="V542" i="4"/>
  <c r="W542" i="4" s="1"/>
  <c r="X542" i="4" s="1"/>
  <c r="AD542" i="4"/>
  <c r="AE542" i="4" s="1"/>
  <c r="AC542" i="4"/>
  <c r="AB505" i="4"/>
  <c r="AE505" i="4" s="1"/>
  <c r="AD507" i="4"/>
  <c r="V507" i="4"/>
  <c r="W507" i="4" s="1"/>
  <c r="X507" i="4" s="1"/>
  <c r="AB507" i="4"/>
  <c r="AB516" i="4"/>
  <c r="AB518" i="4"/>
  <c r="AE518" i="4" s="1"/>
  <c r="AB527" i="4"/>
  <c r="AE527" i="4" s="1"/>
  <c r="V535" i="4"/>
  <c r="W535" i="4" s="1"/>
  <c r="X535" i="4" s="1"/>
  <c r="V549" i="4"/>
  <c r="W549" i="4" s="1"/>
  <c r="X549" i="4" s="1"/>
  <c r="AD550" i="4"/>
  <c r="AE550" i="4" s="1"/>
  <c r="AB551" i="4"/>
  <c r="AE551" i="4" s="1"/>
  <c r="AB492" i="4"/>
  <c r="AE492" i="4" s="1"/>
  <c r="AC505" i="4"/>
  <c r="AC507" i="4"/>
  <c r="AC516" i="4"/>
  <c r="AC518" i="4"/>
  <c r="AC527" i="4"/>
  <c r="AB536" i="4"/>
  <c r="AB545" i="4"/>
  <c r="AE545" i="4" s="1"/>
  <c r="AD547" i="4"/>
  <c r="V547" i="4"/>
  <c r="W547" i="4" s="1"/>
  <c r="X547" i="4" s="1"/>
  <c r="AB547" i="4"/>
  <c r="AC547" i="4"/>
  <c r="AC551" i="4"/>
  <c r="AB512" i="4"/>
  <c r="AE512" i="4" s="1"/>
  <c r="AD516" i="4"/>
  <c r="AD523" i="4"/>
  <c r="V523" i="4"/>
  <c r="W523" i="4" s="1"/>
  <c r="X523" i="4" s="1"/>
  <c r="AB523" i="4"/>
  <c r="AC525" i="4"/>
  <c r="AB532" i="4"/>
  <c r="AE532" i="4" s="1"/>
  <c r="AD536" i="4"/>
  <c r="AB548" i="4"/>
  <c r="AE548" i="4" s="1"/>
  <c r="V550" i="4"/>
  <c r="W550" i="4" s="1"/>
  <c r="X550" i="4" s="1"/>
  <c r="AC548" i="4"/>
  <c r="AC549" i="4"/>
  <c r="AB43" i="2"/>
  <c r="AE43" i="2" s="1"/>
  <c r="AB64" i="2"/>
  <c r="Y64" i="2"/>
  <c r="Z64" i="2" s="1"/>
  <c r="AA64" i="2" s="1"/>
  <c r="AC64" i="2"/>
  <c r="AE99" i="2"/>
  <c r="AB128" i="2"/>
  <c r="Y128" i="2"/>
  <c r="Z128" i="2" s="1"/>
  <c r="AA128" i="2" s="1"/>
  <c r="AC128" i="2"/>
  <c r="AC273" i="2"/>
  <c r="V273" i="2"/>
  <c r="W273" i="2" s="1"/>
  <c r="X273" i="2" s="1"/>
  <c r="AD273" i="2"/>
  <c r="AB273" i="2"/>
  <c r="Y273" i="2"/>
  <c r="Z273" i="2" s="1"/>
  <c r="AA273" i="2" s="1"/>
  <c r="Y211" i="2"/>
  <c r="Z211" i="2" s="1"/>
  <c r="AA211" i="2" s="1"/>
  <c r="AD211" i="2"/>
  <c r="AC211" i="2"/>
  <c r="AB211" i="2"/>
  <c r="V211" i="2"/>
  <c r="W211" i="2" s="1"/>
  <c r="X211" i="2" s="1"/>
  <c r="AD244" i="2"/>
  <c r="V244" i="2"/>
  <c r="W244" i="2" s="1"/>
  <c r="X244" i="2" s="1"/>
  <c r="AC244" i="2"/>
  <c r="AB244" i="2"/>
  <c r="Y244" i="2"/>
  <c r="Z244" i="2" s="1"/>
  <c r="AA244" i="2" s="1"/>
  <c r="AD256" i="2"/>
  <c r="AB256" i="2"/>
  <c r="V256" i="2"/>
  <c r="W256" i="2" s="1"/>
  <c r="X256" i="2" s="1"/>
  <c r="AC256" i="2"/>
  <c r="Y256" i="2"/>
  <c r="Z256" i="2" s="1"/>
  <c r="AA256" i="2" s="1"/>
  <c r="AC41" i="2"/>
  <c r="AD50" i="2"/>
  <c r="V50" i="2"/>
  <c r="W50" i="2" s="1"/>
  <c r="X50" i="2" s="1"/>
  <c r="Y50" i="2"/>
  <c r="Z50" i="2" s="1"/>
  <c r="AA50" i="2" s="1"/>
  <c r="AD58" i="2"/>
  <c r="V58" i="2"/>
  <c r="W58" i="2" s="1"/>
  <c r="X58" i="2" s="1"/>
  <c r="AB58" i="2"/>
  <c r="AE58" i="2" s="1"/>
  <c r="Y63" i="2"/>
  <c r="Z63" i="2" s="1"/>
  <c r="AA63" i="2" s="1"/>
  <c r="AD63" i="2"/>
  <c r="V63" i="2"/>
  <c r="W63" i="2" s="1"/>
  <c r="X63" i="2" s="1"/>
  <c r="AC63" i="2"/>
  <c r="AD90" i="2"/>
  <c r="AE90" i="2" s="1"/>
  <c r="V90" i="2"/>
  <c r="W90" i="2" s="1"/>
  <c r="X90" i="2" s="1"/>
  <c r="AC90" i="2"/>
  <c r="AC100" i="2"/>
  <c r="AB100" i="2"/>
  <c r="V100" i="2"/>
  <c r="W100" i="2" s="1"/>
  <c r="X100" i="2" s="1"/>
  <c r="AD100" i="2"/>
  <c r="Y103" i="2"/>
  <c r="Z103" i="2" s="1"/>
  <c r="AA103" i="2" s="1"/>
  <c r="AD103" i="2"/>
  <c r="V103" i="2"/>
  <c r="W103" i="2" s="1"/>
  <c r="X103" i="2" s="1"/>
  <c r="AC103" i="2"/>
  <c r="AB103" i="2"/>
  <c r="AD114" i="2"/>
  <c r="AE114" i="2" s="1"/>
  <c r="V114" i="2"/>
  <c r="W114" i="2" s="1"/>
  <c r="X114" i="2" s="1"/>
  <c r="Y114" i="2"/>
  <c r="Z114" i="2" s="1"/>
  <c r="AA114" i="2" s="1"/>
  <c r="AD122" i="2"/>
  <c r="V122" i="2"/>
  <c r="W122" i="2" s="1"/>
  <c r="X122" i="2" s="1"/>
  <c r="AB122" i="2"/>
  <c r="Y127" i="2"/>
  <c r="Z127" i="2" s="1"/>
  <c r="AA127" i="2" s="1"/>
  <c r="AD127" i="2"/>
  <c r="V127" i="2"/>
  <c r="W127" i="2" s="1"/>
  <c r="X127" i="2" s="1"/>
  <c r="AC127" i="2"/>
  <c r="AE139" i="2"/>
  <c r="AE145" i="2"/>
  <c r="Y151" i="2"/>
  <c r="Z151" i="2" s="1"/>
  <c r="AA151" i="2" s="1"/>
  <c r="AD151" i="2"/>
  <c r="AE151" i="2" s="1"/>
  <c r="V151" i="2"/>
  <c r="W151" i="2" s="1"/>
  <c r="X151" i="2" s="1"/>
  <c r="AC151" i="2"/>
  <c r="AC152" i="2"/>
  <c r="AD2" i="2"/>
  <c r="V14" i="2"/>
  <c r="W14" i="2" s="1"/>
  <c r="X14" i="2" s="1"/>
  <c r="AE121" i="2"/>
  <c r="AC140" i="2"/>
  <c r="AB140" i="2"/>
  <c r="AD140" i="2"/>
  <c r="Y140" i="2"/>
  <c r="Z140" i="2" s="1"/>
  <c r="AA140" i="2" s="1"/>
  <c r="AC161" i="2"/>
  <c r="AB161" i="2"/>
  <c r="AE161" i="2" s="1"/>
  <c r="Y161" i="2"/>
  <c r="Z161" i="2" s="1"/>
  <c r="AA161" i="2" s="1"/>
  <c r="V161" i="2"/>
  <c r="W161" i="2" s="1"/>
  <c r="X161" i="2" s="1"/>
  <c r="Y204" i="2"/>
  <c r="Z204" i="2" s="1"/>
  <c r="AA204" i="2" s="1"/>
  <c r="AD204" i="2"/>
  <c r="V204" i="2"/>
  <c r="W204" i="2" s="1"/>
  <c r="X204" i="2" s="1"/>
  <c r="AC204" i="2"/>
  <c r="AB204" i="2"/>
  <c r="AE204" i="2" s="1"/>
  <c r="Y208" i="2"/>
  <c r="Z208" i="2" s="1"/>
  <c r="AA208" i="2" s="1"/>
  <c r="AD208" i="2"/>
  <c r="AC208" i="2"/>
  <c r="AB208" i="2"/>
  <c r="V208" i="2"/>
  <c r="W208" i="2" s="1"/>
  <c r="X208" i="2" s="1"/>
  <c r="AB212" i="2"/>
  <c r="Y212" i="2"/>
  <c r="Z212" i="2" s="1"/>
  <c r="AA212" i="2" s="1"/>
  <c r="V212" i="2"/>
  <c r="W212" i="2" s="1"/>
  <c r="X212" i="2" s="1"/>
  <c r="AD212" i="2"/>
  <c r="AC212" i="2"/>
  <c r="Y31" i="2"/>
  <c r="Z31" i="2" s="1"/>
  <c r="AA31" i="2" s="1"/>
  <c r="AD31" i="2"/>
  <c r="V31" i="2"/>
  <c r="W31" i="2" s="1"/>
  <c r="X31" i="2" s="1"/>
  <c r="AC21" i="2"/>
  <c r="Y79" i="2"/>
  <c r="Z79" i="2" s="1"/>
  <c r="AA79" i="2" s="1"/>
  <c r="AD79" i="2"/>
  <c r="V79" i="2"/>
  <c r="W79" i="2" s="1"/>
  <c r="X79" i="2" s="1"/>
  <c r="AC79" i="2"/>
  <c r="AC2" i="2"/>
  <c r="AC4" i="2"/>
  <c r="AD4" i="2"/>
  <c r="AD15" i="2"/>
  <c r="AE15" i="2" s="1"/>
  <c r="V2" i="2"/>
  <c r="W2" i="2" s="1"/>
  <c r="X2" i="2" s="1"/>
  <c r="V4" i="2"/>
  <c r="W4" i="2" s="1"/>
  <c r="X4" i="2" s="1"/>
  <c r="AB5" i="2"/>
  <c r="AC7" i="2"/>
  <c r="AD42" i="2"/>
  <c r="V42" i="2"/>
  <c r="W42" i="2" s="1"/>
  <c r="X42" i="2" s="1"/>
  <c r="AC68" i="2"/>
  <c r="AB68" i="2"/>
  <c r="AE68" i="2" s="1"/>
  <c r="AC76" i="2"/>
  <c r="AB76" i="2"/>
  <c r="AD76" i="2"/>
  <c r="Y76" i="2"/>
  <c r="Z76" i="2" s="1"/>
  <c r="AA76" i="2" s="1"/>
  <c r="Y87" i="2"/>
  <c r="Z87" i="2" s="1"/>
  <c r="AA87" i="2" s="1"/>
  <c r="AD87" i="2"/>
  <c r="V87" i="2"/>
  <c r="W87" i="2" s="1"/>
  <c r="X87" i="2" s="1"/>
  <c r="AC87" i="2"/>
  <c r="V88" i="2"/>
  <c r="W88" i="2" s="1"/>
  <c r="X88" i="2" s="1"/>
  <c r="AB96" i="2"/>
  <c r="AE96" i="2" s="1"/>
  <c r="Y96" i="2"/>
  <c r="Z96" i="2" s="1"/>
  <c r="AA96" i="2" s="1"/>
  <c r="V96" i="2"/>
  <c r="W96" i="2" s="1"/>
  <c r="X96" i="2" s="1"/>
  <c r="AC107" i="2"/>
  <c r="Y107" i="2"/>
  <c r="Z107" i="2" s="1"/>
  <c r="AA107" i="2" s="1"/>
  <c r="AC132" i="2"/>
  <c r="AB132" i="2"/>
  <c r="AE132" i="2" s="1"/>
  <c r="AD159" i="2"/>
  <c r="V159" i="2"/>
  <c r="W159" i="2" s="1"/>
  <c r="X159" i="2" s="1"/>
  <c r="AC159" i="2"/>
  <c r="AB159" i="2"/>
  <c r="Y159" i="2"/>
  <c r="Z159" i="2" s="1"/>
  <c r="AA159" i="2" s="1"/>
  <c r="AD260" i="2"/>
  <c r="V260" i="2"/>
  <c r="W260" i="2" s="1"/>
  <c r="X260" i="2" s="1"/>
  <c r="Y260" i="2"/>
  <c r="Z260" i="2" s="1"/>
  <c r="AA260" i="2" s="1"/>
  <c r="AB260" i="2"/>
  <c r="AC260" i="2"/>
  <c r="Y33" i="2"/>
  <c r="Z33" i="2" s="1"/>
  <c r="AA33" i="2" s="1"/>
  <c r="AC60" i="2"/>
  <c r="AB60" i="2"/>
  <c r="AE60" i="2" s="1"/>
  <c r="Y60" i="2"/>
  <c r="Z60" i="2" s="1"/>
  <c r="AA60" i="2" s="1"/>
  <c r="V60" i="2"/>
  <c r="W60" i="2" s="1"/>
  <c r="X60" i="2" s="1"/>
  <c r="AC242" i="2"/>
  <c r="AB242" i="2"/>
  <c r="Y242" i="2"/>
  <c r="Z242" i="2" s="1"/>
  <c r="AA242" i="2" s="1"/>
  <c r="V242" i="2"/>
  <c r="W242" i="2" s="1"/>
  <c r="X242" i="2" s="1"/>
  <c r="AD242" i="2"/>
  <c r="AD17" i="2"/>
  <c r="V17" i="2"/>
  <c r="W17" i="2" s="1"/>
  <c r="X17" i="2" s="1"/>
  <c r="AC17" i="2"/>
  <c r="AB32" i="2"/>
  <c r="Y32" i="2"/>
  <c r="Z32" i="2" s="1"/>
  <c r="AA32" i="2" s="1"/>
  <c r="AD32" i="2"/>
  <c r="AD14" i="2"/>
  <c r="AE14" i="2" s="1"/>
  <c r="AE42" i="2"/>
  <c r="AD66" i="2"/>
  <c r="V66" i="2"/>
  <c r="W66" i="2" s="1"/>
  <c r="X66" i="2" s="1"/>
  <c r="AC66" i="2"/>
  <c r="AB66" i="2"/>
  <c r="Y66" i="2"/>
  <c r="Z66" i="2" s="1"/>
  <c r="AA66" i="2" s="1"/>
  <c r="Y39" i="2"/>
  <c r="Z39" i="2" s="1"/>
  <c r="AA39" i="2" s="1"/>
  <c r="AD39" i="2"/>
  <c r="V39" i="2"/>
  <c r="W39" i="2" s="1"/>
  <c r="X39" i="2" s="1"/>
  <c r="AB39" i="2"/>
  <c r="AC43" i="2"/>
  <c r="Y43" i="2"/>
  <c r="Z43" i="2" s="1"/>
  <c r="AA43" i="2" s="1"/>
  <c r="AE57" i="2"/>
  <c r="AC5" i="2"/>
  <c r="Y6" i="2"/>
  <c r="Z6" i="2" s="1"/>
  <c r="AA6" i="2" s="1"/>
  <c r="AD7" i="2"/>
  <c r="AE7" i="2" s="1"/>
  <c r="AD12" i="2"/>
  <c r="AE12" i="2" s="1"/>
  <c r="AD19" i="2"/>
  <c r="V19" i="2"/>
  <c r="W19" i="2" s="1"/>
  <c r="X19" i="2" s="1"/>
  <c r="AB19" i="2"/>
  <c r="AC19" i="2"/>
  <c r="V29" i="2"/>
  <c r="W29" i="2" s="1"/>
  <c r="X29" i="2" s="1"/>
  <c r="AC29" i="2"/>
  <c r="AD29" i="2"/>
  <c r="AE29" i="2" s="1"/>
  <c r="AE50" i="2"/>
  <c r="AC52" i="2"/>
  <c r="AB52" i="2"/>
  <c r="AE52" i="2" s="1"/>
  <c r="Y52" i="2"/>
  <c r="Z52" i="2" s="1"/>
  <c r="AA52" i="2" s="1"/>
  <c r="AC116" i="2"/>
  <c r="AB116" i="2"/>
  <c r="AE116" i="2" s="1"/>
  <c r="Y116" i="2"/>
  <c r="Z116" i="2" s="1"/>
  <c r="AA116" i="2" s="1"/>
  <c r="AC13" i="2"/>
  <c r="AC58" i="2"/>
  <c r="V76" i="2"/>
  <c r="W76" i="2" s="1"/>
  <c r="X76" i="2" s="1"/>
  <c r="AB6" i="2"/>
  <c r="AB2" i="2"/>
  <c r="AB4" i="2"/>
  <c r="AE4" i="2" s="1"/>
  <c r="AD6" i="2"/>
  <c r="Y26" i="2"/>
  <c r="Z26" i="2" s="1"/>
  <c r="AA26" i="2" s="1"/>
  <c r="V26" i="2"/>
  <c r="W26" i="2" s="1"/>
  <c r="X26" i="2" s="1"/>
  <c r="AD26" i="2"/>
  <c r="AE33" i="2"/>
  <c r="AB88" i="2"/>
  <c r="Y88" i="2"/>
  <c r="Z88" i="2" s="1"/>
  <c r="AA88" i="2" s="1"/>
  <c r="AC91" i="2"/>
  <c r="Y91" i="2"/>
  <c r="Z91" i="2" s="1"/>
  <c r="AA91" i="2" s="1"/>
  <c r="V91" i="2"/>
  <c r="W91" i="2" s="1"/>
  <c r="X91" i="2" s="1"/>
  <c r="AD91" i="2"/>
  <c r="AE91" i="2" s="1"/>
  <c r="AD130" i="2"/>
  <c r="V130" i="2"/>
  <c r="W130" i="2" s="1"/>
  <c r="X130" i="2" s="1"/>
  <c r="AC130" i="2"/>
  <c r="AB130" i="2"/>
  <c r="Y130" i="2"/>
  <c r="Z130" i="2" s="1"/>
  <c r="AA130" i="2" s="1"/>
  <c r="V6" i="2"/>
  <c r="W6" i="2" s="1"/>
  <c r="X6" i="2" s="1"/>
  <c r="AD11" i="2"/>
  <c r="V11" i="2"/>
  <c r="W11" i="2" s="1"/>
  <c r="X11" i="2" s="1"/>
  <c r="AB11" i="2"/>
  <c r="AC11" i="2"/>
  <c r="AC15" i="2"/>
  <c r="AD21" i="2"/>
  <c r="AE21" i="2" s="1"/>
  <c r="AD9" i="2"/>
  <c r="V9" i="2"/>
  <c r="W9" i="2" s="1"/>
  <c r="X9" i="2" s="1"/>
  <c r="AB9" i="2"/>
  <c r="V34" i="2"/>
  <c r="W34" i="2" s="1"/>
  <c r="X34" i="2" s="1"/>
  <c r="AB40" i="2"/>
  <c r="AE40" i="2" s="1"/>
  <c r="Y40" i="2"/>
  <c r="Z40" i="2" s="1"/>
  <c r="AA40" i="2" s="1"/>
  <c r="AC9" i="2"/>
  <c r="AC12" i="2"/>
  <c r="Y17" i="2"/>
  <c r="Z17" i="2" s="1"/>
  <c r="AA17" i="2" s="1"/>
  <c r="V21" i="2"/>
  <c r="W21" i="2" s="1"/>
  <c r="X21" i="2" s="1"/>
  <c r="V33" i="2"/>
  <c r="W33" i="2" s="1"/>
  <c r="X33" i="2" s="1"/>
  <c r="Y34" i="2"/>
  <c r="Z34" i="2" s="1"/>
  <c r="AA34" i="2" s="1"/>
  <c r="AE41" i="2"/>
  <c r="Y14" i="2"/>
  <c r="Z14" i="2" s="1"/>
  <c r="AA14" i="2" s="1"/>
  <c r="V15" i="2"/>
  <c r="W15" i="2" s="1"/>
  <c r="X15" i="2" s="1"/>
  <c r="AB79" i="2"/>
  <c r="AE79" i="2" s="1"/>
  <c r="AC124" i="2"/>
  <c r="AB124" i="2"/>
  <c r="AE124" i="2" s="1"/>
  <c r="Y124" i="2"/>
  <c r="Z124" i="2" s="1"/>
  <c r="AA124" i="2" s="1"/>
  <c r="V124" i="2"/>
  <c r="W124" i="2" s="1"/>
  <c r="X124" i="2" s="1"/>
  <c r="AC169" i="2"/>
  <c r="AB169" i="2"/>
  <c r="AD169" i="2"/>
  <c r="Y169" i="2"/>
  <c r="Z169" i="2" s="1"/>
  <c r="AA169" i="2" s="1"/>
  <c r="AC3" i="2"/>
  <c r="AD5" i="2"/>
  <c r="AB10" i="2"/>
  <c r="AE10" i="2" s="1"/>
  <c r="AE20" i="2"/>
  <c r="V22" i="2"/>
  <c r="W22" i="2" s="1"/>
  <c r="X22" i="2" s="1"/>
  <c r="Y24" i="2"/>
  <c r="Z24" i="2" s="1"/>
  <c r="AA24" i="2" s="1"/>
  <c r="V24" i="2"/>
  <c r="W24" i="2" s="1"/>
  <c r="X24" i="2" s="1"/>
  <c r="AD24" i="2"/>
  <c r="AE24" i="2" s="1"/>
  <c r="V28" i="2"/>
  <c r="W28" i="2" s="1"/>
  <c r="X28" i="2" s="1"/>
  <c r="AB31" i="2"/>
  <c r="AE31" i="2" s="1"/>
  <c r="AB34" i="2"/>
  <c r="AE34" i="2" s="1"/>
  <c r="V40" i="2"/>
  <c r="W40" i="2" s="1"/>
  <c r="X40" i="2" s="1"/>
  <c r="AC50" i="2"/>
  <c r="AC67" i="2"/>
  <c r="Y67" i="2"/>
  <c r="Z67" i="2" s="1"/>
  <c r="AA67" i="2" s="1"/>
  <c r="AD67" i="2"/>
  <c r="AB67" i="2"/>
  <c r="AE67" i="2" s="1"/>
  <c r="V68" i="2"/>
  <c r="W68" i="2" s="1"/>
  <c r="X68" i="2" s="1"/>
  <c r="AE83" i="2"/>
  <c r="Y90" i="2"/>
  <c r="Z90" i="2" s="1"/>
  <c r="AA90" i="2" s="1"/>
  <c r="AE105" i="2"/>
  <c r="AD106" i="2"/>
  <c r="AE106" i="2" s="1"/>
  <c r="V106" i="2"/>
  <c r="W106" i="2" s="1"/>
  <c r="X106" i="2" s="1"/>
  <c r="Y106" i="2"/>
  <c r="Z106" i="2" s="1"/>
  <c r="AA106" i="2" s="1"/>
  <c r="V107" i="2"/>
  <c r="W107" i="2" s="1"/>
  <c r="X107" i="2" s="1"/>
  <c r="AC114" i="2"/>
  <c r="AC122" i="2"/>
  <c r="AC131" i="2"/>
  <c r="Y131" i="2"/>
  <c r="Z131" i="2" s="1"/>
  <c r="AA131" i="2" s="1"/>
  <c r="AD131" i="2"/>
  <c r="AB131" i="2"/>
  <c r="V132" i="2"/>
  <c r="W132" i="2" s="1"/>
  <c r="X132" i="2" s="1"/>
  <c r="AB152" i="2"/>
  <c r="AE152" i="2" s="1"/>
  <c r="Y152" i="2"/>
  <c r="Z152" i="2" s="1"/>
  <c r="AA152" i="2" s="1"/>
  <c r="V152" i="2"/>
  <c r="W152" i="2" s="1"/>
  <c r="X152" i="2" s="1"/>
  <c r="AD3" i="2"/>
  <c r="AE3" i="2" s="1"/>
  <c r="AC10" i="2"/>
  <c r="Y11" i="2"/>
  <c r="Z11" i="2" s="1"/>
  <c r="AA11" i="2" s="1"/>
  <c r="V12" i="2"/>
  <c r="W12" i="2" s="1"/>
  <c r="X12" i="2" s="1"/>
  <c r="AD13" i="2"/>
  <c r="AE13" i="2" s="1"/>
  <c r="AB17" i="2"/>
  <c r="AC20" i="2"/>
  <c r="Y21" i="2"/>
  <c r="Z21" i="2" s="1"/>
  <c r="AA21" i="2" s="1"/>
  <c r="AB25" i="2"/>
  <c r="AC25" i="2"/>
  <c r="AD25" i="2"/>
  <c r="AB26" i="2"/>
  <c r="AE26" i="2" s="1"/>
  <c r="AC31" i="2"/>
  <c r="AC32" i="2"/>
  <c r="AC33" i="2"/>
  <c r="V41" i="2"/>
  <c r="W41" i="2" s="1"/>
  <c r="X41" i="2" s="1"/>
  <c r="Y42" i="2"/>
  <c r="Z42" i="2" s="1"/>
  <c r="AA42" i="2" s="1"/>
  <c r="AC51" i="2"/>
  <c r="Y51" i="2"/>
  <c r="Z51" i="2" s="1"/>
  <c r="AA51" i="2" s="1"/>
  <c r="V51" i="2"/>
  <c r="W51" i="2" s="1"/>
  <c r="X51" i="2" s="1"/>
  <c r="V52" i="2"/>
  <c r="W52" i="2" s="1"/>
  <c r="X52" i="2" s="1"/>
  <c r="AC59" i="2"/>
  <c r="Y59" i="2"/>
  <c r="Z59" i="2" s="1"/>
  <c r="AA59" i="2" s="1"/>
  <c r="AB59" i="2"/>
  <c r="AE59" i="2" s="1"/>
  <c r="AB63" i="2"/>
  <c r="AE63" i="2" s="1"/>
  <c r="AD64" i="2"/>
  <c r="Y68" i="2"/>
  <c r="Z68" i="2" s="1"/>
  <c r="AA68" i="2" s="1"/>
  <c r="AE69" i="2"/>
  <c r="AB80" i="2"/>
  <c r="AE80" i="2" s="1"/>
  <c r="Y80" i="2"/>
  <c r="Z80" i="2" s="1"/>
  <c r="AA80" i="2" s="1"/>
  <c r="V80" i="2"/>
  <c r="W80" i="2" s="1"/>
  <c r="X80" i="2" s="1"/>
  <c r="AB87" i="2"/>
  <c r="AE87" i="2" s="1"/>
  <c r="AD88" i="2"/>
  <c r="Y95" i="2"/>
  <c r="Z95" i="2" s="1"/>
  <c r="AA95" i="2" s="1"/>
  <c r="AD95" i="2"/>
  <c r="V95" i="2"/>
  <c r="W95" i="2" s="1"/>
  <c r="X95" i="2" s="1"/>
  <c r="AC95" i="2"/>
  <c r="AB95" i="2"/>
  <c r="AB104" i="2"/>
  <c r="AE104" i="2" s="1"/>
  <c r="Y104" i="2"/>
  <c r="Z104" i="2" s="1"/>
  <c r="AA104" i="2" s="1"/>
  <c r="AC104" i="2"/>
  <c r="AC115" i="2"/>
  <c r="Y115" i="2"/>
  <c r="Z115" i="2" s="1"/>
  <c r="AA115" i="2" s="1"/>
  <c r="V115" i="2"/>
  <c r="W115" i="2" s="1"/>
  <c r="X115" i="2" s="1"/>
  <c r="V116" i="2"/>
  <c r="W116" i="2" s="1"/>
  <c r="X116" i="2" s="1"/>
  <c r="AC123" i="2"/>
  <c r="Y123" i="2"/>
  <c r="Z123" i="2" s="1"/>
  <c r="AA123" i="2" s="1"/>
  <c r="AB123" i="2"/>
  <c r="AE123" i="2" s="1"/>
  <c r="AB127" i="2"/>
  <c r="AE127" i="2" s="1"/>
  <c r="AD128" i="2"/>
  <c r="Y132" i="2"/>
  <c r="Z132" i="2" s="1"/>
  <c r="AA132" i="2" s="1"/>
  <c r="AE133" i="2"/>
  <c r="AC160" i="2"/>
  <c r="Y160" i="2"/>
  <c r="Z160" i="2" s="1"/>
  <c r="AA160" i="2" s="1"/>
  <c r="AD160" i="2"/>
  <c r="AB160" i="2"/>
  <c r="V169" i="2"/>
  <c r="W169" i="2" s="1"/>
  <c r="X169" i="2" s="1"/>
  <c r="Y196" i="2"/>
  <c r="Z196" i="2" s="1"/>
  <c r="AA196" i="2" s="1"/>
  <c r="AD196" i="2"/>
  <c r="V196" i="2"/>
  <c r="W196" i="2" s="1"/>
  <c r="X196" i="2" s="1"/>
  <c r="AC196" i="2"/>
  <c r="AC200" i="2"/>
  <c r="AB200" i="2"/>
  <c r="AE200" i="2" s="1"/>
  <c r="Y200" i="2"/>
  <c r="Z200" i="2" s="1"/>
  <c r="AA200" i="2" s="1"/>
  <c r="AC201" i="2"/>
  <c r="AB201" i="2"/>
  <c r="AE201" i="2" s="1"/>
  <c r="AC223" i="2"/>
  <c r="Y223" i="2"/>
  <c r="Z223" i="2" s="1"/>
  <c r="AA223" i="2" s="1"/>
  <c r="V223" i="2"/>
  <c r="W223" i="2" s="1"/>
  <c r="X223" i="2" s="1"/>
  <c r="AD263" i="2"/>
  <c r="V263" i="2"/>
  <c r="W263" i="2" s="1"/>
  <c r="X263" i="2" s="1"/>
  <c r="AC263" i="2"/>
  <c r="AB263" i="2"/>
  <c r="AE279" i="2"/>
  <c r="AD412" i="2"/>
  <c r="V412" i="2"/>
  <c r="W412" i="2" s="1"/>
  <c r="X412" i="2" s="1"/>
  <c r="AB412" i="2"/>
  <c r="AC412" i="2"/>
  <c r="Y412" i="2"/>
  <c r="Z412" i="2" s="1"/>
  <c r="AA412" i="2" s="1"/>
  <c r="Y143" i="2"/>
  <c r="Z143" i="2" s="1"/>
  <c r="AA143" i="2" s="1"/>
  <c r="AD143" i="2"/>
  <c r="AE143" i="2" s="1"/>
  <c r="V143" i="2"/>
  <c r="W143" i="2" s="1"/>
  <c r="X143" i="2" s="1"/>
  <c r="AC143" i="2"/>
  <c r="AB144" i="2"/>
  <c r="Y144" i="2"/>
  <c r="Z144" i="2" s="1"/>
  <c r="AA144" i="2" s="1"/>
  <c r="AD144" i="2"/>
  <c r="AB154" i="2"/>
  <c r="AB155" i="2"/>
  <c r="AE155" i="2" s="1"/>
  <c r="Y172" i="2"/>
  <c r="Z172" i="2" s="1"/>
  <c r="AA172" i="2" s="1"/>
  <c r="AD172" i="2"/>
  <c r="AE172" i="2" s="1"/>
  <c r="V172" i="2"/>
  <c r="W172" i="2" s="1"/>
  <c r="X172" i="2" s="1"/>
  <c r="AC172" i="2"/>
  <c r="AB173" i="2"/>
  <c r="Y173" i="2"/>
  <c r="Z173" i="2" s="1"/>
  <c r="AA173" i="2" s="1"/>
  <c r="AD173" i="2"/>
  <c r="Y188" i="2"/>
  <c r="Z188" i="2" s="1"/>
  <c r="AA188" i="2" s="1"/>
  <c r="AD188" i="2"/>
  <c r="AE188" i="2" s="1"/>
  <c r="V188" i="2"/>
  <c r="W188" i="2" s="1"/>
  <c r="X188" i="2" s="1"/>
  <c r="AC188" i="2"/>
  <c r="AC192" i="2"/>
  <c r="AB192" i="2"/>
  <c r="AE192" i="2" s="1"/>
  <c r="Y192" i="2"/>
  <c r="Z192" i="2" s="1"/>
  <c r="AA192" i="2" s="1"/>
  <c r="AC193" i="2"/>
  <c r="AB193" i="2"/>
  <c r="AE193" i="2" s="1"/>
  <c r="Y199" i="2"/>
  <c r="Z199" i="2" s="1"/>
  <c r="AA199" i="2" s="1"/>
  <c r="AD199" i="2"/>
  <c r="AE199" i="2" s="1"/>
  <c r="V199" i="2"/>
  <c r="W199" i="2" s="1"/>
  <c r="X199" i="2" s="1"/>
  <c r="AD210" i="2"/>
  <c r="AE210" i="2" s="1"/>
  <c r="V210" i="2"/>
  <c r="W210" i="2" s="1"/>
  <c r="X210" i="2" s="1"/>
  <c r="Y210" i="2"/>
  <c r="Z210" i="2" s="1"/>
  <c r="AA210" i="2" s="1"/>
  <c r="AC210" i="2"/>
  <c r="AD222" i="2"/>
  <c r="AE222" i="2" s="1"/>
  <c r="AC222" i="2"/>
  <c r="Y222" i="2"/>
  <c r="Z222" i="2" s="1"/>
  <c r="AA222" i="2" s="1"/>
  <c r="Y264" i="2"/>
  <c r="Z264" i="2" s="1"/>
  <c r="AA264" i="2" s="1"/>
  <c r="Y295" i="2"/>
  <c r="Z295" i="2" s="1"/>
  <c r="AA295" i="2" s="1"/>
  <c r="V295" i="2"/>
  <c r="W295" i="2" s="1"/>
  <c r="X295" i="2" s="1"/>
  <c r="AD295" i="2"/>
  <c r="AC295" i="2"/>
  <c r="AB295" i="2"/>
  <c r="AD35" i="2"/>
  <c r="AE35" i="2" s="1"/>
  <c r="AC44" i="2"/>
  <c r="AB44" i="2"/>
  <c r="AE44" i="2" s="1"/>
  <c r="Y71" i="2"/>
  <c r="Z71" i="2" s="1"/>
  <c r="AA71" i="2" s="1"/>
  <c r="AD71" i="2"/>
  <c r="AE71" i="2" s="1"/>
  <c r="V71" i="2"/>
  <c r="W71" i="2" s="1"/>
  <c r="X71" i="2" s="1"/>
  <c r="AC71" i="2"/>
  <c r="AB72" i="2"/>
  <c r="AE72" i="2" s="1"/>
  <c r="Y72" i="2"/>
  <c r="Z72" i="2" s="1"/>
  <c r="AA72" i="2" s="1"/>
  <c r="AD72" i="2"/>
  <c r="AD98" i="2"/>
  <c r="AE98" i="2" s="1"/>
  <c r="V98" i="2"/>
  <c r="W98" i="2" s="1"/>
  <c r="X98" i="2" s="1"/>
  <c r="AC99" i="2"/>
  <c r="Y99" i="2"/>
  <c r="Z99" i="2" s="1"/>
  <c r="AA99" i="2" s="1"/>
  <c r="AE101" i="2"/>
  <c r="AC108" i="2"/>
  <c r="AB108" i="2"/>
  <c r="AE108" i="2" s="1"/>
  <c r="Y135" i="2"/>
  <c r="Z135" i="2" s="1"/>
  <c r="AA135" i="2" s="1"/>
  <c r="AD135" i="2"/>
  <c r="AE135" i="2" s="1"/>
  <c r="V135" i="2"/>
  <c r="W135" i="2" s="1"/>
  <c r="X135" i="2" s="1"/>
  <c r="AC135" i="2"/>
  <c r="AB136" i="2"/>
  <c r="Y136" i="2"/>
  <c r="Z136" i="2" s="1"/>
  <c r="AA136" i="2" s="1"/>
  <c r="AD136" i="2"/>
  <c r="Y164" i="2"/>
  <c r="Z164" i="2" s="1"/>
  <c r="AA164" i="2" s="1"/>
  <c r="AD164" i="2"/>
  <c r="AE164" i="2" s="1"/>
  <c r="V164" i="2"/>
  <c r="W164" i="2" s="1"/>
  <c r="X164" i="2" s="1"/>
  <c r="AC164" i="2"/>
  <c r="AB165" i="2"/>
  <c r="Y165" i="2"/>
  <c r="Z165" i="2" s="1"/>
  <c r="AA165" i="2" s="1"/>
  <c r="AD165" i="2"/>
  <c r="Y180" i="2"/>
  <c r="Z180" i="2" s="1"/>
  <c r="AA180" i="2" s="1"/>
  <c r="AD180" i="2"/>
  <c r="AE180" i="2" s="1"/>
  <c r="V180" i="2"/>
  <c r="W180" i="2" s="1"/>
  <c r="X180" i="2" s="1"/>
  <c r="AC180" i="2"/>
  <c r="AC184" i="2"/>
  <c r="AB184" i="2"/>
  <c r="AE184" i="2" s="1"/>
  <c r="Y184" i="2"/>
  <c r="Z184" i="2" s="1"/>
  <c r="AA184" i="2" s="1"/>
  <c r="AC185" i="2"/>
  <c r="AB185" i="2"/>
  <c r="AE185" i="2" s="1"/>
  <c r="Y191" i="2"/>
  <c r="Z191" i="2" s="1"/>
  <c r="AA191" i="2" s="1"/>
  <c r="AD191" i="2"/>
  <c r="AE191" i="2" s="1"/>
  <c r="V191" i="2"/>
  <c r="W191" i="2" s="1"/>
  <c r="X191" i="2" s="1"/>
  <c r="V200" i="2"/>
  <c r="W200" i="2" s="1"/>
  <c r="X200" i="2" s="1"/>
  <c r="V201" i="2"/>
  <c r="W201" i="2" s="1"/>
  <c r="X201" i="2" s="1"/>
  <c r="Y232" i="2"/>
  <c r="Z232" i="2" s="1"/>
  <c r="AA232" i="2" s="1"/>
  <c r="V232" i="2"/>
  <c r="W232" i="2" s="1"/>
  <c r="X232" i="2" s="1"/>
  <c r="AD232" i="2"/>
  <c r="AE232" i="2" s="1"/>
  <c r="AD234" i="2"/>
  <c r="AE234" i="2" s="1"/>
  <c r="V234" i="2"/>
  <c r="W234" i="2" s="1"/>
  <c r="X234" i="2" s="1"/>
  <c r="Y234" i="2"/>
  <c r="Z234" i="2" s="1"/>
  <c r="AA234" i="2" s="1"/>
  <c r="AB270" i="2"/>
  <c r="AE270" i="2" s="1"/>
  <c r="AC270" i="2"/>
  <c r="Y270" i="2"/>
  <c r="Z270" i="2" s="1"/>
  <c r="AA270" i="2" s="1"/>
  <c r="V270" i="2"/>
  <c r="W270" i="2" s="1"/>
  <c r="X270" i="2" s="1"/>
  <c r="AB278" i="2"/>
  <c r="AE278" i="2" s="1"/>
  <c r="Y278" i="2"/>
  <c r="Z278" i="2" s="1"/>
  <c r="AA278" i="2" s="1"/>
  <c r="V278" i="2"/>
  <c r="W278" i="2" s="1"/>
  <c r="X278" i="2" s="1"/>
  <c r="AD154" i="2"/>
  <c r="V154" i="2"/>
  <c r="W154" i="2" s="1"/>
  <c r="X154" i="2" s="1"/>
  <c r="AC155" i="2"/>
  <c r="Y155" i="2"/>
  <c r="Z155" i="2" s="1"/>
  <c r="AA155" i="2" s="1"/>
  <c r="AC176" i="2"/>
  <c r="AB176" i="2"/>
  <c r="AE176" i="2" s="1"/>
  <c r="Y176" i="2"/>
  <c r="Z176" i="2" s="1"/>
  <c r="AA176" i="2" s="1"/>
  <c r="AC177" i="2"/>
  <c r="AB177" i="2"/>
  <c r="AE177" i="2" s="1"/>
  <c r="Y183" i="2"/>
  <c r="Z183" i="2" s="1"/>
  <c r="AA183" i="2" s="1"/>
  <c r="AD183" i="2"/>
  <c r="AE183" i="2" s="1"/>
  <c r="V183" i="2"/>
  <c r="W183" i="2" s="1"/>
  <c r="X183" i="2" s="1"/>
  <c r="Y201" i="2"/>
  <c r="Z201" i="2" s="1"/>
  <c r="AA201" i="2" s="1"/>
  <c r="Y214" i="2"/>
  <c r="Z214" i="2" s="1"/>
  <c r="AA214" i="2" s="1"/>
  <c r="V214" i="2"/>
  <c r="W214" i="2" s="1"/>
  <c r="X214" i="2" s="1"/>
  <c r="Y221" i="2"/>
  <c r="Z221" i="2" s="1"/>
  <c r="AA221" i="2" s="1"/>
  <c r="AD221" i="2"/>
  <c r="AE221" i="2" s="1"/>
  <c r="AC221" i="2"/>
  <c r="AC241" i="2"/>
  <c r="V241" i="2"/>
  <c r="W241" i="2" s="1"/>
  <c r="X241" i="2" s="1"/>
  <c r="AD241" i="2"/>
  <c r="AB241" i="2"/>
  <c r="Y241" i="2"/>
  <c r="Z241" i="2" s="1"/>
  <c r="AA241" i="2" s="1"/>
  <c r="Y261" i="2"/>
  <c r="Z261" i="2" s="1"/>
  <c r="AA261" i="2" s="1"/>
  <c r="AD261" i="2"/>
  <c r="AE261" i="2" s="1"/>
  <c r="V261" i="2"/>
  <c r="W261" i="2" s="1"/>
  <c r="X261" i="2" s="1"/>
  <c r="Y263" i="2"/>
  <c r="Z263" i="2" s="1"/>
  <c r="AA263" i="2" s="1"/>
  <c r="AD23" i="2"/>
  <c r="V23" i="2"/>
  <c r="W23" i="2" s="1"/>
  <c r="X23" i="2" s="1"/>
  <c r="AB23" i="2"/>
  <c r="AD36" i="2"/>
  <c r="AE36" i="2" s="1"/>
  <c r="Y55" i="2"/>
  <c r="Z55" i="2" s="1"/>
  <c r="AA55" i="2" s="1"/>
  <c r="AD55" i="2"/>
  <c r="AE55" i="2" s="1"/>
  <c r="V55" i="2"/>
  <c r="W55" i="2" s="1"/>
  <c r="X55" i="2" s="1"/>
  <c r="AC55" i="2"/>
  <c r="AB56" i="2"/>
  <c r="Y56" i="2"/>
  <c r="Z56" i="2" s="1"/>
  <c r="AA56" i="2" s="1"/>
  <c r="AD56" i="2"/>
  <c r="AD82" i="2"/>
  <c r="AE82" i="2" s="1"/>
  <c r="V82" i="2"/>
  <c r="W82" i="2" s="1"/>
  <c r="X82" i="2" s="1"/>
  <c r="AC83" i="2"/>
  <c r="Y83" i="2"/>
  <c r="Z83" i="2" s="1"/>
  <c r="AA83" i="2" s="1"/>
  <c r="AE85" i="2"/>
  <c r="AC92" i="2"/>
  <c r="AB92" i="2"/>
  <c r="AE92" i="2" s="1"/>
  <c r="Y119" i="2"/>
  <c r="Z119" i="2" s="1"/>
  <c r="AA119" i="2" s="1"/>
  <c r="AD119" i="2"/>
  <c r="AE119" i="2" s="1"/>
  <c r="V119" i="2"/>
  <c r="W119" i="2" s="1"/>
  <c r="X119" i="2" s="1"/>
  <c r="AC119" i="2"/>
  <c r="AB120" i="2"/>
  <c r="Y120" i="2"/>
  <c r="Z120" i="2" s="1"/>
  <c r="AA120" i="2" s="1"/>
  <c r="AD120" i="2"/>
  <c r="V144" i="2"/>
  <c r="W144" i="2" s="1"/>
  <c r="X144" i="2" s="1"/>
  <c r="AD146" i="2"/>
  <c r="AE146" i="2" s="1"/>
  <c r="V146" i="2"/>
  <c r="W146" i="2" s="1"/>
  <c r="X146" i="2" s="1"/>
  <c r="AC147" i="2"/>
  <c r="Y147" i="2"/>
  <c r="Z147" i="2" s="1"/>
  <c r="AA147" i="2" s="1"/>
  <c r="AE149" i="2"/>
  <c r="AC156" i="2"/>
  <c r="AB156" i="2"/>
  <c r="AE156" i="2" s="1"/>
  <c r="V173" i="2"/>
  <c r="W173" i="2" s="1"/>
  <c r="X173" i="2" s="1"/>
  <c r="Y175" i="2"/>
  <c r="Z175" i="2" s="1"/>
  <c r="AA175" i="2" s="1"/>
  <c r="AD175" i="2"/>
  <c r="AE175" i="2" s="1"/>
  <c r="V175" i="2"/>
  <c r="W175" i="2" s="1"/>
  <c r="X175" i="2" s="1"/>
  <c r="V184" i="2"/>
  <c r="W184" i="2" s="1"/>
  <c r="X184" i="2" s="1"/>
  <c r="V185" i="2"/>
  <c r="W185" i="2" s="1"/>
  <c r="X185" i="2" s="1"/>
  <c r="Y193" i="2"/>
  <c r="Z193" i="2" s="1"/>
  <c r="AA193" i="2" s="1"/>
  <c r="AE202" i="2"/>
  <c r="Y219" i="2"/>
  <c r="Z219" i="2" s="1"/>
  <c r="AA219" i="2" s="1"/>
  <c r="AD219" i="2"/>
  <c r="AE219" i="2" s="1"/>
  <c r="AC219" i="2"/>
  <c r="AB223" i="2"/>
  <c r="AE229" i="2"/>
  <c r="AD230" i="2"/>
  <c r="AE230" i="2" s="1"/>
  <c r="AC230" i="2"/>
  <c r="AB342" i="2"/>
  <c r="AE342" i="2" s="1"/>
  <c r="V342" i="2"/>
  <c r="W342" i="2" s="1"/>
  <c r="X342" i="2" s="1"/>
  <c r="AC342" i="2"/>
  <c r="AD342" i="2"/>
  <c r="Y342" i="2"/>
  <c r="Z342" i="2" s="1"/>
  <c r="AA342" i="2" s="1"/>
  <c r="Y47" i="2"/>
  <c r="Z47" i="2" s="1"/>
  <c r="AA47" i="2" s="1"/>
  <c r="AD47" i="2"/>
  <c r="AE47" i="2" s="1"/>
  <c r="V47" i="2"/>
  <c r="W47" i="2" s="1"/>
  <c r="X47" i="2" s="1"/>
  <c r="AC47" i="2"/>
  <c r="AB48" i="2"/>
  <c r="AE48" i="2" s="1"/>
  <c r="Y48" i="2"/>
  <c r="Z48" i="2" s="1"/>
  <c r="AA48" i="2" s="1"/>
  <c r="AD48" i="2"/>
  <c r="AD74" i="2"/>
  <c r="AE74" i="2" s="1"/>
  <c r="V74" i="2"/>
  <c r="W74" i="2" s="1"/>
  <c r="X74" i="2" s="1"/>
  <c r="AC75" i="2"/>
  <c r="Y75" i="2"/>
  <c r="Z75" i="2" s="1"/>
  <c r="AA75" i="2" s="1"/>
  <c r="AE77" i="2"/>
  <c r="AC84" i="2"/>
  <c r="AB84" i="2"/>
  <c r="AE84" i="2" s="1"/>
  <c r="Y111" i="2"/>
  <c r="Z111" i="2" s="1"/>
  <c r="AA111" i="2" s="1"/>
  <c r="AD111" i="2"/>
  <c r="AE111" i="2" s="1"/>
  <c r="V111" i="2"/>
  <c r="W111" i="2" s="1"/>
  <c r="X111" i="2" s="1"/>
  <c r="AC111" i="2"/>
  <c r="AB112" i="2"/>
  <c r="Y112" i="2"/>
  <c r="Z112" i="2" s="1"/>
  <c r="AA112" i="2" s="1"/>
  <c r="AD112" i="2"/>
  <c r="AD138" i="2"/>
  <c r="AE138" i="2" s="1"/>
  <c r="V138" i="2"/>
  <c r="W138" i="2" s="1"/>
  <c r="X138" i="2" s="1"/>
  <c r="AC139" i="2"/>
  <c r="Y139" i="2"/>
  <c r="Z139" i="2" s="1"/>
  <c r="AA139" i="2" s="1"/>
  <c r="AE141" i="2"/>
  <c r="AC148" i="2"/>
  <c r="AB148" i="2"/>
  <c r="AE148" i="2" s="1"/>
  <c r="V155" i="2"/>
  <c r="W155" i="2" s="1"/>
  <c r="X155" i="2" s="1"/>
  <c r="AD167" i="2"/>
  <c r="AE167" i="2" s="1"/>
  <c r="V167" i="2"/>
  <c r="W167" i="2" s="1"/>
  <c r="X167" i="2" s="1"/>
  <c r="AC168" i="2"/>
  <c r="Y168" i="2"/>
  <c r="Z168" i="2" s="1"/>
  <c r="AA168" i="2" s="1"/>
  <c r="AE170" i="2"/>
  <c r="V176" i="2"/>
  <c r="W176" i="2" s="1"/>
  <c r="X176" i="2" s="1"/>
  <c r="V177" i="2"/>
  <c r="W177" i="2" s="1"/>
  <c r="X177" i="2" s="1"/>
  <c r="AE194" i="2"/>
  <c r="AB196" i="2"/>
  <c r="AE196" i="2" s="1"/>
  <c r="AD213" i="2"/>
  <c r="AE213" i="2" s="1"/>
  <c r="AC213" i="2"/>
  <c r="V221" i="2"/>
  <c r="W221" i="2" s="1"/>
  <c r="X221" i="2" s="1"/>
  <c r="AD223" i="2"/>
  <c r="AB238" i="2"/>
  <c r="AE238" i="2" s="1"/>
  <c r="Y238" i="2"/>
  <c r="Z238" i="2" s="1"/>
  <c r="AA238" i="2" s="1"/>
  <c r="AC264" i="2"/>
  <c r="AB264" i="2"/>
  <c r="AE264" i="2" s="1"/>
  <c r="AD284" i="2"/>
  <c r="V284" i="2"/>
  <c r="W284" i="2" s="1"/>
  <c r="X284" i="2" s="1"/>
  <c r="AC284" i="2"/>
  <c r="AB284" i="2"/>
  <c r="Y284" i="2"/>
  <c r="Z284" i="2" s="1"/>
  <c r="AA284" i="2" s="1"/>
  <c r="AB286" i="2"/>
  <c r="Y286" i="2"/>
  <c r="Z286" i="2" s="1"/>
  <c r="AA286" i="2" s="1"/>
  <c r="AD286" i="2"/>
  <c r="AC286" i="2"/>
  <c r="V286" i="2"/>
  <c r="W286" i="2" s="1"/>
  <c r="X286" i="2" s="1"/>
  <c r="AC289" i="2"/>
  <c r="V289" i="2"/>
  <c r="W289" i="2" s="1"/>
  <c r="X289" i="2" s="1"/>
  <c r="AD289" i="2"/>
  <c r="AB289" i="2"/>
  <c r="AE289" i="2" s="1"/>
  <c r="Y289" i="2"/>
  <c r="Z289" i="2" s="1"/>
  <c r="AA289" i="2" s="1"/>
  <c r="AD292" i="2"/>
  <c r="V292" i="2"/>
  <c r="W292" i="2" s="1"/>
  <c r="X292" i="2" s="1"/>
  <c r="AC292" i="2"/>
  <c r="Y292" i="2"/>
  <c r="Z292" i="2" s="1"/>
  <c r="AA292" i="2" s="1"/>
  <c r="AD308" i="2"/>
  <c r="V308" i="2"/>
  <c r="W308" i="2" s="1"/>
  <c r="X308" i="2" s="1"/>
  <c r="Y308" i="2"/>
  <c r="Z308" i="2" s="1"/>
  <c r="AA308" i="2" s="1"/>
  <c r="AD319" i="2"/>
  <c r="AB319" i="2"/>
  <c r="AC336" i="2"/>
  <c r="AB336" i="2"/>
  <c r="Y336" i="2"/>
  <c r="Z336" i="2" s="1"/>
  <c r="AA336" i="2" s="1"/>
  <c r="V352" i="2"/>
  <c r="W352" i="2" s="1"/>
  <c r="X352" i="2" s="1"/>
  <c r="AD352" i="2"/>
  <c r="AE352" i="2" s="1"/>
  <c r="Y352" i="2"/>
  <c r="Z352" i="2" s="1"/>
  <c r="AA352" i="2" s="1"/>
  <c r="Y357" i="2"/>
  <c r="Z357" i="2" s="1"/>
  <c r="AA357" i="2" s="1"/>
  <c r="AC357" i="2"/>
  <c r="V357" i="2"/>
  <c r="W357" i="2" s="1"/>
  <c r="X357" i="2" s="1"/>
  <c r="AC361" i="2"/>
  <c r="V361" i="2"/>
  <c r="W361" i="2" s="1"/>
  <c r="X361" i="2" s="1"/>
  <c r="AD361" i="2"/>
  <c r="AB361" i="2"/>
  <c r="Y361" i="2"/>
  <c r="Z361" i="2" s="1"/>
  <c r="AA361" i="2" s="1"/>
  <c r="AB206" i="2"/>
  <c r="AE206" i="2" s="1"/>
  <c r="Y231" i="2"/>
  <c r="Z231" i="2" s="1"/>
  <c r="AA231" i="2" s="1"/>
  <c r="AD247" i="2"/>
  <c r="AE247" i="2" s="1"/>
  <c r="AD252" i="2"/>
  <c r="AE252" i="2" s="1"/>
  <c r="V252" i="2"/>
  <c r="W252" i="2" s="1"/>
  <c r="X252" i="2" s="1"/>
  <c r="AC252" i="2"/>
  <c r="AD258" i="2"/>
  <c r="AE258" i="2" s="1"/>
  <c r="AB262" i="2"/>
  <c r="Y262" i="2"/>
  <c r="Z262" i="2" s="1"/>
  <c r="AA262" i="2" s="1"/>
  <c r="AD262" i="2"/>
  <c r="AC262" i="2"/>
  <c r="AD271" i="2"/>
  <c r="AE271" i="2" s="1"/>
  <c r="Y280" i="2"/>
  <c r="Z280" i="2" s="1"/>
  <c r="AA280" i="2" s="1"/>
  <c r="AD280" i="2"/>
  <c r="AE280" i="2" s="1"/>
  <c r="AD327" i="2"/>
  <c r="Y327" i="2"/>
  <c r="Z327" i="2" s="1"/>
  <c r="AA327" i="2" s="1"/>
  <c r="V327" i="2"/>
  <c r="W327" i="2" s="1"/>
  <c r="X327" i="2" s="1"/>
  <c r="AB158" i="2"/>
  <c r="AE158" i="2" s="1"/>
  <c r="Y181" i="2"/>
  <c r="Z181" i="2" s="1"/>
  <c r="AA181" i="2" s="1"/>
  <c r="Y189" i="2"/>
  <c r="Z189" i="2" s="1"/>
  <c r="AA189" i="2" s="1"/>
  <c r="Y197" i="2"/>
  <c r="Z197" i="2" s="1"/>
  <c r="AA197" i="2" s="1"/>
  <c r="Y205" i="2"/>
  <c r="Z205" i="2" s="1"/>
  <c r="AA205" i="2" s="1"/>
  <c r="AB215" i="2"/>
  <c r="AE215" i="2" s="1"/>
  <c r="Y220" i="2"/>
  <c r="Z220" i="2" s="1"/>
  <c r="AA220" i="2" s="1"/>
  <c r="AB224" i="2"/>
  <c r="AE224" i="2" s="1"/>
  <c r="AD226" i="2"/>
  <c r="V226" i="2"/>
  <c r="W226" i="2" s="1"/>
  <c r="X226" i="2" s="1"/>
  <c r="AB226" i="2"/>
  <c r="AC228" i="2"/>
  <c r="AD235" i="2"/>
  <c r="AE235" i="2" s="1"/>
  <c r="AB239" i="2"/>
  <c r="AE239" i="2" s="1"/>
  <c r="AB245" i="2"/>
  <c r="AD248" i="2"/>
  <c r="AE248" i="2" s="1"/>
  <c r="AE274" i="2"/>
  <c r="AE275" i="2"/>
  <c r="AC281" i="2"/>
  <c r="AD281" i="2"/>
  <c r="AE281" i="2" s="1"/>
  <c r="V281" i="2"/>
  <c r="W281" i="2" s="1"/>
  <c r="X281" i="2" s="1"/>
  <c r="AD314" i="2"/>
  <c r="V314" i="2"/>
  <c r="W314" i="2" s="1"/>
  <c r="X314" i="2" s="1"/>
  <c r="Y317" i="2"/>
  <c r="Z317" i="2" s="1"/>
  <c r="AA317" i="2" s="1"/>
  <c r="AB317" i="2"/>
  <c r="AE317" i="2" s="1"/>
  <c r="V317" i="2"/>
  <c r="W317" i="2" s="1"/>
  <c r="X317" i="2" s="1"/>
  <c r="V319" i="2"/>
  <c r="W319" i="2" s="1"/>
  <c r="X319" i="2" s="1"/>
  <c r="Y333" i="2"/>
  <c r="Z333" i="2" s="1"/>
  <c r="AA333" i="2" s="1"/>
  <c r="AB333" i="2"/>
  <c r="AE333" i="2" s="1"/>
  <c r="V333" i="2"/>
  <c r="W333" i="2" s="1"/>
  <c r="X333" i="2" s="1"/>
  <c r="V336" i="2"/>
  <c r="W336" i="2" s="1"/>
  <c r="X336" i="2" s="1"/>
  <c r="AD362" i="2"/>
  <c r="AB362" i="2"/>
  <c r="Y362" i="2"/>
  <c r="Z362" i="2" s="1"/>
  <c r="AA362" i="2" s="1"/>
  <c r="V362" i="2"/>
  <c r="W362" i="2" s="1"/>
  <c r="X362" i="2" s="1"/>
  <c r="Y369" i="2"/>
  <c r="Z369" i="2" s="1"/>
  <c r="AA369" i="2" s="1"/>
  <c r="V369" i="2"/>
  <c r="W369" i="2" s="1"/>
  <c r="X369" i="2" s="1"/>
  <c r="AD369" i="2"/>
  <c r="AC369" i="2"/>
  <c r="AB369" i="2"/>
  <c r="Y304" i="2"/>
  <c r="Z304" i="2" s="1"/>
  <c r="AA304" i="2" s="1"/>
  <c r="AB304" i="2"/>
  <c r="AE304" i="2" s="1"/>
  <c r="V304" i="2"/>
  <c r="W304" i="2" s="1"/>
  <c r="X304" i="2" s="1"/>
  <c r="AB231" i="2"/>
  <c r="AD236" i="2"/>
  <c r="AE236" i="2" s="1"/>
  <c r="V236" i="2"/>
  <c r="W236" i="2" s="1"/>
  <c r="X236" i="2" s="1"/>
  <c r="AC236" i="2"/>
  <c r="AD245" i="2"/>
  <c r="AC249" i="2"/>
  <c r="Y249" i="2"/>
  <c r="Z249" i="2" s="1"/>
  <c r="AA249" i="2" s="1"/>
  <c r="AD249" i="2"/>
  <c r="AE249" i="2" s="1"/>
  <c r="AB254" i="2"/>
  <c r="V254" i="2"/>
  <c r="W254" i="2" s="1"/>
  <c r="X254" i="2" s="1"/>
  <c r="Y254" i="2"/>
  <c r="Z254" i="2" s="1"/>
  <c r="AA254" i="2" s="1"/>
  <c r="AD254" i="2"/>
  <c r="Y319" i="2"/>
  <c r="Z319" i="2" s="1"/>
  <c r="AA319" i="2" s="1"/>
  <c r="Y325" i="2"/>
  <c r="Z325" i="2" s="1"/>
  <c r="AA325" i="2" s="1"/>
  <c r="AD325" i="2"/>
  <c r="V325" i="2"/>
  <c r="W325" i="2" s="1"/>
  <c r="X325" i="2" s="1"/>
  <c r="AB325" i="2"/>
  <c r="AE325" i="2" s="1"/>
  <c r="AD336" i="2"/>
  <c r="V351" i="2"/>
  <c r="W351" i="2" s="1"/>
  <c r="X351" i="2" s="1"/>
  <c r="AC351" i="2"/>
  <c r="AB351" i="2"/>
  <c r="AE351" i="2" s="1"/>
  <c r="Y351" i="2"/>
  <c r="Z351" i="2" s="1"/>
  <c r="AA351" i="2" s="1"/>
  <c r="AD356" i="2"/>
  <c r="V356" i="2"/>
  <c r="W356" i="2" s="1"/>
  <c r="X356" i="2" s="1"/>
  <c r="AC356" i="2"/>
  <c r="AB356" i="2"/>
  <c r="Y356" i="2"/>
  <c r="Z356" i="2" s="1"/>
  <c r="AA356" i="2" s="1"/>
  <c r="AC359" i="2"/>
  <c r="AB359" i="2"/>
  <c r="AE359" i="2" s="1"/>
  <c r="Y359" i="2"/>
  <c r="Z359" i="2" s="1"/>
  <c r="AA359" i="2" s="1"/>
  <c r="V38" i="2"/>
  <c r="W38" i="2" s="1"/>
  <c r="X38" i="2" s="1"/>
  <c r="V46" i="2"/>
  <c r="W46" i="2" s="1"/>
  <c r="X46" i="2" s="1"/>
  <c r="V54" i="2"/>
  <c r="W54" i="2" s="1"/>
  <c r="X54" i="2" s="1"/>
  <c r="V62" i="2"/>
  <c r="W62" i="2" s="1"/>
  <c r="X62" i="2" s="1"/>
  <c r="V70" i="2"/>
  <c r="W70" i="2" s="1"/>
  <c r="X70" i="2" s="1"/>
  <c r="V78" i="2"/>
  <c r="W78" i="2" s="1"/>
  <c r="X78" i="2" s="1"/>
  <c r="V86" i="2"/>
  <c r="W86" i="2" s="1"/>
  <c r="X86" i="2" s="1"/>
  <c r="V94" i="2"/>
  <c r="W94" i="2" s="1"/>
  <c r="X94" i="2" s="1"/>
  <c r="V102" i="2"/>
  <c r="W102" i="2" s="1"/>
  <c r="X102" i="2" s="1"/>
  <c r="V110" i="2"/>
  <c r="W110" i="2" s="1"/>
  <c r="X110" i="2" s="1"/>
  <c r="V118" i="2"/>
  <c r="W118" i="2" s="1"/>
  <c r="X118" i="2" s="1"/>
  <c r="V126" i="2"/>
  <c r="W126" i="2" s="1"/>
  <c r="X126" i="2" s="1"/>
  <c r="V134" i="2"/>
  <c r="W134" i="2" s="1"/>
  <c r="X134" i="2" s="1"/>
  <c r="V142" i="2"/>
  <c r="W142" i="2" s="1"/>
  <c r="X142" i="2" s="1"/>
  <c r="V150" i="2"/>
  <c r="W150" i="2" s="1"/>
  <c r="X150" i="2" s="1"/>
  <c r="V163" i="2"/>
  <c r="W163" i="2" s="1"/>
  <c r="X163" i="2" s="1"/>
  <c r="V171" i="2"/>
  <c r="W171" i="2" s="1"/>
  <c r="X171" i="2" s="1"/>
  <c r="V179" i="2"/>
  <c r="W179" i="2" s="1"/>
  <c r="X179" i="2" s="1"/>
  <c r="V187" i="2"/>
  <c r="W187" i="2" s="1"/>
  <c r="X187" i="2" s="1"/>
  <c r="V195" i="2"/>
  <c r="W195" i="2" s="1"/>
  <c r="X195" i="2" s="1"/>
  <c r="V203" i="2"/>
  <c r="W203" i="2" s="1"/>
  <c r="X203" i="2" s="1"/>
  <c r="AB207" i="2"/>
  <c r="AE207" i="2" s="1"/>
  <c r="AD218" i="2"/>
  <c r="V218" i="2"/>
  <c r="W218" i="2" s="1"/>
  <c r="X218" i="2" s="1"/>
  <c r="AB218" i="2"/>
  <c r="AC220" i="2"/>
  <c r="AB227" i="2"/>
  <c r="AE227" i="2" s="1"/>
  <c r="AD231" i="2"/>
  <c r="V239" i="2"/>
  <c r="W239" i="2" s="1"/>
  <c r="X239" i="2" s="1"/>
  <c r="V248" i="2"/>
  <c r="W248" i="2" s="1"/>
  <c r="X248" i="2" s="1"/>
  <c r="AD250" i="2"/>
  <c r="AB250" i="2"/>
  <c r="Y252" i="2"/>
  <c r="Z252" i="2" s="1"/>
  <c r="AA252" i="2" s="1"/>
  <c r="AD255" i="2"/>
  <c r="AE255" i="2" s="1"/>
  <c r="AC265" i="2"/>
  <c r="V265" i="2"/>
  <c r="W265" i="2" s="1"/>
  <c r="X265" i="2" s="1"/>
  <c r="AD276" i="2"/>
  <c r="V276" i="2"/>
  <c r="W276" i="2" s="1"/>
  <c r="X276" i="2" s="1"/>
  <c r="AB276" i="2"/>
  <c r="AB292" i="2"/>
  <c r="AC297" i="2"/>
  <c r="V297" i="2"/>
  <c r="W297" i="2" s="1"/>
  <c r="X297" i="2" s="1"/>
  <c r="AB297" i="2"/>
  <c r="AE297" i="2" s="1"/>
  <c r="Y301" i="2"/>
  <c r="Z301" i="2" s="1"/>
  <c r="AA301" i="2" s="1"/>
  <c r="AC301" i="2"/>
  <c r="V301" i="2"/>
  <c r="W301" i="2" s="1"/>
  <c r="X301" i="2" s="1"/>
  <c r="AB308" i="2"/>
  <c r="Y311" i="2"/>
  <c r="Z311" i="2" s="1"/>
  <c r="AA311" i="2" s="1"/>
  <c r="AD311" i="2"/>
  <c r="AE311" i="2" s="1"/>
  <c r="AB314" i="2"/>
  <c r="AC319" i="2"/>
  <c r="AE327" i="2"/>
  <c r="AC337" i="2"/>
  <c r="AD337" i="2"/>
  <c r="AE337" i="2" s="1"/>
  <c r="Y337" i="2"/>
  <c r="Z337" i="2" s="1"/>
  <c r="AA337" i="2" s="1"/>
  <c r="V337" i="2"/>
  <c r="W337" i="2" s="1"/>
  <c r="X337" i="2" s="1"/>
  <c r="V338" i="2"/>
  <c r="W338" i="2" s="1"/>
  <c r="X338" i="2" s="1"/>
  <c r="AC352" i="2"/>
  <c r="AD357" i="2"/>
  <c r="AE357" i="2" s="1"/>
  <c r="AC362" i="2"/>
  <c r="AD387" i="2"/>
  <c r="AC387" i="2"/>
  <c r="Y387" i="2"/>
  <c r="Z387" i="2" s="1"/>
  <c r="AA387" i="2" s="1"/>
  <c r="AB387" i="2"/>
  <c r="V387" i="2"/>
  <c r="W387" i="2" s="1"/>
  <c r="X387" i="2" s="1"/>
  <c r="AC353" i="2"/>
  <c r="AB353" i="2"/>
  <c r="AE353" i="2" s="1"/>
  <c r="AD364" i="2"/>
  <c r="AB364" i="2"/>
  <c r="AE364" i="2" s="1"/>
  <c r="AC365" i="2"/>
  <c r="AD365" i="2"/>
  <c r="V365" i="2"/>
  <c r="W365" i="2" s="1"/>
  <c r="X365" i="2" s="1"/>
  <c r="AD368" i="2"/>
  <c r="V368" i="2"/>
  <c r="W368" i="2" s="1"/>
  <c r="X368" i="2" s="1"/>
  <c r="Y368" i="2"/>
  <c r="Z368" i="2" s="1"/>
  <c r="AA368" i="2" s="1"/>
  <c r="AD376" i="2"/>
  <c r="V376" i="2"/>
  <c r="W376" i="2" s="1"/>
  <c r="X376" i="2" s="1"/>
  <c r="AC376" i="2"/>
  <c r="AB386" i="2"/>
  <c r="Y386" i="2"/>
  <c r="Z386" i="2" s="1"/>
  <c r="AA386" i="2" s="1"/>
  <c r="AC386" i="2"/>
  <c r="V386" i="2"/>
  <c r="W386" i="2" s="1"/>
  <c r="X386" i="2" s="1"/>
  <c r="AC274" i="2"/>
  <c r="AB287" i="2"/>
  <c r="AE287" i="2" s="1"/>
  <c r="AB290" i="2"/>
  <c r="AE290" i="2" s="1"/>
  <c r="AC293" i="2"/>
  <c r="AC296" i="2"/>
  <c r="AC302" i="2"/>
  <c r="Y303" i="2"/>
  <c r="Z303" i="2" s="1"/>
  <c r="AA303" i="2" s="1"/>
  <c r="AC305" i="2"/>
  <c r="V305" i="2"/>
  <c r="W305" i="2" s="1"/>
  <c r="X305" i="2" s="1"/>
  <c r="AD305" i="2"/>
  <c r="AE305" i="2" s="1"/>
  <c r="AB306" i="2"/>
  <c r="AE306" i="2" s="1"/>
  <c r="AB309" i="2"/>
  <c r="AE309" i="2" s="1"/>
  <c r="AB318" i="2"/>
  <c r="AE318" i="2" s="1"/>
  <c r="V318" i="2"/>
  <c r="W318" i="2" s="1"/>
  <c r="X318" i="2" s="1"/>
  <c r="AC318" i="2"/>
  <c r="AB322" i="2"/>
  <c r="AE322" i="2" s="1"/>
  <c r="AD324" i="2"/>
  <c r="AE324" i="2" s="1"/>
  <c r="V324" i="2"/>
  <c r="W324" i="2" s="1"/>
  <c r="X324" i="2" s="1"/>
  <c r="Y324" i="2"/>
  <c r="Z324" i="2" s="1"/>
  <c r="AA324" i="2" s="1"/>
  <c r="AC324" i="2"/>
  <c r="AB334" i="2"/>
  <c r="AE334" i="2" s="1"/>
  <c r="AC334" i="2"/>
  <c r="AD348" i="2"/>
  <c r="AE348" i="2" s="1"/>
  <c r="V348" i="2"/>
  <c r="W348" i="2" s="1"/>
  <c r="X348" i="2" s="1"/>
  <c r="AC348" i="2"/>
  <c r="AD354" i="2"/>
  <c r="AE354" i="2" s="1"/>
  <c r="AB358" i="2"/>
  <c r="AD358" i="2"/>
  <c r="AC358" i="2"/>
  <c r="Y393" i="2"/>
  <c r="Z393" i="2" s="1"/>
  <c r="AA393" i="2" s="1"/>
  <c r="V393" i="2"/>
  <c r="W393" i="2" s="1"/>
  <c r="X393" i="2" s="1"/>
  <c r="AB393" i="2"/>
  <c r="AD393" i="2"/>
  <c r="AB410" i="2"/>
  <c r="AC410" i="2"/>
  <c r="Y410" i="2"/>
  <c r="Z410" i="2" s="1"/>
  <c r="AA410" i="2" s="1"/>
  <c r="AD410" i="2"/>
  <c r="V410" i="2"/>
  <c r="W410" i="2" s="1"/>
  <c r="X410" i="2" s="1"/>
  <c r="Y433" i="2"/>
  <c r="Z433" i="2" s="1"/>
  <c r="AA433" i="2" s="1"/>
  <c r="AC433" i="2"/>
  <c r="AB433" i="2"/>
  <c r="AE433" i="2" s="1"/>
  <c r="V433" i="2"/>
  <c r="W433" i="2" s="1"/>
  <c r="X433" i="2" s="1"/>
  <c r="AD433" i="2"/>
  <c r="AC287" i="2"/>
  <c r="AC306" i="2"/>
  <c r="AC309" i="2"/>
  <c r="AB312" i="2"/>
  <c r="AE312" i="2" s="1"/>
  <c r="AC322" i="2"/>
  <c r="AB345" i="2"/>
  <c r="AE345" i="2" s="1"/>
  <c r="Y349" i="2"/>
  <c r="Z349" i="2" s="1"/>
  <c r="AA349" i="2" s="1"/>
  <c r="AD349" i="2"/>
  <c r="AE349" i="2" s="1"/>
  <c r="AC349" i="2"/>
  <c r="V353" i="2"/>
  <c r="W353" i="2" s="1"/>
  <c r="X353" i="2" s="1"/>
  <c r="AB294" i="2"/>
  <c r="AD294" i="2"/>
  <c r="AD300" i="2"/>
  <c r="AE300" i="2" s="1"/>
  <c r="V300" i="2"/>
  <c r="W300" i="2" s="1"/>
  <c r="X300" i="2" s="1"/>
  <c r="AC300" i="2"/>
  <c r="AB303" i="2"/>
  <c r="AD329" i="2"/>
  <c r="AE329" i="2" s="1"/>
  <c r="AC335" i="2"/>
  <c r="AD340" i="2"/>
  <c r="V340" i="2"/>
  <c r="W340" i="2" s="1"/>
  <c r="X340" i="2" s="1"/>
  <c r="AB340" i="2"/>
  <c r="AB350" i="2"/>
  <c r="AD350" i="2"/>
  <c r="Y350" i="2"/>
  <c r="Z350" i="2" s="1"/>
  <c r="AA350" i="2" s="1"/>
  <c r="AC350" i="2"/>
  <c r="AD360" i="2"/>
  <c r="AE360" i="2" s="1"/>
  <c r="Y364" i="2"/>
  <c r="Z364" i="2" s="1"/>
  <c r="AA364" i="2" s="1"/>
  <c r="Y365" i="2"/>
  <c r="Z365" i="2" s="1"/>
  <c r="AA365" i="2" s="1"/>
  <c r="AE366" i="2"/>
  <c r="AB368" i="2"/>
  <c r="AE368" i="2" s="1"/>
  <c r="Y376" i="2"/>
  <c r="Z376" i="2" s="1"/>
  <c r="AA376" i="2" s="1"/>
  <c r="AD386" i="2"/>
  <c r="Y388" i="2"/>
  <c r="Z388" i="2" s="1"/>
  <c r="AA388" i="2" s="1"/>
  <c r="V388" i="2"/>
  <c r="W388" i="2" s="1"/>
  <c r="X388" i="2" s="1"/>
  <c r="AB388" i="2"/>
  <c r="AE388" i="2" s="1"/>
  <c r="AD400" i="2"/>
  <c r="V400" i="2"/>
  <c r="W400" i="2" s="1"/>
  <c r="X400" i="2" s="1"/>
  <c r="AB400" i="2"/>
  <c r="AE400" i="2" s="1"/>
  <c r="AC400" i="2"/>
  <c r="Y400" i="2"/>
  <c r="Z400" i="2" s="1"/>
  <c r="AA400" i="2" s="1"/>
  <c r="Y237" i="2"/>
  <c r="Z237" i="2" s="1"/>
  <c r="AA237" i="2" s="1"/>
  <c r="AC237" i="2"/>
  <c r="AB237" i="2"/>
  <c r="AE237" i="2" s="1"/>
  <c r="AC240" i="2"/>
  <c r="AC253" i="2"/>
  <c r="AC269" i="2"/>
  <c r="AC272" i="2"/>
  <c r="Y274" i="2"/>
  <c r="Z274" i="2" s="1"/>
  <c r="AA274" i="2" s="1"/>
  <c r="Y285" i="2"/>
  <c r="Z285" i="2" s="1"/>
  <c r="AA285" i="2" s="1"/>
  <c r="V285" i="2"/>
  <c r="W285" i="2" s="1"/>
  <c r="X285" i="2" s="1"/>
  <c r="AC285" i="2"/>
  <c r="AC294" i="2"/>
  <c r="AD303" i="2"/>
  <c r="Y305" i="2"/>
  <c r="Z305" i="2" s="1"/>
  <c r="AA305" i="2" s="1"/>
  <c r="AE307" i="2"/>
  <c r="V309" i="2"/>
  <c r="W309" i="2" s="1"/>
  <c r="X309" i="2" s="1"/>
  <c r="V312" i="2"/>
  <c r="W312" i="2" s="1"/>
  <c r="X312" i="2" s="1"/>
  <c r="AC313" i="2"/>
  <c r="Y313" i="2"/>
  <c r="Z313" i="2" s="1"/>
  <c r="AA313" i="2" s="1"/>
  <c r="AD313" i="2"/>
  <c r="AE313" i="2" s="1"/>
  <c r="AD316" i="2"/>
  <c r="AE316" i="2" s="1"/>
  <c r="V316" i="2"/>
  <c r="W316" i="2" s="1"/>
  <c r="X316" i="2" s="1"/>
  <c r="AC316" i="2"/>
  <c r="V322" i="2"/>
  <c r="W322" i="2" s="1"/>
  <c r="X322" i="2" s="1"/>
  <c r="AB326" i="2"/>
  <c r="AE326" i="2" s="1"/>
  <c r="Y326" i="2"/>
  <c r="Z326" i="2" s="1"/>
  <c r="AA326" i="2" s="1"/>
  <c r="AC326" i="2"/>
  <c r="AD335" i="2"/>
  <c r="AE335" i="2" s="1"/>
  <c r="Y341" i="2"/>
  <c r="Z341" i="2" s="1"/>
  <c r="AA341" i="2" s="1"/>
  <c r="V341" i="2"/>
  <c r="W341" i="2" s="1"/>
  <c r="X341" i="2" s="1"/>
  <c r="AD341" i="2"/>
  <c r="AE341" i="2" s="1"/>
  <c r="AC346" i="2"/>
  <c r="AD346" i="2"/>
  <c r="AB346" i="2"/>
  <c r="AE346" i="2" s="1"/>
  <c r="Y348" i="2"/>
  <c r="Z348" i="2" s="1"/>
  <c r="AA348" i="2" s="1"/>
  <c r="V349" i="2"/>
  <c r="W349" i="2" s="1"/>
  <c r="X349" i="2" s="1"/>
  <c r="Y353" i="2"/>
  <c r="Z353" i="2" s="1"/>
  <c r="AA353" i="2" s="1"/>
  <c r="AB365" i="2"/>
  <c r="AE365" i="2" s="1"/>
  <c r="AC368" i="2"/>
  <c r="AE375" i="2"/>
  <c r="AB376" i="2"/>
  <c r="AD384" i="2"/>
  <c r="AE384" i="2" s="1"/>
  <c r="V384" i="2"/>
  <c r="W384" i="2" s="1"/>
  <c r="X384" i="2" s="1"/>
  <c r="Y384" i="2"/>
  <c r="Z384" i="2" s="1"/>
  <c r="AA384" i="2" s="1"/>
  <c r="AC384" i="2"/>
  <c r="AE404" i="2"/>
  <c r="AC421" i="2"/>
  <c r="AD421" i="2"/>
  <c r="Y421" i="2"/>
  <c r="Z421" i="2" s="1"/>
  <c r="AA421" i="2" s="1"/>
  <c r="AB421" i="2"/>
  <c r="V421" i="2"/>
  <c r="W421" i="2" s="1"/>
  <c r="X421" i="2" s="1"/>
  <c r="AB420" i="2"/>
  <c r="Y420" i="2"/>
  <c r="Z420" i="2" s="1"/>
  <c r="AA420" i="2" s="1"/>
  <c r="V420" i="2"/>
  <c r="W420" i="2" s="1"/>
  <c r="X420" i="2" s="1"/>
  <c r="Y425" i="2"/>
  <c r="Z425" i="2" s="1"/>
  <c r="AA425" i="2" s="1"/>
  <c r="V425" i="2"/>
  <c r="W425" i="2" s="1"/>
  <c r="X425" i="2" s="1"/>
  <c r="AD425" i="2"/>
  <c r="AC437" i="2"/>
  <c r="V437" i="2"/>
  <c r="W437" i="2" s="1"/>
  <c r="X437" i="2" s="1"/>
  <c r="AD437" i="2"/>
  <c r="AB437" i="2"/>
  <c r="AE437" i="2" s="1"/>
  <c r="AC370" i="2"/>
  <c r="AB378" i="2"/>
  <c r="AD378" i="2"/>
  <c r="V378" i="2"/>
  <c r="W378" i="2" s="1"/>
  <c r="X378" i="2" s="1"/>
  <c r="AC402" i="2"/>
  <c r="AB257" i="2"/>
  <c r="AE257" i="2" s="1"/>
  <c r="AD268" i="2"/>
  <c r="V268" i="2"/>
  <c r="W268" i="2" s="1"/>
  <c r="X268" i="2" s="1"/>
  <c r="AB268" i="2"/>
  <c r="AB277" i="2"/>
  <c r="AE277" i="2" s="1"/>
  <c r="AB321" i="2"/>
  <c r="AE321" i="2" s="1"/>
  <c r="AD332" i="2"/>
  <c r="V332" i="2"/>
  <c r="W332" i="2" s="1"/>
  <c r="X332" i="2" s="1"/>
  <c r="AB332" i="2"/>
  <c r="AC343" i="2"/>
  <c r="AD370" i="2"/>
  <c r="AE370" i="2" s="1"/>
  <c r="AD380" i="2"/>
  <c r="AE380" i="2" s="1"/>
  <c r="AE397" i="2"/>
  <c r="Y409" i="2"/>
  <c r="Z409" i="2" s="1"/>
  <c r="AA409" i="2" s="1"/>
  <c r="V409" i="2"/>
  <c r="W409" i="2" s="1"/>
  <c r="X409" i="2" s="1"/>
  <c r="AD409" i="2"/>
  <c r="AE409" i="2" s="1"/>
  <c r="AC409" i="2"/>
  <c r="AD424" i="2"/>
  <c r="AE424" i="2" s="1"/>
  <c r="V424" i="2"/>
  <c r="W424" i="2" s="1"/>
  <c r="X424" i="2" s="1"/>
  <c r="Y424" i="2"/>
  <c r="Z424" i="2" s="1"/>
  <c r="AA424" i="2" s="1"/>
  <c r="AC430" i="2"/>
  <c r="Y430" i="2"/>
  <c r="Z430" i="2" s="1"/>
  <c r="AA430" i="2" s="1"/>
  <c r="AB430" i="2"/>
  <c r="AE430" i="2" s="1"/>
  <c r="V430" i="2"/>
  <c r="W430" i="2" s="1"/>
  <c r="X430" i="2" s="1"/>
  <c r="AB434" i="2"/>
  <c r="AD434" i="2"/>
  <c r="V434" i="2"/>
  <c r="W434" i="2" s="1"/>
  <c r="X434" i="2" s="1"/>
  <c r="Y434" i="2"/>
  <c r="Z434" i="2" s="1"/>
  <c r="AA434" i="2" s="1"/>
  <c r="Y437" i="2"/>
  <c r="Z437" i="2" s="1"/>
  <c r="AA437" i="2" s="1"/>
  <c r="Y411" i="2"/>
  <c r="Z411" i="2" s="1"/>
  <c r="AA411" i="2" s="1"/>
  <c r="V411" i="2"/>
  <c r="W411" i="2" s="1"/>
  <c r="X411" i="2" s="1"/>
  <c r="AC411" i="2"/>
  <c r="AD411" i="2"/>
  <c r="AB411" i="2"/>
  <c r="AC420" i="2"/>
  <c r="AD422" i="2"/>
  <c r="AE422" i="2" s="1"/>
  <c r="Y422" i="2"/>
  <c r="Z422" i="2" s="1"/>
  <c r="AA422" i="2" s="1"/>
  <c r="AC453" i="2"/>
  <c r="Y453" i="2"/>
  <c r="Z453" i="2" s="1"/>
  <c r="AA453" i="2" s="1"/>
  <c r="V453" i="2"/>
  <c r="W453" i="2" s="1"/>
  <c r="X453" i="2" s="1"/>
  <c r="AD453" i="2"/>
  <c r="AB453" i="2"/>
  <c r="AD420" i="2"/>
  <c r="AC373" i="2"/>
  <c r="V373" i="2"/>
  <c r="W373" i="2" s="1"/>
  <c r="X373" i="2" s="1"/>
  <c r="AB402" i="2"/>
  <c r="AE402" i="2" s="1"/>
  <c r="V402" i="2"/>
  <c r="W402" i="2" s="1"/>
  <c r="X402" i="2" s="1"/>
  <c r="Y402" i="2"/>
  <c r="Z402" i="2" s="1"/>
  <c r="AA402" i="2" s="1"/>
  <c r="V404" i="2"/>
  <c r="W404" i="2" s="1"/>
  <c r="X404" i="2" s="1"/>
  <c r="AB425" i="2"/>
  <c r="AE425" i="2" s="1"/>
  <c r="AE431" i="2"/>
  <c r="V436" i="2"/>
  <c r="W436" i="2" s="1"/>
  <c r="X436" i="2" s="1"/>
  <c r="Y436" i="2"/>
  <c r="Z436" i="2" s="1"/>
  <c r="AA436" i="2" s="1"/>
  <c r="AD436" i="2"/>
  <c r="AC436" i="2"/>
  <c r="AB436" i="2"/>
  <c r="AD456" i="2"/>
  <c r="V456" i="2"/>
  <c r="W456" i="2" s="1"/>
  <c r="X456" i="2" s="1"/>
  <c r="AC461" i="2"/>
  <c r="Y461" i="2"/>
  <c r="Z461" i="2" s="1"/>
  <c r="AA461" i="2" s="1"/>
  <c r="AC469" i="2"/>
  <c r="V469" i="2"/>
  <c r="W469" i="2" s="1"/>
  <c r="X469" i="2" s="1"/>
  <c r="AB469" i="2"/>
  <c r="Y469" i="2"/>
  <c r="Z469" i="2" s="1"/>
  <c r="AA469" i="2" s="1"/>
  <c r="AD469" i="2"/>
  <c r="AD472" i="2"/>
  <c r="V472" i="2"/>
  <c r="W472" i="2" s="1"/>
  <c r="X472" i="2" s="1"/>
  <c r="AC472" i="2"/>
  <c r="Y472" i="2"/>
  <c r="Z472" i="2" s="1"/>
  <c r="AA472" i="2" s="1"/>
  <c r="AB472" i="2"/>
  <c r="V427" i="2"/>
  <c r="W427" i="2" s="1"/>
  <c r="X427" i="2" s="1"/>
  <c r="Y427" i="2"/>
  <c r="Z427" i="2" s="1"/>
  <c r="AA427" i="2" s="1"/>
  <c r="AD427" i="2"/>
  <c r="AE427" i="2" s="1"/>
  <c r="AD440" i="2"/>
  <c r="V440" i="2"/>
  <c r="W440" i="2" s="1"/>
  <c r="X440" i="2" s="1"/>
  <c r="AB440" i="2"/>
  <c r="AB442" i="2"/>
  <c r="AE442" i="2" s="1"/>
  <c r="Y442" i="2"/>
  <c r="Z442" i="2" s="1"/>
  <c r="AA442" i="2" s="1"/>
  <c r="V442" i="2"/>
  <c r="W442" i="2" s="1"/>
  <c r="X442" i="2" s="1"/>
  <c r="AC443" i="2"/>
  <c r="V443" i="2"/>
  <c r="W443" i="2" s="1"/>
  <c r="X443" i="2" s="1"/>
  <c r="AD443" i="2"/>
  <c r="AE443" i="2" s="1"/>
  <c r="AD449" i="2"/>
  <c r="AE449" i="2" s="1"/>
  <c r="AD460" i="2"/>
  <c r="AE460" i="2" s="1"/>
  <c r="Y460" i="2"/>
  <c r="Z460" i="2" s="1"/>
  <c r="AA460" i="2" s="1"/>
  <c r="AC460" i="2"/>
  <c r="V460" i="2"/>
  <c r="W460" i="2" s="1"/>
  <c r="X460" i="2" s="1"/>
  <c r="V461" i="2"/>
  <c r="W461" i="2" s="1"/>
  <c r="X461" i="2" s="1"/>
  <c r="V485" i="2"/>
  <c r="W485" i="2" s="1"/>
  <c r="X485" i="2" s="1"/>
  <c r="Y485" i="2"/>
  <c r="Z485" i="2" s="1"/>
  <c r="AA485" i="2" s="1"/>
  <c r="AD485" i="2"/>
  <c r="AC485" i="2"/>
  <c r="Y481" i="2"/>
  <c r="Z481" i="2" s="1"/>
  <c r="AA481" i="2" s="1"/>
  <c r="V481" i="2"/>
  <c r="W481" i="2" s="1"/>
  <c r="X481" i="2" s="1"/>
  <c r="AC481" i="2"/>
  <c r="AB481" i="2"/>
  <c r="AD481" i="2"/>
  <c r="Y395" i="2"/>
  <c r="Z395" i="2" s="1"/>
  <c r="AA395" i="2" s="1"/>
  <c r="AB395" i="2"/>
  <c r="AE395" i="2" s="1"/>
  <c r="AD396" i="2"/>
  <c r="AE396" i="2" s="1"/>
  <c r="AC396" i="2"/>
  <c r="Y406" i="2"/>
  <c r="Z406" i="2" s="1"/>
  <c r="AA406" i="2" s="1"/>
  <c r="AB406" i="2"/>
  <c r="AE406" i="2" s="1"/>
  <c r="V414" i="2"/>
  <c r="W414" i="2" s="1"/>
  <c r="X414" i="2" s="1"/>
  <c r="AC414" i="2"/>
  <c r="AC445" i="2"/>
  <c r="V445" i="2"/>
  <c r="W445" i="2" s="1"/>
  <c r="X445" i="2" s="1"/>
  <c r="AD461" i="2"/>
  <c r="AE461" i="2" s="1"/>
  <c r="V371" i="2"/>
  <c r="W371" i="2" s="1"/>
  <c r="X371" i="2" s="1"/>
  <c r="AB371" i="2"/>
  <c r="AD371" i="2"/>
  <c r="Y382" i="2"/>
  <c r="Z382" i="2" s="1"/>
  <c r="AA382" i="2" s="1"/>
  <c r="AC382" i="2"/>
  <c r="AC389" i="2"/>
  <c r="V389" i="2"/>
  <c r="W389" i="2" s="1"/>
  <c r="X389" i="2" s="1"/>
  <c r="AE391" i="2"/>
  <c r="AC397" i="2"/>
  <c r="Y397" i="2"/>
  <c r="Z397" i="2" s="1"/>
  <c r="AA397" i="2" s="1"/>
  <c r="V398" i="2"/>
  <c r="W398" i="2" s="1"/>
  <c r="X398" i="2" s="1"/>
  <c r="AD398" i="2"/>
  <c r="AE398" i="2" s="1"/>
  <c r="AC438" i="2"/>
  <c r="AD448" i="2"/>
  <c r="V448" i="2"/>
  <c r="W448" i="2" s="1"/>
  <c r="X448" i="2" s="1"/>
  <c r="AB448" i="2"/>
  <c r="AE452" i="2"/>
  <c r="AB456" i="2"/>
  <c r="AD459" i="2"/>
  <c r="V459" i="2"/>
  <c r="W459" i="2" s="1"/>
  <c r="X459" i="2" s="1"/>
  <c r="AB459" i="2"/>
  <c r="AB485" i="2"/>
  <c r="AC503" i="2"/>
  <c r="V503" i="2"/>
  <c r="W503" i="2" s="1"/>
  <c r="X503" i="2" s="1"/>
  <c r="AD503" i="2"/>
  <c r="AB503" i="2"/>
  <c r="Y503" i="2"/>
  <c r="Z503" i="2" s="1"/>
  <c r="AA503" i="2" s="1"/>
  <c r="Y499" i="2"/>
  <c r="Z499" i="2" s="1"/>
  <c r="AA499" i="2" s="1"/>
  <c r="AC499" i="2"/>
  <c r="AD499" i="2"/>
  <c r="V499" i="2"/>
  <c r="W499" i="2" s="1"/>
  <c r="X499" i="2" s="1"/>
  <c r="AB499" i="2"/>
  <c r="Y465" i="2"/>
  <c r="Z465" i="2" s="1"/>
  <c r="AA465" i="2" s="1"/>
  <c r="V465" i="2"/>
  <c r="W465" i="2" s="1"/>
  <c r="X465" i="2" s="1"/>
  <c r="AC465" i="2"/>
  <c r="AD525" i="2"/>
  <c r="AB525" i="2"/>
  <c r="Y525" i="2"/>
  <c r="Z525" i="2" s="1"/>
  <c r="AA525" i="2" s="1"/>
  <c r="V525" i="2"/>
  <c r="W525" i="2" s="1"/>
  <c r="X525" i="2" s="1"/>
  <c r="AC525" i="2"/>
  <c r="AB374" i="2"/>
  <c r="AE374" i="2" s="1"/>
  <c r="AC377" i="2"/>
  <c r="Y385" i="2"/>
  <c r="Z385" i="2" s="1"/>
  <c r="AA385" i="2" s="1"/>
  <c r="AD385" i="2"/>
  <c r="AC385" i="2"/>
  <c r="AB385" i="2"/>
  <c r="AD408" i="2"/>
  <c r="AE408" i="2" s="1"/>
  <c r="V408" i="2"/>
  <c r="W408" i="2" s="1"/>
  <c r="X408" i="2" s="1"/>
  <c r="Y408" i="2"/>
  <c r="Z408" i="2" s="1"/>
  <c r="AA408" i="2" s="1"/>
  <c r="AB418" i="2"/>
  <c r="AE418" i="2" s="1"/>
  <c r="V418" i="2"/>
  <c r="W418" i="2" s="1"/>
  <c r="X418" i="2" s="1"/>
  <c r="AE451" i="2"/>
  <c r="AD514" i="2"/>
  <c r="V514" i="2"/>
  <c r="W514" i="2" s="1"/>
  <c r="X514" i="2" s="1"/>
  <c r="Y514" i="2"/>
  <c r="Z514" i="2" s="1"/>
  <c r="AA514" i="2" s="1"/>
  <c r="AC514" i="2"/>
  <c r="AB514" i="2"/>
  <c r="V494" i="2"/>
  <c r="W494" i="2" s="1"/>
  <c r="X494" i="2" s="1"/>
  <c r="Y494" i="2"/>
  <c r="Z494" i="2" s="1"/>
  <c r="AA494" i="2" s="1"/>
  <c r="AD498" i="2"/>
  <c r="V498" i="2"/>
  <c r="W498" i="2" s="1"/>
  <c r="X498" i="2" s="1"/>
  <c r="AC498" i="2"/>
  <c r="AB498" i="2"/>
  <c r="Y498" i="2"/>
  <c r="Z498" i="2" s="1"/>
  <c r="AA498" i="2" s="1"/>
  <c r="Y520" i="2"/>
  <c r="Z520" i="2" s="1"/>
  <c r="AA520" i="2" s="1"/>
  <c r="AC520" i="2"/>
  <c r="AB520" i="2"/>
  <c r="AE520" i="2" s="1"/>
  <c r="V520" i="2"/>
  <c r="W520" i="2" s="1"/>
  <c r="X520" i="2" s="1"/>
  <c r="AE542" i="2"/>
  <c r="Y504" i="2"/>
  <c r="Z504" i="2" s="1"/>
  <c r="AA504" i="2" s="1"/>
  <c r="AC504" i="2"/>
  <c r="AB504" i="2"/>
  <c r="AE504" i="2" s="1"/>
  <c r="V504" i="2"/>
  <c r="W504" i="2" s="1"/>
  <c r="X504" i="2" s="1"/>
  <c r="AC510" i="2"/>
  <c r="Y510" i="2"/>
  <c r="Z510" i="2" s="1"/>
  <c r="AA510" i="2" s="1"/>
  <c r="V510" i="2"/>
  <c r="W510" i="2" s="1"/>
  <c r="X510" i="2" s="1"/>
  <c r="AB524" i="2"/>
  <c r="Y524" i="2"/>
  <c r="Z524" i="2" s="1"/>
  <c r="AA524" i="2" s="1"/>
  <c r="V524" i="2"/>
  <c r="W524" i="2" s="1"/>
  <c r="X524" i="2" s="1"/>
  <c r="AB405" i="2"/>
  <c r="AE405" i="2" s="1"/>
  <c r="AB413" i="2"/>
  <c r="AD416" i="2"/>
  <c r="AE416" i="2" s="1"/>
  <c r="V416" i="2"/>
  <c r="W416" i="2" s="1"/>
  <c r="X416" i="2" s="1"/>
  <c r="AC416" i="2"/>
  <c r="AE419" i="2"/>
  <c r="AB429" i="2"/>
  <c r="AB435" i="2"/>
  <c r="AE435" i="2" s="1"/>
  <c r="Y441" i="2"/>
  <c r="Z441" i="2" s="1"/>
  <c r="AA441" i="2" s="1"/>
  <c r="AC441" i="2"/>
  <c r="AB441" i="2"/>
  <c r="AE441" i="2" s="1"/>
  <c r="AC444" i="2"/>
  <c r="AB454" i="2"/>
  <c r="AE454" i="2" s="1"/>
  <c r="Y457" i="2"/>
  <c r="Z457" i="2" s="1"/>
  <c r="AA457" i="2" s="1"/>
  <c r="AD457" i="2"/>
  <c r="AB457" i="2"/>
  <c r="Y515" i="2"/>
  <c r="Z515" i="2" s="1"/>
  <c r="AA515" i="2" s="1"/>
  <c r="AD515" i="2"/>
  <c r="AE515" i="2" s="1"/>
  <c r="V515" i="2"/>
  <c r="W515" i="2" s="1"/>
  <c r="X515" i="2" s="1"/>
  <c r="Y526" i="2"/>
  <c r="Z526" i="2" s="1"/>
  <c r="AA526" i="2" s="1"/>
  <c r="V526" i="2"/>
  <c r="W526" i="2" s="1"/>
  <c r="X526" i="2" s="1"/>
  <c r="AB381" i="2"/>
  <c r="AE381" i="2" s="1"/>
  <c r="AD392" i="2"/>
  <c r="V392" i="2"/>
  <c r="W392" i="2" s="1"/>
  <c r="X392" i="2" s="1"/>
  <c r="AB392" i="2"/>
  <c r="AB401" i="2"/>
  <c r="AE401" i="2" s="1"/>
  <c r="AD413" i="2"/>
  <c r="AC426" i="2"/>
  <c r="AD429" i="2"/>
  <c r="AD432" i="2"/>
  <c r="V432" i="2"/>
  <c r="W432" i="2" s="1"/>
  <c r="X432" i="2" s="1"/>
  <c r="AC432" i="2"/>
  <c r="AB432" i="2"/>
  <c r="AC454" i="2"/>
  <c r="AB458" i="2"/>
  <c r="Y458" i="2"/>
  <c r="Z458" i="2" s="1"/>
  <c r="AA458" i="2" s="1"/>
  <c r="AD458" i="2"/>
  <c r="V468" i="2"/>
  <c r="W468" i="2" s="1"/>
  <c r="X468" i="2" s="1"/>
  <c r="Y478" i="2"/>
  <c r="Z478" i="2" s="1"/>
  <c r="AA478" i="2" s="1"/>
  <c r="AB494" i="2"/>
  <c r="AE511" i="2"/>
  <c r="AD520" i="2"/>
  <c r="AC524" i="2"/>
  <c r="AB468" i="2"/>
  <c r="AE468" i="2" s="1"/>
  <c r="AC478" i="2"/>
  <c r="AD494" i="2"/>
  <c r="AB509" i="2"/>
  <c r="AE509" i="2" s="1"/>
  <c r="Y509" i="2"/>
  <c r="Z509" i="2" s="1"/>
  <c r="AA509" i="2" s="1"/>
  <c r="V509" i="2"/>
  <c r="W509" i="2" s="1"/>
  <c r="X509" i="2" s="1"/>
  <c r="AB510" i="2"/>
  <c r="AE510" i="2" s="1"/>
  <c r="AD524" i="2"/>
  <c r="AB526" i="2"/>
  <c r="AE526" i="2" s="1"/>
  <c r="AB476" i="2"/>
  <c r="AE476" i="2" s="1"/>
  <c r="AC482" i="2"/>
  <c r="AB491" i="2"/>
  <c r="AC496" i="2"/>
  <c r="AD500" i="2"/>
  <c r="AE500" i="2" s="1"/>
  <c r="AB507" i="2"/>
  <c r="AB517" i="2"/>
  <c r="AE517" i="2" s="1"/>
  <c r="Y536" i="2"/>
  <c r="Z536" i="2" s="1"/>
  <c r="AA536" i="2" s="1"/>
  <c r="V536" i="2"/>
  <c r="W536" i="2" s="1"/>
  <c r="X536" i="2" s="1"/>
  <c r="AB466" i="2"/>
  <c r="AE466" i="2" s="1"/>
  <c r="AC466" i="2"/>
  <c r="AB470" i="2"/>
  <c r="AE470" i="2" s="1"/>
  <c r="Y474" i="2"/>
  <c r="Z474" i="2" s="1"/>
  <c r="AA474" i="2" s="1"/>
  <c r="AC476" i="2"/>
  <c r="Y488" i="2"/>
  <c r="Z488" i="2" s="1"/>
  <c r="AA488" i="2" s="1"/>
  <c r="AD506" i="2"/>
  <c r="V506" i="2"/>
  <c r="W506" i="2" s="1"/>
  <c r="X506" i="2" s="1"/>
  <c r="AB506" i="2"/>
  <c r="AC511" i="2"/>
  <c r="Y511" i="2"/>
  <c r="Z511" i="2" s="1"/>
  <c r="AA511" i="2" s="1"/>
  <c r="V511" i="2"/>
  <c r="W511" i="2" s="1"/>
  <c r="X511" i="2" s="1"/>
  <c r="AB516" i="2"/>
  <c r="V516" i="2"/>
  <c r="W516" i="2" s="1"/>
  <c r="X516" i="2" s="1"/>
  <c r="AD516" i="2"/>
  <c r="AB518" i="2"/>
  <c r="AE518" i="2" s="1"/>
  <c r="AB522" i="2"/>
  <c r="AB532" i="2"/>
  <c r="AE532" i="2" s="1"/>
  <c r="AC532" i="2"/>
  <c r="AB417" i="2"/>
  <c r="AE417" i="2" s="1"/>
  <c r="AC470" i="2"/>
  <c r="AB483" i="2"/>
  <c r="AE483" i="2" s="1"/>
  <c r="AD491" i="2"/>
  <c r="AC501" i="2"/>
  <c r="V501" i="2"/>
  <c r="W501" i="2" s="1"/>
  <c r="X501" i="2" s="1"/>
  <c r="AD501" i="2"/>
  <c r="AE501" i="2" s="1"/>
  <c r="AD507" i="2"/>
  <c r="AC518" i="2"/>
  <c r="AB523" i="2"/>
  <c r="AD534" i="2"/>
  <c r="AE534" i="2" s="1"/>
  <c r="Y534" i="2"/>
  <c r="Z534" i="2" s="1"/>
  <c r="AA534" i="2" s="1"/>
  <c r="V534" i="2"/>
  <c r="W534" i="2" s="1"/>
  <c r="X534" i="2" s="1"/>
  <c r="AC483" i="2"/>
  <c r="AB488" i="2"/>
  <c r="AE488" i="2" s="1"/>
  <c r="Y502" i="2"/>
  <c r="Z502" i="2" s="1"/>
  <c r="AA502" i="2" s="1"/>
  <c r="AD502" i="2"/>
  <c r="AE502" i="2" s="1"/>
  <c r="AC502" i="2"/>
  <c r="AD522" i="2"/>
  <c r="V522" i="2"/>
  <c r="W522" i="2" s="1"/>
  <c r="X522" i="2" s="1"/>
  <c r="Y522" i="2"/>
  <c r="Z522" i="2" s="1"/>
  <c r="AA522" i="2" s="1"/>
  <c r="AC467" i="2"/>
  <c r="AC474" i="2"/>
  <c r="AC477" i="2"/>
  <c r="AD477" i="2"/>
  <c r="AB477" i="2"/>
  <c r="AD480" i="2"/>
  <c r="AE480" i="2" s="1"/>
  <c r="V480" i="2"/>
  <c r="W480" i="2" s="1"/>
  <c r="X480" i="2" s="1"/>
  <c r="AC480" i="2"/>
  <c r="AD488" i="2"/>
  <c r="AB492" i="2"/>
  <c r="AE492" i="2" s="1"/>
  <c r="AD492" i="2"/>
  <c r="V492" i="2"/>
  <c r="W492" i="2" s="1"/>
  <c r="X492" i="2" s="1"/>
  <c r="AC492" i="2"/>
  <c r="Y523" i="2"/>
  <c r="Z523" i="2" s="1"/>
  <c r="AA523" i="2" s="1"/>
  <c r="AD523" i="2"/>
  <c r="AE536" i="2"/>
  <c r="AD538" i="2"/>
  <c r="AE538" i="2" s="1"/>
  <c r="V538" i="2"/>
  <c r="W538" i="2" s="1"/>
  <c r="X538" i="2" s="1"/>
  <c r="Y538" i="2"/>
  <c r="Z538" i="2" s="1"/>
  <c r="AA538" i="2" s="1"/>
  <c r="AC543" i="2"/>
  <c r="AB543" i="2"/>
  <c r="AE543" i="2" s="1"/>
  <c r="Y543" i="2"/>
  <c r="Z543" i="2" s="1"/>
  <c r="AA543" i="2" s="1"/>
  <c r="V543" i="2"/>
  <c r="W543" i="2" s="1"/>
  <c r="X543" i="2" s="1"/>
  <c r="AD464" i="2"/>
  <c r="V464" i="2"/>
  <c r="W464" i="2" s="1"/>
  <c r="X464" i="2" s="1"/>
  <c r="AB464" i="2"/>
  <c r="AB473" i="2"/>
  <c r="AE473" i="2" s="1"/>
  <c r="AC484" i="2"/>
  <c r="AD487" i="2"/>
  <c r="AE487" i="2" s="1"/>
  <c r="AD490" i="2"/>
  <c r="V490" i="2"/>
  <c r="W490" i="2" s="1"/>
  <c r="X490" i="2" s="1"/>
  <c r="AC490" i="2"/>
  <c r="AB490" i="2"/>
  <c r="AC512" i="2"/>
  <c r="AB519" i="2"/>
  <c r="AE519" i="2" s="1"/>
  <c r="AD530" i="2"/>
  <c r="V530" i="2"/>
  <c r="W530" i="2" s="1"/>
  <c r="X530" i="2" s="1"/>
  <c r="AB530" i="2"/>
  <c r="Y533" i="2"/>
  <c r="Z533" i="2" s="1"/>
  <c r="AA533" i="2" s="1"/>
  <c r="AB539" i="2"/>
  <c r="AE539" i="2" s="1"/>
  <c r="AB544" i="2"/>
  <c r="AE544" i="2" s="1"/>
  <c r="AC544" i="2"/>
  <c r="AB535" i="2"/>
  <c r="Y540" i="2"/>
  <c r="Z540" i="2" s="1"/>
  <c r="AA540" i="2" s="1"/>
  <c r="AE545" i="2"/>
  <c r="AB531" i="2"/>
  <c r="AE531" i="2" s="1"/>
  <c r="AD535" i="2"/>
  <c r="AE490" i="2" l="1"/>
  <c r="AE453" i="2"/>
  <c r="AE411" i="2"/>
  <c r="AE218" i="2"/>
  <c r="AE25" i="2"/>
  <c r="AE473" i="4"/>
  <c r="AE362" i="2"/>
  <c r="AE319" i="2"/>
  <c r="AE273" i="2"/>
  <c r="AE426" i="4"/>
  <c r="AE301" i="4"/>
  <c r="AE345" i="4"/>
  <c r="AE245" i="2"/>
  <c r="AE262" i="2"/>
  <c r="AE286" i="2"/>
  <c r="AE424" i="4"/>
  <c r="AE418" i="4"/>
  <c r="AE212" i="4"/>
  <c r="AE176" i="4"/>
  <c r="AE410" i="2"/>
  <c r="AE120" i="2"/>
  <c r="AE490" i="4"/>
  <c r="AE226" i="4"/>
  <c r="AE51" i="4"/>
  <c r="AE4" i="4"/>
  <c r="AE459" i="2"/>
  <c r="AE536" i="4"/>
  <c r="AE477" i="2"/>
  <c r="AE523" i="2"/>
  <c r="AE516" i="2"/>
  <c r="AE507" i="2"/>
  <c r="AE458" i="2"/>
  <c r="AE503" i="2"/>
  <c r="AE456" i="2"/>
  <c r="AE371" i="2"/>
  <c r="AE387" i="2"/>
  <c r="AE250" i="2"/>
  <c r="AE144" i="2"/>
  <c r="AE434" i="4"/>
  <c r="AE467" i="4"/>
  <c r="AE377" i="4"/>
  <c r="AE391" i="4"/>
  <c r="AE296" i="4"/>
  <c r="AE514" i="2"/>
  <c r="AE472" i="2"/>
  <c r="AE421" i="2"/>
  <c r="AE308" i="2"/>
  <c r="AE276" i="2"/>
  <c r="AE130" i="2"/>
  <c r="AE32" i="2"/>
  <c r="AE212" i="2"/>
  <c r="AE361" i="4"/>
  <c r="AE417" i="4"/>
  <c r="AE326" i="4"/>
  <c r="AE289" i="4"/>
  <c r="AE273" i="4"/>
  <c r="AE157" i="4"/>
  <c r="AE432" i="2"/>
  <c r="AE448" i="2"/>
  <c r="AE376" i="2"/>
  <c r="AE23" i="2"/>
  <c r="AE533" i="4"/>
  <c r="AE312" i="4"/>
  <c r="AE243" i="4"/>
  <c r="AE232" i="4"/>
  <c r="AE295" i="2"/>
  <c r="AE263" i="2"/>
  <c r="AE516" i="4"/>
  <c r="AE416" i="4"/>
  <c r="AE202" i="4"/>
  <c r="AE429" i="2"/>
  <c r="AE378" i="2"/>
  <c r="AE356" i="2"/>
  <c r="AE39" i="2"/>
  <c r="AE507" i="4"/>
  <c r="AE520" i="4"/>
  <c r="AE485" i="4"/>
  <c r="AE154" i="4"/>
  <c r="AE149" i="4"/>
  <c r="AE5" i="2"/>
  <c r="AE272" i="4"/>
  <c r="AE175" i="4"/>
  <c r="AE434" i="2"/>
  <c r="AE336" i="2"/>
  <c r="AE76" i="2"/>
  <c r="AE367" i="4"/>
  <c r="AE195" i="4"/>
  <c r="AE261" i="4"/>
  <c r="AE28" i="4"/>
  <c r="AE509" i="4"/>
  <c r="AE470" i="4"/>
  <c r="AE489" i="4"/>
  <c r="AE463" i="4"/>
  <c r="AE444" i="4"/>
  <c r="AE332" i="4"/>
  <c r="AE342" i="4"/>
  <c r="AE334" i="4"/>
  <c r="AE187" i="4"/>
  <c r="AE539" i="4"/>
  <c r="AE517" i="4"/>
  <c r="AE468" i="4"/>
  <c r="AE308" i="4"/>
  <c r="AE298" i="4"/>
  <c r="AE142" i="4"/>
  <c r="AE117" i="4"/>
  <c r="AE529" i="4"/>
  <c r="AE537" i="4"/>
  <c r="AE456" i="4"/>
  <c r="AE425" i="4"/>
  <c r="AE449" i="4"/>
  <c r="AE374" i="4"/>
  <c r="AE376" i="4"/>
  <c r="AE435" i="4"/>
  <c r="AE279" i="4"/>
  <c r="AE192" i="4"/>
  <c r="AE236" i="4"/>
  <c r="AE151" i="4"/>
  <c r="AE125" i="4"/>
  <c r="AE59" i="4"/>
  <c r="AE196" i="4"/>
  <c r="AE94" i="4"/>
  <c r="AE259" i="4"/>
  <c r="AE488" i="4"/>
  <c r="AE448" i="4"/>
  <c r="AE382" i="4"/>
  <c r="AE358" i="4"/>
  <c r="AE340" i="4"/>
  <c r="AE446" i="4"/>
  <c r="AE269" i="4"/>
  <c r="AE354" i="4"/>
  <c r="AE258" i="4"/>
  <c r="AE210" i="4"/>
  <c r="AE245" i="4"/>
  <c r="AE291" i="4"/>
  <c r="AE198" i="4"/>
  <c r="AE253" i="4"/>
  <c r="AE541" i="4"/>
  <c r="AE547" i="4"/>
  <c r="AE497" i="4"/>
  <c r="AE493" i="4"/>
  <c r="AE366" i="4"/>
  <c r="AE400" i="4"/>
  <c r="AE292" i="4"/>
  <c r="AE242" i="4"/>
  <c r="AE313" i="4"/>
  <c r="AE95" i="4"/>
  <c r="AE523" i="4"/>
  <c r="AE540" i="4"/>
  <c r="AE466" i="4"/>
  <c r="AE359" i="4"/>
  <c r="AE223" i="4"/>
  <c r="AE186" i="4"/>
  <c r="AE32" i="4"/>
  <c r="AE229" i="4"/>
  <c r="AE237" i="4"/>
  <c r="AE292" i="2"/>
  <c r="AE254" i="2"/>
  <c r="AE231" i="2"/>
  <c r="AE361" i="2"/>
  <c r="AE160" i="2"/>
  <c r="AE169" i="2"/>
  <c r="AE535" i="2"/>
  <c r="AE413" i="2"/>
  <c r="AE481" i="2"/>
  <c r="AE294" i="2"/>
  <c r="AE393" i="2"/>
  <c r="AE88" i="2"/>
  <c r="AE2" i="2"/>
  <c r="AE244" i="2"/>
  <c r="AE464" i="2"/>
  <c r="AE392" i="2"/>
  <c r="AE436" i="2"/>
  <c r="AE268" i="2"/>
  <c r="AE223" i="2"/>
  <c r="AE136" i="2"/>
  <c r="AE95" i="2"/>
  <c r="AE159" i="2"/>
  <c r="AE140" i="2"/>
  <c r="AE64" i="2"/>
  <c r="AE522" i="2"/>
  <c r="AE506" i="2"/>
  <c r="AE491" i="2"/>
  <c r="AE494" i="2"/>
  <c r="AE457" i="2"/>
  <c r="AE499" i="2"/>
  <c r="AE469" i="2"/>
  <c r="AE226" i="2"/>
  <c r="AE165" i="2"/>
  <c r="AE17" i="2"/>
  <c r="AE11" i="2"/>
  <c r="AE6" i="2"/>
  <c r="AE242" i="2"/>
  <c r="AE208" i="2"/>
  <c r="AE100" i="2"/>
  <c r="AE498" i="2"/>
  <c r="AE303" i="2"/>
  <c r="AE284" i="2"/>
  <c r="AE154" i="2"/>
  <c r="AE66" i="2"/>
  <c r="AE260" i="2"/>
  <c r="AE103" i="2"/>
  <c r="AE128" i="2"/>
  <c r="AE524" i="2"/>
  <c r="AE385" i="2"/>
  <c r="AE332" i="2"/>
  <c r="AE420" i="2"/>
  <c r="AE350" i="2"/>
  <c r="AE386" i="2"/>
  <c r="AE369" i="2"/>
  <c r="AE9" i="2"/>
  <c r="AE19" i="2"/>
  <c r="AE122" i="2"/>
  <c r="AE530" i="2"/>
  <c r="AE525" i="2"/>
  <c r="AE485" i="2"/>
  <c r="AE440" i="2"/>
  <c r="AE340" i="2"/>
  <c r="AE358" i="2"/>
  <c r="AE314" i="2"/>
  <c r="AE112" i="2"/>
  <c r="AE56" i="2"/>
  <c r="AE241" i="2"/>
  <c r="AE173" i="2"/>
  <c r="AE412" i="2"/>
  <c r="AE131" i="2"/>
  <c r="AE256" i="2"/>
  <c r="AE211" i="2"/>
</calcChain>
</file>

<file path=xl/sharedStrings.xml><?xml version="1.0" encoding="utf-8"?>
<sst xmlns="http://schemas.openxmlformats.org/spreadsheetml/2006/main" count="30953" uniqueCount="1734">
  <si>
    <t>Société</t>
  </si>
  <si>
    <t>NumCommande</t>
  </si>
  <si>
    <t>EtatCommande</t>
  </si>
  <si>
    <t>DateCréation</t>
  </si>
  <si>
    <t>NomClient</t>
  </si>
  <si>
    <t>Article</t>
  </si>
  <si>
    <t>QteCommandé</t>
  </si>
  <si>
    <t>ResteALivrer</t>
  </si>
  <si>
    <t>Prelevé</t>
  </si>
  <si>
    <t xml:space="preserve"> 2</t>
  </si>
  <si>
    <t>NumOF</t>
  </si>
  <si>
    <t>DateDébut</t>
  </si>
  <si>
    <t>ProdStatut</t>
  </si>
  <si>
    <t>QteCommencé</t>
  </si>
  <si>
    <t>QteRestante</t>
  </si>
  <si>
    <t>QteRèçu</t>
  </si>
  <si>
    <t>ReserverBR</t>
  </si>
  <si>
    <t>StockPhysique</t>
  </si>
  <si>
    <t>Reserver</t>
  </si>
  <si>
    <t>Colonne2</t>
  </si>
  <si>
    <t>Colonne3</t>
  </si>
  <si>
    <t>ALLUCO</t>
  </si>
  <si>
    <t>VTE2500411</t>
  </si>
  <si>
    <t>Commande Encours</t>
  </si>
  <si>
    <t>CONFORT ALUMINIUM</t>
  </si>
  <si>
    <t>LM-INJ-45_5800-A05</t>
  </si>
  <si>
    <t>non</t>
  </si>
  <si>
    <t/>
  </si>
  <si>
    <t>-</t>
  </si>
  <si>
    <t>VTE2501347</t>
  </si>
  <si>
    <t>B_PIV006_01</t>
  </si>
  <si>
    <t>B_PIV006_02</t>
  </si>
  <si>
    <t>PIV006-ANODN</t>
  </si>
  <si>
    <t>VTE2502212</t>
  </si>
  <si>
    <t>EC22106-BLC</t>
  </si>
  <si>
    <t>VTE2502261</t>
  </si>
  <si>
    <t>FSQ100-GRISG</t>
  </si>
  <si>
    <t>CSQ102-GRISG</t>
  </si>
  <si>
    <t>VTE2506053</t>
  </si>
  <si>
    <t>SIBOALL</t>
  </si>
  <si>
    <t>02357010</t>
  </si>
  <si>
    <t>02282010</t>
  </si>
  <si>
    <t>07MA3P1130/T</t>
  </si>
  <si>
    <t>D7504-N000I</t>
  </si>
  <si>
    <t>J610</t>
  </si>
  <si>
    <t>kit3pt</t>
  </si>
  <si>
    <t>JBR7X6Fin seal</t>
  </si>
  <si>
    <t>J220PPM</t>
  </si>
  <si>
    <t>VIS4.8X50SIP</t>
  </si>
  <si>
    <t>VTE2506071</t>
  </si>
  <si>
    <t>KL7406-SWEET</t>
  </si>
  <si>
    <t>P013-SWEET</t>
  </si>
  <si>
    <t>Pr6308-SWEET</t>
  </si>
  <si>
    <t>T051-SWEET</t>
  </si>
  <si>
    <t>Pr6313-SWEET</t>
  </si>
  <si>
    <t>T054-12-SWEET</t>
  </si>
  <si>
    <t>VTE2600222</t>
  </si>
  <si>
    <t>P013-BRUT</t>
  </si>
  <si>
    <t>VTE2600521</t>
  </si>
  <si>
    <t>ACC67K2V</t>
  </si>
  <si>
    <t>FSQ111-GREY</t>
  </si>
  <si>
    <t>oui</t>
  </si>
  <si>
    <t>VTE2601135</t>
  </si>
  <si>
    <t>ISOBAT</t>
  </si>
  <si>
    <t>Pr6303-PURITY</t>
  </si>
  <si>
    <t>VTE2601297</t>
  </si>
  <si>
    <t>STE ALUBAT</t>
  </si>
  <si>
    <t>FR100-NOIR</t>
  </si>
  <si>
    <t>VTE2601350</t>
  </si>
  <si>
    <t>STE HLAOUA DE COMMERCE</t>
  </si>
  <si>
    <t>EC40100-BLC</t>
  </si>
  <si>
    <t>EC40166-BLC</t>
  </si>
  <si>
    <t>VTE2601380</t>
  </si>
  <si>
    <t>CL3001-NOIR</t>
  </si>
  <si>
    <t>CL3003-NOIR</t>
  </si>
  <si>
    <t>CL3002-NOIR</t>
  </si>
  <si>
    <t>CL3004-NOIR</t>
  </si>
  <si>
    <t>VTE2601381</t>
  </si>
  <si>
    <t>JML03</t>
  </si>
  <si>
    <t>VTE2601382</t>
  </si>
  <si>
    <t>JMR022</t>
  </si>
  <si>
    <t>N52045</t>
  </si>
  <si>
    <t>MR014_P6500-NOIR</t>
  </si>
  <si>
    <t>MR030-NOIR</t>
  </si>
  <si>
    <t>MR002-NOIR</t>
  </si>
  <si>
    <t>VTE2601397</t>
  </si>
  <si>
    <t>0711000001</t>
  </si>
  <si>
    <t>03978590-NOIR</t>
  </si>
  <si>
    <t>1770</t>
  </si>
  <si>
    <t>07101000</t>
  </si>
  <si>
    <t>124MDQ11-Noir</t>
  </si>
  <si>
    <t>07147000</t>
  </si>
  <si>
    <t>07155000</t>
  </si>
  <si>
    <t>67 N104</t>
  </si>
  <si>
    <t>07149000</t>
  </si>
  <si>
    <t>AXETELS</t>
  </si>
  <si>
    <t>AL15416-NOIR</t>
  </si>
  <si>
    <t>AL15401-NOIR</t>
  </si>
  <si>
    <t>AL15403-NOIR</t>
  </si>
  <si>
    <t>AL15411-NOIR</t>
  </si>
  <si>
    <t>AL15410-NOIR</t>
  </si>
  <si>
    <t>AL15413-NOIR</t>
  </si>
  <si>
    <t>AL15404-NOIR</t>
  </si>
  <si>
    <t>AXE60-BRUT</t>
  </si>
  <si>
    <t>CSQ101-NOIR</t>
  </si>
  <si>
    <t>CSQ102-NOIR</t>
  </si>
  <si>
    <t>CSQ104-NOIR</t>
  </si>
  <si>
    <t>CSQ105-NOIR</t>
  </si>
  <si>
    <t>CSQ106-NOIR</t>
  </si>
  <si>
    <t>CSQ107-NOIR</t>
  </si>
  <si>
    <t>CSQ108-NOIR</t>
  </si>
  <si>
    <t>CSQ110-NOIR</t>
  </si>
  <si>
    <t>CSQ116-ANODN</t>
  </si>
  <si>
    <t>CSQ202-NOIR</t>
  </si>
  <si>
    <t>CSQ126-NOIR</t>
  </si>
  <si>
    <t>CSQ210-NOIR</t>
  </si>
  <si>
    <t>CSQ125-NOIR</t>
  </si>
  <si>
    <t>CSQ124-NOIR</t>
  </si>
  <si>
    <t>CSQ305-NOIR</t>
  </si>
  <si>
    <t>Cuv-Ele-Noir</t>
  </si>
  <si>
    <t>AL15412-NOIR</t>
  </si>
  <si>
    <t>AL15418-NOIR</t>
  </si>
  <si>
    <t>FSQ100-NOIR</t>
  </si>
  <si>
    <t>FSQ111-NOIR</t>
  </si>
  <si>
    <t>FSQ104-NOIR</t>
  </si>
  <si>
    <t>FSQ401-NOIR</t>
  </si>
  <si>
    <t>J612</t>
  </si>
  <si>
    <t>JPG71</t>
  </si>
  <si>
    <t>LM-80-R9016</t>
  </si>
  <si>
    <t>KL7416-NOIR</t>
  </si>
  <si>
    <t>LM-757-BLC</t>
  </si>
  <si>
    <t>KL7404-NOIR</t>
  </si>
  <si>
    <t>LM-80-BRUT</t>
  </si>
  <si>
    <t>OK4722-NOIR</t>
  </si>
  <si>
    <t>LM-S758-BLC</t>
  </si>
  <si>
    <t>LM-F/6-R9016</t>
  </si>
  <si>
    <t>OK4716-NOIR</t>
  </si>
  <si>
    <t>KL7414-NOIR</t>
  </si>
  <si>
    <t>VTE2601453</t>
  </si>
  <si>
    <t>JRAD HAZEM BEN SALEM</t>
  </si>
  <si>
    <t>VTE2601784</t>
  </si>
  <si>
    <t>AL15418-DARK</t>
  </si>
  <si>
    <t>Vis8x50-Sip-INOX</t>
  </si>
  <si>
    <t>VTE2601813</t>
  </si>
  <si>
    <t>03524590N</t>
  </si>
  <si>
    <t>06501000</t>
  </si>
  <si>
    <t>AL15418-GRISG</t>
  </si>
  <si>
    <t>J613</t>
  </si>
  <si>
    <t>KITOB-NOIR</t>
  </si>
  <si>
    <t>OF2607426</t>
  </si>
  <si>
    <t>Créé</t>
  </si>
  <si>
    <t>PS345</t>
  </si>
  <si>
    <t>R3X8</t>
  </si>
  <si>
    <t>VTE2601852</t>
  </si>
  <si>
    <t>SEF4-4TISS</t>
  </si>
  <si>
    <t>VTE2601898</t>
  </si>
  <si>
    <t>DRIDI NOUREDDINE</t>
  </si>
  <si>
    <t>CO104-BLC</t>
  </si>
  <si>
    <t>CO103-BLC</t>
  </si>
  <si>
    <t>CO106-BLC</t>
  </si>
  <si>
    <t>CO114-BLC</t>
  </si>
  <si>
    <t>CSQ107-BLC</t>
  </si>
  <si>
    <t>EC67106-BLC</t>
  </si>
  <si>
    <t>VTE2601982</t>
  </si>
  <si>
    <t>CSQ103-GRISG</t>
  </si>
  <si>
    <t>CSQ104-GRISG</t>
  </si>
  <si>
    <t>CSQ105-GRISG</t>
  </si>
  <si>
    <t>CSQ106-GRISG</t>
  </si>
  <si>
    <t>CSQ107-GRISG</t>
  </si>
  <si>
    <t>CSQ124-GRISG</t>
  </si>
  <si>
    <t>CSQ125-GRISG</t>
  </si>
  <si>
    <t>CSQ108-GRISG</t>
  </si>
  <si>
    <t>CSQ305-GRISG</t>
  </si>
  <si>
    <t>CSQ203-GRISG</t>
  </si>
  <si>
    <t>FR161-GRISG</t>
  </si>
  <si>
    <t>FSQ110-GRISG</t>
  </si>
  <si>
    <t>FSQ111-GRISG</t>
  </si>
  <si>
    <t>FSQ408-GRISG</t>
  </si>
  <si>
    <t>FSQ122-GRISG</t>
  </si>
  <si>
    <t>FSQ112-GRISG</t>
  </si>
  <si>
    <t>FSQ403-GRISG</t>
  </si>
  <si>
    <t>FSQ121-GRISG</t>
  </si>
  <si>
    <t>FSQ401-GRISG</t>
  </si>
  <si>
    <t>M121A</t>
  </si>
  <si>
    <t>FSQ104-GRISG</t>
  </si>
  <si>
    <t>FSQ124-GRISG</t>
  </si>
  <si>
    <t>VTE2602034</t>
  </si>
  <si>
    <t>DEMCO AGRINOVA BNI KHALED</t>
  </si>
  <si>
    <t>RAIL-GAL-V41X41X1.8MM</t>
  </si>
  <si>
    <t>RAIL-GAL-V41X41X2.5MM</t>
  </si>
  <si>
    <t>OF2608439</t>
  </si>
  <si>
    <t>OF2608440</t>
  </si>
  <si>
    <t>VTE2602089</t>
  </si>
  <si>
    <t>SOCIETE HLAOUA DE COMMERCE</t>
  </si>
  <si>
    <t>VTE2602137</t>
  </si>
  <si>
    <t>STE DEMCONSTRUCT</t>
  </si>
  <si>
    <t>04704000</t>
  </si>
  <si>
    <t>VTE2602150</t>
  </si>
  <si>
    <t>SOCIETE GENERAL MENUISERIE ET DECOR</t>
  </si>
  <si>
    <t>ACT-LOGIKAL-1</t>
  </si>
  <si>
    <t>VTE2602153</t>
  </si>
  <si>
    <t>FR402-BLC</t>
  </si>
  <si>
    <t>VTE2602165</t>
  </si>
  <si>
    <t>VTE2602170</t>
  </si>
  <si>
    <t>00725190</t>
  </si>
  <si>
    <t>00997500-NOIR</t>
  </si>
  <si>
    <t>043550002</t>
  </si>
  <si>
    <t>07GA2P660/T</t>
  </si>
  <si>
    <t>KIT2V6300</t>
  </si>
  <si>
    <t>SMSQR</t>
  </si>
  <si>
    <t>VTE2602173</t>
  </si>
  <si>
    <t>04777000K</t>
  </si>
  <si>
    <t>VTE2602174</t>
  </si>
  <si>
    <t>03978590</t>
  </si>
  <si>
    <t>04705000N</t>
  </si>
  <si>
    <t>124MDQ11cuv-Noir</t>
  </si>
  <si>
    <t>VTE2602182</t>
  </si>
  <si>
    <t>VTE2602184</t>
  </si>
  <si>
    <t>STE COMPTOIR MILED DE COMMERCE</t>
  </si>
  <si>
    <t>LMMO-S758-BLC</t>
  </si>
  <si>
    <t>VTE2602199</t>
  </si>
  <si>
    <t>JUMELAGE</t>
  </si>
  <si>
    <t>RAIL01-GAL-V41X41X2.5M</t>
  </si>
  <si>
    <t>RAIL01-GAL-V41X41X1.8M</t>
  </si>
  <si>
    <t>OF2608903</t>
  </si>
  <si>
    <t>OF2608902</t>
  </si>
  <si>
    <t>OF2608901</t>
  </si>
  <si>
    <t>VTE2602231</t>
  </si>
  <si>
    <t>STE COMPTOIR ZARZIS D'ALUMINIUM</t>
  </si>
  <si>
    <t>VTE2602279</t>
  </si>
  <si>
    <t>VTE2602307</t>
  </si>
  <si>
    <t>VTE2602332</t>
  </si>
  <si>
    <t>021 52</t>
  </si>
  <si>
    <t>056 52</t>
  </si>
  <si>
    <t>052 52</t>
  </si>
  <si>
    <t>N52 134</t>
  </si>
  <si>
    <t>N52041</t>
  </si>
  <si>
    <t>N52 162</t>
  </si>
  <si>
    <t>JMR032</t>
  </si>
  <si>
    <t>VTE2602356</t>
  </si>
  <si>
    <t>ZOUBAIER BEN YOUSSEF</t>
  </si>
  <si>
    <t>02563500-Noir</t>
  </si>
  <si>
    <t>CO105-NOIR</t>
  </si>
  <si>
    <t>CO103-NOIR</t>
  </si>
  <si>
    <t>CO104-NOIR</t>
  </si>
  <si>
    <t>CO114-NOIR</t>
  </si>
  <si>
    <t>CO106-NOIR</t>
  </si>
  <si>
    <t>FR102-NOIR</t>
  </si>
  <si>
    <t>FR139-NOIR</t>
  </si>
  <si>
    <t>FR104-NOIR</t>
  </si>
  <si>
    <t>FR154-NOIR</t>
  </si>
  <si>
    <t>FR156-NOIR</t>
  </si>
  <si>
    <t>FR150-NOIR</t>
  </si>
  <si>
    <t>FR402-NOIR</t>
  </si>
  <si>
    <t>JB247</t>
  </si>
  <si>
    <t>JV242</t>
  </si>
  <si>
    <t>EC40112-NOIR</t>
  </si>
  <si>
    <t>VTE2602391</t>
  </si>
  <si>
    <t>CL2A</t>
  </si>
  <si>
    <t>FR139-BLC</t>
  </si>
  <si>
    <t>VTE2602470</t>
  </si>
  <si>
    <t>EC40102-BLC</t>
  </si>
  <si>
    <t>LM-INJ-55_6000-BLC</t>
  </si>
  <si>
    <t>LM-INJ-37_5800-BLC</t>
  </si>
  <si>
    <t>PCL175-NOIR</t>
  </si>
  <si>
    <t>VTE2602509</t>
  </si>
  <si>
    <t>STE TOUS PRODUIT ALUMINIUM TPA</t>
  </si>
  <si>
    <t>EC40104-NOIR</t>
  </si>
  <si>
    <t>FR102-BLC</t>
  </si>
  <si>
    <t>VTE2602538</t>
  </si>
  <si>
    <t>VTE2602557</t>
  </si>
  <si>
    <t>STE COMPTOIR METAL DE MEDNINE</t>
  </si>
  <si>
    <t>AL11026-GRIS</t>
  </si>
  <si>
    <t>EC40402-ACAJOU</t>
  </si>
  <si>
    <t>EC40404-ACAJOU</t>
  </si>
  <si>
    <t>FR139-GRIS</t>
  </si>
  <si>
    <t>FR150-ACAJOU</t>
  </si>
  <si>
    <t>FR150-BLC</t>
  </si>
  <si>
    <t>VTE2602581</t>
  </si>
  <si>
    <t>VTE2602607</t>
  </si>
  <si>
    <t>VTE2602627</t>
  </si>
  <si>
    <t>OF2614356</t>
  </si>
  <si>
    <t>VTE2602634</t>
  </si>
  <si>
    <t>FR100-BLC</t>
  </si>
  <si>
    <t>VTE2602635</t>
  </si>
  <si>
    <t>ALL213/1.5-CORINA</t>
  </si>
  <si>
    <t>VTE2602667</t>
  </si>
  <si>
    <t>STE RUNGIS PLAST LTD</t>
  </si>
  <si>
    <t>VTE2602738</t>
  </si>
  <si>
    <t>CO103-ACAJOU</t>
  </si>
  <si>
    <t>CO106-ACAJOU</t>
  </si>
  <si>
    <t>OF2615067</t>
  </si>
  <si>
    <t>OF2615068</t>
  </si>
  <si>
    <t>FR139-ACAJOU</t>
  </si>
  <si>
    <t>OF2615069</t>
  </si>
  <si>
    <t>VTE2602744</t>
  </si>
  <si>
    <t>043550001</t>
  </si>
  <si>
    <t>07GA3P1130/T</t>
  </si>
  <si>
    <t>07MA3PI130</t>
  </si>
  <si>
    <t>07MAIP250</t>
  </si>
  <si>
    <t>ACC67 255</t>
  </si>
  <si>
    <t>03120000-BRUT</t>
  </si>
  <si>
    <t>ACC67 254</t>
  </si>
  <si>
    <t>10840</t>
  </si>
  <si>
    <t>13622 CO</t>
  </si>
  <si>
    <t>36440 FR</t>
  </si>
  <si>
    <t>11840</t>
  </si>
  <si>
    <t>03328000-BRUT</t>
  </si>
  <si>
    <t>ACC67 256</t>
  </si>
  <si>
    <t>JBR7X6</t>
  </si>
  <si>
    <t>JPG67</t>
  </si>
  <si>
    <t>J784</t>
  </si>
  <si>
    <t>LM2013</t>
  </si>
  <si>
    <t>JPG64</t>
  </si>
  <si>
    <t>JV220</t>
  </si>
  <si>
    <t>VIS4.8X25SIP</t>
  </si>
  <si>
    <t>VTE2602797</t>
  </si>
  <si>
    <t>CSQ101-GRISG</t>
  </si>
  <si>
    <t>FSQ139-GRISG</t>
  </si>
  <si>
    <t>JDM20/15</t>
  </si>
  <si>
    <t>GL11060/248-BLC</t>
  </si>
  <si>
    <t>SerWtr</t>
  </si>
  <si>
    <t>VTE2602882</t>
  </si>
  <si>
    <t>VTE2602889</t>
  </si>
  <si>
    <t>EC40148-BLC</t>
  </si>
  <si>
    <t>EC67102-BLC</t>
  </si>
  <si>
    <t>EC67103-NOIR</t>
  </si>
  <si>
    <t>VTE2602891</t>
  </si>
  <si>
    <t>SOCIETE ALLOUS ALUMINIUM</t>
  </si>
  <si>
    <t>OF2611608</t>
  </si>
  <si>
    <t>VTE2602899</t>
  </si>
  <si>
    <t>COPAL</t>
  </si>
  <si>
    <t>CO104-DARK</t>
  </si>
  <si>
    <t>VTE2602908</t>
  </si>
  <si>
    <t>VTE2602917</t>
  </si>
  <si>
    <t>SOCIETE REKIK D'ALUMINIUM</t>
  </si>
  <si>
    <t>VTE2602942</t>
  </si>
  <si>
    <t>LMOR-58-PURITY</t>
  </si>
  <si>
    <t>VTE2602975</t>
  </si>
  <si>
    <t>VTE2602988</t>
  </si>
  <si>
    <t>STE GAM</t>
  </si>
  <si>
    <t>OF2614385</t>
  </si>
  <si>
    <t>VTE2602989</t>
  </si>
  <si>
    <t>AL11026-BLC</t>
  </si>
  <si>
    <t>VTE2602992</t>
  </si>
  <si>
    <t>STE CHEBIL DE VENTE DE PROFILETS ET D'ACCESSOIRES  D'ALUMINIUM</t>
  </si>
  <si>
    <t>EC67105-GRIS</t>
  </si>
  <si>
    <t>VTE2602997</t>
  </si>
  <si>
    <t>C-40100-FRENE</t>
  </si>
  <si>
    <t>C-40104-FRENE</t>
  </si>
  <si>
    <t>C-67108-FRENE</t>
  </si>
  <si>
    <t>C-40150-FRENE</t>
  </si>
  <si>
    <t>C-67107-FRENE</t>
  </si>
  <si>
    <t>VTE2603007</t>
  </si>
  <si>
    <t>EC40112-BLC</t>
  </si>
  <si>
    <t>FR149-NOIR</t>
  </si>
  <si>
    <t>FR150-DARK</t>
  </si>
  <si>
    <t>FR402-DARK</t>
  </si>
  <si>
    <t>OF2615038</t>
  </si>
  <si>
    <t>OF2615037</t>
  </si>
  <si>
    <t>FR108-NOIR</t>
  </si>
  <si>
    <t>VTE2603013</t>
  </si>
  <si>
    <t>EC40121-NOIR</t>
  </si>
  <si>
    <t>VTE2603016</t>
  </si>
  <si>
    <t>CHB6</t>
  </si>
  <si>
    <t>VTE2603021</t>
  </si>
  <si>
    <t>FR154-ACAJOU</t>
  </si>
  <si>
    <t>VTE2603027</t>
  </si>
  <si>
    <t>COMPTOIR ZEPHIR D'ALUMINIUM ET FER</t>
  </si>
  <si>
    <t>VTE2603042</t>
  </si>
  <si>
    <t>ALUSET INTERNATIONAL</t>
  </si>
  <si>
    <t>LMMO-757-BLC</t>
  </si>
  <si>
    <t>VTE2603070</t>
  </si>
  <si>
    <t>EC40104-BLC</t>
  </si>
  <si>
    <t>EC40121-BLC</t>
  </si>
  <si>
    <t>EC40104-GRIS</t>
  </si>
  <si>
    <t>OF2615072</t>
  </si>
  <si>
    <t>VTE2603071</t>
  </si>
  <si>
    <t>OF2612410</t>
  </si>
  <si>
    <t>VTE2603072</t>
  </si>
  <si>
    <t>FR104-GRIS</t>
  </si>
  <si>
    <t>FR139-DARK</t>
  </si>
  <si>
    <t>OF2615073</t>
  </si>
  <si>
    <t>FR104-ACAJOU</t>
  </si>
  <si>
    <t>VTE2603086</t>
  </si>
  <si>
    <t>VTE2603093</t>
  </si>
  <si>
    <t>VTE2603097</t>
  </si>
  <si>
    <t>JDM50/60</t>
  </si>
  <si>
    <t>VTE2603144</t>
  </si>
  <si>
    <t>FR148-BLC</t>
  </si>
  <si>
    <t>VTE2603150</t>
  </si>
  <si>
    <t>COMPTOIR NIZAR ALIMUNIUM ET FER</t>
  </si>
  <si>
    <t>VTE2603154</t>
  </si>
  <si>
    <t>COMPTOIR LES ORANGES</t>
  </si>
  <si>
    <t>KITOB-BLC</t>
  </si>
  <si>
    <t>OF2612481</t>
  </si>
  <si>
    <t>OF2612480</t>
  </si>
  <si>
    <t>VTE2603159</t>
  </si>
  <si>
    <t>STE COMPTOIR BOUAFIF</t>
  </si>
  <si>
    <t>EC40148-NOIR</t>
  </si>
  <si>
    <t>OF2615035</t>
  </si>
  <si>
    <t>FR112-BLC</t>
  </si>
  <si>
    <t>OF2615036</t>
  </si>
  <si>
    <t>VTE2603172</t>
  </si>
  <si>
    <t>1A009KY</t>
  </si>
  <si>
    <t>1AL19MR9M6355SZQA</t>
  </si>
  <si>
    <t>EA510-207</t>
  </si>
  <si>
    <t>ES210-120</t>
  </si>
  <si>
    <t>VTE2603179</t>
  </si>
  <si>
    <t>OF2615034</t>
  </si>
  <si>
    <t>OF2614961</t>
  </si>
  <si>
    <t>VTE2603180</t>
  </si>
  <si>
    <t>CO102-BLC</t>
  </si>
  <si>
    <t>CO108-BLC</t>
  </si>
  <si>
    <t>VTE2603183</t>
  </si>
  <si>
    <t>VTE2603182</t>
  </si>
  <si>
    <t>VTE2603189</t>
  </si>
  <si>
    <t>PoiK-BLC</t>
  </si>
  <si>
    <t>VTE2603194</t>
  </si>
  <si>
    <t>VTE2603197</t>
  </si>
  <si>
    <t>EX45A175P</t>
  </si>
  <si>
    <t>VTE2603209</t>
  </si>
  <si>
    <t>VTE2603214</t>
  </si>
  <si>
    <t>STES PROMALU SAKOUHI</t>
  </si>
  <si>
    <t>EC40112-ACAJOU</t>
  </si>
  <si>
    <t>VTE2603216</t>
  </si>
  <si>
    <t>VTE2603218</t>
  </si>
  <si>
    <t>N52 110</t>
  </si>
  <si>
    <t>VTE2603224</t>
  </si>
  <si>
    <t>VTE2603228</t>
  </si>
  <si>
    <t>VTE2603229</t>
  </si>
  <si>
    <t>VTE2603230</t>
  </si>
  <si>
    <t>VTE2603236</t>
  </si>
  <si>
    <t>STE CAP ALU-PLUS</t>
  </si>
  <si>
    <t>VTE2603237</t>
  </si>
  <si>
    <t>VTE2603244</t>
  </si>
  <si>
    <t>STE EVAL ALUMINIUM</t>
  </si>
  <si>
    <t>LM-INJ-45_6000-BLC</t>
  </si>
  <si>
    <t>LM-INJ-55_6000-A37</t>
  </si>
  <si>
    <t>LM-INJ-55_6000-GRIS</t>
  </si>
  <si>
    <t>VTE2603246</t>
  </si>
  <si>
    <t>CO101-NOIR</t>
  </si>
  <si>
    <t>EC40166-NOIR</t>
  </si>
  <si>
    <t>FR404-BLC</t>
  </si>
  <si>
    <t>VTE2603257</t>
  </si>
  <si>
    <t>OF2614455</t>
  </si>
  <si>
    <t>FR150-R7016</t>
  </si>
  <si>
    <t>FR139-R7016</t>
  </si>
  <si>
    <t>N52035</t>
  </si>
  <si>
    <t>N52036</t>
  </si>
  <si>
    <t>N52034</t>
  </si>
  <si>
    <t>VTE2603259</t>
  </si>
  <si>
    <t>CO105-BLC</t>
  </si>
  <si>
    <t>FR135-BLC</t>
  </si>
  <si>
    <t>FR166-BLC</t>
  </si>
  <si>
    <t>VTE2603260</t>
  </si>
  <si>
    <t>EC40107-GRIS</t>
  </si>
  <si>
    <t>LM-F/6-GRIS</t>
  </si>
  <si>
    <t>VTE2603261</t>
  </si>
  <si>
    <t>LM-F45-ACAJOU</t>
  </si>
  <si>
    <t>VTE2603265</t>
  </si>
  <si>
    <t>00959500-Noir</t>
  </si>
  <si>
    <t>04322000-BRUT</t>
  </si>
  <si>
    <t>VTE2603267</t>
  </si>
  <si>
    <t>VTE2603269</t>
  </si>
  <si>
    <t>SOCIETE D'ALUMINIUM ET ACCESSOIRES SAA</t>
  </si>
  <si>
    <t>VTE2603272</t>
  </si>
  <si>
    <t>VTE2603280</t>
  </si>
  <si>
    <t>FSQ139-NOIR</t>
  </si>
  <si>
    <t>VTE2603285</t>
  </si>
  <si>
    <t>OF2614357</t>
  </si>
  <si>
    <t>VTE2603287</t>
  </si>
  <si>
    <t>EC40166-GRIS</t>
  </si>
  <si>
    <t>OF2614359</t>
  </si>
  <si>
    <t>FR102-GRIS</t>
  </si>
  <si>
    <t>OF2614358</t>
  </si>
  <si>
    <t>VTE2603288</t>
  </si>
  <si>
    <t>VTE2603289</t>
  </si>
  <si>
    <t>CO105-ACAJOU</t>
  </si>
  <si>
    <t>FR102-ACAJOU</t>
  </si>
  <si>
    <t>OF2614360</t>
  </si>
  <si>
    <t>FR164-ACAJOU</t>
  </si>
  <si>
    <t>OF2614361</t>
  </si>
  <si>
    <t>VTE2603291</t>
  </si>
  <si>
    <t>STE ALWIFAK</t>
  </si>
  <si>
    <t>VTE2603292</t>
  </si>
  <si>
    <t>CSQ101-BLC</t>
  </si>
  <si>
    <t>OF2613226</t>
  </si>
  <si>
    <t>VTE2603300</t>
  </si>
  <si>
    <t>CO106-DARK</t>
  </si>
  <si>
    <t>VTE2603301</t>
  </si>
  <si>
    <t>COMPTOIR ALUMINIUM C2A</t>
  </si>
  <si>
    <t>VTE2603303</t>
  </si>
  <si>
    <t>OF2613320</t>
  </si>
  <si>
    <t>VTE2603304</t>
  </si>
  <si>
    <t>VTE2603307</t>
  </si>
  <si>
    <t>EC40100-ACAJOU</t>
  </si>
  <si>
    <t>VTE2603316</t>
  </si>
  <si>
    <t>VTE2603323</t>
  </si>
  <si>
    <t>VTE2603325</t>
  </si>
  <si>
    <t>FR121-ACAJOU</t>
  </si>
  <si>
    <t>VTE2603341</t>
  </si>
  <si>
    <t>TECHNOBAT HENI MONCEF</t>
  </si>
  <si>
    <t>VTE2603343</t>
  </si>
  <si>
    <t>VTE2603355</t>
  </si>
  <si>
    <t>CODIPAL</t>
  </si>
  <si>
    <t>VTE2603368</t>
  </si>
  <si>
    <t>AIR LineAIR</t>
  </si>
  <si>
    <t>RIV-3*10</t>
  </si>
  <si>
    <t>VTE2603370</t>
  </si>
  <si>
    <t>VTE2603371</t>
  </si>
  <si>
    <t>SAIID MOHAMED</t>
  </si>
  <si>
    <t>VTE2603372</t>
  </si>
  <si>
    <t>FR148-R9016</t>
  </si>
  <si>
    <t>VTE2603374</t>
  </si>
  <si>
    <t>MR002-BLC</t>
  </si>
  <si>
    <t>OF2615192</t>
  </si>
  <si>
    <t>VTE2603380</t>
  </si>
  <si>
    <t>VTE2603386</t>
  </si>
  <si>
    <t>kitobT1G-NOIR</t>
  </si>
  <si>
    <t>OF2613603</t>
  </si>
  <si>
    <t>VTE2603395</t>
  </si>
  <si>
    <t>STE ALUMINIUM ACHEK SUARL</t>
  </si>
  <si>
    <t>CO107-BLC</t>
  </si>
  <si>
    <t>VTE2603396</t>
  </si>
  <si>
    <t>EC40402-BLC</t>
  </si>
  <si>
    <t>VTE2603399</t>
  </si>
  <si>
    <t>DS001_P6500-NOIR</t>
  </si>
  <si>
    <t>VTE2603401</t>
  </si>
  <si>
    <t>VTE2603402</t>
  </si>
  <si>
    <t>EC67105-DARK</t>
  </si>
  <si>
    <t>EC40402-DARK</t>
  </si>
  <si>
    <t>SMPORT</t>
  </si>
  <si>
    <t>VTE2603403</t>
  </si>
  <si>
    <t>VTE2603411</t>
  </si>
  <si>
    <t>LM-INJ-55_6000-NOIR</t>
  </si>
  <si>
    <t>VTE2603412</t>
  </si>
  <si>
    <t>VTE2603421</t>
  </si>
  <si>
    <t>VTE2603429</t>
  </si>
  <si>
    <t>VTE2603431</t>
  </si>
  <si>
    <t>VTE2603440</t>
  </si>
  <si>
    <t>VTE2603446</t>
  </si>
  <si>
    <t>EA510-207I-ANOD</t>
  </si>
  <si>
    <t>VTE2603450</t>
  </si>
  <si>
    <t>20 P660 70</t>
  </si>
  <si>
    <t>VTE2603454</t>
  </si>
  <si>
    <t>JHS615</t>
  </si>
  <si>
    <t>VTE2603456</t>
  </si>
  <si>
    <t>COMPTOIR ALUMINIUM MEDENINE</t>
  </si>
  <si>
    <t>EC40148-GRIS</t>
  </si>
  <si>
    <t>EC40112-GRIS</t>
  </si>
  <si>
    <t>EC40121-GRIS</t>
  </si>
  <si>
    <t>EC40100-GRIS</t>
  </si>
  <si>
    <t>EC40402-NOIR</t>
  </si>
  <si>
    <t>OF2614865</t>
  </si>
  <si>
    <t>OF2614866</t>
  </si>
  <si>
    <t>OF2614863</t>
  </si>
  <si>
    <t>EC40404-GRIS</t>
  </si>
  <si>
    <t>EC40166-ACAJOU</t>
  </si>
  <si>
    <t>EC40402-GRIS</t>
  </si>
  <si>
    <t>EC40404-NOIR</t>
  </si>
  <si>
    <t>OF2614864</t>
  </si>
  <si>
    <t>OF2614868</t>
  </si>
  <si>
    <t>OF2614862</t>
  </si>
  <si>
    <t>OF2614869</t>
  </si>
  <si>
    <t>OF2614867</t>
  </si>
  <si>
    <t>GL11060/248-NOIR</t>
  </si>
  <si>
    <t>GL11060/248-GRIS</t>
  </si>
  <si>
    <t>LM-F/6-NOIR</t>
  </si>
  <si>
    <t>OF2614860</t>
  </si>
  <si>
    <t>OF2614861</t>
  </si>
  <si>
    <t>OF2614857</t>
  </si>
  <si>
    <t>EC40100-NOIR</t>
  </si>
  <si>
    <t>LM-F/6-BLC</t>
  </si>
  <si>
    <t>OF2614859</t>
  </si>
  <si>
    <t>OF2614858</t>
  </si>
  <si>
    <t>VTE2603458</t>
  </si>
  <si>
    <t>VTE2603465</t>
  </si>
  <si>
    <t>OF2614590</t>
  </si>
  <si>
    <t>VTE2603466</t>
  </si>
  <si>
    <t>VTE2603475</t>
  </si>
  <si>
    <t>STE RNA</t>
  </si>
  <si>
    <t>FR111-NOIR</t>
  </si>
  <si>
    <t>OF2613842</t>
  </si>
  <si>
    <t>VTE2603482</t>
  </si>
  <si>
    <t>COMPTOIR JENAYEH ALUM ET ACCESSOIRES</t>
  </si>
  <si>
    <t>VTE2603487</t>
  </si>
  <si>
    <t>VTE2603489</t>
  </si>
  <si>
    <t>VTE2603490</t>
  </si>
  <si>
    <t>VTE2603494</t>
  </si>
  <si>
    <t>VTE2603495</t>
  </si>
  <si>
    <t>VTE2603509</t>
  </si>
  <si>
    <t>VTE2603510</t>
  </si>
  <si>
    <t>CSQ124-DARK</t>
  </si>
  <si>
    <t>VTE2603513</t>
  </si>
  <si>
    <t>LM-80-BLC</t>
  </si>
  <si>
    <t>OF2613909</t>
  </si>
  <si>
    <t>VTE2603515</t>
  </si>
  <si>
    <t>VTE2603524</t>
  </si>
  <si>
    <t>STE COMPTOIR PDTS D'ALUMINIUM</t>
  </si>
  <si>
    <t>CSQ102-BLC</t>
  </si>
  <si>
    <t>OF2613947</t>
  </si>
  <si>
    <t>CSQ108-BLC</t>
  </si>
  <si>
    <t>CSQ126-BLC</t>
  </si>
  <si>
    <t>OF2613952</t>
  </si>
  <si>
    <t>OF2613953</t>
  </si>
  <si>
    <t>OF2613948</t>
  </si>
  <si>
    <t>OF2613944</t>
  </si>
  <si>
    <t>OF2613945</t>
  </si>
  <si>
    <t>VTE2603527</t>
  </si>
  <si>
    <t>P014-NOIR</t>
  </si>
  <si>
    <t>P013-NOIR</t>
  </si>
  <si>
    <t>T054-12-NOIR</t>
  </si>
  <si>
    <t>OF2613969</t>
  </si>
  <si>
    <t>OF2613968</t>
  </si>
  <si>
    <t>OF2613970</t>
  </si>
  <si>
    <t>VTE2603528</t>
  </si>
  <si>
    <t>EC40154-BLC</t>
  </si>
  <si>
    <t>OF2614058</t>
  </si>
  <si>
    <t>OF2614055</t>
  </si>
  <si>
    <t>VTE2603529</t>
  </si>
  <si>
    <t>02563410-blc</t>
  </si>
  <si>
    <t>VTE2603540</t>
  </si>
  <si>
    <t>GL-MB-BLC</t>
  </si>
  <si>
    <t>OF2613993</t>
  </si>
  <si>
    <t>VTE2603542</t>
  </si>
  <si>
    <t>VTE2603549</t>
  </si>
  <si>
    <t>STE EL EZDIHAR</t>
  </si>
  <si>
    <t>VTE2603551</t>
  </si>
  <si>
    <t>VTE2603553</t>
  </si>
  <si>
    <t>OF2614023</t>
  </si>
  <si>
    <t>VTE2603554</t>
  </si>
  <si>
    <t>VTE2603556</t>
  </si>
  <si>
    <t>CSQ104-BLC</t>
  </si>
  <si>
    <t>CSQ105-blc</t>
  </si>
  <si>
    <t>CSQ114-BLC</t>
  </si>
  <si>
    <t>OF2614038</t>
  </si>
  <si>
    <t>OF2614039</t>
  </si>
  <si>
    <t>OF2614040</t>
  </si>
  <si>
    <t>OF2614041</t>
  </si>
  <si>
    <t>VTE2603558</t>
  </si>
  <si>
    <t>VTE2603559</t>
  </si>
  <si>
    <t>P031-ACAJOU</t>
  </si>
  <si>
    <t>OF2614362</t>
  </si>
  <si>
    <t>OF2614047</t>
  </si>
  <si>
    <t>VTE2603561</t>
  </si>
  <si>
    <t>STE H-S METAL</t>
  </si>
  <si>
    <t>OF2614050</t>
  </si>
  <si>
    <t>OF2614048</t>
  </si>
  <si>
    <t>VTE2603562</t>
  </si>
  <si>
    <t>SOCIETE CIMAB</t>
  </si>
  <si>
    <t>OF2614084</t>
  </si>
  <si>
    <t>OF2614083</t>
  </si>
  <si>
    <t>VTE2603567</t>
  </si>
  <si>
    <t>VTE2603575</t>
  </si>
  <si>
    <t>OF2614081</t>
  </si>
  <si>
    <t>OF2614364</t>
  </si>
  <si>
    <t>GL180-BLC</t>
  </si>
  <si>
    <t>OF2614363</t>
  </si>
  <si>
    <t>VTE2603576</t>
  </si>
  <si>
    <t>VTE2603577</t>
  </si>
  <si>
    <t>SOCIETE NOUVELLE ALU</t>
  </si>
  <si>
    <t>VTE2603581</t>
  </si>
  <si>
    <t>OF2614092</t>
  </si>
  <si>
    <t>OF2614093</t>
  </si>
  <si>
    <t>VTE2603592</t>
  </si>
  <si>
    <t>VTE2603601</t>
  </si>
  <si>
    <t>VTE2603603</t>
  </si>
  <si>
    <t>CO104-GRIS</t>
  </si>
  <si>
    <t>CO103-DARK</t>
  </si>
  <si>
    <t>CO103-GRIS</t>
  </si>
  <si>
    <t>CO114-GRIS</t>
  </si>
  <si>
    <t>OF2614715</t>
  </si>
  <si>
    <t>OF2614720</t>
  </si>
  <si>
    <t>OF2614714</t>
  </si>
  <si>
    <t>OF2614717</t>
  </si>
  <si>
    <t>OF2614719</t>
  </si>
  <si>
    <t>OF2614716</t>
  </si>
  <si>
    <t>OF2614718</t>
  </si>
  <si>
    <t>OF2614127</t>
  </si>
  <si>
    <t>OF2614126</t>
  </si>
  <si>
    <t>CO114-DARK</t>
  </si>
  <si>
    <t>OF2614721</t>
  </si>
  <si>
    <t>VTE2603606</t>
  </si>
  <si>
    <t>VTE2603607</t>
  </si>
  <si>
    <t>VTE2603616</t>
  </si>
  <si>
    <t>COMPTOIR DE DISTRBUTION D'ALUMINIUM CDA</t>
  </si>
  <si>
    <t>VTE2603619</t>
  </si>
  <si>
    <t>STE NEW VALUE</t>
  </si>
  <si>
    <t>VTE2603623</t>
  </si>
  <si>
    <t>FSQ534-DARK</t>
  </si>
  <si>
    <t>VTE2603624</t>
  </si>
  <si>
    <t>VTE2603627</t>
  </si>
  <si>
    <t>VTE2603628</t>
  </si>
  <si>
    <t>FSQ112-BLC</t>
  </si>
  <si>
    <t>FSQ403-BLC</t>
  </si>
  <si>
    <t>OF2614184</t>
  </si>
  <si>
    <t>OF2614183</t>
  </si>
  <si>
    <t>VTE2603633</t>
  </si>
  <si>
    <t>EC40154-NOIR</t>
  </si>
  <si>
    <t>OF2614232</t>
  </si>
  <si>
    <t>EC67102-NOIR</t>
  </si>
  <si>
    <t>OF2614233</t>
  </si>
  <si>
    <t>FR404-NOIR</t>
  </si>
  <si>
    <t>OF2614234</t>
  </si>
  <si>
    <t>OF2614231</t>
  </si>
  <si>
    <t>VTE2603638</t>
  </si>
  <si>
    <t>OF2614261</t>
  </si>
  <si>
    <t>OF2614262</t>
  </si>
  <si>
    <t>VTE2603639</t>
  </si>
  <si>
    <t>GLLMDP-100-BLC</t>
  </si>
  <si>
    <t>LMDPF-100-BLC</t>
  </si>
  <si>
    <t>LMDP-100-BLC</t>
  </si>
  <si>
    <t>OF2614229</t>
  </si>
  <si>
    <t>OF2614228</t>
  </si>
  <si>
    <t>OF2614227</t>
  </si>
  <si>
    <t>VTE2603642</t>
  </si>
  <si>
    <t>STE DELTA SOLUTION</t>
  </si>
  <si>
    <t>CSQ103-NOIR</t>
  </si>
  <si>
    <t>CSQ301-NOIR</t>
  </si>
  <si>
    <t>OF2614208</t>
  </si>
  <si>
    <t>OF2614209</t>
  </si>
  <si>
    <t>VTE2603643</t>
  </si>
  <si>
    <t>VTE2603649</t>
  </si>
  <si>
    <t>VTE2603651</t>
  </si>
  <si>
    <t>CSQ302-NOIR</t>
  </si>
  <si>
    <t>EC40107-NOIR</t>
  </si>
  <si>
    <t>OF2614248</t>
  </si>
  <si>
    <t>OF2614247</t>
  </si>
  <si>
    <t>VTE2603652</t>
  </si>
  <si>
    <t>STE"ALUM-ART" SARL</t>
  </si>
  <si>
    <t>FR127-NOIR</t>
  </si>
  <si>
    <t>VTE2603654</t>
  </si>
  <si>
    <t>FR133-NOIR</t>
  </si>
  <si>
    <t>FR161-NOIR</t>
  </si>
  <si>
    <t>FR112-NOIR</t>
  </si>
  <si>
    <t>FR403-NOIR</t>
  </si>
  <si>
    <t>OF2614267</t>
  </si>
  <si>
    <t>OF2614264</t>
  </si>
  <si>
    <t>OF2614265</t>
  </si>
  <si>
    <t>OF2614269</t>
  </si>
  <si>
    <t>OF2614268</t>
  </si>
  <si>
    <t>OF2614263</t>
  </si>
  <si>
    <t>OF2614266</t>
  </si>
  <si>
    <t>VTE2603656</t>
  </si>
  <si>
    <t>OF2614271</t>
  </si>
  <si>
    <t>OF2614272</t>
  </si>
  <si>
    <t>OF2614273</t>
  </si>
  <si>
    <t>OF2614274</t>
  </si>
  <si>
    <t>OF2614275</t>
  </si>
  <si>
    <t>VTE2603657</t>
  </si>
  <si>
    <t>ROYALE ALU</t>
  </si>
  <si>
    <t>OF2614282</t>
  </si>
  <si>
    <t>OF2614283</t>
  </si>
  <si>
    <t>OF2614281</t>
  </si>
  <si>
    <t>OF2614280</t>
  </si>
  <si>
    <t>VTE2603658</t>
  </si>
  <si>
    <t>KITOB-CHPG</t>
  </si>
  <si>
    <t>VTE2603662</t>
  </si>
  <si>
    <t>STE MKF ALU</t>
  </si>
  <si>
    <t>EC40102-NOIR</t>
  </si>
  <si>
    <t>OF2614290</t>
  </si>
  <si>
    <t>EC67101-NOIR</t>
  </si>
  <si>
    <t>OF2614291</t>
  </si>
  <si>
    <t>OF2614293</t>
  </si>
  <si>
    <t>OF2614294</t>
  </si>
  <si>
    <t>OF2614292</t>
  </si>
  <si>
    <t>EC67105-NOIR</t>
  </si>
  <si>
    <t>OF2614295</t>
  </si>
  <si>
    <t>OF2614296</t>
  </si>
  <si>
    <t>OF2614289</t>
  </si>
  <si>
    <t>VTE2603665</t>
  </si>
  <si>
    <t>VTE2603668</t>
  </si>
  <si>
    <t>STE JEMAA ALUMINIUM SJA</t>
  </si>
  <si>
    <t>OF2614298</t>
  </si>
  <si>
    <t>OF2614299</t>
  </si>
  <si>
    <t>OF2614297</t>
  </si>
  <si>
    <t>VTE2603672</t>
  </si>
  <si>
    <t>GLOBAL DISTRIBUTION</t>
  </si>
  <si>
    <t>OF2614304</t>
  </si>
  <si>
    <t>OF2614302</t>
  </si>
  <si>
    <t>OF2614301</t>
  </si>
  <si>
    <t>OF2614300</t>
  </si>
  <si>
    <t>OF2614303</t>
  </si>
  <si>
    <t>VTE2603675</t>
  </si>
  <si>
    <t>STE MENUISERIE ALUMINIUM KOUBAA-MAK</t>
  </si>
  <si>
    <t>OF2614312</t>
  </si>
  <si>
    <t>OF2614310</t>
  </si>
  <si>
    <t>OF2614311</t>
  </si>
  <si>
    <t>CSQ306-NOIR</t>
  </si>
  <si>
    <t>OF2614313</t>
  </si>
  <si>
    <t>OF2614314</t>
  </si>
  <si>
    <t>VTE2603679</t>
  </si>
  <si>
    <t>C-67106-GREY</t>
  </si>
  <si>
    <t>OF2614417</t>
  </si>
  <si>
    <t>CSQ103-GREY</t>
  </si>
  <si>
    <t>CSQ114-GREY</t>
  </si>
  <si>
    <t>CSQ104-GREY</t>
  </si>
  <si>
    <t>CSQ107-GREY</t>
  </si>
  <si>
    <t>CSQ201-GREY</t>
  </si>
  <si>
    <t>CSQ301-GREY</t>
  </si>
  <si>
    <t>OF2614403</t>
  </si>
  <si>
    <t>OF2614405</t>
  </si>
  <si>
    <t>OF2614404</t>
  </si>
  <si>
    <t>OF2614416</t>
  </si>
  <si>
    <t>OF2614402</t>
  </si>
  <si>
    <t>OF2614415</t>
  </si>
  <si>
    <t>CSQ203-GREY</t>
  </si>
  <si>
    <t>FR127-GREY</t>
  </si>
  <si>
    <t>FR164-GREY</t>
  </si>
  <si>
    <t>FSQ102-GREY</t>
  </si>
  <si>
    <t>FSQ121-GREY</t>
  </si>
  <si>
    <t>FSQ139-GREY</t>
  </si>
  <si>
    <t>FSQ104-GREY</t>
  </si>
  <si>
    <t>FSQ112-GREY</t>
  </si>
  <si>
    <t>FSQ535-GREY</t>
  </si>
  <si>
    <t>FSQ401-GREY</t>
  </si>
  <si>
    <t>FSQ403-GREY</t>
  </si>
  <si>
    <t>OF2614401</t>
  </si>
  <si>
    <t>OF2614413</t>
  </si>
  <si>
    <t>OF2614414</t>
  </si>
  <si>
    <t>OF2614406</t>
  </si>
  <si>
    <t>OF2614409</t>
  </si>
  <si>
    <t>OF2614411</t>
  </si>
  <si>
    <t>OF2614412</t>
  </si>
  <si>
    <t>OF2614410</t>
  </si>
  <si>
    <t>OF2614418</t>
  </si>
  <si>
    <t>OF2614408</t>
  </si>
  <si>
    <t>OF2614407</t>
  </si>
  <si>
    <t>FSQ534-GREY</t>
  </si>
  <si>
    <t>OF2614419</t>
  </si>
  <si>
    <t>VTE2603681</t>
  </si>
  <si>
    <t>SOCIETE LINALU</t>
  </si>
  <si>
    <t>FSQ139-DARK</t>
  </si>
  <si>
    <t>FSQ403-DARK</t>
  </si>
  <si>
    <t>OF2614369</t>
  </si>
  <si>
    <t>OF2614591</t>
  </si>
  <si>
    <t>VTE2603685</t>
  </si>
  <si>
    <t>FR166-NOIR</t>
  </si>
  <si>
    <t>OF2614373</t>
  </si>
  <si>
    <t>OF2614371</t>
  </si>
  <si>
    <t>OF2614374</t>
  </si>
  <si>
    <t>OF2614372</t>
  </si>
  <si>
    <t>VTE2603689</t>
  </si>
  <si>
    <t>EC67103-DARK</t>
  </si>
  <si>
    <t>FR100-DARK</t>
  </si>
  <si>
    <t>FR121-DARK</t>
  </si>
  <si>
    <t>FR166-DARK</t>
  </si>
  <si>
    <t>OF2614391</t>
  </si>
  <si>
    <t>OF2614392</t>
  </si>
  <si>
    <t>OF2614390</t>
  </si>
  <si>
    <t>OF2614389</t>
  </si>
  <si>
    <t>OF2614387</t>
  </si>
  <si>
    <t>OF2614393</t>
  </si>
  <si>
    <t>OF2614388</t>
  </si>
  <si>
    <t>VTE2603690</t>
  </si>
  <si>
    <t>SOCIETE METALU JAMIL</t>
  </si>
  <si>
    <t>4145-ACAJOU</t>
  </si>
  <si>
    <t>4455-ACAJOU</t>
  </si>
  <si>
    <t>4463-ACAJOU</t>
  </si>
  <si>
    <t>OF2614439</t>
  </si>
  <si>
    <t>OF2614437</t>
  </si>
  <si>
    <t>OF2614438</t>
  </si>
  <si>
    <t>4197-ACAJOU</t>
  </si>
  <si>
    <t>4454-ACAJOU</t>
  </si>
  <si>
    <t>OF2614846</t>
  </si>
  <si>
    <t>OF2614847</t>
  </si>
  <si>
    <t>FSQ131-ACAJOU</t>
  </si>
  <si>
    <t>OF2614851</t>
  </si>
  <si>
    <t>PL102-ACAJOU</t>
  </si>
  <si>
    <t>PL112-ACAJOU</t>
  </si>
  <si>
    <t>PL110-ACAJOU</t>
  </si>
  <si>
    <t>OF2614840</t>
  </si>
  <si>
    <t>OF2614844</t>
  </si>
  <si>
    <t>OF2614843</t>
  </si>
  <si>
    <t>PL108-ACAJOU</t>
  </si>
  <si>
    <t>PL111-ACAJOU</t>
  </si>
  <si>
    <t>PL114-ACAJOU</t>
  </si>
  <si>
    <t>OF2614848</t>
  </si>
  <si>
    <t>OF2614852</t>
  </si>
  <si>
    <t>OF2614845</t>
  </si>
  <si>
    <t>PL103-ACAJOU</t>
  </si>
  <si>
    <t>PL105-ACAJOU</t>
  </si>
  <si>
    <t>PL109-ACAJOU</t>
  </si>
  <si>
    <t>OF2614850</t>
  </si>
  <si>
    <t>OF2614841</t>
  </si>
  <si>
    <t>OF2614849</t>
  </si>
  <si>
    <t>OF2614842</t>
  </si>
  <si>
    <t>VTE2603693</t>
  </si>
  <si>
    <t>OF2614430</t>
  </si>
  <si>
    <t>OF2614431</t>
  </si>
  <si>
    <t>OF2614432</t>
  </si>
  <si>
    <t>CSQ210-BLC</t>
  </si>
  <si>
    <t>CSQ305-BLC</t>
  </si>
  <si>
    <t>FSQ110-BLC</t>
  </si>
  <si>
    <t>FSQ111-BLC</t>
  </si>
  <si>
    <t>FSQ150-BLC</t>
  </si>
  <si>
    <t>OF2614435</t>
  </si>
  <si>
    <t>OF2614436</t>
  </si>
  <si>
    <t>OF2614429</t>
  </si>
  <si>
    <t>OF2614421</t>
  </si>
  <si>
    <t>OF2614422</t>
  </si>
  <si>
    <t>OF2614425</t>
  </si>
  <si>
    <t>OF2614426</t>
  </si>
  <si>
    <t>FSQ139-BLC</t>
  </si>
  <si>
    <t>FSQ122-BLC</t>
  </si>
  <si>
    <t>FSQ100-BLC</t>
  </si>
  <si>
    <t>FSQ406-BLC</t>
  </si>
  <si>
    <t>OF2614423</t>
  </si>
  <si>
    <t>OF2614424</t>
  </si>
  <si>
    <t>OF2614427</t>
  </si>
  <si>
    <t>OF2614420</t>
  </si>
  <si>
    <t>OF2614428</t>
  </si>
  <si>
    <t>VTE2603696</t>
  </si>
  <si>
    <t>VTE2603697</t>
  </si>
  <si>
    <t>LM-INJ-55_6000-R7016</t>
  </si>
  <si>
    <t>VTE2603703</t>
  </si>
  <si>
    <t>FCH-GIVREE</t>
  </si>
  <si>
    <t>C-67106-ACAJOU</t>
  </si>
  <si>
    <t>VTE2603705</t>
  </si>
  <si>
    <t>OF2614485</t>
  </si>
  <si>
    <t>VTE2603712</t>
  </si>
  <si>
    <t>OF2614470</t>
  </si>
  <si>
    <t>VTE2603713</t>
  </si>
  <si>
    <t>EC40404-BLC</t>
  </si>
  <si>
    <t>OF2614471</t>
  </si>
  <si>
    <t>VTE2603717</t>
  </si>
  <si>
    <t>C-6735-R7021</t>
  </si>
  <si>
    <t>C-6736-R7021</t>
  </si>
  <si>
    <t>AXE70-BRUT</t>
  </si>
  <si>
    <t>VTE2603718</t>
  </si>
  <si>
    <t>VTE2603719</t>
  </si>
  <si>
    <t>EC22106-NOIR</t>
  </si>
  <si>
    <t>EC22104-BLC</t>
  </si>
  <si>
    <t>OF2614512</t>
  </si>
  <si>
    <t>OF2614509</t>
  </si>
  <si>
    <t>EC22106-GRIS</t>
  </si>
  <si>
    <t>OF2614511</t>
  </si>
  <si>
    <t>OF2615010</t>
  </si>
  <si>
    <t>OF2615012</t>
  </si>
  <si>
    <t>VTE2603720</t>
  </si>
  <si>
    <t>AL11026-NOIR</t>
  </si>
  <si>
    <t>OF2615011</t>
  </si>
  <si>
    <t>OF2614510</t>
  </si>
  <si>
    <t>OF2614506</t>
  </si>
  <si>
    <t>OF2614508</t>
  </si>
  <si>
    <t>OF2614501</t>
  </si>
  <si>
    <t>OF2614507</t>
  </si>
  <si>
    <t>OF2614504</t>
  </si>
  <si>
    <t>OF2614505</t>
  </si>
  <si>
    <t>OF2614502</t>
  </si>
  <si>
    <t>OF2614503</t>
  </si>
  <si>
    <t>VTE2603721</t>
  </si>
  <si>
    <t>VTE2603722</t>
  </si>
  <si>
    <t>VTE2603723</t>
  </si>
  <si>
    <t>EC67103-GRIS</t>
  </si>
  <si>
    <t>CSQ201-DARK</t>
  </si>
  <si>
    <t>OF2615009</t>
  </si>
  <si>
    <t>OF2614517</t>
  </si>
  <si>
    <t>OF2614519</t>
  </si>
  <si>
    <t>OF2614518</t>
  </si>
  <si>
    <t>OF2614516</t>
  </si>
  <si>
    <t>OF2614520</t>
  </si>
  <si>
    <t>VTE2603726</t>
  </si>
  <si>
    <t>C-40139-DARK</t>
  </si>
  <si>
    <t>C-AL11026-DARK</t>
  </si>
  <si>
    <t>EC40154-DARK</t>
  </si>
  <si>
    <t>FR112-DARK</t>
  </si>
  <si>
    <t>FR404-DARK</t>
  </si>
  <si>
    <t>OF2614597</t>
  </si>
  <si>
    <t>OF2614596</t>
  </si>
  <si>
    <t>OF2614598</t>
  </si>
  <si>
    <t>OF2614595</t>
  </si>
  <si>
    <t>OF2614593</t>
  </si>
  <si>
    <t>OF2614594</t>
  </si>
  <si>
    <t>VTE2603729</t>
  </si>
  <si>
    <t>VTE2603731</t>
  </si>
  <si>
    <t>VOLET ORT1-PURITY</t>
  </si>
  <si>
    <t>VOLET ORT3-PURITY</t>
  </si>
  <si>
    <t>VOLET ORT2-PURITY</t>
  </si>
  <si>
    <t>OF2614566</t>
  </si>
  <si>
    <t>OF2614568</t>
  </si>
  <si>
    <t>OF2614567</t>
  </si>
  <si>
    <t>VTE2603733</t>
  </si>
  <si>
    <t>VTE2603734</t>
  </si>
  <si>
    <t>VTE2603735</t>
  </si>
  <si>
    <t>STE ALUMIX TRADING</t>
  </si>
  <si>
    <t>EC40102-GRIS</t>
  </si>
  <si>
    <t>EC40121-ACAJOU</t>
  </si>
  <si>
    <t>OF2614575</t>
  </si>
  <si>
    <t>OF2614572</t>
  </si>
  <si>
    <t>OF2614574</t>
  </si>
  <si>
    <t>OF2614573</t>
  </si>
  <si>
    <t>OF2614579</t>
  </si>
  <si>
    <t>OF2614577</t>
  </si>
  <si>
    <t>OF2614578</t>
  </si>
  <si>
    <t>OF2614576</t>
  </si>
  <si>
    <t>OF2614580</t>
  </si>
  <si>
    <t>OF2614584</t>
  </si>
  <si>
    <t>OF2614581</t>
  </si>
  <si>
    <t>OF2614582</t>
  </si>
  <si>
    <t>OF2614585</t>
  </si>
  <si>
    <t>OF2614583</t>
  </si>
  <si>
    <t>OF2614586</t>
  </si>
  <si>
    <t>EC67103-ACAJOU</t>
  </si>
  <si>
    <t>EC67105-ACAJOU</t>
  </si>
  <si>
    <t>OF2614587</t>
  </si>
  <si>
    <t>OF2614588</t>
  </si>
  <si>
    <t>OF2614589</t>
  </si>
  <si>
    <t>VTE2603737</t>
  </si>
  <si>
    <t>CO108-DARK</t>
  </si>
  <si>
    <t>CO107-DARK</t>
  </si>
  <si>
    <t>CO116-ANODN</t>
  </si>
  <si>
    <t>FR104-DARK</t>
  </si>
  <si>
    <t>FR110-DARK</t>
  </si>
  <si>
    <t>VTE2603742</t>
  </si>
  <si>
    <t>VTE2603743</t>
  </si>
  <si>
    <t>OF2614621</t>
  </si>
  <si>
    <t>CO110-NOIR</t>
  </si>
  <si>
    <t>OF2614619</t>
  </si>
  <si>
    <t>OF2614624</t>
  </si>
  <si>
    <t>VTE2603744</t>
  </si>
  <si>
    <t>LM-757-NOIR</t>
  </si>
  <si>
    <t>LM-S758-NOIR</t>
  </si>
  <si>
    <t>EC67106-NOIR</t>
  </si>
  <si>
    <t>CO124-DARK</t>
  </si>
  <si>
    <t>CSQ103-DARK</t>
  </si>
  <si>
    <t>CSQ101-DARK</t>
  </si>
  <si>
    <t>CSQ104-DARK</t>
  </si>
  <si>
    <t>CSQ105-DARK</t>
  </si>
  <si>
    <t>CSQ305-DARK</t>
  </si>
  <si>
    <t>CSQ107-DARK</t>
  </si>
  <si>
    <t>CSQ108-DARK</t>
  </si>
  <si>
    <t>CSQ203-DARK</t>
  </si>
  <si>
    <t>EC40148-DARK</t>
  </si>
  <si>
    <t>EC40166-DARK</t>
  </si>
  <si>
    <t>EC40404-DARK</t>
  </si>
  <si>
    <t>FR161-DARK</t>
  </si>
  <si>
    <t>FSQ104-DARK</t>
  </si>
  <si>
    <t>FSQ112-DARK</t>
  </si>
  <si>
    <t>FSQ121-DARK</t>
  </si>
  <si>
    <t>FSQ401-DARK</t>
  </si>
  <si>
    <t>FSQ124-DARK</t>
  </si>
  <si>
    <t>FSQ111-DARK</t>
  </si>
  <si>
    <t>FSQ122-DARK</t>
  </si>
  <si>
    <t>FSQ521-DARK</t>
  </si>
  <si>
    <t>MR002-DARK</t>
  </si>
  <si>
    <t>MR030-DARK</t>
  </si>
  <si>
    <t>EC40100-DARK</t>
  </si>
  <si>
    <t>FR133-DARK</t>
  </si>
  <si>
    <t>FSQ501-DARK</t>
  </si>
  <si>
    <t>FSQ530-DARK</t>
  </si>
  <si>
    <t>OF2614625</t>
  </si>
  <si>
    <t>OF2614620</t>
  </si>
  <si>
    <t>OF2614622</t>
  </si>
  <si>
    <t>OF2614623</t>
  </si>
  <si>
    <t>OF2614901</t>
  </si>
  <si>
    <t>OF2614884</t>
  </si>
  <si>
    <t>OF2614887</t>
  </si>
  <si>
    <t>OF2614886</t>
  </si>
  <si>
    <t>OF2614883</t>
  </si>
  <si>
    <t>OF2614888</t>
  </si>
  <si>
    <t>OF2614885</t>
  </si>
  <si>
    <t>OF2614898</t>
  </si>
  <si>
    <t>OF2614897</t>
  </si>
  <si>
    <t>OF2614896</t>
  </si>
  <si>
    <t>OF2614895</t>
  </si>
  <si>
    <t>OF2614893</t>
  </si>
  <si>
    <t>OF2614900</t>
  </si>
  <si>
    <t>OF2614892</t>
  </si>
  <si>
    <t>OF2614879</t>
  </si>
  <si>
    <t>OF2614889</t>
  </si>
  <si>
    <t>OF2614877</t>
  </si>
  <si>
    <t>OF2614878</t>
  </si>
  <si>
    <t>OF2614891</t>
  </si>
  <si>
    <t>OF2614890</t>
  </si>
  <si>
    <t>OF2614881</t>
  </si>
  <si>
    <t>OF2614902</t>
  </si>
  <si>
    <t>OF2614894</t>
  </si>
  <si>
    <t>OF2614899</t>
  </si>
  <si>
    <t>OF2614880</t>
  </si>
  <si>
    <t>OF2614882</t>
  </si>
  <si>
    <t>VTE2603747</t>
  </si>
  <si>
    <t>OF2614637</t>
  </si>
  <si>
    <t>OF2614639</t>
  </si>
  <si>
    <t>OF2614633</t>
  </si>
  <si>
    <t>OF2614635</t>
  </si>
  <si>
    <t>OF2614627</t>
  </si>
  <si>
    <t>FR100-ACAJOU</t>
  </si>
  <si>
    <t>OF2614628</t>
  </si>
  <si>
    <t>FR112-ACAJOU</t>
  </si>
  <si>
    <t>FR404-ACAJOU</t>
  </si>
  <si>
    <t>OF2614629</t>
  </si>
  <si>
    <t>OF2614630</t>
  </si>
  <si>
    <t>OF2614634</t>
  </si>
  <si>
    <t>VTE2603749</t>
  </si>
  <si>
    <t>LM-F45-BLC</t>
  </si>
  <si>
    <t>OF2614754</t>
  </si>
  <si>
    <t>VTE2603750</t>
  </si>
  <si>
    <t>KIT3V6300</t>
  </si>
  <si>
    <t>OK4716-DARK</t>
  </si>
  <si>
    <t>OF2614653</t>
  </si>
  <si>
    <t>OF2614647</t>
  </si>
  <si>
    <t>Pr6303-DARK</t>
  </si>
  <si>
    <t>Pr6308-DARK</t>
  </si>
  <si>
    <t>Pr6305-DARK</t>
  </si>
  <si>
    <t>OF2614648</t>
  </si>
  <si>
    <t>OF2614651</t>
  </si>
  <si>
    <t>OF2614650</t>
  </si>
  <si>
    <t>Pr6304-DARK</t>
  </si>
  <si>
    <t>Pr6310-DARK</t>
  </si>
  <si>
    <t>OF2614649</t>
  </si>
  <si>
    <t>OF2614652</t>
  </si>
  <si>
    <t>VTE2603753</t>
  </si>
  <si>
    <t>OF2615022</t>
  </si>
  <si>
    <t>VTE2603755</t>
  </si>
  <si>
    <t>LM-757-GRISG</t>
  </si>
  <si>
    <t>LM-F/6-GRISG</t>
  </si>
  <si>
    <t>OF2614645</t>
  </si>
  <si>
    <t>OF2614646</t>
  </si>
  <si>
    <t>VTE2603757</t>
  </si>
  <si>
    <t>C-04340-FRENE</t>
  </si>
  <si>
    <t>VTE2603758</t>
  </si>
  <si>
    <t>VTE2603759</t>
  </si>
  <si>
    <t>C-40406-DARK</t>
  </si>
  <si>
    <t>CSQ106-DARK</t>
  </si>
  <si>
    <t>FR111-DARK</t>
  </si>
  <si>
    <t>FR127-DARK</t>
  </si>
  <si>
    <t>FR148-DARK</t>
  </si>
  <si>
    <t>OF2614677</t>
  </si>
  <si>
    <t>OF2614678</t>
  </si>
  <si>
    <t>OF2614680</t>
  </si>
  <si>
    <t>OF2614672</t>
  </si>
  <si>
    <t>OF2614679</t>
  </si>
  <si>
    <t>OF2614675</t>
  </si>
  <si>
    <t>OF2614674</t>
  </si>
  <si>
    <t>OF2614676</t>
  </si>
  <si>
    <t>OF2614673</t>
  </si>
  <si>
    <t>OF2614671</t>
  </si>
  <si>
    <t>OF2614669</t>
  </si>
  <si>
    <t>VTE2603761</t>
  </si>
  <si>
    <t>VTE2603762</t>
  </si>
  <si>
    <t>VTE2603763</t>
  </si>
  <si>
    <t>OF2614655</t>
  </si>
  <si>
    <t>OF2614664</t>
  </si>
  <si>
    <t>OF2614665</t>
  </si>
  <si>
    <t>OF2614666</t>
  </si>
  <si>
    <t>OF2614668</t>
  </si>
  <si>
    <t>OF2614667</t>
  </si>
  <si>
    <t>OF2614662</t>
  </si>
  <si>
    <t>OF2614663</t>
  </si>
  <si>
    <t>OF2614661</t>
  </si>
  <si>
    <t>OF2614659</t>
  </si>
  <si>
    <t>VTE2603764</t>
  </si>
  <si>
    <t>C-67108-DARK</t>
  </si>
  <si>
    <t>C-67106-DARK</t>
  </si>
  <si>
    <t>C-67107-DARK</t>
  </si>
  <si>
    <t>C-40150-DARK</t>
  </si>
  <si>
    <t>OF2614660</t>
  </si>
  <si>
    <t>OF2614658</t>
  </si>
  <si>
    <t>OF2614713</t>
  </si>
  <si>
    <t>VTE2603765</t>
  </si>
  <si>
    <t>VTE2603766</t>
  </si>
  <si>
    <t>EC40104-DARK</t>
  </si>
  <si>
    <t>FR100-GRIS</t>
  </si>
  <si>
    <t>FR112-GRIS</t>
  </si>
  <si>
    <t>FR402-GRIS</t>
  </si>
  <si>
    <t>FR135-GRIS</t>
  </si>
  <si>
    <t>FR135-NOIR</t>
  </si>
  <si>
    <t>OF2614707</t>
  </si>
  <si>
    <t>OF2614710</t>
  </si>
  <si>
    <t>OF2614711</t>
  </si>
  <si>
    <t>OF2614708</t>
  </si>
  <si>
    <t>OF2614709</t>
  </si>
  <si>
    <t>OF2614712</t>
  </si>
  <si>
    <t>OF2614746</t>
  </si>
  <si>
    <t>OF2614747</t>
  </si>
  <si>
    <t>OF2614745</t>
  </si>
  <si>
    <t>OF2614749</t>
  </si>
  <si>
    <t>OF2614748</t>
  </si>
  <si>
    <t>OF2614723</t>
  </si>
  <si>
    <t>OF2614722</t>
  </si>
  <si>
    <t>OF2614724</t>
  </si>
  <si>
    <t>OF2614725</t>
  </si>
  <si>
    <t>VTE2603768</t>
  </si>
  <si>
    <t>JU624</t>
  </si>
  <si>
    <t>VTE2603770</t>
  </si>
  <si>
    <t>VTE2603771</t>
  </si>
  <si>
    <t>FSQ150-DARK</t>
  </si>
  <si>
    <t>CSQ102-DARK</t>
  </si>
  <si>
    <t>OF2614741</t>
  </si>
  <si>
    <t>OF2614742</t>
  </si>
  <si>
    <t>OF2614744</t>
  </si>
  <si>
    <t>OF2614743</t>
  </si>
  <si>
    <t>OF2614729</t>
  </si>
  <si>
    <t>OF2614727</t>
  </si>
  <si>
    <t>OF2614728</t>
  </si>
  <si>
    <t>VTE2603773</t>
  </si>
  <si>
    <t>EC40102-ACAJOU</t>
  </si>
  <si>
    <t>EC40104-ACAJOU</t>
  </si>
  <si>
    <t>EC40154-ACAJOU</t>
  </si>
  <si>
    <t>EC40148-ACAJOU</t>
  </si>
  <si>
    <t>EC40154-GRIS</t>
  </si>
  <si>
    <t>OF2614740</t>
  </si>
  <si>
    <t>OF2615019</t>
  </si>
  <si>
    <t>OF2614730</t>
  </si>
  <si>
    <t>OF2615021</t>
  </si>
  <si>
    <t>OF2615193</t>
  </si>
  <si>
    <t>OF2615017</t>
  </si>
  <si>
    <t>OF2614731</t>
  </si>
  <si>
    <t>OF2614738</t>
  </si>
  <si>
    <t>OF2614732</t>
  </si>
  <si>
    <t>OF2614735</t>
  </si>
  <si>
    <t>OF2614733</t>
  </si>
  <si>
    <t>OF2614737</t>
  </si>
  <si>
    <t>OF2614736</t>
  </si>
  <si>
    <t>OF2614739</t>
  </si>
  <si>
    <t>OF2614734</t>
  </si>
  <si>
    <t>VTE2603775</t>
  </si>
  <si>
    <t>FR404-GRIS</t>
  </si>
  <si>
    <t>OF2614760</t>
  </si>
  <si>
    <t>OF2614759</t>
  </si>
  <si>
    <t>OF2614762</t>
  </si>
  <si>
    <t>OF2614761</t>
  </si>
  <si>
    <t>OF2614764</t>
  </si>
  <si>
    <t>OF2614763</t>
  </si>
  <si>
    <t>OF2614765</t>
  </si>
  <si>
    <t>VTE2603778</t>
  </si>
  <si>
    <t>OF2614767</t>
  </si>
  <si>
    <t>VTE2603779</t>
  </si>
  <si>
    <t>VTE2603781</t>
  </si>
  <si>
    <t>FR110-NOIR</t>
  </si>
  <si>
    <t>FR151-NOIR</t>
  </si>
  <si>
    <t>OF2614976</t>
  </si>
  <si>
    <t>OF2614978</t>
  </si>
  <si>
    <t>OF2614973</t>
  </si>
  <si>
    <t>OF2614975</t>
  </si>
  <si>
    <t>OF2614974</t>
  </si>
  <si>
    <t>OF2614977</t>
  </si>
  <si>
    <t>VTE2603782</t>
  </si>
  <si>
    <t>VTE2603783</t>
  </si>
  <si>
    <t>VTE2603787</t>
  </si>
  <si>
    <t>VTE2603788</t>
  </si>
  <si>
    <t>VTE2603789</t>
  </si>
  <si>
    <t>FR150-GRIS</t>
  </si>
  <si>
    <t>FR402-ACAJOU</t>
  </si>
  <si>
    <t>CO108-NOIR</t>
  </si>
  <si>
    <t>OF2614800</t>
  </si>
  <si>
    <t>OF2614799</t>
  </si>
  <si>
    <t>OF2614798</t>
  </si>
  <si>
    <t>OF2614797</t>
  </si>
  <si>
    <t>OF2614794</t>
  </si>
  <si>
    <t>OF2614795</t>
  </si>
  <si>
    <t>OF2614796</t>
  </si>
  <si>
    <t>OF2614793</t>
  </si>
  <si>
    <t>OF2614792</t>
  </si>
  <si>
    <t>VTE2603790</t>
  </si>
  <si>
    <t>VTE2603791</t>
  </si>
  <si>
    <t>CO110-BLC</t>
  </si>
  <si>
    <t>FR104-BLC</t>
  </si>
  <si>
    <t>VTE2603794</t>
  </si>
  <si>
    <t>VTE2603795</t>
  </si>
  <si>
    <t>VTE2603796</t>
  </si>
  <si>
    <t>VTE2603797</t>
  </si>
  <si>
    <t>VTE2603798</t>
  </si>
  <si>
    <t>VTE2603799</t>
  </si>
  <si>
    <t>VTE2603800</t>
  </si>
  <si>
    <t>EC67104-NOIR</t>
  </si>
  <si>
    <t>OF2614803</t>
  </si>
  <si>
    <t>OF2614804</t>
  </si>
  <si>
    <t>OF2614802</t>
  </si>
  <si>
    <t>OF2614801</t>
  </si>
  <si>
    <t>OF2614806</t>
  </si>
  <si>
    <t>OF2614805</t>
  </si>
  <si>
    <t>OF2614819</t>
  </si>
  <si>
    <t>OF2614817</t>
  </si>
  <si>
    <t>OF2614818</t>
  </si>
  <si>
    <t>OF2614807</t>
  </si>
  <si>
    <t>OF2614810</t>
  </si>
  <si>
    <t>OF2614808</t>
  </si>
  <si>
    <t>OF2614809</t>
  </si>
  <si>
    <t>OF2614815</t>
  </si>
  <si>
    <t>OF2614812</t>
  </si>
  <si>
    <t>OF2614813</t>
  </si>
  <si>
    <t>OF2614811</t>
  </si>
  <si>
    <t>OF2614814</t>
  </si>
  <si>
    <t>VTE2603803</t>
  </si>
  <si>
    <t>HAYOUNI RYM(NEW BATIR)</t>
  </si>
  <si>
    <t>OF2614833</t>
  </si>
  <si>
    <t>OF2614834</t>
  </si>
  <si>
    <t>OF2614832</t>
  </si>
  <si>
    <t>VTE2603805</t>
  </si>
  <si>
    <t>VTE2603806</t>
  </si>
  <si>
    <t>CO102-NOIR</t>
  </si>
  <si>
    <t>FR401-NOIR</t>
  </si>
  <si>
    <t>OF2615004</t>
  </si>
  <si>
    <t>OF2615001</t>
  </si>
  <si>
    <t>OF2615002</t>
  </si>
  <si>
    <t>OF2615006</t>
  </si>
  <si>
    <t>OF2615005</t>
  </si>
  <si>
    <t>OF2614995</t>
  </si>
  <si>
    <t>OF2614999</t>
  </si>
  <si>
    <t>OF2615000</t>
  </si>
  <si>
    <t>OF2615003</t>
  </si>
  <si>
    <t>OF2614993</t>
  </si>
  <si>
    <t>OF2614998</t>
  </si>
  <si>
    <t>OF2615007</t>
  </si>
  <si>
    <t>OF2615008</t>
  </si>
  <si>
    <t>OF2614994</t>
  </si>
  <si>
    <t>OF2614997</t>
  </si>
  <si>
    <t>OF2614991</t>
  </si>
  <si>
    <t>OF2614981</t>
  </si>
  <si>
    <t>OF2614992</t>
  </si>
  <si>
    <t>OF2614990</t>
  </si>
  <si>
    <t>OF2614987</t>
  </si>
  <si>
    <t>OF2614986</t>
  </si>
  <si>
    <t>OF2614985</t>
  </si>
  <si>
    <t>OF2614982</t>
  </si>
  <si>
    <t>OF2614989</t>
  </si>
  <si>
    <t>OF2614983</t>
  </si>
  <si>
    <t>OF2614984</t>
  </si>
  <si>
    <t>OF2614988</t>
  </si>
  <si>
    <t>VTE2603807</t>
  </si>
  <si>
    <t>FSQ406-NOIR</t>
  </si>
  <si>
    <t>FSQ534-NOIR</t>
  </si>
  <si>
    <t>FSQ535-NOIR</t>
  </si>
  <si>
    <t>OF2614837</t>
  </si>
  <si>
    <t>OF2614835</t>
  </si>
  <si>
    <t>OF2614839</t>
  </si>
  <si>
    <t>OF2614838</t>
  </si>
  <si>
    <t>FSQ112-NOIR</t>
  </si>
  <si>
    <t>OF2614836</t>
  </si>
  <si>
    <t>VTE2603812</t>
  </si>
  <si>
    <t>EC67103-BLC</t>
  </si>
  <si>
    <t>OF2614960</t>
  </si>
  <si>
    <t>EC67104-BLC</t>
  </si>
  <si>
    <t>OF2614959</t>
  </si>
  <si>
    <t>VTE2603814</t>
  </si>
  <si>
    <t>OF2614853</t>
  </si>
  <si>
    <t>VTE2603816</t>
  </si>
  <si>
    <t>VTE2603817</t>
  </si>
  <si>
    <t>VTE2603818</t>
  </si>
  <si>
    <t>STE LA PERLA ALUM</t>
  </si>
  <si>
    <t>CO108-ACAJOU</t>
  </si>
  <si>
    <t>CO114-ACAJOU</t>
  </si>
  <si>
    <t>CO110-ACAJOU</t>
  </si>
  <si>
    <t>EC67104-ACAJOU</t>
  </si>
  <si>
    <t>EC67106-ACAJOU</t>
  </si>
  <si>
    <t>FR111-ACAJOU</t>
  </si>
  <si>
    <t>FR151-ACAJOU</t>
  </si>
  <si>
    <t>FR135-ACAJOU</t>
  </si>
  <si>
    <t>FR155-ACAJOU</t>
  </si>
  <si>
    <t>FR401-ACAJOU</t>
  </si>
  <si>
    <t>CO104-ACAJOU</t>
  </si>
  <si>
    <t>LM-757-ACAJOU</t>
  </si>
  <si>
    <t>LM-S758-ACAJOU</t>
  </si>
  <si>
    <t>OF2614954</t>
  </si>
  <si>
    <t>OF2614948</t>
  </si>
  <si>
    <t>OF2614955</t>
  </si>
  <si>
    <t>OF2614945</t>
  </si>
  <si>
    <t>OF2614947</t>
  </si>
  <si>
    <t>OF2614946</t>
  </si>
  <si>
    <t>OF2614949</t>
  </si>
  <si>
    <t>OF2614951</t>
  </si>
  <si>
    <t>OF2614950</t>
  </si>
  <si>
    <t>OF2614953</t>
  </si>
  <si>
    <t>OF2614956</t>
  </si>
  <si>
    <t>OF2614957</t>
  </si>
  <si>
    <t>OF2614958</t>
  </si>
  <si>
    <t>OF2614952</t>
  </si>
  <si>
    <t>OF2614855</t>
  </si>
  <si>
    <t>OF2614856</t>
  </si>
  <si>
    <t>VTE2603819</t>
  </si>
  <si>
    <t>BPLM-757-D-BLC</t>
  </si>
  <si>
    <t>BPLM-757-G-BLC</t>
  </si>
  <si>
    <t>VTE2603822</t>
  </si>
  <si>
    <t>068 DEM</t>
  </si>
  <si>
    <t>VTE2603823</t>
  </si>
  <si>
    <t>C-40104-DARK</t>
  </si>
  <si>
    <t>C-40154-DARK</t>
  </si>
  <si>
    <t>C-CO110-DARK</t>
  </si>
  <si>
    <t>C-FR112-DARK</t>
  </si>
  <si>
    <t>C-CO103-DARK</t>
  </si>
  <si>
    <t>C-FR100-DARK</t>
  </si>
  <si>
    <t>OF2614915</t>
  </si>
  <si>
    <t>OF2614918</t>
  </si>
  <si>
    <t>OF2614911</t>
  </si>
  <si>
    <t>OF2614909</t>
  </si>
  <si>
    <t>OF2614920</t>
  </si>
  <si>
    <t>OF2614919</t>
  </si>
  <si>
    <t>OF2614908</t>
  </si>
  <si>
    <t>OF2614916</t>
  </si>
  <si>
    <t>OF2614910</t>
  </si>
  <si>
    <t>OF2614913</t>
  </si>
  <si>
    <t>OF2614912</t>
  </si>
  <si>
    <t>OF2614917</t>
  </si>
  <si>
    <t>OF2614914</t>
  </si>
  <si>
    <t>VTE2603825</t>
  </si>
  <si>
    <t>FR164-BLC</t>
  </si>
  <si>
    <t>LM-F/6-ACAJOU</t>
  </si>
  <si>
    <t>VTE2603827</t>
  </si>
  <si>
    <t>C-80113-NOIR</t>
  </si>
  <si>
    <t>OF2614924</t>
  </si>
  <si>
    <t>VTE2603839</t>
  </si>
  <si>
    <t>VTE2603840</t>
  </si>
  <si>
    <t>VTE2603841</t>
  </si>
  <si>
    <t>FSQ403-NOIR</t>
  </si>
  <si>
    <t>CO104-FRENE</t>
  </si>
  <si>
    <t>OF2614969</t>
  </si>
  <si>
    <t>OF2614968</t>
  </si>
  <si>
    <t>OF2614970</t>
  </si>
  <si>
    <t>OF2614971</t>
  </si>
  <si>
    <t>OF2614972</t>
  </si>
  <si>
    <t>EC67103-FRENE</t>
  </si>
  <si>
    <t>VTE2603842</t>
  </si>
  <si>
    <t>VTE2603843</t>
  </si>
  <si>
    <t>CO101-ACAJOU</t>
  </si>
  <si>
    <t>CO110-GRIS</t>
  </si>
  <si>
    <t>OF2614979</t>
  </si>
  <si>
    <t>OF2614980</t>
  </si>
  <si>
    <t>OF2615016</t>
  </si>
  <si>
    <t>OF2615013</t>
  </si>
  <si>
    <t>OF2615023</t>
  </si>
  <si>
    <t>OF2615015</t>
  </si>
  <si>
    <t>OF2615030</t>
  </si>
  <si>
    <t>OF2615031</t>
  </si>
  <si>
    <t>OF2615028</t>
  </si>
  <si>
    <t>OF2615026</t>
  </si>
  <si>
    <t>OF2615025</t>
  </si>
  <si>
    <t>GLIS180-BLC</t>
  </si>
  <si>
    <t>GL11060/248-ACAJOU</t>
  </si>
  <si>
    <t>OF2615014</t>
  </si>
  <si>
    <t>OF2615027</t>
  </si>
  <si>
    <t>OF2615029</t>
  </si>
  <si>
    <t>OF2615024</t>
  </si>
  <si>
    <t>VTE2603844</t>
  </si>
  <si>
    <t>VTE2603849</t>
  </si>
  <si>
    <t>VTE2603851</t>
  </si>
  <si>
    <t>VTE2603852</t>
  </si>
  <si>
    <t>SOCIETE NSN ALUMINIUM</t>
  </si>
  <si>
    <t>CSQ114-NOIR</t>
  </si>
  <si>
    <t>BPLM-757-G-NOIR</t>
  </si>
  <si>
    <t>OF2615032</t>
  </si>
  <si>
    <t>OF2615033</t>
  </si>
  <si>
    <t>OF2615051</t>
  </si>
  <si>
    <t>OF2615049</t>
  </si>
  <si>
    <t>OF2615050</t>
  </si>
  <si>
    <t>VTE2603853</t>
  </si>
  <si>
    <t>OF2615048</t>
  </si>
  <si>
    <t>VTE2603855</t>
  </si>
  <si>
    <t>143NO032_Q</t>
  </si>
  <si>
    <t>7605</t>
  </si>
  <si>
    <t>EL454</t>
  </si>
  <si>
    <t>BD292-NOIR</t>
  </si>
  <si>
    <t>IN-A 4509-ANODN</t>
  </si>
  <si>
    <t>INS 450</t>
  </si>
  <si>
    <t>J611</t>
  </si>
  <si>
    <t>LM0410.8</t>
  </si>
  <si>
    <t>LM0721</t>
  </si>
  <si>
    <t>LM0181</t>
  </si>
  <si>
    <t>PI451-NOIR</t>
  </si>
  <si>
    <t>PI455-NOIR</t>
  </si>
  <si>
    <t>PI450-NOIR</t>
  </si>
  <si>
    <t>PI452-NOIR</t>
  </si>
  <si>
    <t>VTE2603858</t>
  </si>
  <si>
    <t>VTE2603859</t>
  </si>
  <si>
    <t>WALID BEN AROUS</t>
  </si>
  <si>
    <t>C-EC6012-ACAJOU</t>
  </si>
  <si>
    <t>C-EC80106-ACAJOU</t>
  </si>
  <si>
    <t>C-EC80105-ACAJOU</t>
  </si>
  <si>
    <t>C-EC6011-ACAJOU</t>
  </si>
  <si>
    <t>OF2615043</t>
  </si>
  <si>
    <t>OF2615044</t>
  </si>
  <si>
    <t>OF2615042</t>
  </si>
  <si>
    <t>OF2615055</t>
  </si>
  <si>
    <t>OF2615054</t>
  </si>
  <si>
    <t>OF2615053</t>
  </si>
  <si>
    <t>OF2615052</t>
  </si>
  <si>
    <t>VTE2603861</t>
  </si>
  <si>
    <t>C-40100-ACAJOU</t>
  </si>
  <si>
    <t>C-EC6007-ACAJOU</t>
  </si>
  <si>
    <t>OF2615065</t>
  </si>
  <si>
    <t>OF2615066</t>
  </si>
  <si>
    <t>VTE2603863</t>
  </si>
  <si>
    <t>VTE2603864</t>
  </si>
  <si>
    <t>C-40112-ACAJOU</t>
  </si>
  <si>
    <t>OF2615075</t>
  </si>
  <si>
    <t>OF2615074</t>
  </si>
  <si>
    <t>OF2615076</t>
  </si>
  <si>
    <t>OF2615078</t>
  </si>
  <si>
    <t>VTE2603865</t>
  </si>
  <si>
    <t>VTE2603866</t>
  </si>
  <si>
    <t>VTE2603867</t>
  </si>
  <si>
    <t>LM-757-GREY</t>
  </si>
  <si>
    <t>LM-F/6-GREY</t>
  </si>
  <si>
    <t>CO106-GRIS</t>
  </si>
  <si>
    <t>FR108-GRIS</t>
  </si>
  <si>
    <t>OF2615079</t>
  </si>
  <si>
    <t>OF2615080</t>
  </si>
  <si>
    <t>OF2615081</t>
  </si>
  <si>
    <t>OF2615082</t>
  </si>
  <si>
    <t>OF2615083</t>
  </si>
  <si>
    <t>OF2615095</t>
  </si>
  <si>
    <t>OF2615093</t>
  </si>
  <si>
    <t>OF2615097</t>
  </si>
  <si>
    <t>OF2615089</t>
  </si>
  <si>
    <t>OF2615087</t>
  </si>
  <si>
    <t>OF2615085</t>
  </si>
  <si>
    <t>OF2615090</t>
  </si>
  <si>
    <t>OF2615092</t>
  </si>
  <si>
    <t>OF2615084</t>
  </si>
  <si>
    <t>OF2615096</t>
  </si>
  <si>
    <t>OF2615088</t>
  </si>
  <si>
    <t>OF2615091</t>
  </si>
  <si>
    <t>OF2615098</t>
  </si>
  <si>
    <t>OF2615094</t>
  </si>
  <si>
    <t>OF2615086</t>
  </si>
  <si>
    <t>VTE2603869</t>
  </si>
  <si>
    <t>FR402-GRISG</t>
  </si>
  <si>
    <t>OF2615099</t>
  </si>
  <si>
    <t>VTE2603871</t>
  </si>
  <si>
    <t>FR135-FRENE</t>
  </si>
  <si>
    <t>OF2615134</t>
  </si>
  <si>
    <t>VTE2603873</t>
  </si>
  <si>
    <t>VTE2603874</t>
  </si>
  <si>
    <t>VTE2603875</t>
  </si>
  <si>
    <t>FR110-GRIS</t>
  </si>
  <si>
    <t>CSQ202-GRIS</t>
  </si>
  <si>
    <t>OF2615191</t>
  </si>
  <si>
    <t>OF2615153</t>
  </si>
  <si>
    <t>VTE2603876</t>
  </si>
  <si>
    <t>VTE2603880</t>
  </si>
  <si>
    <t>C-EC80104-ACAJOU</t>
  </si>
  <si>
    <t>OF2615117</t>
  </si>
  <si>
    <t>VTE2603882</t>
  </si>
  <si>
    <t>VTE2603883</t>
  </si>
  <si>
    <t>QUINCAILLERIE GHADDAB DISTRIBUTION</t>
  </si>
  <si>
    <t>OF2615179</t>
  </si>
  <si>
    <t>OF2615177</t>
  </si>
  <si>
    <t>OF2615178</t>
  </si>
  <si>
    <t>OF2615176</t>
  </si>
  <si>
    <t>OF2615181</t>
  </si>
  <si>
    <t>OF2615184</t>
  </si>
  <si>
    <t>OF2615189</t>
  </si>
  <si>
    <t>OF2615180</t>
  </si>
  <si>
    <t>OF2615188</t>
  </si>
  <si>
    <t>OF2615182</t>
  </si>
  <si>
    <t>OF2615190</t>
  </si>
  <si>
    <t>OF2615187</t>
  </si>
  <si>
    <t>VTE2603884</t>
  </si>
  <si>
    <t>OF2615170</t>
  </si>
  <si>
    <t>OF2615175</t>
  </si>
  <si>
    <t>OF2615166</t>
  </si>
  <si>
    <t>OF2615165</t>
  </si>
  <si>
    <t>CO105-GRIS</t>
  </si>
  <si>
    <t>OF2615174</t>
  </si>
  <si>
    <t>OF2615173</t>
  </si>
  <si>
    <t>OF2615168</t>
  </si>
  <si>
    <t>OF2615172</t>
  </si>
  <si>
    <t>OF2615164</t>
  </si>
  <si>
    <t>OF2615171</t>
  </si>
  <si>
    <t>OF2615167</t>
  </si>
  <si>
    <t>VTE2603886</t>
  </si>
  <si>
    <t>OF2615159</t>
  </si>
  <si>
    <t>OF2615155</t>
  </si>
  <si>
    <t>OF2615156</t>
  </si>
  <si>
    <t>OF2615157</t>
  </si>
  <si>
    <t>OF2615160</t>
  </si>
  <si>
    <t>OF2615162</t>
  </si>
  <si>
    <t>OF2615161</t>
  </si>
  <si>
    <t>VTE2603887</t>
  </si>
  <si>
    <t>00957410-CHPG</t>
  </si>
  <si>
    <t>00997410-CHPG</t>
  </si>
  <si>
    <t>OF2615163</t>
  </si>
  <si>
    <t>OF2615154</t>
  </si>
  <si>
    <t>OF2615151</t>
  </si>
  <si>
    <t>OF2615152</t>
  </si>
  <si>
    <t>CSQ102-CHPG</t>
  </si>
  <si>
    <t>CSQ105-CHPG</t>
  </si>
  <si>
    <t>CSQ104-CHPG</t>
  </si>
  <si>
    <t>CSQ106-CHPG</t>
  </si>
  <si>
    <t>FSQ112-CHPG</t>
  </si>
  <si>
    <t>FSQ100-CHPG</t>
  </si>
  <si>
    <t>FSQ111-CHPG</t>
  </si>
  <si>
    <t>FSQ401-CHPG</t>
  </si>
  <si>
    <t>GL11060/248-CHPG</t>
  </si>
  <si>
    <t>OF2615140</t>
  </si>
  <si>
    <t>OF2615144</t>
  </si>
  <si>
    <t>OF2615143</t>
  </si>
  <si>
    <t>OF2615145</t>
  </si>
  <si>
    <t>OF2615137</t>
  </si>
  <si>
    <t>OF2615135</t>
  </si>
  <si>
    <t>OF2615139</t>
  </si>
  <si>
    <t>OF2615136</t>
  </si>
  <si>
    <t>OF2615149</t>
  </si>
  <si>
    <t>LM-F/6-CHPG</t>
  </si>
  <si>
    <t>CSQ110-CHPG</t>
  </si>
  <si>
    <t>OF2615148</t>
  </si>
  <si>
    <t>OF2615141</t>
  </si>
  <si>
    <t>VTE2603888</t>
  </si>
  <si>
    <t>VTE2603889</t>
  </si>
  <si>
    <t>VTE2603890</t>
  </si>
  <si>
    <t>VTE2603891</t>
  </si>
  <si>
    <t>CSQ302-CHPG</t>
  </si>
  <si>
    <t>LM-S758-CHPG</t>
  </si>
  <si>
    <t>PCN40-45-CHPG</t>
  </si>
  <si>
    <t>EC40107-CHPG</t>
  </si>
  <si>
    <t>LM-757-CHPG</t>
  </si>
  <si>
    <t>GL11060/248-GRISG</t>
  </si>
  <si>
    <t>LM-S758-GRISG</t>
  </si>
  <si>
    <t>EC40112-TRESOR</t>
  </si>
  <si>
    <t>EC40404-TRESOR</t>
  </si>
  <si>
    <t>EC40402-FRENE</t>
  </si>
  <si>
    <t>EC40404-FRENE</t>
  </si>
  <si>
    <t>EC40402-TRESOR</t>
  </si>
  <si>
    <t>C-c708-NOIR</t>
  </si>
  <si>
    <t>C-C706-NOIR</t>
  </si>
  <si>
    <t>OF2615142</t>
  </si>
  <si>
    <t>OF2615147</t>
  </si>
  <si>
    <t>OF2615150</t>
  </si>
  <si>
    <t>OF2615138</t>
  </si>
  <si>
    <t>OF2615146</t>
  </si>
  <si>
    <t>OF2615197</t>
  </si>
  <si>
    <t>OF2615194</t>
  </si>
  <si>
    <t>OF2615196</t>
  </si>
  <si>
    <t>OF2615195</t>
  </si>
  <si>
    <t>OF2615200</t>
  </si>
  <si>
    <t>OF2615199</t>
  </si>
  <si>
    <t>OF2615201</t>
  </si>
  <si>
    <t>OF2615202</t>
  </si>
  <si>
    <t>OF2615198</t>
  </si>
  <si>
    <t>OF2615203</t>
  </si>
  <si>
    <t>OF2615204</t>
  </si>
  <si>
    <t>VTE2603892</t>
  </si>
  <si>
    <t>VTE2603893</t>
  </si>
  <si>
    <t>VTE2603894</t>
  </si>
  <si>
    <t>COMPTOIR CHARFEDDINE DE PLACO ET COMMERCE</t>
  </si>
  <si>
    <t>FR135-DARK</t>
  </si>
  <si>
    <t>OF2615208</t>
  </si>
  <si>
    <t>OF2615209</t>
  </si>
  <si>
    <t>OF2615207</t>
  </si>
  <si>
    <t>OF2615206</t>
  </si>
  <si>
    <t>OF2615205</t>
  </si>
  <si>
    <t>OF2615210</t>
  </si>
  <si>
    <t>Num Commande</t>
  </si>
  <si>
    <t>Nom Client</t>
  </si>
  <si>
    <t>Article/int</t>
  </si>
  <si>
    <t>Couleur</t>
  </si>
  <si>
    <t>Nuance</t>
  </si>
  <si>
    <t>Qte Commandée</t>
  </si>
  <si>
    <t>Reste A Livrer</t>
  </si>
  <si>
    <t>reservation brut</t>
  </si>
  <si>
    <t>Num OF</t>
  </si>
  <si>
    <t>Prod Statut</t>
  </si>
  <si>
    <t>Qte Commencée</t>
  </si>
  <si>
    <t>Lancement</t>
  </si>
  <si>
    <t>Re-laquage</t>
  </si>
  <si>
    <t>PoidsUn</t>
  </si>
  <si>
    <t>PoidsT</t>
  </si>
  <si>
    <t>Poudre</t>
  </si>
  <si>
    <t>Barre/bal</t>
  </si>
  <si>
    <t>Nbre Bal</t>
  </si>
  <si>
    <t>tps</t>
  </si>
  <si>
    <t>Stock brut</t>
  </si>
  <si>
    <t>moyenne vente</t>
  </si>
  <si>
    <t>% laqué</t>
  </si>
  <si>
    <t xml:space="preserve"> </t>
  </si>
  <si>
    <t>Priorité Nuance</t>
  </si>
  <si>
    <t>FRENE</t>
  </si>
  <si>
    <t>TRESOR</t>
  </si>
  <si>
    <t>BLC</t>
  </si>
  <si>
    <t>bel9010</t>
  </si>
  <si>
    <t>RAL9001</t>
  </si>
  <si>
    <t>R9016</t>
  </si>
  <si>
    <t>PURITY</t>
  </si>
  <si>
    <t>Balsa</t>
  </si>
  <si>
    <t>R1013</t>
  </si>
  <si>
    <t>SUN</t>
  </si>
  <si>
    <t>R1015</t>
  </si>
  <si>
    <t>CEDRE</t>
  </si>
  <si>
    <t>SAPIN</t>
  </si>
  <si>
    <t>PIN</t>
  </si>
  <si>
    <t>TECK</t>
  </si>
  <si>
    <t>CHENE</t>
  </si>
  <si>
    <t>Jaune</t>
  </si>
  <si>
    <t>CHPG</t>
  </si>
  <si>
    <t>SKEY</t>
  </si>
  <si>
    <t>SAND</t>
  </si>
  <si>
    <t>R1019</t>
  </si>
  <si>
    <t>NOYER</t>
  </si>
  <si>
    <t>ACAJOU</t>
  </si>
  <si>
    <t>R1021</t>
  </si>
  <si>
    <t>WENGE</t>
  </si>
  <si>
    <t>WAPA</t>
  </si>
  <si>
    <t>SIPO</t>
  </si>
  <si>
    <t>CORINA</t>
  </si>
  <si>
    <t>PALMIER</t>
  </si>
  <si>
    <t>IROKO</t>
  </si>
  <si>
    <t>GRIS</t>
  </si>
  <si>
    <t>R9007</t>
  </si>
  <si>
    <t>Ral 9006</t>
  </si>
  <si>
    <t>GALET</t>
  </si>
  <si>
    <t>R7044</t>
  </si>
  <si>
    <t>Grey</t>
  </si>
  <si>
    <t>GRISG</t>
  </si>
  <si>
    <t>Green</t>
  </si>
  <si>
    <t>R6005</t>
  </si>
  <si>
    <t>Sea</t>
  </si>
  <si>
    <t>Quartz</t>
  </si>
  <si>
    <t>Otarie</t>
  </si>
  <si>
    <t>COOL</t>
  </si>
  <si>
    <t>R7016</t>
  </si>
  <si>
    <t>R8019</t>
  </si>
  <si>
    <t>Bean</t>
  </si>
  <si>
    <t>Sweet</t>
  </si>
  <si>
    <t>NOCE</t>
  </si>
  <si>
    <t>R5015</t>
  </si>
  <si>
    <t>NOIR</t>
  </si>
  <si>
    <t>R9005BR</t>
  </si>
  <si>
    <t>DARK</t>
  </si>
  <si>
    <t>GAYA</t>
  </si>
  <si>
    <t>R1014</t>
  </si>
  <si>
    <t>x</t>
  </si>
  <si>
    <t>R9015</t>
  </si>
  <si>
    <t>R7021</t>
  </si>
  <si>
    <t>R3020</t>
  </si>
  <si>
    <t>R7023G</t>
  </si>
  <si>
    <t>R6002</t>
  </si>
  <si>
    <t>R9006</t>
  </si>
  <si>
    <t>R5012</t>
  </si>
  <si>
    <t>BRZ</t>
  </si>
  <si>
    <t>BEECH</t>
  </si>
  <si>
    <t>ABRONZE</t>
  </si>
  <si>
    <t>à ne pas mettre les détails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</si>
</sst>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10"/>
      <color rgb="FF7030A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wrapText="1"/>
    </xf>
    <xf numFmtId="2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0" fontId="0" fillId="0" borderId="1" xfId="0" applyBorder="1"/>
    <xf numFmtId="22" fontId="0" fillId="0" borderId="1" xfId="0" applyNumberFormat="1" applyBorder="1" applyAlignment="1">
      <alignment horizontal="center"/>
    </xf>
    <xf numFmtId="1" fontId="0" fillId="0" borderId="1" xfId="0" applyNumberFormat="1" applyBorder="1"/>
    <xf numFmtId="22" fontId="0" fillId="0" borderId="1" xfId="0" applyNumberFormat="1" applyBorder="1"/>
    <xf numFmtId="3" fontId="0" fillId="0" borderId="1" xfId="0" applyNumberFormat="1" applyBorder="1"/>
    <xf numFmtId="22" fontId="0" fillId="0" borderId="1" xfId="0" applyNumberFormat="1" applyBorder="1" applyAlignment="1">
      <alignment horizontal="left"/>
    </xf>
    <xf numFmtId="14" fontId="2" fillId="2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9" fontId="5" fillId="0" borderId="1" xfId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0" xfId="0" applyFont="1"/>
    <xf numFmtId="0" fontId="6" fillId="0" borderId="1" xfId="0" applyFont="1" applyBorder="1" applyAlignment="1">
      <alignment horizontal="left"/>
    </xf>
    <xf numFmtId="0" fontId="6" fillId="0" borderId="1" xfId="0" applyFont="1" applyBorder="1"/>
    <xf numFmtId="1" fontId="7" fillId="4" borderId="1" xfId="0" applyNumberFormat="1" applyFont="1" applyFill="1" applyBorder="1" applyAlignment="1">
      <alignment horizontal="center"/>
    </xf>
    <xf numFmtId="3" fontId="6" fillId="0" borderId="1" xfId="0" applyNumberFormat="1" applyFont="1" applyBorder="1"/>
    <xf numFmtId="9" fontId="6" fillId="0" borderId="1" xfId="1" applyFont="1" applyFill="1" applyBorder="1"/>
    <xf numFmtId="1" fontId="6" fillId="0" borderId="1" xfId="0" applyNumberFormat="1" applyFont="1" applyBorder="1" applyAlignment="1">
      <alignment horizontal="left" vertical="center"/>
    </xf>
    <xf numFmtId="0" fontId="8" fillId="0" borderId="0" xfId="0" applyFont="1"/>
    <xf numFmtId="1" fontId="7" fillId="0" borderId="1" xfId="0" applyNumberFormat="1" applyFont="1" applyBorder="1" applyAlignment="1">
      <alignment horizontal="center"/>
    </xf>
    <xf numFmtId="0" fontId="2" fillId="0" borderId="1" xfId="0" applyFont="1" applyBorder="1"/>
    <xf numFmtId="22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/>
    <xf numFmtId="3" fontId="2" fillId="0" borderId="1" xfId="0" applyNumberFormat="1" applyFont="1" applyBorder="1"/>
    <xf numFmtId="1" fontId="5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  <xf numFmtId="0" fontId="6" fillId="0" borderId="0" xfId="0" applyFont="1" applyAlignment="1">
      <alignment horizontal="left"/>
    </xf>
    <xf numFmtId="1" fontId="5" fillId="0" borderId="0" xfId="0" applyNumberFormat="1" applyFont="1" applyAlignment="1">
      <alignment horizontal="center"/>
    </xf>
    <xf numFmtId="9" fontId="6" fillId="0" borderId="0" xfId="1" applyFont="1" applyFill="1" applyBorder="1"/>
    <xf numFmtId="0" fontId="6" fillId="0" borderId="0" xfId="0" applyFont="1" applyAlignment="1">
      <alignment horizontal="left" vertical="center"/>
    </xf>
    <xf numFmtId="0" fontId="0" fillId="2" borderId="1" xfId="0" applyFill="1" applyBorder="1"/>
    <xf numFmtId="22" fontId="0" fillId="2" borderId="1" xfId="0" applyNumberForma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/>
    <xf numFmtId="1" fontId="0" fillId="2" borderId="1" xfId="0" applyNumberFormat="1" applyFill="1" applyBorder="1"/>
    <xf numFmtId="3" fontId="0" fillId="2" borderId="1" xfId="0" applyNumberFormat="1" applyFill="1" applyBorder="1"/>
    <xf numFmtId="1" fontId="7" fillId="2" borderId="1" xfId="0" applyNumberFormat="1" applyFont="1" applyFill="1" applyBorder="1" applyAlignment="1">
      <alignment horizontal="center"/>
    </xf>
    <xf numFmtId="3" fontId="6" fillId="2" borderId="1" xfId="0" applyNumberFormat="1" applyFont="1" applyFill="1" applyBorder="1"/>
    <xf numFmtId="9" fontId="6" fillId="2" borderId="1" xfId="1" applyFont="1" applyFill="1" applyBorder="1"/>
    <xf numFmtId="1" fontId="6" fillId="2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9" fillId="5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6" fillId="0" borderId="2" xfId="0" applyFont="1" applyBorder="1"/>
    <xf numFmtId="0" fontId="12" fillId="0" borderId="0" xfId="0" applyFont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tubk02\Demconstruct\Demconstruct%20Documents%20Partag&#233;s\ATELIER%20LAQUAGE\prg%20gen\Planning%20general\Base.xlsx" TargetMode="External"/><Relationship Id="rId1" Type="http://schemas.openxmlformats.org/officeDocument/2006/relationships/externalLinkPath" Target="file:///\\srtubk02\Demconstruct\Demconstruct%20Documents%20Partag&#233;s\ATELIER%20LAQUAGE\prg%20gen\Planning%20general\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 09 2026"/>
      <sheetName val="05 09 26"/>
      <sheetName val="base"/>
      <sheetName val="poudre"/>
      <sheetName val="remarque"/>
      <sheetName val="commencé"/>
      <sheetName val="Feuil3"/>
    </sheetNames>
    <sheetDataSet>
      <sheetData sheetId="0"/>
      <sheetData sheetId="1"/>
      <sheetData sheetId="2">
        <row r="1">
          <cell r="A1" t="str">
            <v>Couleur</v>
          </cell>
          <cell r="B1" t="str">
            <v>Priorité Nuance</v>
          </cell>
          <cell r="D1" t="str">
            <v>Référence</v>
          </cell>
          <cell r="E1" t="str">
            <v>Nbre de barres/Balancelle</v>
          </cell>
          <cell r="F1" t="str">
            <v>Désignation Broche</v>
          </cell>
          <cell r="G1" t="str">
            <v>Priorité Vente</v>
          </cell>
          <cell r="H1" t="str">
            <v>Consommation Poudre</v>
          </cell>
          <cell r="I1" t="str">
            <v>Consommation Emballage M²</v>
          </cell>
          <cell r="J1" t="str">
            <v>emballage adhésif</v>
          </cell>
          <cell r="K1" t="str">
            <v>Poids Article</v>
          </cell>
          <cell r="M1" t="str">
            <v>Réf.</v>
          </cell>
          <cell r="N1" t="str">
            <v>stock physique brut</v>
          </cell>
          <cell r="O1" t="str">
            <v>Stock physique Couleurs</v>
          </cell>
          <cell r="P1" t="str">
            <v>% Stock Laqué</v>
          </cell>
          <cell r="Q1" t="str">
            <v>Moyenne ventes</v>
          </cell>
        </row>
        <row r="2">
          <cell r="A2" t="str">
            <v>FRENE</v>
          </cell>
          <cell r="B2">
            <v>0.5</v>
          </cell>
          <cell r="D2">
            <v>80114</v>
          </cell>
          <cell r="E2">
            <v>20</v>
          </cell>
          <cell r="F2" t="str">
            <v>BZ20</v>
          </cell>
          <cell r="G2">
            <v>250</v>
          </cell>
          <cell r="H2" t="e">
            <v>#N/A</v>
          </cell>
          <cell r="I2" t="e">
            <v>#N/A</v>
          </cell>
          <cell r="J2" t="e">
            <v>#N/A</v>
          </cell>
          <cell r="K2">
            <v>2</v>
          </cell>
          <cell r="M2" t="str">
            <v>P057-Barres</v>
          </cell>
          <cell r="N2">
            <v>100</v>
          </cell>
          <cell r="O2">
            <v>0</v>
          </cell>
          <cell r="P2">
            <v>0</v>
          </cell>
          <cell r="Q2">
            <v>23</v>
          </cell>
        </row>
        <row r="3">
          <cell r="A3" t="str">
            <v>TRESOR</v>
          </cell>
          <cell r="B3">
            <v>0.6</v>
          </cell>
          <cell r="D3">
            <v>957410</v>
          </cell>
          <cell r="E3">
            <v>10</v>
          </cell>
          <cell r="G3">
            <v>250</v>
          </cell>
          <cell r="K3">
            <v>4</v>
          </cell>
          <cell r="M3" t="str">
            <v>P063-Barres</v>
          </cell>
          <cell r="N3">
            <v>49</v>
          </cell>
          <cell r="O3">
            <v>3</v>
          </cell>
          <cell r="P3">
            <v>5.7692307692307696E-2</v>
          </cell>
          <cell r="Q3">
            <v>0</v>
          </cell>
        </row>
        <row r="4">
          <cell r="A4" t="str">
            <v>BLC</v>
          </cell>
          <cell r="B4">
            <v>1</v>
          </cell>
          <cell r="D4">
            <v>997410</v>
          </cell>
          <cell r="E4">
            <v>10</v>
          </cell>
          <cell r="G4">
            <v>250</v>
          </cell>
          <cell r="K4">
            <v>4</v>
          </cell>
          <cell r="M4" t="str">
            <v>IN-A 4509</v>
          </cell>
          <cell r="N4">
            <v>535</v>
          </cell>
          <cell r="O4">
            <v>-535</v>
          </cell>
          <cell r="P4" t="e">
            <v>#DIV/0!</v>
          </cell>
          <cell r="Q4">
            <v>0</v>
          </cell>
        </row>
        <row r="5">
          <cell r="A5" t="str">
            <v>bel9010</v>
          </cell>
          <cell r="B5">
            <v>1.2</v>
          </cell>
          <cell r="D5">
            <v>997500</v>
          </cell>
          <cell r="E5">
            <v>20</v>
          </cell>
          <cell r="K5">
            <v>0.28999999999999998</v>
          </cell>
          <cell r="M5" t="str">
            <v>AL15401</v>
          </cell>
          <cell r="N5">
            <v>0</v>
          </cell>
          <cell r="O5">
            <v>0</v>
          </cell>
          <cell r="P5" t="e">
            <v>#DIV/0!</v>
          </cell>
          <cell r="Q5">
            <v>0</v>
          </cell>
        </row>
        <row r="6">
          <cell r="A6" t="str">
            <v>RAL9001</v>
          </cell>
          <cell r="B6">
            <v>2.5</v>
          </cell>
          <cell r="D6">
            <v>1076410</v>
          </cell>
          <cell r="E6">
            <v>10</v>
          </cell>
          <cell r="K6">
            <v>4</v>
          </cell>
          <cell r="M6" t="str">
            <v>AL15403</v>
          </cell>
          <cell r="N6">
            <v>0</v>
          </cell>
          <cell r="O6">
            <v>243</v>
          </cell>
          <cell r="P6">
            <v>1</v>
          </cell>
          <cell r="Q6">
            <v>0</v>
          </cell>
        </row>
        <row r="7">
          <cell r="A7" t="str">
            <v>R9016</v>
          </cell>
          <cell r="B7">
            <v>3</v>
          </cell>
          <cell r="D7">
            <v>2563005</v>
          </cell>
          <cell r="E7">
            <v>20</v>
          </cell>
          <cell r="K7">
            <v>1</v>
          </cell>
          <cell r="M7" t="str">
            <v>AL15404</v>
          </cell>
          <cell r="N7">
            <v>0</v>
          </cell>
          <cell r="O7">
            <v>200</v>
          </cell>
          <cell r="P7">
            <v>1</v>
          </cell>
          <cell r="Q7">
            <v>0</v>
          </cell>
        </row>
        <row r="8">
          <cell r="A8" t="str">
            <v>PURITY</v>
          </cell>
          <cell r="B8">
            <v>4</v>
          </cell>
          <cell r="D8">
            <v>2563410</v>
          </cell>
          <cell r="E8">
            <v>10</v>
          </cell>
          <cell r="G8">
            <v>250</v>
          </cell>
          <cell r="K8">
            <v>4</v>
          </cell>
          <cell r="M8" t="str">
            <v>AL15413</v>
          </cell>
          <cell r="N8">
            <v>116</v>
          </cell>
          <cell r="O8">
            <v>2</v>
          </cell>
          <cell r="P8">
            <v>1.6949152542372881E-2</v>
          </cell>
          <cell r="Q8">
            <v>0</v>
          </cell>
        </row>
        <row r="9">
          <cell r="A9" t="str">
            <v>Balsa</v>
          </cell>
          <cell r="B9">
            <v>5</v>
          </cell>
          <cell r="D9">
            <v>2563500</v>
          </cell>
          <cell r="E9">
            <v>10</v>
          </cell>
          <cell r="G9">
            <v>250</v>
          </cell>
          <cell r="K9">
            <v>4</v>
          </cell>
          <cell r="M9" t="str">
            <v>AL15415</v>
          </cell>
          <cell r="N9">
            <v>0</v>
          </cell>
          <cell r="O9">
            <v>0</v>
          </cell>
          <cell r="P9" t="e">
            <v>#DIV/0!</v>
          </cell>
          <cell r="Q9">
            <v>0</v>
          </cell>
        </row>
        <row r="10">
          <cell r="A10" t="str">
            <v>R1013</v>
          </cell>
          <cell r="B10">
            <v>6</v>
          </cell>
          <cell r="D10">
            <v>6004410</v>
          </cell>
          <cell r="E10">
            <v>10</v>
          </cell>
          <cell r="F10" t="str">
            <v>BCS10</v>
          </cell>
          <cell r="G10">
            <v>250</v>
          </cell>
          <cell r="H10" t="e">
            <v>#N/A</v>
          </cell>
          <cell r="I10" t="e">
            <v>#N/A</v>
          </cell>
          <cell r="J10" t="e">
            <v>#N/A</v>
          </cell>
          <cell r="K10">
            <v>4</v>
          </cell>
          <cell r="M10" t="str">
            <v>AL15416</v>
          </cell>
          <cell r="N10">
            <v>389</v>
          </cell>
          <cell r="O10">
            <v>10</v>
          </cell>
          <cell r="P10">
            <v>2.5062656641604009E-2</v>
          </cell>
          <cell r="Q10">
            <v>0</v>
          </cell>
        </row>
        <row r="11">
          <cell r="A11" t="str">
            <v>SUN</v>
          </cell>
          <cell r="B11">
            <v>7</v>
          </cell>
          <cell r="D11" t="str">
            <v>00120410U</v>
          </cell>
          <cell r="E11">
            <v>10</v>
          </cell>
          <cell r="G11">
            <v>250</v>
          </cell>
          <cell r="K11">
            <v>4</v>
          </cell>
          <cell r="M11" t="str">
            <v>AL15401P3</v>
          </cell>
          <cell r="N11">
            <v>145</v>
          </cell>
          <cell r="O11">
            <v>-145</v>
          </cell>
          <cell r="P11" t="e">
            <v>#DIV/0!</v>
          </cell>
          <cell r="Q11">
            <v>0</v>
          </cell>
        </row>
        <row r="12">
          <cell r="A12" t="str">
            <v>R1015</v>
          </cell>
          <cell r="B12">
            <v>8</v>
          </cell>
          <cell r="D12" t="str">
            <v>381/60</v>
          </cell>
          <cell r="E12">
            <v>20</v>
          </cell>
          <cell r="K12">
            <v>0.115</v>
          </cell>
          <cell r="M12" t="str">
            <v>AL15403P1</v>
          </cell>
          <cell r="N12">
            <v>117</v>
          </cell>
          <cell r="O12">
            <v>-117</v>
          </cell>
          <cell r="P12" t="e">
            <v>#DIV/0!</v>
          </cell>
          <cell r="Q12">
            <v>0</v>
          </cell>
        </row>
        <row r="13">
          <cell r="A13" t="str">
            <v>CEDRE</v>
          </cell>
          <cell r="B13">
            <v>9</v>
          </cell>
          <cell r="D13" t="str">
            <v>45AL1111</v>
          </cell>
          <cell r="E13">
            <v>13</v>
          </cell>
          <cell r="F13" t="str">
            <v>U20/5</v>
          </cell>
          <cell r="G13">
            <v>250</v>
          </cell>
          <cell r="H13" t="e">
            <v>#N/A</v>
          </cell>
          <cell r="I13" t="e">
            <v>#N/A</v>
          </cell>
          <cell r="J13" t="e">
            <v>#N/A</v>
          </cell>
          <cell r="K13">
            <v>4</v>
          </cell>
          <cell r="M13" t="str">
            <v>AL15403P2</v>
          </cell>
          <cell r="N13">
            <v>126</v>
          </cell>
          <cell r="O13">
            <v>-126</v>
          </cell>
          <cell r="P13" t="e">
            <v>#DIV/0!</v>
          </cell>
          <cell r="Q13">
            <v>0</v>
          </cell>
        </row>
        <row r="14">
          <cell r="A14" t="str">
            <v>SAPIN</v>
          </cell>
          <cell r="B14">
            <v>10</v>
          </cell>
          <cell r="D14" t="str">
            <v>45AL1113</v>
          </cell>
          <cell r="E14">
            <v>12</v>
          </cell>
          <cell r="F14" t="str">
            <v>U8/8</v>
          </cell>
          <cell r="G14">
            <v>250</v>
          </cell>
          <cell r="H14" t="e">
            <v>#N/A</v>
          </cell>
          <cell r="I14" t="e">
            <v>#N/A</v>
          </cell>
          <cell r="J14" t="e">
            <v>#N/A</v>
          </cell>
          <cell r="K14">
            <v>4</v>
          </cell>
          <cell r="M14" t="str">
            <v>AL15404P1</v>
          </cell>
          <cell r="N14">
            <v>103</v>
          </cell>
          <cell r="O14">
            <v>-103</v>
          </cell>
          <cell r="P14" t="e">
            <v>#DIV/0!</v>
          </cell>
          <cell r="Q14">
            <v>0</v>
          </cell>
        </row>
        <row r="15">
          <cell r="A15" t="str">
            <v>PIN</v>
          </cell>
          <cell r="B15">
            <v>10.1</v>
          </cell>
          <cell r="D15" t="str">
            <v>45AL1114</v>
          </cell>
          <cell r="E15">
            <v>12</v>
          </cell>
          <cell r="F15" t="str">
            <v>U8/8</v>
          </cell>
          <cell r="G15">
            <v>250</v>
          </cell>
          <cell r="H15" t="e">
            <v>#N/A</v>
          </cell>
          <cell r="I15" t="e">
            <v>#N/A</v>
          </cell>
          <cell r="J15" t="e">
            <v>#N/A</v>
          </cell>
          <cell r="K15">
            <v>4</v>
          </cell>
          <cell r="M15" t="str">
            <v>AL15404P2</v>
          </cell>
          <cell r="N15">
            <v>97</v>
          </cell>
          <cell r="O15">
            <v>-97</v>
          </cell>
          <cell r="P15" t="e">
            <v>#DIV/0!</v>
          </cell>
          <cell r="Q15">
            <v>0</v>
          </cell>
        </row>
        <row r="16">
          <cell r="A16" t="str">
            <v>TECK</v>
          </cell>
          <cell r="B16">
            <v>10.199999999999999</v>
          </cell>
          <cell r="D16" t="str">
            <v>45AL1115</v>
          </cell>
          <cell r="E16">
            <v>12</v>
          </cell>
          <cell r="F16" t="str">
            <v>U8/8</v>
          </cell>
          <cell r="G16">
            <v>250</v>
          </cell>
          <cell r="H16" t="e">
            <v>#N/A</v>
          </cell>
          <cell r="I16" t="e">
            <v>#N/A</v>
          </cell>
          <cell r="J16" t="e">
            <v>#N/A</v>
          </cell>
          <cell r="K16">
            <v>4</v>
          </cell>
          <cell r="M16" t="str">
            <v>AL15410</v>
          </cell>
          <cell r="N16">
            <v>79</v>
          </cell>
          <cell r="O16">
            <v>2</v>
          </cell>
          <cell r="P16">
            <v>2.4691358024691357E-2</v>
          </cell>
          <cell r="Q16">
            <v>0</v>
          </cell>
        </row>
        <row r="17">
          <cell r="A17" t="str">
            <v>CHENE</v>
          </cell>
          <cell r="B17">
            <v>10.3</v>
          </cell>
          <cell r="D17" t="str">
            <v>45AL1210</v>
          </cell>
          <cell r="E17">
            <v>13</v>
          </cell>
          <cell r="F17" t="str">
            <v>U20/5</v>
          </cell>
          <cell r="G17">
            <v>250</v>
          </cell>
          <cell r="H17" t="e">
            <v>#N/A</v>
          </cell>
          <cell r="I17" t="e">
            <v>#N/A</v>
          </cell>
          <cell r="J17" t="e">
            <v>#N/A</v>
          </cell>
          <cell r="K17">
            <v>4</v>
          </cell>
          <cell r="M17" t="str">
            <v>AL15405P1</v>
          </cell>
          <cell r="N17">
            <v>96</v>
          </cell>
          <cell r="O17">
            <v>-96</v>
          </cell>
          <cell r="P17" t="e">
            <v>#DIV/0!</v>
          </cell>
          <cell r="Q17">
            <v>0</v>
          </cell>
        </row>
        <row r="18">
          <cell r="A18" t="str">
            <v>Jaune</v>
          </cell>
          <cell r="B18">
            <v>10.4</v>
          </cell>
          <cell r="D18" t="str">
            <v>45AL1211</v>
          </cell>
          <cell r="E18">
            <v>12</v>
          </cell>
          <cell r="F18" t="str">
            <v>U8/8</v>
          </cell>
          <cell r="G18">
            <v>250</v>
          </cell>
          <cell r="H18" t="e">
            <v>#N/A</v>
          </cell>
          <cell r="I18" t="e">
            <v>#N/A</v>
          </cell>
          <cell r="J18" t="e">
            <v>#N/A</v>
          </cell>
          <cell r="K18">
            <v>4</v>
          </cell>
          <cell r="M18" t="str">
            <v>AL15420</v>
          </cell>
          <cell r="N18">
            <v>3</v>
          </cell>
          <cell r="O18">
            <v>0</v>
          </cell>
          <cell r="P18">
            <v>0</v>
          </cell>
          <cell r="Q18">
            <v>0</v>
          </cell>
        </row>
        <row r="19">
          <cell r="A19" t="str">
            <v>CHPG</v>
          </cell>
          <cell r="B19">
            <v>11</v>
          </cell>
          <cell r="D19" t="str">
            <v>45AL1212</v>
          </cell>
          <cell r="E19">
            <v>12</v>
          </cell>
          <cell r="F19" t="str">
            <v>U8/8</v>
          </cell>
          <cell r="G19">
            <v>250</v>
          </cell>
          <cell r="H19" t="e">
            <v>#N/A</v>
          </cell>
          <cell r="I19" t="e">
            <v>#N/A</v>
          </cell>
          <cell r="J19" t="e">
            <v>#N/A</v>
          </cell>
          <cell r="K19">
            <v>4</v>
          </cell>
          <cell r="M19" t="str">
            <v>AL15421</v>
          </cell>
          <cell r="N19">
            <v>29</v>
          </cell>
          <cell r="O19">
            <v>-29</v>
          </cell>
          <cell r="P19" t="e">
            <v>#DIV/0!</v>
          </cell>
          <cell r="Q19">
            <v>0</v>
          </cell>
        </row>
        <row r="20">
          <cell r="A20" t="str">
            <v>SKEY</v>
          </cell>
          <cell r="B20">
            <v>12</v>
          </cell>
          <cell r="D20" t="str">
            <v>4600-101</v>
          </cell>
          <cell r="E20">
            <v>20</v>
          </cell>
          <cell r="K20">
            <v>1</v>
          </cell>
          <cell r="M20" t="str">
            <v>AL15422</v>
          </cell>
          <cell r="N20">
            <v>91</v>
          </cell>
          <cell r="O20">
            <v>0</v>
          </cell>
          <cell r="P20">
            <v>0</v>
          </cell>
          <cell r="Q20">
            <v>0</v>
          </cell>
        </row>
        <row r="21">
          <cell r="A21" t="str">
            <v>SAND</v>
          </cell>
          <cell r="B21">
            <v>13</v>
          </cell>
          <cell r="D21" t="str">
            <v>4600-103</v>
          </cell>
          <cell r="E21">
            <v>20</v>
          </cell>
          <cell r="K21">
            <v>1</v>
          </cell>
          <cell r="M21" t="str">
            <v>AL15423</v>
          </cell>
          <cell r="N21">
            <v>149</v>
          </cell>
          <cell r="O21">
            <v>-149</v>
          </cell>
          <cell r="P21" t="e">
            <v>#DIV/0!</v>
          </cell>
          <cell r="Q21">
            <v>0</v>
          </cell>
        </row>
        <row r="22">
          <cell r="A22" t="str">
            <v>R1019</v>
          </cell>
          <cell r="B22">
            <v>14</v>
          </cell>
          <cell r="D22" t="str">
            <v>4600-201</v>
          </cell>
          <cell r="E22">
            <v>20</v>
          </cell>
          <cell r="K22">
            <v>1</v>
          </cell>
          <cell r="M22" t="str">
            <v>AL15405P2</v>
          </cell>
          <cell r="N22">
            <v>124</v>
          </cell>
          <cell r="O22">
            <v>-124</v>
          </cell>
          <cell r="P22" t="e">
            <v>#DIV/0!</v>
          </cell>
          <cell r="Q22">
            <v>0</v>
          </cell>
        </row>
        <row r="23">
          <cell r="A23" t="str">
            <v>NOYER</v>
          </cell>
          <cell r="B23">
            <v>15</v>
          </cell>
          <cell r="D23" t="str">
            <v>4600-901</v>
          </cell>
          <cell r="E23">
            <v>20</v>
          </cell>
          <cell r="K23">
            <v>1</v>
          </cell>
          <cell r="M23" t="str">
            <v>KLHS7421</v>
          </cell>
          <cell r="N23">
            <v>0</v>
          </cell>
          <cell r="O23">
            <v>24</v>
          </cell>
          <cell r="P23">
            <v>1</v>
          </cell>
          <cell r="Q23">
            <v>0</v>
          </cell>
        </row>
        <row r="24">
          <cell r="A24" t="str">
            <v>ACAJOU</v>
          </cell>
          <cell r="B24">
            <v>15.1</v>
          </cell>
          <cell r="D24" t="str">
            <v>4600-905</v>
          </cell>
          <cell r="E24">
            <v>20</v>
          </cell>
          <cell r="K24">
            <v>1</v>
          </cell>
          <cell r="M24" t="str">
            <v>P031</v>
          </cell>
          <cell r="N24">
            <v>231</v>
          </cell>
          <cell r="O24">
            <v>265</v>
          </cell>
          <cell r="P24">
            <v>0.53427419354838712</v>
          </cell>
          <cell r="Q24">
            <v>252.875</v>
          </cell>
        </row>
        <row r="25">
          <cell r="A25" t="str">
            <v>R1021</v>
          </cell>
          <cell r="B25">
            <v>15.55</v>
          </cell>
          <cell r="D25" t="str">
            <v>4600-906</v>
          </cell>
          <cell r="E25">
            <v>20</v>
          </cell>
          <cell r="K25">
            <v>1</v>
          </cell>
          <cell r="M25" t="str">
            <v>P010</v>
          </cell>
          <cell r="N25">
            <v>92</v>
          </cell>
          <cell r="O25">
            <v>1</v>
          </cell>
          <cell r="P25">
            <v>1.0752688172043012E-2</v>
          </cell>
          <cell r="Q25">
            <v>56</v>
          </cell>
        </row>
        <row r="26">
          <cell r="A26" t="str">
            <v>WENGE</v>
          </cell>
          <cell r="B26">
            <v>16</v>
          </cell>
          <cell r="D26" t="str">
            <v>4600-907</v>
          </cell>
          <cell r="E26">
            <v>20</v>
          </cell>
          <cell r="K26">
            <v>1</v>
          </cell>
          <cell r="M26" t="str">
            <v>P039</v>
          </cell>
          <cell r="N26">
            <v>0</v>
          </cell>
          <cell r="O26">
            <v>12</v>
          </cell>
          <cell r="P26">
            <v>1</v>
          </cell>
          <cell r="Q26">
            <v>28.5</v>
          </cell>
        </row>
        <row r="27">
          <cell r="A27" t="str">
            <v>WAPA</v>
          </cell>
          <cell r="B27">
            <v>17</v>
          </cell>
          <cell r="D27" t="str">
            <v>4600-908</v>
          </cell>
          <cell r="E27">
            <v>20</v>
          </cell>
          <cell r="K27">
            <v>1</v>
          </cell>
          <cell r="M27" t="str">
            <v>P663</v>
          </cell>
          <cell r="N27">
            <v>100</v>
          </cell>
          <cell r="O27">
            <v>0</v>
          </cell>
          <cell r="P27">
            <v>0</v>
          </cell>
          <cell r="Q27">
            <v>0</v>
          </cell>
        </row>
        <row r="28">
          <cell r="A28" t="str">
            <v>SIPO</v>
          </cell>
          <cell r="B28">
            <v>18</v>
          </cell>
          <cell r="D28" t="str">
            <v>60AL2110</v>
          </cell>
          <cell r="E28">
            <v>12</v>
          </cell>
          <cell r="F28" t="str">
            <v>U8/8</v>
          </cell>
          <cell r="G28">
            <v>250</v>
          </cell>
          <cell r="H28" t="e">
            <v>#N/A</v>
          </cell>
          <cell r="I28" t="e">
            <v>#N/A</v>
          </cell>
          <cell r="J28" t="e">
            <v>#N/A</v>
          </cell>
          <cell r="K28">
            <v>4</v>
          </cell>
          <cell r="M28" t="str">
            <v>P007</v>
          </cell>
          <cell r="N28">
            <v>121</v>
          </cell>
          <cell r="O28">
            <v>133</v>
          </cell>
          <cell r="P28">
            <v>0.52362204724409445</v>
          </cell>
          <cell r="Q28">
            <v>0</v>
          </cell>
        </row>
        <row r="29">
          <cell r="A29" t="str">
            <v>CORINA</v>
          </cell>
          <cell r="B29">
            <v>19</v>
          </cell>
          <cell r="D29" t="str">
            <v>60AL2111</v>
          </cell>
          <cell r="E29">
            <v>12</v>
          </cell>
          <cell r="F29" t="str">
            <v>U8/8</v>
          </cell>
          <cell r="G29">
            <v>250</v>
          </cell>
          <cell r="H29" t="e">
            <v>#N/A</v>
          </cell>
          <cell r="I29" t="e">
            <v>#N/A</v>
          </cell>
          <cell r="J29" t="e">
            <v>#N/A</v>
          </cell>
          <cell r="K29">
            <v>4</v>
          </cell>
          <cell r="M29" t="str">
            <v>P013</v>
          </cell>
          <cell r="N29">
            <v>630</v>
          </cell>
          <cell r="O29">
            <v>0</v>
          </cell>
          <cell r="P29">
            <v>0</v>
          </cell>
          <cell r="Q29">
            <v>0</v>
          </cell>
        </row>
        <row r="30">
          <cell r="A30" t="str">
            <v>PALMIER</v>
          </cell>
          <cell r="B30">
            <v>20</v>
          </cell>
          <cell r="D30" t="str">
            <v>60AL2112</v>
          </cell>
          <cell r="E30">
            <v>14</v>
          </cell>
          <cell r="F30" t="str">
            <v>BZ14</v>
          </cell>
          <cell r="G30">
            <v>250</v>
          </cell>
          <cell r="K30">
            <v>4</v>
          </cell>
          <cell r="M30" t="str">
            <v>P650</v>
          </cell>
          <cell r="N30">
            <v>83</v>
          </cell>
          <cell r="O30">
            <v>0</v>
          </cell>
          <cell r="P30">
            <v>0</v>
          </cell>
          <cell r="Q30">
            <v>0</v>
          </cell>
        </row>
        <row r="31">
          <cell r="A31" t="str">
            <v>IROKO</v>
          </cell>
          <cell r="B31">
            <v>21</v>
          </cell>
          <cell r="D31" t="str">
            <v>60AL2210</v>
          </cell>
          <cell r="E31">
            <v>12</v>
          </cell>
          <cell r="F31" t="str">
            <v>U8/8</v>
          </cell>
          <cell r="G31">
            <v>250</v>
          </cell>
          <cell r="H31" t="e">
            <v>#N/A</v>
          </cell>
          <cell r="I31" t="e">
            <v>#N/A</v>
          </cell>
          <cell r="J31" t="e">
            <v>#N/A</v>
          </cell>
          <cell r="K31">
            <v>4</v>
          </cell>
          <cell r="M31" t="str">
            <v>P660</v>
          </cell>
          <cell r="N31">
            <v>136</v>
          </cell>
          <cell r="O31">
            <v>1</v>
          </cell>
          <cell r="P31">
            <v>7.2992700729927005E-3</v>
          </cell>
          <cell r="Q31">
            <v>0</v>
          </cell>
        </row>
        <row r="32">
          <cell r="A32" t="str">
            <v>GRIS</v>
          </cell>
          <cell r="B32">
            <v>22</v>
          </cell>
          <cell r="D32" t="str">
            <v>60AL2211</v>
          </cell>
          <cell r="E32">
            <v>13</v>
          </cell>
          <cell r="F32" t="str">
            <v>U20/5</v>
          </cell>
          <cell r="G32">
            <v>250</v>
          </cell>
          <cell r="H32" t="e">
            <v>#N/A</v>
          </cell>
          <cell r="I32" t="e">
            <v>#N/A</v>
          </cell>
          <cell r="J32" t="e">
            <v>#N/A</v>
          </cell>
          <cell r="K32">
            <v>4</v>
          </cell>
          <cell r="M32" t="str">
            <v>P662</v>
          </cell>
          <cell r="N32">
            <v>0</v>
          </cell>
          <cell r="O32">
            <v>0</v>
          </cell>
          <cell r="P32" t="e">
            <v>#DIV/0!</v>
          </cell>
          <cell r="Q32">
            <v>0</v>
          </cell>
        </row>
        <row r="33">
          <cell r="A33" t="str">
            <v>R9007</v>
          </cell>
          <cell r="B33">
            <v>22.1</v>
          </cell>
          <cell r="D33" t="str">
            <v>60AL2212</v>
          </cell>
          <cell r="E33">
            <v>12</v>
          </cell>
          <cell r="F33" t="str">
            <v>U8/8</v>
          </cell>
          <cell r="G33">
            <v>250</v>
          </cell>
          <cell r="H33" t="e">
            <v>#N/A</v>
          </cell>
          <cell r="I33" t="e">
            <v>#N/A</v>
          </cell>
          <cell r="J33" t="e">
            <v>#N/A</v>
          </cell>
          <cell r="K33">
            <v>4</v>
          </cell>
          <cell r="M33" t="str">
            <v>CO101</v>
          </cell>
          <cell r="N33">
            <v>125</v>
          </cell>
          <cell r="O33">
            <v>129</v>
          </cell>
          <cell r="P33">
            <v>0.50787401574803148</v>
          </cell>
          <cell r="Q33">
            <v>108.55555555555556</v>
          </cell>
        </row>
        <row r="34">
          <cell r="A34" t="str">
            <v>Ral 9006</v>
          </cell>
          <cell r="B34">
            <v>22.2</v>
          </cell>
          <cell r="D34" t="str">
            <v>60AL2213</v>
          </cell>
          <cell r="E34">
            <v>12</v>
          </cell>
          <cell r="F34" t="str">
            <v>U8/8</v>
          </cell>
          <cell r="G34">
            <v>250</v>
          </cell>
          <cell r="H34" t="e">
            <v>#N/A</v>
          </cell>
          <cell r="I34" t="e">
            <v>#N/A</v>
          </cell>
          <cell r="J34" t="e">
            <v>#N/A</v>
          </cell>
          <cell r="K34">
            <v>4</v>
          </cell>
          <cell r="M34" t="str">
            <v>CO102</v>
          </cell>
          <cell r="N34">
            <v>0</v>
          </cell>
          <cell r="O34">
            <v>17</v>
          </cell>
          <cell r="P34">
            <v>1</v>
          </cell>
          <cell r="Q34">
            <v>180.66666666666666</v>
          </cell>
        </row>
        <row r="35">
          <cell r="A35" t="str">
            <v>GALET</v>
          </cell>
          <cell r="B35">
            <v>23</v>
          </cell>
          <cell r="D35" t="str">
            <v>60AL2214</v>
          </cell>
          <cell r="E35">
            <v>12</v>
          </cell>
          <cell r="F35" t="str">
            <v>U8/8</v>
          </cell>
          <cell r="G35">
            <v>250</v>
          </cell>
          <cell r="H35" t="e">
            <v>#N/A</v>
          </cell>
          <cell r="I35" t="e">
            <v>#N/A</v>
          </cell>
          <cell r="J35" t="e">
            <v>#N/A</v>
          </cell>
          <cell r="K35">
            <v>4</v>
          </cell>
          <cell r="M35" t="str">
            <v>CO103</v>
          </cell>
          <cell r="N35">
            <v>949</v>
          </cell>
          <cell r="O35">
            <v>105</v>
          </cell>
          <cell r="P35">
            <v>9.962049335863378E-2</v>
          </cell>
          <cell r="Q35">
            <v>593.63636363636363</v>
          </cell>
        </row>
        <row r="36">
          <cell r="A36" t="str">
            <v>R7044</v>
          </cell>
          <cell r="B36">
            <v>23.5</v>
          </cell>
          <cell r="D36" t="str">
            <v>60AL2215</v>
          </cell>
          <cell r="E36">
            <v>12</v>
          </cell>
          <cell r="F36" t="str">
            <v>U8/8</v>
          </cell>
          <cell r="G36">
            <v>250</v>
          </cell>
          <cell r="H36" t="e">
            <v>#N/A</v>
          </cell>
          <cell r="I36" t="e">
            <v>#N/A</v>
          </cell>
          <cell r="J36" t="e">
            <v>#N/A</v>
          </cell>
          <cell r="K36">
            <v>4</v>
          </cell>
          <cell r="M36" t="str">
            <v>CO104</v>
          </cell>
          <cell r="N36">
            <v>406</v>
          </cell>
          <cell r="O36">
            <v>2</v>
          </cell>
          <cell r="P36">
            <v>4.9019607843137254E-3</v>
          </cell>
          <cell r="Q36">
            <v>344.5</v>
          </cell>
        </row>
        <row r="37">
          <cell r="A37" t="str">
            <v>Grey</v>
          </cell>
          <cell r="B37">
            <v>24</v>
          </cell>
          <cell r="D37" t="str">
            <v>80114/1</v>
          </cell>
          <cell r="E37">
            <v>20</v>
          </cell>
          <cell r="F37" t="str">
            <v>BZ20</v>
          </cell>
          <cell r="G37">
            <v>250</v>
          </cell>
          <cell r="H37" t="e">
            <v>#N/A</v>
          </cell>
          <cell r="I37" t="e">
            <v>#N/A</v>
          </cell>
          <cell r="J37" t="e">
            <v>#N/A</v>
          </cell>
          <cell r="K37">
            <v>4</v>
          </cell>
          <cell r="M37" t="str">
            <v>CO105</v>
          </cell>
          <cell r="N37">
            <v>7</v>
          </cell>
          <cell r="O37">
            <v>130</v>
          </cell>
          <cell r="P37">
            <v>0.94890510948905105</v>
          </cell>
          <cell r="Q37">
            <v>375.1</v>
          </cell>
        </row>
        <row r="38">
          <cell r="A38" t="str">
            <v>GRISG</v>
          </cell>
          <cell r="B38">
            <v>25</v>
          </cell>
          <cell r="D38" t="str">
            <v>AL11026</v>
          </cell>
          <cell r="E38">
            <v>10</v>
          </cell>
          <cell r="F38" t="str">
            <v>BCS10</v>
          </cell>
          <cell r="G38">
            <v>26</v>
          </cell>
          <cell r="H38">
            <v>0.28860000000000002</v>
          </cell>
          <cell r="I38" t="e">
            <v>#N/A</v>
          </cell>
          <cell r="J38" t="str">
            <v xml:space="preserve"> Emballage</v>
          </cell>
          <cell r="K38">
            <v>5.7720000000000002</v>
          </cell>
          <cell r="M38" t="str">
            <v>CO106</v>
          </cell>
          <cell r="N38">
            <v>125</v>
          </cell>
          <cell r="O38">
            <v>13</v>
          </cell>
          <cell r="P38">
            <v>9.420289855072464E-2</v>
          </cell>
          <cell r="Q38">
            <v>453.90909090909093</v>
          </cell>
        </row>
        <row r="39">
          <cell r="A39" t="str">
            <v>Green</v>
          </cell>
          <cell r="B39">
            <v>26</v>
          </cell>
          <cell r="D39" t="str">
            <v>AL11144/1,1</v>
          </cell>
          <cell r="E39">
            <v>20</v>
          </cell>
          <cell r="F39" t="str">
            <v>BZ20</v>
          </cell>
          <cell r="G39">
            <v>250</v>
          </cell>
          <cell r="H39" t="e">
            <v>#N/A</v>
          </cell>
          <cell r="I39" t="e">
            <v>#N/A</v>
          </cell>
          <cell r="J39" t="e">
            <v>#N/A</v>
          </cell>
          <cell r="K39">
            <v>2</v>
          </cell>
          <cell r="M39" t="str">
            <v>CO107</v>
          </cell>
          <cell r="N39">
            <v>0</v>
          </cell>
          <cell r="O39">
            <v>43</v>
          </cell>
          <cell r="P39">
            <v>1</v>
          </cell>
          <cell r="Q39">
            <v>121.75</v>
          </cell>
        </row>
        <row r="40">
          <cell r="A40" t="str">
            <v>R6005</v>
          </cell>
          <cell r="B40">
            <v>26.5</v>
          </cell>
          <cell r="D40" t="str">
            <v>AL11144/1,2</v>
          </cell>
          <cell r="E40">
            <v>20</v>
          </cell>
          <cell r="F40" t="str">
            <v>BZ20</v>
          </cell>
          <cell r="G40">
            <v>250</v>
          </cell>
          <cell r="H40" t="e">
            <v>#N/A</v>
          </cell>
          <cell r="I40" t="e">
            <v>#N/A</v>
          </cell>
          <cell r="J40" t="e">
            <v>#N/A</v>
          </cell>
          <cell r="K40">
            <v>2</v>
          </cell>
          <cell r="M40" t="str">
            <v>CO108</v>
          </cell>
          <cell r="N40">
            <v>0</v>
          </cell>
          <cell r="O40">
            <v>8</v>
          </cell>
          <cell r="P40">
            <v>1</v>
          </cell>
          <cell r="Q40">
            <v>98.833333333333329</v>
          </cell>
        </row>
        <row r="41">
          <cell r="A41" t="str">
            <v>Sea</v>
          </cell>
          <cell r="B41">
            <v>27</v>
          </cell>
          <cell r="D41" t="str">
            <v>AL11144/1,3</v>
          </cell>
          <cell r="E41">
            <v>20</v>
          </cell>
          <cell r="F41" t="str">
            <v>BZ20</v>
          </cell>
          <cell r="G41">
            <v>250</v>
          </cell>
          <cell r="H41" t="e">
            <v>#N/A</v>
          </cell>
          <cell r="I41" t="e">
            <v>#N/A</v>
          </cell>
          <cell r="J41" t="e">
            <v>#N/A</v>
          </cell>
          <cell r="K41">
            <v>2</v>
          </cell>
          <cell r="M41" t="str">
            <v>CO110</v>
          </cell>
          <cell r="N41">
            <v>1</v>
          </cell>
          <cell r="O41">
            <v>7</v>
          </cell>
          <cell r="P41">
            <v>0.875</v>
          </cell>
          <cell r="Q41">
            <v>134</v>
          </cell>
        </row>
        <row r="42">
          <cell r="A42" t="str">
            <v>Quartz</v>
          </cell>
          <cell r="B42">
            <v>28</v>
          </cell>
          <cell r="D42" t="str">
            <v>AL11144/1,5</v>
          </cell>
          <cell r="E42">
            <v>20</v>
          </cell>
          <cell r="F42" t="str">
            <v>BZ20</v>
          </cell>
          <cell r="G42">
            <v>250</v>
          </cell>
          <cell r="H42" t="e">
            <v>#N/A</v>
          </cell>
          <cell r="I42" t="e">
            <v>#N/A</v>
          </cell>
          <cell r="J42" t="e">
            <v>#N/A</v>
          </cell>
          <cell r="K42">
            <v>2</v>
          </cell>
          <cell r="M42" t="str">
            <v>CO114</v>
          </cell>
          <cell r="N42">
            <v>2067</v>
          </cell>
          <cell r="O42">
            <v>336</v>
          </cell>
          <cell r="P42">
            <v>0.13982521847690388</v>
          </cell>
          <cell r="Q42">
            <v>2162.818181818182</v>
          </cell>
        </row>
        <row r="43">
          <cell r="A43" t="str">
            <v>Otarie</v>
          </cell>
          <cell r="B43">
            <v>29</v>
          </cell>
          <cell r="D43" t="str">
            <v>AL244/1,2</v>
          </cell>
          <cell r="E43">
            <v>13</v>
          </cell>
          <cell r="F43" t="str">
            <v>U20/5</v>
          </cell>
          <cell r="G43">
            <v>250</v>
          </cell>
          <cell r="H43" t="e">
            <v>#N/A</v>
          </cell>
          <cell r="I43" t="e">
            <v>#N/A</v>
          </cell>
          <cell r="J43" t="e">
            <v>#N/A</v>
          </cell>
          <cell r="K43">
            <v>4</v>
          </cell>
          <cell r="M43" t="str">
            <v>CO116</v>
          </cell>
          <cell r="N43">
            <v>770</v>
          </cell>
          <cell r="O43">
            <v>11880.00072</v>
          </cell>
          <cell r="P43">
            <v>0.93913043824712128</v>
          </cell>
          <cell r="Q43">
            <v>851.28571428571433</v>
          </cell>
        </row>
        <row r="44">
          <cell r="A44" t="str">
            <v>COOL</v>
          </cell>
          <cell r="B44">
            <v>30</v>
          </cell>
          <cell r="D44" t="str">
            <v>AL349/1,2</v>
          </cell>
          <cell r="E44">
            <v>20</v>
          </cell>
          <cell r="F44" t="str">
            <v>BZ20</v>
          </cell>
          <cell r="G44">
            <v>250</v>
          </cell>
          <cell r="H44" t="e">
            <v>#N/A</v>
          </cell>
          <cell r="I44" t="e">
            <v>#N/A</v>
          </cell>
          <cell r="J44" t="e">
            <v>#N/A</v>
          </cell>
          <cell r="K44">
            <v>2</v>
          </cell>
          <cell r="M44" t="str">
            <v>CO124</v>
          </cell>
          <cell r="N44">
            <v>207</v>
          </cell>
          <cell r="O44">
            <v>24</v>
          </cell>
          <cell r="P44">
            <v>0.1038961038961039</v>
          </cell>
          <cell r="Q44">
            <v>37.666666666666664</v>
          </cell>
        </row>
        <row r="45">
          <cell r="A45" t="str">
            <v>R7016</v>
          </cell>
          <cell r="B45">
            <v>31</v>
          </cell>
          <cell r="D45" t="str">
            <v>AL40122</v>
          </cell>
          <cell r="E45">
            <v>9</v>
          </cell>
          <cell r="F45" t="str">
            <v>U20/5</v>
          </cell>
          <cell r="G45">
            <v>129</v>
          </cell>
          <cell r="H45">
            <v>0.357825</v>
          </cell>
          <cell r="I45" t="e">
            <v>#N/A</v>
          </cell>
          <cell r="J45" t="str">
            <v xml:space="preserve"> Emballage-Adhésif</v>
          </cell>
          <cell r="K45">
            <v>7.1564999999999994</v>
          </cell>
          <cell r="M45" t="str">
            <v>AL80114</v>
          </cell>
          <cell r="N45">
            <v>0</v>
          </cell>
          <cell r="O45">
            <v>155</v>
          </cell>
          <cell r="P45">
            <v>1</v>
          </cell>
          <cell r="Q45">
            <v>0</v>
          </cell>
        </row>
        <row r="46">
          <cell r="A46" t="str">
            <v>R8019</v>
          </cell>
          <cell r="B46">
            <v>32</v>
          </cell>
          <cell r="D46" t="str">
            <v>AL40123</v>
          </cell>
          <cell r="E46">
            <v>9</v>
          </cell>
          <cell r="F46" t="str">
            <v>U20/5</v>
          </cell>
          <cell r="G46">
            <v>163</v>
          </cell>
          <cell r="H46">
            <v>0.43874999999999997</v>
          </cell>
          <cell r="I46" t="e">
            <v>#N/A</v>
          </cell>
          <cell r="J46" t="str">
            <v xml:space="preserve"> Emballage-Adhésif</v>
          </cell>
          <cell r="K46">
            <v>8.7750000000000004</v>
          </cell>
          <cell r="M46" t="str">
            <v>AL40122</v>
          </cell>
          <cell r="N46">
            <v>149</v>
          </cell>
          <cell r="O46">
            <v>7</v>
          </cell>
          <cell r="P46">
            <v>4.4871794871794872E-2</v>
          </cell>
          <cell r="Q46">
            <v>27.5</v>
          </cell>
        </row>
        <row r="47">
          <cell r="A47" t="str">
            <v>Bean</v>
          </cell>
          <cell r="B47">
            <v>33</v>
          </cell>
          <cell r="D47" t="str">
            <v>AL40133</v>
          </cell>
          <cell r="E47">
            <v>20</v>
          </cell>
          <cell r="F47" t="str">
            <v>BZ20</v>
          </cell>
          <cell r="G47">
            <v>124</v>
          </cell>
          <cell r="H47">
            <v>4.6800000000000001E-2</v>
          </cell>
          <cell r="I47" t="e">
            <v>#N/A</v>
          </cell>
          <cell r="J47" t="str">
            <v xml:space="preserve"> Emballage</v>
          </cell>
          <cell r="K47">
            <v>0.93599999999999994</v>
          </cell>
          <cell r="M47" t="str">
            <v>AL40123</v>
          </cell>
          <cell r="N47">
            <v>0</v>
          </cell>
          <cell r="O47">
            <v>3</v>
          </cell>
          <cell r="P47">
            <v>1</v>
          </cell>
          <cell r="Q47">
            <v>0</v>
          </cell>
        </row>
        <row r="48">
          <cell r="A48" t="str">
            <v>Sweet</v>
          </cell>
          <cell r="B48">
            <v>35</v>
          </cell>
          <cell r="D48" t="str">
            <v>AL40165</v>
          </cell>
          <cell r="E48">
            <v>13</v>
          </cell>
          <cell r="F48" t="str">
            <v>U20/5</v>
          </cell>
          <cell r="G48">
            <v>27</v>
          </cell>
          <cell r="H48">
            <v>0.23139999999999999</v>
          </cell>
          <cell r="I48" t="e">
            <v>#N/A</v>
          </cell>
          <cell r="J48" t="str">
            <v xml:space="preserve"> Emballage-Adhésif</v>
          </cell>
          <cell r="K48">
            <v>4.6280000000000001</v>
          </cell>
          <cell r="M48" t="str">
            <v>AL40133</v>
          </cell>
          <cell r="N48">
            <v>319</v>
          </cell>
          <cell r="O48">
            <v>43</v>
          </cell>
          <cell r="P48">
            <v>0.11878453038674033</v>
          </cell>
          <cell r="Q48">
            <v>27</v>
          </cell>
        </row>
        <row r="49">
          <cell r="A49" t="str">
            <v>NOCE</v>
          </cell>
          <cell r="B49">
            <v>36</v>
          </cell>
          <cell r="D49" t="str">
            <v>AL40200</v>
          </cell>
          <cell r="E49">
            <v>13</v>
          </cell>
          <cell r="F49" t="str">
            <v>U20/5</v>
          </cell>
          <cell r="G49">
            <v>29</v>
          </cell>
          <cell r="H49">
            <v>0.2535</v>
          </cell>
          <cell r="I49" t="e">
            <v>#N/A</v>
          </cell>
          <cell r="J49" t="str">
            <v xml:space="preserve"> Emballage-Adhésif</v>
          </cell>
          <cell r="K49">
            <v>5.07</v>
          </cell>
          <cell r="M49" t="str">
            <v>AL40165</v>
          </cell>
          <cell r="N49">
            <v>639</v>
          </cell>
          <cell r="O49">
            <v>158</v>
          </cell>
          <cell r="P49">
            <v>0.19824341279799249</v>
          </cell>
          <cell r="Q49">
            <v>73.444444444444443</v>
          </cell>
        </row>
        <row r="50">
          <cell r="A50" t="str">
            <v>R5015</v>
          </cell>
          <cell r="B50">
            <v>36.5</v>
          </cell>
          <cell r="D50" t="str">
            <v>AL40202</v>
          </cell>
          <cell r="E50">
            <v>13</v>
          </cell>
          <cell r="F50" t="str">
            <v>U20/5</v>
          </cell>
          <cell r="G50">
            <v>134</v>
          </cell>
          <cell r="H50">
            <v>0.24082499999999998</v>
          </cell>
          <cell r="I50" t="e">
            <v>#N/A</v>
          </cell>
          <cell r="J50" t="str">
            <v xml:space="preserve"> Emballage-Adhésif</v>
          </cell>
          <cell r="K50">
            <v>4.8164999999999996</v>
          </cell>
          <cell r="M50" t="str">
            <v>AL40200</v>
          </cell>
          <cell r="N50">
            <v>360</v>
          </cell>
          <cell r="O50">
            <v>47</v>
          </cell>
          <cell r="P50">
            <v>0.11547911547911548</v>
          </cell>
          <cell r="Q50">
            <v>92.125</v>
          </cell>
        </row>
        <row r="51">
          <cell r="A51" t="str">
            <v>NOIR</v>
          </cell>
          <cell r="B51">
            <v>37</v>
          </cell>
          <cell r="D51" t="str">
            <v>AL80104</v>
          </cell>
          <cell r="E51">
            <v>13</v>
          </cell>
          <cell r="F51" t="str">
            <v>U20/5</v>
          </cell>
          <cell r="G51">
            <v>126</v>
          </cell>
          <cell r="H51">
            <v>0.20864999999999997</v>
          </cell>
          <cell r="I51" t="e">
            <v>#N/A</v>
          </cell>
          <cell r="J51" t="str">
            <v xml:space="preserve"> Emballage-Adhésif</v>
          </cell>
          <cell r="K51">
            <v>4.173</v>
          </cell>
          <cell r="M51" t="str">
            <v>AL80104</v>
          </cell>
          <cell r="N51">
            <v>148</v>
          </cell>
          <cell r="O51">
            <v>38</v>
          </cell>
          <cell r="P51">
            <v>0.20430107526881722</v>
          </cell>
          <cell r="Q51">
            <v>17.5</v>
          </cell>
        </row>
        <row r="52">
          <cell r="A52" t="str">
            <v>R9005BR</v>
          </cell>
          <cell r="B52">
            <v>37.5</v>
          </cell>
          <cell r="D52" t="str">
            <v>AL80105</v>
          </cell>
          <cell r="E52">
            <v>13</v>
          </cell>
          <cell r="F52" t="str">
            <v>U20/5</v>
          </cell>
          <cell r="G52">
            <v>56</v>
          </cell>
          <cell r="H52">
            <v>0.17615</v>
          </cell>
          <cell r="I52" t="e">
            <v>#N/A</v>
          </cell>
          <cell r="J52" t="str">
            <v xml:space="preserve"> Emballage-Adhésif</v>
          </cell>
          <cell r="K52">
            <v>3.5230000000000001</v>
          </cell>
          <cell r="M52" t="str">
            <v>AL80105</v>
          </cell>
          <cell r="N52">
            <v>164</v>
          </cell>
          <cell r="O52">
            <v>16</v>
          </cell>
          <cell r="P52">
            <v>8.8888888888888892E-2</v>
          </cell>
          <cell r="Q52">
            <v>19.571428571428573</v>
          </cell>
        </row>
        <row r="53">
          <cell r="A53" t="str">
            <v>DARK</v>
          </cell>
          <cell r="B53">
            <v>38</v>
          </cell>
          <cell r="D53" t="str">
            <v>AL80106</v>
          </cell>
          <cell r="E53">
            <v>15</v>
          </cell>
          <cell r="F53" t="str">
            <v>BV15</v>
          </cell>
          <cell r="G53">
            <v>67</v>
          </cell>
          <cell r="H53">
            <v>0.19597499999999995</v>
          </cell>
          <cell r="I53" t="e">
            <v>#N/A</v>
          </cell>
          <cell r="J53" t="str">
            <v xml:space="preserve"> Emballage-Adhésif</v>
          </cell>
          <cell r="K53">
            <v>3.9194999999999998</v>
          </cell>
          <cell r="M53" t="str">
            <v>AL80106</v>
          </cell>
          <cell r="N53">
            <v>307</v>
          </cell>
          <cell r="O53">
            <v>45</v>
          </cell>
          <cell r="P53">
            <v>0.12784090909090909</v>
          </cell>
          <cell r="Q53">
            <v>28.333333333333332</v>
          </cell>
        </row>
        <row r="54">
          <cell r="A54" t="str">
            <v>GAYA</v>
          </cell>
          <cell r="B54">
            <v>39</v>
          </cell>
          <cell r="D54" t="str">
            <v>AL80114</v>
          </cell>
          <cell r="E54">
            <v>20</v>
          </cell>
          <cell r="F54" t="str">
            <v>BZ20</v>
          </cell>
          <cell r="G54">
            <v>250</v>
          </cell>
          <cell r="H54" t="e">
            <v>#N/A</v>
          </cell>
          <cell r="I54" t="e">
            <v>#N/A</v>
          </cell>
          <cell r="J54" t="e">
            <v>#N/A</v>
          </cell>
          <cell r="K54">
            <v>2</v>
          </cell>
          <cell r="M54" t="str">
            <v>AL80114/1</v>
          </cell>
          <cell r="N54">
            <v>1227</v>
          </cell>
          <cell r="O54">
            <v>62</v>
          </cell>
          <cell r="P54">
            <v>4.8099301784328939E-2</v>
          </cell>
          <cell r="Q54">
            <v>54</v>
          </cell>
        </row>
        <row r="55">
          <cell r="A55" t="str">
            <v>R1014</v>
          </cell>
          <cell r="B55" t="str">
            <v>x</v>
          </cell>
          <cell r="D55" t="str">
            <v>AL80114/1</v>
          </cell>
          <cell r="E55">
            <v>20</v>
          </cell>
          <cell r="F55" t="str">
            <v>BH12</v>
          </cell>
          <cell r="G55">
            <v>30</v>
          </cell>
          <cell r="H55">
            <v>6.7275000000000001E-2</v>
          </cell>
          <cell r="I55" t="e">
            <v>#N/A</v>
          </cell>
          <cell r="J55" t="str">
            <v xml:space="preserve"> Emballage</v>
          </cell>
          <cell r="K55">
            <v>1.3454999999999999</v>
          </cell>
          <cell r="M55" t="str">
            <v>AL80120</v>
          </cell>
          <cell r="N55">
            <v>161</v>
          </cell>
          <cell r="O55">
            <v>381</v>
          </cell>
          <cell r="P55">
            <v>0.70295202952029523</v>
          </cell>
          <cell r="Q55">
            <v>7</v>
          </cell>
        </row>
        <row r="56">
          <cell r="A56" t="str">
            <v>R9015</v>
          </cell>
          <cell r="B56" t="str">
            <v>x</v>
          </cell>
          <cell r="D56" t="str">
            <v>AL80120</v>
          </cell>
          <cell r="E56">
            <v>12</v>
          </cell>
          <cell r="F56" t="str">
            <v>BZ20</v>
          </cell>
          <cell r="G56">
            <v>112</v>
          </cell>
          <cell r="H56">
            <v>0.2457</v>
          </cell>
          <cell r="I56" t="e">
            <v>#N/A</v>
          </cell>
          <cell r="J56" t="str">
            <v xml:space="preserve"> Emballage</v>
          </cell>
          <cell r="K56">
            <v>4.9139999999999997</v>
          </cell>
          <cell r="M56" t="str">
            <v>AL80121</v>
          </cell>
          <cell r="N56">
            <v>606</v>
          </cell>
          <cell r="O56">
            <v>43</v>
          </cell>
          <cell r="P56">
            <v>6.6255778120184905E-2</v>
          </cell>
          <cell r="Q56">
            <v>41.666666666666664</v>
          </cell>
        </row>
        <row r="57">
          <cell r="A57" t="str">
            <v>R7021</v>
          </cell>
          <cell r="B57">
            <v>31.5</v>
          </cell>
          <cell r="D57" t="str">
            <v>AL80121</v>
          </cell>
          <cell r="E57">
            <v>12</v>
          </cell>
          <cell r="F57" t="str">
            <v>BH12</v>
          </cell>
          <cell r="G57">
            <v>31</v>
          </cell>
          <cell r="H57">
            <v>0.29022500000000001</v>
          </cell>
          <cell r="I57" t="e">
            <v>#N/A</v>
          </cell>
          <cell r="J57" t="str">
            <v xml:space="preserve"> Emballage</v>
          </cell>
          <cell r="K57">
            <v>5.8045</v>
          </cell>
          <cell r="M57" t="str">
            <v>CSQ101</v>
          </cell>
          <cell r="N57">
            <v>0</v>
          </cell>
          <cell r="O57">
            <v>432</v>
          </cell>
          <cell r="P57">
            <v>1</v>
          </cell>
          <cell r="Q57">
            <v>44.777777777777779</v>
          </cell>
        </row>
        <row r="58">
          <cell r="A58" t="str">
            <v>R3020</v>
          </cell>
          <cell r="B58">
            <v>36.700000000000003</v>
          </cell>
          <cell r="D58" t="str">
            <v>ALL11026</v>
          </cell>
          <cell r="E58">
            <v>10</v>
          </cell>
          <cell r="F58" t="str">
            <v>BCS10</v>
          </cell>
          <cell r="G58">
            <v>250</v>
          </cell>
          <cell r="H58" t="e">
            <v>#N/A</v>
          </cell>
          <cell r="I58" t="e">
            <v>#N/A</v>
          </cell>
          <cell r="J58" t="e">
            <v>#N/A</v>
          </cell>
          <cell r="K58">
            <v>4</v>
          </cell>
          <cell r="M58" t="str">
            <v>CSQ102</v>
          </cell>
          <cell r="N58">
            <v>24</v>
          </cell>
          <cell r="O58">
            <v>1</v>
          </cell>
          <cell r="P58">
            <v>0.04</v>
          </cell>
          <cell r="Q58">
            <v>266.66666666666669</v>
          </cell>
        </row>
        <row r="59">
          <cell r="A59" t="str">
            <v>R7023G</v>
          </cell>
          <cell r="B59">
            <v>11.5</v>
          </cell>
          <cell r="D59" t="str">
            <v>ALL11142/1.1</v>
          </cell>
          <cell r="E59">
            <v>20</v>
          </cell>
          <cell r="F59" t="str">
            <v>BZ20</v>
          </cell>
          <cell r="G59">
            <v>117</v>
          </cell>
          <cell r="H59">
            <v>5.1699999999999996E-2</v>
          </cell>
          <cell r="I59" t="e">
            <v>#N/A</v>
          </cell>
          <cell r="J59" t="str">
            <v xml:space="preserve"> Emballage</v>
          </cell>
          <cell r="K59">
            <v>1.034</v>
          </cell>
          <cell r="M59" t="str">
            <v>CSQ103</v>
          </cell>
          <cell r="N59">
            <v>1502</v>
          </cell>
          <cell r="O59">
            <v>4</v>
          </cell>
          <cell r="P59">
            <v>2.6560424966799467E-3</v>
          </cell>
          <cell r="Q59">
            <v>153</v>
          </cell>
        </row>
        <row r="60">
          <cell r="A60" t="str">
            <v>R6002</v>
          </cell>
          <cell r="B60">
            <v>26.4</v>
          </cell>
          <cell r="D60" t="str">
            <v>ALL11144/1.2</v>
          </cell>
          <cell r="E60">
            <v>20</v>
          </cell>
          <cell r="F60" t="str">
            <v>BZ20</v>
          </cell>
          <cell r="G60">
            <v>59</v>
          </cell>
          <cell r="H60">
            <v>4.1299999999999996E-2</v>
          </cell>
          <cell r="I60" t="e">
            <v>#N/A</v>
          </cell>
          <cell r="J60" t="str">
            <v xml:space="preserve"> Emballage</v>
          </cell>
          <cell r="K60">
            <v>0.82599999999999996</v>
          </cell>
          <cell r="M60" t="str">
            <v>CSQ104</v>
          </cell>
          <cell r="N60">
            <v>218</v>
          </cell>
          <cell r="O60">
            <v>3</v>
          </cell>
          <cell r="P60">
            <v>1.3574660633484163E-2</v>
          </cell>
          <cell r="Q60">
            <v>230.63636363636363</v>
          </cell>
        </row>
        <row r="61">
          <cell r="A61" t="str">
            <v>R9006</v>
          </cell>
          <cell r="B61">
            <v>22.2</v>
          </cell>
          <cell r="D61" t="str">
            <v>ALL144/3</v>
          </cell>
          <cell r="E61">
            <v>10</v>
          </cell>
          <cell r="G61">
            <v>250</v>
          </cell>
          <cell r="K61">
            <v>4</v>
          </cell>
          <cell r="M61" t="str">
            <v>CSQ105</v>
          </cell>
          <cell r="N61">
            <v>397</v>
          </cell>
          <cell r="O61">
            <v>0</v>
          </cell>
          <cell r="P61">
            <v>0</v>
          </cell>
          <cell r="Q61">
            <v>233</v>
          </cell>
        </row>
        <row r="62">
          <cell r="A62" t="str">
            <v>R5012</v>
          </cell>
          <cell r="B62">
            <v>36.4</v>
          </cell>
          <cell r="D62" t="str">
            <v>ALL145/2.8</v>
          </cell>
          <cell r="E62">
            <v>17</v>
          </cell>
          <cell r="K62">
            <v>1.75</v>
          </cell>
          <cell r="M62" t="str">
            <v>CSQ106</v>
          </cell>
          <cell r="N62">
            <v>17</v>
          </cell>
          <cell r="O62">
            <v>13</v>
          </cell>
          <cell r="P62">
            <v>0.43333333333333335</v>
          </cell>
          <cell r="Q62">
            <v>254.1</v>
          </cell>
        </row>
        <row r="63">
          <cell r="A63" t="str">
            <v>BRZ</v>
          </cell>
          <cell r="B63">
            <v>11.5</v>
          </cell>
          <cell r="D63" t="str">
            <v>ALL213/1.5</v>
          </cell>
          <cell r="E63">
            <v>20</v>
          </cell>
          <cell r="F63" t="str">
            <v>BZ30</v>
          </cell>
          <cell r="G63">
            <v>250</v>
          </cell>
          <cell r="H63">
            <v>0.30809999999999998</v>
          </cell>
          <cell r="I63" t="e">
            <v>#N/A</v>
          </cell>
          <cell r="J63" t="str">
            <v xml:space="preserve"> Emballage</v>
          </cell>
          <cell r="K63">
            <v>6.1619999999999999</v>
          </cell>
          <cell r="M63" t="str">
            <v>CSQ107</v>
          </cell>
          <cell r="N63">
            <v>0</v>
          </cell>
          <cell r="O63">
            <v>1</v>
          </cell>
          <cell r="P63">
            <v>1</v>
          </cell>
          <cell r="Q63">
            <v>88.111111111111114</v>
          </cell>
        </row>
        <row r="64">
          <cell r="A64" t="str">
            <v>BEECH</v>
          </cell>
          <cell r="B64">
            <v>15.3</v>
          </cell>
          <cell r="D64" t="str">
            <v>ALL244/1.2</v>
          </cell>
          <cell r="E64">
            <v>13</v>
          </cell>
          <cell r="F64" t="str">
            <v>U20/5</v>
          </cell>
          <cell r="G64">
            <v>78</v>
          </cell>
          <cell r="H64">
            <v>0.16314999999999999</v>
          </cell>
          <cell r="I64" t="e">
            <v>#N/A</v>
          </cell>
          <cell r="J64" t="str">
            <v xml:space="preserve"> Emballage</v>
          </cell>
          <cell r="K64">
            <v>3.2629999999999999</v>
          </cell>
          <cell r="M64" t="str">
            <v>CSQ201</v>
          </cell>
          <cell r="N64">
            <v>315</v>
          </cell>
          <cell r="O64">
            <v>10</v>
          </cell>
          <cell r="P64">
            <v>3.0769230769230771E-2</v>
          </cell>
          <cell r="Q64">
            <v>4</v>
          </cell>
        </row>
        <row r="65">
          <cell r="A65" t="str">
            <v>ABRONZE</v>
          </cell>
          <cell r="B65">
            <v>11.4</v>
          </cell>
          <cell r="D65" t="str">
            <v>ALL349/1.5</v>
          </cell>
          <cell r="E65">
            <v>10</v>
          </cell>
          <cell r="G65">
            <v>250</v>
          </cell>
          <cell r="K65">
            <v>4</v>
          </cell>
          <cell r="M65" t="str">
            <v>CSQ108</v>
          </cell>
          <cell r="N65">
            <v>173</v>
          </cell>
          <cell r="O65">
            <v>0</v>
          </cell>
          <cell r="P65">
            <v>0</v>
          </cell>
          <cell r="Q65">
            <v>46.111111111111114</v>
          </cell>
        </row>
        <row r="66">
          <cell r="D66" t="str">
            <v>BL771</v>
          </cell>
          <cell r="E66">
            <v>6</v>
          </cell>
          <cell r="K66">
            <v>14.7</v>
          </cell>
          <cell r="M66" t="str">
            <v>CSQ110</v>
          </cell>
          <cell r="N66">
            <v>109</v>
          </cell>
          <cell r="O66">
            <v>0</v>
          </cell>
          <cell r="P66">
            <v>0</v>
          </cell>
          <cell r="Q66">
            <v>74.166666666666671</v>
          </cell>
        </row>
        <row r="67">
          <cell r="D67" t="str">
            <v>BL774</v>
          </cell>
          <cell r="E67">
            <v>20</v>
          </cell>
          <cell r="K67">
            <v>1.0049999999999999</v>
          </cell>
          <cell r="M67" t="str">
            <v>CSQ114</v>
          </cell>
          <cell r="N67">
            <v>639</v>
          </cell>
          <cell r="O67">
            <v>28</v>
          </cell>
          <cell r="P67">
            <v>4.1979010494752625E-2</v>
          </cell>
          <cell r="Q67">
            <v>351.33333333333331</v>
          </cell>
        </row>
        <row r="68">
          <cell r="D68" t="str">
            <v>BL783</v>
          </cell>
          <cell r="E68">
            <v>20</v>
          </cell>
          <cell r="K68">
            <v>0.42</v>
          </cell>
          <cell r="M68" t="str">
            <v>CSQ116</v>
          </cell>
          <cell r="N68">
            <v>24</v>
          </cell>
          <cell r="O68">
            <v>3760</v>
          </cell>
          <cell r="P68">
            <v>0.9936575052854123</v>
          </cell>
          <cell r="Q68">
            <v>175.55555555555554</v>
          </cell>
        </row>
        <row r="69">
          <cell r="A69" t="str">
            <v>WALID BEN AROUS</v>
          </cell>
          <cell r="B69" t="str">
            <v>à ne pas mettre les détails</v>
          </cell>
          <cell r="D69" t="str">
            <v>BL784</v>
          </cell>
          <cell r="E69">
            <v>20</v>
          </cell>
          <cell r="K69">
            <v>0.28499999999999998</v>
          </cell>
          <cell r="M69" t="str">
            <v>CSQ304</v>
          </cell>
          <cell r="N69">
            <v>487</v>
          </cell>
          <cell r="O69">
            <v>36</v>
          </cell>
          <cell r="P69">
            <v>6.8833652007648183E-2</v>
          </cell>
          <cell r="Q69">
            <v>5.666666666666667</v>
          </cell>
        </row>
        <row r="70">
          <cell r="D70" t="str">
            <v>BL785</v>
          </cell>
          <cell r="E70">
            <v>20</v>
          </cell>
          <cell r="K70">
            <v>0.28499999999999998</v>
          </cell>
          <cell r="M70" t="str">
            <v>CSQ305</v>
          </cell>
          <cell r="N70">
            <v>707</v>
          </cell>
          <cell r="O70">
            <v>7</v>
          </cell>
          <cell r="P70">
            <v>9.8039215686274508E-3</v>
          </cell>
          <cell r="Q70">
            <v>174.77777777777777</v>
          </cell>
        </row>
        <row r="71">
          <cell r="D71" t="str">
            <v>C-04340</v>
          </cell>
          <cell r="E71">
            <v>10</v>
          </cell>
          <cell r="G71">
            <v>250</v>
          </cell>
          <cell r="K71">
            <v>4</v>
          </cell>
          <cell r="M71" t="str">
            <v>CSQ306</v>
          </cell>
          <cell r="N71">
            <v>0</v>
          </cell>
          <cell r="O71">
            <v>1</v>
          </cell>
          <cell r="P71">
            <v>1</v>
          </cell>
          <cell r="Q71">
            <v>65.8</v>
          </cell>
        </row>
        <row r="72">
          <cell r="D72" t="str">
            <v>C-11132</v>
          </cell>
          <cell r="E72">
            <v>20</v>
          </cell>
          <cell r="K72">
            <v>1</v>
          </cell>
          <cell r="M72" t="str">
            <v>CSQ124</v>
          </cell>
          <cell r="N72">
            <v>308</v>
          </cell>
          <cell r="O72">
            <v>6</v>
          </cell>
          <cell r="P72">
            <v>1.9108280254777069E-2</v>
          </cell>
          <cell r="Q72">
            <v>6.833333333333333</v>
          </cell>
        </row>
        <row r="73">
          <cell r="D73" t="str">
            <v>C-15286</v>
          </cell>
          <cell r="E73">
            <v>13</v>
          </cell>
          <cell r="F73" t="str">
            <v>U20/5</v>
          </cell>
          <cell r="G73">
            <v>250</v>
          </cell>
          <cell r="H73" t="e">
            <v>#N/A</v>
          </cell>
          <cell r="I73" t="e">
            <v>#N/A</v>
          </cell>
          <cell r="J73" t="e">
            <v>#N/A</v>
          </cell>
          <cell r="K73">
            <v>3</v>
          </cell>
          <cell r="M73" t="str">
            <v>CSQ125</v>
          </cell>
          <cell r="N73">
            <v>538</v>
          </cell>
          <cell r="O73">
            <v>7</v>
          </cell>
          <cell r="P73">
            <v>1.2844036697247707E-2</v>
          </cell>
          <cell r="Q73">
            <v>5.8</v>
          </cell>
        </row>
        <row r="74">
          <cell r="D74" t="str">
            <v>C-40104</v>
          </cell>
          <cell r="E74">
            <v>13</v>
          </cell>
          <cell r="F74" t="str">
            <v>BZ20</v>
          </cell>
          <cell r="G74">
            <v>250</v>
          </cell>
          <cell r="H74" t="e">
            <v>#N/A</v>
          </cell>
          <cell r="I74" t="e">
            <v>#N/A</v>
          </cell>
          <cell r="J74" t="e">
            <v>#N/A</v>
          </cell>
          <cell r="K74">
            <v>3</v>
          </cell>
          <cell r="M74" t="str">
            <v>CSQ126</v>
          </cell>
          <cell r="N74">
            <v>51</v>
          </cell>
          <cell r="O74">
            <v>4</v>
          </cell>
          <cell r="P74">
            <v>7.2727272727272724E-2</v>
          </cell>
          <cell r="Q74">
            <v>29.666666666666668</v>
          </cell>
        </row>
        <row r="75">
          <cell r="D75" t="str">
            <v>C-40108</v>
          </cell>
          <cell r="E75">
            <v>20</v>
          </cell>
          <cell r="F75" t="str">
            <v>BZ20</v>
          </cell>
          <cell r="G75">
            <v>250</v>
          </cell>
          <cell r="H75" t="e">
            <v>#N/A</v>
          </cell>
          <cell r="I75" t="e">
            <v>#N/A</v>
          </cell>
          <cell r="J75" t="e">
            <v>#N/A</v>
          </cell>
          <cell r="K75">
            <v>4</v>
          </cell>
          <cell r="M75" t="str">
            <v>CSQ202</v>
          </cell>
          <cell r="N75">
            <v>1021</v>
          </cell>
          <cell r="O75">
            <v>3</v>
          </cell>
          <cell r="P75">
            <v>2.9296875E-3</v>
          </cell>
          <cell r="Q75">
            <v>75.333333333333329</v>
          </cell>
        </row>
        <row r="76">
          <cell r="D76" t="str">
            <v>C-40112</v>
          </cell>
          <cell r="E76">
            <v>14</v>
          </cell>
          <cell r="F76" t="str">
            <v>BZ14</v>
          </cell>
          <cell r="G76">
            <v>250</v>
          </cell>
          <cell r="H76" t="e">
            <v>#N/A</v>
          </cell>
          <cell r="I76" t="e">
            <v>#N/A</v>
          </cell>
          <cell r="J76" t="e">
            <v>#N/A</v>
          </cell>
          <cell r="K76">
            <v>3</v>
          </cell>
          <cell r="M76" t="str">
            <v>CSQ203</v>
          </cell>
          <cell r="N76">
            <v>899</v>
          </cell>
          <cell r="O76">
            <v>2</v>
          </cell>
          <cell r="P76">
            <v>2.2197558268590455E-3</v>
          </cell>
          <cell r="Q76">
            <v>53.2</v>
          </cell>
        </row>
        <row r="77">
          <cell r="D77" t="str">
            <v>C-40121</v>
          </cell>
          <cell r="E77">
            <v>9</v>
          </cell>
          <cell r="F77" t="str">
            <v>U20/5</v>
          </cell>
          <cell r="G77">
            <v>250</v>
          </cell>
          <cell r="H77" t="e">
            <v>#N/A</v>
          </cell>
          <cell r="I77" t="e">
            <v>#N/A</v>
          </cell>
          <cell r="J77" t="e">
            <v>#N/A</v>
          </cell>
          <cell r="K77">
            <v>2</v>
          </cell>
          <cell r="M77" t="str">
            <v>CSQ210</v>
          </cell>
          <cell r="N77">
            <v>442</v>
          </cell>
          <cell r="O77">
            <v>1</v>
          </cell>
          <cell r="P77">
            <v>2.257336343115124E-3</v>
          </cell>
          <cell r="Q77">
            <v>19</v>
          </cell>
        </row>
        <row r="78">
          <cell r="D78" t="str">
            <v>C-40123</v>
          </cell>
          <cell r="E78">
            <v>20</v>
          </cell>
          <cell r="F78" t="str">
            <v>BZ20</v>
          </cell>
          <cell r="G78">
            <v>250</v>
          </cell>
          <cell r="H78" t="e">
            <v>#N/A</v>
          </cell>
          <cell r="I78" t="e">
            <v>#N/A</v>
          </cell>
          <cell r="J78" t="e">
            <v>#N/A</v>
          </cell>
          <cell r="K78">
            <v>4</v>
          </cell>
          <cell r="M78" t="str">
            <v>CSQ300</v>
          </cell>
          <cell r="N78">
            <v>603</v>
          </cell>
          <cell r="O78">
            <v>10</v>
          </cell>
          <cell r="P78">
            <v>1.6313213703099509E-2</v>
          </cell>
          <cell r="Q78">
            <v>4</v>
          </cell>
        </row>
        <row r="79">
          <cell r="D79" t="str">
            <v>C-40125</v>
          </cell>
          <cell r="E79">
            <v>20</v>
          </cell>
          <cell r="F79" t="str">
            <v>BZ20</v>
          </cell>
          <cell r="G79">
            <v>250</v>
          </cell>
          <cell r="H79" t="e">
            <v>#N/A</v>
          </cell>
          <cell r="I79" t="e">
            <v>#N/A</v>
          </cell>
          <cell r="J79" t="e">
            <v>#N/A</v>
          </cell>
          <cell r="K79">
            <v>4</v>
          </cell>
          <cell r="M79" t="str">
            <v>CSQ301</v>
          </cell>
          <cell r="N79">
            <v>2555</v>
          </cell>
          <cell r="O79">
            <v>21</v>
          </cell>
          <cell r="P79">
            <v>8.152173913043478E-3</v>
          </cell>
          <cell r="Q79">
            <v>82.777777777777771</v>
          </cell>
        </row>
        <row r="80">
          <cell r="D80" t="str">
            <v>C-40149</v>
          </cell>
          <cell r="E80">
            <v>10</v>
          </cell>
          <cell r="G80">
            <v>250</v>
          </cell>
          <cell r="K80">
            <v>4</v>
          </cell>
          <cell r="M80" t="str">
            <v>CSQ302</v>
          </cell>
          <cell r="N80">
            <v>358</v>
          </cell>
          <cell r="O80">
            <v>1</v>
          </cell>
          <cell r="P80">
            <v>2.7855153203342618E-3</v>
          </cell>
          <cell r="Q80">
            <v>69</v>
          </cell>
        </row>
        <row r="81">
          <cell r="D81" t="str">
            <v>C-40150</v>
          </cell>
          <cell r="E81">
            <v>13</v>
          </cell>
          <cell r="F81" t="str">
            <v>U20/5</v>
          </cell>
          <cell r="G81">
            <v>250</v>
          </cell>
          <cell r="H81" t="e">
            <v>#N/A</v>
          </cell>
          <cell r="I81" t="e">
            <v>#N/A</v>
          </cell>
          <cell r="J81" t="e">
            <v>#N/A</v>
          </cell>
          <cell r="K81">
            <v>2</v>
          </cell>
          <cell r="M81" t="str">
            <v>CSQ303</v>
          </cell>
          <cell r="N81">
            <v>254</v>
          </cell>
          <cell r="O81">
            <v>14</v>
          </cell>
          <cell r="P81">
            <v>5.2238805970149252E-2</v>
          </cell>
          <cell r="Q81">
            <v>3.5</v>
          </cell>
        </row>
        <row r="82">
          <cell r="D82" t="str">
            <v>C-40154</v>
          </cell>
          <cell r="E82">
            <v>9</v>
          </cell>
          <cell r="F82" t="str">
            <v>U20/5</v>
          </cell>
          <cell r="G82">
            <v>250</v>
          </cell>
          <cell r="H82" t="e">
            <v>#N/A</v>
          </cell>
          <cell r="I82" t="e">
            <v>#N/A</v>
          </cell>
          <cell r="J82" t="e">
            <v>#N/A</v>
          </cell>
          <cell r="K82">
            <v>2</v>
          </cell>
          <cell r="M82" t="str">
            <v>CSQ153</v>
          </cell>
          <cell r="N82">
            <v>0</v>
          </cell>
          <cell r="O82">
            <v>0</v>
          </cell>
          <cell r="P82" t="e">
            <v>#DIV/0!</v>
          </cell>
          <cell r="Q82">
            <v>0</v>
          </cell>
        </row>
        <row r="83">
          <cell r="D83" t="str">
            <v>C-40161</v>
          </cell>
          <cell r="E83">
            <v>14</v>
          </cell>
          <cell r="F83" t="str">
            <v>BZ14</v>
          </cell>
          <cell r="G83">
            <v>250</v>
          </cell>
          <cell r="H83">
            <v>0.12479999999999999</v>
          </cell>
          <cell r="K83">
            <v>2.1840000000000002</v>
          </cell>
          <cell r="M83" t="str">
            <v>CSQ539</v>
          </cell>
          <cell r="N83">
            <v>210</v>
          </cell>
          <cell r="O83">
            <v>0</v>
          </cell>
          <cell r="P83">
            <v>0</v>
          </cell>
          <cell r="Q83">
            <v>0</v>
          </cell>
        </row>
        <row r="84">
          <cell r="D84" t="str">
            <v>C-40162</v>
          </cell>
          <cell r="E84">
            <v>14</v>
          </cell>
          <cell r="F84" t="str">
            <v>BZ14</v>
          </cell>
          <cell r="G84">
            <v>250</v>
          </cell>
          <cell r="H84" t="e">
            <v>#N/A</v>
          </cell>
          <cell r="I84" t="e">
            <v>#N/A</v>
          </cell>
          <cell r="J84" t="e">
            <v>#N/A</v>
          </cell>
          <cell r="K84">
            <v>3</v>
          </cell>
          <cell r="M84" t="str">
            <v>CSQ451</v>
          </cell>
          <cell r="N84">
            <v>90</v>
          </cell>
          <cell r="O84">
            <v>-90</v>
          </cell>
          <cell r="P84" t="e">
            <v>#DIV/0!</v>
          </cell>
          <cell r="Q84">
            <v>0</v>
          </cell>
        </row>
        <row r="85">
          <cell r="D85" t="str">
            <v>C-40163</v>
          </cell>
          <cell r="E85">
            <v>14</v>
          </cell>
          <cell r="F85" t="str">
            <v>BZ14</v>
          </cell>
          <cell r="G85">
            <v>250</v>
          </cell>
          <cell r="H85" t="e">
            <v>#N/A</v>
          </cell>
          <cell r="I85" t="e">
            <v>#N/A</v>
          </cell>
          <cell r="J85" t="e">
            <v>#N/A</v>
          </cell>
          <cell r="K85">
            <v>3</v>
          </cell>
          <cell r="M85" t="str">
            <v>CSQ106</v>
          </cell>
          <cell r="N85">
            <v>17</v>
          </cell>
          <cell r="O85">
            <v>13</v>
          </cell>
          <cell r="P85">
            <v>0.43333333333333335</v>
          </cell>
          <cell r="Q85">
            <v>0</v>
          </cell>
        </row>
        <row r="86">
          <cell r="D86" t="str">
            <v>C-40402</v>
          </cell>
          <cell r="E86">
            <v>13</v>
          </cell>
          <cell r="F86" t="str">
            <v>U20/5</v>
          </cell>
          <cell r="G86">
            <v>250</v>
          </cell>
          <cell r="H86" t="e">
            <v>#N/A</v>
          </cell>
          <cell r="I86" t="e">
            <v>#N/A</v>
          </cell>
          <cell r="J86" t="e">
            <v>#N/A</v>
          </cell>
          <cell r="K86">
            <v>2</v>
          </cell>
          <cell r="M86" t="str">
            <v>CSQ450</v>
          </cell>
          <cell r="N86">
            <v>139</v>
          </cell>
          <cell r="O86">
            <v>-139</v>
          </cell>
          <cell r="P86" t="e">
            <v>#DIV/0!</v>
          </cell>
          <cell r="Q86">
            <v>0</v>
          </cell>
        </row>
        <row r="87">
          <cell r="D87" t="str">
            <v>C-40406</v>
          </cell>
          <cell r="E87">
            <v>13</v>
          </cell>
          <cell r="F87" t="str">
            <v>U20/5</v>
          </cell>
          <cell r="G87">
            <v>250</v>
          </cell>
          <cell r="H87" t="e">
            <v>#N/A</v>
          </cell>
          <cell r="I87" t="e">
            <v>#N/A</v>
          </cell>
          <cell r="J87" t="e">
            <v>#N/A</v>
          </cell>
          <cell r="K87">
            <v>2</v>
          </cell>
          <cell r="M87" t="str">
            <v>EC22104</v>
          </cell>
          <cell r="N87">
            <v>276</v>
          </cell>
          <cell r="O87">
            <v>88</v>
          </cell>
          <cell r="P87">
            <v>0.24175824175824176</v>
          </cell>
          <cell r="Q87">
            <v>109.6</v>
          </cell>
        </row>
        <row r="88">
          <cell r="D88" t="str">
            <v>C-45AL1110</v>
          </cell>
          <cell r="E88">
            <v>10</v>
          </cell>
          <cell r="G88">
            <v>250</v>
          </cell>
          <cell r="K88">
            <v>4</v>
          </cell>
          <cell r="M88" t="str">
            <v>EC22106</v>
          </cell>
          <cell r="N88">
            <v>712</v>
          </cell>
          <cell r="O88">
            <v>425</v>
          </cell>
          <cell r="P88">
            <v>0.37379067722075637</v>
          </cell>
          <cell r="Q88">
            <v>180</v>
          </cell>
        </row>
        <row r="89">
          <cell r="D89" t="str">
            <v>C-45al1210</v>
          </cell>
          <cell r="E89">
            <v>10</v>
          </cell>
          <cell r="G89">
            <v>250</v>
          </cell>
          <cell r="K89">
            <v>4</v>
          </cell>
          <cell r="M89" t="str">
            <v>EC22112</v>
          </cell>
          <cell r="N89">
            <v>443</v>
          </cell>
          <cell r="O89">
            <v>136</v>
          </cell>
          <cell r="P89">
            <v>0.23488773747841105</v>
          </cell>
          <cell r="Q89">
            <v>56.111111111111114</v>
          </cell>
        </row>
        <row r="90">
          <cell r="D90" t="str">
            <v>C-45AL1512</v>
          </cell>
          <cell r="E90">
            <v>10</v>
          </cell>
          <cell r="G90">
            <v>250</v>
          </cell>
          <cell r="K90">
            <v>4</v>
          </cell>
          <cell r="M90" t="str">
            <v>EC40100</v>
          </cell>
          <cell r="N90">
            <v>442</v>
          </cell>
          <cell r="O90">
            <v>49</v>
          </cell>
          <cell r="P90">
            <v>9.9796334012219962E-2</v>
          </cell>
          <cell r="Q90">
            <v>2247.5454545454545</v>
          </cell>
        </row>
        <row r="91">
          <cell r="D91" t="str">
            <v>C-52003</v>
          </cell>
          <cell r="E91">
            <v>5</v>
          </cell>
          <cell r="F91" t="str">
            <v>U20/5</v>
          </cell>
          <cell r="G91">
            <v>250</v>
          </cell>
          <cell r="H91" t="e">
            <v>#N/A</v>
          </cell>
          <cell r="I91" t="e">
            <v>#N/A</v>
          </cell>
          <cell r="J91" t="e">
            <v>#N/A</v>
          </cell>
          <cell r="K91">
            <v>6</v>
          </cell>
          <cell r="M91" t="str">
            <v>EC40102</v>
          </cell>
          <cell r="N91">
            <v>6</v>
          </cell>
          <cell r="O91">
            <v>5</v>
          </cell>
          <cell r="P91">
            <v>0.45454545454545453</v>
          </cell>
          <cell r="Q91">
            <v>824.22222222222217</v>
          </cell>
        </row>
        <row r="92">
          <cell r="D92" t="str">
            <v>C-52006</v>
          </cell>
          <cell r="E92">
            <v>5</v>
          </cell>
          <cell r="F92" t="str">
            <v>U20/5</v>
          </cell>
          <cell r="G92">
            <v>250</v>
          </cell>
          <cell r="H92" t="e">
            <v>#N/A</v>
          </cell>
          <cell r="I92" t="e">
            <v>#N/A</v>
          </cell>
          <cell r="J92" t="e">
            <v>#N/A</v>
          </cell>
          <cell r="K92">
            <v>6</v>
          </cell>
          <cell r="M92" t="str">
            <v>EC40104</v>
          </cell>
          <cell r="N92">
            <v>57</v>
          </cell>
          <cell r="O92">
            <v>2</v>
          </cell>
          <cell r="P92">
            <v>3.3898305084745763E-2</v>
          </cell>
          <cell r="Q92">
            <v>150.71428571428572</v>
          </cell>
        </row>
        <row r="93">
          <cell r="D93" t="str">
            <v>C-52021</v>
          </cell>
          <cell r="E93">
            <v>10</v>
          </cell>
          <cell r="G93">
            <v>250</v>
          </cell>
          <cell r="K93">
            <v>4</v>
          </cell>
          <cell r="M93" t="str">
            <v>EC40107</v>
          </cell>
          <cell r="N93">
            <v>5246</v>
          </cell>
          <cell r="O93">
            <v>510</v>
          </cell>
          <cell r="P93">
            <v>8.8603196664350237E-2</v>
          </cell>
          <cell r="Q93">
            <v>423</v>
          </cell>
        </row>
        <row r="94">
          <cell r="D94" t="str">
            <v>C-60AL2110</v>
          </cell>
          <cell r="E94">
            <v>10</v>
          </cell>
          <cell r="G94">
            <v>250</v>
          </cell>
          <cell r="K94">
            <v>4</v>
          </cell>
          <cell r="M94" t="str">
            <v>EC40112</v>
          </cell>
          <cell r="N94">
            <v>19</v>
          </cell>
          <cell r="O94">
            <v>9</v>
          </cell>
          <cell r="P94">
            <v>0.32142857142857145</v>
          </cell>
          <cell r="Q94">
            <v>268.39999999999998</v>
          </cell>
        </row>
        <row r="95">
          <cell r="D95" t="str">
            <v>C-67103</v>
          </cell>
          <cell r="E95">
            <v>12</v>
          </cell>
          <cell r="F95" t="str">
            <v>BH12</v>
          </cell>
          <cell r="G95">
            <v>250</v>
          </cell>
          <cell r="H95" t="e">
            <v>#N/A</v>
          </cell>
          <cell r="I95" t="e">
            <v>#N/A</v>
          </cell>
          <cell r="J95" t="e">
            <v>#N/A</v>
          </cell>
          <cell r="K95">
            <v>2</v>
          </cell>
          <cell r="M95" t="str">
            <v>EC40121</v>
          </cell>
          <cell r="N95">
            <v>91</v>
          </cell>
          <cell r="O95">
            <v>0</v>
          </cell>
          <cell r="P95">
            <v>0</v>
          </cell>
          <cell r="Q95">
            <v>272.25</v>
          </cell>
        </row>
        <row r="96">
          <cell r="D96" t="str">
            <v>C-67104</v>
          </cell>
          <cell r="E96">
            <v>13</v>
          </cell>
          <cell r="F96" t="str">
            <v>U20/5</v>
          </cell>
          <cell r="G96">
            <v>250</v>
          </cell>
          <cell r="H96" t="e">
            <v>#N/A</v>
          </cell>
          <cell r="I96" t="e">
            <v>#N/A</v>
          </cell>
          <cell r="J96" t="e">
            <v>#N/A</v>
          </cell>
          <cell r="K96">
            <v>3</v>
          </cell>
          <cell r="M96" t="str">
            <v>EC40148</v>
          </cell>
          <cell r="N96">
            <v>180</v>
          </cell>
          <cell r="O96">
            <v>22</v>
          </cell>
          <cell r="P96">
            <v>0.10891089108910891</v>
          </cell>
          <cell r="Q96">
            <v>317.5</v>
          </cell>
        </row>
        <row r="97">
          <cell r="D97" t="str">
            <v>C-67105</v>
          </cell>
          <cell r="E97">
            <v>13</v>
          </cell>
          <cell r="F97" t="str">
            <v>U20/5</v>
          </cell>
          <cell r="G97">
            <v>250</v>
          </cell>
          <cell r="H97" t="e">
            <v>#N/A</v>
          </cell>
          <cell r="I97" t="e">
            <v>#N/A</v>
          </cell>
          <cell r="J97" t="e">
            <v>#N/A</v>
          </cell>
          <cell r="K97">
            <v>3</v>
          </cell>
          <cell r="M97" t="str">
            <v>EC40154</v>
          </cell>
          <cell r="N97">
            <v>287</v>
          </cell>
          <cell r="O97">
            <v>4</v>
          </cell>
          <cell r="P97">
            <v>1.3745704467353952E-2</v>
          </cell>
          <cell r="Q97">
            <v>102.83333333333333</v>
          </cell>
        </row>
        <row r="98">
          <cell r="D98" t="str">
            <v>C-67106</v>
          </cell>
          <cell r="E98">
            <v>15</v>
          </cell>
          <cell r="F98" t="str">
            <v>BV15</v>
          </cell>
          <cell r="G98">
            <v>250</v>
          </cell>
          <cell r="H98" t="e">
            <v>#N/A</v>
          </cell>
          <cell r="I98" t="e">
            <v>#N/A</v>
          </cell>
          <cell r="J98" t="e">
            <v>#N/A</v>
          </cell>
          <cell r="K98">
            <v>3</v>
          </cell>
          <cell r="M98" t="str">
            <v>EC40165</v>
          </cell>
          <cell r="N98">
            <v>0</v>
          </cell>
          <cell r="O98">
            <v>0</v>
          </cell>
          <cell r="P98" t="e">
            <v>#DIV/0!</v>
          </cell>
          <cell r="Q98">
            <v>0</v>
          </cell>
        </row>
        <row r="99">
          <cell r="D99" t="str">
            <v>C-67107</v>
          </cell>
          <cell r="E99">
            <v>20</v>
          </cell>
          <cell r="F99" t="str">
            <v>BZ20</v>
          </cell>
          <cell r="G99">
            <v>250</v>
          </cell>
          <cell r="H99" t="e">
            <v>#N/A</v>
          </cell>
          <cell r="I99" t="e">
            <v>#N/A</v>
          </cell>
          <cell r="J99" t="e">
            <v>#N/A</v>
          </cell>
          <cell r="K99">
            <v>2</v>
          </cell>
          <cell r="M99" t="str">
            <v>EC40166</v>
          </cell>
          <cell r="N99">
            <v>245</v>
          </cell>
          <cell r="O99">
            <v>7</v>
          </cell>
          <cell r="P99">
            <v>2.7777777777777776E-2</v>
          </cell>
          <cell r="Q99">
            <v>2305.5454545454545</v>
          </cell>
        </row>
        <row r="100">
          <cell r="D100" t="str">
            <v>C-67108</v>
          </cell>
          <cell r="E100">
            <v>20</v>
          </cell>
          <cell r="F100" t="str">
            <v>BZ20</v>
          </cell>
          <cell r="G100">
            <v>250</v>
          </cell>
          <cell r="H100" t="e">
            <v>#N/A</v>
          </cell>
          <cell r="I100" t="e">
            <v>#N/A</v>
          </cell>
          <cell r="J100" t="e">
            <v>#N/A</v>
          </cell>
          <cell r="K100">
            <v>2</v>
          </cell>
          <cell r="M100" t="str">
            <v>EC40402</v>
          </cell>
          <cell r="N100">
            <v>2283</v>
          </cell>
          <cell r="O100">
            <v>211</v>
          </cell>
          <cell r="P100">
            <v>8.4603047313552532E-2</v>
          </cell>
          <cell r="Q100">
            <v>1635.090909090909</v>
          </cell>
        </row>
        <row r="101">
          <cell r="D101" t="str">
            <v>C-67114</v>
          </cell>
          <cell r="E101">
            <v>20</v>
          </cell>
          <cell r="F101" t="str">
            <v>BZ20</v>
          </cell>
          <cell r="G101">
            <v>250</v>
          </cell>
          <cell r="H101" t="e">
            <v>#N/A</v>
          </cell>
          <cell r="I101" t="e">
            <v>#N/A</v>
          </cell>
          <cell r="J101" t="e">
            <v>#N/A</v>
          </cell>
          <cell r="K101">
            <v>2</v>
          </cell>
          <cell r="M101" t="str">
            <v>EC40404</v>
          </cell>
          <cell r="N101">
            <v>2357</v>
          </cell>
          <cell r="O101">
            <v>127</v>
          </cell>
          <cell r="P101">
            <v>5.112721417069243E-2</v>
          </cell>
          <cell r="Q101">
            <v>1288.0999999999999</v>
          </cell>
        </row>
        <row r="102">
          <cell r="D102" t="str">
            <v>C-6735</v>
          </cell>
          <cell r="E102">
            <v>14</v>
          </cell>
          <cell r="F102" t="str">
            <v>BZ14</v>
          </cell>
          <cell r="G102">
            <v>250</v>
          </cell>
          <cell r="H102" t="e">
            <v>#N/A</v>
          </cell>
          <cell r="I102" t="e">
            <v>#N/A</v>
          </cell>
          <cell r="J102" t="e">
            <v>#N/A</v>
          </cell>
          <cell r="K102">
            <v>3</v>
          </cell>
          <cell r="M102" t="str">
            <v>EC404042</v>
          </cell>
          <cell r="N102">
            <v>0</v>
          </cell>
          <cell r="O102">
            <v>0</v>
          </cell>
          <cell r="P102" t="e">
            <v>#DIV/0!</v>
          </cell>
          <cell r="Q102">
            <v>0</v>
          </cell>
        </row>
        <row r="103">
          <cell r="D103" t="str">
            <v>C-67350</v>
          </cell>
          <cell r="E103">
            <v>14</v>
          </cell>
          <cell r="F103" t="str">
            <v>BZ14</v>
          </cell>
          <cell r="G103">
            <v>250</v>
          </cell>
          <cell r="H103" t="e">
            <v>#N/A</v>
          </cell>
          <cell r="I103" t="e">
            <v>#N/A</v>
          </cell>
          <cell r="J103" t="e">
            <v>#N/A</v>
          </cell>
          <cell r="K103">
            <v>3</v>
          </cell>
          <cell r="M103" t="str">
            <v>EC404041</v>
          </cell>
          <cell r="N103">
            <v>0</v>
          </cell>
          <cell r="O103">
            <v>0</v>
          </cell>
          <cell r="P103" t="e">
            <v>#DIV/0!</v>
          </cell>
          <cell r="Q103">
            <v>0</v>
          </cell>
        </row>
        <row r="104">
          <cell r="D104" t="str">
            <v>C-6736</v>
          </cell>
          <cell r="E104">
            <v>14</v>
          </cell>
          <cell r="F104" t="str">
            <v>BZ14</v>
          </cell>
          <cell r="G104">
            <v>250</v>
          </cell>
          <cell r="H104" t="e">
            <v>#N/A</v>
          </cell>
          <cell r="I104" t="e">
            <v>#N/A</v>
          </cell>
          <cell r="J104" t="e">
            <v>#N/A</v>
          </cell>
          <cell r="K104">
            <v>2</v>
          </cell>
          <cell r="M104" t="str">
            <v>EC67101</v>
          </cell>
          <cell r="N104">
            <v>919</v>
          </cell>
          <cell r="O104">
            <v>196</v>
          </cell>
          <cell r="P104">
            <v>0.17578475336322871</v>
          </cell>
          <cell r="Q104">
            <v>200.44444444444446</v>
          </cell>
        </row>
        <row r="105">
          <cell r="D105" t="str">
            <v>C-AL40122</v>
          </cell>
          <cell r="E105">
            <v>9</v>
          </cell>
          <cell r="F105" t="str">
            <v>U20/5</v>
          </cell>
          <cell r="G105">
            <v>250</v>
          </cell>
          <cell r="H105" t="e">
            <v>#N/A</v>
          </cell>
          <cell r="I105" t="e">
            <v>#N/A</v>
          </cell>
          <cell r="J105" t="e">
            <v>#N/A</v>
          </cell>
          <cell r="K105">
            <v>2</v>
          </cell>
          <cell r="M105" t="str">
            <v>EC67102</v>
          </cell>
          <cell r="N105">
            <v>9</v>
          </cell>
          <cell r="O105">
            <v>1221</v>
          </cell>
          <cell r="P105">
            <v>0.99268292682926829</v>
          </cell>
          <cell r="Q105">
            <v>159.33333333333334</v>
          </cell>
        </row>
        <row r="106">
          <cell r="D106" t="str">
            <v>C-C701</v>
          </cell>
          <cell r="E106">
            <v>10</v>
          </cell>
          <cell r="G106">
            <v>250</v>
          </cell>
          <cell r="K106">
            <v>4</v>
          </cell>
          <cell r="M106" t="str">
            <v>EC67103</v>
          </cell>
          <cell r="N106">
            <v>683</v>
          </cell>
          <cell r="O106">
            <v>62</v>
          </cell>
          <cell r="P106">
            <v>8.3221476510067116E-2</v>
          </cell>
          <cell r="Q106">
            <v>720.75</v>
          </cell>
        </row>
        <row r="107">
          <cell r="D107" t="str">
            <v>C-C702</v>
          </cell>
          <cell r="E107">
            <v>10</v>
          </cell>
          <cell r="G107">
            <v>250</v>
          </cell>
          <cell r="K107">
            <v>4</v>
          </cell>
          <cell r="M107" t="str">
            <v>EC67104</v>
          </cell>
          <cell r="N107">
            <v>1227</v>
          </cell>
          <cell r="O107">
            <v>29</v>
          </cell>
          <cell r="P107">
            <v>2.3089171974522291E-2</v>
          </cell>
          <cell r="Q107">
            <v>409.875</v>
          </cell>
        </row>
        <row r="108">
          <cell r="D108" t="str">
            <v>C-C704</v>
          </cell>
          <cell r="E108">
            <v>10</v>
          </cell>
          <cell r="G108">
            <v>250</v>
          </cell>
          <cell r="K108">
            <v>4</v>
          </cell>
          <cell r="M108" t="str">
            <v>EC67105</v>
          </cell>
          <cell r="N108">
            <v>78</v>
          </cell>
          <cell r="O108">
            <v>169</v>
          </cell>
          <cell r="P108">
            <v>0.68421052631578949</v>
          </cell>
          <cell r="Q108">
            <v>520.63636363636363</v>
          </cell>
        </row>
        <row r="109">
          <cell r="D109" t="str">
            <v>C-C707</v>
          </cell>
          <cell r="E109">
            <v>10</v>
          </cell>
          <cell r="G109">
            <v>250</v>
          </cell>
          <cell r="K109">
            <v>4</v>
          </cell>
          <cell r="M109" t="str">
            <v>EC67106</v>
          </cell>
          <cell r="N109">
            <v>0</v>
          </cell>
          <cell r="O109">
            <v>52</v>
          </cell>
          <cell r="P109">
            <v>1</v>
          </cell>
          <cell r="Q109">
            <v>517.5</v>
          </cell>
        </row>
        <row r="110">
          <cell r="D110" t="str">
            <v>C-Cache GS</v>
          </cell>
          <cell r="E110">
            <v>20</v>
          </cell>
          <cell r="K110">
            <v>1</v>
          </cell>
          <cell r="M110" t="str">
            <v>EC80104</v>
          </cell>
          <cell r="N110">
            <v>0</v>
          </cell>
          <cell r="O110">
            <v>358</v>
          </cell>
          <cell r="P110">
            <v>1</v>
          </cell>
          <cell r="Q110">
            <v>5</v>
          </cell>
        </row>
        <row r="111">
          <cell r="D111" t="str">
            <v>C-CO107</v>
          </cell>
          <cell r="E111">
            <v>10</v>
          </cell>
          <cell r="G111">
            <v>250</v>
          </cell>
          <cell r="K111">
            <v>4</v>
          </cell>
          <cell r="M111" t="str">
            <v>EC80105</v>
          </cell>
          <cell r="N111">
            <v>169</v>
          </cell>
          <cell r="O111">
            <v>152</v>
          </cell>
          <cell r="P111">
            <v>0.4735202492211838</v>
          </cell>
          <cell r="Q111">
            <v>0</v>
          </cell>
        </row>
        <row r="112">
          <cell r="D112" t="str">
            <v>C-CO108</v>
          </cell>
          <cell r="E112">
            <v>10</v>
          </cell>
          <cell r="G112">
            <v>250</v>
          </cell>
          <cell r="K112">
            <v>4</v>
          </cell>
          <cell r="M112" t="str">
            <v>EC80106</v>
          </cell>
          <cell r="N112">
            <v>114</v>
          </cell>
          <cell r="O112">
            <v>168</v>
          </cell>
          <cell r="P112">
            <v>0.5957446808510638</v>
          </cell>
          <cell r="Q112">
            <v>0</v>
          </cell>
        </row>
        <row r="113">
          <cell r="D113" t="str">
            <v>C-COR20*20</v>
          </cell>
          <cell r="E113">
            <v>10</v>
          </cell>
          <cell r="G113">
            <v>250</v>
          </cell>
          <cell r="K113">
            <v>4</v>
          </cell>
          <cell r="M113" t="str">
            <v>EC80114</v>
          </cell>
          <cell r="N113">
            <v>238</v>
          </cell>
          <cell r="O113">
            <v>165</v>
          </cell>
          <cell r="P113">
            <v>0.40942928039702231</v>
          </cell>
          <cell r="Q113">
            <v>0</v>
          </cell>
        </row>
        <row r="114">
          <cell r="D114" t="str">
            <v>C-COR25X25</v>
          </cell>
          <cell r="E114">
            <v>10</v>
          </cell>
          <cell r="K114">
            <v>4</v>
          </cell>
          <cell r="M114" t="str">
            <v>EC80120</v>
          </cell>
          <cell r="N114">
            <v>0</v>
          </cell>
          <cell r="O114">
            <v>100</v>
          </cell>
          <cell r="P114">
            <v>1</v>
          </cell>
          <cell r="Q114">
            <v>3</v>
          </cell>
        </row>
        <row r="115">
          <cell r="D115" t="str">
            <v>C-COR30X30</v>
          </cell>
          <cell r="E115">
            <v>10</v>
          </cell>
          <cell r="K115">
            <v>4</v>
          </cell>
          <cell r="M115" t="str">
            <v>EC80121</v>
          </cell>
          <cell r="N115">
            <v>0</v>
          </cell>
          <cell r="O115">
            <v>2</v>
          </cell>
          <cell r="P115">
            <v>1</v>
          </cell>
          <cell r="Q115">
            <v>4</v>
          </cell>
        </row>
        <row r="116">
          <cell r="D116" t="str">
            <v>C-COR40X40</v>
          </cell>
          <cell r="E116">
            <v>10</v>
          </cell>
          <cell r="K116">
            <v>4</v>
          </cell>
          <cell r="M116" t="str">
            <v>FR100</v>
          </cell>
          <cell r="N116">
            <v>263</v>
          </cell>
          <cell r="O116">
            <v>88</v>
          </cell>
          <cell r="P116">
            <v>0.25071225071225073</v>
          </cell>
          <cell r="Q116">
            <v>812.5</v>
          </cell>
        </row>
        <row r="117">
          <cell r="D117" t="str">
            <v>C-EX451111</v>
          </cell>
          <cell r="E117">
            <v>10</v>
          </cell>
          <cell r="G117">
            <v>250</v>
          </cell>
          <cell r="K117">
            <v>4</v>
          </cell>
          <cell r="M117" t="str">
            <v>FR102</v>
          </cell>
          <cell r="N117">
            <v>0</v>
          </cell>
          <cell r="O117">
            <v>135</v>
          </cell>
          <cell r="P117">
            <v>1</v>
          </cell>
          <cell r="Q117">
            <v>201.6</v>
          </cell>
        </row>
        <row r="118">
          <cell r="D118" t="str">
            <v>C-EX451113</v>
          </cell>
          <cell r="E118">
            <v>10</v>
          </cell>
          <cell r="G118">
            <v>250</v>
          </cell>
          <cell r="K118">
            <v>4</v>
          </cell>
          <cell r="M118" t="str">
            <v>FR104</v>
          </cell>
          <cell r="N118">
            <v>3</v>
          </cell>
          <cell r="O118">
            <v>13</v>
          </cell>
          <cell r="P118">
            <v>0.8125</v>
          </cell>
          <cell r="Q118">
            <v>105.625</v>
          </cell>
        </row>
        <row r="119">
          <cell r="D119" t="str">
            <v>C-EX451120</v>
          </cell>
          <cell r="E119">
            <v>14</v>
          </cell>
          <cell r="F119" t="str">
            <v>BZ14</v>
          </cell>
          <cell r="G119">
            <v>250</v>
          </cell>
          <cell r="K119">
            <v>4</v>
          </cell>
          <cell r="M119" t="str">
            <v>FR107</v>
          </cell>
          <cell r="N119">
            <v>67</v>
          </cell>
          <cell r="O119">
            <v>272</v>
          </cell>
          <cell r="P119">
            <v>0.80235988200589969</v>
          </cell>
          <cell r="Q119">
            <v>15.4</v>
          </cell>
        </row>
        <row r="120">
          <cell r="D120" t="str">
            <v>C-EX451121</v>
          </cell>
          <cell r="E120">
            <v>14</v>
          </cell>
          <cell r="F120" t="str">
            <v>BZ14</v>
          </cell>
          <cell r="G120">
            <v>250</v>
          </cell>
          <cell r="K120">
            <v>4</v>
          </cell>
          <cell r="M120" t="str">
            <v>FR108</v>
          </cell>
          <cell r="N120">
            <v>1058</v>
          </cell>
          <cell r="O120">
            <v>29</v>
          </cell>
          <cell r="P120">
            <v>2.6678932842686291E-2</v>
          </cell>
          <cell r="Q120">
            <v>67</v>
          </cell>
        </row>
        <row r="121">
          <cell r="D121" t="str">
            <v>C-EX451124</v>
          </cell>
          <cell r="E121">
            <v>10</v>
          </cell>
          <cell r="G121">
            <v>250</v>
          </cell>
          <cell r="K121">
            <v>4</v>
          </cell>
          <cell r="M121" t="str">
            <v>FR110</v>
          </cell>
          <cell r="N121">
            <v>142</v>
          </cell>
          <cell r="O121">
            <v>21</v>
          </cell>
          <cell r="P121">
            <v>0.12883435582822086</v>
          </cell>
          <cell r="Q121">
            <v>52.125</v>
          </cell>
        </row>
        <row r="122">
          <cell r="D122" t="str">
            <v>C-EX451313</v>
          </cell>
          <cell r="E122">
            <v>10</v>
          </cell>
          <cell r="G122">
            <v>250</v>
          </cell>
          <cell r="K122">
            <v>4</v>
          </cell>
          <cell r="M122" t="str">
            <v>FR111</v>
          </cell>
          <cell r="N122">
            <v>5</v>
          </cell>
          <cell r="O122">
            <v>64</v>
          </cell>
          <cell r="P122">
            <v>0.92753623188405798</v>
          </cell>
          <cell r="Q122">
            <v>341.625</v>
          </cell>
        </row>
        <row r="123">
          <cell r="D123" t="str">
            <v>C-EX451315</v>
          </cell>
          <cell r="E123">
            <v>10</v>
          </cell>
          <cell r="G123">
            <v>250</v>
          </cell>
          <cell r="K123">
            <v>4</v>
          </cell>
          <cell r="M123" t="str">
            <v>FR112</v>
          </cell>
          <cell r="N123">
            <v>7</v>
          </cell>
          <cell r="O123">
            <v>17</v>
          </cell>
          <cell r="P123">
            <v>0.70833333333333337</v>
          </cell>
          <cell r="Q123">
            <v>110.9</v>
          </cell>
        </row>
        <row r="124">
          <cell r="D124" t="str">
            <v>C-EX451320</v>
          </cell>
          <cell r="E124">
            <v>10</v>
          </cell>
          <cell r="G124">
            <v>250</v>
          </cell>
          <cell r="K124">
            <v>4</v>
          </cell>
          <cell r="M124" t="str">
            <v>FR121</v>
          </cell>
          <cell r="N124">
            <v>0</v>
          </cell>
          <cell r="O124">
            <v>56</v>
          </cell>
          <cell r="P124">
            <v>1</v>
          </cell>
          <cell r="Q124">
            <v>108.8</v>
          </cell>
        </row>
        <row r="125">
          <cell r="D125" t="str">
            <v>C-EX451411</v>
          </cell>
          <cell r="E125">
            <v>10</v>
          </cell>
          <cell r="G125">
            <v>250</v>
          </cell>
          <cell r="K125">
            <v>4</v>
          </cell>
          <cell r="M125" t="str">
            <v>FR127</v>
          </cell>
          <cell r="N125">
            <v>17</v>
          </cell>
          <cell r="O125">
            <v>30</v>
          </cell>
          <cell r="P125">
            <v>0.63829787234042556</v>
          </cell>
          <cell r="Q125">
            <v>25.571428571428573</v>
          </cell>
        </row>
        <row r="126">
          <cell r="D126" t="str">
            <v>C-EX602112</v>
          </cell>
          <cell r="E126">
            <v>10</v>
          </cell>
          <cell r="G126">
            <v>250</v>
          </cell>
          <cell r="K126">
            <v>4</v>
          </cell>
          <cell r="M126" t="str">
            <v>FR133</v>
          </cell>
          <cell r="N126">
            <v>219</v>
          </cell>
          <cell r="O126">
            <v>83</v>
          </cell>
          <cell r="P126">
            <v>0.27483443708609273</v>
          </cell>
          <cell r="Q126">
            <v>40.25</v>
          </cell>
        </row>
        <row r="127">
          <cell r="D127" t="str">
            <v>C-EX602210</v>
          </cell>
          <cell r="E127">
            <v>15</v>
          </cell>
          <cell r="F127" t="str">
            <v>BV15</v>
          </cell>
          <cell r="G127">
            <v>250</v>
          </cell>
          <cell r="H127" t="e">
            <v>#N/A</v>
          </cell>
          <cell r="I127" t="e">
            <v>#N/A</v>
          </cell>
          <cell r="J127" t="e">
            <v>#N/A</v>
          </cell>
          <cell r="K127">
            <v>4</v>
          </cell>
          <cell r="M127" t="str">
            <v>FR135</v>
          </cell>
          <cell r="N127">
            <v>12</v>
          </cell>
          <cell r="O127">
            <v>39</v>
          </cell>
          <cell r="P127">
            <v>0.76470588235294112</v>
          </cell>
          <cell r="Q127">
            <v>99</v>
          </cell>
        </row>
        <row r="128">
          <cell r="D128" t="str">
            <v>C-EX602211</v>
          </cell>
          <cell r="E128">
            <v>10</v>
          </cell>
          <cell r="G128">
            <v>250</v>
          </cell>
          <cell r="K128">
            <v>4</v>
          </cell>
          <cell r="M128" t="str">
            <v>FR139</v>
          </cell>
          <cell r="N128">
            <v>1978</v>
          </cell>
          <cell r="O128">
            <v>186</v>
          </cell>
          <cell r="P128">
            <v>8.595194085027727E-2</v>
          </cell>
          <cell r="Q128">
            <v>1480</v>
          </cell>
        </row>
        <row r="129">
          <cell r="D129" t="str">
            <v>C-EX602212</v>
          </cell>
          <cell r="E129">
            <v>13</v>
          </cell>
          <cell r="F129" t="str">
            <v>U20/5</v>
          </cell>
          <cell r="G129">
            <v>250</v>
          </cell>
          <cell r="H129" t="e">
            <v>#N/A</v>
          </cell>
          <cell r="I129" t="e">
            <v>#N/A</v>
          </cell>
          <cell r="J129" t="e">
            <v>#N/A</v>
          </cell>
          <cell r="K129">
            <v>3</v>
          </cell>
          <cell r="M129" t="str">
            <v>FR147</v>
          </cell>
          <cell r="N129">
            <v>4</v>
          </cell>
          <cell r="O129">
            <v>0</v>
          </cell>
          <cell r="P129">
            <v>0</v>
          </cell>
          <cell r="Q129">
            <v>0</v>
          </cell>
        </row>
        <row r="130">
          <cell r="D130" t="str">
            <v>C-FERMETURE</v>
          </cell>
          <cell r="E130">
            <v>10</v>
          </cell>
          <cell r="G130">
            <v>250</v>
          </cell>
          <cell r="K130">
            <v>4</v>
          </cell>
          <cell r="M130" t="str">
            <v>FR148</v>
          </cell>
          <cell r="N130">
            <v>2</v>
          </cell>
          <cell r="O130">
            <v>1</v>
          </cell>
          <cell r="P130">
            <v>0.33333333333333331</v>
          </cell>
          <cell r="Q130">
            <v>92.285714285714292</v>
          </cell>
        </row>
        <row r="131">
          <cell r="D131" t="str">
            <v>C-FR104</v>
          </cell>
          <cell r="E131">
            <v>10</v>
          </cell>
          <cell r="G131">
            <v>250</v>
          </cell>
          <cell r="K131">
            <v>4</v>
          </cell>
          <cell r="M131" t="str">
            <v>FR149</v>
          </cell>
          <cell r="N131">
            <v>0</v>
          </cell>
          <cell r="O131">
            <v>24</v>
          </cell>
          <cell r="P131">
            <v>1</v>
          </cell>
          <cell r="Q131">
            <v>25</v>
          </cell>
        </row>
        <row r="132">
          <cell r="D132" t="str">
            <v>C-FR108</v>
          </cell>
          <cell r="E132">
            <v>20</v>
          </cell>
          <cell r="F132" t="str">
            <v>BZ20</v>
          </cell>
          <cell r="G132">
            <v>250</v>
          </cell>
          <cell r="H132" t="e">
            <v>#N/A</v>
          </cell>
          <cell r="I132" t="e">
            <v>#N/A</v>
          </cell>
          <cell r="J132" t="e">
            <v>#N/A</v>
          </cell>
          <cell r="K132">
            <v>4</v>
          </cell>
          <cell r="M132" t="str">
            <v>FR150</v>
          </cell>
          <cell r="N132">
            <v>0</v>
          </cell>
          <cell r="O132">
            <v>14</v>
          </cell>
          <cell r="P132">
            <v>1</v>
          </cell>
          <cell r="Q132">
            <v>659.22222222222217</v>
          </cell>
        </row>
        <row r="133">
          <cell r="D133" t="str">
            <v>C-FR150</v>
          </cell>
          <cell r="E133">
            <v>13</v>
          </cell>
          <cell r="F133" t="str">
            <v>U20/5</v>
          </cell>
          <cell r="G133">
            <v>37</v>
          </cell>
          <cell r="H133">
            <v>0.29093999999999998</v>
          </cell>
          <cell r="I133">
            <v>3.375</v>
          </cell>
          <cell r="J133" t="str">
            <v xml:space="preserve"> Emballage-Adhésif</v>
          </cell>
          <cell r="K133">
            <v>6.4024999999999999</v>
          </cell>
          <cell r="M133" t="str">
            <v>FR151</v>
          </cell>
          <cell r="N133">
            <v>11</v>
          </cell>
          <cell r="O133">
            <v>29</v>
          </cell>
          <cell r="P133">
            <v>0.72499999999999998</v>
          </cell>
          <cell r="Q133">
            <v>32</v>
          </cell>
        </row>
        <row r="134">
          <cell r="D134" t="str">
            <v>C-FR402</v>
          </cell>
          <cell r="E134">
            <v>13</v>
          </cell>
          <cell r="F134" t="str">
            <v>U20/5</v>
          </cell>
          <cell r="G134">
            <v>10</v>
          </cell>
          <cell r="H134">
            <v>0.32447999999999994</v>
          </cell>
          <cell r="I134">
            <v>3.375</v>
          </cell>
          <cell r="J134" t="str">
            <v xml:space="preserve"> Emballage-Adhésif</v>
          </cell>
          <cell r="K134">
            <v>5.7394999999999996</v>
          </cell>
          <cell r="M134" t="str">
            <v>FR154</v>
          </cell>
          <cell r="N134">
            <v>0</v>
          </cell>
          <cell r="O134">
            <v>3</v>
          </cell>
          <cell r="P134">
            <v>1</v>
          </cell>
          <cell r="Q134">
            <v>72.5</v>
          </cell>
        </row>
        <row r="135">
          <cell r="D135" t="str">
            <v>C-FSQ124</v>
          </cell>
          <cell r="E135">
            <v>13</v>
          </cell>
          <cell r="F135" t="str">
            <v>U20/5</v>
          </cell>
          <cell r="G135">
            <v>250</v>
          </cell>
          <cell r="H135">
            <v>0.29405999999999999</v>
          </cell>
          <cell r="I135">
            <v>2.25</v>
          </cell>
          <cell r="K135">
            <v>4.4395000000000007</v>
          </cell>
          <cell r="M135" t="str">
            <v>FR155</v>
          </cell>
          <cell r="N135">
            <v>51</v>
          </cell>
          <cell r="O135">
            <v>65</v>
          </cell>
          <cell r="P135">
            <v>0.56034482758620685</v>
          </cell>
          <cell r="Q135">
            <v>8.6666666666666661</v>
          </cell>
        </row>
        <row r="136">
          <cell r="D136" t="str">
            <v>C-FSQ403</v>
          </cell>
          <cell r="E136">
            <v>13</v>
          </cell>
          <cell r="F136" t="str">
            <v>U20/5</v>
          </cell>
          <cell r="G136">
            <v>250</v>
          </cell>
          <cell r="H136">
            <v>0.30575999999999998</v>
          </cell>
          <cell r="I136">
            <v>3.375</v>
          </cell>
          <cell r="K136">
            <v>7.1110000000000007</v>
          </cell>
          <cell r="M136" t="str">
            <v>FR156</v>
          </cell>
          <cell r="N136">
            <v>4</v>
          </cell>
          <cell r="O136">
            <v>50</v>
          </cell>
          <cell r="P136">
            <v>0.92592592592592593</v>
          </cell>
          <cell r="Q136">
            <v>20.666666666666668</v>
          </cell>
        </row>
        <row r="137">
          <cell r="D137" t="str">
            <v>C-GC GRAND MODEL</v>
          </cell>
          <cell r="E137">
            <v>20</v>
          </cell>
          <cell r="F137" t="str">
            <v>BZ20</v>
          </cell>
          <cell r="G137">
            <v>250</v>
          </cell>
          <cell r="H137" t="e">
            <v>#N/A</v>
          </cell>
          <cell r="I137" t="e">
            <v>#N/A</v>
          </cell>
          <cell r="J137" t="e">
            <v>#N/A</v>
          </cell>
          <cell r="K137">
            <v>4</v>
          </cell>
          <cell r="M137" t="str">
            <v>FR161</v>
          </cell>
          <cell r="N137">
            <v>37</v>
          </cell>
          <cell r="O137">
            <v>48</v>
          </cell>
          <cell r="P137">
            <v>0.56470588235294117</v>
          </cell>
          <cell r="Q137">
            <v>24.285714285714285</v>
          </cell>
        </row>
        <row r="138">
          <cell r="D138" t="str">
            <v>C-GC PETIT MODEL</v>
          </cell>
          <cell r="E138">
            <v>20</v>
          </cell>
          <cell r="F138" t="str">
            <v>BZ20</v>
          </cell>
          <cell r="G138">
            <v>72</v>
          </cell>
          <cell r="H138">
            <v>8.4499999999999992E-2</v>
          </cell>
          <cell r="I138" t="e">
            <v>#N/A</v>
          </cell>
          <cell r="J138" t="str">
            <v xml:space="preserve"> Emballage</v>
          </cell>
          <cell r="K138">
            <v>1.69</v>
          </cell>
          <cell r="M138" t="str">
            <v>FR164</v>
          </cell>
          <cell r="N138">
            <v>42</v>
          </cell>
          <cell r="O138">
            <v>61</v>
          </cell>
          <cell r="P138">
            <v>0.59223300970873782</v>
          </cell>
          <cell r="Q138">
            <v>26.625</v>
          </cell>
        </row>
        <row r="139">
          <cell r="D139" t="str">
            <v>C-GL058</v>
          </cell>
          <cell r="E139">
            <v>20</v>
          </cell>
          <cell r="F139" t="str">
            <v>BZ20</v>
          </cell>
          <cell r="G139">
            <v>250</v>
          </cell>
          <cell r="H139" t="e">
            <v>#N/A</v>
          </cell>
          <cell r="I139" t="e">
            <v>#N/A</v>
          </cell>
          <cell r="J139" t="e">
            <v>#N/A</v>
          </cell>
          <cell r="K139">
            <v>4</v>
          </cell>
          <cell r="M139" t="str">
            <v>FR166</v>
          </cell>
          <cell r="N139">
            <v>169</v>
          </cell>
          <cell r="O139">
            <v>77</v>
          </cell>
          <cell r="P139">
            <v>0.31300813008130079</v>
          </cell>
          <cell r="Q139">
            <v>435.66666666666669</v>
          </cell>
        </row>
        <row r="140">
          <cell r="D140" t="str">
            <v>CL3002</v>
          </cell>
          <cell r="E140">
            <v>20</v>
          </cell>
          <cell r="K140">
            <v>0</v>
          </cell>
          <cell r="M140" t="str">
            <v>FR168</v>
          </cell>
          <cell r="N140">
            <v>355</v>
          </cell>
          <cell r="O140">
            <v>229</v>
          </cell>
          <cell r="P140">
            <v>0.39212328767123289</v>
          </cell>
          <cell r="Q140">
            <v>0</v>
          </cell>
        </row>
        <row r="141">
          <cell r="D141" t="str">
            <v>CL3003</v>
          </cell>
          <cell r="E141">
            <v>20</v>
          </cell>
          <cell r="K141">
            <v>0</v>
          </cell>
          <cell r="M141" t="str">
            <v>FR401</v>
          </cell>
          <cell r="N141">
            <v>553</v>
          </cell>
          <cell r="O141">
            <v>148</v>
          </cell>
          <cell r="P141">
            <v>0.21112696148359486</v>
          </cell>
          <cell r="Q141">
            <v>38.75</v>
          </cell>
        </row>
        <row r="142">
          <cell r="D142" t="str">
            <v>CL6419</v>
          </cell>
          <cell r="E142">
            <v>10</v>
          </cell>
          <cell r="G142">
            <v>250</v>
          </cell>
          <cell r="K142">
            <v>4</v>
          </cell>
          <cell r="M142" t="str">
            <v>FR402</v>
          </cell>
          <cell r="N142">
            <v>135</v>
          </cell>
          <cell r="O142">
            <v>21</v>
          </cell>
          <cell r="P142">
            <v>0.13461538461538461</v>
          </cell>
          <cell r="Q142">
            <v>898.4545454545455</v>
          </cell>
        </row>
        <row r="143">
          <cell r="D143" t="str">
            <v>C-LM-757</v>
          </cell>
          <cell r="E143">
            <v>17</v>
          </cell>
          <cell r="F143" t="str">
            <v>BCD17</v>
          </cell>
          <cell r="G143">
            <v>250</v>
          </cell>
          <cell r="H143" t="e">
            <v>#N/A</v>
          </cell>
          <cell r="I143" t="e">
            <v>#N/A</v>
          </cell>
          <cell r="J143" t="e">
            <v>#N/A</v>
          </cell>
          <cell r="K143">
            <v>4</v>
          </cell>
          <cell r="M143" t="str">
            <v>FR403</v>
          </cell>
          <cell r="N143">
            <v>314</v>
          </cell>
          <cell r="O143">
            <v>102</v>
          </cell>
          <cell r="P143">
            <v>0.24519230769230768</v>
          </cell>
          <cell r="Q143">
            <v>34.875</v>
          </cell>
        </row>
        <row r="144">
          <cell r="D144" t="str">
            <v>C-LM-79</v>
          </cell>
          <cell r="E144">
            <v>14</v>
          </cell>
          <cell r="F144" t="str">
            <v>BZ14</v>
          </cell>
          <cell r="G144">
            <v>250</v>
          </cell>
          <cell r="H144">
            <v>0.20748</v>
          </cell>
          <cell r="I144">
            <v>3</v>
          </cell>
          <cell r="J144" t="str">
            <v xml:space="preserve"> Emballage</v>
          </cell>
          <cell r="K144">
            <v>3</v>
          </cell>
          <cell r="M144" t="str">
            <v>FR404</v>
          </cell>
          <cell r="N144">
            <v>1934</v>
          </cell>
          <cell r="O144">
            <v>171</v>
          </cell>
          <cell r="P144">
            <v>8.1235154394299292E-2</v>
          </cell>
          <cell r="Q144">
            <v>578.90909090909088</v>
          </cell>
        </row>
        <row r="145">
          <cell r="D145" t="str">
            <v>CO101</v>
          </cell>
          <cell r="E145">
            <v>12</v>
          </cell>
          <cell r="F145" t="str">
            <v>BH12</v>
          </cell>
          <cell r="G145">
            <v>52</v>
          </cell>
          <cell r="H145">
            <v>0.31278</v>
          </cell>
          <cell r="I145">
            <v>3.375</v>
          </cell>
          <cell r="J145" t="str">
            <v xml:space="preserve"> Emballage</v>
          </cell>
          <cell r="K145">
            <v>6.0775000000000006</v>
          </cell>
          <cell r="M145" t="str">
            <v>FR406</v>
          </cell>
          <cell r="N145">
            <v>0</v>
          </cell>
          <cell r="O145">
            <v>70</v>
          </cell>
          <cell r="P145">
            <v>1</v>
          </cell>
          <cell r="Q145">
            <v>57.857142857142854</v>
          </cell>
        </row>
        <row r="146">
          <cell r="D146" t="str">
            <v>CO102</v>
          </cell>
          <cell r="E146">
            <v>12</v>
          </cell>
          <cell r="F146" t="str">
            <v>BH12</v>
          </cell>
          <cell r="G146">
            <v>25</v>
          </cell>
          <cell r="H146">
            <v>0.35958000000000001</v>
          </cell>
          <cell r="I146">
            <v>4.2749999999999995</v>
          </cell>
          <cell r="J146" t="str">
            <v xml:space="preserve"> Emballage</v>
          </cell>
          <cell r="K146">
            <v>6.7664999999999997</v>
          </cell>
          <cell r="M146" t="str">
            <v>FR410</v>
          </cell>
          <cell r="N146">
            <v>0</v>
          </cell>
          <cell r="O146">
            <v>0</v>
          </cell>
          <cell r="P146" t="e">
            <v>#DIV/0!</v>
          </cell>
          <cell r="Q146">
            <v>0</v>
          </cell>
        </row>
        <row r="147">
          <cell r="D147" t="str">
            <v>CO103</v>
          </cell>
          <cell r="E147">
            <v>12</v>
          </cell>
          <cell r="F147" t="str">
            <v>BH12</v>
          </cell>
          <cell r="G147">
            <v>16</v>
          </cell>
          <cell r="H147">
            <v>0.39233999999999997</v>
          </cell>
          <cell r="I147">
            <v>4.2749999999999995</v>
          </cell>
          <cell r="J147" t="str">
            <v xml:space="preserve"> Emballage</v>
          </cell>
          <cell r="K147">
            <v>7.293000000000001</v>
          </cell>
          <cell r="M147" t="str">
            <v>FR411</v>
          </cell>
          <cell r="N147">
            <v>0</v>
          </cell>
          <cell r="O147">
            <v>0</v>
          </cell>
          <cell r="P147" t="e">
            <v>#DIV/0!</v>
          </cell>
          <cell r="Q147">
            <v>0</v>
          </cell>
        </row>
        <row r="148">
          <cell r="D148" t="str">
            <v>CO104</v>
          </cell>
          <cell r="E148">
            <v>13</v>
          </cell>
          <cell r="F148" t="str">
            <v>U20/5</v>
          </cell>
          <cell r="G148">
            <v>20</v>
          </cell>
          <cell r="H148">
            <v>0.22619999999999996</v>
          </cell>
          <cell r="I148">
            <v>3</v>
          </cell>
          <cell r="J148" t="str">
            <v xml:space="preserve"> Emballage-Adhésif</v>
          </cell>
          <cell r="K148">
            <v>4.7059999999999995</v>
          </cell>
          <cell r="M148" t="str">
            <v>AL11026</v>
          </cell>
          <cell r="N148">
            <v>0</v>
          </cell>
          <cell r="O148">
            <v>30</v>
          </cell>
          <cell r="P148">
            <v>1</v>
          </cell>
          <cell r="Q148">
            <v>222.375</v>
          </cell>
        </row>
        <row r="149">
          <cell r="D149" t="str">
            <v>CO105</v>
          </cell>
          <cell r="E149">
            <v>13</v>
          </cell>
          <cell r="F149" t="str">
            <v>U20/5</v>
          </cell>
          <cell r="G149">
            <v>22</v>
          </cell>
          <cell r="H149">
            <v>0.15756000000000001</v>
          </cell>
          <cell r="I149">
            <v>2.25</v>
          </cell>
          <cell r="J149" t="str">
            <v xml:space="preserve"> Emballage-Adhésif</v>
          </cell>
          <cell r="K149">
            <v>3.5685000000000002</v>
          </cell>
          <cell r="M149" t="str">
            <v>AL40202</v>
          </cell>
          <cell r="N149">
            <v>118</v>
          </cell>
          <cell r="O149">
            <v>34</v>
          </cell>
          <cell r="P149">
            <v>0.22368421052631579</v>
          </cell>
          <cell r="Q149">
            <v>1</v>
          </cell>
        </row>
        <row r="150">
          <cell r="D150" t="str">
            <v>CO106</v>
          </cell>
          <cell r="E150">
            <v>15</v>
          </cell>
          <cell r="F150" t="str">
            <v>BV15</v>
          </cell>
          <cell r="G150">
            <v>18</v>
          </cell>
          <cell r="H150">
            <v>0.26363999999999999</v>
          </cell>
          <cell r="I150">
            <v>3</v>
          </cell>
          <cell r="J150" t="str">
            <v xml:space="preserve"> Emballage-Adhésif</v>
          </cell>
          <cell r="K150">
            <v>4.3029999999999999</v>
          </cell>
          <cell r="M150" t="str">
            <v>Mr020</v>
          </cell>
          <cell r="N150">
            <v>0</v>
          </cell>
          <cell r="O150">
            <v>0</v>
          </cell>
          <cell r="P150" t="e">
            <v>#DIV/0!</v>
          </cell>
          <cell r="Q150">
            <v>0</v>
          </cell>
        </row>
        <row r="151">
          <cell r="D151" t="str">
            <v>CO107</v>
          </cell>
          <cell r="E151">
            <v>13</v>
          </cell>
          <cell r="F151" t="str">
            <v>U20/5</v>
          </cell>
          <cell r="G151">
            <v>51</v>
          </cell>
          <cell r="H151">
            <v>0.33228000000000002</v>
          </cell>
          <cell r="I151">
            <v>3.375</v>
          </cell>
          <cell r="J151" t="str">
            <v xml:space="preserve"> Emballage</v>
          </cell>
          <cell r="K151">
            <v>5.2844999999999995</v>
          </cell>
          <cell r="M151" t="str">
            <v>FSQ100</v>
          </cell>
          <cell r="N151">
            <v>590</v>
          </cell>
          <cell r="O151">
            <v>20</v>
          </cell>
          <cell r="P151">
            <v>3.2786885245901641E-2</v>
          </cell>
          <cell r="Q151">
            <v>85.333333333333329</v>
          </cell>
        </row>
        <row r="152">
          <cell r="D152" t="str">
            <v>CO108</v>
          </cell>
          <cell r="E152">
            <v>13</v>
          </cell>
          <cell r="F152" t="str">
            <v>U20/5</v>
          </cell>
          <cell r="G152">
            <v>98</v>
          </cell>
          <cell r="H152">
            <v>0.26598000000000005</v>
          </cell>
          <cell r="I152">
            <v>3.375</v>
          </cell>
          <cell r="J152" t="str">
            <v xml:space="preserve"> Emballage-Adhésif</v>
          </cell>
          <cell r="K152">
            <v>6.2139999999999995</v>
          </cell>
          <cell r="M152" t="str">
            <v>FSQ153</v>
          </cell>
          <cell r="N152">
            <v>48</v>
          </cell>
          <cell r="O152">
            <v>0</v>
          </cell>
          <cell r="P152">
            <v>0</v>
          </cell>
          <cell r="Q152">
            <v>4.666666666666667</v>
          </cell>
        </row>
        <row r="153">
          <cell r="D153" t="str">
            <v>CO110</v>
          </cell>
          <cell r="E153">
            <v>6</v>
          </cell>
          <cell r="F153" t="str">
            <v>BH12</v>
          </cell>
          <cell r="G153">
            <v>94</v>
          </cell>
          <cell r="H153">
            <v>0.68171999999999999</v>
          </cell>
          <cell r="I153">
            <v>6</v>
          </cell>
          <cell r="J153" t="str">
            <v xml:space="preserve"> Emballage</v>
          </cell>
          <cell r="K153">
            <v>10.679500000000001</v>
          </cell>
          <cell r="M153" t="str">
            <v>FSQ102</v>
          </cell>
          <cell r="N153">
            <v>659</v>
          </cell>
          <cell r="O153">
            <v>84</v>
          </cell>
          <cell r="P153">
            <v>0.11305518169582772</v>
          </cell>
          <cell r="Q153">
            <v>13.857142857142858</v>
          </cell>
        </row>
        <row r="154">
          <cell r="D154" t="str">
            <v>CO114</v>
          </cell>
          <cell r="E154">
            <v>20</v>
          </cell>
          <cell r="F154" t="str">
            <v>BZ20</v>
          </cell>
          <cell r="G154">
            <v>3</v>
          </cell>
          <cell r="H154">
            <v>6.8639999999999993E-2</v>
          </cell>
          <cell r="I154">
            <v>2.25</v>
          </cell>
          <cell r="J154" t="str">
            <v xml:space="preserve"> Emballage</v>
          </cell>
          <cell r="K154">
            <v>0.90350000000000008</v>
          </cell>
          <cell r="M154" t="str">
            <v>FSQ104</v>
          </cell>
          <cell r="N154">
            <v>435</v>
          </cell>
          <cell r="O154">
            <v>2</v>
          </cell>
          <cell r="P154">
            <v>4.5766590389016018E-3</v>
          </cell>
          <cell r="Q154">
            <v>13</v>
          </cell>
        </row>
        <row r="155">
          <cell r="D155" t="str">
            <v>CO116</v>
          </cell>
          <cell r="E155" t="str">
            <v>anodisé</v>
          </cell>
          <cell r="F155" t="str">
            <v>BZ20</v>
          </cell>
          <cell r="G155">
            <v>14</v>
          </cell>
          <cell r="H155">
            <v>4.2899999999999994E-2</v>
          </cell>
          <cell r="I155">
            <v>0.75</v>
          </cell>
          <cell r="J155" t="str">
            <v>Non</v>
          </cell>
          <cell r="K155">
            <v>0.69550000000000001</v>
          </cell>
          <cell r="M155" t="str">
            <v>FSQ110</v>
          </cell>
          <cell r="N155">
            <v>1063</v>
          </cell>
          <cell r="O155">
            <v>5</v>
          </cell>
          <cell r="P155">
            <v>4.6816479400749065E-3</v>
          </cell>
          <cell r="Q155">
            <v>41</v>
          </cell>
        </row>
        <row r="156">
          <cell r="D156" t="str">
            <v>CO124</v>
          </cell>
          <cell r="E156">
            <v>20</v>
          </cell>
          <cell r="F156" t="str">
            <v>BZ20</v>
          </cell>
          <cell r="G156">
            <v>89</v>
          </cell>
          <cell r="H156">
            <v>0.10218000000000001</v>
          </cell>
          <cell r="I156">
            <v>2.25</v>
          </cell>
          <cell r="J156" t="str">
            <v>Non</v>
          </cell>
          <cell r="K156">
            <v>1.742</v>
          </cell>
          <cell r="M156" t="str">
            <v>FSQ111</v>
          </cell>
          <cell r="N156">
            <v>983</v>
          </cell>
          <cell r="O156">
            <v>3</v>
          </cell>
          <cell r="P156">
            <v>3.0425963488843813E-3</v>
          </cell>
          <cell r="Q156">
            <v>103.33333333333333</v>
          </cell>
        </row>
        <row r="157">
          <cell r="D157" t="str">
            <v>C-PA7714</v>
          </cell>
          <cell r="E157">
            <v>14</v>
          </cell>
          <cell r="F157" t="str">
            <v>BZ14</v>
          </cell>
          <cell r="G157">
            <v>250</v>
          </cell>
          <cell r="H157" t="e">
            <v>#N/A</v>
          </cell>
          <cell r="I157" t="e">
            <v>#N/A</v>
          </cell>
          <cell r="J157" t="e">
            <v>#N/A</v>
          </cell>
          <cell r="K157">
            <v>3</v>
          </cell>
          <cell r="M157" t="str">
            <v>FSQ112</v>
          </cell>
          <cell r="N157">
            <v>171</v>
          </cell>
          <cell r="O157">
            <v>3</v>
          </cell>
          <cell r="P157">
            <v>1.7241379310344827E-2</v>
          </cell>
          <cell r="Q157">
            <v>27.714285714285715</v>
          </cell>
        </row>
        <row r="158">
          <cell r="D158" t="str">
            <v>C-PAUM</v>
          </cell>
          <cell r="E158">
            <v>800</v>
          </cell>
          <cell r="K158">
            <v>0.5</v>
          </cell>
          <cell r="M158" t="str">
            <v>FSQ121</v>
          </cell>
          <cell r="N158">
            <v>110</v>
          </cell>
          <cell r="O158">
            <v>2</v>
          </cell>
          <cell r="P158">
            <v>1.7857142857142856E-2</v>
          </cell>
          <cell r="Q158">
            <v>22.888888888888889</v>
          </cell>
        </row>
        <row r="159">
          <cell r="D159" t="str">
            <v>C-remplissage</v>
          </cell>
          <cell r="E159">
            <v>10</v>
          </cell>
          <cell r="K159">
            <v>4</v>
          </cell>
          <cell r="M159" t="str">
            <v>FSQ122</v>
          </cell>
          <cell r="N159">
            <v>30</v>
          </cell>
          <cell r="O159">
            <v>0</v>
          </cell>
          <cell r="P159">
            <v>0</v>
          </cell>
          <cell r="Q159">
            <v>23.375</v>
          </cell>
        </row>
        <row r="160">
          <cell r="D160" t="str">
            <v>C-SAF704</v>
          </cell>
          <cell r="E160">
            <v>13</v>
          </cell>
          <cell r="F160" t="str">
            <v>U20/5</v>
          </cell>
          <cell r="G160">
            <v>250</v>
          </cell>
          <cell r="H160" t="e">
            <v>#N/A</v>
          </cell>
          <cell r="I160" t="e">
            <v>#N/A</v>
          </cell>
          <cell r="J160" t="e">
            <v>#N/A</v>
          </cell>
          <cell r="K160">
            <v>3</v>
          </cell>
          <cell r="M160" t="str">
            <v>FSQ124</v>
          </cell>
          <cell r="N160">
            <v>0</v>
          </cell>
          <cell r="O160">
            <v>0</v>
          </cell>
          <cell r="P160" t="e">
            <v>#DIV/0!</v>
          </cell>
          <cell r="Q160">
            <v>95.75</v>
          </cell>
        </row>
        <row r="161">
          <cell r="D161" t="str">
            <v>C-SAF706</v>
          </cell>
          <cell r="E161">
            <v>5</v>
          </cell>
          <cell r="F161" t="str">
            <v>U20/5</v>
          </cell>
          <cell r="G161">
            <v>250</v>
          </cell>
          <cell r="H161" t="e">
            <v>#N/A</v>
          </cell>
          <cell r="I161" t="e">
            <v>#N/A</v>
          </cell>
          <cell r="J161" t="e">
            <v>#N/A</v>
          </cell>
          <cell r="K161">
            <v>9</v>
          </cell>
          <cell r="M161" t="str">
            <v>FSQ130</v>
          </cell>
          <cell r="N161">
            <v>56</v>
          </cell>
          <cell r="O161">
            <v>8</v>
          </cell>
          <cell r="P161">
            <v>0.125</v>
          </cell>
          <cell r="Q161">
            <v>1.6666666666666667</v>
          </cell>
        </row>
        <row r="162">
          <cell r="D162" t="str">
            <v>CSQ101</v>
          </cell>
          <cell r="E162">
            <v>12</v>
          </cell>
          <cell r="F162" t="str">
            <v>BH12</v>
          </cell>
          <cell r="G162">
            <v>123</v>
          </cell>
          <cell r="H162">
            <v>0.30770999999999998</v>
          </cell>
          <cell r="I162">
            <v>3.375</v>
          </cell>
          <cell r="J162" t="str">
            <v xml:space="preserve"> Emballage</v>
          </cell>
          <cell r="K162">
            <v>5.8630000000000004</v>
          </cell>
          <cell r="M162" t="str">
            <v>FSQ131</v>
          </cell>
          <cell r="N162">
            <v>143</v>
          </cell>
          <cell r="O162">
            <v>18</v>
          </cell>
          <cell r="P162">
            <v>0.11180124223602485</v>
          </cell>
          <cell r="Q162">
            <v>64.599999999999994</v>
          </cell>
        </row>
        <row r="163">
          <cell r="D163" t="str">
            <v>CSQ102</v>
          </cell>
          <cell r="E163">
            <v>12</v>
          </cell>
          <cell r="F163" t="str">
            <v>BH12</v>
          </cell>
          <cell r="G163">
            <v>81</v>
          </cell>
          <cell r="H163">
            <v>0.35427599999999998</v>
          </cell>
          <cell r="I163">
            <v>4.2749999999999995</v>
          </cell>
          <cell r="J163" t="str">
            <v xml:space="preserve"> Emballage</v>
          </cell>
          <cell r="K163">
            <v>6.5064999999999991</v>
          </cell>
          <cell r="M163" t="str">
            <v>FSQ139</v>
          </cell>
          <cell r="N163">
            <v>2359</v>
          </cell>
          <cell r="O163">
            <v>9</v>
          </cell>
          <cell r="P163">
            <v>3.8006756756756759E-3</v>
          </cell>
          <cell r="Q163">
            <v>157.22222222222223</v>
          </cell>
        </row>
        <row r="164">
          <cell r="D164" t="str">
            <v>CSQ103</v>
          </cell>
          <cell r="E164">
            <v>12</v>
          </cell>
          <cell r="F164" t="str">
            <v>BH12</v>
          </cell>
          <cell r="G164">
            <v>70</v>
          </cell>
          <cell r="H164">
            <v>0.31621199999999999</v>
          </cell>
          <cell r="I164">
            <v>4.2749999999999995</v>
          </cell>
          <cell r="J164" t="str">
            <v xml:space="preserve"> Emballage</v>
          </cell>
          <cell r="K164">
            <v>6.0255000000000001</v>
          </cell>
          <cell r="M164" t="str">
            <v>FSQ132</v>
          </cell>
          <cell r="N164">
            <v>0</v>
          </cell>
          <cell r="O164">
            <v>0</v>
          </cell>
          <cell r="P164" t="e">
            <v>#DIV/0!</v>
          </cell>
          <cell r="Q164">
            <v>10.166666666666666</v>
          </cell>
        </row>
        <row r="165">
          <cell r="D165" t="str">
            <v>CSQ104</v>
          </cell>
          <cell r="E165">
            <v>13</v>
          </cell>
          <cell r="F165" t="str">
            <v>U20/5</v>
          </cell>
          <cell r="G165">
            <v>58</v>
          </cell>
          <cell r="H165">
            <v>0.23969400000000002</v>
          </cell>
          <cell r="I165">
            <v>3</v>
          </cell>
          <cell r="J165" t="str">
            <v xml:space="preserve"> Emballage-Adhésif</v>
          </cell>
          <cell r="K165">
            <v>4.7774999999999999</v>
          </cell>
          <cell r="M165" t="str">
            <v>FSQ149</v>
          </cell>
          <cell r="N165">
            <v>40</v>
          </cell>
          <cell r="O165">
            <v>3</v>
          </cell>
          <cell r="P165">
            <v>6.9767441860465115E-2</v>
          </cell>
          <cell r="Q165">
            <v>7.4</v>
          </cell>
        </row>
        <row r="166">
          <cell r="D166" t="str">
            <v>CSQ105</v>
          </cell>
          <cell r="E166">
            <v>13</v>
          </cell>
          <cell r="F166" t="str">
            <v>U20/5</v>
          </cell>
          <cell r="G166">
            <v>63</v>
          </cell>
          <cell r="H166">
            <v>0.16528200000000001</v>
          </cell>
          <cell r="I166">
            <v>2.25</v>
          </cell>
          <cell r="J166" t="str">
            <v xml:space="preserve"> Emballage-Adhésif</v>
          </cell>
          <cell r="K166">
            <v>3.6659999999999995</v>
          </cell>
          <cell r="M166" t="str">
            <v>FSQ150</v>
          </cell>
          <cell r="N166">
            <v>779</v>
          </cell>
          <cell r="O166">
            <v>124</v>
          </cell>
          <cell r="P166">
            <v>0.13732004429678848</v>
          </cell>
          <cell r="Q166">
            <v>16.666666666666668</v>
          </cell>
        </row>
        <row r="167">
          <cell r="D167" t="str">
            <v>CSQ106</v>
          </cell>
          <cell r="E167">
            <v>15</v>
          </cell>
          <cell r="F167" t="str">
            <v>BV15</v>
          </cell>
          <cell r="G167">
            <v>44</v>
          </cell>
          <cell r="H167">
            <v>0.26410799999999995</v>
          </cell>
          <cell r="I167">
            <v>3</v>
          </cell>
          <cell r="J167" t="str">
            <v xml:space="preserve"> Emballage-Adhésif</v>
          </cell>
          <cell r="K167">
            <v>4.1470000000000002</v>
          </cell>
          <cell r="M167" t="str">
            <v>FSQ156</v>
          </cell>
          <cell r="N167">
            <v>258</v>
          </cell>
          <cell r="O167">
            <v>1</v>
          </cell>
          <cell r="P167">
            <v>3.8610038610038611E-3</v>
          </cell>
          <cell r="Q167">
            <v>3.8333333333333335</v>
          </cell>
        </row>
        <row r="168">
          <cell r="D168" t="str">
            <v>CSQ107</v>
          </cell>
          <cell r="E168">
            <v>13</v>
          </cell>
          <cell r="F168" t="str">
            <v>U20/5</v>
          </cell>
          <cell r="G168">
            <v>75</v>
          </cell>
          <cell r="H168">
            <v>0.217776</v>
          </cell>
          <cell r="I168">
            <v>3.375</v>
          </cell>
          <cell r="J168" t="str">
            <v xml:space="preserve"> Emballage-Adhésif</v>
          </cell>
          <cell r="K168">
            <v>7.2280000000000006</v>
          </cell>
          <cell r="M168" t="str">
            <v>FSQ163</v>
          </cell>
          <cell r="N168">
            <v>92</v>
          </cell>
          <cell r="O168">
            <v>0</v>
          </cell>
          <cell r="P168">
            <v>0</v>
          </cell>
          <cell r="Q168">
            <v>4.2</v>
          </cell>
        </row>
        <row r="169">
          <cell r="D169" t="str">
            <v>CSQ108</v>
          </cell>
          <cell r="E169">
            <v>13</v>
          </cell>
          <cell r="F169" t="str">
            <v>U20/5</v>
          </cell>
          <cell r="G169">
            <v>99</v>
          </cell>
          <cell r="H169">
            <v>0.27791399999999999</v>
          </cell>
          <cell r="I169">
            <v>3.375</v>
          </cell>
          <cell r="J169" t="str">
            <v xml:space="preserve"> Emballage-Adhésif</v>
          </cell>
          <cell r="K169">
            <v>6.6364999999999998</v>
          </cell>
          <cell r="M169" t="str">
            <v>FSQ164</v>
          </cell>
          <cell r="N169">
            <v>610</v>
          </cell>
          <cell r="O169">
            <v>2</v>
          </cell>
          <cell r="P169">
            <v>3.2679738562091504E-3</v>
          </cell>
          <cell r="Q169">
            <v>1.6666666666666667</v>
          </cell>
        </row>
        <row r="170">
          <cell r="D170" t="str">
            <v>CSQ110</v>
          </cell>
          <cell r="E170">
            <v>6</v>
          </cell>
          <cell r="F170" t="str">
            <v>BH12</v>
          </cell>
          <cell r="G170">
            <v>113</v>
          </cell>
          <cell r="H170">
            <v>0.46449000000000001</v>
          </cell>
          <cell r="I170">
            <v>6</v>
          </cell>
          <cell r="J170" t="str">
            <v xml:space="preserve"> Emballage</v>
          </cell>
          <cell r="K170">
            <v>9.4314999999999998</v>
          </cell>
          <cell r="M170" t="str">
            <v>FSQ165</v>
          </cell>
          <cell r="N170">
            <v>161</v>
          </cell>
          <cell r="O170">
            <v>0</v>
          </cell>
          <cell r="P170">
            <v>0</v>
          </cell>
          <cell r="Q170">
            <v>0</v>
          </cell>
        </row>
        <row r="171">
          <cell r="D171" t="str">
            <v>CSQ114</v>
          </cell>
          <cell r="E171">
            <v>20</v>
          </cell>
          <cell r="F171" t="str">
            <v>BZ20</v>
          </cell>
          <cell r="G171">
            <v>34</v>
          </cell>
          <cell r="H171">
            <v>6.9419999999999996E-2</v>
          </cell>
          <cell r="I171">
            <v>2.25</v>
          </cell>
          <cell r="J171" t="str">
            <v xml:space="preserve"> Emballage</v>
          </cell>
          <cell r="K171">
            <v>0.91000000000000014</v>
          </cell>
          <cell r="M171" t="str">
            <v>FSQ401</v>
          </cell>
          <cell r="N171">
            <v>717</v>
          </cell>
          <cell r="O171">
            <v>2</v>
          </cell>
          <cell r="P171">
            <v>2.7816411682892906E-3</v>
          </cell>
          <cell r="Q171">
            <v>104.18181818181819</v>
          </cell>
        </row>
        <row r="172">
          <cell r="D172" t="str">
            <v>CSQ116</v>
          </cell>
          <cell r="E172" t="str">
            <v>anodisé</v>
          </cell>
          <cell r="F172" t="str">
            <v>BZ20</v>
          </cell>
          <cell r="G172">
            <v>64.5</v>
          </cell>
          <cell r="H172">
            <v>2.6208000000000002E-2</v>
          </cell>
          <cell r="I172">
            <v>0.75</v>
          </cell>
          <cell r="J172" t="e">
            <v>#N/A</v>
          </cell>
          <cell r="K172">
            <v>1.2610000000000001</v>
          </cell>
          <cell r="M172" t="str">
            <v>FSQ402</v>
          </cell>
          <cell r="N172">
            <v>14</v>
          </cell>
          <cell r="O172">
            <v>5</v>
          </cell>
          <cell r="P172">
            <v>0.26315789473684209</v>
          </cell>
          <cell r="Q172">
            <v>15</v>
          </cell>
        </row>
        <row r="173">
          <cell r="D173" t="str">
            <v>CSQ124</v>
          </cell>
          <cell r="E173">
            <v>20</v>
          </cell>
          <cell r="F173" t="str">
            <v>BZ20</v>
          </cell>
          <cell r="G173">
            <v>137</v>
          </cell>
          <cell r="H173">
            <v>0.12269400000000001</v>
          </cell>
          <cell r="I173">
            <v>2.25</v>
          </cell>
          <cell r="J173" t="str">
            <v xml:space="preserve"> Emballage</v>
          </cell>
          <cell r="K173">
            <v>1.3259999999999998</v>
          </cell>
          <cell r="M173" t="str">
            <v>FSQ541</v>
          </cell>
          <cell r="N173">
            <v>38</v>
          </cell>
          <cell r="O173">
            <v>2</v>
          </cell>
          <cell r="P173">
            <v>0.05</v>
          </cell>
          <cell r="Q173">
            <v>0</v>
          </cell>
        </row>
        <row r="174">
          <cell r="D174" t="str">
            <v>CSQ125</v>
          </cell>
          <cell r="E174">
            <v>20</v>
          </cell>
          <cell r="F174" t="str">
            <v>BZ20</v>
          </cell>
          <cell r="G174">
            <v>141</v>
          </cell>
          <cell r="H174">
            <v>4.1339999999999995E-2</v>
          </cell>
          <cell r="I174">
            <v>0.75</v>
          </cell>
          <cell r="J174" t="str">
            <v xml:space="preserve"> Emballage</v>
          </cell>
          <cell r="K174">
            <v>0.52</v>
          </cell>
          <cell r="M174" t="str">
            <v>FSQ531</v>
          </cell>
          <cell r="N174">
            <v>134</v>
          </cell>
          <cell r="O174">
            <v>2</v>
          </cell>
          <cell r="P174">
            <v>1.4705882352941176E-2</v>
          </cell>
          <cell r="Q174">
            <v>0</v>
          </cell>
        </row>
        <row r="175">
          <cell r="D175" t="str">
            <v>CSQ126</v>
          </cell>
          <cell r="E175">
            <v>20</v>
          </cell>
          <cell r="F175" t="str">
            <v>BZ20</v>
          </cell>
          <cell r="G175">
            <v>150</v>
          </cell>
          <cell r="H175">
            <v>0.10046399999999998</v>
          </cell>
          <cell r="I175">
            <v>0.75</v>
          </cell>
          <cell r="J175" t="str">
            <v xml:space="preserve"> Emballage</v>
          </cell>
          <cell r="K175">
            <v>1.5859999999999999</v>
          </cell>
          <cell r="M175" t="str">
            <v>FSQ532</v>
          </cell>
          <cell r="N175">
            <v>200</v>
          </cell>
          <cell r="O175">
            <v>0</v>
          </cell>
          <cell r="P175">
            <v>0</v>
          </cell>
          <cell r="Q175">
            <v>0</v>
          </cell>
        </row>
        <row r="176">
          <cell r="D176" t="str">
            <v>CSQ153</v>
          </cell>
          <cell r="E176">
            <v>12</v>
          </cell>
          <cell r="G176">
            <v>250</v>
          </cell>
          <cell r="H176">
            <v>0.10139999999999999</v>
          </cell>
          <cell r="I176">
            <v>1.125</v>
          </cell>
          <cell r="K176">
            <v>1.8480000000000001</v>
          </cell>
          <cell r="M176" t="str">
            <v>CSQ537</v>
          </cell>
          <cell r="N176">
            <v>800</v>
          </cell>
          <cell r="O176">
            <v>16</v>
          </cell>
          <cell r="P176">
            <v>1.9607843137254902E-2</v>
          </cell>
          <cell r="Q176">
            <v>0</v>
          </cell>
        </row>
        <row r="177">
          <cell r="D177" t="str">
            <v>CSQ201</v>
          </cell>
          <cell r="E177">
            <v>12</v>
          </cell>
          <cell r="F177" t="str">
            <v>BH12</v>
          </cell>
          <cell r="G177">
            <v>145</v>
          </cell>
          <cell r="H177">
            <v>0.24889800000000004</v>
          </cell>
          <cell r="I177">
            <v>2.25</v>
          </cell>
          <cell r="J177" t="str">
            <v xml:space="preserve"> Emballage-Adhésif</v>
          </cell>
          <cell r="K177">
            <v>4.9595000000000002</v>
          </cell>
          <cell r="M177" t="str">
            <v>CSQ538</v>
          </cell>
          <cell r="N177">
            <v>256</v>
          </cell>
          <cell r="O177">
            <v>0</v>
          </cell>
          <cell r="P177">
            <v>0</v>
          </cell>
          <cell r="Q177">
            <v>0</v>
          </cell>
        </row>
        <row r="178">
          <cell r="D178" t="str">
            <v>CSQ202</v>
          </cell>
          <cell r="E178">
            <v>12</v>
          </cell>
          <cell r="F178" t="str">
            <v>BH12</v>
          </cell>
          <cell r="G178">
            <v>77</v>
          </cell>
          <cell r="H178">
            <v>0.29569800000000007</v>
          </cell>
          <cell r="I178">
            <v>2.25</v>
          </cell>
          <cell r="J178" t="str">
            <v xml:space="preserve"> Emballage-Adhésif</v>
          </cell>
          <cell r="K178">
            <v>5.6094999999999997</v>
          </cell>
          <cell r="M178" t="str">
            <v>FSQ108</v>
          </cell>
          <cell r="N178">
            <v>500</v>
          </cell>
          <cell r="O178">
            <v>6</v>
          </cell>
          <cell r="P178">
            <v>1.1857707509881422E-2</v>
          </cell>
          <cell r="Q178">
            <v>0</v>
          </cell>
        </row>
        <row r="179">
          <cell r="D179" t="str">
            <v>CSQ203</v>
          </cell>
          <cell r="E179">
            <v>12</v>
          </cell>
          <cell r="F179" t="str">
            <v>BH12</v>
          </cell>
          <cell r="G179">
            <v>79</v>
          </cell>
          <cell r="H179">
            <v>0.25763400000000003</v>
          </cell>
          <cell r="I179">
            <v>2.25</v>
          </cell>
          <cell r="J179" t="str">
            <v xml:space="preserve"> Emballage-Adhésif</v>
          </cell>
          <cell r="K179">
            <v>5.1284999999999998</v>
          </cell>
          <cell r="M179" t="str">
            <v>FSQ460</v>
          </cell>
          <cell r="N179">
            <v>150</v>
          </cell>
          <cell r="O179">
            <v>0</v>
          </cell>
          <cell r="P179">
            <v>0</v>
          </cell>
          <cell r="Q179">
            <v>0</v>
          </cell>
        </row>
        <row r="180">
          <cell r="D180" t="str">
            <v>CSQ210</v>
          </cell>
          <cell r="E180">
            <v>12</v>
          </cell>
          <cell r="F180" t="str">
            <v>BH12</v>
          </cell>
          <cell r="G180">
            <v>135</v>
          </cell>
          <cell r="H180">
            <v>0.39982800000000007</v>
          </cell>
          <cell r="I180">
            <v>4.2749999999999995</v>
          </cell>
          <cell r="J180" t="str">
            <v xml:space="preserve"> Emballage-Adhésif</v>
          </cell>
          <cell r="K180">
            <v>8.4109999999999996</v>
          </cell>
          <cell r="M180" t="str">
            <v>FSQ534</v>
          </cell>
          <cell r="N180">
            <v>473</v>
          </cell>
          <cell r="O180">
            <v>0</v>
          </cell>
          <cell r="P180">
            <v>0</v>
          </cell>
          <cell r="Q180">
            <v>0</v>
          </cell>
        </row>
        <row r="181">
          <cell r="D181" t="str">
            <v>CSQ300</v>
          </cell>
          <cell r="E181">
            <v>20</v>
          </cell>
          <cell r="F181" t="str">
            <v>BZ20</v>
          </cell>
          <cell r="G181">
            <v>103</v>
          </cell>
          <cell r="H181">
            <v>8.5019999999999998E-2</v>
          </cell>
          <cell r="I181">
            <v>0.75</v>
          </cell>
          <cell r="J181" t="str">
            <v xml:space="preserve"> Emballage</v>
          </cell>
          <cell r="K181">
            <v>1.1895</v>
          </cell>
          <cell r="M181" t="str">
            <v>FSQ535</v>
          </cell>
          <cell r="N181">
            <v>124</v>
          </cell>
          <cell r="O181">
            <v>0</v>
          </cell>
          <cell r="P181">
            <v>0</v>
          </cell>
          <cell r="Q181">
            <v>0</v>
          </cell>
        </row>
        <row r="182">
          <cell r="D182" t="str">
            <v>CSQ301</v>
          </cell>
          <cell r="E182">
            <v>20</v>
          </cell>
          <cell r="F182" t="str">
            <v>BZ20</v>
          </cell>
          <cell r="G182">
            <v>65</v>
          </cell>
          <cell r="H182">
            <v>8.4239999999999995E-2</v>
          </cell>
          <cell r="I182">
            <v>0.75</v>
          </cell>
          <cell r="J182" t="str">
            <v xml:space="preserve"> Emballage</v>
          </cell>
          <cell r="K182">
            <v>1.3130000000000002</v>
          </cell>
          <cell r="M182" t="str">
            <v>FSQ536</v>
          </cell>
          <cell r="N182">
            <v>196</v>
          </cell>
          <cell r="O182">
            <v>-176</v>
          </cell>
          <cell r="P182">
            <v>-8.8000000000000007</v>
          </cell>
          <cell r="Q182">
            <v>0</v>
          </cell>
        </row>
        <row r="183">
          <cell r="D183" t="str">
            <v>CSQ302</v>
          </cell>
          <cell r="E183">
            <v>20</v>
          </cell>
          <cell r="F183" t="str">
            <v>BZ20</v>
          </cell>
          <cell r="G183">
            <v>85</v>
          </cell>
          <cell r="H183">
            <v>8.4239999999999995E-2</v>
          </cell>
          <cell r="I183">
            <v>0.75</v>
          </cell>
          <cell r="J183" t="str">
            <v xml:space="preserve"> Emballage</v>
          </cell>
          <cell r="K183">
            <v>1.157</v>
          </cell>
          <cell r="M183" t="str">
            <v>FSQ403</v>
          </cell>
          <cell r="N183">
            <v>281</v>
          </cell>
          <cell r="O183">
            <v>17</v>
          </cell>
          <cell r="P183">
            <v>5.7046979865771813E-2</v>
          </cell>
          <cell r="Q183">
            <v>95.666666666666671</v>
          </cell>
        </row>
        <row r="184">
          <cell r="D184" t="str">
            <v>CSQ303</v>
          </cell>
          <cell r="E184">
            <v>20</v>
          </cell>
          <cell r="F184" t="str">
            <v>BZ20</v>
          </cell>
          <cell r="G184">
            <v>161</v>
          </cell>
          <cell r="H184">
            <v>6.9264000000000006E-2</v>
          </cell>
          <cell r="I184">
            <v>0.75</v>
          </cell>
          <cell r="J184" t="str">
            <v xml:space="preserve"> Emballage</v>
          </cell>
          <cell r="K184">
            <v>1.079</v>
          </cell>
          <cell r="M184" t="str">
            <v>FSQ404</v>
          </cell>
          <cell r="N184">
            <v>32</v>
          </cell>
          <cell r="O184">
            <v>1</v>
          </cell>
          <cell r="P184">
            <v>3.0303030303030304E-2</v>
          </cell>
          <cell r="Q184">
            <v>18.399999999999999</v>
          </cell>
        </row>
        <row r="185">
          <cell r="D185" t="str">
            <v>CSQ304</v>
          </cell>
          <cell r="E185">
            <v>20</v>
          </cell>
          <cell r="F185" t="str">
            <v>BZ20</v>
          </cell>
          <cell r="G185">
            <v>130</v>
          </cell>
          <cell r="H185">
            <v>9.9839999999999998E-2</v>
          </cell>
          <cell r="I185">
            <v>0.75</v>
          </cell>
          <cell r="J185" t="str">
            <v xml:space="preserve"> Emballage</v>
          </cell>
          <cell r="K185">
            <v>1.157</v>
          </cell>
          <cell r="M185" t="str">
            <v>FSQ405</v>
          </cell>
          <cell r="N185">
            <v>292</v>
          </cell>
          <cell r="O185">
            <v>5</v>
          </cell>
          <cell r="P185">
            <v>1.6835016835016835E-2</v>
          </cell>
          <cell r="Q185">
            <v>10.199999999999999</v>
          </cell>
        </row>
        <row r="186">
          <cell r="D186" t="str">
            <v>CSQ305</v>
          </cell>
          <cell r="E186">
            <v>20</v>
          </cell>
          <cell r="F186" t="str">
            <v>BZ20</v>
          </cell>
          <cell r="G186">
            <v>96</v>
          </cell>
          <cell r="H186">
            <v>9.9839999999999998E-2</v>
          </cell>
          <cell r="I186">
            <v>0.75</v>
          </cell>
          <cell r="J186" t="str">
            <v xml:space="preserve"> Emballage</v>
          </cell>
          <cell r="K186">
            <v>1.56</v>
          </cell>
          <cell r="M186" t="str">
            <v>FSQ406</v>
          </cell>
          <cell r="N186">
            <v>25</v>
          </cell>
          <cell r="O186">
            <v>0</v>
          </cell>
          <cell r="P186">
            <v>0</v>
          </cell>
          <cell r="Q186">
            <v>4</v>
          </cell>
        </row>
        <row r="187">
          <cell r="D187" t="str">
            <v>CSQ306</v>
          </cell>
          <cell r="E187">
            <v>20</v>
          </cell>
          <cell r="F187" t="str">
            <v>BZ20</v>
          </cell>
          <cell r="G187">
            <v>88</v>
          </cell>
          <cell r="H187">
            <v>9.2039999999999983E-2</v>
          </cell>
          <cell r="I187">
            <v>0.75</v>
          </cell>
          <cell r="J187" t="str">
            <v xml:space="preserve"> Emballage</v>
          </cell>
          <cell r="K187">
            <v>1.4039999999999999</v>
          </cell>
          <cell r="M187" t="str">
            <v>FSQ408</v>
          </cell>
          <cell r="N187">
            <v>257</v>
          </cell>
          <cell r="O187">
            <v>11</v>
          </cell>
          <cell r="P187">
            <v>4.1044776119402986E-2</v>
          </cell>
          <cell r="Q187">
            <v>8.8571428571428577</v>
          </cell>
        </row>
        <row r="188">
          <cell r="D188" t="str">
            <v>C-TPR101</v>
          </cell>
          <cell r="E188">
            <v>12</v>
          </cell>
          <cell r="F188" t="str">
            <v>BH12</v>
          </cell>
          <cell r="G188">
            <v>250</v>
          </cell>
          <cell r="H188" t="e">
            <v>#N/A</v>
          </cell>
          <cell r="I188" t="e">
            <v>#N/A</v>
          </cell>
          <cell r="J188" t="e">
            <v>#N/A</v>
          </cell>
          <cell r="K188">
            <v>2</v>
          </cell>
          <cell r="M188" t="str">
            <v>FSQ500</v>
          </cell>
          <cell r="N188">
            <v>32</v>
          </cell>
          <cell r="O188">
            <v>0</v>
          </cell>
          <cell r="P188">
            <v>0</v>
          </cell>
          <cell r="Q188">
            <v>0</v>
          </cell>
        </row>
        <row r="189">
          <cell r="D189" t="str">
            <v>C-TPR754</v>
          </cell>
          <cell r="E189">
            <v>10</v>
          </cell>
          <cell r="G189">
            <v>250</v>
          </cell>
          <cell r="K189">
            <v>4</v>
          </cell>
          <cell r="M189" t="str">
            <v>BL770</v>
          </cell>
          <cell r="N189">
            <v>0</v>
          </cell>
          <cell r="O189">
            <v>0</v>
          </cell>
          <cell r="P189" t="e">
            <v>#DIV/0!</v>
          </cell>
          <cell r="Q189">
            <v>0</v>
          </cell>
        </row>
        <row r="190">
          <cell r="D190" t="str">
            <v>C-tube 16</v>
          </cell>
          <cell r="E190">
            <v>13</v>
          </cell>
          <cell r="F190" t="str">
            <v>U20/5</v>
          </cell>
          <cell r="G190">
            <v>250</v>
          </cell>
          <cell r="H190" t="e">
            <v>#N/A</v>
          </cell>
          <cell r="I190" t="e">
            <v>#N/A</v>
          </cell>
          <cell r="J190" t="e">
            <v>#N/A</v>
          </cell>
          <cell r="K190">
            <v>2</v>
          </cell>
          <cell r="M190" t="str">
            <v>BL771</v>
          </cell>
          <cell r="N190">
            <v>0</v>
          </cell>
          <cell r="O190">
            <v>0</v>
          </cell>
          <cell r="P190" t="e">
            <v>#DIV/0!</v>
          </cell>
          <cell r="Q190">
            <v>0</v>
          </cell>
        </row>
        <row r="191">
          <cell r="D191" t="str">
            <v>C-TUBE C 40X50</v>
          </cell>
          <cell r="E191">
            <v>13</v>
          </cell>
          <cell r="F191" t="str">
            <v>U20/5</v>
          </cell>
          <cell r="G191">
            <v>250</v>
          </cell>
          <cell r="H191" t="e">
            <v>#N/A</v>
          </cell>
          <cell r="I191" t="e">
            <v>#N/A</v>
          </cell>
          <cell r="J191" t="e">
            <v>#N/A</v>
          </cell>
          <cell r="K191">
            <v>2</v>
          </cell>
          <cell r="M191" t="str">
            <v>BL772</v>
          </cell>
          <cell r="N191">
            <v>0</v>
          </cell>
          <cell r="O191">
            <v>0</v>
          </cell>
          <cell r="P191" t="e">
            <v>#DIV/0!</v>
          </cell>
          <cell r="Q191">
            <v>0</v>
          </cell>
        </row>
        <row r="192">
          <cell r="D192" t="str">
            <v>E4600-522</v>
          </cell>
          <cell r="E192">
            <v>20</v>
          </cell>
          <cell r="K192">
            <v>0.185</v>
          </cell>
          <cell r="M192" t="str">
            <v>BL773</v>
          </cell>
          <cell r="N192">
            <v>0</v>
          </cell>
          <cell r="O192">
            <v>0</v>
          </cell>
          <cell r="P192" t="e">
            <v>#DIV/0!</v>
          </cell>
          <cell r="Q192">
            <v>0</v>
          </cell>
        </row>
        <row r="193">
          <cell r="D193" t="str">
            <v>EC22104</v>
          </cell>
          <cell r="E193" t="str">
            <v>vérifier</v>
          </cell>
          <cell r="F193" t="str">
            <v>BH12</v>
          </cell>
          <cell r="G193">
            <v>21</v>
          </cell>
          <cell r="H193">
            <v>0.23335</v>
          </cell>
          <cell r="I193" t="e">
            <v>#N/A</v>
          </cell>
          <cell r="J193" t="str">
            <v xml:space="preserve"> Emballage</v>
          </cell>
          <cell r="K193">
            <v>4.6669999999999998</v>
          </cell>
          <cell r="M193" t="str">
            <v>BL774</v>
          </cell>
          <cell r="N193">
            <v>0</v>
          </cell>
          <cell r="O193">
            <v>0</v>
          </cell>
          <cell r="P193" t="e">
            <v>#DIV/0!</v>
          </cell>
          <cell r="Q193">
            <v>0</v>
          </cell>
        </row>
        <row r="194">
          <cell r="D194" t="str">
            <v>EC22106</v>
          </cell>
          <cell r="E194">
            <v>13</v>
          </cell>
          <cell r="F194" t="str">
            <v>U20/5</v>
          </cell>
          <cell r="G194">
            <v>47</v>
          </cell>
          <cell r="H194">
            <v>0.22035000000000002</v>
          </cell>
          <cell r="I194" t="e">
            <v>#N/A</v>
          </cell>
          <cell r="J194" t="str">
            <v xml:space="preserve"> Emballage-Adhésif</v>
          </cell>
          <cell r="K194">
            <v>4.407</v>
          </cell>
          <cell r="M194" t="str">
            <v>BL775</v>
          </cell>
          <cell r="N194">
            <v>0</v>
          </cell>
          <cell r="O194">
            <v>0</v>
          </cell>
          <cell r="P194" t="e">
            <v>#DIV/0!</v>
          </cell>
          <cell r="Q194">
            <v>0</v>
          </cell>
        </row>
        <row r="195">
          <cell r="D195" t="str">
            <v>EC22112</v>
          </cell>
          <cell r="E195">
            <v>20</v>
          </cell>
          <cell r="F195" t="str">
            <v>BZ20</v>
          </cell>
          <cell r="G195">
            <v>71</v>
          </cell>
          <cell r="H195">
            <v>7.9949999999999993E-2</v>
          </cell>
          <cell r="I195" t="e">
            <v>#N/A</v>
          </cell>
          <cell r="J195" t="str">
            <v xml:space="preserve"> Emballage</v>
          </cell>
          <cell r="K195">
            <v>1.599</v>
          </cell>
          <cell r="M195" t="str">
            <v>BL776</v>
          </cell>
          <cell r="N195">
            <v>0</v>
          </cell>
          <cell r="O195">
            <v>0</v>
          </cell>
          <cell r="P195" t="e">
            <v>#DIV/0!</v>
          </cell>
          <cell r="Q195">
            <v>0</v>
          </cell>
        </row>
        <row r="196">
          <cell r="D196" t="str">
            <v>Ec40100</v>
          </cell>
          <cell r="E196">
            <v>13</v>
          </cell>
          <cell r="F196" t="str">
            <v>U20/5</v>
          </cell>
          <cell r="G196">
            <v>4</v>
          </cell>
          <cell r="H196">
            <v>0.26052000000000003</v>
          </cell>
          <cell r="I196">
            <v>3.375</v>
          </cell>
          <cell r="J196" t="str">
            <v xml:space="preserve"> Emballage-Adhésif</v>
          </cell>
          <cell r="K196">
            <v>4.1340000000000003</v>
          </cell>
          <cell r="M196" t="str">
            <v>FSQ501</v>
          </cell>
          <cell r="N196">
            <v>0</v>
          </cell>
          <cell r="O196">
            <v>0</v>
          </cell>
          <cell r="P196" t="e">
            <v>#DIV/0!</v>
          </cell>
          <cell r="Q196">
            <v>0</v>
          </cell>
        </row>
        <row r="197">
          <cell r="D197" t="str">
            <v>EC40102</v>
          </cell>
          <cell r="E197">
            <v>13</v>
          </cell>
          <cell r="F197" t="str">
            <v>U20/5</v>
          </cell>
          <cell r="G197">
            <v>17</v>
          </cell>
          <cell r="H197">
            <v>0.19422</v>
          </cell>
          <cell r="I197">
            <v>2.25</v>
          </cell>
          <cell r="J197" t="str">
            <v xml:space="preserve"> Emballage-Adhésif</v>
          </cell>
          <cell r="K197">
            <v>3.2825000000000002</v>
          </cell>
          <cell r="M197" t="str">
            <v>FSQ521</v>
          </cell>
          <cell r="N197">
            <v>308</v>
          </cell>
          <cell r="O197">
            <v>4</v>
          </cell>
          <cell r="P197">
            <v>1.282051282051282E-2</v>
          </cell>
          <cell r="Q197">
            <v>0</v>
          </cell>
        </row>
        <row r="198">
          <cell r="D198" t="str">
            <v>EC40104</v>
          </cell>
          <cell r="E198">
            <v>13</v>
          </cell>
          <cell r="F198" t="str">
            <v>U20/5</v>
          </cell>
          <cell r="G198">
            <v>42</v>
          </cell>
          <cell r="H198">
            <v>0.28625999999999996</v>
          </cell>
          <cell r="I198">
            <v>3.375</v>
          </cell>
          <cell r="J198" t="str">
            <v xml:space="preserve"> Emballage-Adhésif</v>
          </cell>
          <cell r="K198">
            <v>5.7004999999999999</v>
          </cell>
          <cell r="M198" t="str">
            <v>FSQ502</v>
          </cell>
          <cell r="N198">
            <v>155</v>
          </cell>
          <cell r="O198">
            <v>4</v>
          </cell>
          <cell r="P198">
            <v>2.5157232704402517E-2</v>
          </cell>
          <cell r="Q198">
            <v>0</v>
          </cell>
        </row>
        <row r="199">
          <cell r="D199" t="str">
            <v>EC40107</v>
          </cell>
          <cell r="E199">
            <v>20</v>
          </cell>
          <cell r="F199" t="str">
            <v>BZ20</v>
          </cell>
          <cell r="G199">
            <v>38</v>
          </cell>
          <cell r="H199">
            <v>3.5879999999999995E-2</v>
          </cell>
          <cell r="I199">
            <v>1.125</v>
          </cell>
          <cell r="J199" t="str">
            <v xml:space="preserve"> Emballage</v>
          </cell>
          <cell r="K199">
            <v>0.67599999999999993</v>
          </cell>
          <cell r="M199" t="str">
            <v>FSQ510</v>
          </cell>
          <cell r="N199">
            <v>340</v>
          </cell>
          <cell r="O199">
            <v>0</v>
          </cell>
          <cell r="P199">
            <v>0</v>
          </cell>
          <cell r="Q199">
            <v>0</v>
          </cell>
        </row>
        <row r="200">
          <cell r="D200" t="str">
            <v>EC40112</v>
          </cell>
          <cell r="E200">
            <v>14</v>
          </cell>
          <cell r="F200" t="str">
            <v>BZ14</v>
          </cell>
          <cell r="G200">
            <v>35</v>
          </cell>
          <cell r="H200">
            <v>0.27221999999999996</v>
          </cell>
          <cell r="I200">
            <v>3.375</v>
          </cell>
          <cell r="J200" t="str">
            <v xml:space="preserve"> Emballage-Adhésif</v>
          </cell>
          <cell r="K200">
            <v>4.16</v>
          </cell>
          <cell r="M200" t="str">
            <v>FSQ520</v>
          </cell>
          <cell r="N200">
            <v>240</v>
          </cell>
          <cell r="O200">
            <v>0</v>
          </cell>
          <cell r="P200">
            <v>0</v>
          </cell>
          <cell r="Q200">
            <v>0</v>
          </cell>
        </row>
        <row r="201">
          <cell r="D201" t="str">
            <v>EC40121</v>
          </cell>
          <cell r="E201">
            <v>9</v>
          </cell>
          <cell r="F201" t="str">
            <v>U20/5</v>
          </cell>
          <cell r="G201">
            <v>43</v>
          </cell>
          <cell r="H201">
            <v>0.38532</v>
          </cell>
          <cell r="I201">
            <v>4.2749999999999995</v>
          </cell>
          <cell r="J201" t="str">
            <v xml:space="preserve"> Emballage-Adhésif</v>
          </cell>
          <cell r="K201">
            <v>8.7554999999999996</v>
          </cell>
          <cell r="M201" t="str">
            <v>FSQ530</v>
          </cell>
          <cell r="N201">
            <v>244</v>
          </cell>
          <cell r="O201">
            <v>12</v>
          </cell>
          <cell r="P201">
            <v>4.6875E-2</v>
          </cell>
          <cell r="Q201">
            <v>0</v>
          </cell>
        </row>
        <row r="202">
          <cell r="D202" t="str">
            <v>EC40148</v>
          </cell>
          <cell r="E202">
            <v>13</v>
          </cell>
          <cell r="F202" t="str">
            <v>U20/5</v>
          </cell>
          <cell r="G202">
            <v>39</v>
          </cell>
          <cell r="H202">
            <v>0.26130000000000003</v>
          </cell>
          <cell r="I202">
            <v>3</v>
          </cell>
          <cell r="J202" t="str">
            <v xml:space="preserve"> Emballage-Adhésif</v>
          </cell>
          <cell r="K202">
            <v>4.1989999999999998</v>
          </cell>
          <cell r="M202" t="str">
            <v>FSQ540</v>
          </cell>
          <cell r="N202">
            <v>218</v>
          </cell>
          <cell r="O202">
            <v>1</v>
          </cell>
          <cell r="P202">
            <v>4.5662100456621002E-3</v>
          </cell>
          <cell r="Q202">
            <v>0</v>
          </cell>
        </row>
        <row r="203">
          <cell r="D203" t="str">
            <v>EC40154</v>
          </cell>
          <cell r="E203">
            <v>9</v>
          </cell>
          <cell r="F203" t="str">
            <v>U20/5</v>
          </cell>
          <cell r="G203">
            <v>86</v>
          </cell>
          <cell r="H203">
            <v>0.38375999999999999</v>
          </cell>
          <cell r="I203">
            <v>4.2749999999999995</v>
          </cell>
          <cell r="J203" t="str">
            <v xml:space="preserve"> Emballage-Adhésif</v>
          </cell>
          <cell r="K203">
            <v>8.7100000000000009</v>
          </cell>
          <cell r="M203" t="str">
            <v>DS001</v>
          </cell>
          <cell r="N203">
            <v>0</v>
          </cell>
          <cell r="O203">
            <v>53</v>
          </cell>
          <cell r="P203">
            <v>1</v>
          </cell>
          <cell r="Q203">
            <v>0</v>
          </cell>
        </row>
        <row r="204">
          <cell r="D204" t="str">
            <v>EC40165</v>
          </cell>
          <cell r="E204">
            <v>13</v>
          </cell>
          <cell r="F204" t="str">
            <v>U20/5</v>
          </cell>
          <cell r="G204">
            <v>87</v>
          </cell>
          <cell r="H204">
            <v>0.12323999999999999</v>
          </cell>
          <cell r="I204">
            <v>0</v>
          </cell>
          <cell r="J204" t="str">
            <v xml:space="preserve"> Emballage-Adhésif</v>
          </cell>
          <cell r="K204">
            <v>4.0625</v>
          </cell>
          <cell r="M204" t="str">
            <v>DS002</v>
          </cell>
          <cell r="N204">
            <v>901</v>
          </cell>
          <cell r="O204">
            <v>-901</v>
          </cell>
          <cell r="P204" t="e">
            <v>#DIV/0!</v>
          </cell>
          <cell r="Q204">
            <v>0</v>
          </cell>
        </row>
        <row r="205">
          <cell r="D205" t="str">
            <v>EC40166</v>
          </cell>
          <cell r="E205">
            <v>20</v>
          </cell>
          <cell r="F205" t="str">
            <v>BZ20</v>
          </cell>
          <cell r="G205">
            <v>2</v>
          </cell>
          <cell r="H205">
            <v>0.29171999999999998</v>
          </cell>
          <cell r="I205">
            <v>2.25</v>
          </cell>
          <cell r="J205" t="str">
            <v xml:space="preserve"> Emballage</v>
          </cell>
          <cell r="K205">
            <v>1.482</v>
          </cell>
          <cell r="M205" t="str">
            <v>DS003</v>
          </cell>
          <cell r="N205">
            <v>1069</v>
          </cell>
          <cell r="O205">
            <v>-1069</v>
          </cell>
          <cell r="P205" t="e">
            <v>#DIV/0!</v>
          </cell>
          <cell r="Q205">
            <v>0</v>
          </cell>
        </row>
        <row r="206">
          <cell r="D206" t="str">
            <v>EC40402</v>
          </cell>
          <cell r="E206">
            <v>13</v>
          </cell>
          <cell r="F206" t="str">
            <v>U20/5</v>
          </cell>
          <cell r="G206">
            <v>6</v>
          </cell>
          <cell r="H206">
            <v>0.32447999999999994</v>
          </cell>
          <cell r="I206">
            <v>3.375</v>
          </cell>
          <cell r="J206" t="str">
            <v xml:space="preserve"> Emballage-Adhésif</v>
          </cell>
          <cell r="K206">
            <v>4.2250000000000005</v>
          </cell>
          <cell r="M206" t="str">
            <v>DS004</v>
          </cell>
          <cell r="N206">
            <v>68</v>
          </cell>
          <cell r="O206">
            <v>0</v>
          </cell>
          <cell r="P206">
            <v>0</v>
          </cell>
          <cell r="Q206">
            <v>0</v>
          </cell>
        </row>
        <row r="207">
          <cell r="D207" t="str">
            <v>EC40404</v>
          </cell>
          <cell r="E207">
            <v>13</v>
          </cell>
          <cell r="F207" t="str">
            <v>U20/5</v>
          </cell>
          <cell r="G207">
            <v>11</v>
          </cell>
          <cell r="H207">
            <v>0.28157999999999994</v>
          </cell>
          <cell r="I207">
            <v>3</v>
          </cell>
          <cell r="J207" t="str">
            <v xml:space="preserve"> Emballage-Adhésif</v>
          </cell>
          <cell r="K207">
            <v>4.8879999999999999</v>
          </cell>
          <cell r="M207" t="str">
            <v>PIV001</v>
          </cell>
          <cell r="N207">
            <v>33</v>
          </cell>
          <cell r="O207">
            <v>-33</v>
          </cell>
          <cell r="P207" t="e">
            <v>#DIV/0!</v>
          </cell>
          <cell r="Q207">
            <v>0</v>
          </cell>
        </row>
        <row r="208">
          <cell r="D208" t="str">
            <v>EC40404/1</v>
          </cell>
          <cell r="E208">
            <v>13</v>
          </cell>
          <cell r="F208" t="str">
            <v>U20/5</v>
          </cell>
          <cell r="G208">
            <v>11</v>
          </cell>
          <cell r="H208">
            <v>0.28157999999999994</v>
          </cell>
          <cell r="I208">
            <v>3</v>
          </cell>
          <cell r="J208" t="str">
            <v xml:space="preserve"> Emballage-Adhésif</v>
          </cell>
          <cell r="K208">
            <v>4.8879999999999999</v>
          </cell>
          <cell r="M208" t="str">
            <v>PIV002</v>
          </cell>
          <cell r="N208">
            <v>70</v>
          </cell>
          <cell r="O208">
            <v>-70</v>
          </cell>
          <cell r="P208" t="e">
            <v>#DIV/0!</v>
          </cell>
          <cell r="Q208">
            <v>0</v>
          </cell>
        </row>
        <row r="209">
          <cell r="D209" t="str">
            <v>EC404042</v>
          </cell>
          <cell r="E209">
            <v>14</v>
          </cell>
          <cell r="K209">
            <v>3.9649999999999999</v>
          </cell>
          <cell r="M209" t="str">
            <v>PIV003</v>
          </cell>
          <cell r="N209">
            <v>42</v>
          </cell>
          <cell r="O209">
            <v>-42</v>
          </cell>
          <cell r="P209" t="e">
            <v>#DIV/0!</v>
          </cell>
          <cell r="Q209">
            <v>0</v>
          </cell>
        </row>
        <row r="210">
          <cell r="D210" t="str">
            <v>EC6007</v>
          </cell>
          <cell r="E210">
            <v>14</v>
          </cell>
          <cell r="K210">
            <v>1</v>
          </cell>
          <cell r="M210" t="str">
            <v>PIV004</v>
          </cell>
          <cell r="N210">
            <v>60</v>
          </cell>
          <cell r="O210">
            <v>-60</v>
          </cell>
          <cell r="P210" t="e">
            <v>#DIV/0!</v>
          </cell>
          <cell r="Q210">
            <v>0</v>
          </cell>
        </row>
        <row r="211">
          <cell r="D211" t="str">
            <v>EC67101</v>
          </cell>
          <cell r="E211">
            <v>12</v>
          </cell>
          <cell r="F211" t="str">
            <v>BH12</v>
          </cell>
          <cell r="G211">
            <v>57</v>
          </cell>
          <cell r="H211">
            <v>0.31278</v>
          </cell>
          <cell r="I211">
            <v>3.375</v>
          </cell>
          <cell r="J211" t="str">
            <v xml:space="preserve"> Emballage</v>
          </cell>
          <cell r="K211">
            <v>4.9855</v>
          </cell>
          <cell r="M211" t="str">
            <v>PIV005</v>
          </cell>
          <cell r="N211">
            <v>95</v>
          </cell>
          <cell r="O211">
            <v>-95</v>
          </cell>
          <cell r="P211" t="e">
            <v>#DIV/0!</v>
          </cell>
          <cell r="Q211">
            <v>0</v>
          </cell>
        </row>
        <row r="212">
          <cell r="D212" t="str">
            <v>EC67102</v>
          </cell>
          <cell r="E212">
            <v>12</v>
          </cell>
          <cell r="F212" t="str">
            <v>BH12</v>
          </cell>
          <cell r="G212">
            <v>53</v>
          </cell>
          <cell r="H212">
            <v>0.35958000000000001</v>
          </cell>
          <cell r="I212">
            <v>4.2749999999999995</v>
          </cell>
          <cell r="J212" t="str">
            <v xml:space="preserve"> Emballage</v>
          </cell>
          <cell r="K212">
            <v>5.6355000000000004</v>
          </cell>
          <cell r="M212" t="str">
            <v>PIV006</v>
          </cell>
          <cell r="N212">
            <v>174</v>
          </cell>
          <cell r="O212">
            <v>-174</v>
          </cell>
          <cell r="P212" t="e">
            <v>#DIV/0!</v>
          </cell>
          <cell r="Q212">
            <v>0</v>
          </cell>
        </row>
        <row r="213">
          <cell r="D213" t="str">
            <v>EC67103</v>
          </cell>
          <cell r="E213">
            <v>12</v>
          </cell>
          <cell r="F213" t="str">
            <v>BH12</v>
          </cell>
          <cell r="G213">
            <v>15</v>
          </cell>
          <cell r="H213">
            <v>0.39233999999999997</v>
          </cell>
          <cell r="I213">
            <v>4.2749999999999995</v>
          </cell>
          <cell r="J213" t="str">
            <v xml:space="preserve"> Emballage</v>
          </cell>
          <cell r="K213">
            <v>6.0449999999999999</v>
          </cell>
          <cell r="M213" t="str">
            <v>PIV007</v>
          </cell>
          <cell r="N213">
            <v>1210</v>
          </cell>
          <cell r="O213">
            <v>-1210</v>
          </cell>
          <cell r="P213" t="e">
            <v>#DIV/0!</v>
          </cell>
          <cell r="Q213">
            <v>0</v>
          </cell>
        </row>
        <row r="214">
          <cell r="D214" t="str">
            <v>EC67104</v>
          </cell>
          <cell r="E214">
            <v>13</v>
          </cell>
          <cell r="F214" t="str">
            <v>U20/5</v>
          </cell>
          <cell r="G214">
            <v>36</v>
          </cell>
          <cell r="H214">
            <v>0.22619999999999996</v>
          </cell>
          <cell r="I214">
            <v>3</v>
          </cell>
          <cell r="J214" t="str">
            <v xml:space="preserve"> Emballage-Adhésif</v>
          </cell>
          <cell r="K214">
            <v>3.8739999999999997</v>
          </cell>
          <cell r="M214" t="str">
            <v>KLHS7415</v>
          </cell>
          <cell r="N214">
            <v>0</v>
          </cell>
          <cell r="O214">
            <v>0</v>
          </cell>
          <cell r="P214" t="e">
            <v>#DIV/0!</v>
          </cell>
          <cell r="Q214">
            <v>0</v>
          </cell>
        </row>
        <row r="215">
          <cell r="D215" t="str">
            <v>EC67105</v>
          </cell>
          <cell r="E215">
            <v>13</v>
          </cell>
          <cell r="F215" t="str">
            <v>U20/5</v>
          </cell>
          <cell r="G215">
            <v>32</v>
          </cell>
          <cell r="H215">
            <v>0.15756000000000001</v>
          </cell>
          <cell r="I215">
            <v>2.25</v>
          </cell>
          <cell r="J215" t="str">
            <v xml:space="preserve"> Emballage-Adhésif</v>
          </cell>
          <cell r="K215">
            <v>2.9445000000000001</v>
          </cell>
          <cell r="M215" t="str">
            <v>KLHS7418</v>
          </cell>
          <cell r="N215">
            <v>0</v>
          </cell>
          <cell r="O215">
            <v>0</v>
          </cell>
          <cell r="P215" t="e">
            <v>#DIV/0!</v>
          </cell>
          <cell r="Q215">
            <v>0</v>
          </cell>
        </row>
        <row r="216">
          <cell r="D216" t="str">
            <v>EC67106</v>
          </cell>
          <cell r="E216">
            <v>15</v>
          </cell>
          <cell r="F216" t="str">
            <v>BV15</v>
          </cell>
          <cell r="G216">
            <v>33</v>
          </cell>
          <cell r="H216">
            <v>0.26363999999999999</v>
          </cell>
          <cell r="I216">
            <v>3</v>
          </cell>
          <cell r="J216" t="str">
            <v xml:space="preserve"> Emballage-Adhésif</v>
          </cell>
          <cell r="K216">
            <v>3.5425000000000004</v>
          </cell>
          <cell r="M216" t="str">
            <v>KLHS7419</v>
          </cell>
          <cell r="N216">
            <v>0</v>
          </cell>
          <cell r="O216">
            <v>0</v>
          </cell>
          <cell r="P216" t="e">
            <v>#DIV/0!</v>
          </cell>
          <cell r="Q216">
            <v>0</v>
          </cell>
        </row>
        <row r="217">
          <cell r="D217" t="str">
            <v>EC80104</v>
          </cell>
          <cell r="E217">
            <v>13</v>
          </cell>
          <cell r="F217" t="str">
            <v>U20/5</v>
          </cell>
          <cell r="G217">
            <v>62</v>
          </cell>
          <cell r="H217">
            <v>0.16457999999999998</v>
          </cell>
          <cell r="I217">
            <v>3.375</v>
          </cell>
          <cell r="J217" t="str">
            <v xml:space="preserve"> Emballage-Adhésif</v>
          </cell>
          <cell r="K217">
            <v>4.0105000000000004</v>
          </cell>
          <cell r="M217" t="str">
            <v>KL7401</v>
          </cell>
          <cell r="N217">
            <v>0</v>
          </cell>
          <cell r="O217">
            <v>0</v>
          </cell>
          <cell r="P217" t="e">
            <v>#DIV/0!</v>
          </cell>
          <cell r="Q217">
            <v>0</v>
          </cell>
        </row>
        <row r="218">
          <cell r="D218" t="str">
            <v>EC80105</v>
          </cell>
          <cell r="E218">
            <v>13</v>
          </cell>
          <cell r="F218" t="str">
            <v>U20/5</v>
          </cell>
          <cell r="G218">
            <v>136</v>
          </cell>
          <cell r="H218">
            <v>0.25974000000000003</v>
          </cell>
          <cell r="I218">
            <v>3.375</v>
          </cell>
          <cell r="J218" t="str">
            <v xml:space="preserve"> Emballage-Adhésif</v>
          </cell>
          <cell r="K218">
            <v>3.2825000000000002</v>
          </cell>
          <cell r="M218" t="str">
            <v>KL7402</v>
          </cell>
          <cell r="N218">
            <v>0</v>
          </cell>
          <cell r="O218">
            <v>0</v>
          </cell>
          <cell r="P218" t="e">
            <v>#DIV/0!</v>
          </cell>
          <cell r="Q218">
            <v>0</v>
          </cell>
        </row>
        <row r="219">
          <cell r="D219" t="str">
            <v>EC80106</v>
          </cell>
          <cell r="E219">
            <v>15</v>
          </cell>
          <cell r="F219" t="str">
            <v>BV15</v>
          </cell>
          <cell r="G219">
            <v>80</v>
          </cell>
          <cell r="H219">
            <v>9.1260000000000008E-2</v>
          </cell>
          <cell r="I219">
            <v>6</v>
          </cell>
          <cell r="J219" t="str">
            <v xml:space="preserve"> Emballage-Adhésif</v>
          </cell>
          <cell r="K219">
            <v>3.6075000000000004</v>
          </cell>
          <cell r="M219" t="str">
            <v>KL7403</v>
          </cell>
          <cell r="N219">
            <v>0</v>
          </cell>
          <cell r="O219">
            <v>0</v>
          </cell>
          <cell r="P219" t="e">
            <v>#DIV/0!</v>
          </cell>
          <cell r="Q219">
            <v>0</v>
          </cell>
        </row>
        <row r="220">
          <cell r="D220" t="str">
            <v>EC80114</v>
          </cell>
          <cell r="E220">
            <v>20</v>
          </cell>
          <cell r="F220" t="str">
            <v>BZ20</v>
          </cell>
          <cell r="G220">
            <v>46</v>
          </cell>
          <cell r="H220">
            <v>0.25194</v>
          </cell>
          <cell r="I220">
            <v>2.25</v>
          </cell>
          <cell r="J220" t="str">
            <v xml:space="preserve"> Emballage</v>
          </cell>
          <cell r="K220">
            <v>1.04</v>
          </cell>
          <cell r="M220" t="str">
            <v>KL7404</v>
          </cell>
          <cell r="N220">
            <v>0</v>
          </cell>
          <cell r="O220">
            <v>0</v>
          </cell>
          <cell r="P220" t="e">
            <v>#DIV/0!</v>
          </cell>
          <cell r="Q220">
            <v>0</v>
          </cell>
        </row>
        <row r="221">
          <cell r="D221" t="str">
            <v>EC80120</v>
          </cell>
          <cell r="E221">
            <v>12</v>
          </cell>
          <cell r="F221" t="str">
            <v>BH12</v>
          </cell>
          <cell r="G221">
            <v>139</v>
          </cell>
          <cell r="H221">
            <v>0.29874000000000001</v>
          </cell>
          <cell r="I221">
            <v>0.75</v>
          </cell>
          <cell r="J221" t="str">
            <v xml:space="preserve"> Emballage</v>
          </cell>
          <cell r="K221">
            <v>4.8879999999999999</v>
          </cell>
          <cell r="M221" t="str">
            <v>KL7405</v>
          </cell>
          <cell r="N221">
            <v>0</v>
          </cell>
          <cell r="O221">
            <v>1</v>
          </cell>
          <cell r="P221">
            <v>1</v>
          </cell>
          <cell r="Q221">
            <v>0</v>
          </cell>
        </row>
        <row r="222">
          <cell r="D222" t="str">
            <v>EC80121</v>
          </cell>
          <cell r="E222">
            <v>12</v>
          </cell>
          <cell r="F222" t="str">
            <v>BH12</v>
          </cell>
          <cell r="G222">
            <v>110</v>
          </cell>
          <cell r="H222">
            <v>0.29874000000000001</v>
          </cell>
          <cell r="I222">
            <v>2.25</v>
          </cell>
          <cell r="J222" t="str">
            <v xml:space="preserve"> Emballage</v>
          </cell>
          <cell r="K222">
            <v>5.5380000000000003</v>
          </cell>
          <cell r="M222" t="str">
            <v>KL7406</v>
          </cell>
          <cell r="N222">
            <v>0</v>
          </cell>
          <cell r="O222">
            <v>0</v>
          </cell>
          <cell r="P222" t="e">
            <v>#DIV/0!</v>
          </cell>
          <cell r="Q222">
            <v>0</v>
          </cell>
        </row>
        <row r="223">
          <cell r="D223" t="str">
            <v>ECGL248</v>
          </cell>
          <cell r="E223">
            <v>20</v>
          </cell>
          <cell r="K223">
            <v>2</v>
          </cell>
          <cell r="M223" t="str">
            <v>KL7407</v>
          </cell>
          <cell r="N223">
            <v>0</v>
          </cell>
          <cell r="O223">
            <v>0</v>
          </cell>
          <cell r="P223" t="e">
            <v>#DIV/0!</v>
          </cell>
          <cell r="Q223">
            <v>0</v>
          </cell>
        </row>
        <row r="224">
          <cell r="D224" t="str">
            <v>FR100</v>
          </cell>
          <cell r="E224">
            <v>13</v>
          </cell>
          <cell r="F224" t="str">
            <v>U20/5</v>
          </cell>
          <cell r="G224">
            <v>12</v>
          </cell>
          <cell r="H224">
            <v>0.26052000000000003</v>
          </cell>
          <cell r="I224">
            <v>3.375</v>
          </cell>
          <cell r="J224" t="str">
            <v xml:space="preserve"> Emballage-Adhésif</v>
          </cell>
          <cell r="K224">
            <v>5.4209999999999994</v>
          </cell>
          <cell r="M224" t="str">
            <v>KL7409</v>
          </cell>
          <cell r="N224">
            <v>0</v>
          </cell>
          <cell r="O224">
            <v>0</v>
          </cell>
          <cell r="P224" t="e">
            <v>#DIV/0!</v>
          </cell>
          <cell r="Q224">
            <v>0</v>
          </cell>
        </row>
        <row r="225">
          <cell r="D225" t="str">
            <v>FR102</v>
          </cell>
          <cell r="E225">
            <v>13</v>
          </cell>
          <cell r="F225" t="str">
            <v>U20/5</v>
          </cell>
          <cell r="G225">
            <v>23</v>
          </cell>
          <cell r="H225">
            <v>0.19422</v>
          </cell>
          <cell r="I225">
            <v>2.25</v>
          </cell>
          <cell r="J225" t="str">
            <v xml:space="preserve"> Emballage-Adhésif</v>
          </cell>
          <cell r="K225">
            <v>4.3875000000000002</v>
          </cell>
          <cell r="M225" t="str">
            <v>KL7410</v>
          </cell>
          <cell r="N225">
            <v>0</v>
          </cell>
          <cell r="O225">
            <v>0</v>
          </cell>
          <cell r="P225" t="e">
            <v>#DIV/0!</v>
          </cell>
          <cell r="Q225">
            <v>0</v>
          </cell>
        </row>
        <row r="226">
          <cell r="D226" t="str">
            <v>FR104</v>
          </cell>
          <cell r="E226">
            <v>13</v>
          </cell>
          <cell r="F226" t="str">
            <v>U20/5</v>
          </cell>
          <cell r="G226">
            <v>50</v>
          </cell>
          <cell r="H226">
            <v>0.28625999999999996</v>
          </cell>
          <cell r="I226">
            <v>3.375</v>
          </cell>
          <cell r="J226" t="str">
            <v xml:space="preserve"> Emballage-Adhésif</v>
          </cell>
          <cell r="K226">
            <v>7.1695000000000002</v>
          </cell>
          <cell r="M226" t="str">
            <v>KL7412</v>
          </cell>
          <cell r="N226">
            <v>0</v>
          </cell>
          <cell r="O226">
            <v>1</v>
          </cell>
          <cell r="P226">
            <v>1</v>
          </cell>
          <cell r="Q226">
            <v>0</v>
          </cell>
        </row>
        <row r="227">
          <cell r="D227" t="str">
            <v>FR107</v>
          </cell>
          <cell r="E227">
            <v>20</v>
          </cell>
          <cell r="F227" t="str">
            <v>BZ20</v>
          </cell>
          <cell r="G227">
            <v>55</v>
          </cell>
          <cell r="H227">
            <v>3.5879999999999995E-2</v>
          </cell>
          <cell r="I227">
            <v>1.125</v>
          </cell>
          <cell r="J227" t="str">
            <v xml:space="preserve"> Emballage</v>
          </cell>
          <cell r="K227">
            <v>0.96849999999999992</v>
          </cell>
          <cell r="M227" t="str">
            <v>KL7413</v>
          </cell>
          <cell r="N227">
            <v>0</v>
          </cell>
          <cell r="O227">
            <v>0</v>
          </cell>
          <cell r="P227" t="e">
            <v>#DIV/0!</v>
          </cell>
          <cell r="Q227">
            <v>0</v>
          </cell>
        </row>
        <row r="228">
          <cell r="D228" t="str">
            <v>FR108</v>
          </cell>
          <cell r="E228">
            <v>20</v>
          </cell>
          <cell r="F228" t="str">
            <v>BZ20</v>
          </cell>
          <cell r="G228">
            <v>76</v>
          </cell>
          <cell r="H228">
            <v>5.8499999999999996E-2</v>
          </cell>
          <cell r="I228">
            <v>1.125</v>
          </cell>
          <cell r="J228" t="str">
            <v xml:space="preserve"> Emballage</v>
          </cell>
          <cell r="K228">
            <v>0.89050000000000007</v>
          </cell>
          <cell r="M228" t="str">
            <v>KL7414</v>
          </cell>
          <cell r="N228">
            <v>0</v>
          </cell>
          <cell r="O228">
            <v>0</v>
          </cell>
          <cell r="P228" t="e">
            <v>#DIV/0!</v>
          </cell>
          <cell r="Q228">
            <v>0</v>
          </cell>
        </row>
        <row r="229">
          <cell r="D229" t="str">
            <v>FR110</v>
          </cell>
          <cell r="E229">
            <v>20</v>
          </cell>
          <cell r="F229" t="str">
            <v>BZ20</v>
          </cell>
          <cell r="G229">
            <v>73</v>
          </cell>
          <cell r="H229">
            <v>0.12479999999999999</v>
          </cell>
          <cell r="I229">
            <v>1.125</v>
          </cell>
          <cell r="J229" t="str">
            <v xml:space="preserve"> Emballage</v>
          </cell>
          <cell r="K229">
            <v>1.7030000000000001</v>
          </cell>
          <cell r="M229" t="str">
            <v>KL7416</v>
          </cell>
          <cell r="N229">
            <v>0</v>
          </cell>
          <cell r="O229">
            <v>0</v>
          </cell>
          <cell r="P229" t="e">
            <v>#DIV/0!</v>
          </cell>
          <cell r="Q229">
            <v>0</v>
          </cell>
        </row>
        <row r="230">
          <cell r="D230" t="str">
            <v>FR111</v>
          </cell>
          <cell r="E230">
            <v>20</v>
          </cell>
          <cell r="F230" t="str">
            <v>BZ20</v>
          </cell>
          <cell r="G230">
            <v>41</v>
          </cell>
          <cell r="H230">
            <v>0.12558</v>
          </cell>
          <cell r="I230">
            <v>1.125</v>
          </cell>
          <cell r="J230" t="str">
            <v xml:space="preserve"> Emballage</v>
          </cell>
          <cell r="K230">
            <v>1.7030000000000001</v>
          </cell>
          <cell r="M230" t="str">
            <v>KL7417</v>
          </cell>
          <cell r="N230">
            <v>0</v>
          </cell>
          <cell r="O230">
            <v>0</v>
          </cell>
          <cell r="P230" t="e">
            <v>#DIV/0!</v>
          </cell>
          <cell r="Q230">
            <v>0</v>
          </cell>
        </row>
        <row r="231">
          <cell r="D231" t="str">
            <v>FR112</v>
          </cell>
          <cell r="E231">
            <v>14</v>
          </cell>
          <cell r="F231" t="str">
            <v>BZ14</v>
          </cell>
          <cell r="G231">
            <v>48</v>
          </cell>
          <cell r="H231">
            <v>0.27221999999999996</v>
          </cell>
          <cell r="I231">
            <v>3.375</v>
          </cell>
          <cell r="J231" t="str">
            <v xml:space="preserve"> Emballage-Adhésif</v>
          </cell>
          <cell r="K231">
            <v>4.5175000000000001</v>
          </cell>
          <cell r="M231" t="str">
            <v>LM-757</v>
          </cell>
          <cell r="N231">
            <v>16498</v>
          </cell>
          <cell r="O231">
            <v>777</v>
          </cell>
          <cell r="P231">
            <v>4.4978292329956586E-2</v>
          </cell>
          <cell r="Q231">
            <v>13391.545454545454</v>
          </cell>
        </row>
        <row r="232">
          <cell r="D232" t="str">
            <v>FR121</v>
          </cell>
          <cell r="E232">
            <v>9</v>
          </cell>
          <cell r="F232" t="str">
            <v>U20/5</v>
          </cell>
          <cell r="G232">
            <v>100</v>
          </cell>
          <cell r="H232">
            <v>0.38532</v>
          </cell>
          <cell r="I232">
            <v>4.2749999999999995</v>
          </cell>
          <cell r="J232" t="str">
            <v xml:space="preserve"> Emballage-Adhésif</v>
          </cell>
          <cell r="K232">
            <v>11.173500000000001</v>
          </cell>
          <cell r="M232" t="str">
            <v>LM-FVS</v>
          </cell>
          <cell r="N232">
            <v>0</v>
          </cell>
          <cell r="O232">
            <v>0</v>
          </cell>
          <cell r="P232" t="e">
            <v>#DIV/0!</v>
          </cell>
          <cell r="Q232">
            <v>0</v>
          </cell>
        </row>
        <row r="233">
          <cell r="D233" t="str">
            <v>FR123</v>
          </cell>
          <cell r="E233">
            <v>20</v>
          </cell>
          <cell r="F233" t="str">
            <v>BZ20</v>
          </cell>
          <cell r="G233">
            <v>250</v>
          </cell>
          <cell r="H233" t="e">
            <v>#N/A</v>
          </cell>
          <cell r="I233" t="e">
            <v>#N/A</v>
          </cell>
          <cell r="J233" t="e">
            <v>#N/A</v>
          </cell>
          <cell r="K233">
            <v>1</v>
          </cell>
          <cell r="M233" t="str">
            <v>LM-S758</v>
          </cell>
          <cell r="N233">
            <v>415</v>
          </cell>
          <cell r="O233">
            <v>75</v>
          </cell>
          <cell r="P233">
            <v>0.15306122448979592</v>
          </cell>
          <cell r="Q233">
            <v>1750.6</v>
          </cell>
        </row>
        <row r="234">
          <cell r="D234" t="str">
            <v>FR127</v>
          </cell>
          <cell r="E234">
            <v>20</v>
          </cell>
          <cell r="F234" t="str">
            <v>BZ20</v>
          </cell>
          <cell r="G234">
            <v>119</v>
          </cell>
          <cell r="H234">
            <v>0.10842</v>
          </cell>
          <cell r="I234">
            <v>1.125</v>
          </cell>
          <cell r="J234" t="str">
            <v xml:space="preserve"> Emballage</v>
          </cell>
          <cell r="K234">
            <v>1.9955000000000001</v>
          </cell>
          <cell r="M234" t="str">
            <v>GL058</v>
          </cell>
          <cell r="N234">
            <v>0</v>
          </cell>
          <cell r="O234">
            <v>48</v>
          </cell>
          <cell r="P234">
            <v>1</v>
          </cell>
          <cell r="Q234">
            <v>0</v>
          </cell>
        </row>
        <row r="235">
          <cell r="D235" t="str">
            <v>FR130</v>
          </cell>
          <cell r="E235">
            <v>14</v>
          </cell>
          <cell r="F235" t="str">
            <v>BZ14</v>
          </cell>
          <cell r="G235">
            <v>160</v>
          </cell>
          <cell r="H235">
            <v>0.26676000000000005</v>
          </cell>
          <cell r="I235">
            <v>2.25</v>
          </cell>
          <cell r="J235" t="str">
            <v xml:space="preserve"> Emballage-Adhésif</v>
          </cell>
          <cell r="K235">
            <v>4.3875000000000002</v>
          </cell>
          <cell r="M235" t="str">
            <v>GL-MB</v>
          </cell>
          <cell r="N235">
            <v>20</v>
          </cell>
          <cell r="O235">
            <v>1</v>
          </cell>
          <cell r="P235">
            <v>4.7619047619047616E-2</v>
          </cell>
          <cell r="Q235">
            <v>33.6</v>
          </cell>
        </row>
        <row r="236">
          <cell r="D236" t="str">
            <v>FR133</v>
          </cell>
          <cell r="E236">
            <v>20</v>
          </cell>
          <cell r="F236" t="str">
            <v>BZ20</v>
          </cell>
          <cell r="G236">
            <v>97</v>
          </cell>
          <cell r="H236">
            <v>8.8139999999999996E-2</v>
          </cell>
          <cell r="I236">
            <v>1.125</v>
          </cell>
          <cell r="J236" t="str">
            <v xml:space="preserve"> Emballage</v>
          </cell>
          <cell r="K236">
            <v>1.43</v>
          </cell>
          <cell r="M236" t="str">
            <v>GL180</v>
          </cell>
          <cell r="N236">
            <v>727</v>
          </cell>
          <cell r="O236">
            <v>4</v>
          </cell>
          <cell r="P236">
            <v>5.4719562243502051E-3</v>
          </cell>
          <cell r="Q236">
            <v>257.71428571428572</v>
          </cell>
        </row>
        <row r="237">
          <cell r="D237" t="str">
            <v>FR135</v>
          </cell>
          <cell r="E237">
            <v>20</v>
          </cell>
          <cell r="F237" t="str">
            <v>BZ20</v>
          </cell>
          <cell r="G237">
            <v>45</v>
          </cell>
          <cell r="H237">
            <v>0.11621999999999999</v>
          </cell>
          <cell r="I237">
            <v>1.125</v>
          </cell>
          <cell r="J237" t="str">
            <v xml:space="preserve"> Emballage</v>
          </cell>
          <cell r="K237">
            <v>1.5794999999999999</v>
          </cell>
          <cell r="M237" t="str">
            <v>GL11060/248</v>
          </cell>
          <cell r="N237">
            <v>10587</v>
          </cell>
          <cell r="O237">
            <v>152</v>
          </cell>
          <cell r="P237">
            <v>1.4154018064996741E-2</v>
          </cell>
          <cell r="Q237">
            <v>2112.7272727272725</v>
          </cell>
        </row>
        <row r="238">
          <cell r="D238" t="str">
            <v>FR139</v>
          </cell>
          <cell r="E238">
            <v>20</v>
          </cell>
          <cell r="F238" t="str">
            <v>BZ20</v>
          </cell>
          <cell r="G238">
            <v>9</v>
          </cell>
          <cell r="H238">
            <v>0.13181999999999999</v>
          </cell>
          <cell r="I238">
            <v>1.125</v>
          </cell>
          <cell r="J238" t="str">
            <v xml:space="preserve"> Emballage</v>
          </cell>
          <cell r="K238">
            <v>1.794</v>
          </cell>
          <cell r="M238" t="str">
            <v>LM-F79/100</v>
          </cell>
          <cell r="N238">
            <v>176</v>
          </cell>
          <cell r="O238">
            <v>0</v>
          </cell>
          <cell r="P238">
            <v>0</v>
          </cell>
          <cell r="Q238">
            <v>0.23076923076923078</v>
          </cell>
        </row>
        <row r="239">
          <cell r="D239" t="str">
            <v>FR147</v>
          </cell>
          <cell r="E239">
            <v>13</v>
          </cell>
          <cell r="F239" t="str">
            <v>U20/5</v>
          </cell>
          <cell r="G239">
            <v>158</v>
          </cell>
          <cell r="H239">
            <v>0.23087999999999997</v>
          </cell>
          <cell r="I239">
            <v>3</v>
          </cell>
          <cell r="J239" t="str">
            <v xml:space="preserve"> Emballage-Adhésif</v>
          </cell>
          <cell r="K239">
            <v>4.9530000000000003</v>
          </cell>
          <cell r="M239" t="str">
            <v>GLLM100.6</v>
          </cell>
          <cell r="N239">
            <v>0</v>
          </cell>
          <cell r="O239">
            <v>0</v>
          </cell>
          <cell r="P239" t="e">
            <v>#DIV/0!</v>
          </cell>
          <cell r="Q239">
            <v>0</v>
          </cell>
        </row>
        <row r="240">
          <cell r="D240" t="str">
            <v>FR148</v>
          </cell>
          <cell r="E240">
            <v>13</v>
          </cell>
          <cell r="F240" t="str">
            <v>U20/5</v>
          </cell>
          <cell r="G240">
            <v>60</v>
          </cell>
          <cell r="H240">
            <v>0.26130000000000003</v>
          </cell>
          <cell r="I240">
            <v>3</v>
          </cell>
          <cell r="J240" t="str">
            <v xml:space="preserve"> Emballage-Adhésif</v>
          </cell>
          <cell r="K240">
            <v>5.3754999999999997</v>
          </cell>
          <cell r="M240" t="str">
            <v>LM-F45</v>
          </cell>
          <cell r="N240">
            <v>13985</v>
          </cell>
          <cell r="O240">
            <v>118</v>
          </cell>
          <cell r="P240">
            <v>8.3670141104729492E-3</v>
          </cell>
          <cell r="Q240">
            <v>292.46153846153845</v>
          </cell>
        </row>
        <row r="241">
          <cell r="D241" t="str">
            <v>FR149</v>
          </cell>
          <cell r="E241">
            <v>13</v>
          </cell>
          <cell r="F241" t="str">
            <v>U20/5</v>
          </cell>
          <cell r="G241">
            <v>106</v>
          </cell>
          <cell r="H241">
            <v>0.22307999999999997</v>
          </cell>
          <cell r="I241">
            <v>3</v>
          </cell>
          <cell r="J241" t="str">
            <v xml:space="preserve"> Emballage-Adhésif</v>
          </cell>
          <cell r="K241">
            <v>5.4470000000000001</v>
          </cell>
          <cell r="M241" t="str">
            <v>ECGL248</v>
          </cell>
          <cell r="N241">
            <v>0</v>
          </cell>
          <cell r="O241">
            <v>0</v>
          </cell>
          <cell r="P241" t="e">
            <v>#DIV/0!</v>
          </cell>
          <cell r="Q241">
            <v>0</v>
          </cell>
        </row>
        <row r="242">
          <cell r="D242" t="str">
            <v>FR150</v>
          </cell>
          <cell r="E242">
            <v>13</v>
          </cell>
          <cell r="F242" t="str">
            <v>U20/5</v>
          </cell>
          <cell r="G242">
            <v>37</v>
          </cell>
          <cell r="H242">
            <v>0.29093999999999998</v>
          </cell>
          <cell r="I242">
            <v>3.375</v>
          </cell>
          <cell r="J242" t="str">
            <v xml:space="preserve"> Emballage-Adhésif</v>
          </cell>
          <cell r="K242">
            <v>6.4024999999999999</v>
          </cell>
          <cell r="M242" t="str">
            <v>LMOR-36</v>
          </cell>
          <cell r="N242">
            <v>447</v>
          </cell>
          <cell r="O242">
            <v>-439</v>
          </cell>
          <cell r="P242">
            <v>-54.875</v>
          </cell>
          <cell r="Q242">
            <v>0</v>
          </cell>
        </row>
        <row r="243">
          <cell r="D243" t="str">
            <v>FR151</v>
          </cell>
          <cell r="E243">
            <v>13</v>
          </cell>
          <cell r="F243" t="str">
            <v>U20/5</v>
          </cell>
          <cell r="G243">
            <v>120</v>
          </cell>
          <cell r="H243">
            <v>0.28703999999999996</v>
          </cell>
          <cell r="I243">
            <v>3.375</v>
          </cell>
          <cell r="J243" t="str">
            <v xml:space="preserve"> Emballage-Adhésif</v>
          </cell>
          <cell r="K243">
            <v>6.3635000000000002</v>
          </cell>
          <cell r="M243" t="str">
            <v>LMOR-58</v>
          </cell>
          <cell r="N243">
            <v>1152</v>
          </cell>
          <cell r="O243">
            <v>-1083</v>
          </cell>
          <cell r="P243">
            <v>-15.695652173913043</v>
          </cell>
          <cell r="Q243">
            <v>0</v>
          </cell>
        </row>
        <row r="244">
          <cell r="D244" t="str">
            <v>FR153</v>
          </cell>
          <cell r="E244">
            <v>20</v>
          </cell>
          <cell r="G244">
            <v>250</v>
          </cell>
          <cell r="H244">
            <v>0.10608000000000001</v>
          </cell>
          <cell r="I244">
            <v>1.125</v>
          </cell>
          <cell r="K244">
            <v>2.0474999999999999</v>
          </cell>
          <cell r="M244" t="str">
            <v>LMOR-19</v>
          </cell>
          <cell r="N244">
            <v>890</v>
          </cell>
          <cell r="O244">
            <v>-818</v>
          </cell>
          <cell r="P244">
            <v>-11.361111111111111</v>
          </cell>
          <cell r="Q244">
            <v>0</v>
          </cell>
        </row>
        <row r="245">
          <cell r="D245" t="str">
            <v>FR154</v>
          </cell>
          <cell r="E245">
            <v>9</v>
          </cell>
          <cell r="F245" t="str">
            <v>U20/5</v>
          </cell>
          <cell r="G245">
            <v>93</v>
          </cell>
          <cell r="H245">
            <v>0.38375999999999999</v>
          </cell>
          <cell r="I245">
            <v>4.2749999999999995</v>
          </cell>
          <cell r="J245" t="str">
            <v xml:space="preserve"> Emballage-Adhésif</v>
          </cell>
          <cell r="K245">
            <v>11.206</v>
          </cell>
          <cell r="M245" t="str">
            <v>LMOR-65</v>
          </cell>
          <cell r="N245">
            <v>147</v>
          </cell>
          <cell r="O245">
            <v>-147</v>
          </cell>
          <cell r="P245" t="e">
            <v>#DIV/0!</v>
          </cell>
          <cell r="Q245">
            <v>0</v>
          </cell>
        </row>
        <row r="246">
          <cell r="D246" t="str">
            <v>FR155</v>
          </cell>
          <cell r="E246">
            <v>9</v>
          </cell>
          <cell r="F246" t="str">
            <v>U20/5</v>
          </cell>
          <cell r="G246">
            <v>107</v>
          </cell>
          <cell r="H246">
            <v>0.38453999999999999</v>
          </cell>
          <cell r="I246">
            <v>4.2749999999999995</v>
          </cell>
          <cell r="J246" t="str">
            <v xml:space="preserve"> Emballage-Adhésif</v>
          </cell>
          <cell r="K246">
            <v>12.915500000000002</v>
          </cell>
          <cell r="M246" t="str">
            <v>LMOR-59</v>
          </cell>
          <cell r="N246">
            <v>89</v>
          </cell>
          <cell r="O246">
            <v>-87</v>
          </cell>
          <cell r="P246">
            <v>-43.5</v>
          </cell>
          <cell r="Q246">
            <v>0</v>
          </cell>
        </row>
        <row r="247">
          <cell r="D247" t="str">
            <v>FR156</v>
          </cell>
          <cell r="E247">
            <v>9</v>
          </cell>
          <cell r="F247" t="str">
            <v>U20/5</v>
          </cell>
          <cell r="G247">
            <v>142</v>
          </cell>
          <cell r="H247">
            <v>0.33695999999999998</v>
          </cell>
          <cell r="I247">
            <v>4.2749999999999995</v>
          </cell>
          <cell r="J247" t="str">
            <v xml:space="preserve"> Emballage-Adhésif</v>
          </cell>
          <cell r="K247">
            <v>10.224499999999999</v>
          </cell>
          <cell r="M247" t="str">
            <v>LMOR-24</v>
          </cell>
          <cell r="N247">
            <v>107</v>
          </cell>
          <cell r="O247">
            <v>-105</v>
          </cell>
          <cell r="P247">
            <v>-52.5</v>
          </cell>
          <cell r="Q247">
            <v>0</v>
          </cell>
        </row>
        <row r="248">
          <cell r="D248" t="str">
            <v>FR161</v>
          </cell>
          <cell r="E248">
            <v>14</v>
          </cell>
          <cell r="F248" t="str">
            <v>BZ14</v>
          </cell>
          <cell r="G248">
            <v>90</v>
          </cell>
          <cell r="H248">
            <v>0.12479999999999999</v>
          </cell>
          <cell r="I248">
            <v>2.25</v>
          </cell>
          <cell r="J248" t="str">
            <v xml:space="preserve"> Emballage</v>
          </cell>
          <cell r="K248">
            <v>2.1840000000000002</v>
          </cell>
          <cell r="M248" t="str">
            <v>LMMO-757</v>
          </cell>
          <cell r="N248">
            <v>0</v>
          </cell>
          <cell r="O248">
            <v>0</v>
          </cell>
          <cell r="P248" t="e">
            <v>#DIV/0!</v>
          </cell>
          <cell r="Q248">
            <v>0</v>
          </cell>
        </row>
        <row r="249">
          <cell r="D249" t="str">
            <v>FR162</v>
          </cell>
          <cell r="E249">
            <v>14</v>
          </cell>
          <cell r="F249" t="str">
            <v>BZ14</v>
          </cell>
          <cell r="G249">
            <v>250</v>
          </cell>
          <cell r="H249">
            <v>0.21528</v>
          </cell>
          <cell r="I249">
            <v>3</v>
          </cell>
          <cell r="J249" t="e">
            <v>#N/A</v>
          </cell>
          <cell r="K249">
            <v>3.5999999999999996</v>
          </cell>
          <cell r="M249" t="str">
            <v>LMMO-S758</v>
          </cell>
          <cell r="N249">
            <v>0</v>
          </cell>
          <cell r="O249">
            <v>0</v>
          </cell>
          <cell r="P249" t="e">
            <v>#DIV/0!</v>
          </cell>
          <cell r="Q249">
            <v>0</v>
          </cell>
        </row>
        <row r="250">
          <cell r="D250" t="str">
            <v>FR164</v>
          </cell>
          <cell r="E250">
            <v>14</v>
          </cell>
          <cell r="F250" t="str">
            <v>BZ14</v>
          </cell>
          <cell r="G250">
            <v>83</v>
          </cell>
          <cell r="H250">
            <v>0.12323999999999999</v>
          </cell>
          <cell r="I250">
            <v>3</v>
          </cell>
          <cell r="J250" t="str">
            <v xml:space="preserve"> Emballage</v>
          </cell>
          <cell r="K250">
            <v>3.5945000000000005</v>
          </cell>
          <cell r="M250" t="str">
            <v>GL11060</v>
          </cell>
          <cell r="N250">
            <v>0</v>
          </cell>
          <cell r="O250">
            <v>0</v>
          </cell>
          <cell r="P250" t="e">
            <v>#DIV/0!</v>
          </cell>
          <cell r="Q250">
            <v>0</v>
          </cell>
        </row>
        <row r="251">
          <cell r="D251" t="str">
            <v>FR166</v>
          </cell>
          <cell r="E251">
            <v>20</v>
          </cell>
          <cell r="F251" t="str">
            <v>BZ20</v>
          </cell>
          <cell r="G251">
            <v>13</v>
          </cell>
          <cell r="H251">
            <v>0.12323999999999999</v>
          </cell>
          <cell r="I251">
            <v>2.25</v>
          </cell>
          <cell r="J251" t="str">
            <v xml:space="preserve"> Emballage</v>
          </cell>
          <cell r="K251">
            <v>1.6705000000000001</v>
          </cell>
          <cell r="M251" t="str">
            <v>GL248</v>
          </cell>
          <cell r="N251">
            <v>0</v>
          </cell>
          <cell r="O251">
            <v>0</v>
          </cell>
          <cell r="P251" t="e">
            <v>#DIV/0!</v>
          </cell>
          <cell r="Q251">
            <v>0</v>
          </cell>
        </row>
        <row r="252">
          <cell r="D252" t="str">
            <v>FR168</v>
          </cell>
          <cell r="E252">
            <v>20</v>
          </cell>
          <cell r="F252" t="str">
            <v>BZ20</v>
          </cell>
          <cell r="G252">
            <v>84</v>
          </cell>
          <cell r="H252">
            <v>0.29171999999999998</v>
          </cell>
          <cell r="I252">
            <v>1.125</v>
          </cell>
          <cell r="J252" t="str">
            <v xml:space="preserve"> Emballage</v>
          </cell>
          <cell r="K252">
            <v>1.5859999999999999</v>
          </cell>
          <cell r="M252" t="str">
            <v>GLLM79</v>
          </cell>
          <cell r="N252">
            <v>0</v>
          </cell>
          <cell r="O252">
            <v>0</v>
          </cell>
          <cell r="P252" t="e">
            <v>#DIV/0!</v>
          </cell>
          <cell r="Q252">
            <v>0</v>
          </cell>
        </row>
        <row r="253">
          <cell r="D253" t="str">
            <v>FR401</v>
          </cell>
          <cell r="E253">
            <v>13</v>
          </cell>
          <cell r="F253" t="str">
            <v>U20/5</v>
          </cell>
          <cell r="G253">
            <v>49</v>
          </cell>
          <cell r="H253">
            <v>0.28859999999999997</v>
          </cell>
          <cell r="I253">
            <v>3.375</v>
          </cell>
          <cell r="J253" t="str">
            <v xml:space="preserve"> Emballage-Adhésif</v>
          </cell>
          <cell r="K253">
            <v>5.8760000000000003</v>
          </cell>
          <cell r="M253" t="str">
            <v>LM-55</v>
          </cell>
          <cell r="N253">
            <v>1210</v>
          </cell>
          <cell r="O253">
            <v>-1210</v>
          </cell>
          <cell r="P253" t="e">
            <v>#DIV/0!</v>
          </cell>
          <cell r="Q253">
            <v>0</v>
          </cell>
        </row>
        <row r="254">
          <cell r="D254" t="str">
            <v>FR402</v>
          </cell>
          <cell r="E254">
            <v>13</v>
          </cell>
          <cell r="F254" t="str">
            <v>U20/5</v>
          </cell>
          <cell r="G254">
            <v>10</v>
          </cell>
          <cell r="H254">
            <v>0.32447999999999994</v>
          </cell>
          <cell r="I254">
            <v>3.375</v>
          </cell>
          <cell r="J254" t="str">
            <v xml:space="preserve"> Emballage-Adhésif</v>
          </cell>
          <cell r="K254">
            <v>5.7394999999999996</v>
          </cell>
          <cell r="M254" t="str">
            <v>LM-55A</v>
          </cell>
          <cell r="N254">
            <v>389</v>
          </cell>
          <cell r="O254">
            <v>1315</v>
          </cell>
          <cell r="P254">
            <v>0.77171361502347413</v>
          </cell>
          <cell r="Q254">
            <v>0</v>
          </cell>
        </row>
        <row r="255">
          <cell r="D255" t="str">
            <v>FR403</v>
          </cell>
          <cell r="E255">
            <v>13</v>
          </cell>
          <cell r="F255" t="str">
            <v>U20/5</v>
          </cell>
          <cell r="G255">
            <v>92</v>
          </cell>
          <cell r="H255">
            <v>0.29561999999999994</v>
          </cell>
          <cell r="I255">
            <v>3.375</v>
          </cell>
          <cell r="J255" t="str">
            <v xml:space="preserve"> Emballage-Adhésif</v>
          </cell>
          <cell r="K255">
            <v>7.2474999999999996</v>
          </cell>
          <cell r="M255" t="str">
            <v>LM-60</v>
          </cell>
          <cell r="N255">
            <v>0</v>
          </cell>
          <cell r="O255">
            <v>0</v>
          </cell>
          <cell r="P255" t="e">
            <v>#DIV/0!</v>
          </cell>
          <cell r="Q255">
            <v>0</v>
          </cell>
        </row>
        <row r="256">
          <cell r="D256" t="str">
            <v>FR404</v>
          </cell>
          <cell r="E256">
            <v>13</v>
          </cell>
          <cell r="F256" t="str">
            <v>U20/5</v>
          </cell>
          <cell r="G256">
            <v>19</v>
          </cell>
          <cell r="H256">
            <v>0.28157999999999994</v>
          </cell>
          <cell r="I256">
            <v>3</v>
          </cell>
          <cell r="J256" t="str">
            <v xml:space="preserve"> Emballage-Adhésif</v>
          </cell>
          <cell r="K256">
            <v>5.9670000000000005</v>
          </cell>
          <cell r="M256" t="str">
            <v>LM-60A</v>
          </cell>
          <cell r="N256">
            <v>0</v>
          </cell>
          <cell r="O256">
            <v>2990</v>
          </cell>
          <cell r="P256">
            <v>1</v>
          </cell>
          <cell r="Q256">
            <v>0</v>
          </cell>
        </row>
        <row r="257">
          <cell r="D257" t="str">
            <v>FR406</v>
          </cell>
          <cell r="E257">
            <v>13</v>
          </cell>
          <cell r="F257" t="str">
            <v>U20/5</v>
          </cell>
          <cell r="G257">
            <v>74</v>
          </cell>
          <cell r="H257">
            <v>0.28157999999999994</v>
          </cell>
          <cell r="I257">
            <v>3</v>
          </cell>
          <cell r="J257" t="str">
            <v xml:space="preserve"> Emballage-Adhésif</v>
          </cell>
          <cell r="K257">
            <v>5.7460000000000004</v>
          </cell>
          <cell r="M257" t="str">
            <v>LM-62</v>
          </cell>
          <cell r="N257">
            <v>0</v>
          </cell>
          <cell r="O257">
            <v>0</v>
          </cell>
          <cell r="P257" t="e">
            <v>#DIV/0!</v>
          </cell>
          <cell r="Q257">
            <v>0</v>
          </cell>
        </row>
        <row r="258">
          <cell r="D258" t="str">
            <v>FR410</v>
          </cell>
          <cell r="E258">
            <v>20</v>
          </cell>
          <cell r="F258" t="str">
            <v>BZ20</v>
          </cell>
          <cell r="G258">
            <v>154</v>
          </cell>
          <cell r="H258">
            <v>8.8139999999999996E-2</v>
          </cell>
          <cell r="I258">
            <v>1.125</v>
          </cell>
          <cell r="J258" t="str">
            <v xml:space="preserve"> Emballage</v>
          </cell>
          <cell r="K258">
            <v>1.4755</v>
          </cell>
          <cell r="M258" t="str">
            <v>LM-79</v>
          </cell>
          <cell r="N258">
            <v>0</v>
          </cell>
          <cell r="O258">
            <v>0</v>
          </cell>
          <cell r="P258" t="e">
            <v>#DIV/0!</v>
          </cell>
          <cell r="Q258">
            <v>0</v>
          </cell>
        </row>
        <row r="259">
          <cell r="D259" t="str">
            <v>FR411</v>
          </cell>
          <cell r="E259">
            <v>20</v>
          </cell>
          <cell r="F259" t="str">
            <v>BZ20</v>
          </cell>
          <cell r="G259">
            <v>165</v>
          </cell>
          <cell r="H259">
            <v>7.0980000000000001E-2</v>
          </cell>
          <cell r="I259">
            <v>1.125</v>
          </cell>
          <cell r="J259" t="str">
            <v xml:space="preserve"> Emballage</v>
          </cell>
          <cell r="K259">
            <v>1.2024999999999999</v>
          </cell>
          <cell r="M259" t="str">
            <v>LM-F</v>
          </cell>
          <cell r="N259">
            <v>0</v>
          </cell>
          <cell r="O259">
            <v>0</v>
          </cell>
          <cell r="P259" t="e">
            <v>#DIV/0!</v>
          </cell>
          <cell r="Q259">
            <v>0</v>
          </cell>
        </row>
        <row r="260">
          <cell r="D260" t="str">
            <v>FSQ100</v>
          </cell>
          <cell r="E260">
            <v>13</v>
          </cell>
          <cell r="F260" t="str">
            <v>U20/5</v>
          </cell>
          <cell r="G260">
            <v>115</v>
          </cell>
          <cell r="H260">
            <v>0.25662000000000001</v>
          </cell>
          <cell r="I260">
            <v>3.375</v>
          </cell>
          <cell r="J260" t="str">
            <v xml:space="preserve"> Emballage-Adhésif</v>
          </cell>
          <cell r="K260">
            <v>4.992</v>
          </cell>
          <cell r="M260" t="str">
            <v>LM-FR</v>
          </cell>
          <cell r="N260">
            <v>0</v>
          </cell>
          <cell r="O260">
            <v>0</v>
          </cell>
          <cell r="P260" t="e">
            <v>#DIV/0!</v>
          </cell>
          <cell r="Q260">
            <v>0</v>
          </cell>
        </row>
        <row r="261">
          <cell r="D261" t="str">
            <v>FSQ102</v>
          </cell>
          <cell r="E261">
            <v>13</v>
          </cell>
          <cell r="F261" t="str">
            <v>U20/5</v>
          </cell>
          <cell r="G261">
            <v>114</v>
          </cell>
          <cell r="H261">
            <v>0.19422</v>
          </cell>
          <cell r="I261">
            <v>2.25</v>
          </cell>
          <cell r="J261" t="str">
            <v xml:space="preserve"> Emballage-Adhésif</v>
          </cell>
          <cell r="K261">
            <v>4.3029999999999999</v>
          </cell>
          <cell r="M261" t="str">
            <v>LM-SR</v>
          </cell>
          <cell r="N261">
            <v>0</v>
          </cell>
          <cell r="O261">
            <v>0</v>
          </cell>
          <cell r="P261" t="e">
            <v>#DIV/0!</v>
          </cell>
          <cell r="Q261">
            <v>0</v>
          </cell>
        </row>
        <row r="262">
          <cell r="D262" t="str">
            <v>FSQ104</v>
          </cell>
          <cell r="E262">
            <v>13</v>
          </cell>
          <cell r="F262" t="str">
            <v>U20/5</v>
          </cell>
          <cell r="G262">
            <v>118</v>
          </cell>
          <cell r="H262">
            <v>0.28235999999999994</v>
          </cell>
          <cell r="I262">
            <v>3.375</v>
          </cell>
          <cell r="J262" t="str">
            <v xml:space="preserve"> Emballage-Adhésif</v>
          </cell>
          <cell r="K262">
            <v>7.0394999999999994</v>
          </cell>
          <cell r="M262" t="str">
            <v>LMDP-100</v>
          </cell>
          <cell r="N262">
            <v>87</v>
          </cell>
          <cell r="O262">
            <v>1</v>
          </cell>
          <cell r="P262">
            <v>1.1363636363636364E-2</v>
          </cell>
          <cell r="Q262">
            <v>0</v>
          </cell>
        </row>
        <row r="263">
          <cell r="D263" t="str">
            <v>FSQ107</v>
          </cell>
          <cell r="E263">
            <v>20</v>
          </cell>
          <cell r="F263" t="str">
            <v>BZ20</v>
          </cell>
          <cell r="G263">
            <v>250</v>
          </cell>
          <cell r="H263">
            <v>3.5879999999999995E-2</v>
          </cell>
          <cell r="I263">
            <v>1.125</v>
          </cell>
          <cell r="J263" t="str">
            <v xml:space="preserve"> Emballage</v>
          </cell>
          <cell r="K263">
            <v>0.96899999999999997</v>
          </cell>
          <cell r="M263" t="str">
            <v>LMDPF-100</v>
          </cell>
          <cell r="N263">
            <v>232</v>
          </cell>
          <cell r="O263">
            <v>0</v>
          </cell>
          <cell r="P263">
            <v>0</v>
          </cell>
          <cell r="Q263">
            <v>0</v>
          </cell>
        </row>
        <row r="264">
          <cell r="D264" t="str">
            <v>FSQ108</v>
          </cell>
          <cell r="E264">
            <v>20</v>
          </cell>
          <cell r="F264" t="str">
            <v>BZ20</v>
          </cell>
          <cell r="G264">
            <v>250</v>
          </cell>
          <cell r="H264">
            <v>5.8499999999999996E-2</v>
          </cell>
          <cell r="I264">
            <v>1.125</v>
          </cell>
          <cell r="J264" t="str">
            <v xml:space="preserve"> Emballage</v>
          </cell>
          <cell r="K264">
            <v>1.8460000000000001</v>
          </cell>
          <cell r="M264" t="str">
            <v>LM-F/6</v>
          </cell>
          <cell r="N264">
            <v>2860</v>
          </cell>
          <cell r="O264">
            <v>-2405</v>
          </cell>
          <cell r="P264">
            <v>-5.2857142857142856</v>
          </cell>
          <cell r="Q264">
            <v>1927.6</v>
          </cell>
        </row>
        <row r="265">
          <cell r="D265" t="str">
            <v>FSQ110</v>
          </cell>
          <cell r="E265">
            <v>20</v>
          </cell>
          <cell r="F265" t="str">
            <v>BZ20</v>
          </cell>
          <cell r="G265">
            <v>116</v>
          </cell>
          <cell r="H265">
            <v>0.1326</v>
          </cell>
          <cell r="I265">
            <v>1.125</v>
          </cell>
          <cell r="J265" t="str">
            <v xml:space="preserve"> Emballage</v>
          </cell>
          <cell r="K265">
            <v>1.8784999999999998</v>
          </cell>
          <cell r="M265" t="str">
            <v>MR014</v>
          </cell>
          <cell r="N265">
            <v>0</v>
          </cell>
          <cell r="O265">
            <v>0</v>
          </cell>
          <cell r="P265" t="e">
            <v>#DIV/0!</v>
          </cell>
          <cell r="Q265">
            <v>0</v>
          </cell>
        </row>
        <row r="266">
          <cell r="D266" t="str">
            <v>FSQ111</v>
          </cell>
          <cell r="E266">
            <v>20</v>
          </cell>
          <cell r="F266" t="str">
            <v>BZ20</v>
          </cell>
          <cell r="G266">
            <v>64</v>
          </cell>
          <cell r="H266">
            <v>0.12792000000000001</v>
          </cell>
          <cell r="I266">
            <v>1.125</v>
          </cell>
          <cell r="J266" t="str">
            <v xml:space="preserve"> Emballage</v>
          </cell>
          <cell r="K266">
            <v>1.8459999999999999</v>
          </cell>
          <cell r="M266" t="str">
            <v>Mr003</v>
          </cell>
          <cell r="N266">
            <v>0</v>
          </cell>
          <cell r="O266">
            <v>0</v>
          </cell>
          <cell r="P266" t="e">
            <v>#DIV/0!</v>
          </cell>
          <cell r="Q266">
            <v>0</v>
          </cell>
        </row>
        <row r="267">
          <cell r="D267" t="str">
            <v>FSQ112</v>
          </cell>
          <cell r="E267">
            <v>12</v>
          </cell>
          <cell r="F267" t="str">
            <v>U8/8</v>
          </cell>
          <cell r="G267">
            <v>121</v>
          </cell>
          <cell r="H267">
            <v>0.21528</v>
          </cell>
          <cell r="I267">
            <v>3.375</v>
          </cell>
          <cell r="J267" t="str">
            <v xml:space="preserve"> Emballage-Adhésif</v>
          </cell>
          <cell r="K267">
            <v>5.1870000000000003</v>
          </cell>
          <cell r="M267" t="str">
            <v>LM-80</v>
          </cell>
          <cell r="N267">
            <v>0</v>
          </cell>
          <cell r="O267">
            <v>0</v>
          </cell>
          <cell r="P267" t="e">
            <v>#DIV/0!</v>
          </cell>
          <cell r="Q267">
            <v>0</v>
          </cell>
        </row>
        <row r="268">
          <cell r="D268" t="str">
            <v>FSQ121</v>
          </cell>
          <cell r="E268">
            <v>9</v>
          </cell>
          <cell r="F268" t="str">
            <v>U20/5</v>
          </cell>
          <cell r="G268">
            <v>122</v>
          </cell>
          <cell r="H268">
            <v>0.34710000000000002</v>
          </cell>
          <cell r="I268">
            <v>4.2749999999999995</v>
          </cell>
          <cell r="J268" t="str">
            <v xml:space="preserve"> Emballage-Adhésif</v>
          </cell>
          <cell r="K268">
            <v>9.0545000000000009</v>
          </cell>
          <cell r="M268" t="str">
            <v>MR014_P6500</v>
          </cell>
          <cell r="N268">
            <v>424</v>
          </cell>
          <cell r="O268">
            <v>71</v>
          </cell>
          <cell r="P268">
            <v>0.14343434343434344</v>
          </cell>
          <cell r="Q268">
            <v>6.4</v>
          </cell>
        </row>
        <row r="269">
          <cell r="D269" t="str">
            <v>FSQ122</v>
          </cell>
          <cell r="E269">
            <v>20</v>
          </cell>
          <cell r="F269" t="str">
            <v>BZ20</v>
          </cell>
          <cell r="G269">
            <v>127</v>
          </cell>
          <cell r="H269">
            <v>0.13181999999999999</v>
          </cell>
          <cell r="I269">
            <v>1.125</v>
          </cell>
          <cell r="J269" t="str">
            <v xml:space="preserve"> Emballage</v>
          </cell>
          <cell r="K269">
            <v>1.9564999999999999</v>
          </cell>
          <cell r="M269" t="str">
            <v>Mr002</v>
          </cell>
          <cell r="N269">
            <v>1456</v>
          </cell>
          <cell r="O269">
            <v>3392</v>
          </cell>
          <cell r="P269">
            <v>0.6996699669966997</v>
          </cell>
          <cell r="Q269">
            <v>947.8</v>
          </cell>
        </row>
        <row r="270">
          <cell r="D270" t="str">
            <v>FSQ124</v>
          </cell>
          <cell r="E270">
            <v>13</v>
          </cell>
          <cell r="F270" t="str">
            <v>U20/5</v>
          </cell>
          <cell r="G270">
            <v>66</v>
          </cell>
          <cell r="H270">
            <v>0.29405999999999999</v>
          </cell>
          <cell r="I270">
            <v>2.25</v>
          </cell>
          <cell r="J270" t="str">
            <v xml:space="preserve"> Emballage-Adhésif</v>
          </cell>
          <cell r="K270">
            <v>4.4395000000000007</v>
          </cell>
          <cell r="M270" t="str">
            <v>Mr030</v>
          </cell>
          <cell r="N270">
            <v>0</v>
          </cell>
          <cell r="O270">
            <v>2</v>
          </cell>
          <cell r="P270">
            <v>1</v>
          </cell>
          <cell r="Q270">
            <v>92.75</v>
          </cell>
        </row>
        <row r="271">
          <cell r="D271" t="str">
            <v>FSQ130</v>
          </cell>
          <cell r="E271">
            <v>14</v>
          </cell>
          <cell r="F271" t="str">
            <v>BZ14</v>
          </cell>
          <cell r="G271">
            <v>160</v>
          </cell>
          <cell r="H271">
            <v>0.26676000000000005</v>
          </cell>
          <cell r="I271">
            <v>2.25</v>
          </cell>
          <cell r="J271" t="str">
            <v xml:space="preserve"> Emballage-Adhésif</v>
          </cell>
          <cell r="K271">
            <v>4.3875000000000002</v>
          </cell>
          <cell r="M271" t="str">
            <v>Mr006</v>
          </cell>
          <cell r="N271">
            <v>123</v>
          </cell>
          <cell r="O271">
            <v>0</v>
          </cell>
          <cell r="P271">
            <v>0</v>
          </cell>
          <cell r="Q271">
            <v>0</v>
          </cell>
        </row>
        <row r="272">
          <cell r="D272" t="str">
            <v>FSQ131</v>
          </cell>
          <cell r="E272">
            <v>9</v>
          </cell>
          <cell r="F272" t="str">
            <v>U8/8</v>
          </cell>
          <cell r="G272">
            <v>132</v>
          </cell>
          <cell r="H272">
            <v>0.21762000000000001</v>
          </cell>
          <cell r="I272">
            <v>4.2749999999999995</v>
          </cell>
          <cell r="J272" t="str">
            <v xml:space="preserve"> Emballage</v>
          </cell>
          <cell r="K272">
            <v>5.2844999999999995</v>
          </cell>
          <cell r="M272" t="str">
            <v>Mr021</v>
          </cell>
          <cell r="N272">
            <v>0</v>
          </cell>
          <cell r="O272">
            <v>0</v>
          </cell>
          <cell r="P272" t="e">
            <v>#DIV/0!</v>
          </cell>
          <cell r="Q272">
            <v>0</v>
          </cell>
        </row>
        <row r="273">
          <cell r="D273" t="str">
            <v>FSQ132</v>
          </cell>
          <cell r="E273">
            <v>17</v>
          </cell>
          <cell r="F273" t="str">
            <v>BCD17</v>
          </cell>
          <cell r="G273">
            <v>250</v>
          </cell>
          <cell r="H273">
            <v>8.6580000000000004E-2</v>
          </cell>
          <cell r="I273">
            <v>1.125</v>
          </cell>
          <cell r="J273" t="str">
            <v xml:space="preserve"> Emballage</v>
          </cell>
          <cell r="K273">
            <v>2.262</v>
          </cell>
          <cell r="M273" t="str">
            <v>OK4719</v>
          </cell>
          <cell r="N273">
            <v>382</v>
          </cell>
          <cell r="O273">
            <v>-382</v>
          </cell>
          <cell r="P273" t="e">
            <v>#DIV/0!</v>
          </cell>
          <cell r="Q273">
            <v>0</v>
          </cell>
        </row>
        <row r="274">
          <cell r="D274" t="str">
            <v>FSQ139</v>
          </cell>
          <cell r="E274">
            <v>20</v>
          </cell>
          <cell r="F274" t="str">
            <v>BZ20</v>
          </cell>
          <cell r="G274">
            <v>54</v>
          </cell>
          <cell r="H274">
            <v>0.13961999999999999</v>
          </cell>
          <cell r="I274">
            <v>1.125</v>
          </cell>
          <cell r="J274" t="str">
            <v xml:space="preserve"> Emballage</v>
          </cell>
          <cell r="K274">
            <v>2.0019999999999998</v>
          </cell>
          <cell r="M274" t="str">
            <v>OK4721</v>
          </cell>
          <cell r="N274">
            <v>642</v>
          </cell>
          <cell r="O274">
            <v>0</v>
          </cell>
          <cell r="P274">
            <v>0</v>
          </cell>
          <cell r="Q274">
            <v>0</v>
          </cell>
        </row>
        <row r="275">
          <cell r="D275" t="str">
            <v>fsq148</v>
          </cell>
          <cell r="E275">
            <v>14</v>
          </cell>
          <cell r="K275">
            <v>5.0119999999999996</v>
          </cell>
          <cell r="M275" t="str">
            <v>OK4701P2</v>
          </cell>
          <cell r="N275">
            <v>549</v>
          </cell>
          <cell r="O275">
            <v>-549</v>
          </cell>
          <cell r="P275" t="e">
            <v>#DIV/0!</v>
          </cell>
          <cell r="Q275">
            <v>0</v>
          </cell>
        </row>
        <row r="276">
          <cell r="D276" t="str">
            <v>FSQ149</v>
          </cell>
          <cell r="E276">
            <v>13</v>
          </cell>
          <cell r="F276" t="str">
            <v>U20/5</v>
          </cell>
          <cell r="G276">
            <v>149</v>
          </cell>
          <cell r="H276">
            <v>0.21995999999999996</v>
          </cell>
          <cell r="I276">
            <v>3.375</v>
          </cell>
          <cell r="J276" t="str">
            <v xml:space="preserve"> Emballage-Adhésif</v>
          </cell>
          <cell r="K276">
            <v>5.2650000000000006</v>
          </cell>
          <cell r="M276" t="str">
            <v>OK4702P1</v>
          </cell>
          <cell r="N276">
            <v>225</v>
          </cell>
          <cell r="O276">
            <v>-225</v>
          </cell>
          <cell r="P276" t="e">
            <v>#DIV/0!</v>
          </cell>
          <cell r="Q276">
            <v>0</v>
          </cell>
        </row>
        <row r="277">
          <cell r="D277" t="str">
            <v>FSQ150</v>
          </cell>
          <cell r="E277">
            <v>13</v>
          </cell>
          <cell r="F277" t="str">
            <v>U20/5</v>
          </cell>
          <cell r="G277">
            <v>140</v>
          </cell>
          <cell r="H277">
            <v>0.41105999999999998</v>
          </cell>
          <cell r="I277">
            <v>3.375</v>
          </cell>
          <cell r="J277" t="str">
            <v xml:space="preserve"> Emballage-Adhésif</v>
          </cell>
          <cell r="K277">
            <v>5.9735000000000005</v>
          </cell>
          <cell r="M277" t="str">
            <v>OK4702P2</v>
          </cell>
          <cell r="N277">
            <v>786</v>
          </cell>
          <cell r="O277">
            <v>-786</v>
          </cell>
          <cell r="P277" t="e">
            <v>#DIV/0!</v>
          </cell>
          <cell r="Q277">
            <v>0</v>
          </cell>
        </row>
        <row r="278">
          <cell r="D278" t="str">
            <v>FSQ153</v>
          </cell>
          <cell r="E278">
            <v>20</v>
          </cell>
          <cell r="F278" t="str">
            <v>BZ20</v>
          </cell>
          <cell r="G278">
            <v>151</v>
          </cell>
          <cell r="H278">
            <v>9.9774999999999989E-2</v>
          </cell>
          <cell r="I278" t="e">
            <v>#N/A</v>
          </cell>
          <cell r="J278" t="str">
            <v xml:space="preserve"> Emballage</v>
          </cell>
          <cell r="K278">
            <v>1.9955000000000001</v>
          </cell>
          <cell r="M278" t="str">
            <v>OK4703P1</v>
          </cell>
          <cell r="N278">
            <v>67</v>
          </cell>
          <cell r="O278">
            <v>-67</v>
          </cell>
          <cell r="P278" t="e">
            <v>#DIV/0!</v>
          </cell>
          <cell r="Q278">
            <v>0</v>
          </cell>
        </row>
        <row r="279">
          <cell r="D279" t="str">
            <v>FSQ156</v>
          </cell>
          <cell r="E279">
            <v>9</v>
          </cell>
          <cell r="F279" t="str">
            <v>U20/5</v>
          </cell>
          <cell r="G279">
            <v>153</v>
          </cell>
          <cell r="H279">
            <v>0.32915999999999995</v>
          </cell>
          <cell r="I279">
            <v>4.2749999999999995</v>
          </cell>
          <cell r="J279" t="str">
            <v xml:space="preserve"> Emballage-Adhésif</v>
          </cell>
          <cell r="K279">
            <v>10.179</v>
          </cell>
          <cell r="M279" t="str">
            <v>OK4703P2</v>
          </cell>
          <cell r="N279">
            <v>463</v>
          </cell>
          <cell r="O279">
            <v>-463</v>
          </cell>
          <cell r="P279" t="e">
            <v>#DIV/0!</v>
          </cell>
          <cell r="Q279">
            <v>0</v>
          </cell>
        </row>
        <row r="280">
          <cell r="D280" t="str">
            <v>FSQ163</v>
          </cell>
          <cell r="E280">
            <v>13</v>
          </cell>
          <cell r="F280" t="str">
            <v>U20/5</v>
          </cell>
          <cell r="G280">
            <v>152</v>
          </cell>
          <cell r="H280">
            <v>9.8279999999999992E-2</v>
          </cell>
          <cell r="I280">
            <v>2.25</v>
          </cell>
          <cell r="J280" t="str">
            <v xml:space="preserve"> Emballage</v>
          </cell>
          <cell r="K280">
            <v>4.1924999999999999</v>
          </cell>
          <cell r="M280" t="str">
            <v>OK4704P2</v>
          </cell>
          <cell r="N280">
            <v>471</v>
          </cell>
          <cell r="O280">
            <v>-471</v>
          </cell>
          <cell r="P280" t="e">
            <v>#DIV/0!</v>
          </cell>
          <cell r="Q280">
            <v>0</v>
          </cell>
        </row>
        <row r="281">
          <cell r="D281" t="str">
            <v>FSQ164</v>
          </cell>
          <cell r="E281">
            <v>20</v>
          </cell>
          <cell r="F281" t="str">
            <v>BZ20</v>
          </cell>
          <cell r="G281">
            <v>146</v>
          </cell>
          <cell r="H281">
            <v>0.12792000000000001</v>
          </cell>
          <cell r="I281">
            <v>1.125</v>
          </cell>
          <cell r="J281" t="str">
            <v xml:space="preserve"> Emballage</v>
          </cell>
          <cell r="K281">
            <v>1.9369999999999998</v>
          </cell>
          <cell r="M281" t="str">
            <v>OK4705P2</v>
          </cell>
          <cell r="N281">
            <v>437</v>
          </cell>
          <cell r="O281">
            <v>-437</v>
          </cell>
          <cell r="P281" t="e">
            <v>#DIV/0!</v>
          </cell>
          <cell r="Q281">
            <v>0</v>
          </cell>
        </row>
        <row r="282">
          <cell r="D282" t="str">
            <v>FSQ165</v>
          </cell>
          <cell r="E282">
            <v>13</v>
          </cell>
          <cell r="F282" t="str">
            <v>U20/5</v>
          </cell>
          <cell r="G282">
            <v>162</v>
          </cell>
          <cell r="H282">
            <v>0.34554000000000001</v>
          </cell>
          <cell r="I282">
            <v>2.25</v>
          </cell>
          <cell r="J282" t="str">
            <v xml:space="preserve"> Emballage-Adhésif</v>
          </cell>
          <cell r="K282">
            <v>5.2130000000000001</v>
          </cell>
          <cell r="M282" t="str">
            <v>OK4706P2</v>
          </cell>
          <cell r="N282">
            <v>427</v>
          </cell>
          <cell r="O282">
            <v>-427</v>
          </cell>
          <cell r="P282" t="e">
            <v>#DIV/0!</v>
          </cell>
          <cell r="Q282">
            <v>0</v>
          </cell>
        </row>
        <row r="283">
          <cell r="D283" t="str">
            <v>FSQ401</v>
          </cell>
          <cell r="E283">
            <v>13</v>
          </cell>
          <cell r="F283" t="str">
            <v>U20/5</v>
          </cell>
          <cell r="G283">
            <v>61</v>
          </cell>
          <cell r="H283">
            <v>0.26987999999999995</v>
          </cell>
          <cell r="I283">
            <v>3.375</v>
          </cell>
          <cell r="J283" t="str">
            <v xml:space="preserve"> Emballage-Adhésif</v>
          </cell>
          <cell r="K283">
            <v>5.6355000000000004</v>
          </cell>
          <cell r="M283" t="str">
            <v>OK4707P2</v>
          </cell>
          <cell r="N283">
            <v>217</v>
          </cell>
          <cell r="O283">
            <v>-217</v>
          </cell>
          <cell r="P283" t="e">
            <v>#DIV/0!</v>
          </cell>
          <cell r="Q283">
            <v>0</v>
          </cell>
        </row>
        <row r="284">
          <cell r="D284" t="str">
            <v>FSQ402</v>
          </cell>
          <cell r="E284">
            <v>13</v>
          </cell>
          <cell r="F284" t="str">
            <v>U20/5</v>
          </cell>
          <cell r="G284">
            <v>108</v>
          </cell>
          <cell r="H284">
            <v>0.27377999999999997</v>
          </cell>
          <cell r="I284">
            <v>3.375</v>
          </cell>
          <cell r="J284" t="str">
            <v xml:space="preserve"> Emballage-Adhésif</v>
          </cell>
          <cell r="K284">
            <v>5.5445000000000002</v>
          </cell>
          <cell r="M284" t="str">
            <v>OK4709P2</v>
          </cell>
          <cell r="N284">
            <v>143</v>
          </cell>
          <cell r="O284">
            <v>-143</v>
          </cell>
          <cell r="P284" t="e">
            <v>#DIV/0!</v>
          </cell>
          <cell r="Q284">
            <v>0</v>
          </cell>
        </row>
        <row r="285">
          <cell r="D285" t="str">
            <v>FSQ403</v>
          </cell>
          <cell r="E285">
            <v>13</v>
          </cell>
          <cell r="F285" t="str">
            <v>U20/5</v>
          </cell>
          <cell r="G285">
            <v>109</v>
          </cell>
          <cell r="H285">
            <v>0.30575999999999998</v>
          </cell>
          <cell r="I285">
            <v>3.375</v>
          </cell>
          <cell r="J285" t="str">
            <v xml:space="preserve"> Emballage-Adhésif</v>
          </cell>
          <cell r="K285">
            <v>7.1110000000000007</v>
          </cell>
          <cell r="M285" t="str">
            <v>OK4715</v>
          </cell>
          <cell r="N285">
            <v>0</v>
          </cell>
          <cell r="O285">
            <v>0</v>
          </cell>
          <cell r="P285" t="e">
            <v>#DIV/0!</v>
          </cell>
          <cell r="Q285">
            <v>0</v>
          </cell>
        </row>
        <row r="286">
          <cell r="D286" t="str">
            <v>FSQ404</v>
          </cell>
          <cell r="E286">
            <v>13</v>
          </cell>
          <cell r="F286" t="str">
            <v>U20/5</v>
          </cell>
          <cell r="G286">
            <v>101</v>
          </cell>
          <cell r="H286">
            <v>0.27221999999999996</v>
          </cell>
          <cell r="I286">
            <v>3</v>
          </cell>
          <cell r="J286" t="str">
            <v xml:space="preserve"> Emballage-Adhésif</v>
          </cell>
          <cell r="K286">
            <v>5.7069999999999999</v>
          </cell>
          <cell r="M286" t="str">
            <v>OK4716</v>
          </cell>
          <cell r="N286">
            <v>1194</v>
          </cell>
          <cell r="O286">
            <v>-1193</v>
          </cell>
          <cell r="P286">
            <v>-1193</v>
          </cell>
          <cell r="Q286">
            <v>0</v>
          </cell>
        </row>
        <row r="287">
          <cell r="D287" t="str">
            <v>FSQ405</v>
          </cell>
          <cell r="E287">
            <v>13</v>
          </cell>
          <cell r="F287" t="str">
            <v>U20/5</v>
          </cell>
          <cell r="G287">
            <v>148</v>
          </cell>
          <cell r="H287">
            <v>0.30575999999999998</v>
          </cell>
          <cell r="I287">
            <v>3</v>
          </cell>
          <cell r="J287" t="str">
            <v xml:space="preserve"> Emballage-Adhésif</v>
          </cell>
          <cell r="K287">
            <v>7.1110000000000007</v>
          </cell>
          <cell r="M287" t="str">
            <v>OK4717</v>
          </cell>
          <cell r="N287">
            <v>322</v>
          </cell>
          <cell r="O287">
            <v>-322</v>
          </cell>
          <cell r="P287" t="e">
            <v>#DIV/0!</v>
          </cell>
          <cell r="Q287">
            <v>0</v>
          </cell>
        </row>
        <row r="288">
          <cell r="D288" t="str">
            <v>FSQ406</v>
          </cell>
          <cell r="E288">
            <v>13</v>
          </cell>
          <cell r="F288" t="str">
            <v>U20/5</v>
          </cell>
          <cell r="G288">
            <v>131</v>
          </cell>
          <cell r="H288">
            <v>0.25817999999999997</v>
          </cell>
          <cell r="I288">
            <v>3.375</v>
          </cell>
          <cell r="J288" t="str">
            <v xml:space="preserve"> Emballage-Adhésif</v>
          </cell>
          <cell r="K288">
            <v>5.46</v>
          </cell>
          <cell r="M288" t="str">
            <v>OK4718</v>
          </cell>
          <cell r="N288">
            <v>159</v>
          </cell>
          <cell r="O288">
            <v>0</v>
          </cell>
          <cell r="P288">
            <v>0</v>
          </cell>
          <cell r="Q288">
            <v>0</v>
          </cell>
        </row>
        <row r="289">
          <cell r="D289" t="str">
            <v>FSQ408</v>
          </cell>
          <cell r="E289">
            <v>13</v>
          </cell>
          <cell r="F289" t="str">
            <v>U20/5</v>
          </cell>
          <cell r="G289">
            <v>133</v>
          </cell>
          <cell r="H289">
            <v>0.22931999999999997</v>
          </cell>
          <cell r="I289">
            <v>3.375</v>
          </cell>
          <cell r="J289" t="str">
            <v xml:space="preserve"> Emballage-Adhésif</v>
          </cell>
          <cell r="K289">
            <v>5.3949999999999996</v>
          </cell>
          <cell r="M289" t="str">
            <v>OK4722</v>
          </cell>
          <cell r="N289">
            <v>517</v>
          </cell>
          <cell r="O289">
            <v>-498</v>
          </cell>
          <cell r="P289">
            <v>-26.210526315789473</v>
          </cell>
          <cell r="Q289">
            <v>0</v>
          </cell>
        </row>
        <row r="290">
          <cell r="D290" t="str">
            <v>FSQ501</v>
          </cell>
          <cell r="E290">
            <v>14</v>
          </cell>
          <cell r="K290">
            <v>3</v>
          </cell>
          <cell r="M290" t="str">
            <v>OK4723_3</v>
          </cell>
          <cell r="N290">
            <v>4</v>
          </cell>
          <cell r="O290">
            <v>-4</v>
          </cell>
          <cell r="P290" t="e">
            <v>#DIV/0!</v>
          </cell>
          <cell r="Q290">
            <v>0</v>
          </cell>
        </row>
        <row r="291">
          <cell r="D291" t="str">
            <v>FSQ502</v>
          </cell>
          <cell r="E291">
            <v>14</v>
          </cell>
          <cell r="K291">
            <v>5.8440000000000003</v>
          </cell>
          <cell r="M291" t="str">
            <v>OK4723</v>
          </cell>
          <cell r="N291">
            <v>1677</v>
          </cell>
          <cell r="O291">
            <v>4</v>
          </cell>
          <cell r="P291">
            <v>2.3795359904818562E-3</v>
          </cell>
          <cell r="Q291">
            <v>0</v>
          </cell>
        </row>
        <row r="292">
          <cell r="D292" t="str">
            <v>FSQ510</v>
          </cell>
          <cell r="E292">
            <v>14</v>
          </cell>
          <cell r="K292">
            <v>6.4870000000000001</v>
          </cell>
          <cell r="M292" t="str">
            <v>OK4724_3</v>
          </cell>
          <cell r="N292">
            <v>0</v>
          </cell>
          <cell r="O292">
            <v>0</v>
          </cell>
          <cell r="P292" t="e">
            <v>#DIV/0!</v>
          </cell>
          <cell r="Q292">
            <v>0</v>
          </cell>
        </row>
        <row r="293">
          <cell r="D293" t="str">
            <v>FSQ520</v>
          </cell>
          <cell r="E293">
            <v>14</v>
          </cell>
          <cell r="K293">
            <v>3</v>
          </cell>
          <cell r="M293" t="str">
            <v>SP6016P2</v>
          </cell>
          <cell r="N293">
            <v>120</v>
          </cell>
          <cell r="O293">
            <v>-120</v>
          </cell>
          <cell r="P293" t="e">
            <v>#DIV/0!</v>
          </cell>
          <cell r="Q293">
            <v>0</v>
          </cell>
        </row>
        <row r="294">
          <cell r="D294" t="str">
            <v>FSQ521</v>
          </cell>
          <cell r="E294">
            <v>12</v>
          </cell>
          <cell r="K294">
            <v>5.6289999999999996</v>
          </cell>
          <cell r="M294" t="str">
            <v>SP6017P2</v>
          </cell>
          <cell r="N294">
            <v>1209</v>
          </cell>
          <cell r="O294">
            <v>-1209</v>
          </cell>
          <cell r="P294" t="e">
            <v>#DIV/0!</v>
          </cell>
          <cell r="Q294">
            <v>0</v>
          </cell>
        </row>
        <row r="295">
          <cell r="D295" t="str">
            <v>FSQ530</v>
          </cell>
          <cell r="E295">
            <v>14</v>
          </cell>
          <cell r="K295">
            <v>3</v>
          </cell>
          <cell r="M295" t="str">
            <v>OK4704P1</v>
          </cell>
          <cell r="N295">
            <v>49</v>
          </cell>
          <cell r="O295">
            <v>-49</v>
          </cell>
          <cell r="P295" t="e">
            <v>#DIV/0!</v>
          </cell>
          <cell r="Q295">
            <v>0</v>
          </cell>
        </row>
        <row r="296">
          <cell r="D296" t="str">
            <v>FSQ532</v>
          </cell>
          <cell r="E296">
            <v>14</v>
          </cell>
          <cell r="K296">
            <v>3</v>
          </cell>
          <cell r="M296" t="str">
            <v>OK4705P1</v>
          </cell>
          <cell r="N296">
            <v>103</v>
          </cell>
          <cell r="O296">
            <v>-103</v>
          </cell>
          <cell r="P296" t="e">
            <v>#DIV/0!</v>
          </cell>
          <cell r="Q296">
            <v>0</v>
          </cell>
        </row>
        <row r="297">
          <cell r="D297" t="str">
            <v>FSQ540</v>
          </cell>
          <cell r="E297">
            <v>12</v>
          </cell>
          <cell r="K297">
            <v>7.4560000000000004</v>
          </cell>
          <cell r="M297" t="str">
            <v>OK4706P1</v>
          </cell>
          <cell r="N297">
            <v>24</v>
          </cell>
          <cell r="O297">
            <v>-24</v>
          </cell>
          <cell r="P297" t="e">
            <v>#DIV/0!</v>
          </cell>
          <cell r="Q297">
            <v>0</v>
          </cell>
        </row>
        <row r="298">
          <cell r="D298" t="str">
            <v>FSQ541</v>
          </cell>
          <cell r="E298">
            <v>20</v>
          </cell>
          <cell r="K298">
            <v>2.0219999999999998</v>
          </cell>
          <cell r="M298" t="str">
            <v>OK4707P1</v>
          </cell>
          <cell r="N298">
            <v>42</v>
          </cell>
          <cell r="O298">
            <v>-42</v>
          </cell>
          <cell r="P298" t="e">
            <v>#DIV/0!</v>
          </cell>
          <cell r="Q298">
            <v>0</v>
          </cell>
        </row>
        <row r="299">
          <cell r="D299" t="str">
            <v>GL058</v>
          </cell>
          <cell r="E299">
            <v>20</v>
          </cell>
          <cell r="F299" t="str">
            <v>BZ20</v>
          </cell>
          <cell r="G299">
            <v>28</v>
          </cell>
          <cell r="H299">
            <v>9.4899999999999998E-2</v>
          </cell>
          <cell r="I299" t="e">
            <v>#N/A</v>
          </cell>
          <cell r="J299" t="str">
            <v xml:space="preserve"> Emballage</v>
          </cell>
          <cell r="K299">
            <v>1.8979999999999999</v>
          </cell>
          <cell r="M299" t="str">
            <v>OK4724</v>
          </cell>
          <cell r="N299">
            <v>1025</v>
          </cell>
          <cell r="O299">
            <v>-1025</v>
          </cell>
          <cell r="P299" t="e">
            <v>#DIV/0!</v>
          </cell>
          <cell r="Q299">
            <v>0</v>
          </cell>
        </row>
        <row r="300">
          <cell r="D300" t="str">
            <v>GL11060/248</v>
          </cell>
          <cell r="E300">
            <v>20</v>
          </cell>
          <cell r="F300" t="str">
            <v>BZ20</v>
          </cell>
          <cell r="G300">
            <v>8</v>
          </cell>
          <cell r="H300">
            <v>0.12317499999999999</v>
          </cell>
          <cell r="I300" t="e">
            <v>#N/A</v>
          </cell>
          <cell r="J300" t="str">
            <v xml:space="preserve"> Emballage</v>
          </cell>
          <cell r="K300">
            <v>2.4634999999999998</v>
          </cell>
          <cell r="M300" t="str">
            <v>OK4701P1</v>
          </cell>
          <cell r="N300">
            <v>253</v>
          </cell>
          <cell r="O300">
            <v>-253</v>
          </cell>
          <cell r="P300" t="e">
            <v>#DIV/0!</v>
          </cell>
          <cell r="Q300">
            <v>0</v>
          </cell>
        </row>
        <row r="301">
          <cell r="D301" t="str">
            <v>GL180</v>
          </cell>
          <cell r="E301">
            <v>20</v>
          </cell>
          <cell r="F301" t="str">
            <v>BZ20</v>
          </cell>
          <cell r="G301">
            <v>72</v>
          </cell>
          <cell r="H301">
            <v>8.4499999999999992E-2</v>
          </cell>
          <cell r="I301" t="e">
            <v>#N/A</v>
          </cell>
          <cell r="J301" t="str">
            <v xml:space="preserve"> Emballage</v>
          </cell>
          <cell r="K301">
            <v>1.69</v>
          </cell>
          <cell r="M301" t="str">
            <v>OK4725</v>
          </cell>
          <cell r="N301">
            <v>161</v>
          </cell>
          <cell r="O301">
            <v>-161</v>
          </cell>
          <cell r="P301" t="e">
            <v>#DIV/0!</v>
          </cell>
          <cell r="Q301">
            <v>0</v>
          </cell>
        </row>
        <row r="302">
          <cell r="D302" t="str">
            <v>GLLM100.6.5</v>
          </cell>
          <cell r="E302">
            <v>10</v>
          </cell>
          <cell r="K302">
            <v>10.050000000000001</v>
          </cell>
          <cell r="M302" t="str">
            <v>ALL10093/1</v>
          </cell>
          <cell r="N302">
            <v>11</v>
          </cell>
          <cell r="O302">
            <v>17</v>
          </cell>
          <cell r="P302">
            <v>0.6071428571428571</v>
          </cell>
          <cell r="Q302">
            <v>20</v>
          </cell>
        </row>
        <row r="303">
          <cell r="D303" t="str">
            <v>GL-MB</v>
          </cell>
          <cell r="E303">
            <v>12</v>
          </cell>
          <cell r="F303" t="str">
            <v>U8/8</v>
          </cell>
          <cell r="G303">
            <v>82</v>
          </cell>
          <cell r="H303">
            <v>0.18459999999999999</v>
          </cell>
          <cell r="I303" t="e">
            <v>#N/A</v>
          </cell>
          <cell r="J303" t="str">
            <v xml:space="preserve"> Emballage</v>
          </cell>
          <cell r="K303">
            <v>3.6919999999999997</v>
          </cell>
          <cell r="M303" t="str">
            <v>ALL11142/1.1</v>
          </cell>
          <cell r="N303">
            <v>115</v>
          </cell>
          <cell r="O303">
            <v>172</v>
          </cell>
          <cell r="P303">
            <v>0.5993031358885017</v>
          </cell>
          <cell r="Q303">
            <v>21.4</v>
          </cell>
        </row>
        <row r="304">
          <cell r="D304" t="str">
            <v>INNER PROFILE</v>
          </cell>
          <cell r="E304">
            <v>10</v>
          </cell>
          <cell r="G304">
            <v>1</v>
          </cell>
          <cell r="K304">
            <v>4</v>
          </cell>
          <cell r="M304" t="str">
            <v>ALL11142/1.5</v>
          </cell>
          <cell r="N304">
            <v>0</v>
          </cell>
          <cell r="O304">
            <v>0</v>
          </cell>
          <cell r="P304" t="e">
            <v>#DIV/0!</v>
          </cell>
          <cell r="Q304">
            <v>0</v>
          </cell>
        </row>
        <row r="305">
          <cell r="D305" t="str">
            <v>KL7401</v>
          </cell>
          <cell r="E305">
            <v>14</v>
          </cell>
          <cell r="K305">
            <v>1.179</v>
          </cell>
          <cell r="M305" t="str">
            <v>ALL11144/1.2</v>
          </cell>
          <cell r="N305">
            <v>0</v>
          </cell>
          <cell r="O305">
            <v>41</v>
          </cell>
          <cell r="P305">
            <v>1</v>
          </cell>
          <cell r="Q305">
            <v>141.5</v>
          </cell>
        </row>
        <row r="306">
          <cell r="D306" t="str">
            <v>KL7402</v>
          </cell>
          <cell r="E306">
            <v>9</v>
          </cell>
          <cell r="K306">
            <v>11.452999999999999</v>
          </cell>
          <cell r="M306" t="str">
            <v>ALL11144/2</v>
          </cell>
          <cell r="N306">
            <v>0</v>
          </cell>
          <cell r="O306">
            <v>0</v>
          </cell>
          <cell r="P306" t="e">
            <v>#DIV/0!</v>
          </cell>
          <cell r="Q306">
            <v>0</v>
          </cell>
        </row>
        <row r="307">
          <cell r="D307" t="str">
            <v>KL7403</v>
          </cell>
          <cell r="E307">
            <v>9</v>
          </cell>
          <cell r="K307">
            <v>10.16</v>
          </cell>
          <cell r="M307" t="str">
            <v>ALL124/1.5</v>
          </cell>
          <cell r="N307">
            <v>173</v>
          </cell>
          <cell r="O307">
            <v>105</v>
          </cell>
          <cell r="P307">
            <v>0.37769784172661869</v>
          </cell>
          <cell r="Q307">
            <v>0</v>
          </cell>
        </row>
        <row r="308">
          <cell r="D308" t="str">
            <v>KL7404</v>
          </cell>
          <cell r="E308">
            <v>9</v>
          </cell>
          <cell r="K308">
            <v>11.265000000000001</v>
          </cell>
          <cell r="M308" t="str">
            <v>ALL144/3</v>
          </cell>
          <cell r="N308">
            <v>0</v>
          </cell>
          <cell r="O308">
            <v>0</v>
          </cell>
          <cell r="P308" t="e">
            <v>#DIV/0!</v>
          </cell>
          <cell r="Q308">
            <v>0</v>
          </cell>
        </row>
        <row r="309">
          <cell r="D309" t="str">
            <v>KL7405</v>
          </cell>
          <cell r="E309">
            <v>9</v>
          </cell>
          <cell r="K309">
            <v>13.689</v>
          </cell>
          <cell r="M309" t="str">
            <v>ALL145/1.3</v>
          </cell>
          <cell r="N309">
            <v>0</v>
          </cell>
          <cell r="O309">
            <v>0</v>
          </cell>
          <cell r="P309" t="e">
            <v>#DIV/0!</v>
          </cell>
          <cell r="Q309">
            <v>0</v>
          </cell>
        </row>
        <row r="310">
          <cell r="D310" t="str">
            <v>KL7407</v>
          </cell>
          <cell r="E310">
            <v>9</v>
          </cell>
          <cell r="K310">
            <v>17.934000000000001</v>
          </cell>
          <cell r="M310" t="str">
            <v>ALL145/2.8</v>
          </cell>
          <cell r="N310">
            <v>257</v>
          </cell>
          <cell r="O310">
            <v>2</v>
          </cell>
          <cell r="P310">
            <v>7.7220077220077222E-3</v>
          </cell>
          <cell r="Q310">
            <v>15.6</v>
          </cell>
        </row>
        <row r="311">
          <cell r="D311" t="str">
            <v>KL7412</v>
          </cell>
          <cell r="E311">
            <v>13</v>
          </cell>
          <cell r="K311">
            <v>5.2329999999999997</v>
          </cell>
          <cell r="M311" t="str">
            <v>ALL145/4</v>
          </cell>
          <cell r="N311">
            <v>23</v>
          </cell>
          <cell r="O311">
            <v>0</v>
          </cell>
          <cell r="P311">
            <v>0</v>
          </cell>
          <cell r="Q311">
            <v>300.5</v>
          </cell>
        </row>
        <row r="312">
          <cell r="D312" t="str">
            <v>KL7417</v>
          </cell>
          <cell r="E312">
            <v>9</v>
          </cell>
          <cell r="K312">
            <v>9.8219999999999992</v>
          </cell>
          <cell r="M312" t="str">
            <v>ALL213/1.5</v>
          </cell>
          <cell r="N312">
            <v>0</v>
          </cell>
          <cell r="O312">
            <v>4</v>
          </cell>
          <cell r="P312">
            <v>1</v>
          </cell>
          <cell r="Q312">
            <v>47.2</v>
          </cell>
        </row>
        <row r="313">
          <cell r="D313" t="str">
            <v>KL7420</v>
          </cell>
          <cell r="E313">
            <v>9</v>
          </cell>
          <cell r="K313">
            <v>1.885</v>
          </cell>
          <cell r="M313" t="str">
            <v>ALL244/1.2</v>
          </cell>
          <cell r="N313">
            <v>0</v>
          </cell>
          <cell r="O313">
            <v>8</v>
          </cell>
          <cell r="P313">
            <v>1</v>
          </cell>
          <cell r="Q313">
            <v>2144</v>
          </cell>
        </row>
        <row r="314">
          <cell r="D314" t="str">
            <v>LM-100</v>
          </cell>
          <cell r="E314">
            <v>10</v>
          </cell>
          <cell r="F314" t="str">
            <v>BCS10</v>
          </cell>
          <cell r="G314">
            <v>250</v>
          </cell>
          <cell r="H314">
            <v>0.26208000000000004</v>
          </cell>
          <cell r="I314">
            <v>3.375</v>
          </cell>
          <cell r="J314" t="str">
            <v xml:space="preserve"> Emballage</v>
          </cell>
          <cell r="K314">
            <v>4</v>
          </cell>
          <cell r="M314" t="str">
            <v>ALL244/1.5</v>
          </cell>
          <cell r="N314">
            <v>0</v>
          </cell>
          <cell r="O314">
            <v>0</v>
          </cell>
          <cell r="P314" t="e">
            <v>#DIV/0!</v>
          </cell>
          <cell r="Q314">
            <v>0</v>
          </cell>
        </row>
        <row r="315">
          <cell r="D315" t="str">
            <v>LM-100.5</v>
          </cell>
          <cell r="E315">
            <v>12</v>
          </cell>
          <cell r="G315">
            <v>250</v>
          </cell>
          <cell r="H315">
            <v>0.26208000000000004</v>
          </cell>
          <cell r="I315">
            <v>3.375</v>
          </cell>
          <cell r="K315">
            <v>4.43</v>
          </cell>
          <cell r="M315" t="str">
            <v>ALL316/6</v>
          </cell>
          <cell r="N315">
            <v>0</v>
          </cell>
          <cell r="O315">
            <v>0</v>
          </cell>
          <cell r="P315" t="e">
            <v>#DIV/0!</v>
          </cell>
          <cell r="Q315">
            <v>2</v>
          </cell>
        </row>
        <row r="316">
          <cell r="D316" t="str">
            <v>LM-100.6</v>
          </cell>
          <cell r="E316">
            <v>12</v>
          </cell>
          <cell r="G316">
            <v>250</v>
          </cell>
          <cell r="H316">
            <v>0.26208000000000004</v>
          </cell>
          <cell r="I316">
            <v>3.375</v>
          </cell>
          <cell r="K316">
            <v>4.43</v>
          </cell>
          <cell r="M316" t="str">
            <v>ALL349/1.5</v>
          </cell>
          <cell r="N316">
            <v>3</v>
          </cell>
          <cell r="O316">
            <v>24</v>
          </cell>
          <cell r="P316">
            <v>0.88888888888888884</v>
          </cell>
          <cell r="Q316">
            <v>1781</v>
          </cell>
        </row>
        <row r="317">
          <cell r="D317" t="str">
            <v>LM-100.A</v>
          </cell>
          <cell r="E317">
            <v>10</v>
          </cell>
          <cell r="G317">
            <v>250</v>
          </cell>
          <cell r="H317">
            <v>0.26208000000000004</v>
          </cell>
          <cell r="I317">
            <v>3.375</v>
          </cell>
          <cell r="K317">
            <v>4</v>
          </cell>
          <cell r="M317" t="str">
            <v>ALL714/4</v>
          </cell>
          <cell r="N317">
            <v>0</v>
          </cell>
          <cell r="O317">
            <v>0</v>
          </cell>
          <cell r="P317" t="e">
            <v>#DIV/0!</v>
          </cell>
          <cell r="Q317">
            <v>0</v>
          </cell>
        </row>
        <row r="318">
          <cell r="D318" t="str">
            <v>LM-100.MA</v>
          </cell>
          <cell r="E318">
            <v>10</v>
          </cell>
          <cell r="G318">
            <v>250</v>
          </cell>
          <cell r="H318">
            <v>0.26208000000000004</v>
          </cell>
          <cell r="I318">
            <v>3.375</v>
          </cell>
          <cell r="K318">
            <v>4</v>
          </cell>
          <cell r="M318" t="str">
            <v>ALL723/2</v>
          </cell>
          <cell r="N318">
            <v>0</v>
          </cell>
          <cell r="O318">
            <v>25</v>
          </cell>
          <cell r="P318">
            <v>1</v>
          </cell>
          <cell r="Q318">
            <v>0</v>
          </cell>
        </row>
        <row r="319">
          <cell r="D319" t="str">
            <v>LM-40</v>
          </cell>
          <cell r="E319">
            <v>20</v>
          </cell>
          <cell r="F319" t="str">
            <v>BZ20</v>
          </cell>
          <cell r="G319">
            <v>250</v>
          </cell>
          <cell r="H319">
            <v>8.5019999999999998E-2</v>
          </cell>
          <cell r="I319">
            <v>2.25</v>
          </cell>
          <cell r="J319" t="e">
            <v>#N/A</v>
          </cell>
          <cell r="K319">
            <v>1.653</v>
          </cell>
          <cell r="M319" t="str">
            <v>ALL724/2</v>
          </cell>
          <cell r="N319">
            <v>60</v>
          </cell>
          <cell r="O319">
            <v>65</v>
          </cell>
          <cell r="P319">
            <v>0.52</v>
          </cell>
          <cell r="Q319">
            <v>150</v>
          </cell>
        </row>
        <row r="320">
          <cell r="D320" t="str">
            <v>LM-48</v>
          </cell>
          <cell r="E320">
            <v>17</v>
          </cell>
          <cell r="G320">
            <v>250</v>
          </cell>
          <cell r="H320">
            <v>9.8279999999999992E-2</v>
          </cell>
          <cell r="I320">
            <v>2.25</v>
          </cell>
          <cell r="K320">
            <v>1.825</v>
          </cell>
          <cell r="M320" t="str">
            <v>ALL727/1.2</v>
          </cell>
          <cell r="N320">
            <v>0</v>
          </cell>
          <cell r="O320">
            <v>0</v>
          </cell>
          <cell r="P320" t="e">
            <v>#DIV/0!</v>
          </cell>
          <cell r="Q320">
            <v>0</v>
          </cell>
        </row>
        <row r="321">
          <cell r="D321" t="str">
            <v>LM-55</v>
          </cell>
          <cell r="E321">
            <v>17</v>
          </cell>
          <cell r="F321" t="str">
            <v>BCD17</v>
          </cell>
          <cell r="G321">
            <v>250</v>
          </cell>
          <cell r="H321">
            <v>0.16925999999999999</v>
          </cell>
          <cell r="I321">
            <v>2.25</v>
          </cell>
          <cell r="J321" t="str">
            <v xml:space="preserve"> Emballage</v>
          </cell>
          <cell r="K321">
            <v>3.569</v>
          </cell>
          <cell r="M321" t="str">
            <v>ALL727/2</v>
          </cell>
          <cell r="N321">
            <v>0</v>
          </cell>
          <cell r="O321">
            <v>0</v>
          </cell>
          <cell r="P321" t="e">
            <v>#DIV/0!</v>
          </cell>
          <cell r="Q321">
            <v>0</v>
          </cell>
        </row>
        <row r="322">
          <cell r="D322" t="str">
            <v>LM-55A</v>
          </cell>
          <cell r="E322">
            <v>17</v>
          </cell>
          <cell r="F322" t="str">
            <v>BCD17</v>
          </cell>
          <cell r="G322">
            <v>250</v>
          </cell>
          <cell r="H322">
            <v>0.16925999999999999</v>
          </cell>
          <cell r="I322">
            <v>2.25</v>
          </cell>
          <cell r="J322" t="str">
            <v xml:space="preserve"> Emballage</v>
          </cell>
          <cell r="K322">
            <v>2</v>
          </cell>
          <cell r="M322" t="str">
            <v>PL101</v>
          </cell>
          <cell r="N322">
            <v>263</v>
          </cell>
          <cell r="O322">
            <v>1</v>
          </cell>
          <cell r="P322">
            <v>3.787878787878788E-3</v>
          </cell>
          <cell r="Q322">
            <v>0</v>
          </cell>
        </row>
        <row r="323">
          <cell r="D323" t="str">
            <v>LM-60</v>
          </cell>
          <cell r="E323">
            <v>17</v>
          </cell>
          <cell r="F323" t="str">
            <v>BCD17</v>
          </cell>
          <cell r="G323">
            <v>250</v>
          </cell>
          <cell r="H323">
            <v>0.156</v>
          </cell>
          <cell r="I323">
            <v>2.25</v>
          </cell>
          <cell r="J323" t="str">
            <v xml:space="preserve"> Emballage</v>
          </cell>
          <cell r="K323">
            <v>3.07</v>
          </cell>
          <cell r="M323" t="str">
            <v>PL102</v>
          </cell>
          <cell r="N323">
            <v>185</v>
          </cell>
          <cell r="O323">
            <v>2</v>
          </cell>
          <cell r="P323">
            <v>1.06951871657754E-2</v>
          </cell>
          <cell r="Q323">
            <v>0</v>
          </cell>
        </row>
        <row r="324">
          <cell r="D324" t="str">
            <v>LM-60A</v>
          </cell>
          <cell r="E324">
            <v>17</v>
          </cell>
          <cell r="F324" t="str">
            <v>BCD17</v>
          </cell>
          <cell r="G324">
            <v>250</v>
          </cell>
          <cell r="H324" t="e">
            <v>#N/A</v>
          </cell>
          <cell r="I324" t="e">
            <v>#N/A</v>
          </cell>
          <cell r="J324" t="e">
            <v>#N/A</v>
          </cell>
          <cell r="K324">
            <v>2</v>
          </cell>
          <cell r="M324" t="str">
            <v>PL103</v>
          </cell>
          <cell r="N324">
            <v>1386</v>
          </cell>
          <cell r="O324">
            <v>12</v>
          </cell>
          <cell r="P324">
            <v>8.5836909871244635E-3</v>
          </cell>
          <cell r="Q324">
            <v>0</v>
          </cell>
        </row>
        <row r="325">
          <cell r="D325" t="str">
            <v>LM-62</v>
          </cell>
          <cell r="E325">
            <v>17</v>
          </cell>
          <cell r="F325" t="str">
            <v>BCD17</v>
          </cell>
          <cell r="G325">
            <v>250</v>
          </cell>
          <cell r="H325" t="e">
            <v>#N/A</v>
          </cell>
          <cell r="I325" t="e">
            <v>#N/A</v>
          </cell>
          <cell r="J325" t="e">
            <v>#N/A</v>
          </cell>
          <cell r="K325">
            <v>2</v>
          </cell>
          <cell r="M325" t="str">
            <v>PL105</v>
          </cell>
          <cell r="N325">
            <v>665</v>
          </cell>
          <cell r="O325">
            <v>-665</v>
          </cell>
          <cell r="P325" t="e">
            <v>#DIV/0!</v>
          </cell>
          <cell r="Q325">
            <v>0</v>
          </cell>
        </row>
        <row r="326">
          <cell r="D326" t="str">
            <v>LM-757</v>
          </cell>
          <cell r="E326">
            <v>17</v>
          </cell>
          <cell r="F326" t="str">
            <v>BCD17</v>
          </cell>
          <cell r="G326">
            <v>1</v>
          </cell>
          <cell r="H326">
            <v>0.156</v>
          </cell>
          <cell r="I326">
            <v>2.25</v>
          </cell>
          <cell r="J326" t="str">
            <v xml:space="preserve"> Emballage</v>
          </cell>
          <cell r="K326">
            <v>2.7559999999999998</v>
          </cell>
          <cell r="M326" t="str">
            <v>PL106</v>
          </cell>
          <cell r="N326">
            <v>658</v>
          </cell>
          <cell r="O326">
            <v>-656</v>
          </cell>
          <cell r="P326">
            <v>-328</v>
          </cell>
          <cell r="Q326">
            <v>0</v>
          </cell>
        </row>
        <row r="327">
          <cell r="D327" t="str">
            <v>LM-79</v>
          </cell>
          <cell r="E327">
            <v>14</v>
          </cell>
          <cell r="F327" t="str">
            <v>BZ14</v>
          </cell>
          <cell r="G327">
            <v>250</v>
          </cell>
          <cell r="H327">
            <v>0.20748</v>
          </cell>
          <cell r="I327">
            <v>3</v>
          </cell>
          <cell r="J327" t="str">
            <v xml:space="preserve"> Emballage</v>
          </cell>
          <cell r="K327">
            <v>4.548</v>
          </cell>
          <cell r="M327" t="str">
            <v>PL108</v>
          </cell>
          <cell r="N327">
            <v>622</v>
          </cell>
          <cell r="O327">
            <v>0</v>
          </cell>
          <cell r="P327">
            <v>0</v>
          </cell>
          <cell r="Q327">
            <v>0</v>
          </cell>
        </row>
        <row r="328">
          <cell r="D328" t="str">
            <v>LM-79A</v>
          </cell>
          <cell r="E328">
            <v>14</v>
          </cell>
          <cell r="F328" t="str">
            <v>BZ14</v>
          </cell>
          <cell r="G328">
            <v>250</v>
          </cell>
          <cell r="H328">
            <v>0.20748</v>
          </cell>
          <cell r="I328">
            <v>3</v>
          </cell>
          <cell r="J328" t="str">
            <v xml:space="preserve"> Emballage</v>
          </cell>
          <cell r="K328">
            <v>4.548</v>
          </cell>
          <cell r="M328" t="str">
            <v>PL109</v>
          </cell>
          <cell r="N328">
            <v>526</v>
          </cell>
          <cell r="O328">
            <v>0</v>
          </cell>
          <cell r="P328">
            <v>0</v>
          </cell>
          <cell r="Q328">
            <v>0</v>
          </cell>
        </row>
        <row r="329">
          <cell r="D329" t="str">
            <v>LMDP-100</v>
          </cell>
          <cell r="E329">
            <v>14</v>
          </cell>
          <cell r="K329">
            <v>7.02</v>
          </cell>
          <cell r="M329" t="str">
            <v>PL110</v>
          </cell>
          <cell r="N329">
            <v>486</v>
          </cell>
          <cell r="O329">
            <v>0</v>
          </cell>
          <cell r="P329">
            <v>0</v>
          </cell>
          <cell r="Q329">
            <v>0</v>
          </cell>
        </row>
        <row r="330">
          <cell r="D330" t="str">
            <v>LMDPF-100</v>
          </cell>
          <cell r="E330">
            <v>20</v>
          </cell>
          <cell r="K330">
            <v>1.8460000000000001</v>
          </cell>
          <cell r="M330" t="str">
            <v>PL111</v>
          </cell>
          <cell r="N330">
            <v>217</v>
          </cell>
          <cell r="O330">
            <v>0</v>
          </cell>
          <cell r="P330">
            <v>0</v>
          </cell>
          <cell r="Q330">
            <v>0</v>
          </cell>
        </row>
        <row r="331">
          <cell r="D331" t="str">
            <v>LM-F</v>
          </cell>
          <cell r="E331">
            <v>17</v>
          </cell>
          <cell r="F331" t="str">
            <v>BCD17</v>
          </cell>
          <cell r="G331">
            <v>250</v>
          </cell>
          <cell r="H331">
            <v>0.12636</v>
          </cell>
          <cell r="I331">
            <v>2.25</v>
          </cell>
          <cell r="K331">
            <v>2.8405</v>
          </cell>
          <cell r="M331" t="str">
            <v>PL112</v>
          </cell>
          <cell r="N331">
            <v>234</v>
          </cell>
          <cell r="O331">
            <v>1</v>
          </cell>
          <cell r="P331">
            <v>4.2553191489361703E-3</v>
          </cell>
          <cell r="Q331">
            <v>0</v>
          </cell>
        </row>
        <row r="332">
          <cell r="D332" t="str">
            <v>LM-F/6</v>
          </cell>
          <cell r="E332">
            <v>17</v>
          </cell>
          <cell r="F332" t="str">
            <v>BCD17</v>
          </cell>
          <cell r="G332">
            <v>10.5</v>
          </cell>
          <cell r="H332">
            <v>0.14202500000000001</v>
          </cell>
          <cell r="I332" t="e">
            <v>#N/A</v>
          </cell>
          <cell r="J332" t="str">
            <v xml:space="preserve"> Emballage</v>
          </cell>
          <cell r="K332">
            <v>2.8405</v>
          </cell>
          <cell r="M332" t="str">
            <v>PL113</v>
          </cell>
          <cell r="N332">
            <v>314</v>
          </cell>
          <cell r="O332">
            <v>0</v>
          </cell>
          <cell r="P332">
            <v>0</v>
          </cell>
          <cell r="Q332">
            <v>0</v>
          </cell>
        </row>
        <row r="333">
          <cell r="D333" t="str">
            <v>LM-F100</v>
          </cell>
          <cell r="E333">
            <v>12</v>
          </cell>
          <cell r="G333">
            <v>250</v>
          </cell>
          <cell r="H333">
            <v>0.20592000000000002</v>
          </cell>
          <cell r="I333">
            <v>3</v>
          </cell>
          <cell r="K333">
            <v>6.32</v>
          </cell>
          <cell r="M333" t="str">
            <v>PL114</v>
          </cell>
          <cell r="N333">
            <v>274</v>
          </cell>
          <cell r="O333">
            <v>0</v>
          </cell>
          <cell r="P333">
            <v>0</v>
          </cell>
          <cell r="Q333">
            <v>0</v>
          </cell>
        </row>
        <row r="334">
          <cell r="D334" t="str">
            <v>LM-F41</v>
          </cell>
          <cell r="E334">
            <v>17</v>
          </cell>
          <cell r="G334">
            <v>250</v>
          </cell>
          <cell r="H334">
            <v>9.5939999999999998E-2</v>
          </cell>
          <cell r="I334">
            <v>2.25</v>
          </cell>
          <cell r="K334">
            <v>1.859</v>
          </cell>
          <cell r="M334" t="str">
            <v>PL116</v>
          </cell>
          <cell r="N334">
            <v>64</v>
          </cell>
          <cell r="O334">
            <v>-64</v>
          </cell>
          <cell r="P334" t="e">
            <v>#DIV/0!</v>
          </cell>
          <cell r="Q334">
            <v>0</v>
          </cell>
        </row>
        <row r="335">
          <cell r="D335" t="str">
            <v>LM-F45</v>
          </cell>
          <cell r="E335">
            <v>20</v>
          </cell>
          <cell r="K335">
            <v>2.19</v>
          </cell>
          <cell r="M335" t="str">
            <v>PL104</v>
          </cell>
          <cell r="N335">
            <v>75</v>
          </cell>
          <cell r="O335">
            <v>-74</v>
          </cell>
          <cell r="P335">
            <v>-74</v>
          </cell>
          <cell r="Q335">
            <v>0</v>
          </cell>
        </row>
        <row r="336">
          <cell r="D336" t="str">
            <v>LM-F50</v>
          </cell>
          <cell r="E336">
            <v>17</v>
          </cell>
          <cell r="F336" t="str">
            <v>BCD17</v>
          </cell>
          <cell r="G336">
            <v>250</v>
          </cell>
          <cell r="H336">
            <v>0.11856</v>
          </cell>
          <cell r="I336">
            <v>2.25</v>
          </cell>
          <cell r="J336" t="e">
            <v>#N/A</v>
          </cell>
          <cell r="K336">
            <v>2.8</v>
          </cell>
          <cell r="M336" t="str">
            <v>PL107</v>
          </cell>
          <cell r="N336">
            <v>281</v>
          </cell>
          <cell r="O336">
            <v>-263</v>
          </cell>
          <cell r="P336">
            <v>-14.611111111111111</v>
          </cell>
          <cell r="Q336">
            <v>0</v>
          </cell>
        </row>
        <row r="337">
          <cell r="D337" t="str">
            <v>LM-F79/100</v>
          </cell>
          <cell r="E337">
            <v>10</v>
          </cell>
          <cell r="F337" t="str">
            <v>BCS10</v>
          </cell>
          <cell r="G337">
            <v>147</v>
          </cell>
          <cell r="H337">
            <v>0.20592000000000002</v>
          </cell>
          <cell r="I337">
            <v>3</v>
          </cell>
          <cell r="J337" t="str">
            <v xml:space="preserve"> Emballage</v>
          </cell>
          <cell r="K337">
            <v>6.3179999999999996</v>
          </cell>
          <cell r="M337" t="str">
            <v>Pr6314</v>
          </cell>
          <cell r="N337">
            <v>125</v>
          </cell>
          <cell r="O337">
            <v>0</v>
          </cell>
          <cell r="P337">
            <v>0</v>
          </cell>
          <cell r="Q337">
            <v>0</v>
          </cell>
        </row>
        <row r="338">
          <cell r="D338" t="str">
            <v>LM-FR</v>
          </cell>
          <cell r="E338">
            <v>17</v>
          </cell>
          <cell r="F338" t="str">
            <v>BCD17</v>
          </cell>
          <cell r="G338">
            <v>250</v>
          </cell>
          <cell r="H338" t="e">
            <v>#N/A</v>
          </cell>
          <cell r="I338" t="e">
            <v>#N/A</v>
          </cell>
          <cell r="J338" t="e">
            <v>#N/A</v>
          </cell>
          <cell r="K338">
            <v>2</v>
          </cell>
          <cell r="M338" t="str">
            <v>Pr6311</v>
          </cell>
          <cell r="N338">
            <v>387</v>
          </cell>
          <cell r="O338">
            <v>0</v>
          </cell>
          <cell r="P338">
            <v>0</v>
          </cell>
          <cell r="Q338">
            <v>0</v>
          </cell>
        </row>
        <row r="339">
          <cell r="D339" t="str">
            <v>LM-FVS</v>
          </cell>
          <cell r="E339">
            <v>17</v>
          </cell>
          <cell r="F339" t="str">
            <v>BCD17</v>
          </cell>
          <cell r="G339">
            <v>156</v>
          </cell>
          <cell r="H339">
            <v>0.13519999999999999</v>
          </cell>
          <cell r="I339" t="e">
            <v>#N/A</v>
          </cell>
          <cell r="J339" t="str">
            <v xml:space="preserve"> Emballage</v>
          </cell>
          <cell r="K339">
            <v>2.7039999999999997</v>
          </cell>
          <cell r="M339" t="str">
            <v>Pr6301</v>
          </cell>
          <cell r="N339">
            <v>0</v>
          </cell>
          <cell r="O339">
            <v>1803</v>
          </cell>
          <cell r="P339">
            <v>1</v>
          </cell>
          <cell r="Q339">
            <v>0</v>
          </cell>
        </row>
        <row r="340">
          <cell r="D340" t="str">
            <v>LMMO-757</v>
          </cell>
          <cell r="E340">
            <v>17</v>
          </cell>
          <cell r="F340" t="str">
            <v>BCD17</v>
          </cell>
          <cell r="G340">
            <v>1</v>
          </cell>
          <cell r="H340">
            <v>0.156</v>
          </cell>
          <cell r="I340">
            <v>2.25</v>
          </cell>
          <cell r="J340" t="str">
            <v xml:space="preserve"> Emballage</v>
          </cell>
          <cell r="K340">
            <v>2.7559999999999998</v>
          </cell>
          <cell r="M340" t="str">
            <v>Pr6301P1</v>
          </cell>
          <cell r="N340">
            <v>110</v>
          </cell>
          <cell r="O340">
            <v>-110</v>
          </cell>
          <cell r="P340" t="e">
            <v>#DIV/0!</v>
          </cell>
          <cell r="Q340">
            <v>0</v>
          </cell>
        </row>
        <row r="341">
          <cell r="D341" t="str">
            <v>LMMO-S758</v>
          </cell>
          <cell r="E341">
            <v>20</v>
          </cell>
          <cell r="F341" t="str">
            <v>BZ20</v>
          </cell>
          <cell r="G341">
            <v>5</v>
          </cell>
          <cell r="H341">
            <v>6.0839999999999998E-2</v>
          </cell>
          <cell r="I341">
            <v>1.125</v>
          </cell>
          <cell r="J341" t="str">
            <v xml:space="preserve"> Emballage</v>
          </cell>
          <cell r="K341">
            <v>1.3259999999999998</v>
          </cell>
          <cell r="M341" t="str">
            <v>Pr6301P2</v>
          </cell>
          <cell r="N341">
            <v>55</v>
          </cell>
          <cell r="O341">
            <v>-55</v>
          </cell>
          <cell r="P341" t="e">
            <v>#DIV/0!</v>
          </cell>
          <cell r="Q341">
            <v>0</v>
          </cell>
        </row>
        <row r="342">
          <cell r="D342" t="str">
            <v>LM-S40</v>
          </cell>
          <cell r="E342">
            <v>20</v>
          </cell>
          <cell r="F342" t="str">
            <v>BZ20</v>
          </cell>
          <cell r="G342">
            <v>250</v>
          </cell>
          <cell r="H342">
            <v>4.6800000000000001E-2</v>
          </cell>
          <cell r="I342">
            <v>1.125</v>
          </cell>
          <cell r="J342" t="e">
            <v>#N/A</v>
          </cell>
          <cell r="K342">
            <v>0.84199999999999997</v>
          </cell>
          <cell r="M342" t="str">
            <v>Pr6302P1</v>
          </cell>
          <cell r="N342">
            <v>133</v>
          </cell>
          <cell r="O342">
            <v>-133</v>
          </cell>
          <cell r="P342" t="e">
            <v>#DIV/0!</v>
          </cell>
          <cell r="Q342">
            <v>0</v>
          </cell>
        </row>
        <row r="343">
          <cell r="D343" t="str">
            <v>LM-S48</v>
          </cell>
          <cell r="E343">
            <v>20</v>
          </cell>
          <cell r="G343">
            <v>250</v>
          </cell>
          <cell r="H343">
            <v>5.7719999999999994E-2</v>
          </cell>
          <cell r="I343">
            <v>1.125</v>
          </cell>
          <cell r="K343">
            <v>1.034</v>
          </cell>
          <cell r="M343" t="str">
            <v>Pr6303</v>
          </cell>
          <cell r="N343">
            <v>0</v>
          </cell>
          <cell r="O343">
            <v>96</v>
          </cell>
          <cell r="P343">
            <v>1</v>
          </cell>
          <cell r="Q343">
            <v>0</v>
          </cell>
        </row>
        <row r="344">
          <cell r="D344" t="str">
            <v>LM-S758</v>
          </cell>
          <cell r="E344">
            <v>20</v>
          </cell>
          <cell r="F344" t="str">
            <v>BZ20</v>
          </cell>
          <cell r="G344">
            <v>5</v>
          </cell>
          <cell r="H344">
            <v>6.0839999999999998E-2</v>
          </cell>
          <cell r="I344">
            <v>1.125</v>
          </cell>
          <cell r="J344" t="str">
            <v xml:space="preserve"> Emballage</v>
          </cell>
          <cell r="K344">
            <v>1.3259999999999998</v>
          </cell>
          <cell r="M344" t="str">
            <v>Pr6303P2</v>
          </cell>
          <cell r="N344">
            <v>96</v>
          </cell>
          <cell r="O344">
            <v>-96</v>
          </cell>
          <cell r="P344" t="e">
            <v>#DIV/0!</v>
          </cell>
          <cell r="Q344">
            <v>0</v>
          </cell>
        </row>
        <row r="345">
          <cell r="D345" t="str">
            <v>LM-SR</v>
          </cell>
          <cell r="E345">
            <v>17</v>
          </cell>
          <cell r="F345" t="str">
            <v>BCD17</v>
          </cell>
          <cell r="G345">
            <v>250</v>
          </cell>
          <cell r="H345" t="e">
            <v>#N/A</v>
          </cell>
          <cell r="I345" t="e">
            <v>#N/A</v>
          </cell>
          <cell r="J345" t="e">
            <v>#N/A</v>
          </cell>
          <cell r="K345">
            <v>2</v>
          </cell>
          <cell r="M345" t="str">
            <v>Pr6304</v>
          </cell>
          <cell r="N345">
            <v>0</v>
          </cell>
          <cell r="O345">
            <v>98</v>
          </cell>
          <cell r="P345">
            <v>1</v>
          </cell>
          <cell r="Q345">
            <v>0</v>
          </cell>
        </row>
        <row r="346">
          <cell r="D346" t="str">
            <v>MR002</v>
          </cell>
          <cell r="E346">
            <v>9</v>
          </cell>
          <cell r="F346" t="str">
            <v>U20/5</v>
          </cell>
          <cell r="G346">
            <v>105</v>
          </cell>
          <cell r="H346">
            <v>0.32915999999999995</v>
          </cell>
          <cell r="I346">
            <v>4.2749999999999995</v>
          </cell>
          <cell r="J346" t="str">
            <v xml:space="preserve"> Emballage-Adhésif</v>
          </cell>
          <cell r="K346">
            <v>11.934000000000001</v>
          </cell>
          <cell r="M346" t="str">
            <v>Pr6304P1</v>
          </cell>
          <cell r="N346">
            <v>96</v>
          </cell>
          <cell r="O346">
            <v>-96</v>
          </cell>
          <cell r="P346" t="e">
            <v>#DIV/0!</v>
          </cell>
          <cell r="Q346">
            <v>0</v>
          </cell>
        </row>
        <row r="347">
          <cell r="D347" t="str">
            <v>MR003</v>
          </cell>
          <cell r="E347">
            <v>5</v>
          </cell>
          <cell r="F347" t="str">
            <v>U20/5</v>
          </cell>
          <cell r="G347">
            <v>250</v>
          </cell>
          <cell r="H347" t="e">
            <v>#N/A</v>
          </cell>
          <cell r="I347" t="e">
            <v>#N/A</v>
          </cell>
          <cell r="J347" t="e">
            <v>#N/A</v>
          </cell>
          <cell r="K347">
            <v>6</v>
          </cell>
          <cell r="M347" t="str">
            <v>Pr6305</v>
          </cell>
          <cell r="N347">
            <v>0</v>
          </cell>
          <cell r="O347">
            <v>58</v>
          </cell>
          <cell r="P347">
            <v>1</v>
          </cell>
          <cell r="Q347">
            <v>0</v>
          </cell>
        </row>
        <row r="348">
          <cell r="D348" t="str">
            <v>MR006</v>
          </cell>
          <cell r="E348">
            <v>10</v>
          </cell>
          <cell r="G348">
            <v>250</v>
          </cell>
          <cell r="H348">
            <v>0.32915999999999995</v>
          </cell>
          <cell r="I348">
            <v>4.2749999999999995</v>
          </cell>
          <cell r="K348">
            <v>11.8</v>
          </cell>
          <cell r="M348" t="str">
            <v>Pr6305P1</v>
          </cell>
          <cell r="N348">
            <v>53</v>
          </cell>
          <cell r="O348">
            <v>-53</v>
          </cell>
          <cell r="P348" t="e">
            <v>#DIV/0!</v>
          </cell>
          <cell r="Q348">
            <v>0</v>
          </cell>
        </row>
        <row r="349">
          <cell r="D349" t="str">
            <v>MR009</v>
          </cell>
          <cell r="E349">
            <v>12</v>
          </cell>
          <cell r="F349" t="str">
            <v>U20/5</v>
          </cell>
          <cell r="G349">
            <v>250</v>
          </cell>
          <cell r="H349">
            <v>0.37127999999999994</v>
          </cell>
          <cell r="I349">
            <v>4.2749999999999995</v>
          </cell>
          <cell r="J349" t="str">
            <v xml:space="preserve"> Emballage-Adhésif</v>
          </cell>
          <cell r="K349">
            <v>14.7</v>
          </cell>
          <cell r="M349" t="str">
            <v>Pr6307</v>
          </cell>
          <cell r="N349">
            <v>0</v>
          </cell>
          <cell r="O349">
            <v>148</v>
          </cell>
          <cell r="P349">
            <v>1</v>
          </cell>
          <cell r="Q349">
            <v>0</v>
          </cell>
        </row>
        <row r="350">
          <cell r="D350" t="str">
            <v>MR009_P6500</v>
          </cell>
          <cell r="E350">
            <v>8</v>
          </cell>
          <cell r="F350" t="str">
            <v>U20/5</v>
          </cell>
          <cell r="G350">
            <v>250</v>
          </cell>
          <cell r="H350" t="e">
            <v>#N/A</v>
          </cell>
          <cell r="I350" t="e">
            <v>#N/A</v>
          </cell>
          <cell r="J350" t="e">
            <v>#N/A</v>
          </cell>
          <cell r="K350">
            <v>6</v>
          </cell>
          <cell r="M350" t="str">
            <v>Pr6307P1</v>
          </cell>
          <cell r="N350">
            <v>140</v>
          </cell>
          <cell r="O350">
            <v>-140</v>
          </cell>
          <cell r="P350" t="e">
            <v>#DIV/0!</v>
          </cell>
          <cell r="Q350">
            <v>0</v>
          </cell>
        </row>
        <row r="351">
          <cell r="D351" t="str">
            <v>MR011</v>
          </cell>
          <cell r="E351">
            <v>12</v>
          </cell>
          <cell r="F351" t="str">
            <v>U20/5</v>
          </cell>
          <cell r="G351">
            <v>250</v>
          </cell>
          <cell r="H351">
            <v>0.23243999999999998</v>
          </cell>
          <cell r="I351">
            <v>3</v>
          </cell>
          <cell r="J351" t="e">
            <v>#N/A</v>
          </cell>
          <cell r="K351">
            <v>8.6</v>
          </cell>
          <cell r="M351" t="str">
            <v>Pr6308</v>
          </cell>
          <cell r="N351">
            <v>0</v>
          </cell>
          <cell r="O351">
            <v>162</v>
          </cell>
          <cell r="P351">
            <v>1</v>
          </cell>
          <cell r="Q351">
            <v>0</v>
          </cell>
        </row>
        <row r="352">
          <cell r="D352" t="str">
            <v>MR013</v>
          </cell>
          <cell r="E352">
            <v>10</v>
          </cell>
          <cell r="G352">
            <v>250</v>
          </cell>
          <cell r="H352">
            <v>0.22541999999999998</v>
          </cell>
          <cell r="I352">
            <v>3</v>
          </cell>
          <cell r="K352">
            <v>8.5609999999999999</v>
          </cell>
          <cell r="M352" t="str">
            <v>Pr6308P2</v>
          </cell>
          <cell r="N352">
            <v>162</v>
          </cell>
          <cell r="O352">
            <v>-162</v>
          </cell>
          <cell r="P352" t="e">
            <v>#DIV/0!</v>
          </cell>
          <cell r="Q352">
            <v>0</v>
          </cell>
        </row>
        <row r="353">
          <cell r="D353" t="str">
            <v>MR014</v>
          </cell>
          <cell r="E353">
            <v>8</v>
          </cell>
          <cell r="G353">
            <v>250</v>
          </cell>
          <cell r="H353">
            <v>0.27221999999999996</v>
          </cell>
          <cell r="I353">
            <v>3.375</v>
          </cell>
          <cell r="K353">
            <v>10.667</v>
          </cell>
          <cell r="M353" t="str">
            <v>Pr6309</v>
          </cell>
          <cell r="N353">
            <v>76</v>
          </cell>
          <cell r="O353">
            <v>0</v>
          </cell>
          <cell r="P353">
            <v>0</v>
          </cell>
          <cell r="Q353">
            <v>0</v>
          </cell>
        </row>
        <row r="354">
          <cell r="D354" t="str">
            <v>MR014_P6500</v>
          </cell>
          <cell r="E354">
            <v>8</v>
          </cell>
          <cell r="F354" t="str">
            <v>U20/5</v>
          </cell>
          <cell r="G354">
            <v>250</v>
          </cell>
          <cell r="H354">
            <v>0.53007499999999996</v>
          </cell>
          <cell r="I354" t="e">
            <v>#N/A</v>
          </cell>
          <cell r="J354" t="str">
            <v xml:space="preserve"> Emballage-Adhésif</v>
          </cell>
          <cell r="K354">
            <v>10.6015</v>
          </cell>
          <cell r="M354" t="str">
            <v>Pr6310</v>
          </cell>
          <cell r="N354">
            <v>66</v>
          </cell>
          <cell r="O354">
            <v>0</v>
          </cell>
          <cell r="P354">
            <v>0</v>
          </cell>
          <cell r="Q354">
            <v>0</v>
          </cell>
        </row>
        <row r="355">
          <cell r="D355" t="str">
            <v>MR030</v>
          </cell>
          <cell r="E355">
            <v>12</v>
          </cell>
          <cell r="F355" t="str">
            <v>U8/8</v>
          </cell>
          <cell r="G355">
            <v>69</v>
          </cell>
          <cell r="H355">
            <v>0.16691999999999999</v>
          </cell>
          <cell r="I355">
            <v>2.25</v>
          </cell>
          <cell r="J355" t="str">
            <v xml:space="preserve"> Emballage-Adhésif</v>
          </cell>
          <cell r="K355">
            <v>5.1480000000000006</v>
          </cell>
          <cell r="M355" t="str">
            <v>Pr6315</v>
          </cell>
          <cell r="N355">
            <v>182</v>
          </cell>
          <cell r="O355">
            <v>-182</v>
          </cell>
          <cell r="P355" t="e">
            <v>#DIV/0!</v>
          </cell>
          <cell r="Q355">
            <v>0</v>
          </cell>
        </row>
        <row r="356">
          <cell r="D356" t="str">
            <v>MR031</v>
          </cell>
          <cell r="E356">
            <v>10</v>
          </cell>
          <cell r="G356">
            <v>250</v>
          </cell>
          <cell r="H356">
            <v>0.22463999999999998</v>
          </cell>
          <cell r="I356">
            <v>3</v>
          </cell>
          <cell r="K356">
            <v>5.0049999999999999</v>
          </cell>
          <cell r="M356" t="str">
            <v>IN-A 4501</v>
          </cell>
          <cell r="N356">
            <v>71</v>
          </cell>
          <cell r="O356">
            <v>-71</v>
          </cell>
          <cell r="P356" t="e">
            <v>#DIV/0!</v>
          </cell>
          <cell r="Q356">
            <v>0</v>
          </cell>
        </row>
        <row r="357">
          <cell r="D357" t="str">
            <v>MR032</v>
          </cell>
          <cell r="E357">
            <v>10</v>
          </cell>
          <cell r="G357">
            <v>250</v>
          </cell>
          <cell r="H357">
            <v>0.25584000000000001</v>
          </cell>
          <cell r="I357">
            <v>3</v>
          </cell>
          <cell r="K357">
            <v>6.9809999999999999</v>
          </cell>
          <cell r="M357" t="str">
            <v>IN-A 4502</v>
          </cell>
          <cell r="N357">
            <v>63</v>
          </cell>
          <cell r="O357">
            <v>-63</v>
          </cell>
          <cell r="P357" t="e">
            <v>#DIV/0!</v>
          </cell>
          <cell r="Q357">
            <v>0</v>
          </cell>
        </row>
        <row r="358">
          <cell r="D358" t="str">
            <v>MR033</v>
          </cell>
          <cell r="E358">
            <v>10</v>
          </cell>
          <cell r="G358">
            <v>250</v>
          </cell>
          <cell r="H358">
            <v>0.24959999999999999</v>
          </cell>
          <cell r="I358">
            <v>3.375</v>
          </cell>
          <cell r="K358">
            <v>6.1950000000000003</v>
          </cell>
          <cell r="M358" t="str">
            <v>IN-A 4503</v>
          </cell>
          <cell r="N358">
            <v>52</v>
          </cell>
          <cell r="O358">
            <v>-52</v>
          </cell>
          <cell r="P358" t="e">
            <v>#DIV/0!</v>
          </cell>
          <cell r="Q358">
            <v>0</v>
          </cell>
        </row>
        <row r="359">
          <cell r="D359" t="str">
            <v>MR036</v>
          </cell>
          <cell r="E359">
            <v>10</v>
          </cell>
          <cell r="G359">
            <v>250</v>
          </cell>
          <cell r="H359">
            <v>0.24959999999999999</v>
          </cell>
          <cell r="I359">
            <v>3</v>
          </cell>
          <cell r="K359">
            <v>6.0620000000000003</v>
          </cell>
          <cell r="M359" t="str">
            <v>IN-A 4504</v>
          </cell>
          <cell r="N359">
            <v>1</v>
          </cell>
          <cell r="O359">
            <v>-1</v>
          </cell>
          <cell r="P359" t="e">
            <v>#DIV/0!</v>
          </cell>
          <cell r="Q359">
            <v>0</v>
          </cell>
        </row>
        <row r="360">
          <cell r="D360" t="str">
            <v>MR038</v>
          </cell>
          <cell r="E360">
            <v>10</v>
          </cell>
          <cell r="G360">
            <v>250</v>
          </cell>
          <cell r="H360">
            <v>0.33149999999999996</v>
          </cell>
          <cell r="I360">
            <v>4.2749999999999995</v>
          </cell>
          <cell r="K360">
            <v>8.593</v>
          </cell>
          <cell r="M360" t="str">
            <v>IN-A 4505</v>
          </cell>
          <cell r="N360">
            <v>72</v>
          </cell>
          <cell r="O360">
            <v>-72</v>
          </cell>
          <cell r="P360" t="e">
            <v>#DIV/0!</v>
          </cell>
          <cell r="Q360">
            <v>0</v>
          </cell>
        </row>
        <row r="361">
          <cell r="D361" t="str">
            <v>MR045</v>
          </cell>
          <cell r="E361">
            <v>20</v>
          </cell>
          <cell r="G361">
            <v>250</v>
          </cell>
          <cell r="H361">
            <v>5.0699999999999994</v>
          </cell>
          <cell r="I361">
            <v>1.125</v>
          </cell>
          <cell r="K361">
            <v>1.4239999999999999</v>
          </cell>
          <cell r="M361" t="str">
            <v>IN-A 4506</v>
          </cell>
          <cell r="N361">
            <v>86</v>
          </cell>
          <cell r="O361">
            <v>-86</v>
          </cell>
          <cell r="P361" t="e">
            <v>#DIV/0!</v>
          </cell>
          <cell r="Q361">
            <v>0</v>
          </cell>
        </row>
        <row r="362">
          <cell r="D362" t="str">
            <v>OK4716</v>
          </cell>
          <cell r="E362">
            <v>20</v>
          </cell>
          <cell r="K362">
            <v>1.8460000000000001</v>
          </cell>
          <cell r="M362" t="str">
            <v>IN-A 4507</v>
          </cell>
          <cell r="N362">
            <v>79</v>
          </cell>
          <cell r="O362">
            <v>-79</v>
          </cell>
          <cell r="P362" t="e">
            <v>#DIV/0!</v>
          </cell>
          <cell r="Q362">
            <v>0</v>
          </cell>
        </row>
        <row r="363">
          <cell r="D363" t="str">
            <v>OK4717</v>
          </cell>
          <cell r="E363">
            <v>20</v>
          </cell>
          <cell r="K363">
            <v>1.859</v>
          </cell>
          <cell r="M363" t="str">
            <v>IN-A 4508</v>
          </cell>
          <cell r="N363">
            <v>91</v>
          </cell>
          <cell r="O363">
            <v>-91</v>
          </cell>
          <cell r="P363" t="e">
            <v>#DIV/0!</v>
          </cell>
          <cell r="Q363">
            <v>0</v>
          </cell>
        </row>
        <row r="364">
          <cell r="D364" t="str">
            <v>OK4718</v>
          </cell>
          <cell r="E364">
            <v>20</v>
          </cell>
          <cell r="K364">
            <v>2.7890000000000001</v>
          </cell>
          <cell r="M364" t="str">
            <v>IN-A 4510</v>
          </cell>
          <cell r="N364">
            <v>97</v>
          </cell>
          <cell r="O364">
            <v>-97</v>
          </cell>
          <cell r="P364" t="e">
            <v>#DIV/0!</v>
          </cell>
          <cell r="Q364">
            <v>0</v>
          </cell>
        </row>
        <row r="365">
          <cell r="D365" t="str">
            <v>OK4722</v>
          </cell>
          <cell r="E365">
            <v>20</v>
          </cell>
          <cell r="K365">
            <v>1.8720000000000001</v>
          </cell>
          <cell r="M365" t="str">
            <v>IN-A 4511</v>
          </cell>
          <cell r="N365">
            <v>83</v>
          </cell>
          <cell r="O365">
            <v>-83</v>
          </cell>
          <cell r="P365" t="e">
            <v>#DIV/0!</v>
          </cell>
          <cell r="Q365">
            <v>0</v>
          </cell>
        </row>
        <row r="366">
          <cell r="D366" t="str">
            <v>P010</v>
          </cell>
          <cell r="E366">
            <v>12</v>
          </cell>
          <cell r="F366" t="str">
            <v>U8/8</v>
          </cell>
          <cell r="G366">
            <v>91</v>
          </cell>
          <cell r="H366">
            <v>0.22853999999999997</v>
          </cell>
          <cell r="I366">
            <v>2.25</v>
          </cell>
          <cell r="J366" t="str">
            <v xml:space="preserve"> Emballage</v>
          </cell>
          <cell r="K366">
            <v>5.7264999999999997</v>
          </cell>
          <cell r="M366" t="str">
            <v>IN-C 4501</v>
          </cell>
          <cell r="N366">
            <v>71</v>
          </cell>
          <cell r="O366">
            <v>-71</v>
          </cell>
          <cell r="P366" t="e">
            <v>#DIV/0!</v>
          </cell>
          <cell r="Q366">
            <v>0</v>
          </cell>
        </row>
        <row r="367">
          <cell r="D367" t="str">
            <v>P013</v>
          </cell>
          <cell r="E367">
            <v>20</v>
          </cell>
          <cell r="K367">
            <v>1.1040000000000001</v>
          </cell>
          <cell r="M367" t="str">
            <v>IN-C 4502</v>
          </cell>
          <cell r="N367">
            <v>63</v>
          </cell>
          <cell r="O367">
            <v>-63</v>
          </cell>
          <cell r="P367" t="e">
            <v>#DIV/0!</v>
          </cell>
          <cell r="Q367">
            <v>0</v>
          </cell>
        </row>
        <row r="368">
          <cell r="D368" t="str">
            <v>P031</v>
          </cell>
          <cell r="E368">
            <v>14</v>
          </cell>
          <cell r="F368" t="str">
            <v>BZ14</v>
          </cell>
          <cell r="G368">
            <v>24</v>
          </cell>
          <cell r="H368">
            <v>0.18329999999999996</v>
          </cell>
          <cell r="I368">
            <v>3</v>
          </cell>
          <cell r="J368" t="str">
            <v xml:space="preserve"> Emballage</v>
          </cell>
          <cell r="K368">
            <v>3.1654999999999998</v>
          </cell>
          <cell r="M368" t="str">
            <v>IN-C 4503</v>
          </cell>
          <cell r="N368">
            <v>52</v>
          </cell>
          <cell r="O368">
            <v>-52</v>
          </cell>
          <cell r="P368" t="e">
            <v>#DIV/0!</v>
          </cell>
          <cell r="Q368">
            <v>0</v>
          </cell>
        </row>
        <row r="369">
          <cell r="D369" t="str">
            <v>P039</v>
          </cell>
          <cell r="E369">
            <v>14</v>
          </cell>
          <cell r="F369" t="str">
            <v>BZ14</v>
          </cell>
          <cell r="G369">
            <v>138</v>
          </cell>
          <cell r="H369">
            <v>0.20592000000000002</v>
          </cell>
          <cell r="I369">
            <v>3</v>
          </cell>
          <cell r="J369" t="str">
            <v xml:space="preserve"> Emballage</v>
          </cell>
          <cell r="K369">
            <v>3.2044999999999999</v>
          </cell>
          <cell r="M369" t="str">
            <v>IN-C 4504</v>
          </cell>
          <cell r="N369">
            <v>1</v>
          </cell>
          <cell r="O369">
            <v>-1</v>
          </cell>
          <cell r="P369" t="e">
            <v>#DIV/0!</v>
          </cell>
          <cell r="Q369">
            <v>0</v>
          </cell>
        </row>
        <row r="370">
          <cell r="D370" t="str">
            <v>P057</v>
          </cell>
          <cell r="E370">
            <v>14</v>
          </cell>
          <cell r="F370" t="str">
            <v>BZ14</v>
          </cell>
          <cell r="G370">
            <v>250</v>
          </cell>
          <cell r="H370" t="e">
            <v>#N/A</v>
          </cell>
          <cell r="I370" t="e">
            <v>#N/A</v>
          </cell>
          <cell r="J370" t="e">
            <v>#N/A</v>
          </cell>
          <cell r="K370">
            <v>3</v>
          </cell>
          <cell r="M370" t="str">
            <v>IN-C 4505</v>
          </cell>
          <cell r="N370">
            <v>72</v>
          </cell>
          <cell r="O370">
            <v>-72</v>
          </cell>
          <cell r="P370" t="e">
            <v>#DIV/0!</v>
          </cell>
          <cell r="Q370">
            <v>0</v>
          </cell>
        </row>
        <row r="371">
          <cell r="D371" t="str">
            <v>P057 Piece</v>
          </cell>
          <cell r="E371">
            <v>800</v>
          </cell>
          <cell r="G371">
            <v>250</v>
          </cell>
          <cell r="K371">
            <v>2.1000000000000001E-2</v>
          </cell>
          <cell r="M371" t="str">
            <v>IN-C 4506</v>
          </cell>
          <cell r="N371">
            <v>86</v>
          </cell>
          <cell r="O371">
            <v>-86</v>
          </cell>
          <cell r="P371" t="e">
            <v>#DIV/0!</v>
          </cell>
          <cell r="Q371">
            <v>0</v>
          </cell>
        </row>
        <row r="372">
          <cell r="D372" t="str">
            <v>P057/25</v>
          </cell>
          <cell r="E372">
            <v>14</v>
          </cell>
          <cell r="G372">
            <v>250</v>
          </cell>
          <cell r="H372">
            <v>0.18329999999999996</v>
          </cell>
          <cell r="I372">
            <v>2.25</v>
          </cell>
          <cell r="K372">
            <v>5.9344999999999999</v>
          </cell>
          <cell r="M372" t="str">
            <v>IN-C 4507</v>
          </cell>
          <cell r="N372">
            <v>79</v>
          </cell>
          <cell r="O372">
            <v>-79</v>
          </cell>
          <cell r="P372" t="e">
            <v>#DIV/0!</v>
          </cell>
          <cell r="Q372">
            <v>0</v>
          </cell>
        </row>
        <row r="373">
          <cell r="D373" t="str">
            <v>P063</v>
          </cell>
          <cell r="E373">
            <v>14</v>
          </cell>
          <cell r="F373" t="str">
            <v>BZ14</v>
          </cell>
          <cell r="G373">
            <v>250</v>
          </cell>
          <cell r="H373" t="e">
            <v>#N/A</v>
          </cell>
          <cell r="I373" t="e">
            <v>#N/A</v>
          </cell>
          <cell r="J373" t="e">
            <v>#N/A</v>
          </cell>
          <cell r="K373">
            <v>3</v>
          </cell>
          <cell r="M373" t="str">
            <v>IN-C 4508</v>
          </cell>
          <cell r="N373">
            <v>91</v>
          </cell>
          <cell r="O373">
            <v>-91</v>
          </cell>
          <cell r="P373" t="e">
            <v>#DIV/0!</v>
          </cell>
          <cell r="Q373">
            <v>0</v>
          </cell>
        </row>
        <row r="374">
          <cell r="D374" t="str">
            <v>P063/25</v>
          </cell>
          <cell r="E374">
            <v>14</v>
          </cell>
          <cell r="G374">
            <v>250</v>
          </cell>
          <cell r="H374">
            <v>0.18329999999999996</v>
          </cell>
          <cell r="I374">
            <v>2.25</v>
          </cell>
          <cell r="K374">
            <v>9.0284999999999993</v>
          </cell>
          <cell r="M374" t="str">
            <v>IN-C 4509</v>
          </cell>
          <cell r="N374">
            <v>565</v>
          </cell>
          <cell r="O374">
            <v>-565</v>
          </cell>
          <cell r="P374" t="e">
            <v>#DIV/0!</v>
          </cell>
          <cell r="Q374">
            <v>0</v>
          </cell>
        </row>
        <row r="375">
          <cell r="D375" t="str">
            <v>P063-Piece</v>
          </cell>
          <cell r="E375">
            <v>10</v>
          </cell>
          <cell r="G375">
            <v>250</v>
          </cell>
          <cell r="K375">
            <v>4</v>
          </cell>
          <cell r="M375" t="str">
            <v>FSQ148</v>
          </cell>
          <cell r="N375">
            <v>0</v>
          </cell>
          <cell r="O375">
            <v>0</v>
          </cell>
          <cell r="P375" t="e">
            <v>#DIV/0!</v>
          </cell>
          <cell r="Q375">
            <v>0</v>
          </cell>
        </row>
        <row r="376">
          <cell r="D376" t="str">
            <v>p7015410</v>
          </cell>
          <cell r="E376">
            <v>14</v>
          </cell>
          <cell r="K376">
            <v>1.01</v>
          </cell>
          <cell r="M376" t="str">
            <v>FSQ151</v>
          </cell>
          <cell r="N376">
            <v>0</v>
          </cell>
          <cell r="O376">
            <v>0</v>
          </cell>
          <cell r="P376" t="e">
            <v>#DIV/0!</v>
          </cell>
          <cell r="Q376">
            <v>0</v>
          </cell>
        </row>
        <row r="377">
          <cell r="D377" t="str">
            <v>PA540-777</v>
          </cell>
          <cell r="E377">
            <v>10</v>
          </cell>
          <cell r="K377">
            <v>8.3279999999999994</v>
          </cell>
          <cell r="M377" t="str">
            <v>PI456</v>
          </cell>
          <cell r="N377">
            <v>0</v>
          </cell>
          <cell r="O377">
            <v>0</v>
          </cell>
          <cell r="P377" t="e">
            <v>#DIV/0!</v>
          </cell>
          <cell r="Q377">
            <v>0</v>
          </cell>
        </row>
        <row r="378">
          <cell r="D378" t="str">
            <v>Paillasses</v>
          </cell>
          <cell r="E378">
            <v>15</v>
          </cell>
          <cell r="G378">
            <v>250</v>
          </cell>
          <cell r="K378">
            <v>4</v>
          </cell>
          <cell r="M378" t="str">
            <v>KL7421HS-1.2</v>
          </cell>
          <cell r="N378">
            <v>0</v>
          </cell>
          <cell r="O378">
            <v>0</v>
          </cell>
          <cell r="P378" t="e">
            <v>#DIV/0!</v>
          </cell>
          <cell r="Q378">
            <v>0</v>
          </cell>
        </row>
        <row r="379">
          <cell r="D379" t="str">
            <v>PCN40-45</v>
          </cell>
          <cell r="E379">
            <v>800</v>
          </cell>
          <cell r="K379">
            <v>0.5</v>
          </cell>
          <cell r="M379" t="str">
            <v>KL7421HS-2.5</v>
          </cell>
          <cell r="N379">
            <v>0</v>
          </cell>
          <cell r="O379">
            <v>0</v>
          </cell>
          <cell r="P379" t="e">
            <v>#DIV/0!</v>
          </cell>
          <cell r="Q379">
            <v>0</v>
          </cell>
        </row>
        <row r="380">
          <cell r="D380" t="str">
            <v>PCN40-45</v>
          </cell>
          <cell r="E380">
            <v>800</v>
          </cell>
          <cell r="K380">
            <v>0.123</v>
          </cell>
          <cell r="M380" t="str">
            <v>KL7421HS-3</v>
          </cell>
          <cell r="N380">
            <v>0</v>
          </cell>
          <cell r="O380">
            <v>0</v>
          </cell>
          <cell r="P380" t="e">
            <v>#DIV/0!</v>
          </cell>
          <cell r="Q380">
            <v>0</v>
          </cell>
        </row>
        <row r="381">
          <cell r="D381" t="str">
            <v>PL101</v>
          </cell>
          <cell r="E381">
            <v>20</v>
          </cell>
          <cell r="K381">
            <v>0.90600000000000003</v>
          </cell>
          <cell r="M381" t="str">
            <v>SP6015P1-1.2</v>
          </cell>
          <cell r="N381">
            <v>0</v>
          </cell>
          <cell r="O381">
            <v>0</v>
          </cell>
          <cell r="P381" t="e">
            <v>#DIV/0!</v>
          </cell>
          <cell r="Q381">
            <v>0</v>
          </cell>
        </row>
        <row r="382">
          <cell r="D382" t="str">
            <v>PL102</v>
          </cell>
          <cell r="E382">
            <v>20</v>
          </cell>
          <cell r="K382">
            <v>1.04</v>
          </cell>
          <cell r="M382" t="str">
            <v>SP6015P1-2.5</v>
          </cell>
          <cell r="N382">
            <v>0</v>
          </cell>
          <cell r="O382">
            <v>0</v>
          </cell>
          <cell r="P382" t="e">
            <v>#DIV/0!</v>
          </cell>
          <cell r="Q382">
            <v>0</v>
          </cell>
        </row>
        <row r="383">
          <cell r="D383" t="str">
            <v>PL103</v>
          </cell>
          <cell r="E383">
            <v>20</v>
          </cell>
          <cell r="K383">
            <v>0.66600000000000004</v>
          </cell>
          <cell r="M383" t="str">
            <v>SP6015P1-3</v>
          </cell>
          <cell r="N383">
            <v>0</v>
          </cell>
          <cell r="O383">
            <v>0</v>
          </cell>
          <cell r="P383" t="e">
            <v>#DIV/0!</v>
          </cell>
          <cell r="Q383">
            <v>0</v>
          </cell>
        </row>
        <row r="384">
          <cell r="D384" t="str">
            <v>PL106</v>
          </cell>
          <cell r="E384">
            <v>20</v>
          </cell>
          <cell r="K384">
            <v>2.7719999999999998</v>
          </cell>
          <cell r="M384" t="str">
            <v>PI451</v>
          </cell>
          <cell r="N384">
            <v>0</v>
          </cell>
          <cell r="O384">
            <v>0</v>
          </cell>
          <cell r="P384" t="e">
            <v>#DIV/0!</v>
          </cell>
          <cell r="Q384">
            <v>0</v>
          </cell>
        </row>
        <row r="385">
          <cell r="D385" t="str">
            <v>PL108</v>
          </cell>
          <cell r="E385">
            <v>10</v>
          </cell>
          <cell r="K385">
            <v>10.824</v>
          </cell>
          <cell r="M385" t="str">
            <v>PI452</v>
          </cell>
          <cell r="N385">
            <v>0</v>
          </cell>
          <cell r="O385">
            <v>0</v>
          </cell>
          <cell r="P385" t="e">
            <v>#DIV/0!</v>
          </cell>
          <cell r="Q385">
            <v>0</v>
          </cell>
        </row>
        <row r="386">
          <cell r="D386" t="str">
            <v>PL109</v>
          </cell>
          <cell r="E386">
            <v>20</v>
          </cell>
          <cell r="K386">
            <v>2.286</v>
          </cell>
          <cell r="M386" t="str">
            <v>PI453</v>
          </cell>
          <cell r="N386">
            <v>0</v>
          </cell>
          <cell r="O386">
            <v>0</v>
          </cell>
          <cell r="P386" t="e">
            <v>#DIV/0!</v>
          </cell>
          <cell r="Q386">
            <v>0</v>
          </cell>
        </row>
        <row r="387">
          <cell r="D387" t="str">
            <v>PL110</v>
          </cell>
          <cell r="E387">
            <v>14</v>
          </cell>
          <cell r="K387">
            <v>6.3</v>
          </cell>
          <cell r="M387" t="str">
            <v>PI454</v>
          </cell>
          <cell r="N387">
            <v>0</v>
          </cell>
          <cell r="O387">
            <v>0</v>
          </cell>
          <cell r="P387" t="e">
            <v>#DIV/0!</v>
          </cell>
          <cell r="Q387">
            <v>0</v>
          </cell>
        </row>
        <row r="388">
          <cell r="D388" t="str">
            <v>PL111</v>
          </cell>
          <cell r="E388">
            <v>14</v>
          </cell>
          <cell r="K388">
            <v>5.8019999999999996</v>
          </cell>
          <cell r="M388" t="str">
            <v>PI455</v>
          </cell>
          <cell r="N388">
            <v>0</v>
          </cell>
          <cell r="O388">
            <v>0</v>
          </cell>
          <cell r="P388" t="e">
            <v>#DIV/0!</v>
          </cell>
          <cell r="Q388">
            <v>0</v>
          </cell>
        </row>
        <row r="389">
          <cell r="D389" t="str">
            <v>PL112</v>
          </cell>
          <cell r="E389">
            <v>13</v>
          </cell>
          <cell r="K389">
            <v>7.6950000000000003</v>
          </cell>
          <cell r="M389" t="str">
            <v>DIFF31-1-1</v>
          </cell>
          <cell r="N389">
            <v>0</v>
          </cell>
          <cell r="O389">
            <v>0</v>
          </cell>
          <cell r="P389" t="e">
            <v>#DIV/0!</v>
          </cell>
          <cell r="Q389">
            <v>0</v>
          </cell>
        </row>
        <row r="390">
          <cell r="D390" t="str">
            <v>PL114</v>
          </cell>
          <cell r="E390">
            <v>20</v>
          </cell>
          <cell r="K390">
            <v>1.5</v>
          </cell>
          <cell r="M390" t="str">
            <v>DIFF31-1-2</v>
          </cell>
          <cell r="N390">
            <v>0</v>
          </cell>
          <cell r="O390">
            <v>0</v>
          </cell>
          <cell r="P390" t="e">
            <v>#DIV/0!</v>
          </cell>
          <cell r="Q390">
            <v>0</v>
          </cell>
        </row>
        <row r="391">
          <cell r="D391" t="str">
            <v>Pr6301</v>
          </cell>
          <cell r="E391">
            <v>9</v>
          </cell>
          <cell r="K391">
            <v>11.109</v>
          </cell>
          <cell r="M391" t="str">
            <v>DIFF31-2</v>
          </cell>
          <cell r="N391">
            <v>0</v>
          </cell>
          <cell r="O391">
            <v>0</v>
          </cell>
          <cell r="P391" t="e">
            <v>#DIV/0!</v>
          </cell>
          <cell r="Q391">
            <v>0</v>
          </cell>
        </row>
        <row r="392">
          <cell r="D392" t="str">
            <v>Pr6302</v>
          </cell>
          <cell r="E392">
            <v>10</v>
          </cell>
          <cell r="K392">
            <v>11.967000000000001</v>
          </cell>
          <cell r="M392" t="str">
            <v>SP6015P1</v>
          </cell>
          <cell r="N392">
            <v>329</v>
          </cell>
          <cell r="O392">
            <v>-329</v>
          </cell>
          <cell r="P392" t="e">
            <v>#DIV/0!</v>
          </cell>
          <cell r="Q392">
            <v>0</v>
          </cell>
        </row>
        <row r="393">
          <cell r="D393" t="str">
            <v>Pr6303</v>
          </cell>
          <cell r="E393">
            <v>6</v>
          </cell>
          <cell r="K393">
            <v>15</v>
          </cell>
          <cell r="M393" t="str">
            <v>SP6018P1</v>
          </cell>
          <cell r="N393">
            <v>688</v>
          </cell>
          <cell r="O393">
            <v>-688</v>
          </cell>
          <cell r="P393" t="e">
            <v>#DIV/0!</v>
          </cell>
          <cell r="Q393">
            <v>0</v>
          </cell>
        </row>
        <row r="394">
          <cell r="D394" t="str">
            <v>Pr6304</v>
          </cell>
          <cell r="E394">
            <v>10</v>
          </cell>
          <cell r="K394">
            <v>8.6579999999999995</v>
          </cell>
          <cell r="M394" t="str">
            <v>SP6018P2</v>
          </cell>
          <cell r="N394">
            <v>671</v>
          </cell>
          <cell r="O394">
            <v>-671</v>
          </cell>
          <cell r="P394" t="e">
            <v>#DIV/0!</v>
          </cell>
          <cell r="Q394">
            <v>0</v>
          </cell>
        </row>
        <row r="395">
          <cell r="D395" t="str">
            <v>Pr6305</v>
          </cell>
          <cell r="E395">
            <v>12</v>
          </cell>
          <cell r="K395">
            <v>7.9820000000000002</v>
          </cell>
          <cell r="M395" t="str">
            <v>SP6019P1</v>
          </cell>
          <cell r="N395">
            <v>195</v>
          </cell>
          <cell r="O395">
            <v>-195</v>
          </cell>
          <cell r="P395" t="e">
            <v>#DIV/0!</v>
          </cell>
          <cell r="Q395">
            <v>0</v>
          </cell>
        </row>
        <row r="396">
          <cell r="D396" t="str">
            <v>Pr6307</v>
          </cell>
          <cell r="E396">
            <v>13</v>
          </cell>
          <cell r="K396">
            <v>5.2130000000000001</v>
          </cell>
          <cell r="M396" t="str">
            <v>KL7420</v>
          </cell>
          <cell r="N396">
            <v>809</v>
          </cell>
          <cell r="O396">
            <v>5</v>
          </cell>
          <cell r="P396">
            <v>6.1425061425061421E-3</v>
          </cell>
          <cell r="Q396">
            <v>0</v>
          </cell>
        </row>
        <row r="397">
          <cell r="D397" t="str">
            <v>Pr6308</v>
          </cell>
          <cell r="E397">
            <v>6</v>
          </cell>
          <cell r="K397">
            <v>15.009</v>
          </cell>
          <cell r="M397" t="str">
            <v>SP6001</v>
          </cell>
          <cell r="N397">
            <v>0</v>
          </cell>
          <cell r="O397" t="str">
            <v xml:space="preserve"> </v>
          </cell>
          <cell r="P397" t="e">
            <v>#VALUE!</v>
          </cell>
          <cell r="Q397">
            <v>0</v>
          </cell>
        </row>
        <row r="398">
          <cell r="D398" t="str">
            <v>Pr6310</v>
          </cell>
          <cell r="E398">
            <v>20</v>
          </cell>
          <cell r="K398">
            <v>2.262</v>
          </cell>
          <cell r="M398" t="str">
            <v>SP6001P1</v>
          </cell>
          <cell r="N398">
            <v>278</v>
          </cell>
          <cell r="O398">
            <v>-278</v>
          </cell>
          <cell r="P398" t="e">
            <v>#DIV/0!</v>
          </cell>
          <cell r="Q398">
            <v>0</v>
          </cell>
        </row>
        <row r="399">
          <cell r="D399" t="str">
            <v>Pr6311</v>
          </cell>
          <cell r="E399">
            <v>20</v>
          </cell>
          <cell r="K399">
            <v>1.736</v>
          </cell>
          <cell r="M399" t="str">
            <v>SP6002</v>
          </cell>
          <cell r="N399">
            <v>0</v>
          </cell>
          <cell r="O399">
            <v>2</v>
          </cell>
          <cell r="P399">
            <v>1</v>
          </cell>
          <cell r="Q399">
            <v>0</v>
          </cell>
        </row>
        <row r="400">
          <cell r="D400" t="str">
            <v>PRN40-45</v>
          </cell>
          <cell r="E400">
            <v>800</v>
          </cell>
          <cell r="K400">
            <v>0.5</v>
          </cell>
          <cell r="M400" t="str">
            <v>SP6002P1</v>
          </cell>
          <cell r="N400">
            <v>612</v>
          </cell>
          <cell r="O400">
            <v>-612</v>
          </cell>
          <cell r="P400" t="e">
            <v>#DIV/0!</v>
          </cell>
          <cell r="Q400">
            <v>0</v>
          </cell>
        </row>
        <row r="401">
          <cell r="D401" t="str">
            <v>PS6007</v>
          </cell>
          <cell r="E401">
            <v>14</v>
          </cell>
          <cell r="K401">
            <v>1</v>
          </cell>
          <cell r="M401" t="str">
            <v>SP6003</v>
          </cell>
          <cell r="N401">
            <v>0</v>
          </cell>
          <cell r="O401">
            <v>0</v>
          </cell>
          <cell r="P401" t="e">
            <v>#DIV/0!</v>
          </cell>
          <cell r="Q401">
            <v>0</v>
          </cell>
        </row>
        <row r="402">
          <cell r="D402" t="str">
            <v>SP6001</v>
          </cell>
          <cell r="E402">
            <v>14</v>
          </cell>
          <cell r="K402">
            <v>8.1509999999999998</v>
          </cell>
          <cell r="M402" t="str">
            <v>SP6003P1</v>
          </cell>
          <cell r="N402">
            <v>534</v>
          </cell>
          <cell r="O402">
            <v>-534</v>
          </cell>
          <cell r="P402" t="e">
            <v>#DIV/0!</v>
          </cell>
          <cell r="Q402">
            <v>0</v>
          </cell>
        </row>
        <row r="403">
          <cell r="D403" t="str">
            <v>SP6002</v>
          </cell>
          <cell r="E403">
            <v>20</v>
          </cell>
          <cell r="K403">
            <v>1.6659999999999999</v>
          </cell>
          <cell r="M403" t="str">
            <v>SP6004P1</v>
          </cell>
          <cell r="N403">
            <v>392</v>
          </cell>
          <cell r="O403">
            <v>-392</v>
          </cell>
          <cell r="P403" t="e">
            <v>#DIV/0!</v>
          </cell>
          <cell r="Q403">
            <v>0</v>
          </cell>
        </row>
        <row r="404">
          <cell r="D404" t="str">
            <v>SP6003</v>
          </cell>
          <cell r="E404">
            <v>20</v>
          </cell>
          <cell r="K404">
            <v>1.484</v>
          </cell>
          <cell r="M404" t="str">
            <v>SP6005P1</v>
          </cell>
          <cell r="N404">
            <v>123</v>
          </cell>
          <cell r="O404">
            <v>-123</v>
          </cell>
          <cell r="P404" t="e">
            <v>#DIV/0!</v>
          </cell>
          <cell r="Q404">
            <v>0</v>
          </cell>
        </row>
        <row r="405">
          <cell r="D405" t="str">
            <v>SP6004</v>
          </cell>
          <cell r="E405">
            <v>20</v>
          </cell>
          <cell r="K405">
            <v>1.6539999999999999</v>
          </cell>
          <cell r="M405" t="str">
            <v>SP6006P1</v>
          </cell>
          <cell r="N405">
            <v>343</v>
          </cell>
          <cell r="O405">
            <v>-343</v>
          </cell>
          <cell r="P405" t="e">
            <v>#DIV/0!</v>
          </cell>
          <cell r="Q405">
            <v>0</v>
          </cell>
        </row>
        <row r="406">
          <cell r="D406" t="str">
            <v>SP6005</v>
          </cell>
          <cell r="E406">
            <v>20</v>
          </cell>
          <cell r="K406">
            <v>2.0099999999999998</v>
          </cell>
          <cell r="M406" t="str">
            <v>SP6007</v>
          </cell>
          <cell r="N406">
            <v>0</v>
          </cell>
          <cell r="O406">
            <v>0</v>
          </cell>
          <cell r="P406" t="e">
            <v>#DIV/0!</v>
          </cell>
          <cell r="Q406">
            <v>0</v>
          </cell>
        </row>
        <row r="407">
          <cell r="D407" t="str">
            <v>SP6006</v>
          </cell>
          <cell r="E407">
            <v>20</v>
          </cell>
          <cell r="K407">
            <v>1.3879999999999999</v>
          </cell>
          <cell r="M407" t="str">
            <v>SP6007P1</v>
          </cell>
          <cell r="N407">
            <v>155</v>
          </cell>
          <cell r="O407">
            <v>-155</v>
          </cell>
          <cell r="P407" t="e">
            <v>#DIV/0!</v>
          </cell>
          <cell r="Q407">
            <v>0</v>
          </cell>
        </row>
        <row r="408">
          <cell r="D408" t="str">
            <v>T054-12</v>
          </cell>
          <cell r="E408">
            <v>800</v>
          </cell>
          <cell r="K408">
            <v>1.4999999999999999E-2</v>
          </cell>
          <cell r="M408" t="str">
            <v>SP6009P1</v>
          </cell>
          <cell r="N408">
            <v>98</v>
          </cell>
          <cell r="O408">
            <v>-98</v>
          </cell>
          <cell r="P408" t="e">
            <v>#DIV/0!</v>
          </cell>
          <cell r="Q408">
            <v>0</v>
          </cell>
        </row>
        <row r="409">
          <cell r="D409" t="str">
            <v>Tringle G6005791(T1120020)</v>
          </cell>
          <cell r="E409">
            <v>20</v>
          </cell>
          <cell r="F409" t="str">
            <v>TTT</v>
          </cell>
          <cell r="G409">
            <v>250</v>
          </cell>
          <cell r="K409">
            <v>4</v>
          </cell>
          <cell r="M409" t="str">
            <v>SP6009P2</v>
          </cell>
          <cell r="N409">
            <v>103</v>
          </cell>
          <cell r="O409">
            <v>-103</v>
          </cell>
          <cell r="P409" t="e">
            <v>#DIV/0!</v>
          </cell>
          <cell r="Q409">
            <v>0</v>
          </cell>
        </row>
        <row r="410">
          <cell r="D410" t="str">
            <v>Tringle G6005792(T1120025</v>
          </cell>
          <cell r="E410">
            <v>20</v>
          </cell>
          <cell r="F410" t="str">
            <v>TTT</v>
          </cell>
          <cell r="G410">
            <v>250</v>
          </cell>
          <cell r="K410">
            <v>4</v>
          </cell>
          <cell r="M410" t="str">
            <v>SP6010P2</v>
          </cell>
          <cell r="N410">
            <v>56</v>
          </cell>
          <cell r="O410">
            <v>-56</v>
          </cell>
          <cell r="P410" t="e">
            <v>#DIV/0!</v>
          </cell>
          <cell r="Q410">
            <v>0</v>
          </cell>
        </row>
        <row r="411">
          <cell r="D411" t="str">
            <v>BL772</v>
          </cell>
          <cell r="E411">
            <v>6</v>
          </cell>
          <cell r="K411">
            <v>17.38</v>
          </cell>
          <cell r="M411" t="str">
            <v>SP6012P1</v>
          </cell>
          <cell r="N411">
            <v>113</v>
          </cell>
          <cell r="O411">
            <v>-113</v>
          </cell>
          <cell r="P411" t="e">
            <v>#DIV/0!</v>
          </cell>
          <cell r="Q411">
            <v>0</v>
          </cell>
        </row>
        <row r="412">
          <cell r="D412" t="str">
            <v>AL15401</v>
          </cell>
          <cell r="E412">
            <v>6</v>
          </cell>
          <cell r="K412">
            <v>19.760999999999999</v>
          </cell>
          <cell r="M412" t="str">
            <v>DIFF-SL300-1</v>
          </cell>
          <cell r="O412">
            <v>0</v>
          </cell>
          <cell r="P412" t="e">
            <v>#DIV/0!</v>
          </cell>
          <cell r="Q412">
            <v>0</v>
          </cell>
        </row>
        <row r="413">
          <cell r="D413" t="str">
            <v>AL15403</v>
          </cell>
          <cell r="E413">
            <v>10</v>
          </cell>
          <cell r="K413">
            <v>12.163</v>
          </cell>
          <cell r="M413" t="str">
            <v>CL3002</v>
          </cell>
          <cell r="N413">
            <v>230</v>
          </cell>
          <cell r="O413">
            <v>-230</v>
          </cell>
          <cell r="P413" t="e">
            <v>#DIV/0!</v>
          </cell>
          <cell r="Q413">
            <v>0</v>
          </cell>
        </row>
        <row r="414">
          <cell r="D414" t="str">
            <v>AL15404</v>
          </cell>
          <cell r="E414">
            <v>14</v>
          </cell>
          <cell r="K414">
            <v>7.6210000000000004</v>
          </cell>
          <cell r="M414" t="str">
            <v>CL3003</v>
          </cell>
          <cell r="N414">
            <v>202</v>
          </cell>
          <cell r="O414">
            <v>-202</v>
          </cell>
          <cell r="P414" t="e">
            <v>#DIV/0!</v>
          </cell>
          <cell r="Q414">
            <v>0</v>
          </cell>
        </row>
        <row r="415">
          <cell r="D415" t="str">
            <v>AL15413</v>
          </cell>
          <cell r="E415">
            <v>14</v>
          </cell>
          <cell r="K415">
            <v>3.3180000000000001</v>
          </cell>
          <cell r="M415" t="str">
            <v>CL3004</v>
          </cell>
          <cell r="N415">
            <v>125</v>
          </cell>
          <cell r="O415">
            <v>-125</v>
          </cell>
          <cell r="P415" t="e">
            <v>#DIV/0!</v>
          </cell>
          <cell r="Q415">
            <v>0</v>
          </cell>
        </row>
        <row r="416">
          <cell r="D416" t="str">
            <v>AL15415</v>
          </cell>
          <cell r="E416">
            <v>14</v>
          </cell>
          <cell r="K416">
            <v>3.2130000000000001</v>
          </cell>
          <cell r="M416" t="str">
            <v>GLMV2100</v>
          </cell>
          <cell r="O416">
            <v>0</v>
          </cell>
          <cell r="P416" t="e">
            <v>#DIV/0!</v>
          </cell>
          <cell r="Q416">
            <v>0</v>
          </cell>
        </row>
        <row r="417">
          <cell r="D417" t="str">
            <v>AL15416</v>
          </cell>
          <cell r="E417">
            <v>20</v>
          </cell>
          <cell r="K417">
            <v>1.58</v>
          </cell>
        </row>
        <row r="418">
          <cell r="D418" t="str">
            <v>DS001</v>
          </cell>
          <cell r="E418">
            <v>20</v>
          </cell>
          <cell r="K418">
            <v>1.2809999999999999</v>
          </cell>
        </row>
        <row r="419">
          <cell r="D419" t="str">
            <v>P007</v>
          </cell>
          <cell r="E419">
            <v>20</v>
          </cell>
          <cell r="K419">
            <v>1.58</v>
          </cell>
          <cell r="O419" t="str">
            <v xml:space="preserve">   </v>
          </cell>
        </row>
        <row r="420">
          <cell r="D420" t="str">
            <v>P006</v>
          </cell>
          <cell r="E420">
            <v>14</v>
          </cell>
          <cell r="K420">
            <v>1</v>
          </cell>
        </row>
        <row r="421">
          <cell r="D421" t="str">
            <v>OK4719</v>
          </cell>
          <cell r="E421">
            <v>20</v>
          </cell>
          <cell r="K421">
            <v>0.91</v>
          </cell>
        </row>
        <row r="422">
          <cell r="D422" t="str">
            <v>OK4721</v>
          </cell>
          <cell r="E422">
            <v>20</v>
          </cell>
          <cell r="K422">
            <v>1.7749999999999999</v>
          </cell>
        </row>
        <row r="423">
          <cell r="D423" t="str">
            <v>MR021</v>
          </cell>
          <cell r="E423">
            <v>14</v>
          </cell>
          <cell r="K423">
            <v>4.9249999999999998</v>
          </cell>
        </row>
        <row r="424">
          <cell r="D424" t="str">
            <v>CSQ538</v>
          </cell>
          <cell r="E424">
            <v>12</v>
          </cell>
          <cell r="K424">
            <v>5.2779999999999996</v>
          </cell>
        </row>
        <row r="425">
          <cell r="D425" t="str">
            <v>CSQ538</v>
          </cell>
          <cell r="E425">
            <v>12</v>
          </cell>
          <cell r="K425">
            <v>5.2779999999999996</v>
          </cell>
        </row>
        <row r="426">
          <cell r="D426" t="str">
            <v>FSQ460</v>
          </cell>
          <cell r="E426">
            <v>20</v>
          </cell>
          <cell r="K426">
            <v>2.4180000000000001</v>
          </cell>
        </row>
        <row r="427">
          <cell r="D427" t="str">
            <v>FSQ534</v>
          </cell>
          <cell r="E427">
            <v>20</v>
          </cell>
          <cell r="K427">
            <v>2.0219999999999998</v>
          </cell>
        </row>
        <row r="428">
          <cell r="D428" t="str">
            <v>FSQ534</v>
          </cell>
          <cell r="E428">
            <v>20</v>
          </cell>
          <cell r="K428">
            <v>2.0219999999999998</v>
          </cell>
        </row>
        <row r="429">
          <cell r="D429" t="str">
            <v>FSQ535</v>
          </cell>
          <cell r="E429">
            <v>14</v>
          </cell>
          <cell r="K429">
            <v>4.5694999999999997</v>
          </cell>
        </row>
        <row r="430">
          <cell r="D430" t="str">
            <v>KLHS7421</v>
          </cell>
          <cell r="E430">
            <v>20</v>
          </cell>
          <cell r="K430">
            <v>0.1</v>
          </cell>
        </row>
        <row r="431">
          <cell r="D431" t="str">
            <v>PL105</v>
          </cell>
          <cell r="E431">
            <v>20</v>
          </cell>
          <cell r="K431">
            <v>2.298</v>
          </cell>
        </row>
        <row r="432">
          <cell r="D432" t="str">
            <v>PL105</v>
          </cell>
          <cell r="E432">
            <v>20</v>
          </cell>
          <cell r="K432">
            <v>2.298</v>
          </cell>
        </row>
        <row r="433">
          <cell r="D433" t="str">
            <v>DS004</v>
          </cell>
          <cell r="E433">
            <v>20</v>
          </cell>
          <cell r="K433">
            <v>0.67200000000000004</v>
          </cell>
        </row>
        <row r="434">
          <cell r="D434" t="str">
            <v>DS004</v>
          </cell>
          <cell r="E434">
            <v>20</v>
          </cell>
          <cell r="K434">
            <v>0.67200000000000004</v>
          </cell>
        </row>
        <row r="435">
          <cell r="D435" t="str">
            <v>FSQ460</v>
          </cell>
          <cell r="E435">
            <v>20</v>
          </cell>
          <cell r="K435">
            <v>2.4180000000000001</v>
          </cell>
        </row>
        <row r="436">
          <cell r="D436" t="str">
            <v>FSQ534</v>
          </cell>
          <cell r="E436">
            <v>20</v>
          </cell>
          <cell r="K436">
            <v>2.0219999999999998</v>
          </cell>
        </row>
        <row r="437">
          <cell r="D437" t="str">
            <v>FSQ535</v>
          </cell>
          <cell r="E437">
            <v>14</v>
          </cell>
          <cell r="K437">
            <v>4.5694999999999997</v>
          </cell>
        </row>
        <row r="438">
          <cell r="D438" t="str">
            <v>FSQ536</v>
          </cell>
          <cell r="E438">
            <v>12</v>
          </cell>
          <cell r="K438">
            <v>5.5315000000000003</v>
          </cell>
        </row>
        <row r="439">
          <cell r="D439" t="str">
            <v>PI451</v>
          </cell>
          <cell r="E439">
            <v>20</v>
          </cell>
          <cell r="K439">
            <v>1.1579999999999999</v>
          </cell>
        </row>
        <row r="440">
          <cell r="D440" t="str">
            <v>PI452</v>
          </cell>
          <cell r="E440">
            <v>14</v>
          </cell>
          <cell r="K440">
            <v>4.7880000000000003</v>
          </cell>
        </row>
        <row r="441">
          <cell r="D441" t="str">
            <v>PI453</v>
          </cell>
          <cell r="E441">
            <v>12</v>
          </cell>
          <cell r="K441">
            <v>5.1420000000000003</v>
          </cell>
        </row>
        <row r="442">
          <cell r="D442" t="str">
            <v>PI455</v>
          </cell>
          <cell r="E442">
            <v>14</v>
          </cell>
          <cell r="K442">
            <v>4.8780000000000001</v>
          </cell>
        </row>
        <row r="443">
          <cell r="D443" t="str">
            <v>FSQ534</v>
          </cell>
          <cell r="E443">
            <v>20</v>
          </cell>
          <cell r="K443">
            <v>2.0219999999999998</v>
          </cell>
        </row>
        <row r="444">
          <cell r="D444" t="str">
            <v>AL15410</v>
          </cell>
          <cell r="E444">
            <v>5</v>
          </cell>
          <cell r="K444">
            <v>10.162000000000001</v>
          </cell>
        </row>
        <row r="445">
          <cell r="D445" t="str">
            <v>AL15411</v>
          </cell>
          <cell r="E445">
            <v>14</v>
          </cell>
          <cell r="K445">
            <v>3.9609999999999999</v>
          </cell>
        </row>
        <row r="446">
          <cell r="D446" t="str">
            <v>AL15412</v>
          </cell>
          <cell r="E446">
            <v>14</v>
          </cell>
          <cell r="K446">
            <v>3.6659999999999999</v>
          </cell>
        </row>
        <row r="447">
          <cell r="D447" t="str">
            <v>AL15418</v>
          </cell>
          <cell r="E447">
            <v>20</v>
          </cell>
          <cell r="K447">
            <v>0.98599999999999999</v>
          </cell>
        </row>
        <row r="448">
          <cell r="D448" t="str">
            <v>AL15420</v>
          </cell>
          <cell r="E448">
            <v>5</v>
          </cell>
          <cell r="K448">
            <v>19.760999999999999</v>
          </cell>
        </row>
        <row r="449">
          <cell r="D449" t="str">
            <v>AL15422</v>
          </cell>
          <cell r="E449">
            <v>5</v>
          </cell>
          <cell r="K449">
            <v>19.760999999999999</v>
          </cell>
        </row>
        <row r="450">
          <cell r="D450" t="str">
            <v>CSQ537</v>
          </cell>
          <cell r="E450">
            <v>10</v>
          </cell>
          <cell r="K450">
            <v>6.1950000000000003</v>
          </cell>
        </row>
        <row r="451">
          <cell r="D451" t="str">
            <v>DS004-120</v>
          </cell>
          <cell r="E451">
            <v>20</v>
          </cell>
          <cell r="K451">
            <v>0.67200000000000004</v>
          </cell>
        </row>
        <row r="452">
          <cell r="D452" t="str">
            <v>f50-200</v>
          </cell>
          <cell r="E452">
            <v>10</v>
          </cell>
          <cell r="K452">
            <v>5.0199999999999996</v>
          </cell>
        </row>
        <row r="453">
          <cell r="D453" t="str">
            <v>KL7406</v>
          </cell>
          <cell r="E453">
            <v>10</v>
          </cell>
          <cell r="K453">
            <v>8.7360000000000007</v>
          </cell>
        </row>
        <row r="454">
          <cell r="D454" t="str">
            <v>OK4720</v>
          </cell>
          <cell r="E454">
            <v>14</v>
          </cell>
          <cell r="K454">
            <v>3.5619999999999998</v>
          </cell>
        </row>
        <row r="455">
          <cell r="D455" t="str">
            <v>TC40x40x1</v>
          </cell>
          <cell r="E455">
            <v>14</v>
          </cell>
          <cell r="K455">
            <v>4.056</v>
          </cell>
        </row>
        <row r="456">
          <cell r="D456" t="str">
            <v>PL113</v>
          </cell>
          <cell r="E456">
            <v>10</v>
          </cell>
          <cell r="K456">
            <v>5.63</v>
          </cell>
        </row>
        <row r="457">
          <cell r="D457" t="str">
            <v>OK4725</v>
          </cell>
          <cell r="E457">
            <v>20</v>
          </cell>
          <cell r="K457">
            <v>1.63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P1537"/>
  <sheetViews>
    <sheetView workbookViewId="0">
      <selection activeCell="P16" sqref="P16"/>
    </sheetView>
  </sheetViews>
  <sheetFormatPr baseColWidth="10" defaultColWidth="9.140625" defaultRowHeight="15" x14ac:dyDescent="0.25"/>
  <cols>
    <col min="1" max="1" width="7.85546875" bestFit="1" customWidth="1"/>
    <col min="2" max="2" width="11.28515625" bestFit="1" customWidth="1"/>
    <col min="3" max="3" width="18.5703125" bestFit="1" customWidth="1"/>
    <col min="4" max="4" width="15.7109375" bestFit="1" customWidth="1"/>
    <col min="5" max="5" width="35.28515625" customWidth="1"/>
    <col min="6" max="6" width="23.85546875" bestFit="1" customWidth="1"/>
    <col min="7" max="7" width="8.28515625" bestFit="1" customWidth="1"/>
    <col min="8" max="8" width="8.7109375" bestFit="1" customWidth="1"/>
    <col min="9" max="9" width="7.85546875" bestFit="1" customWidth="1"/>
    <col min="10" max="10" width="4.42578125" bestFit="1" customWidth="1"/>
    <col min="11" max="11" width="10.42578125" bestFit="1" customWidth="1"/>
    <col min="12" max="12" width="15.7109375" bestFit="1" customWidth="1"/>
    <col min="13" max="13" width="8.5703125" bestFit="1" customWidth="1"/>
    <col min="14" max="14" width="8.28515625" bestFit="1" customWidth="1"/>
    <col min="16" max="16" width="8.5703125" bestFit="1" customWidth="1"/>
    <col min="17" max="17" width="8.85546875" bestFit="1" customWidth="1"/>
    <col min="18" max="18" width="9" bestFit="1" customWidth="1"/>
    <col min="19" max="19" width="8.85546875" bestFit="1" customWidth="1"/>
    <col min="20" max="21" width="8.42578125" bestFit="1" customWidth="1"/>
  </cols>
  <sheetData>
    <row r="1" spans="1:16370" ht="30" x14ac:dyDescent="0.25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5" t="s">
        <v>5</v>
      </c>
      <c r="G1" s="4" t="s">
        <v>6</v>
      </c>
      <c r="H1" s="4" t="s">
        <v>7</v>
      </c>
      <c r="I1" s="6" t="s">
        <v>8</v>
      </c>
      <c r="J1" s="7" t="s">
        <v>9</v>
      </c>
      <c r="K1" s="3" t="s">
        <v>10</v>
      </c>
      <c r="L1" s="8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9" t="s">
        <v>16</v>
      </c>
      <c r="R1" s="10" t="s">
        <v>17</v>
      </c>
      <c r="S1" s="11" t="s">
        <v>18</v>
      </c>
      <c r="T1" s="10" t="s">
        <v>19</v>
      </c>
      <c r="U1" s="10" t="s">
        <v>20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</row>
    <row r="2" spans="1:16370" x14ac:dyDescent="0.25">
      <c r="A2" s="12" t="s">
        <v>21</v>
      </c>
      <c r="B2" s="12" t="s">
        <v>22</v>
      </c>
      <c r="C2" s="12" t="s">
        <v>23</v>
      </c>
      <c r="D2" s="13">
        <v>45682.429386574076</v>
      </c>
      <c r="E2" s="12" t="s">
        <v>24</v>
      </c>
      <c r="F2" s="12" t="s">
        <v>25</v>
      </c>
      <c r="G2" s="12">
        <v>150</v>
      </c>
      <c r="H2" s="12">
        <v>150</v>
      </c>
      <c r="I2" s="14"/>
      <c r="J2" s="14" t="s">
        <v>26</v>
      </c>
      <c r="K2" s="12" t="s">
        <v>27</v>
      </c>
      <c r="L2" s="15"/>
      <c r="M2" s="12" t="s">
        <v>28</v>
      </c>
      <c r="N2" s="12"/>
      <c r="O2" s="12"/>
      <c r="P2" s="12"/>
      <c r="Q2" s="16">
        <v>0</v>
      </c>
      <c r="R2" s="16">
        <v>0</v>
      </c>
      <c r="S2" s="16"/>
      <c r="T2" s="16" t="e">
        <v>#N/A</v>
      </c>
      <c r="U2" s="16" t="e">
        <v>#N/A</v>
      </c>
    </row>
    <row r="3" spans="1:16370" x14ac:dyDescent="0.25">
      <c r="A3" s="12" t="s">
        <v>21</v>
      </c>
      <c r="B3" s="12" t="s">
        <v>29</v>
      </c>
      <c r="C3" s="12" t="s">
        <v>23</v>
      </c>
      <c r="D3" s="15">
        <v>45736.346145833333</v>
      </c>
      <c r="E3" s="12" t="s">
        <v>24</v>
      </c>
      <c r="F3" s="12" t="s">
        <v>30</v>
      </c>
      <c r="G3" s="12">
        <v>2</v>
      </c>
      <c r="H3" s="12">
        <v>-2</v>
      </c>
      <c r="I3" s="14"/>
      <c r="J3" s="14" t="s">
        <v>26</v>
      </c>
      <c r="K3" s="12" t="s">
        <v>27</v>
      </c>
      <c r="L3" s="15"/>
      <c r="M3" s="12" t="s">
        <v>28</v>
      </c>
      <c r="N3" s="12"/>
      <c r="O3" s="12"/>
      <c r="P3" s="12"/>
      <c r="Q3" s="16">
        <v>0</v>
      </c>
      <c r="R3" s="16">
        <v>0</v>
      </c>
      <c r="S3" s="16"/>
      <c r="T3" s="16" t="e">
        <v>#N/A</v>
      </c>
      <c r="U3" s="16" t="e">
        <v>#N/A</v>
      </c>
    </row>
    <row r="4" spans="1:16370" x14ac:dyDescent="0.25">
      <c r="A4" s="12" t="s">
        <v>21</v>
      </c>
      <c r="B4" s="12" t="s">
        <v>29</v>
      </c>
      <c r="C4" s="12" t="s">
        <v>23</v>
      </c>
      <c r="D4" s="17">
        <v>45736.346145833333</v>
      </c>
      <c r="E4" s="12" t="s">
        <v>24</v>
      </c>
      <c r="F4" s="12" t="s">
        <v>31</v>
      </c>
      <c r="G4" s="12">
        <v>2</v>
      </c>
      <c r="H4" s="12">
        <v>-2</v>
      </c>
      <c r="I4" s="14"/>
      <c r="J4" s="14" t="s">
        <v>26</v>
      </c>
      <c r="K4" s="12" t="s">
        <v>27</v>
      </c>
      <c r="L4" s="15"/>
      <c r="M4" s="12" t="s">
        <v>28</v>
      </c>
      <c r="N4" s="12"/>
      <c r="O4" s="12"/>
      <c r="P4" s="12"/>
      <c r="Q4" s="16">
        <v>0</v>
      </c>
      <c r="R4" s="16">
        <v>0</v>
      </c>
      <c r="S4" s="16"/>
      <c r="T4" s="16" t="e">
        <v>#N/A</v>
      </c>
      <c r="U4" s="16" t="e">
        <v>#N/A</v>
      </c>
    </row>
    <row r="5" spans="1:16370" x14ac:dyDescent="0.25">
      <c r="A5" s="12" t="s">
        <v>21</v>
      </c>
      <c r="B5" s="12" t="s">
        <v>29</v>
      </c>
      <c r="C5" s="12" t="s">
        <v>23</v>
      </c>
      <c r="D5" s="15">
        <v>45736.346145833333</v>
      </c>
      <c r="E5" s="12" t="s">
        <v>24</v>
      </c>
      <c r="F5" s="12" t="s">
        <v>32</v>
      </c>
      <c r="G5" s="12">
        <v>1</v>
      </c>
      <c r="H5" s="12">
        <v>-1</v>
      </c>
      <c r="I5" s="14"/>
      <c r="J5" s="14" t="s">
        <v>26</v>
      </c>
      <c r="K5" s="12" t="s">
        <v>27</v>
      </c>
      <c r="L5" s="15"/>
      <c r="M5" s="12" t="s">
        <v>28</v>
      </c>
      <c r="N5" s="12"/>
      <c r="O5" s="12"/>
      <c r="P5" s="12"/>
      <c r="Q5" s="16">
        <v>0</v>
      </c>
      <c r="R5" s="16">
        <v>174</v>
      </c>
      <c r="S5" s="16"/>
      <c r="T5" s="16" t="e">
        <v>#N/A</v>
      </c>
      <c r="U5" s="16" t="e">
        <v>#N/A</v>
      </c>
    </row>
    <row r="6" spans="1:16370" x14ac:dyDescent="0.25">
      <c r="A6" s="12" t="s">
        <v>21</v>
      </c>
      <c r="B6" s="12" t="s">
        <v>33</v>
      </c>
      <c r="C6" s="12" t="s">
        <v>23</v>
      </c>
      <c r="D6" s="13">
        <v>45820.325219907405</v>
      </c>
      <c r="E6" s="12" t="s">
        <v>24</v>
      </c>
      <c r="F6" s="12" t="s">
        <v>34</v>
      </c>
      <c r="G6" s="12">
        <v>17</v>
      </c>
      <c r="H6" s="12">
        <v>17</v>
      </c>
      <c r="I6" s="14"/>
      <c r="J6" s="14" t="s">
        <v>26</v>
      </c>
      <c r="K6" s="12" t="s">
        <v>27</v>
      </c>
      <c r="L6" s="15"/>
      <c r="M6" s="12" t="s">
        <v>28</v>
      </c>
      <c r="N6" s="12"/>
      <c r="O6" s="12"/>
      <c r="P6" s="12"/>
      <c r="Q6" s="16">
        <v>0</v>
      </c>
      <c r="R6" s="16">
        <v>324</v>
      </c>
      <c r="S6" s="16"/>
      <c r="T6" s="16" t="e">
        <v>#N/A</v>
      </c>
      <c r="U6" s="16" t="e">
        <v>#N/A</v>
      </c>
    </row>
    <row r="7" spans="1:16370" x14ac:dyDescent="0.25">
      <c r="A7" s="12" t="s">
        <v>21</v>
      </c>
      <c r="B7" s="12" t="s">
        <v>35</v>
      </c>
      <c r="C7" s="12" t="s">
        <v>23</v>
      </c>
      <c r="D7" s="15">
        <v>45821.315266203703</v>
      </c>
      <c r="E7" s="12" t="s">
        <v>24</v>
      </c>
      <c r="F7" s="12" t="s">
        <v>36</v>
      </c>
      <c r="G7" s="12">
        <v>30</v>
      </c>
      <c r="H7" s="12">
        <v>5</v>
      </c>
      <c r="I7" s="14"/>
      <c r="J7" s="14" t="s">
        <v>26</v>
      </c>
      <c r="K7" s="12" t="s">
        <v>27</v>
      </c>
      <c r="L7" s="15"/>
      <c r="M7" s="12" t="s">
        <v>28</v>
      </c>
      <c r="N7" s="12"/>
      <c r="O7" s="12"/>
      <c r="P7" s="12"/>
      <c r="Q7" s="16">
        <v>0</v>
      </c>
      <c r="R7" s="16">
        <v>0</v>
      </c>
      <c r="S7" s="16"/>
      <c r="T7" s="16" t="e">
        <v>#N/A</v>
      </c>
      <c r="U7" s="16" t="e">
        <v>#N/A</v>
      </c>
    </row>
    <row r="8" spans="1:16370" x14ac:dyDescent="0.25">
      <c r="A8" s="12" t="s">
        <v>21</v>
      </c>
      <c r="B8" s="12" t="s">
        <v>35</v>
      </c>
      <c r="C8" s="12" t="s">
        <v>23</v>
      </c>
      <c r="D8" s="15">
        <v>45821.315266203703</v>
      </c>
      <c r="E8" s="12" t="s">
        <v>24</v>
      </c>
      <c r="F8" s="12" t="s">
        <v>37</v>
      </c>
      <c r="G8" s="12">
        <v>40</v>
      </c>
      <c r="H8" s="12">
        <v>1</v>
      </c>
      <c r="I8" s="14"/>
      <c r="J8" s="14" t="s">
        <v>26</v>
      </c>
      <c r="K8" s="12" t="s">
        <v>27</v>
      </c>
      <c r="L8" s="15"/>
      <c r="M8" s="12" t="s">
        <v>28</v>
      </c>
      <c r="N8" s="12"/>
      <c r="O8" s="12"/>
      <c r="P8" s="12"/>
      <c r="Q8" s="16">
        <v>0</v>
      </c>
      <c r="R8" s="16">
        <v>0</v>
      </c>
      <c r="S8" s="16"/>
      <c r="T8" s="16" t="e">
        <v>#N/A</v>
      </c>
      <c r="U8" s="16" t="e">
        <v>#N/A</v>
      </c>
    </row>
    <row r="9" spans="1:16370" x14ac:dyDescent="0.25">
      <c r="A9" s="12" t="s">
        <v>21</v>
      </c>
      <c r="B9" s="12" t="s">
        <v>38</v>
      </c>
      <c r="C9" s="12" t="s">
        <v>23</v>
      </c>
      <c r="D9" s="17">
        <v>46013.521527777775</v>
      </c>
      <c r="E9" s="12" t="s">
        <v>39</v>
      </c>
      <c r="F9" s="12" t="s">
        <v>40</v>
      </c>
      <c r="G9" s="12">
        <v>500</v>
      </c>
      <c r="H9" s="12">
        <v>72</v>
      </c>
      <c r="I9" s="14"/>
      <c r="J9" s="14" t="s">
        <v>26</v>
      </c>
      <c r="K9" s="12" t="s">
        <v>27</v>
      </c>
      <c r="L9" s="15"/>
      <c r="M9" s="12" t="s">
        <v>28</v>
      </c>
      <c r="N9" s="12"/>
      <c r="O9" s="12"/>
      <c r="P9" s="12"/>
      <c r="Q9" s="16">
        <v>0</v>
      </c>
      <c r="R9" s="16">
        <v>934</v>
      </c>
      <c r="S9" s="16"/>
      <c r="T9" s="16" t="e">
        <v>#N/A</v>
      </c>
      <c r="U9" s="16" t="e">
        <v>#N/A</v>
      </c>
    </row>
    <row r="10" spans="1:16370" x14ac:dyDescent="0.25">
      <c r="A10" s="12" t="s">
        <v>21</v>
      </c>
      <c r="B10" s="12" t="s">
        <v>38</v>
      </c>
      <c r="C10" s="12" t="s">
        <v>23</v>
      </c>
      <c r="D10" s="13">
        <v>46013.521527777775</v>
      </c>
      <c r="E10" s="12" t="s">
        <v>39</v>
      </c>
      <c r="F10" s="12" t="s">
        <v>40</v>
      </c>
      <c r="G10" s="12">
        <v>313</v>
      </c>
      <c r="H10" s="12">
        <v>34</v>
      </c>
      <c r="I10" s="14"/>
      <c r="J10" s="14" t="s">
        <v>26</v>
      </c>
      <c r="K10" s="12" t="s">
        <v>27</v>
      </c>
      <c r="L10" s="15"/>
      <c r="M10" s="12" t="s">
        <v>28</v>
      </c>
      <c r="N10" s="12"/>
      <c r="O10" s="12"/>
      <c r="P10" s="12"/>
      <c r="Q10" s="16">
        <v>0</v>
      </c>
      <c r="R10" s="16">
        <v>934</v>
      </c>
      <c r="S10" s="16"/>
      <c r="T10" s="16" t="e">
        <v>#N/A</v>
      </c>
      <c r="U10" s="16" t="e">
        <v>#N/A</v>
      </c>
    </row>
    <row r="11" spans="1:16370" x14ac:dyDescent="0.25">
      <c r="A11" s="12" t="s">
        <v>21</v>
      </c>
      <c r="B11" s="12" t="s">
        <v>38</v>
      </c>
      <c r="C11" s="12" t="s">
        <v>23</v>
      </c>
      <c r="D11" s="17">
        <v>46013.521527777775</v>
      </c>
      <c r="E11" s="12" t="s">
        <v>39</v>
      </c>
      <c r="F11" s="12" t="s">
        <v>41</v>
      </c>
      <c r="G11" s="12">
        <v>28</v>
      </c>
      <c r="H11" s="12">
        <v>28</v>
      </c>
      <c r="I11" s="14"/>
      <c r="J11" s="14" t="s">
        <v>26</v>
      </c>
      <c r="K11" s="12" t="s">
        <v>27</v>
      </c>
      <c r="L11" s="15"/>
      <c r="M11" s="12" t="s">
        <v>28</v>
      </c>
      <c r="N11" s="12"/>
      <c r="O11" s="12"/>
      <c r="P11" s="12"/>
      <c r="Q11" s="16">
        <v>0</v>
      </c>
      <c r="R11" s="16">
        <v>125</v>
      </c>
      <c r="S11" s="16"/>
      <c r="T11" s="16" t="e">
        <v>#N/A</v>
      </c>
      <c r="U11" s="16" t="e">
        <v>#N/A</v>
      </c>
    </row>
    <row r="12" spans="1:16370" x14ac:dyDescent="0.25">
      <c r="A12" s="12" t="s">
        <v>21</v>
      </c>
      <c r="B12" s="12" t="s">
        <v>38</v>
      </c>
      <c r="C12" s="12" t="s">
        <v>23</v>
      </c>
      <c r="D12" s="13">
        <v>46013.521527777775</v>
      </c>
      <c r="E12" s="12" t="s">
        <v>39</v>
      </c>
      <c r="F12" s="12" t="s">
        <v>42</v>
      </c>
      <c r="G12" s="12">
        <v>16</v>
      </c>
      <c r="H12" s="12">
        <v>14</v>
      </c>
      <c r="I12" s="14"/>
      <c r="J12" s="14" t="s">
        <v>26</v>
      </c>
      <c r="K12" s="12" t="s">
        <v>27</v>
      </c>
      <c r="L12" s="15"/>
      <c r="M12" s="12" t="s">
        <v>28</v>
      </c>
      <c r="N12" s="12"/>
      <c r="O12" s="12"/>
      <c r="P12" s="12"/>
      <c r="Q12" s="16">
        <v>0</v>
      </c>
      <c r="R12" s="16">
        <v>0</v>
      </c>
      <c r="S12" s="16"/>
      <c r="T12" s="16" t="e">
        <v>#N/A</v>
      </c>
      <c r="U12" s="16" t="e">
        <v>#N/A</v>
      </c>
    </row>
    <row r="13" spans="1:16370" x14ac:dyDescent="0.25">
      <c r="A13" s="12" t="s">
        <v>21</v>
      </c>
      <c r="B13" s="12" t="s">
        <v>38</v>
      </c>
      <c r="C13" s="12" t="s">
        <v>23</v>
      </c>
      <c r="D13" s="17">
        <v>46013.521527777775</v>
      </c>
      <c r="E13" s="12" t="s">
        <v>39</v>
      </c>
      <c r="F13" s="12" t="s">
        <v>43</v>
      </c>
      <c r="G13" s="12">
        <v>614</v>
      </c>
      <c r="H13" s="12">
        <v>614</v>
      </c>
      <c r="I13" s="14"/>
      <c r="J13" s="14" t="s">
        <v>26</v>
      </c>
      <c r="K13" s="12" t="s">
        <v>27</v>
      </c>
      <c r="L13" s="15"/>
      <c r="M13" s="12" t="s">
        <v>28</v>
      </c>
      <c r="N13" s="12"/>
      <c r="O13" s="12"/>
      <c r="P13" s="12"/>
      <c r="Q13" s="16">
        <v>0</v>
      </c>
      <c r="R13" s="16">
        <v>0</v>
      </c>
      <c r="S13" s="16"/>
      <c r="T13" s="16" t="e">
        <v>#N/A</v>
      </c>
      <c r="U13" s="16" t="e">
        <v>#N/A</v>
      </c>
    </row>
    <row r="14" spans="1:16370" x14ac:dyDescent="0.25">
      <c r="A14" s="12" t="s">
        <v>21</v>
      </c>
      <c r="B14" s="12" t="s">
        <v>38</v>
      </c>
      <c r="C14" s="12" t="s">
        <v>23</v>
      </c>
      <c r="D14" s="17">
        <v>46013.521527777775</v>
      </c>
      <c r="E14" s="12" t="s">
        <v>39</v>
      </c>
      <c r="F14" s="12" t="s">
        <v>44</v>
      </c>
      <c r="G14" s="12">
        <v>120</v>
      </c>
      <c r="H14" s="12">
        <v>71</v>
      </c>
      <c r="I14" s="14"/>
      <c r="J14" s="14" t="s">
        <v>26</v>
      </c>
      <c r="K14" s="12" t="s">
        <v>27</v>
      </c>
      <c r="L14" s="15"/>
      <c r="M14" s="12" t="s">
        <v>28</v>
      </c>
      <c r="N14" s="12"/>
      <c r="O14" s="12"/>
      <c r="P14" s="12"/>
      <c r="Q14" s="16">
        <v>0</v>
      </c>
      <c r="R14" s="16">
        <v>75</v>
      </c>
      <c r="S14" s="16"/>
      <c r="T14" s="16" t="e">
        <v>#N/A</v>
      </c>
      <c r="U14" s="16" t="e">
        <v>#N/A</v>
      </c>
    </row>
    <row r="15" spans="1:16370" x14ac:dyDescent="0.25">
      <c r="A15" s="12" t="s">
        <v>21</v>
      </c>
      <c r="B15" s="12" t="s">
        <v>38</v>
      </c>
      <c r="C15" s="12" t="s">
        <v>23</v>
      </c>
      <c r="D15" s="17">
        <v>46013.521527777775</v>
      </c>
      <c r="E15" s="12" t="s">
        <v>39</v>
      </c>
      <c r="F15" s="12" t="s">
        <v>45</v>
      </c>
      <c r="G15" s="12">
        <v>580</v>
      </c>
      <c r="H15" s="12">
        <v>11</v>
      </c>
      <c r="I15" s="14"/>
      <c r="J15" s="14" t="s">
        <v>26</v>
      </c>
      <c r="K15" s="12" t="s">
        <v>27</v>
      </c>
      <c r="L15" s="15"/>
      <c r="M15" s="12" t="s">
        <v>28</v>
      </c>
      <c r="N15" s="12"/>
      <c r="O15" s="12"/>
      <c r="P15" s="12"/>
      <c r="Q15" s="16">
        <v>0</v>
      </c>
      <c r="R15" s="16">
        <v>0</v>
      </c>
      <c r="S15" s="16"/>
      <c r="T15" s="16" t="e">
        <v>#N/A</v>
      </c>
      <c r="U15" s="16" t="e">
        <v>#N/A</v>
      </c>
    </row>
    <row r="16" spans="1:16370" x14ac:dyDescent="0.25">
      <c r="A16" s="12" t="s">
        <v>21</v>
      </c>
      <c r="B16" s="12" t="s">
        <v>38</v>
      </c>
      <c r="C16" s="12" t="s">
        <v>23</v>
      </c>
      <c r="D16" s="15">
        <v>46013.521527777775</v>
      </c>
      <c r="E16" s="12" t="s">
        <v>39</v>
      </c>
      <c r="F16" s="12" t="s">
        <v>46</v>
      </c>
      <c r="G16" s="12">
        <v>380</v>
      </c>
      <c r="H16" s="12">
        <v>380</v>
      </c>
      <c r="I16" s="14"/>
      <c r="J16" s="14" t="s">
        <v>26</v>
      </c>
      <c r="K16" s="12" t="s">
        <v>27</v>
      </c>
      <c r="L16" s="15"/>
      <c r="M16" s="12" t="s">
        <v>28</v>
      </c>
      <c r="N16" s="12"/>
      <c r="O16" s="12"/>
      <c r="P16" s="12"/>
      <c r="Q16" s="16">
        <v>0</v>
      </c>
      <c r="R16" s="16">
        <v>30184</v>
      </c>
      <c r="S16" s="16"/>
      <c r="T16" s="16" t="e">
        <v>#N/A</v>
      </c>
      <c r="U16" s="16" t="e">
        <v>#N/A</v>
      </c>
    </row>
    <row r="17" spans="1:21" x14ac:dyDescent="0.25">
      <c r="A17" s="12" t="s">
        <v>21</v>
      </c>
      <c r="B17" s="12" t="s">
        <v>38</v>
      </c>
      <c r="C17" s="12" t="s">
        <v>23</v>
      </c>
      <c r="D17" s="17">
        <v>46013.521527777775</v>
      </c>
      <c r="E17" s="12" t="s">
        <v>39</v>
      </c>
      <c r="F17" s="12" t="s">
        <v>47</v>
      </c>
      <c r="G17" s="12">
        <v>1000</v>
      </c>
      <c r="H17" s="12">
        <v>1000</v>
      </c>
      <c r="I17" s="14"/>
      <c r="J17" s="14" t="s">
        <v>26</v>
      </c>
      <c r="K17" s="12" t="s">
        <v>27</v>
      </c>
      <c r="L17" s="15"/>
      <c r="M17" s="12" t="s">
        <v>28</v>
      </c>
      <c r="N17" s="12"/>
      <c r="O17" s="12"/>
      <c r="P17" s="12"/>
      <c r="Q17" s="16">
        <v>0</v>
      </c>
      <c r="R17" s="16">
        <v>0</v>
      </c>
      <c r="S17" s="16"/>
      <c r="T17" s="16" t="e">
        <v>#N/A</v>
      </c>
      <c r="U17" s="16" t="e">
        <v>#N/A</v>
      </c>
    </row>
    <row r="18" spans="1:21" x14ac:dyDescent="0.25">
      <c r="A18" s="12" t="s">
        <v>21</v>
      </c>
      <c r="B18" s="12" t="s">
        <v>38</v>
      </c>
      <c r="C18" s="12" t="s">
        <v>23</v>
      </c>
      <c r="D18" s="15">
        <v>46013.521527777775</v>
      </c>
      <c r="E18" s="12" t="s">
        <v>39</v>
      </c>
      <c r="F18" s="12" t="s">
        <v>48</v>
      </c>
      <c r="G18" s="12">
        <v>1856</v>
      </c>
      <c r="H18" s="12">
        <v>1856</v>
      </c>
      <c r="I18" s="14"/>
      <c r="J18" s="14" t="s">
        <v>26</v>
      </c>
      <c r="K18" s="12" t="s">
        <v>27</v>
      </c>
      <c r="L18" s="15"/>
      <c r="M18" s="12" t="s">
        <v>28</v>
      </c>
      <c r="N18" s="12"/>
      <c r="O18" s="12"/>
      <c r="P18" s="12"/>
      <c r="Q18" s="16">
        <v>0</v>
      </c>
      <c r="R18" s="16">
        <v>3758</v>
      </c>
      <c r="S18" s="16">
        <v>345</v>
      </c>
      <c r="T18" s="16" t="e">
        <v>#N/A</v>
      </c>
      <c r="U18" s="16" t="e">
        <v>#N/A</v>
      </c>
    </row>
    <row r="19" spans="1:21" x14ac:dyDescent="0.25">
      <c r="A19" s="12" t="s">
        <v>21</v>
      </c>
      <c r="B19" s="12" t="s">
        <v>49</v>
      </c>
      <c r="C19" s="12" t="s">
        <v>23</v>
      </c>
      <c r="D19" s="15">
        <v>46014.435949074075</v>
      </c>
      <c r="E19" s="12" t="s">
        <v>39</v>
      </c>
      <c r="F19" s="12" t="s">
        <v>50</v>
      </c>
      <c r="G19" s="12">
        <v>131</v>
      </c>
      <c r="H19" s="12">
        <v>26</v>
      </c>
      <c r="I19" s="14"/>
      <c r="J19" s="14" t="s">
        <v>26</v>
      </c>
      <c r="K19" s="12" t="s">
        <v>27</v>
      </c>
      <c r="L19" s="15"/>
      <c r="M19" s="12" t="s">
        <v>28</v>
      </c>
      <c r="N19" s="12"/>
      <c r="O19" s="12"/>
      <c r="P19" s="12"/>
      <c r="Q19" s="16">
        <v>0</v>
      </c>
      <c r="R19" s="16">
        <v>0</v>
      </c>
      <c r="S19" s="16"/>
      <c r="T19" s="16" t="e">
        <v>#N/A</v>
      </c>
      <c r="U19" s="16" t="e">
        <v>#N/A</v>
      </c>
    </row>
    <row r="20" spans="1:21" x14ac:dyDescent="0.25">
      <c r="A20" s="12" t="s">
        <v>21</v>
      </c>
      <c r="B20" s="12" t="s">
        <v>49</v>
      </c>
      <c r="C20" s="12" t="s">
        <v>23</v>
      </c>
      <c r="D20" s="17">
        <v>46014.435949074075</v>
      </c>
      <c r="E20" s="12" t="s">
        <v>39</v>
      </c>
      <c r="F20" s="12" t="s">
        <v>51</v>
      </c>
      <c r="G20" s="12">
        <v>788</v>
      </c>
      <c r="H20" s="12">
        <v>788</v>
      </c>
      <c r="I20" s="14"/>
      <c r="J20" s="14" t="s">
        <v>26</v>
      </c>
      <c r="K20" s="12" t="s">
        <v>27</v>
      </c>
      <c r="L20" s="15"/>
      <c r="M20" s="12" t="s">
        <v>28</v>
      </c>
      <c r="N20" s="12"/>
      <c r="O20" s="12"/>
      <c r="P20" s="12"/>
      <c r="Q20" s="16">
        <v>0</v>
      </c>
      <c r="R20" s="16">
        <v>0</v>
      </c>
      <c r="S20" s="16"/>
      <c r="T20" s="16" t="e">
        <v>#N/A</v>
      </c>
      <c r="U20" s="16" t="e">
        <v>#N/A</v>
      </c>
    </row>
    <row r="21" spans="1:21" x14ac:dyDescent="0.25">
      <c r="A21" s="12" t="s">
        <v>21</v>
      </c>
      <c r="B21" s="12" t="s">
        <v>49</v>
      </c>
      <c r="C21" s="12" t="s">
        <v>23</v>
      </c>
      <c r="D21" s="13">
        <v>46014.435949074075</v>
      </c>
      <c r="E21" s="12" t="s">
        <v>39</v>
      </c>
      <c r="F21" s="12" t="s">
        <v>52</v>
      </c>
      <c r="G21" s="12">
        <v>5</v>
      </c>
      <c r="H21" s="12">
        <v>2</v>
      </c>
      <c r="I21" s="14"/>
      <c r="J21" s="14" t="s">
        <v>26</v>
      </c>
      <c r="K21" s="12" t="s">
        <v>27</v>
      </c>
      <c r="L21" s="15"/>
      <c r="M21" s="12" t="s">
        <v>28</v>
      </c>
      <c r="N21" s="12"/>
      <c r="O21" s="12"/>
      <c r="P21" s="12"/>
      <c r="Q21" s="16">
        <v>0</v>
      </c>
      <c r="R21" s="16">
        <v>0</v>
      </c>
      <c r="S21" s="16"/>
      <c r="T21" s="16" t="e">
        <v>#N/A</v>
      </c>
      <c r="U21" s="16" t="e">
        <v>#N/A</v>
      </c>
    </row>
    <row r="22" spans="1:21" x14ac:dyDescent="0.25">
      <c r="A22" s="12" t="s">
        <v>21</v>
      </c>
      <c r="B22" s="12" t="s">
        <v>49</v>
      </c>
      <c r="C22" s="12" t="s">
        <v>23</v>
      </c>
      <c r="D22" s="15">
        <v>46014.435949074075</v>
      </c>
      <c r="E22" s="12" t="s">
        <v>39</v>
      </c>
      <c r="F22" s="12" t="s">
        <v>53</v>
      </c>
      <c r="G22" s="12">
        <v>588</v>
      </c>
      <c r="H22" s="12">
        <v>588</v>
      </c>
      <c r="I22" s="14"/>
      <c r="J22" s="14" t="s">
        <v>26</v>
      </c>
      <c r="K22" s="12" t="s">
        <v>27</v>
      </c>
      <c r="L22" s="15"/>
      <c r="M22" s="12" t="s">
        <v>28</v>
      </c>
      <c r="N22" s="12"/>
      <c r="O22" s="12"/>
      <c r="P22" s="12"/>
      <c r="Q22" s="16">
        <v>0</v>
      </c>
      <c r="R22" s="16">
        <v>0</v>
      </c>
      <c r="S22" s="16"/>
      <c r="T22" s="16" t="e">
        <v>#N/A</v>
      </c>
      <c r="U22" s="16" t="e">
        <v>#N/A</v>
      </c>
    </row>
    <row r="23" spans="1:21" x14ac:dyDescent="0.25">
      <c r="A23" s="12" t="s">
        <v>21</v>
      </c>
      <c r="B23" s="12" t="s">
        <v>49</v>
      </c>
      <c r="C23" s="12" t="s">
        <v>23</v>
      </c>
      <c r="D23" s="13">
        <v>46014.435949074075</v>
      </c>
      <c r="E23" s="12" t="s">
        <v>39</v>
      </c>
      <c r="F23" s="12" t="s">
        <v>54</v>
      </c>
      <c r="G23" s="12">
        <v>5</v>
      </c>
      <c r="H23" s="12">
        <v>5</v>
      </c>
      <c r="I23" s="14"/>
      <c r="J23" s="14" t="s">
        <v>26</v>
      </c>
      <c r="K23" s="12" t="s">
        <v>27</v>
      </c>
      <c r="L23" s="15"/>
      <c r="M23" s="12" t="s">
        <v>28</v>
      </c>
      <c r="N23" s="12"/>
      <c r="O23" s="12"/>
      <c r="P23" s="12"/>
      <c r="Q23" s="16">
        <v>0</v>
      </c>
      <c r="R23" s="16">
        <v>0</v>
      </c>
      <c r="S23" s="16"/>
      <c r="T23" s="16" t="e">
        <v>#N/A</v>
      </c>
      <c r="U23" s="16" t="e">
        <v>#N/A</v>
      </c>
    </row>
    <row r="24" spans="1:21" x14ac:dyDescent="0.25">
      <c r="A24" s="12" t="s">
        <v>21</v>
      </c>
      <c r="B24" s="12" t="s">
        <v>49</v>
      </c>
      <c r="C24" s="12" t="s">
        <v>23</v>
      </c>
      <c r="D24" s="15">
        <v>46014.435949074075</v>
      </c>
      <c r="E24" s="12" t="s">
        <v>39</v>
      </c>
      <c r="F24" s="12" t="s">
        <v>55</v>
      </c>
      <c r="G24" s="12">
        <v>9408</v>
      </c>
      <c r="H24" s="12">
        <v>9408</v>
      </c>
      <c r="I24" s="14"/>
      <c r="J24" s="14" t="s">
        <v>26</v>
      </c>
      <c r="K24" s="12" t="s">
        <v>27</v>
      </c>
      <c r="L24" s="15"/>
      <c r="M24" s="12" t="s">
        <v>28</v>
      </c>
      <c r="N24" s="12"/>
      <c r="O24" s="12"/>
      <c r="P24" s="12"/>
      <c r="Q24" s="16">
        <v>0</v>
      </c>
      <c r="R24" s="16">
        <v>0</v>
      </c>
      <c r="S24" s="16"/>
      <c r="T24" s="16" t="e">
        <v>#N/A</v>
      </c>
      <c r="U24" s="16" t="e">
        <v>#N/A</v>
      </c>
    </row>
    <row r="25" spans="1:21" x14ac:dyDescent="0.25">
      <c r="A25" s="12" t="s">
        <v>21</v>
      </c>
      <c r="B25" s="12" t="s">
        <v>56</v>
      </c>
      <c r="C25" s="12" t="s">
        <v>23</v>
      </c>
      <c r="D25" s="17">
        <v>46036.409189814818</v>
      </c>
      <c r="E25" s="12" t="s">
        <v>39</v>
      </c>
      <c r="F25" s="12" t="s">
        <v>57</v>
      </c>
      <c r="G25" s="12">
        <v>282</v>
      </c>
      <c r="H25" s="12">
        <v>10</v>
      </c>
      <c r="I25" s="14"/>
      <c r="J25" s="14" t="s">
        <v>26</v>
      </c>
      <c r="K25" s="12" t="s">
        <v>27</v>
      </c>
      <c r="L25" s="15"/>
      <c r="M25" s="12" t="s">
        <v>28</v>
      </c>
      <c r="N25" s="12"/>
      <c r="O25" s="12"/>
      <c r="P25" s="12"/>
      <c r="Q25" s="16">
        <v>0</v>
      </c>
      <c r="R25" s="16">
        <v>630</v>
      </c>
      <c r="S25" s="16"/>
      <c r="T25" s="16" t="e">
        <v>#N/A</v>
      </c>
      <c r="U25" s="16" t="e">
        <v>#N/A</v>
      </c>
    </row>
    <row r="26" spans="1:21" x14ac:dyDescent="0.25">
      <c r="A26" s="12" t="s">
        <v>21</v>
      </c>
      <c r="B26" s="12" t="s">
        <v>58</v>
      </c>
      <c r="C26" s="12" t="s">
        <v>23</v>
      </c>
      <c r="D26" s="17">
        <v>46055.306273148148</v>
      </c>
      <c r="E26" s="12" t="s">
        <v>24</v>
      </c>
      <c r="F26" s="12" t="s">
        <v>59</v>
      </c>
      <c r="G26" s="12">
        <v>18</v>
      </c>
      <c r="H26" s="12">
        <v>18</v>
      </c>
      <c r="I26" s="14"/>
      <c r="J26" s="14" t="s">
        <v>26</v>
      </c>
      <c r="K26" s="12" t="s">
        <v>27</v>
      </c>
      <c r="L26" s="15"/>
      <c r="M26" s="12" t="s">
        <v>28</v>
      </c>
      <c r="N26" s="12"/>
      <c r="O26" s="12"/>
      <c r="P26" s="12"/>
      <c r="Q26" s="16">
        <v>0</v>
      </c>
      <c r="R26" s="16">
        <v>0</v>
      </c>
      <c r="S26" s="16">
        <v>17</v>
      </c>
      <c r="T26" s="16" t="e">
        <v>#N/A</v>
      </c>
      <c r="U26" s="16" t="e">
        <v>#N/A</v>
      </c>
    </row>
    <row r="27" spans="1:21" x14ac:dyDescent="0.25">
      <c r="A27" s="12" t="s">
        <v>21</v>
      </c>
      <c r="B27" s="12" t="s">
        <v>58</v>
      </c>
      <c r="C27" s="12" t="s">
        <v>23</v>
      </c>
      <c r="D27" s="17">
        <v>46055.306273148148</v>
      </c>
      <c r="E27" s="12" t="s">
        <v>24</v>
      </c>
      <c r="F27" s="12" t="s">
        <v>47</v>
      </c>
      <c r="G27" s="12">
        <v>50</v>
      </c>
      <c r="H27" s="12">
        <v>50</v>
      </c>
      <c r="I27" s="14"/>
      <c r="J27" s="14" t="s">
        <v>26</v>
      </c>
      <c r="K27" s="12" t="s">
        <v>27</v>
      </c>
      <c r="L27" s="15"/>
      <c r="M27" s="12" t="s">
        <v>28</v>
      </c>
      <c r="N27" s="12"/>
      <c r="O27" s="12"/>
      <c r="P27" s="12"/>
      <c r="Q27" s="16">
        <v>0</v>
      </c>
      <c r="R27" s="16">
        <v>0</v>
      </c>
      <c r="S27" s="16"/>
      <c r="T27" s="16" t="e">
        <v>#N/A</v>
      </c>
      <c r="U27" s="16" t="e">
        <v>#N/A</v>
      </c>
    </row>
    <row r="28" spans="1:21" x14ac:dyDescent="0.25">
      <c r="A28" s="12" t="s">
        <v>21</v>
      </c>
      <c r="B28" s="12" t="s">
        <v>58</v>
      </c>
      <c r="C28" s="12" t="s">
        <v>23</v>
      </c>
      <c r="D28" s="17">
        <v>46055.306273148148</v>
      </c>
      <c r="E28" s="12" t="s">
        <v>24</v>
      </c>
      <c r="F28" s="12" t="s">
        <v>60</v>
      </c>
      <c r="G28" s="12">
        <v>6</v>
      </c>
      <c r="H28" s="12">
        <v>6</v>
      </c>
      <c r="I28" s="14"/>
      <c r="J28" s="14" t="s">
        <v>61</v>
      </c>
      <c r="K28" s="12" t="s">
        <v>27</v>
      </c>
      <c r="L28" s="15"/>
      <c r="M28" s="12" t="s">
        <v>28</v>
      </c>
      <c r="N28" s="12"/>
      <c r="O28" s="12"/>
      <c r="P28" s="12"/>
      <c r="Q28" s="16">
        <v>12</v>
      </c>
      <c r="R28" s="16">
        <v>0</v>
      </c>
      <c r="S28" s="16"/>
      <c r="T28" s="16" t="e">
        <v>#N/A</v>
      </c>
      <c r="U28" s="16" t="e">
        <v>#N/A</v>
      </c>
    </row>
    <row r="29" spans="1:21" x14ac:dyDescent="0.25">
      <c r="A29" s="12" t="s">
        <v>21</v>
      </c>
      <c r="B29" s="12" t="s">
        <v>62</v>
      </c>
      <c r="C29" s="12" t="s">
        <v>23</v>
      </c>
      <c r="D29" s="13">
        <v>46092.283194444448</v>
      </c>
      <c r="E29" s="12" t="s">
        <v>63</v>
      </c>
      <c r="F29" s="12" t="s">
        <v>64</v>
      </c>
      <c r="G29" s="12">
        <v>11</v>
      </c>
      <c r="H29" s="12">
        <v>11</v>
      </c>
      <c r="I29" s="14">
        <v>-8</v>
      </c>
      <c r="J29" s="14" t="s">
        <v>26</v>
      </c>
      <c r="K29" s="12" t="s">
        <v>27</v>
      </c>
      <c r="L29" s="15"/>
      <c r="M29" s="12" t="s">
        <v>28</v>
      </c>
      <c r="N29" s="12"/>
      <c r="O29" s="12"/>
      <c r="P29" s="12"/>
      <c r="Q29" s="16">
        <v>0</v>
      </c>
      <c r="R29" s="16">
        <v>0</v>
      </c>
      <c r="S29" s="16"/>
      <c r="T29" s="16" t="e">
        <v>#N/A</v>
      </c>
      <c r="U29" s="16" t="e">
        <v>#N/A</v>
      </c>
    </row>
    <row r="30" spans="1:21" x14ac:dyDescent="0.25">
      <c r="A30" s="12" t="s">
        <v>21</v>
      </c>
      <c r="B30" s="12" t="s">
        <v>65</v>
      </c>
      <c r="C30" s="12" t="s">
        <v>23</v>
      </c>
      <c r="D30" s="15">
        <v>46107.339641203704</v>
      </c>
      <c r="E30" s="12" t="s">
        <v>66</v>
      </c>
      <c r="F30" s="12" t="s">
        <v>67</v>
      </c>
      <c r="G30" s="12">
        <v>700</v>
      </c>
      <c r="H30" s="12">
        <v>700</v>
      </c>
      <c r="I30" s="14"/>
      <c r="J30" s="14" t="s">
        <v>61</v>
      </c>
      <c r="K30" s="12" t="s">
        <v>27</v>
      </c>
      <c r="L30" s="15"/>
      <c r="M30" s="12" t="s">
        <v>28</v>
      </c>
      <c r="N30" s="12"/>
      <c r="O30" s="12"/>
      <c r="P30" s="12"/>
      <c r="Q30" s="16">
        <v>960</v>
      </c>
      <c r="R30" s="16">
        <v>0</v>
      </c>
      <c r="S30" s="16"/>
      <c r="T30" s="16" t="e">
        <v>#N/A</v>
      </c>
      <c r="U30" s="16" t="e">
        <v>#N/A</v>
      </c>
    </row>
    <row r="31" spans="1:21" x14ac:dyDescent="0.25">
      <c r="A31" s="12" t="s">
        <v>21</v>
      </c>
      <c r="B31" s="12" t="s">
        <v>68</v>
      </c>
      <c r="C31" s="12" t="s">
        <v>23</v>
      </c>
      <c r="D31" s="15">
        <v>46111.451840277776</v>
      </c>
      <c r="E31" s="12" t="s">
        <v>69</v>
      </c>
      <c r="F31" s="12" t="s">
        <v>70</v>
      </c>
      <c r="G31" s="12">
        <v>300</v>
      </c>
      <c r="H31" s="12">
        <v>80</v>
      </c>
      <c r="I31" s="14"/>
      <c r="J31" s="14" t="s">
        <v>26</v>
      </c>
      <c r="K31" s="12" t="s">
        <v>27</v>
      </c>
      <c r="L31" s="15"/>
      <c r="M31" s="12" t="s">
        <v>28</v>
      </c>
      <c r="N31" s="12"/>
      <c r="O31" s="12"/>
      <c r="P31" s="12"/>
      <c r="Q31" s="16">
        <v>0</v>
      </c>
      <c r="R31" s="16">
        <v>0</v>
      </c>
      <c r="S31" s="16"/>
      <c r="T31" s="16" t="e">
        <v>#N/A</v>
      </c>
      <c r="U31" s="16" t="e">
        <v>#N/A</v>
      </c>
    </row>
    <row r="32" spans="1:21" x14ac:dyDescent="0.25">
      <c r="A32" s="12" t="s">
        <v>21</v>
      </c>
      <c r="B32" s="12" t="s">
        <v>68</v>
      </c>
      <c r="C32" s="12" t="s">
        <v>23</v>
      </c>
      <c r="D32" s="15">
        <v>46111.451840277776</v>
      </c>
      <c r="E32" s="12" t="s">
        <v>69</v>
      </c>
      <c r="F32" s="12" t="s">
        <v>71</v>
      </c>
      <c r="G32" s="12">
        <v>300</v>
      </c>
      <c r="H32" s="12">
        <v>150</v>
      </c>
      <c r="I32" s="14">
        <v>-50</v>
      </c>
      <c r="J32" s="14" t="s">
        <v>26</v>
      </c>
      <c r="K32" s="12" t="s">
        <v>27</v>
      </c>
      <c r="L32" s="15"/>
      <c r="M32" s="12" t="s">
        <v>28</v>
      </c>
      <c r="N32" s="12"/>
      <c r="O32" s="12"/>
      <c r="P32" s="12"/>
      <c r="Q32" s="16">
        <v>0</v>
      </c>
      <c r="R32" s="16">
        <v>0</v>
      </c>
      <c r="S32" s="16"/>
      <c r="T32" s="16" t="e">
        <v>#N/A</v>
      </c>
      <c r="U32" s="16" t="e">
        <v>#N/A</v>
      </c>
    </row>
    <row r="33" spans="1:21" x14ac:dyDescent="0.25">
      <c r="A33" s="12" t="s">
        <v>21</v>
      </c>
      <c r="B33" s="12" t="s">
        <v>72</v>
      </c>
      <c r="C33" s="12" t="s">
        <v>23</v>
      </c>
      <c r="D33" s="13">
        <v>46112.557199074072</v>
      </c>
      <c r="E33" s="12" t="s">
        <v>24</v>
      </c>
      <c r="F33" s="12" t="s">
        <v>73</v>
      </c>
      <c r="G33" s="12">
        <v>5</v>
      </c>
      <c r="H33" s="12">
        <v>5</v>
      </c>
      <c r="I33" s="14"/>
      <c r="J33" s="14" t="s">
        <v>26</v>
      </c>
      <c r="K33" s="12" t="s">
        <v>27</v>
      </c>
      <c r="L33" s="15"/>
      <c r="M33" s="12" t="s">
        <v>28</v>
      </c>
      <c r="N33" s="12"/>
      <c r="O33" s="12"/>
      <c r="P33" s="12"/>
      <c r="Q33" s="16">
        <v>0</v>
      </c>
      <c r="R33" s="16">
        <v>0</v>
      </c>
      <c r="S33" s="16"/>
      <c r="T33" s="16" t="e">
        <v>#N/A</v>
      </c>
      <c r="U33" s="16" t="e">
        <v>#N/A</v>
      </c>
    </row>
    <row r="34" spans="1:21" x14ac:dyDescent="0.25">
      <c r="A34" s="12" t="s">
        <v>21</v>
      </c>
      <c r="B34" s="12" t="s">
        <v>72</v>
      </c>
      <c r="C34" s="12" t="s">
        <v>23</v>
      </c>
      <c r="D34" s="13">
        <v>46112.557199074072</v>
      </c>
      <c r="E34" s="12" t="s">
        <v>24</v>
      </c>
      <c r="F34" s="12" t="s">
        <v>74</v>
      </c>
      <c r="G34" s="12">
        <v>2</v>
      </c>
      <c r="H34" s="12">
        <v>2</v>
      </c>
      <c r="I34" s="14"/>
      <c r="J34" s="14" t="s">
        <v>61</v>
      </c>
      <c r="K34" s="12" t="s">
        <v>27</v>
      </c>
      <c r="L34" s="15"/>
      <c r="M34" s="12" t="s">
        <v>28</v>
      </c>
      <c r="N34" s="12"/>
      <c r="O34" s="12"/>
      <c r="P34" s="12"/>
      <c r="Q34" s="16">
        <v>2</v>
      </c>
      <c r="R34" s="16">
        <v>1</v>
      </c>
      <c r="S34" s="16"/>
      <c r="T34" s="16" t="e">
        <v>#N/A</v>
      </c>
      <c r="U34" s="16" t="e">
        <v>#N/A</v>
      </c>
    </row>
    <row r="35" spans="1:21" x14ac:dyDescent="0.25">
      <c r="A35" s="12" t="s">
        <v>21</v>
      </c>
      <c r="B35" s="12" t="s">
        <v>72</v>
      </c>
      <c r="C35" s="12" t="s">
        <v>23</v>
      </c>
      <c r="D35" s="13">
        <v>46112.557199074072</v>
      </c>
      <c r="E35" s="12" t="s">
        <v>24</v>
      </c>
      <c r="F35" s="12" t="s">
        <v>75</v>
      </c>
      <c r="G35" s="12">
        <v>2</v>
      </c>
      <c r="H35" s="12">
        <v>2</v>
      </c>
      <c r="I35" s="14"/>
      <c r="J35" s="14" t="s">
        <v>61</v>
      </c>
      <c r="K35" s="12" t="s">
        <v>27</v>
      </c>
      <c r="L35" s="15"/>
      <c r="M35" s="12" t="s">
        <v>28</v>
      </c>
      <c r="N35" s="12"/>
      <c r="O35" s="12"/>
      <c r="P35" s="12"/>
      <c r="Q35" s="16">
        <v>2</v>
      </c>
      <c r="R35" s="16">
        <v>0</v>
      </c>
      <c r="S35" s="16"/>
      <c r="T35" s="16" t="e">
        <v>#N/A</v>
      </c>
      <c r="U35" s="16" t="e">
        <v>#N/A</v>
      </c>
    </row>
    <row r="36" spans="1:21" x14ac:dyDescent="0.25">
      <c r="A36" s="12" t="s">
        <v>21</v>
      </c>
      <c r="B36" s="12" t="s">
        <v>72</v>
      </c>
      <c r="C36" s="12" t="s">
        <v>23</v>
      </c>
      <c r="D36" s="15">
        <v>46112.557199074072</v>
      </c>
      <c r="E36" s="12" t="s">
        <v>24</v>
      </c>
      <c r="F36" s="12" t="s">
        <v>76</v>
      </c>
      <c r="G36" s="12">
        <v>1</v>
      </c>
      <c r="H36" s="12">
        <v>1</v>
      </c>
      <c r="I36" s="14"/>
      <c r="J36" s="14" t="s">
        <v>61</v>
      </c>
      <c r="K36" s="12" t="s">
        <v>27</v>
      </c>
      <c r="L36" s="15"/>
      <c r="M36" s="12" t="s">
        <v>28</v>
      </c>
      <c r="N36" s="12"/>
      <c r="O36" s="12"/>
      <c r="P36" s="12"/>
      <c r="Q36" s="16">
        <v>1</v>
      </c>
      <c r="R36" s="16">
        <v>0</v>
      </c>
      <c r="S36" s="16"/>
      <c r="T36" s="16" t="e">
        <v>#N/A</v>
      </c>
      <c r="U36" s="16" t="e">
        <v>#N/A</v>
      </c>
    </row>
    <row r="37" spans="1:21" x14ac:dyDescent="0.25">
      <c r="A37" s="12" t="s">
        <v>21</v>
      </c>
      <c r="B37" s="12" t="s">
        <v>77</v>
      </c>
      <c r="C37" s="12" t="s">
        <v>23</v>
      </c>
      <c r="D37" s="15">
        <v>46112.557824074072</v>
      </c>
      <c r="E37" s="12" t="s">
        <v>24</v>
      </c>
      <c r="F37" s="12" t="s">
        <v>78</v>
      </c>
      <c r="G37" s="12">
        <v>107</v>
      </c>
      <c r="H37" s="12">
        <v>107</v>
      </c>
      <c r="I37" s="14"/>
      <c r="J37" s="14" t="s">
        <v>26</v>
      </c>
      <c r="K37" s="12" t="s">
        <v>27</v>
      </c>
      <c r="L37" s="15"/>
      <c r="M37" s="12" t="s">
        <v>28</v>
      </c>
      <c r="N37" s="12"/>
      <c r="O37" s="12"/>
      <c r="P37" s="12"/>
      <c r="Q37" s="16">
        <v>0</v>
      </c>
      <c r="R37" s="16">
        <v>-7</v>
      </c>
      <c r="S37" s="16"/>
      <c r="T37" s="16" t="e">
        <v>#N/A</v>
      </c>
      <c r="U37" s="16" t="e">
        <v>#N/A</v>
      </c>
    </row>
    <row r="38" spans="1:21" x14ac:dyDescent="0.25">
      <c r="A38" s="12" t="s">
        <v>21</v>
      </c>
      <c r="B38" s="12" t="s">
        <v>79</v>
      </c>
      <c r="C38" s="12" t="s">
        <v>23</v>
      </c>
      <c r="D38" s="15">
        <v>46112.559282407405</v>
      </c>
      <c r="E38" s="12" t="s">
        <v>24</v>
      </c>
      <c r="F38" s="12" t="s">
        <v>80</v>
      </c>
      <c r="G38" s="12">
        <v>50</v>
      </c>
      <c r="H38" s="12">
        <v>50</v>
      </c>
      <c r="I38" s="14"/>
      <c r="J38" s="14" t="s">
        <v>26</v>
      </c>
      <c r="K38" s="12" t="s">
        <v>27</v>
      </c>
      <c r="L38" s="15"/>
      <c r="M38" s="12" t="s">
        <v>28</v>
      </c>
      <c r="N38" s="12"/>
      <c r="O38" s="12"/>
      <c r="P38" s="12"/>
      <c r="Q38" s="16">
        <v>0</v>
      </c>
      <c r="R38" s="16">
        <v>0</v>
      </c>
      <c r="S38" s="16"/>
      <c r="T38" s="16" t="e">
        <v>#N/A</v>
      </c>
      <c r="U38" s="16" t="e">
        <v>#N/A</v>
      </c>
    </row>
    <row r="39" spans="1:21" x14ac:dyDescent="0.25">
      <c r="A39" s="12" t="s">
        <v>21</v>
      </c>
      <c r="B39" s="12" t="s">
        <v>79</v>
      </c>
      <c r="C39" s="12" t="s">
        <v>23</v>
      </c>
      <c r="D39" s="15">
        <v>46112.559282407405</v>
      </c>
      <c r="E39" s="12" t="s">
        <v>24</v>
      </c>
      <c r="F39" s="12" t="s">
        <v>81</v>
      </c>
      <c r="G39" s="12">
        <v>12</v>
      </c>
      <c r="H39" s="12">
        <v>12</v>
      </c>
      <c r="I39" s="14"/>
      <c r="J39" s="14" t="s">
        <v>26</v>
      </c>
      <c r="K39" s="12" t="s">
        <v>27</v>
      </c>
      <c r="L39" s="15"/>
      <c r="M39" s="12" t="s">
        <v>28</v>
      </c>
      <c r="N39" s="12"/>
      <c r="O39" s="12"/>
      <c r="P39" s="12"/>
      <c r="Q39" s="16">
        <v>0</v>
      </c>
      <c r="R39" s="16">
        <v>0</v>
      </c>
      <c r="S39" s="16"/>
      <c r="T39" s="16" t="e">
        <v>#N/A</v>
      </c>
      <c r="U39" s="16" t="e">
        <v>#N/A</v>
      </c>
    </row>
    <row r="40" spans="1:21" x14ac:dyDescent="0.25">
      <c r="A40" s="12" t="s">
        <v>21</v>
      </c>
      <c r="B40" s="12" t="s">
        <v>79</v>
      </c>
      <c r="C40" s="12" t="s">
        <v>23</v>
      </c>
      <c r="D40" s="15">
        <v>46112.559282407405</v>
      </c>
      <c r="E40" s="12" t="s">
        <v>24</v>
      </c>
      <c r="F40" s="12" t="s">
        <v>82</v>
      </c>
      <c r="G40" s="12">
        <v>3</v>
      </c>
      <c r="H40" s="12">
        <v>3</v>
      </c>
      <c r="I40" s="14"/>
      <c r="J40" s="14" t="s">
        <v>61</v>
      </c>
      <c r="K40" s="12" t="s">
        <v>27</v>
      </c>
      <c r="L40" s="15"/>
      <c r="M40" s="12" t="s">
        <v>28</v>
      </c>
      <c r="N40" s="12"/>
      <c r="O40" s="12"/>
      <c r="P40" s="12"/>
      <c r="Q40" s="16">
        <v>3</v>
      </c>
      <c r="R40" s="16">
        <v>0</v>
      </c>
      <c r="S40" s="16"/>
      <c r="T40" s="16" t="e">
        <v>#N/A</v>
      </c>
      <c r="U40" s="16" t="e">
        <v>#N/A</v>
      </c>
    </row>
    <row r="41" spans="1:21" x14ac:dyDescent="0.25">
      <c r="A41" s="12" t="s">
        <v>21</v>
      </c>
      <c r="B41" s="12" t="s">
        <v>79</v>
      </c>
      <c r="C41" s="12" t="s">
        <v>23</v>
      </c>
      <c r="D41" s="13">
        <v>46112.559282407405</v>
      </c>
      <c r="E41" s="12" t="s">
        <v>24</v>
      </c>
      <c r="F41" s="12" t="s">
        <v>83</v>
      </c>
      <c r="G41" s="12">
        <v>8</v>
      </c>
      <c r="H41" s="12">
        <v>8</v>
      </c>
      <c r="I41" s="14"/>
      <c r="J41" s="14" t="s">
        <v>61</v>
      </c>
      <c r="K41" s="12" t="s">
        <v>27</v>
      </c>
      <c r="L41" s="15"/>
      <c r="M41" s="12" t="s">
        <v>28</v>
      </c>
      <c r="N41" s="12"/>
      <c r="O41" s="12"/>
      <c r="P41" s="12"/>
      <c r="Q41" s="16">
        <v>8</v>
      </c>
      <c r="R41" s="16">
        <v>0</v>
      </c>
      <c r="S41" s="16"/>
      <c r="T41" s="16" t="e">
        <v>#N/A</v>
      </c>
      <c r="U41" s="16" t="e">
        <v>#N/A</v>
      </c>
    </row>
    <row r="42" spans="1:21" x14ac:dyDescent="0.25">
      <c r="A42" s="12" t="s">
        <v>21</v>
      </c>
      <c r="B42" s="12" t="s">
        <v>79</v>
      </c>
      <c r="C42" s="12" t="s">
        <v>23</v>
      </c>
      <c r="D42" s="15">
        <v>46112.559282407405</v>
      </c>
      <c r="E42" s="12" t="s">
        <v>24</v>
      </c>
      <c r="F42" s="12" t="s">
        <v>84</v>
      </c>
      <c r="G42" s="12">
        <v>4</v>
      </c>
      <c r="H42" s="12">
        <v>4</v>
      </c>
      <c r="I42" s="14"/>
      <c r="J42" s="14" t="s">
        <v>61</v>
      </c>
      <c r="K42" s="12" t="s">
        <v>27</v>
      </c>
      <c r="L42" s="15"/>
      <c r="M42" s="12" t="s">
        <v>28</v>
      </c>
      <c r="N42" s="12"/>
      <c r="O42" s="12"/>
      <c r="P42" s="12"/>
      <c r="Q42" s="16">
        <v>4</v>
      </c>
      <c r="R42" s="16">
        <v>0</v>
      </c>
      <c r="S42" s="16"/>
      <c r="T42" s="16" t="e">
        <v>#N/A</v>
      </c>
      <c r="U42" s="16" t="e">
        <v>#N/A</v>
      </c>
    </row>
    <row r="43" spans="1:21" x14ac:dyDescent="0.25">
      <c r="A43" s="12" t="s">
        <v>21</v>
      </c>
      <c r="B43" s="12" t="s">
        <v>85</v>
      </c>
      <c r="C43" s="12" t="s">
        <v>23</v>
      </c>
      <c r="D43" s="15">
        <v>46113.311643518522</v>
      </c>
      <c r="E43" s="12" t="s">
        <v>24</v>
      </c>
      <c r="F43" s="12" t="s">
        <v>40</v>
      </c>
      <c r="G43" s="12">
        <v>6</v>
      </c>
      <c r="H43" s="12">
        <v>6</v>
      </c>
      <c r="I43" s="14"/>
      <c r="J43" s="14" t="s">
        <v>26</v>
      </c>
      <c r="K43" s="12" t="s">
        <v>27</v>
      </c>
      <c r="L43" s="15"/>
      <c r="M43" s="12" t="s">
        <v>28</v>
      </c>
      <c r="N43" s="12"/>
      <c r="O43" s="12"/>
      <c r="P43" s="12"/>
      <c r="Q43" s="16">
        <v>0</v>
      </c>
      <c r="R43" s="16">
        <v>934</v>
      </c>
      <c r="S43" s="16"/>
      <c r="T43" s="16" t="e">
        <v>#N/A</v>
      </c>
      <c r="U43" s="16" t="e">
        <v>#N/A</v>
      </c>
    </row>
    <row r="44" spans="1:21" x14ac:dyDescent="0.25">
      <c r="A44" s="12" t="s">
        <v>21</v>
      </c>
      <c r="B44" s="12" t="s">
        <v>85</v>
      </c>
      <c r="C44" s="12" t="s">
        <v>23</v>
      </c>
      <c r="D44" s="13">
        <v>46113.311643518522</v>
      </c>
      <c r="E44" s="12" t="s">
        <v>24</v>
      </c>
      <c r="F44" s="12" t="s">
        <v>86</v>
      </c>
      <c r="G44" s="12">
        <v>34</v>
      </c>
      <c r="H44" s="12">
        <v>34</v>
      </c>
      <c r="I44" s="14"/>
      <c r="J44" s="14" t="s">
        <v>26</v>
      </c>
      <c r="K44" s="12" t="s">
        <v>27</v>
      </c>
      <c r="L44" s="15"/>
      <c r="M44" s="12" t="s">
        <v>28</v>
      </c>
      <c r="N44" s="12"/>
      <c r="O44" s="12"/>
      <c r="P44" s="12"/>
      <c r="Q44" s="16">
        <v>0</v>
      </c>
      <c r="R44" s="16">
        <v>0</v>
      </c>
      <c r="S44" s="16">
        <v>4</v>
      </c>
      <c r="T44" s="16" t="e">
        <v>#N/A</v>
      </c>
      <c r="U44" s="16" t="e">
        <v>#N/A</v>
      </c>
    </row>
    <row r="45" spans="1:21" x14ac:dyDescent="0.25">
      <c r="A45" s="12" t="s">
        <v>21</v>
      </c>
      <c r="B45" s="12" t="s">
        <v>85</v>
      </c>
      <c r="C45" s="12" t="s">
        <v>23</v>
      </c>
      <c r="D45" s="15">
        <v>46113.311643518522</v>
      </c>
      <c r="E45" s="12" t="s">
        <v>24</v>
      </c>
      <c r="F45" s="12" t="s">
        <v>87</v>
      </c>
      <c r="G45" s="12">
        <v>42</v>
      </c>
      <c r="H45" s="12">
        <v>42</v>
      </c>
      <c r="I45" s="14"/>
      <c r="J45" s="14" t="s">
        <v>26</v>
      </c>
      <c r="K45" s="12" t="s">
        <v>27</v>
      </c>
      <c r="L45" s="15"/>
      <c r="M45" s="12" t="s">
        <v>28</v>
      </c>
      <c r="N45" s="12"/>
      <c r="O45" s="12"/>
      <c r="P45" s="12"/>
      <c r="Q45" s="16">
        <v>0</v>
      </c>
      <c r="R45" s="16">
        <v>165</v>
      </c>
      <c r="S45" s="16">
        <v>40</v>
      </c>
      <c r="T45" s="16" t="e">
        <v>#N/A</v>
      </c>
      <c r="U45" s="16" t="e">
        <v>#N/A</v>
      </c>
    </row>
    <row r="46" spans="1:21" x14ac:dyDescent="0.25">
      <c r="A46" s="12" t="s">
        <v>21</v>
      </c>
      <c r="B46" s="12" t="s">
        <v>85</v>
      </c>
      <c r="C46" s="12" t="s">
        <v>23</v>
      </c>
      <c r="D46" s="15">
        <v>46113.311643518522</v>
      </c>
      <c r="E46" s="12" t="s">
        <v>24</v>
      </c>
      <c r="F46" s="12" t="s">
        <v>88</v>
      </c>
      <c r="G46" s="12">
        <v>36</v>
      </c>
      <c r="H46" s="12">
        <v>36</v>
      </c>
      <c r="I46" s="14"/>
      <c r="J46" s="14" t="s">
        <v>26</v>
      </c>
      <c r="K46" s="12" t="s">
        <v>27</v>
      </c>
      <c r="L46" s="15"/>
      <c r="M46" s="12" t="s">
        <v>28</v>
      </c>
      <c r="N46" s="12"/>
      <c r="O46" s="12"/>
      <c r="P46" s="12"/>
      <c r="Q46" s="16">
        <v>0</v>
      </c>
      <c r="R46" s="16">
        <v>0</v>
      </c>
      <c r="S46" s="16">
        <v>26</v>
      </c>
      <c r="T46" s="16" t="e">
        <v>#N/A</v>
      </c>
      <c r="U46" s="16" t="e">
        <v>#N/A</v>
      </c>
    </row>
    <row r="47" spans="1:21" x14ac:dyDescent="0.25">
      <c r="A47" s="12" t="s">
        <v>21</v>
      </c>
      <c r="B47" s="12" t="s">
        <v>85</v>
      </c>
      <c r="C47" s="12" t="s">
        <v>23</v>
      </c>
      <c r="D47" s="15">
        <v>46113.311643518522</v>
      </c>
      <c r="E47" s="12" t="s">
        <v>24</v>
      </c>
      <c r="F47" s="12" t="s">
        <v>89</v>
      </c>
      <c r="G47" s="12">
        <v>34</v>
      </c>
      <c r="H47" s="12">
        <v>34</v>
      </c>
      <c r="I47" s="14"/>
      <c r="J47" s="14" t="s">
        <v>26</v>
      </c>
      <c r="K47" s="12" t="s">
        <v>27</v>
      </c>
      <c r="L47" s="15"/>
      <c r="M47" s="12" t="s">
        <v>28</v>
      </c>
      <c r="N47" s="12"/>
      <c r="O47" s="12"/>
      <c r="P47" s="12"/>
      <c r="Q47" s="16">
        <v>0</v>
      </c>
      <c r="R47" s="16">
        <v>0</v>
      </c>
      <c r="S47" s="16"/>
      <c r="T47" s="16" t="e">
        <v>#N/A</v>
      </c>
      <c r="U47" s="16" t="e">
        <v>#N/A</v>
      </c>
    </row>
    <row r="48" spans="1:21" x14ac:dyDescent="0.25">
      <c r="A48" s="12" t="s">
        <v>21</v>
      </c>
      <c r="B48" s="12" t="s">
        <v>85</v>
      </c>
      <c r="C48" s="12" t="s">
        <v>23</v>
      </c>
      <c r="D48" s="13">
        <v>46113.311643518522</v>
      </c>
      <c r="E48" s="12" t="s">
        <v>24</v>
      </c>
      <c r="F48" s="12" t="s">
        <v>90</v>
      </c>
      <c r="G48" s="12">
        <v>28</v>
      </c>
      <c r="H48" s="12">
        <v>28</v>
      </c>
      <c r="I48" s="14"/>
      <c r="J48" s="14" t="s">
        <v>26</v>
      </c>
      <c r="K48" s="12" t="s">
        <v>27</v>
      </c>
      <c r="L48" s="15"/>
      <c r="M48" s="12" t="s">
        <v>28</v>
      </c>
      <c r="N48" s="12"/>
      <c r="O48" s="12"/>
      <c r="P48" s="12"/>
      <c r="Q48" s="16">
        <v>0</v>
      </c>
      <c r="R48" s="16">
        <v>0</v>
      </c>
      <c r="S48" s="16">
        <v>23</v>
      </c>
      <c r="T48" s="16" t="e">
        <v>#N/A</v>
      </c>
      <c r="U48" s="16" t="e">
        <v>#N/A</v>
      </c>
    </row>
    <row r="49" spans="1:21" x14ac:dyDescent="0.25">
      <c r="A49" s="12" t="s">
        <v>21</v>
      </c>
      <c r="B49" s="12" t="s">
        <v>85</v>
      </c>
      <c r="C49" s="12" t="s">
        <v>23</v>
      </c>
      <c r="D49" s="15">
        <v>46113.311643518522</v>
      </c>
      <c r="E49" s="12" t="s">
        <v>24</v>
      </c>
      <c r="F49" s="12" t="s">
        <v>91</v>
      </c>
      <c r="G49" s="12">
        <v>34</v>
      </c>
      <c r="H49" s="12">
        <v>34</v>
      </c>
      <c r="I49" s="14"/>
      <c r="J49" s="14" t="s">
        <v>26</v>
      </c>
      <c r="K49" s="12" t="s">
        <v>27</v>
      </c>
      <c r="L49" s="15"/>
      <c r="M49" s="12" t="s">
        <v>28</v>
      </c>
      <c r="N49" s="12"/>
      <c r="O49" s="12"/>
      <c r="P49" s="12"/>
      <c r="Q49" s="16">
        <v>0</v>
      </c>
      <c r="R49" s="16">
        <v>0</v>
      </c>
      <c r="S49" s="16">
        <v>2</v>
      </c>
      <c r="T49" s="16" t="e">
        <v>#N/A</v>
      </c>
      <c r="U49" s="16" t="e">
        <v>#N/A</v>
      </c>
    </row>
    <row r="50" spans="1:21" x14ac:dyDescent="0.25">
      <c r="A50" s="12" t="s">
        <v>21</v>
      </c>
      <c r="B50" s="12" t="s">
        <v>85</v>
      </c>
      <c r="C50" s="12" t="s">
        <v>23</v>
      </c>
      <c r="D50" s="15">
        <v>46113.311643518522</v>
      </c>
      <c r="E50" s="12" t="s">
        <v>24</v>
      </c>
      <c r="F50" s="12" t="s">
        <v>92</v>
      </c>
      <c r="G50" s="12">
        <v>34</v>
      </c>
      <c r="H50" s="12">
        <v>34</v>
      </c>
      <c r="I50" s="14"/>
      <c r="J50" s="14" t="s">
        <v>26</v>
      </c>
      <c r="K50" s="12" t="s">
        <v>27</v>
      </c>
      <c r="L50" s="15"/>
      <c r="M50" s="12" t="s">
        <v>28</v>
      </c>
      <c r="N50" s="12"/>
      <c r="O50" s="12"/>
      <c r="P50" s="12"/>
      <c r="Q50" s="16">
        <v>0</v>
      </c>
      <c r="R50" s="16">
        <v>0</v>
      </c>
      <c r="S50" s="16">
        <v>6</v>
      </c>
      <c r="T50" s="16" t="e">
        <v>#N/A</v>
      </c>
      <c r="U50" s="16" t="e">
        <v>#N/A</v>
      </c>
    </row>
    <row r="51" spans="1:21" x14ac:dyDescent="0.25">
      <c r="A51" s="12" t="s">
        <v>21</v>
      </c>
      <c r="B51" s="12" t="s">
        <v>85</v>
      </c>
      <c r="C51" s="12" t="s">
        <v>23</v>
      </c>
      <c r="D51" s="15">
        <v>46113.311643518522</v>
      </c>
      <c r="E51" s="12" t="s">
        <v>24</v>
      </c>
      <c r="F51" s="12" t="s">
        <v>93</v>
      </c>
      <c r="G51" s="12">
        <v>100</v>
      </c>
      <c r="H51" s="12">
        <v>100</v>
      </c>
      <c r="I51" s="14"/>
      <c r="J51" s="14" t="s">
        <v>26</v>
      </c>
      <c r="K51" s="12" t="s">
        <v>27</v>
      </c>
      <c r="L51" s="15"/>
      <c r="M51" s="12" t="s">
        <v>28</v>
      </c>
      <c r="N51" s="12"/>
      <c r="O51" s="12"/>
      <c r="P51" s="12"/>
      <c r="Q51" s="16">
        <v>0</v>
      </c>
      <c r="R51" s="16">
        <v>12</v>
      </c>
      <c r="S51" s="16"/>
      <c r="T51" s="16" t="e">
        <v>#N/A</v>
      </c>
      <c r="U51" s="16" t="e">
        <v>#N/A</v>
      </c>
    </row>
    <row r="52" spans="1:21" x14ac:dyDescent="0.25">
      <c r="A52" s="12" t="s">
        <v>21</v>
      </c>
      <c r="B52" s="12" t="s">
        <v>85</v>
      </c>
      <c r="C52" s="12" t="s">
        <v>23</v>
      </c>
      <c r="D52" s="15">
        <v>46113.311643518522</v>
      </c>
      <c r="E52" s="12" t="s">
        <v>24</v>
      </c>
      <c r="F52" s="12" t="s">
        <v>94</v>
      </c>
      <c r="G52" s="12">
        <v>170</v>
      </c>
      <c r="H52" s="12">
        <v>170</v>
      </c>
      <c r="I52" s="14"/>
      <c r="J52" s="14" t="s">
        <v>26</v>
      </c>
      <c r="K52" s="12" t="s">
        <v>27</v>
      </c>
      <c r="L52" s="15"/>
      <c r="M52" s="12" t="s">
        <v>28</v>
      </c>
      <c r="N52" s="12"/>
      <c r="O52" s="12"/>
      <c r="P52" s="12"/>
      <c r="Q52" s="16">
        <v>0</v>
      </c>
      <c r="R52" s="16">
        <v>100</v>
      </c>
      <c r="S52" s="16">
        <v>53</v>
      </c>
      <c r="T52" s="16" t="e">
        <v>#N/A</v>
      </c>
      <c r="U52" s="16" t="e">
        <v>#N/A</v>
      </c>
    </row>
    <row r="53" spans="1:21" x14ac:dyDescent="0.25">
      <c r="A53" s="12" t="s">
        <v>21</v>
      </c>
      <c r="B53" s="12" t="s">
        <v>85</v>
      </c>
      <c r="C53" s="12" t="s">
        <v>23</v>
      </c>
      <c r="D53" s="13">
        <v>46113.311643518522</v>
      </c>
      <c r="E53" s="12" t="s">
        <v>24</v>
      </c>
      <c r="F53" s="12" t="s">
        <v>95</v>
      </c>
      <c r="G53" s="12">
        <v>15</v>
      </c>
      <c r="H53" s="12">
        <v>15</v>
      </c>
      <c r="I53" s="14"/>
      <c r="J53" s="14" t="s">
        <v>26</v>
      </c>
      <c r="K53" s="12" t="s">
        <v>27</v>
      </c>
      <c r="L53" s="15"/>
      <c r="M53" s="12" t="s">
        <v>28</v>
      </c>
      <c r="N53" s="12"/>
      <c r="O53" s="12"/>
      <c r="P53" s="12"/>
      <c r="Q53" s="16">
        <v>0</v>
      </c>
      <c r="R53" s="16">
        <v>553</v>
      </c>
      <c r="S53" s="16"/>
      <c r="T53" s="16" t="e">
        <v>#N/A</v>
      </c>
      <c r="U53" s="16" t="e">
        <v>#N/A</v>
      </c>
    </row>
    <row r="54" spans="1:21" x14ac:dyDescent="0.25">
      <c r="A54" s="12" t="s">
        <v>21</v>
      </c>
      <c r="B54" s="12" t="s">
        <v>85</v>
      </c>
      <c r="C54" s="12" t="s">
        <v>23</v>
      </c>
      <c r="D54" s="15">
        <v>46113.311643518522</v>
      </c>
      <c r="E54" s="12" t="s">
        <v>24</v>
      </c>
      <c r="F54" s="12" t="s">
        <v>96</v>
      </c>
      <c r="G54" s="12">
        <v>43</v>
      </c>
      <c r="H54" s="12">
        <v>43</v>
      </c>
      <c r="I54" s="14"/>
      <c r="J54" s="14" t="s">
        <v>61</v>
      </c>
      <c r="K54" s="12" t="s">
        <v>27</v>
      </c>
      <c r="L54" s="15"/>
      <c r="M54" s="12" t="s">
        <v>28</v>
      </c>
      <c r="N54" s="12"/>
      <c r="O54" s="12"/>
      <c r="P54" s="12"/>
      <c r="Q54" s="16">
        <v>43</v>
      </c>
      <c r="R54" s="16">
        <v>8</v>
      </c>
      <c r="S54" s="16"/>
      <c r="T54" s="16" t="e">
        <v>#N/A</v>
      </c>
      <c r="U54" s="16" t="e">
        <v>#N/A</v>
      </c>
    </row>
    <row r="55" spans="1:21" x14ac:dyDescent="0.25">
      <c r="A55" s="12" t="s">
        <v>21</v>
      </c>
      <c r="B55" s="12" t="s">
        <v>85</v>
      </c>
      <c r="C55" s="12" t="s">
        <v>23</v>
      </c>
      <c r="D55" s="13">
        <v>46113.311643518522</v>
      </c>
      <c r="E55" s="12" t="s">
        <v>24</v>
      </c>
      <c r="F55" s="12" t="s">
        <v>97</v>
      </c>
      <c r="G55" s="12">
        <v>21</v>
      </c>
      <c r="H55" s="12">
        <v>21</v>
      </c>
      <c r="I55" s="14"/>
      <c r="J55" s="14" t="s">
        <v>26</v>
      </c>
      <c r="K55" s="12" t="s">
        <v>27</v>
      </c>
      <c r="L55" s="15"/>
      <c r="M55" s="12" t="s">
        <v>28</v>
      </c>
      <c r="N55" s="12"/>
      <c r="O55" s="12"/>
      <c r="P55" s="12"/>
      <c r="Q55" s="16">
        <v>0</v>
      </c>
      <c r="R55" s="16">
        <v>0</v>
      </c>
      <c r="S55" s="16">
        <v>8</v>
      </c>
      <c r="T55" s="16" t="e">
        <v>#N/A</v>
      </c>
      <c r="U55" s="16" t="e">
        <v>#N/A</v>
      </c>
    </row>
    <row r="56" spans="1:21" x14ac:dyDescent="0.25">
      <c r="A56" s="12" t="s">
        <v>21</v>
      </c>
      <c r="B56" s="12" t="s">
        <v>85</v>
      </c>
      <c r="C56" s="12" t="s">
        <v>23</v>
      </c>
      <c r="D56" s="15">
        <v>46113.311643518522</v>
      </c>
      <c r="E56" s="12" t="s">
        <v>24</v>
      </c>
      <c r="F56" s="12" t="s">
        <v>98</v>
      </c>
      <c r="G56" s="12">
        <v>33</v>
      </c>
      <c r="H56" s="12">
        <v>33</v>
      </c>
      <c r="I56" s="14"/>
      <c r="J56" s="14" t="s">
        <v>26</v>
      </c>
      <c r="K56" s="12" t="s">
        <v>27</v>
      </c>
      <c r="L56" s="15"/>
      <c r="M56" s="12" t="s">
        <v>28</v>
      </c>
      <c r="N56" s="12"/>
      <c r="O56" s="12"/>
      <c r="P56" s="12"/>
      <c r="Q56" s="16">
        <v>0</v>
      </c>
      <c r="R56" s="16">
        <v>0</v>
      </c>
      <c r="S56" s="16">
        <v>5</v>
      </c>
      <c r="T56" s="16" t="e">
        <v>#N/A</v>
      </c>
      <c r="U56" s="16" t="e">
        <v>#N/A</v>
      </c>
    </row>
    <row r="57" spans="1:21" x14ac:dyDescent="0.25">
      <c r="A57" s="12" t="s">
        <v>21</v>
      </c>
      <c r="B57" s="12" t="s">
        <v>85</v>
      </c>
      <c r="C57" s="12" t="s">
        <v>23</v>
      </c>
      <c r="D57" s="15">
        <v>46113.311643518522</v>
      </c>
      <c r="E57" s="12" t="s">
        <v>24</v>
      </c>
      <c r="F57" s="12" t="s">
        <v>99</v>
      </c>
      <c r="G57" s="12">
        <v>17</v>
      </c>
      <c r="H57" s="12">
        <v>17</v>
      </c>
      <c r="I57" s="14"/>
      <c r="J57" s="14" t="s">
        <v>61</v>
      </c>
      <c r="K57" s="12" t="s">
        <v>27</v>
      </c>
      <c r="L57" s="15"/>
      <c r="M57" s="12" t="s">
        <v>28</v>
      </c>
      <c r="N57" s="12"/>
      <c r="O57" s="12"/>
      <c r="P57" s="12"/>
      <c r="Q57" s="16">
        <v>17</v>
      </c>
      <c r="R57" s="16">
        <v>0</v>
      </c>
      <c r="S57" s="16"/>
      <c r="T57" s="16" t="e">
        <v>#N/A</v>
      </c>
      <c r="U57" s="16" t="e">
        <v>#N/A</v>
      </c>
    </row>
    <row r="58" spans="1:21" x14ac:dyDescent="0.25">
      <c r="A58" s="12" t="s">
        <v>21</v>
      </c>
      <c r="B58" s="12" t="s">
        <v>85</v>
      </c>
      <c r="C58" s="12" t="s">
        <v>23</v>
      </c>
      <c r="D58" s="15">
        <v>46113.311643518522</v>
      </c>
      <c r="E58" s="12" t="s">
        <v>24</v>
      </c>
      <c r="F58" s="12" t="s">
        <v>100</v>
      </c>
      <c r="G58" s="12">
        <v>17</v>
      </c>
      <c r="H58" s="12">
        <v>17</v>
      </c>
      <c r="I58" s="14"/>
      <c r="J58" s="14" t="s">
        <v>61</v>
      </c>
      <c r="K58" s="12" t="s">
        <v>27</v>
      </c>
      <c r="L58" s="15"/>
      <c r="M58" s="12" t="s">
        <v>28</v>
      </c>
      <c r="N58" s="12"/>
      <c r="O58" s="12"/>
      <c r="P58" s="12"/>
      <c r="Q58" s="16">
        <v>17</v>
      </c>
      <c r="R58" s="16">
        <v>0</v>
      </c>
      <c r="S58" s="16"/>
      <c r="T58" s="16" t="e">
        <v>#N/A</v>
      </c>
      <c r="U58" s="16" t="e">
        <v>#N/A</v>
      </c>
    </row>
    <row r="59" spans="1:21" x14ac:dyDescent="0.25">
      <c r="A59" s="12" t="s">
        <v>21</v>
      </c>
      <c r="B59" s="12" t="s">
        <v>85</v>
      </c>
      <c r="C59" s="12" t="s">
        <v>23</v>
      </c>
      <c r="D59" s="13">
        <v>46113.311643518522</v>
      </c>
      <c r="E59" s="12" t="s">
        <v>24</v>
      </c>
      <c r="F59" s="12" t="s">
        <v>101</v>
      </c>
      <c r="G59" s="12">
        <v>17</v>
      </c>
      <c r="H59" s="12">
        <v>17</v>
      </c>
      <c r="I59" s="14"/>
      <c r="J59" s="14" t="s">
        <v>61</v>
      </c>
      <c r="K59" s="12" t="s">
        <v>27</v>
      </c>
      <c r="L59" s="15"/>
      <c r="M59" s="12" t="s">
        <v>28</v>
      </c>
      <c r="N59" s="12"/>
      <c r="O59" s="12"/>
      <c r="P59" s="12"/>
      <c r="Q59" s="16">
        <v>17</v>
      </c>
      <c r="R59" s="16">
        <v>2</v>
      </c>
      <c r="S59" s="16"/>
      <c r="T59" s="16" t="e">
        <v>#N/A</v>
      </c>
      <c r="U59" s="16" t="e">
        <v>#N/A</v>
      </c>
    </row>
    <row r="60" spans="1:21" x14ac:dyDescent="0.25">
      <c r="A60" s="12" t="s">
        <v>21</v>
      </c>
      <c r="B60" s="12" t="s">
        <v>85</v>
      </c>
      <c r="C60" s="12" t="s">
        <v>23</v>
      </c>
      <c r="D60" s="13">
        <v>46113.311643518522</v>
      </c>
      <c r="E60" s="12" t="s">
        <v>24</v>
      </c>
      <c r="F60" s="12" t="s">
        <v>102</v>
      </c>
      <c r="G60" s="12">
        <v>17</v>
      </c>
      <c r="H60" s="12">
        <v>17</v>
      </c>
      <c r="I60" s="14"/>
      <c r="J60" s="14" t="s">
        <v>26</v>
      </c>
      <c r="K60" s="12" t="s">
        <v>27</v>
      </c>
      <c r="L60" s="15"/>
      <c r="M60" s="12" t="s">
        <v>28</v>
      </c>
      <c r="N60" s="12"/>
      <c r="O60" s="12"/>
      <c r="P60" s="12"/>
      <c r="Q60" s="16">
        <v>0</v>
      </c>
      <c r="R60" s="16">
        <v>0</v>
      </c>
      <c r="S60" s="16">
        <v>4</v>
      </c>
      <c r="T60" s="16" t="e">
        <v>#N/A</v>
      </c>
      <c r="U60" s="16" t="e">
        <v>#N/A</v>
      </c>
    </row>
    <row r="61" spans="1:21" x14ac:dyDescent="0.25">
      <c r="A61" s="12" t="s">
        <v>21</v>
      </c>
      <c r="B61" s="12" t="s">
        <v>85</v>
      </c>
      <c r="C61" s="12" t="s">
        <v>23</v>
      </c>
      <c r="D61" s="13">
        <v>46113.311643518522</v>
      </c>
      <c r="E61" s="12" t="s">
        <v>24</v>
      </c>
      <c r="F61" s="12" t="s">
        <v>103</v>
      </c>
      <c r="G61" s="12">
        <v>15</v>
      </c>
      <c r="H61" s="12">
        <v>15</v>
      </c>
      <c r="I61" s="14"/>
      <c r="J61" s="14" t="s">
        <v>26</v>
      </c>
      <c r="K61" s="12" t="s">
        <v>27</v>
      </c>
      <c r="L61" s="15"/>
      <c r="M61" s="12" t="s">
        <v>28</v>
      </c>
      <c r="N61" s="12"/>
      <c r="O61" s="12"/>
      <c r="P61" s="12"/>
      <c r="Q61" s="16">
        <v>0</v>
      </c>
      <c r="R61" s="16">
        <v>100</v>
      </c>
      <c r="S61" s="16"/>
      <c r="T61" s="16" t="e">
        <v>#N/A</v>
      </c>
      <c r="U61" s="16" t="e">
        <v>#N/A</v>
      </c>
    </row>
    <row r="62" spans="1:21" x14ac:dyDescent="0.25">
      <c r="A62" s="12" t="s">
        <v>21</v>
      </c>
      <c r="B62" s="12" t="s">
        <v>85</v>
      </c>
      <c r="C62" s="12" t="s">
        <v>23</v>
      </c>
      <c r="D62" s="13">
        <v>46113.311643518522</v>
      </c>
      <c r="E62" s="12" t="s">
        <v>24</v>
      </c>
      <c r="F62" s="12" t="s">
        <v>104</v>
      </c>
      <c r="G62" s="12">
        <v>1</v>
      </c>
      <c r="H62" s="12">
        <v>1</v>
      </c>
      <c r="I62" s="14"/>
      <c r="J62" s="14" t="s">
        <v>61</v>
      </c>
      <c r="K62" s="12" t="s">
        <v>27</v>
      </c>
      <c r="L62" s="15"/>
      <c r="M62" s="12" t="s">
        <v>28</v>
      </c>
      <c r="N62" s="12"/>
      <c r="O62" s="12"/>
      <c r="P62" s="12"/>
      <c r="Q62" s="16">
        <v>1</v>
      </c>
      <c r="R62" s="16">
        <v>0</v>
      </c>
      <c r="S62" s="16"/>
      <c r="T62" s="16" t="e">
        <v>#N/A</v>
      </c>
      <c r="U62" s="16" t="e">
        <v>#N/A</v>
      </c>
    </row>
    <row r="63" spans="1:21" x14ac:dyDescent="0.25">
      <c r="A63" s="12" t="s">
        <v>21</v>
      </c>
      <c r="B63" s="12" t="s">
        <v>85</v>
      </c>
      <c r="C63" s="12" t="s">
        <v>23</v>
      </c>
      <c r="D63" s="13">
        <v>46113.311643518522</v>
      </c>
      <c r="E63" s="12" t="s">
        <v>24</v>
      </c>
      <c r="F63" s="12" t="s">
        <v>105</v>
      </c>
      <c r="G63" s="12">
        <v>2</v>
      </c>
      <c r="H63" s="12">
        <v>2</v>
      </c>
      <c r="I63" s="14"/>
      <c r="J63" s="14" t="s">
        <v>61</v>
      </c>
      <c r="K63" s="12" t="s">
        <v>27</v>
      </c>
      <c r="L63" s="15"/>
      <c r="M63" s="12" t="s">
        <v>28</v>
      </c>
      <c r="N63" s="12"/>
      <c r="O63" s="12"/>
      <c r="P63" s="12"/>
      <c r="Q63" s="16">
        <v>2</v>
      </c>
      <c r="R63" s="16">
        <v>0</v>
      </c>
      <c r="S63" s="16"/>
      <c r="T63" s="16" t="e">
        <v>#N/A</v>
      </c>
      <c r="U63" s="16" t="e">
        <v>#N/A</v>
      </c>
    </row>
    <row r="64" spans="1:21" x14ac:dyDescent="0.25">
      <c r="A64" s="12" t="s">
        <v>21</v>
      </c>
      <c r="B64" s="12" t="s">
        <v>85</v>
      </c>
      <c r="C64" s="12" t="s">
        <v>23</v>
      </c>
      <c r="D64" s="13">
        <v>46113.311643518522</v>
      </c>
      <c r="E64" s="12" t="s">
        <v>24</v>
      </c>
      <c r="F64" s="12" t="s">
        <v>106</v>
      </c>
      <c r="G64" s="12">
        <v>3</v>
      </c>
      <c r="H64" s="12">
        <v>3</v>
      </c>
      <c r="I64" s="14"/>
      <c r="J64" s="14" t="s">
        <v>61</v>
      </c>
      <c r="K64" s="12" t="s">
        <v>27</v>
      </c>
      <c r="L64" s="15"/>
      <c r="M64" s="12" t="s">
        <v>28</v>
      </c>
      <c r="N64" s="12"/>
      <c r="O64" s="12"/>
      <c r="P64" s="12"/>
      <c r="Q64" s="16">
        <v>3</v>
      </c>
      <c r="R64" s="16">
        <v>0</v>
      </c>
      <c r="S64" s="16"/>
      <c r="T64" s="16" t="e">
        <v>#N/A</v>
      </c>
      <c r="U64" s="16" t="e">
        <v>#N/A</v>
      </c>
    </row>
    <row r="65" spans="1:21" x14ac:dyDescent="0.25">
      <c r="A65" s="12" t="s">
        <v>21</v>
      </c>
      <c r="B65" s="12" t="s">
        <v>85</v>
      </c>
      <c r="C65" s="12" t="s">
        <v>23</v>
      </c>
      <c r="D65" s="13">
        <v>46113.311643518522</v>
      </c>
      <c r="E65" s="12" t="s">
        <v>24</v>
      </c>
      <c r="F65" s="12" t="s">
        <v>107</v>
      </c>
      <c r="G65" s="12">
        <v>3</v>
      </c>
      <c r="H65" s="12">
        <v>3</v>
      </c>
      <c r="I65" s="14"/>
      <c r="J65" s="14" t="s">
        <v>61</v>
      </c>
      <c r="K65" s="12" t="s">
        <v>27</v>
      </c>
      <c r="L65" s="15"/>
      <c r="M65" s="12" t="s">
        <v>28</v>
      </c>
      <c r="N65" s="12"/>
      <c r="O65" s="12"/>
      <c r="P65" s="12"/>
      <c r="Q65" s="16">
        <v>3</v>
      </c>
      <c r="R65" s="16">
        <v>0</v>
      </c>
      <c r="S65" s="16"/>
      <c r="T65" s="16" t="e">
        <v>#N/A</v>
      </c>
      <c r="U65" s="16" t="e">
        <v>#N/A</v>
      </c>
    </row>
    <row r="66" spans="1:21" x14ac:dyDescent="0.25">
      <c r="A66" s="12" t="s">
        <v>21</v>
      </c>
      <c r="B66" s="12" t="s">
        <v>85</v>
      </c>
      <c r="C66" s="12" t="s">
        <v>23</v>
      </c>
      <c r="D66" s="13">
        <v>46113.311643518522</v>
      </c>
      <c r="E66" s="12" t="s">
        <v>24</v>
      </c>
      <c r="F66" s="12" t="s">
        <v>108</v>
      </c>
      <c r="G66" s="12">
        <v>5</v>
      </c>
      <c r="H66" s="12">
        <v>5</v>
      </c>
      <c r="I66" s="14"/>
      <c r="J66" s="14" t="s">
        <v>61</v>
      </c>
      <c r="K66" s="12" t="s">
        <v>27</v>
      </c>
      <c r="L66" s="15"/>
      <c r="M66" s="12" t="s">
        <v>28</v>
      </c>
      <c r="N66" s="12"/>
      <c r="O66" s="12"/>
      <c r="P66" s="12"/>
      <c r="Q66" s="16">
        <v>5</v>
      </c>
      <c r="R66" s="16">
        <v>0</v>
      </c>
      <c r="S66" s="16"/>
      <c r="T66" s="16" t="e">
        <v>#N/A</v>
      </c>
      <c r="U66" s="16" t="e">
        <v>#N/A</v>
      </c>
    </row>
    <row r="67" spans="1:21" x14ac:dyDescent="0.25">
      <c r="A67" s="12" t="s">
        <v>21</v>
      </c>
      <c r="B67" s="12" t="s">
        <v>85</v>
      </c>
      <c r="C67" s="12" t="s">
        <v>23</v>
      </c>
      <c r="D67" s="13">
        <v>46113.311643518522</v>
      </c>
      <c r="E67" s="12" t="s">
        <v>24</v>
      </c>
      <c r="F67" s="12" t="s">
        <v>109</v>
      </c>
      <c r="G67" s="12">
        <v>2</v>
      </c>
      <c r="H67" s="12">
        <v>2</v>
      </c>
      <c r="I67" s="14"/>
      <c r="J67" s="14" t="s">
        <v>61</v>
      </c>
      <c r="K67" s="12" t="s">
        <v>27</v>
      </c>
      <c r="L67" s="15"/>
      <c r="M67" s="12" t="s">
        <v>28</v>
      </c>
      <c r="N67" s="12"/>
      <c r="O67" s="12"/>
      <c r="P67" s="12"/>
      <c r="Q67" s="16">
        <v>2</v>
      </c>
      <c r="R67" s="16">
        <v>1</v>
      </c>
      <c r="S67" s="16"/>
      <c r="T67" s="16" t="e">
        <v>#N/A</v>
      </c>
      <c r="U67" s="16" t="e">
        <v>#N/A</v>
      </c>
    </row>
    <row r="68" spans="1:21" x14ac:dyDescent="0.25">
      <c r="A68" s="12" t="s">
        <v>21</v>
      </c>
      <c r="B68" s="12" t="s">
        <v>85</v>
      </c>
      <c r="C68" s="12" t="s">
        <v>23</v>
      </c>
      <c r="D68" s="13">
        <v>46113.311643518522</v>
      </c>
      <c r="E68" s="12" t="s">
        <v>24</v>
      </c>
      <c r="F68" s="12" t="s">
        <v>110</v>
      </c>
      <c r="G68" s="12">
        <v>2</v>
      </c>
      <c r="H68" s="12">
        <v>2</v>
      </c>
      <c r="I68" s="14"/>
      <c r="J68" s="14" t="s">
        <v>61</v>
      </c>
      <c r="K68" s="12" t="s">
        <v>27</v>
      </c>
      <c r="L68" s="15"/>
      <c r="M68" s="12" t="s">
        <v>28</v>
      </c>
      <c r="N68" s="12"/>
      <c r="O68" s="12"/>
      <c r="P68" s="12"/>
      <c r="Q68" s="16">
        <v>2</v>
      </c>
      <c r="R68" s="16">
        <v>0</v>
      </c>
      <c r="S68" s="16"/>
      <c r="T68" s="16" t="e">
        <v>#N/A</v>
      </c>
      <c r="U68" s="16" t="e">
        <v>#N/A</v>
      </c>
    </row>
    <row r="69" spans="1:21" x14ac:dyDescent="0.25">
      <c r="A69" s="12" t="s">
        <v>21</v>
      </c>
      <c r="B69" s="12" t="s">
        <v>85</v>
      </c>
      <c r="C69" s="12" t="s">
        <v>23</v>
      </c>
      <c r="D69" s="13">
        <v>46113.311643518522</v>
      </c>
      <c r="E69" s="12" t="s">
        <v>24</v>
      </c>
      <c r="F69" s="12" t="s">
        <v>111</v>
      </c>
      <c r="G69" s="12">
        <v>1</v>
      </c>
      <c r="H69" s="12">
        <v>1</v>
      </c>
      <c r="I69" s="14"/>
      <c r="J69" s="14" t="s">
        <v>61</v>
      </c>
      <c r="K69" s="12" t="s">
        <v>27</v>
      </c>
      <c r="L69" s="15"/>
      <c r="M69" s="12" t="s">
        <v>28</v>
      </c>
      <c r="N69" s="12"/>
      <c r="O69" s="12"/>
      <c r="P69" s="12"/>
      <c r="Q69" s="16">
        <v>1</v>
      </c>
      <c r="R69" s="16">
        <v>0</v>
      </c>
      <c r="S69" s="16"/>
      <c r="T69" s="16" t="e">
        <v>#N/A</v>
      </c>
      <c r="U69" s="16" t="e">
        <v>#N/A</v>
      </c>
    </row>
    <row r="70" spans="1:21" x14ac:dyDescent="0.25">
      <c r="A70" s="12" t="s">
        <v>21</v>
      </c>
      <c r="B70" s="12" t="s">
        <v>85</v>
      </c>
      <c r="C70" s="12" t="s">
        <v>23</v>
      </c>
      <c r="D70" s="13">
        <v>46113.311643518522</v>
      </c>
      <c r="E70" s="12" t="s">
        <v>24</v>
      </c>
      <c r="F70" s="12" t="s">
        <v>112</v>
      </c>
      <c r="G70" s="12">
        <v>6</v>
      </c>
      <c r="H70" s="12">
        <v>6</v>
      </c>
      <c r="I70" s="14"/>
      <c r="J70" s="14" t="s">
        <v>26</v>
      </c>
      <c r="K70" s="12" t="s">
        <v>27</v>
      </c>
      <c r="L70" s="15"/>
      <c r="M70" s="12" t="s">
        <v>28</v>
      </c>
      <c r="N70" s="12"/>
      <c r="O70" s="12"/>
      <c r="P70" s="12"/>
      <c r="Q70" s="16">
        <v>0</v>
      </c>
      <c r="R70" s="16">
        <v>991</v>
      </c>
      <c r="S70" s="16"/>
      <c r="T70" s="16" t="e">
        <v>#N/A</v>
      </c>
      <c r="U70" s="16" t="e">
        <v>#N/A</v>
      </c>
    </row>
    <row r="71" spans="1:21" x14ac:dyDescent="0.25">
      <c r="A71" s="12" t="s">
        <v>21</v>
      </c>
      <c r="B71" s="12" t="s">
        <v>85</v>
      </c>
      <c r="C71" s="12" t="s">
        <v>23</v>
      </c>
      <c r="D71" s="13">
        <v>46113.311643518522</v>
      </c>
      <c r="E71" s="12" t="s">
        <v>24</v>
      </c>
      <c r="F71" s="12" t="s">
        <v>113</v>
      </c>
      <c r="G71" s="12">
        <v>5</v>
      </c>
      <c r="H71" s="12">
        <v>5</v>
      </c>
      <c r="I71" s="14"/>
      <c r="J71" s="14" t="s">
        <v>61</v>
      </c>
      <c r="K71" s="12" t="s">
        <v>27</v>
      </c>
      <c r="L71" s="15"/>
      <c r="M71" s="12" t="s">
        <v>28</v>
      </c>
      <c r="N71" s="12"/>
      <c r="O71" s="12"/>
      <c r="P71" s="12"/>
      <c r="Q71" s="16">
        <v>5</v>
      </c>
      <c r="R71" s="16">
        <v>0</v>
      </c>
      <c r="S71" s="16"/>
      <c r="T71" s="16" t="e">
        <v>#N/A</v>
      </c>
      <c r="U71" s="16" t="e">
        <v>#N/A</v>
      </c>
    </row>
    <row r="72" spans="1:21" x14ac:dyDescent="0.25">
      <c r="A72" s="12" t="s">
        <v>21</v>
      </c>
      <c r="B72" s="12" t="s">
        <v>85</v>
      </c>
      <c r="C72" s="12" t="s">
        <v>23</v>
      </c>
      <c r="D72" s="13">
        <v>46113.311643518522</v>
      </c>
      <c r="E72" s="12" t="s">
        <v>24</v>
      </c>
      <c r="F72" s="12" t="s">
        <v>114</v>
      </c>
      <c r="G72" s="12">
        <v>1</v>
      </c>
      <c r="H72" s="12">
        <v>1</v>
      </c>
      <c r="I72" s="14"/>
      <c r="J72" s="14" t="s">
        <v>61</v>
      </c>
      <c r="K72" s="12" t="s">
        <v>27</v>
      </c>
      <c r="L72" s="15"/>
      <c r="M72" s="12" t="s">
        <v>28</v>
      </c>
      <c r="N72" s="12"/>
      <c r="O72" s="12"/>
      <c r="P72" s="12"/>
      <c r="Q72" s="16">
        <v>1</v>
      </c>
      <c r="R72" s="16">
        <v>0</v>
      </c>
      <c r="S72" s="16"/>
      <c r="T72" s="16" t="e">
        <v>#N/A</v>
      </c>
      <c r="U72" s="16" t="e">
        <v>#N/A</v>
      </c>
    </row>
    <row r="73" spans="1:21" x14ac:dyDescent="0.25">
      <c r="A73" s="12" t="s">
        <v>21</v>
      </c>
      <c r="B73" s="12" t="s">
        <v>85</v>
      </c>
      <c r="C73" s="12" t="s">
        <v>23</v>
      </c>
      <c r="D73" s="15">
        <v>46113.311643518522</v>
      </c>
      <c r="E73" s="12" t="s">
        <v>24</v>
      </c>
      <c r="F73" s="12" t="s">
        <v>115</v>
      </c>
      <c r="G73" s="12">
        <v>1</v>
      </c>
      <c r="H73" s="12">
        <v>1</v>
      </c>
      <c r="I73" s="14"/>
      <c r="J73" s="14" t="s">
        <v>61</v>
      </c>
      <c r="K73" s="12" t="s">
        <v>27</v>
      </c>
      <c r="L73" s="15"/>
      <c r="M73" s="12" t="s">
        <v>28</v>
      </c>
      <c r="N73" s="12"/>
      <c r="O73" s="12"/>
      <c r="P73" s="12"/>
      <c r="Q73" s="16">
        <v>1</v>
      </c>
      <c r="R73" s="16">
        <v>0</v>
      </c>
      <c r="S73" s="16"/>
      <c r="T73" s="16" t="e">
        <v>#N/A</v>
      </c>
      <c r="U73" s="16" t="e">
        <v>#N/A</v>
      </c>
    </row>
    <row r="74" spans="1:21" x14ac:dyDescent="0.25">
      <c r="A74" s="12" t="s">
        <v>21</v>
      </c>
      <c r="B74" s="12" t="s">
        <v>85</v>
      </c>
      <c r="C74" s="12" t="s">
        <v>23</v>
      </c>
      <c r="D74" s="15">
        <v>46113.311643518522</v>
      </c>
      <c r="E74" s="12" t="s">
        <v>24</v>
      </c>
      <c r="F74" s="12" t="s">
        <v>116</v>
      </c>
      <c r="G74" s="12">
        <v>3</v>
      </c>
      <c r="H74" s="12">
        <v>3</v>
      </c>
      <c r="I74" s="14"/>
      <c r="J74" s="14" t="s">
        <v>61</v>
      </c>
      <c r="K74" s="12" t="s">
        <v>27</v>
      </c>
      <c r="L74" s="15"/>
      <c r="M74" s="12" t="s">
        <v>28</v>
      </c>
      <c r="N74" s="12"/>
      <c r="O74" s="12"/>
      <c r="P74" s="12"/>
      <c r="Q74" s="16">
        <v>3</v>
      </c>
      <c r="R74" s="16">
        <v>1</v>
      </c>
      <c r="S74" s="16"/>
      <c r="T74" s="16" t="e">
        <v>#N/A</v>
      </c>
      <c r="U74" s="16" t="e">
        <v>#N/A</v>
      </c>
    </row>
    <row r="75" spans="1:21" x14ac:dyDescent="0.25">
      <c r="A75" s="12" t="s">
        <v>21</v>
      </c>
      <c r="B75" s="12" t="s">
        <v>85</v>
      </c>
      <c r="C75" s="12" t="s">
        <v>23</v>
      </c>
      <c r="D75" s="15">
        <v>46113.311643518522</v>
      </c>
      <c r="E75" s="12" t="s">
        <v>24</v>
      </c>
      <c r="F75" s="12" t="s">
        <v>117</v>
      </c>
      <c r="G75" s="12">
        <v>3</v>
      </c>
      <c r="H75" s="12">
        <v>3</v>
      </c>
      <c r="I75" s="14"/>
      <c r="J75" s="14" t="s">
        <v>61</v>
      </c>
      <c r="K75" s="12" t="s">
        <v>27</v>
      </c>
      <c r="L75" s="15"/>
      <c r="M75" s="12" t="s">
        <v>28</v>
      </c>
      <c r="N75" s="12"/>
      <c r="O75" s="12"/>
      <c r="P75" s="12"/>
      <c r="Q75" s="16">
        <v>3</v>
      </c>
      <c r="R75" s="16">
        <v>0</v>
      </c>
      <c r="S75" s="16"/>
      <c r="T75" s="16" t="e">
        <v>#N/A</v>
      </c>
      <c r="U75" s="16" t="e">
        <v>#N/A</v>
      </c>
    </row>
    <row r="76" spans="1:21" x14ac:dyDescent="0.25">
      <c r="A76" s="12" t="s">
        <v>21</v>
      </c>
      <c r="B76" s="12" t="s">
        <v>85</v>
      </c>
      <c r="C76" s="12" t="s">
        <v>23</v>
      </c>
      <c r="D76" s="15">
        <v>46113.311643518522</v>
      </c>
      <c r="E76" s="12" t="s">
        <v>24</v>
      </c>
      <c r="F76" s="12" t="s">
        <v>118</v>
      </c>
      <c r="G76" s="12">
        <v>2</v>
      </c>
      <c r="H76" s="12">
        <v>2</v>
      </c>
      <c r="I76" s="14"/>
      <c r="J76" s="14" t="s">
        <v>61</v>
      </c>
      <c r="K76" s="12" t="s">
        <v>27</v>
      </c>
      <c r="L76" s="15"/>
      <c r="M76" s="12" t="s">
        <v>28</v>
      </c>
      <c r="N76" s="12"/>
      <c r="O76" s="12"/>
      <c r="P76" s="12"/>
      <c r="Q76" s="16">
        <v>2</v>
      </c>
      <c r="R76" s="16">
        <v>0</v>
      </c>
      <c r="S76" s="16"/>
      <c r="T76" s="16" t="e">
        <v>#N/A</v>
      </c>
      <c r="U76" s="16" t="e">
        <v>#N/A</v>
      </c>
    </row>
    <row r="77" spans="1:21" x14ac:dyDescent="0.25">
      <c r="A77" s="12" t="s">
        <v>21</v>
      </c>
      <c r="B77" s="12" t="s">
        <v>85</v>
      </c>
      <c r="C77" s="12" t="s">
        <v>23</v>
      </c>
      <c r="D77" s="13">
        <v>46113.311643518522</v>
      </c>
      <c r="E77" s="12" t="s">
        <v>24</v>
      </c>
      <c r="F77" s="12" t="s">
        <v>119</v>
      </c>
      <c r="G77" s="12">
        <v>28</v>
      </c>
      <c r="H77" s="12">
        <v>28</v>
      </c>
      <c r="I77" s="14"/>
      <c r="J77" s="14" t="s">
        <v>26</v>
      </c>
      <c r="K77" s="12" t="s">
        <v>27</v>
      </c>
      <c r="L77" s="15"/>
      <c r="M77" s="12" t="s">
        <v>28</v>
      </c>
      <c r="N77" s="12"/>
      <c r="O77" s="12"/>
      <c r="P77" s="12"/>
      <c r="Q77" s="16">
        <v>0</v>
      </c>
      <c r="R77" s="16">
        <v>0</v>
      </c>
      <c r="S77" s="16">
        <v>13</v>
      </c>
      <c r="T77" s="16" t="e">
        <v>#N/A</v>
      </c>
      <c r="U77" s="16" t="e">
        <v>#N/A</v>
      </c>
    </row>
    <row r="78" spans="1:21" x14ac:dyDescent="0.25">
      <c r="A78" s="12" t="s">
        <v>21</v>
      </c>
      <c r="B78" s="12" t="s">
        <v>85</v>
      </c>
      <c r="C78" s="12" t="s">
        <v>23</v>
      </c>
      <c r="D78" s="17">
        <v>46113.311643518522</v>
      </c>
      <c r="E78" s="12" t="s">
        <v>24</v>
      </c>
      <c r="F78" s="12" t="s">
        <v>120</v>
      </c>
      <c r="G78" s="12">
        <v>11</v>
      </c>
      <c r="H78" s="12">
        <v>11</v>
      </c>
      <c r="I78" s="14"/>
      <c r="J78" s="14" t="s">
        <v>61</v>
      </c>
      <c r="K78" s="12" t="s">
        <v>27</v>
      </c>
      <c r="L78" s="15"/>
      <c r="M78" s="12" t="s">
        <v>28</v>
      </c>
      <c r="N78" s="12"/>
      <c r="O78" s="12"/>
      <c r="P78" s="12"/>
      <c r="Q78" s="16">
        <v>11</v>
      </c>
      <c r="R78" s="16">
        <v>4</v>
      </c>
      <c r="S78" s="16"/>
      <c r="T78" s="16" t="e">
        <v>#N/A</v>
      </c>
      <c r="U78" s="16" t="e">
        <v>#N/A</v>
      </c>
    </row>
    <row r="79" spans="1:21" x14ac:dyDescent="0.25">
      <c r="A79" s="12" t="s">
        <v>21</v>
      </c>
      <c r="B79" s="12" t="s">
        <v>85</v>
      </c>
      <c r="C79" s="12" t="s">
        <v>23</v>
      </c>
      <c r="D79" s="17">
        <v>46113.311643518522</v>
      </c>
      <c r="E79" s="12" t="s">
        <v>24</v>
      </c>
      <c r="F79" s="12" t="s">
        <v>121</v>
      </c>
      <c r="G79" s="12">
        <v>10</v>
      </c>
      <c r="H79" s="12">
        <v>10</v>
      </c>
      <c r="I79" s="14"/>
      <c r="J79" s="14" t="s">
        <v>26</v>
      </c>
      <c r="K79" s="12" t="s">
        <v>27</v>
      </c>
      <c r="L79" s="15"/>
      <c r="M79" s="12" t="s">
        <v>28</v>
      </c>
      <c r="N79" s="12"/>
      <c r="O79" s="12"/>
      <c r="P79" s="12"/>
      <c r="Q79" s="16">
        <v>0</v>
      </c>
      <c r="R79" s="16">
        <v>0</v>
      </c>
      <c r="S79" s="16"/>
      <c r="T79" s="16" t="e">
        <v>#N/A</v>
      </c>
      <c r="U79" s="16" t="e">
        <v>#N/A</v>
      </c>
    </row>
    <row r="80" spans="1:21" x14ac:dyDescent="0.25">
      <c r="A80" s="12" t="s">
        <v>21</v>
      </c>
      <c r="B80" s="12" t="s">
        <v>85</v>
      </c>
      <c r="C80" s="12" t="s">
        <v>23</v>
      </c>
      <c r="D80" s="17">
        <v>46113.311643518522</v>
      </c>
      <c r="E80" s="12" t="s">
        <v>24</v>
      </c>
      <c r="F80" s="12" t="s">
        <v>122</v>
      </c>
      <c r="G80" s="12">
        <v>13</v>
      </c>
      <c r="H80" s="12">
        <v>13</v>
      </c>
      <c r="I80" s="14"/>
      <c r="J80" s="14" t="s">
        <v>61</v>
      </c>
      <c r="K80" s="12" t="s">
        <v>27</v>
      </c>
      <c r="L80" s="15"/>
      <c r="M80" s="12" t="s">
        <v>28</v>
      </c>
      <c r="N80" s="12"/>
      <c r="O80" s="12"/>
      <c r="P80" s="12"/>
      <c r="Q80" s="16">
        <v>13</v>
      </c>
      <c r="R80" s="16">
        <v>0</v>
      </c>
      <c r="S80" s="16"/>
      <c r="T80" s="16" t="e">
        <v>#N/A</v>
      </c>
      <c r="U80" s="16" t="e">
        <v>#N/A</v>
      </c>
    </row>
    <row r="81" spans="1:21" x14ac:dyDescent="0.25">
      <c r="A81" s="12" t="s">
        <v>21</v>
      </c>
      <c r="B81" s="12" t="s">
        <v>85</v>
      </c>
      <c r="C81" s="12" t="s">
        <v>23</v>
      </c>
      <c r="D81" s="17">
        <v>46113.311643518522</v>
      </c>
      <c r="E81" s="12" t="s">
        <v>24</v>
      </c>
      <c r="F81" s="12" t="s">
        <v>123</v>
      </c>
      <c r="G81" s="12">
        <v>13</v>
      </c>
      <c r="H81" s="12">
        <v>13</v>
      </c>
      <c r="I81" s="14"/>
      <c r="J81" s="14" t="s">
        <v>61</v>
      </c>
      <c r="K81" s="12" t="s">
        <v>27</v>
      </c>
      <c r="L81" s="15"/>
      <c r="M81" s="12" t="s">
        <v>28</v>
      </c>
      <c r="N81" s="12"/>
      <c r="O81" s="12"/>
      <c r="P81" s="12"/>
      <c r="Q81" s="16">
        <v>13</v>
      </c>
      <c r="R81" s="16">
        <v>0</v>
      </c>
      <c r="S81" s="16"/>
      <c r="T81" s="16" t="e">
        <v>#N/A</v>
      </c>
      <c r="U81" s="16" t="e">
        <v>#N/A</v>
      </c>
    </row>
    <row r="82" spans="1:21" x14ac:dyDescent="0.25">
      <c r="A82" s="12" t="s">
        <v>21</v>
      </c>
      <c r="B82" s="12" t="s">
        <v>85</v>
      </c>
      <c r="C82" s="12" t="s">
        <v>23</v>
      </c>
      <c r="D82" s="17">
        <v>46113.311643518522</v>
      </c>
      <c r="E82" s="12" t="s">
        <v>24</v>
      </c>
      <c r="F82" s="12" t="s">
        <v>124</v>
      </c>
      <c r="G82" s="12">
        <v>2</v>
      </c>
      <c r="H82" s="12">
        <v>2</v>
      </c>
      <c r="I82" s="14"/>
      <c r="J82" s="14" t="s">
        <v>61</v>
      </c>
      <c r="K82" s="12" t="s">
        <v>27</v>
      </c>
      <c r="L82" s="15"/>
      <c r="M82" s="12" t="s">
        <v>28</v>
      </c>
      <c r="N82" s="12"/>
      <c r="O82" s="12"/>
      <c r="P82" s="12"/>
      <c r="Q82" s="16">
        <v>2</v>
      </c>
      <c r="R82" s="16">
        <v>0</v>
      </c>
      <c r="S82" s="16"/>
      <c r="T82" s="16" t="e">
        <v>#N/A</v>
      </c>
      <c r="U82" s="16" t="e">
        <v>#N/A</v>
      </c>
    </row>
    <row r="83" spans="1:21" x14ac:dyDescent="0.25">
      <c r="A83" s="12" t="s">
        <v>21</v>
      </c>
      <c r="B83" s="12" t="s">
        <v>85</v>
      </c>
      <c r="C83" s="12" t="s">
        <v>23</v>
      </c>
      <c r="D83" s="13">
        <v>46113.311643518522</v>
      </c>
      <c r="E83" s="12" t="s">
        <v>24</v>
      </c>
      <c r="F83" s="12" t="s">
        <v>125</v>
      </c>
      <c r="G83" s="12">
        <v>10</v>
      </c>
      <c r="H83" s="12">
        <v>10</v>
      </c>
      <c r="I83" s="14"/>
      <c r="J83" s="14" t="s">
        <v>61</v>
      </c>
      <c r="K83" s="12" t="s">
        <v>27</v>
      </c>
      <c r="L83" s="15"/>
      <c r="M83" s="12" t="s">
        <v>28</v>
      </c>
      <c r="N83" s="12"/>
      <c r="O83" s="12"/>
      <c r="P83" s="12"/>
      <c r="Q83" s="16">
        <v>10</v>
      </c>
      <c r="R83" s="16">
        <v>0</v>
      </c>
      <c r="S83" s="16"/>
      <c r="T83" s="16" t="e">
        <v>#N/A</v>
      </c>
      <c r="U83" s="16" t="e">
        <v>#N/A</v>
      </c>
    </row>
    <row r="84" spans="1:21" x14ac:dyDescent="0.25">
      <c r="A84" s="12" t="s">
        <v>21</v>
      </c>
      <c r="B84" s="12" t="s">
        <v>85</v>
      </c>
      <c r="C84" s="12" t="s">
        <v>23</v>
      </c>
      <c r="D84" s="13">
        <v>46113.311643518522</v>
      </c>
      <c r="E84" s="12" t="s">
        <v>24</v>
      </c>
      <c r="F84" s="12" t="s">
        <v>126</v>
      </c>
      <c r="G84" s="12">
        <v>463</v>
      </c>
      <c r="H84" s="12">
        <v>463</v>
      </c>
      <c r="I84" s="14"/>
      <c r="J84" s="14" t="s">
        <v>26</v>
      </c>
      <c r="K84" s="12" t="s">
        <v>27</v>
      </c>
      <c r="L84" s="15"/>
      <c r="M84" s="12" t="s">
        <v>28</v>
      </c>
      <c r="N84" s="12"/>
      <c r="O84" s="12"/>
      <c r="P84" s="12"/>
      <c r="Q84" s="16">
        <v>0</v>
      </c>
      <c r="R84" s="16">
        <v>0</v>
      </c>
      <c r="S84" s="16"/>
      <c r="T84" s="16" t="e">
        <v>#N/A</v>
      </c>
      <c r="U84" s="16" t="e">
        <v>#N/A</v>
      </c>
    </row>
    <row r="85" spans="1:21" x14ac:dyDescent="0.25">
      <c r="A85" s="12" t="s">
        <v>21</v>
      </c>
      <c r="B85" s="12" t="s">
        <v>85</v>
      </c>
      <c r="C85" s="12" t="s">
        <v>23</v>
      </c>
      <c r="D85" s="17">
        <v>46113.311643518522</v>
      </c>
      <c r="E85" s="12" t="s">
        <v>24</v>
      </c>
      <c r="F85" s="12" t="s">
        <v>127</v>
      </c>
      <c r="G85" s="12">
        <v>107</v>
      </c>
      <c r="H85" s="12">
        <v>107</v>
      </c>
      <c r="I85" s="14"/>
      <c r="J85" s="14" t="s">
        <v>26</v>
      </c>
      <c r="K85" s="12" t="s">
        <v>27</v>
      </c>
      <c r="L85" s="15"/>
      <c r="M85" s="12" t="s">
        <v>28</v>
      </c>
      <c r="N85" s="12"/>
      <c r="O85" s="12"/>
      <c r="P85" s="12"/>
      <c r="Q85" s="16">
        <v>0</v>
      </c>
      <c r="R85" s="16">
        <v>0</v>
      </c>
      <c r="S85" s="16">
        <v>43</v>
      </c>
      <c r="T85" s="16" t="e">
        <v>#N/A</v>
      </c>
      <c r="U85" s="16" t="e">
        <v>#N/A</v>
      </c>
    </row>
    <row r="86" spans="1:21" x14ac:dyDescent="0.25">
      <c r="A86" s="12" t="s">
        <v>21</v>
      </c>
      <c r="B86" s="12" t="s">
        <v>85</v>
      </c>
      <c r="C86" s="12" t="s">
        <v>23</v>
      </c>
      <c r="D86" s="13">
        <v>46113.311643518522</v>
      </c>
      <c r="E86" s="12" t="s">
        <v>24</v>
      </c>
      <c r="F86" s="12" t="s">
        <v>128</v>
      </c>
      <c r="G86" s="12">
        <v>364</v>
      </c>
      <c r="H86" s="12">
        <v>364</v>
      </c>
      <c r="I86" s="14"/>
      <c r="J86" s="14" t="s">
        <v>26</v>
      </c>
      <c r="K86" s="12" t="s">
        <v>27</v>
      </c>
      <c r="L86" s="15"/>
      <c r="M86" s="12" t="s">
        <v>28</v>
      </c>
      <c r="N86" s="12"/>
      <c r="O86" s="12"/>
      <c r="P86" s="12"/>
      <c r="Q86" s="16">
        <v>0</v>
      </c>
      <c r="R86" s="16">
        <v>0</v>
      </c>
      <c r="S86" s="16"/>
      <c r="T86" s="16" t="e">
        <v>#N/A</v>
      </c>
      <c r="U86" s="16" t="e">
        <v>#N/A</v>
      </c>
    </row>
    <row r="87" spans="1:21" x14ac:dyDescent="0.25">
      <c r="A87" s="12" t="s">
        <v>21</v>
      </c>
      <c r="B87" s="12" t="s">
        <v>85</v>
      </c>
      <c r="C87" s="12" t="s">
        <v>23</v>
      </c>
      <c r="D87" s="15">
        <v>46113.311643518522</v>
      </c>
      <c r="E87" s="12" t="s">
        <v>24</v>
      </c>
      <c r="F87" s="12" t="s">
        <v>129</v>
      </c>
      <c r="G87" s="12">
        <v>2</v>
      </c>
      <c r="H87" s="12">
        <v>2</v>
      </c>
      <c r="I87" s="14"/>
      <c r="J87" s="14" t="s">
        <v>26</v>
      </c>
      <c r="K87" s="12" t="s">
        <v>27</v>
      </c>
      <c r="L87" s="15"/>
      <c r="M87" s="12" t="s">
        <v>28</v>
      </c>
      <c r="N87" s="12"/>
      <c r="O87" s="12"/>
      <c r="P87" s="12"/>
      <c r="Q87" s="16">
        <v>0</v>
      </c>
      <c r="R87" s="16">
        <v>0</v>
      </c>
      <c r="S87" s="16"/>
      <c r="T87" s="16" t="e">
        <v>#N/A</v>
      </c>
      <c r="U87" s="16" t="e">
        <v>#N/A</v>
      </c>
    </row>
    <row r="88" spans="1:21" x14ac:dyDescent="0.25">
      <c r="A88" s="12" t="s">
        <v>21</v>
      </c>
      <c r="B88" s="12" t="s">
        <v>85</v>
      </c>
      <c r="C88" s="12" t="s">
        <v>23</v>
      </c>
      <c r="D88" s="13">
        <v>46113.311643518522</v>
      </c>
      <c r="E88" s="12" t="s">
        <v>24</v>
      </c>
      <c r="F88" s="12" t="s">
        <v>130</v>
      </c>
      <c r="G88" s="12">
        <v>69</v>
      </c>
      <c r="H88" s="12">
        <v>69</v>
      </c>
      <c r="I88" s="14"/>
      <c r="J88" s="14" t="s">
        <v>61</v>
      </c>
      <c r="K88" s="12" t="s">
        <v>27</v>
      </c>
      <c r="L88" s="15"/>
      <c r="M88" s="12" t="s">
        <v>28</v>
      </c>
      <c r="N88" s="12"/>
      <c r="O88" s="12"/>
      <c r="P88" s="12"/>
      <c r="Q88" s="16">
        <v>69</v>
      </c>
      <c r="R88" s="16">
        <v>6</v>
      </c>
      <c r="S88" s="16"/>
      <c r="T88" s="16" t="e">
        <v>#N/A</v>
      </c>
      <c r="U88" s="16" t="e">
        <v>#N/A</v>
      </c>
    </row>
    <row r="89" spans="1:21" x14ac:dyDescent="0.25">
      <c r="A89" s="12" t="s">
        <v>21</v>
      </c>
      <c r="B89" s="12" t="s">
        <v>85</v>
      </c>
      <c r="C89" s="12" t="s">
        <v>23</v>
      </c>
      <c r="D89" s="15">
        <v>46113.311643518522</v>
      </c>
      <c r="E89" s="12" t="s">
        <v>24</v>
      </c>
      <c r="F89" s="12" t="s">
        <v>131</v>
      </c>
      <c r="G89" s="12">
        <v>1</v>
      </c>
      <c r="H89" s="12">
        <v>1</v>
      </c>
      <c r="I89" s="14"/>
      <c r="J89" s="14" t="s">
        <v>26</v>
      </c>
      <c r="K89" s="12" t="s">
        <v>27</v>
      </c>
      <c r="L89" s="15"/>
      <c r="M89" s="12" t="s">
        <v>28</v>
      </c>
      <c r="N89" s="12"/>
      <c r="O89" s="12"/>
      <c r="P89" s="12"/>
      <c r="Q89" s="16">
        <v>0</v>
      </c>
      <c r="R89" s="16">
        <v>0</v>
      </c>
      <c r="S89" s="16"/>
      <c r="T89" s="16" t="e">
        <v>#N/A</v>
      </c>
      <c r="U89" s="16" t="e">
        <v>#N/A</v>
      </c>
    </row>
    <row r="90" spans="1:21" x14ac:dyDescent="0.25">
      <c r="A90" s="12" t="s">
        <v>21</v>
      </c>
      <c r="B90" s="12" t="s">
        <v>85</v>
      </c>
      <c r="C90" s="12" t="s">
        <v>23</v>
      </c>
      <c r="D90" s="13">
        <v>46113.311643518522</v>
      </c>
      <c r="E90" s="12" t="s">
        <v>24</v>
      </c>
      <c r="F90" s="12" t="s">
        <v>132</v>
      </c>
      <c r="G90" s="12">
        <v>390</v>
      </c>
      <c r="H90" s="12">
        <v>390</v>
      </c>
      <c r="I90" s="14"/>
      <c r="J90" s="14" t="s">
        <v>26</v>
      </c>
      <c r="K90" s="12" t="s">
        <v>27</v>
      </c>
      <c r="L90" s="15"/>
      <c r="M90" s="12" t="s">
        <v>28</v>
      </c>
      <c r="N90" s="12"/>
      <c r="O90" s="12"/>
      <c r="P90" s="12"/>
      <c r="Q90" s="16">
        <v>0</v>
      </c>
      <c r="R90" s="16">
        <v>19</v>
      </c>
      <c r="S90" s="16">
        <v>35</v>
      </c>
      <c r="T90" s="16" t="e">
        <v>#N/A</v>
      </c>
      <c r="U90" s="16" t="e">
        <v>#N/A</v>
      </c>
    </row>
    <row r="91" spans="1:21" x14ac:dyDescent="0.25">
      <c r="A91" s="12" t="s">
        <v>21</v>
      </c>
      <c r="B91" s="12" t="s">
        <v>85</v>
      </c>
      <c r="C91" s="12" t="s">
        <v>23</v>
      </c>
      <c r="D91" s="13">
        <v>46113.311643518522</v>
      </c>
      <c r="E91" s="12" t="s">
        <v>24</v>
      </c>
      <c r="F91" s="12" t="s">
        <v>133</v>
      </c>
      <c r="G91" s="12">
        <v>4</v>
      </c>
      <c r="H91" s="12">
        <v>4</v>
      </c>
      <c r="I91" s="14"/>
      <c r="J91" s="14" t="s">
        <v>61</v>
      </c>
      <c r="K91" s="12" t="s">
        <v>27</v>
      </c>
      <c r="L91" s="15"/>
      <c r="M91" s="12" t="s">
        <v>28</v>
      </c>
      <c r="N91" s="12"/>
      <c r="O91" s="12"/>
      <c r="P91" s="12"/>
      <c r="Q91" s="16">
        <v>4</v>
      </c>
      <c r="R91" s="16">
        <v>19</v>
      </c>
      <c r="S91" s="16"/>
      <c r="T91" s="16" t="e">
        <v>#N/A</v>
      </c>
      <c r="U91" s="16" t="e">
        <v>#N/A</v>
      </c>
    </row>
    <row r="92" spans="1:21" x14ac:dyDescent="0.25">
      <c r="A92" s="12" t="s">
        <v>21</v>
      </c>
      <c r="B92" s="12" t="s">
        <v>85</v>
      </c>
      <c r="C92" s="12" t="s">
        <v>23</v>
      </c>
      <c r="D92" s="15">
        <v>46113.311643518522</v>
      </c>
      <c r="E92" s="12" t="s">
        <v>24</v>
      </c>
      <c r="F92" s="12" t="s">
        <v>134</v>
      </c>
      <c r="G92" s="12">
        <v>23</v>
      </c>
      <c r="H92" s="12">
        <v>23</v>
      </c>
      <c r="I92" s="14"/>
      <c r="J92" s="14" t="s">
        <v>61</v>
      </c>
      <c r="K92" s="12" t="s">
        <v>27</v>
      </c>
      <c r="L92" s="15"/>
      <c r="M92" s="12" t="s">
        <v>28</v>
      </c>
      <c r="N92" s="12"/>
      <c r="O92" s="12"/>
      <c r="P92" s="12"/>
      <c r="Q92" s="16">
        <v>23</v>
      </c>
      <c r="R92" s="16">
        <v>6</v>
      </c>
      <c r="S92" s="16">
        <v>8</v>
      </c>
      <c r="T92" s="16" t="e">
        <v>#N/A</v>
      </c>
      <c r="U92" s="16" t="e">
        <v>#N/A</v>
      </c>
    </row>
    <row r="93" spans="1:21" x14ac:dyDescent="0.25">
      <c r="A93" s="12" t="s">
        <v>21</v>
      </c>
      <c r="B93" s="12" t="s">
        <v>85</v>
      </c>
      <c r="C93" s="12" t="s">
        <v>23</v>
      </c>
      <c r="D93" s="15">
        <v>46113.311643518522</v>
      </c>
      <c r="E93" s="12" t="s">
        <v>24</v>
      </c>
      <c r="F93" s="12" t="s">
        <v>135</v>
      </c>
      <c r="G93" s="12">
        <v>11</v>
      </c>
      <c r="H93" s="12">
        <v>11</v>
      </c>
      <c r="I93" s="14"/>
      <c r="J93" s="14" t="s">
        <v>26</v>
      </c>
      <c r="K93" s="12" t="s">
        <v>27</v>
      </c>
      <c r="L93" s="15"/>
      <c r="M93" s="12" t="s">
        <v>28</v>
      </c>
      <c r="N93" s="12"/>
      <c r="O93" s="12"/>
      <c r="P93" s="12"/>
      <c r="Q93" s="16">
        <v>0</v>
      </c>
      <c r="R93" s="16">
        <v>224</v>
      </c>
      <c r="S93" s="16">
        <v>7</v>
      </c>
      <c r="T93" s="16" t="e">
        <v>#N/A</v>
      </c>
      <c r="U93" s="16" t="e">
        <v>#N/A</v>
      </c>
    </row>
    <row r="94" spans="1:21" x14ac:dyDescent="0.25">
      <c r="A94" s="12" t="s">
        <v>21</v>
      </c>
      <c r="B94" s="12" t="s">
        <v>85</v>
      </c>
      <c r="C94" s="12" t="s">
        <v>23</v>
      </c>
      <c r="D94" s="15">
        <v>46113.311643518522</v>
      </c>
      <c r="E94" s="12" t="s">
        <v>24</v>
      </c>
      <c r="F94" s="12" t="s">
        <v>48</v>
      </c>
      <c r="G94" s="12">
        <v>76</v>
      </c>
      <c r="H94" s="12">
        <v>76</v>
      </c>
      <c r="I94" s="14"/>
      <c r="J94" s="14" t="s">
        <v>26</v>
      </c>
      <c r="K94" s="12" t="s">
        <v>27</v>
      </c>
      <c r="L94" s="15"/>
      <c r="M94" s="12" t="s">
        <v>28</v>
      </c>
      <c r="N94" s="12"/>
      <c r="O94" s="12"/>
      <c r="P94" s="12"/>
      <c r="Q94" s="16">
        <v>0</v>
      </c>
      <c r="R94" s="16">
        <v>3758</v>
      </c>
      <c r="S94" s="16">
        <v>50</v>
      </c>
      <c r="T94" s="16" t="e">
        <v>#N/A</v>
      </c>
      <c r="U94" s="16" t="e">
        <v>#N/A</v>
      </c>
    </row>
    <row r="95" spans="1:21" x14ac:dyDescent="0.25">
      <c r="A95" s="12" t="s">
        <v>21</v>
      </c>
      <c r="B95" s="12" t="s">
        <v>85</v>
      </c>
      <c r="C95" s="12" t="s">
        <v>23</v>
      </c>
      <c r="D95" s="15">
        <v>46113.311643518522</v>
      </c>
      <c r="E95" s="12" t="s">
        <v>24</v>
      </c>
      <c r="F95" s="12" t="s">
        <v>136</v>
      </c>
      <c r="G95" s="12">
        <v>20</v>
      </c>
      <c r="H95" s="12">
        <v>20</v>
      </c>
      <c r="I95" s="14"/>
      <c r="J95" s="14" t="s">
        <v>61</v>
      </c>
      <c r="K95" s="12" t="s">
        <v>27</v>
      </c>
      <c r="L95" s="15"/>
      <c r="M95" s="12" t="s">
        <v>28</v>
      </c>
      <c r="N95" s="12"/>
      <c r="O95" s="12"/>
      <c r="P95" s="12"/>
      <c r="Q95" s="16">
        <v>20</v>
      </c>
      <c r="R95" s="16">
        <v>48</v>
      </c>
      <c r="S95" s="16"/>
      <c r="T95" s="16" t="e">
        <v>#N/A</v>
      </c>
      <c r="U95" s="16" t="e">
        <v>#N/A</v>
      </c>
    </row>
    <row r="96" spans="1:21" x14ac:dyDescent="0.25">
      <c r="A96" s="12" t="s">
        <v>21</v>
      </c>
      <c r="B96" s="12" t="s">
        <v>85</v>
      </c>
      <c r="C96" s="12" t="s">
        <v>23</v>
      </c>
      <c r="D96" s="13">
        <v>46113.311643518522</v>
      </c>
      <c r="E96" s="12" t="s">
        <v>24</v>
      </c>
      <c r="F96" s="12" t="s">
        <v>137</v>
      </c>
      <c r="G96" s="12">
        <v>1</v>
      </c>
      <c r="H96" s="12">
        <v>1</v>
      </c>
      <c r="I96" s="14"/>
      <c r="J96" s="14" t="s">
        <v>26</v>
      </c>
      <c r="K96" s="12" t="s">
        <v>27</v>
      </c>
      <c r="L96" s="15"/>
      <c r="M96" s="12" t="s">
        <v>28</v>
      </c>
      <c r="N96" s="12"/>
      <c r="O96" s="12"/>
      <c r="P96" s="12"/>
      <c r="Q96" s="16">
        <v>0</v>
      </c>
      <c r="R96" s="16">
        <v>0</v>
      </c>
      <c r="S96" s="16"/>
      <c r="T96" s="16" t="e">
        <v>#N/A</v>
      </c>
      <c r="U96" s="16" t="e">
        <v>#N/A</v>
      </c>
    </row>
    <row r="97" spans="1:21" x14ac:dyDescent="0.25">
      <c r="A97" s="12" t="s">
        <v>21</v>
      </c>
      <c r="B97" s="12" t="s">
        <v>138</v>
      </c>
      <c r="C97" s="12" t="s">
        <v>23</v>
      </c>
      <c r="D97" s="15">
        <v>46115.37605324074</v>
      </c>
      <c r="E97" s="12" t="s">
        <v>139</v>
      </c>
      <c r="F97" s="12" t="s">
        <v>109</v>
      </c>
      <c r="G97" s="12">
        <v>17</v>
      </c>
      <c r="H97" s="12">
        <v>1</v>
      </c>
      <c r="I97" s="14"/>
      <c r="J97" s="14" t="s">
        <v>61</v>
      </c>
      <c r="K97" s="12" t="s">
        <v>27</v>
      </c>
      <c r="L97" s="15"/>
      <c r="M97" s="12" t="s">
        <v>28</v>
      </c>
      <c r="N97" s="12"/>
      <c r="O97" s="12"/>
      <c r="P97" s="12"/>
      <c r="Q97" s="16">
        <v>18</v>
      </c>
      <c r="R97" s="16">
        <v>1</v>
      </c>
      <c r="S97" s="16"/>
      <c r="T97" s="16" t="e">
        <v>#N/A</v>
      </c>
      <c r="U97" s="16" t="e">
        <v>#N/A</v>
      </c>
    </row>
    <row r="98" spans="1:21" x14ac:dyDescent="0.25">
      <c r="A98" s="12" t="s">
        <v>21</v>
      </c>
      <c r="B98" s="12" t="s">
        <v>140</v>
      </c>
      <c r="C98" s="12" t="s">
        <v>23</v>
      </c>
      <c r="D98" s="15">
        <v>46133.355590277781</v>
      </c>
      <c r="E98" s="12" t="s">
        <v>24</v>
      </c>
      <c r="F98" s="12" t="s">
        <v>41</v>
      </c>
      <c r="G98" s="12">
        <v>23</v>
      </c>
      <c r="H98" s="12">
        <v>23</v>
      </c>
      <c r="I98" s="14"/>
      <c r="J98" s="14" t="s">
        <v>26</v>
      </c>
      <c r="K98" s="12" t="s">
        <v>27</v>
      </c>
      <c r="L98" s="15"/>
      <c r="M98" s="12" t="s">
        <v>28</v>
      </c>
      <c r="N98" s="12"/>
      <c r="O98" s="12"/>
      <c r="P98" s="12"/>
      <c r="Q98" s="16">
        <v>0</v>
      </c>
      <c r="R98" s="16">
        <v>125</v>
      </c>
      <c r="S98" s="16"/>
      <c r="T98" s="16" t="e">
        <v>#N/A</v>
      </c>
      <c r="U98" s="16" t="e">
        <v>#N/A</v>
      </c>
    </row>
    <row r="99" spans="1:21" x14ac:dyDescent="0.25">
      <c r="A99" s="12" t="s">
        <v>21</v>
      </c>
      <c r="B99" s="12" t="s">
        <v>140</v>
      </c>
      <c r="C99" s="12" t="s">
        <v>23</v>
      </c>
      <c r="D99" s="15">
        <v>46133.355590277781</v>
      </c>
      <c r="E99" s="12" t="s">
        <v>24</v>
      </c>
      <c r="F99" s="12" t="s">
        <v>141</v>
      </c>
      <c r="G99" s="12">
        <v>4</v>
      </c>
      <c r="H99" s="12">
        <v>4</v>
      </c>
      <c r="I99" s="14"/>
      <c r="J99" s="14" t="s">
        <v>26</v>
      </c>
      <c r="K99" s="12" t="s">
        <v>27</v>
      </c>
      <c r="L99" s="15"/>
      <c r="M99" s="12" t="s">
        <v>28</v>
      </c>
      <c r="N99" s="12"/>
      <c r="O99" s="12"/>
      <c r="P99" s="12"/>
      <c r="Q99" s="16">
        <v>0</v>
      </c>
      <c r="R99" s="16">
        <v>0</v>
      </c>
      <c r="S99" s="16"/>
      <c r="T99" s="16" t="e">
        <v>#N/A</v>
      </c>
      <c r="U99" s="16" t="e">
        <v>#N/A</v>
      </c>
    </row>
    <row r="100" spans="1:21" x14ac:dyDescent="0.25">
      <c r="A100" s="12" t="s">
        <v>21</v>
      </c>
      <c r="B100" s="12" t="s">
        <v>140</v>
      </c>
      <c r="C100" s="12" t="s">
        <v>23</v>
      </c>
      <c r="D100" s="15">
        <v>46133.355590277781</v>
      </c>
      <c r="E100" s="12" t="s">
        <v>24</v>
      </c>
      <c r="F100" s="12" t="s">
        <v>126</v>
      </c>
      <c r="G100" s="12">
        <v>220</v>
      </c>
      <c r="H100" s="12">
        <v>220</v>
      </c>
      <c r="I100" s="14">
        <v>-218</v>
      </c>
      <c r="J100" s="14" t="s">
        <v>26</v>
      </c>
      <c r="K100" s="12" t="s">
        <v>27</v>
      </c>
      <c r="L100" s="15"/>
      <c r="M100" s="12" t="s">
        <v>28</v>
      </c>
      <c r="N100" s="12"/>
      <c r="O100" s="12"/>
      <c r="P100" s="12"/>
      <c r="Q100" s="16">
        <v>0</v>
      </c>
      <c r="R100" s="16">
        <v>0</v>
      </c>
      <c r="S100" s="16"/>
      <c r="T100" s="16" t="e">
        <v>#N/A</v>
      </c>
      <c r="U100" s="16" t="e">
        <v>#N/A</v>
      </c>
    </row>
    <row r="101" spans="1:21" x14ac:dyDescent="0.25">
      <c r="A101" s="12" t="s">
        <v>21</v>
      </c>
      <c r="B101" s="12" t="s">
        <v>140</v>
      </c>
      <c r="C101" s="12" t="s">
        <v>23</v>
      </c>
      <c r="D101" s="15">
        <v>46133.355590277781</v>
      </c>
      <c r="E101" s="12" t="s">
        <v>24</v>
      </c>
      <c r="F101" s="12" t="s">
        <v>142</v>
      </c>
      <c r="G101" s="12">
        <v>20</v>
      </c>
      <c r="H101" s="12">
        <v>20</v>
      </c>
      <c r="I101" s="14"/>
      <c r="J101" s="14" t="s">
        <v>26</v>
      </c>
      <c r="K101" s="12" t="s">
        <v>27</v>
      </c>
      <c r="L101" s="15"/>
      <c r="M101" s="12" t="s">
        <v>28</v>
      </c>
      <c r="N101" s="12"/>
      <c r="O101" s="12"/>
      <c r="P101" s="12"/>
      <c r="Q101" s="16">
        <v>0</v>
      </c>
      <c r="R101" s="16">
        <v>0</v>
      </c>
      <c r="S101" s="16"/>
      <c r="T101" s="16" t="e">
        <v>#N/A</v>
      </c>
      <c r="U101" s="16" t="e">
        <v>#N/A</v>
      </c>
    </row>
    <row r="102" spans="1:21" x14ac:dyDescent="0.25">
      <c r="A102" s="12" t="s">
        <v>21</v>
      </c>
      <c r="B102" s="12" t="s">
        <v>143</v>
      </c>
      <c r="C102" s="12" t="s">
        <v>23</v>
      </c>
      <c r="D102" s="15">
        <v>46133.585949074077</v>
      </c>
      <c r="E102" s="12" t="s">
        <v>24</v>
      </c>
      <c r="F102" s="12" t="s">
        <v>41</v>
      </c>
      <c r="G102" s="12">
        <v>4</v>
      </c>
      <c r="H102" s="12">
        <v>4</v>
      </c>
      <c r="I102" s="14"/>
      <c r="J102" s="14" t="s">
        <v>26</v>
      </c>
      <c r="K102" s="12" t="s">
        <v>27</v>
      </c>
      <c r="L102" s="15"/>
      <c r="M102" s="12" t="s">
        <v>28</v>
      </c>
      <c r="N102" s="12"/>
      <c r="O102" s="12"/>
      <c r="P102" s="12"/>
      <c r="Q102" s="16">
        <v>0</v>
      </c>
      <c r="R102" s="16">
        <v>125</v>
      </c>
      <c r="S102" s="16"/>
      <c r="T102" s="16" t="e">
        <v>#N/A</v>
      </c>
      <c r="U102" s="16" t="e">
        <v>#N/A</v>
      </c>
    </row>
    <row r="103" spans="1:21" x14ac:dyDescent="0.25">
      <c r="A103" s="12" t="s">
        <v>21</v>
      </c>
      <c r="B103" s="12" t="s">
        <v>143</v>
      </c>
      <c r="C103" s="12" t="s">
        <v>23</v>
      </c>
      <c r="D103" s="15">
        <v>46133.585949074077</v>
      </c>
      <c r="E103" s="12" t="s">
        <v>24</v>
      </c>
      <c r="F103" s="12" t="s">
        <v>144</v>
      </c>
      <c r="G103" s="12">
        <v>1</v>
      </c>
      <c r="H103" s="12">
        <v>1</v>
      </c>
      <c r="I103" s="14"/>
      <c r="J103" s="14" t="s">
        <v>26</v>
      </c>
      <c r="K103" s="12" t="s">
        <v>27</v>
      </c>
      <c r="L103" s="15"/>
      <c r="M103" s="12" t="s">
        <v>28</v>
      </c>
      <c r="N103" s="12"/>
      <c r="O103" s="12"/>
      <c r="P103" s="12"/>
      <c r="Q103" s="16">
        <v>0</v>
      </c>
      <c r="R103" s="16">
        <v>7</v>
      </c>
      <c r="S103" s="16"/>
      <c r="T103" s="16" t="e">
        <v>#N/A</v>
      </c>
      <c r="U103" s="16" t="e">
        <v>#N/A</v>
      </c>
    </row>
    <row r="104" spans="1:21" x14ac:dyDescent="0.25">
      <c r="A104" s="12" t="s">
        <v>21</v>
      </c>
      <c r="B104" s="12" t="s">
        <v>143</v>
      </c>
      <c r="C104" s="12" t="s">
        <v>23</v>
      </c>
      <c r="D104" s="15">
        <v>46133.585949074077</v>
      </c>
      <c r="E104" s="12" t="s">
        <v>24</v>
      </c>
      <c r="F104" s="12" t="s">
        <v>145</v>
      </c>
      <c r="G104" s="12">
        <v>126</v>
      </c>
      <c r="H104" s="12">
        <v>126</v>
      </c>
      <c r="I104" s="14"/>
      <c r="J104" s="14" t="s">
        <v>26</v>
      </c>
      <c r="K104" s="12" t="s">
        <v>27</v>
      </c>
      <c r="L104" s="15"/>
      <c r="M104" s="12" t="s">
        <v>28</v>
      </c>
      <c r="N104" s="12"/>
      <c r="O104" s="12"/>
      <c r="P104" s="12"/>
      <c r="Q104" s="16">
        <v>0</v>
      </c>
      <c r="R104" s="16">
        <v>0</v>
      </c>
      <c r="S104" s="16">
        <v>25</v>
      </c>
      <c r="T104" s="16" t="e">
        <v>#N/A</v>
      </c>
      <c r="U104" s="16" t="e">
        <v>#N/A</v>
      </c>
    </row>
    <row r="105" spans="1:21" x14ac:dyDescent="0.25">
      <c r="A105" s="12" t="s">
        <v>21</v>
      </c>
      <c r="B105" s="12" t="s">
        <v>143</v>
      </c>
      <c r="C105" s="12" t="s">
        <v>23</v>
      </c>
      <c r="D105" s="17">
        <v>46133.585949074077</v>
      </c>
      <c r="E105" s="12" t="s">
        <v>24</v>
      </c>
      <c r="F105" s="12" t="s">
        <v>146</v>
      </c>
      <c r="G105" s="12">
        <v>1</v>
      </c>
      <c r="H105" s="12">
        <v>1</v>
      </c>
      <c r="I105" s="14"/>
      <c r="J105" s="14" t="s">
        <v>26</v>
      </c>
      <c r="K105" s="12" t="s">
        <v>27</v>
      </c>
      <c r="L105" s="15"/>
      <c r="M105" s="12" t="s">
        <v>28</v>
      </c>
      <c r="N105" s="12"/>
      <c r="O105" s="12"/>
      <c r="P105" s="12"/>
      <c r="Q105" s="16">
        <v>0</v>
      </c>
      <c r="R105" s="16">
        <v>0</v>
      </c>
      <c r="S105" s="16"/>
      <c r="T105" s="16" t="e">
        <v>#N/A</v>
      </c>
      <c r="U105" s="16" t="e">
        <v>#N/A</v>
      </c>
    </row>
    <row r="106" spans="1:21" x14ac:dyDescent="0.25">
      <c r="A106" s="12" t="s">
        <v>21</v>
      </c>
      <c r="B106" s="12" t="s">
        <v>143</v>
      </c>
      <c r="C106" s="12" t="s">
        <v>23</v>
      </c>
      <c r="D106" s="15">
        <v>46133.585949074077</v>
      </c>
      <c r="E106" s="12" t="s">
        <v>24</v>
      </c>
      <c r="F106" s="12" t="s">
        <v>126</v>
      </c>
      <c r="G106" s="12">
        <v>40</v>
      </c>
      <c r="H106" s="12">
        <v>40</v>
      </c>
      <c r="I106" s="14"/>
      <c r="J106" s="14" t="s">
        <v>26</v>
      </c>
      <c r="K106" s="12" t="s">
        <v>27</v>
      </c>
      <c r="L106" s="15"/>
      <c r="M106" s="12" t="s">
        <v>28</v>
      </c>
      <c r="N106" s="12"/>
      <c r="O106" s="12"/>
      <c r="P106" s="12"/>
      <c r="Q106" s="16">
        <v>0</v>
      </c>
      <c r="R106" s="16">
        <v>0</v>
      </c>
      <c r="S106" s="16"/>
      <c r="T106" s="16" t="e">
        <v>#N/A</v>
      </c>
      <c r="U106" s="16" t="e">
        <v>#N/A</v>
      </c>
    </row>
    <row r="107" spans="1:21" x14ac:dyDescent="0.25">
      <c r="A107" s="12" t="s">
        <v>21</v>
      </c>
      <c r="B107" s="12" t="s">
        <v>143</v>
      </c>
      <c r="C107" s="12" t="s">
        <v>23</v>
      </c>
      <c r="D107" s="15">
        <v>46133.585949074077</v>
      </c>
      <c r="E107" s="12" t="s">
        <v>24</v>
      </c>
      <c r="F107" s="12" t="s">
        <v>147</v>
      </c>
      <c r="G107" s="12">
        <v>5</v>
      </c>
      <c r="H107" s="12">
        <v>5</v>
      </c>
      <c r="I107" s="14"/>
      <c r="J107" s="14" t="s">
        <v>26</v>
      </c>
      <c r="K107" s="12" t="s">
        <v>27</v>
      </c>
      <c r="L107" s="15"/>
      <c r="M107" s="12" t="s">
        <v>28</v>
      </c>
      <c r="N107" s="12"/>
      <c r="O107" s="12"/>
      <c r="P107" s="12"/>
      <c r="Q107" s="16">
        <v>0</v>
      </c>
      <c r="R107" s="16">
        <v>2450</v>
      </c>
      <c r="S107" s="16"/>
      <c r="T107" s="16" t="e">
        <v>#N/A</v>
      </c>
      <c r="U107" s="16" t="e">
        <v>#N/A</v>
      </c>
    </row>
    <row r="108" spans="1:21" x14ac:dyDescent="0.25">
      <c r="A108" s="12" t="s">
        <v>21</v>
      </c>
      <c r="B108" s="12" t="s">
        <v>143</v>
      </c>
      <c r="C108" s="12" t="s">
        <v>23</v>
      </c>
      <c r="D108" s="15">
        <v>46133.585949074077</v>
      </c>
      <c r="E108" s="12" t="s">
        <v>24</v>
      </c>
      <c r="F108" s="12" t="s">
        <v>45</v>
      </c>
      <c r="G108" s="12">
        <v>17</v>
      </c>
      <c r="H108" s="12">
        <v>17</v>
      </c>
      <c r="I108" s="14"/>
      <c r="J108" s="14" t="s">
        <v>26</v>
      </c>
      <c r="K108" s="12" t="s">
        <v>27</v>
      </c>
      <c r="L108" s="15"/>
      <c r="M108" s="12" t="s">
        <v>28</v>
      </c>
      <c r="N108" s="12"/>
      <c r="O108" s="12"/>
      <c r="P108" s="12"/>
      <c r="Q108" s="16">
        <v>0</v>
      </c>
      <c r="R108" s="16">
        <v>0</v>
      </c>
      <c r="S108" s="16"/>
      <c r="T108" s="16" t="e">
        <v>#N/A</v>
      </c>
      <c r="U108" s="16" t="e">
        <v>#N/A</v>
      </c>
    </row>
    <row r="109" spans="1:21" x14ac:dyDescent="0.25">
      <c r="A109" s="12" t="s">
        <v>21</v>
      </c>
      <c r="B109" s="12" t="s">
        <v>143</v>
      </c>
      <c r="C109" s="12" t="s">
        <v>23</v>
      </c>
      <c r="D109" s="15">
        <v>46133.585949074077</v>
      </c>
      <c r="E109" s="12" t="s">
        <v>24</v>
      </c>
      <c r="F109" s="12" t="s">
        <v>148</v>
      </c>
      <c r="G109" s="12">
        <v>2</v>
      </c>
      <c r="H109" s="12">
        <v>2</v>
      </c>
      <c r="I109" s="14"/>
      <c r="J109" s="14" t="s">
        <v>26</v>
      </c>
      <c r="K109" s="12" t="s">
        <v>149</v>
      </c>
      <c r="L109" s="15">
        <v>1</v>
      </c>
      <c r="M109" s="12" t="s">
        <v>150</v>
      </c>
      <c r="N109" s="12">
        <v>2</v>
      </c>
      <c r="O109" s="12">
        <v>2</v>
      </c>
      <c r="P109" s="12">
        <v>0</v>
      </c>
      <c r="Q109" s="16">
        <v>0</v>
      </c>
      <c r="R109" s="16">
        <v>1</v>
      </c>
      <c r="S109" s="16"/>
      <c r="T109" s="16" t="e">
        <v>#N/A</v>
      </c>
      <c r="U109" s="16" t="e">
        <v>#N/A</v>
      </c>
    </row>
    <row r="110" spans="1:21" x14ac:dyDescent="0.25">
      <c r="A110" s="12" t="s">
        <v>21</v>
      </c>
      <c r="B110" s="12" t="s">
        <v>143</v>
      </c>
      <c r="C110" s="12" t="s">
        <v>23</v>
      </c>
      <c r="D110" s="15">
        <v>46133.585949074077</v>
      </c>
      <c r="E110" s="12" t="s">
        <v>24</v>
      </c>
      <c r="F110" s="12" t="s">
        <v>151</v>
      </c>
      <c r="G110" s="12">
        <v>1</v>
      </c>
      <c r="H110" s="12">
        <v>1</v>
      </c>
      <c r="I110" s="14"/>
      <c r="J110" s="14" t="s">
        <v>26</v>
      </c>
      <c r="K110" s="12" t="s">
        <v>27</v>
      </c>
      <c r="L110" s="15"/>
      <c r="M110" s="12" t="s">
        <v>28</v>
      </c>
      <c r="N110" s="12"/>
      <c r="O110" s="12"/>
      <c r="P110" s="12"/>
      <c r="Q110" s="16">
        <v>0</v>
      </c>
      <c r="R110" s="16">
        <v>924</v>
      </c>
      <c r="S110" s="16"/>
      <c r="T110" s="16" t="e">
        <v>#N/A</v>
      </c>
      <c r="U110" s="16" t="e">
        <v>#N/A</v>
      </c>
    </row>
    <row r="111" spans="1:21" x14ac:dyDescent="0.25">
      <c r="A111" s="12" t="s">
        <v>21</v>
      </c>
      <c r="B111" s="12" t="s">
        <v>143</v>
      </c>
      <c r="C111" s="12" t="s">
        <v>23</v>
      </c>
      <c r="D111" s="13">
        <v>46133.585949074077</v>
      </c>
      <c r="E111" s="12" t="s">
        <v>24</v>
      </c>
      <c r="F111" s="12" t="s">
        <v>152</v>
      </c>
      <c r="G111" s="12">
        <v>20</v>
      </c>
      <c r="H111" s="12">
        <v>20</v>
      </c>
      <c r="I111" s="14">
        <v>-19</v>
      </c>
      <c r="J111" s="14" t="s">
        <v>26</v>
      </c>
      <c r="K111" s="12" t="s">
        <v>27</v>
      </c>
      <c r="L111" s="15"/>
      <c r="M111" s="12" t="s">
        <v>28</v>
      </c>
      <c r="N111" s="12"/>
      <c r="O111" s="12"/>
      <c r="P111" s="12"/>
      <c r="Q111" s="16">
        <v>0</v>
      </c>
      <c r="R111" s="16">
        <v>0</v>
      </c>
      <c r="S111" s="16"/>
      <c r="T111" s="16" t="e">
        <v>#N/A</v>
      </c>
      <c r="U111" s="16" t="e">
        <v>#N/A</v>
      </c>
    </row>
    <row r="112" spans="1:21" x14ac:dyDescent="0.25">
      <c r="A112" s="12" t="s">
        <v>21</v>
      </c>
      <c r="B112" s="12" t="s">
        <v>153</v>
      </c>
      <c r="C112" s="12" t="s">
        <v>23</v>
      </c>
      <c r="D112" s="15">
        <v>46136.274409722224</v>
      </c>
      <c r="E112" s="12" t="s">
        <v>24</v>
      </c>
      <c r="F112" s="12" t="s">
        <v>126</v>
      </c>
      <c r="G112" s="12">
        <v>20</v>
      </c>
      <c r="H112" s="12">
        <v>20</v>
      </c>
      <c r="I112" s="14"/>
      <c r="J112" s="14" t="s">
        <v>26</v>
      </c>
      <c r="K112" s="12" t="s">
        <v>27</v>
      </c>
      <c r="L112" s="15"/>
      <c r="M112" s="12" t="s">
        <v>28</v>
      </c>
      <c r="N112" s="12"/>
      <c r="O112" s="12"/>
      <c r="P112" s="12"/>
      <c r="Q112" s="16">
        <v>0</v>
      </c>
      <c r="R112" s="16">
        <v>0</v>
      </c>
      <c r="S112" s="16"/>
      <c r="T112" s="16" t="e">
        <v>#N/A</v>
      </c>
      <c r="U112" s="16" t="e">
        <v>#N/A</v>
      </c>
    </row>
    <row r="113" spans="1:21" x14ac:dyDescent="0.25">
      <c r="A113" s="12" t="s">
        <v>21</v>
      </c>
      <c r="B113" s="12" t="s">
        <v>153</v>
      </c>
      <c r="C113" s="12" t="s">
        <v>23</v>
      </c>
      <c r="D113" s="15">
        <v>46136.274409722224</v>
      </c>
      <c r="E113" s="12" t="s">
        <v>24</v>
      </c>
      <c r="F113" s="12" t="s">
        <v>154</v>
      </c>
      <c r="G113" s="12">
        <v>1</v>
      </c>
      <c r="H113" s="12">
        <v>1</v>
      </c>
      <c r="I113" s="14"/>
      <c r="J113" s="14" t="s">
        <v>26</v>
      </c>
      <c r="K113" s="12" t="s">
        <v>27</v>
      </c>
      <c r="L113" s="15"/>
      <c r="M113" s="12" t="s">
        <v>28</v>
      </c>
      <c r="N113" s="12"/>
      <c r="O113" s="12"/>
      <c r="P113" s="12"/>
      <c r="Q113" s="16">
        <v>0</v>
      </c>
      <c r="R113" s="16">
        <v>0</v>
      </c>
      <c r="S113" s="16"/>
      <c r="T113" s="16" t="e">
        <v>#N/A</v>
      </c>
      <c r="U113" s="16" t="e">
        <v>#N/A</v>
      </c>
    </row>
    <row r="114" spans="1:21" x14ac:dyDescent="0.25">
      <c r="A114" s="12" t="s">
        <v>21</v>
      </c>
      <c r="B114" s="12" t="s">
        <v>155</v>
      </c>
      <c r="C114" s="12" t="s">
        <v>23</v>
      </c>
      <c r="D114" s="15">
        <v>46140.308958333335</v>
      </c>
      <c r="E114" s="12" t="s">
        <v>156</v>
      </c>
      <c r="F114" s="12" t="s">
        <v>157</v>
      </c>
      <c r="G114" s="12">
        <v>30</v>
      </c>
      <c r="H114" s="12">
        <v>25</v>
      </c>
      <c r="I114" s="14"/>
      <c r="J114" s="14" t="s">
        <v>26</v>
      </c>
      <c r="K114" s="12" t="s">
        <v>27</v>
      </c>
      <c r="L114" s="15"/>
      <c r="M114" s="12" t="s">
        <v>28</v>
      </c>
      <c r="N114" s="12"/>
      <c r="O114" s="12"/>
      <c r="P114" s="12"/>
      <c r="Q114" s="16">
        <v>0</v>
      </c>
      <c r="R114" s="16">
        <v>0</v>
      </c>
      <c r="S114" s="16"/>
      <c r="T114" s="16" t="e">
        <v>#N/A</v>
      </c>
      <c r="U114" s="16" t="e">
        <v>#N/A</v>
      </c>
    </row>
    <row r="115" spans="1:21" x14ac:dyDescent="0.25">
      <c r="A115" s="12" t="s">
        <v>21</v>
      </c>
      <c r="B115" s="12" t="s">
        <v>155</v>
      </c>
      <c r="C115" s="12" t="s">
        <v>23</v>
      </c>
      <c r="D115" s="15">
        <v>46140.308958333335</v>
      </c>
      <c r="E115" s="12" t="s">
        <v>156</v>
      </c>
      <c r="F115" s="12" t="s">
        <v>158</v>
      </c>
      <c r="G115" s="12">
        <v>100</v>
      </c>
      <c r="H115" s="12">
        <v>89</v>
      </c>
      <c r="I115" s="14"/>
      <c r="J115" s="14" t="s">
        <v>26</v>
      </c>
      <c r="K115" s="12" t="s">
        <v>27</v>
      </c>
      <c r="L115" s="15"/>
      <c r="M115" s="12" t="s">
        <v>28</v>
      </c>
      <c r="N115" s="12"/>
      <c r="O115" s="12"/>
      <c r="P115" s="12"/>
      <c r="Q115" s="16">
        <v>0</v>
      </c>
      <c r="R115" s="16">
        <v>0</v>
      </c>
      <c r="S115" s="16"/>
      <c r="T115" s="16" t="e">
        <v>#N/A</v>
      </c>
      <c r="U115" s="16" t="e">
        <v>#N/A</v>
      </c>
    </row>
    <row r="116" spans="1:21" x14ac:dyDescent="0.25">
      <c r="A116" s="12" t="s">
        <v>21</v>
      </c>
      <c r="B116" s="12" t="s">
        <v>155</v>
      </c>
      <c r="C116" s="12" t="s">
        <v>23</v>
      </c>
      <c r="D116" s="15">
        <v>46140.308958333335</v>
      </c>
      <c r="E116" s="12" t="s">
        <v>156</v>
      </c>
      <c r="F116" s="12" t="s">
        <v>159</v>
      </c>
      <c r="G116" s="12">
        <v>20</v>
      </c>
      <c r="H116" s="12">
        <v>20</v>
      </c>
      <c r="I116" s="14"/>
      <c r="J116" s="14" t="s">
        <v>26</v>
      </c>
      <c r="K116" s="12" t="s">
        <v>27</v>
      </c>
      <c r="L116" s="15"/>
      <c r="M116" s="12" t="s">
        <v>28</v>
      </c>
      <c r="N116" s="12"/>
      <c r="O116" s="12"/>
      <c r="P116" s="12"/>
      <c r="Q116" s="16">
        <v>0</v>
      </c>
      <c r="R116" s="16">
        <v>0</v>
      </c>
      <c r="S116" s="16"/>
      <c r="T116" s="16" t="e">
        <v>#N/A</v>
      </c>
      <c r="U116" s="16" t="e">
        <v>#N/A</v>
      </c>
    </row>
    <row r="117" spans="1:21" x14ac:dyDescent="0.25">
      <c r="A117" s="12" t="s">
        <v>21</v>
      </c>
      <c r="B117" s="12" t="s">
        <v>155</v>
      </c>
      <c r="C117" s="12" t="s">
        <v>23</v>
      </c>
      <c r="D117" s="15">
        <v>46140.308958333335</v>
      </c>
      <c r="E117" s="12" t="s">
        <v>156</v>
      </c>
      <c r="F117" s="12" t="s">
        <v>160</v>
      </c>
      <c r="G117" s="12">
        <v>250</v>
      </c>
      <c r="H117" s="12">
        <v>210</v>
      </c>
      <c r="I117" s="14"/>
      <c r="J117" s="14" t="s">
        <v>26</v>
      </c>
      <c r="K117" s="12" t="s">
        <v>27</v>
      </c>
      <c r="L117" s="15"/>
      <c r="M117" s="12" t="s">
        <v>28</v>
      </c>
      <c r="N117" s="12"/>
      <c r="O117" s="12"/>
      <c r="P117" s="12"/>
      <c r="Q117" s="16">
        <v>0</v>
      </c>
      <c r="R117" s="16">
        <v>0</v>
      </c>
      <c r="S117" s="16">
        <v>81</v>
      </c>
      <c r="T117" s="16" t="e">
        <v>#N/A</v>
      </c>
      <c r="U117" s="16" t="e">
        <v>#N/A</v>
      </c>
    </row>
    <row r="118" spans="1:21" x14ac:dyDescent="0.25">
      <c r="A118" s="12" t="s">
        <v>21</v>
      </c>
      <c r="B118" s="12" t="s">
        <v>155</v>
      </c>
      <c r="C118" s="12" t="s">
        <v>23</v>
      </c>
      <c r="D118" s="15">
        <v>46140.308958333335</v>
      </c>
      <c r="E118" s="12" t="s">
        <v>156</v>
      </c>
      <c r="F118" s="12" t="s">
        <v>161</v>
      </c>
      <c r="G118" s="12">
        <v>50</v>
      </c>
      <c r="H118" s="12">
        <v>41</v>
      </c>
      <c r="I118" s="14"/>
      <c r="J118" s="14" t="s">
        <v>26</v>
      </c>
      <c r="K118" s="12" t="s">
        <v>27</v>
      </c>
      <c r="L118" s="15"/>
      <c r="M118" s="12" t="s">
        <v>28</v>
      </c>
      <c r="N118" s="12"/>
      <c r="O118" s="12"/>
      <c r="P118" s="12"/>
      <c r="Q118" s="16">
        <v>0</v>
      </c>
      <c r="R118" s="16">
        <v>7</v>
      </c>
      <c r="S118" s="16"/>
      <c r="T118" s="16" t="e">
        <v>#N/A</v>
      </c>
      <c r="U118" s="16" t="e">
        <v>#N/A</v>
      </c>
    </row>
    <row r="119" spans="1:21" x14ac:dyDescent="0.25">
      <c r="A119" s="12" t="s">
        <v>21</v>
      </c>
      <c r="B119" s="12" t="s">
        <v>155</v>
      </c>
      <c r="C119" s="12" t="s">
        <v>23</v>
      </c>
      <c r="D119" s="15">
        <v>46140.308958333335</v>
      </c>
      <c r="E119" s="12" t="s">
        <v>156</v>
      </c>
      <c r="F119" s="12" t="s">
        <v>162</v>
      </c>
      <c r="G119" s="12">
        <v>20</v>
      </c>
      <c r="H119" s="12">
        <v>15</v>
      </c>
      <c r="I119" s="14"/>
      <c r="J119" s="14" t="s">
        <v>26</v>
      </c>
      <c r="K119" s="12" t="s">
        <v>27</v>
      </c>
      <c r="L119" s="15"/>
      <c r="M119" s="12" t="s">
        <v>28</v>
      </c>
      <c r="N119" s="12"/>
      <c r="O119" s="12"/>
      <c r="P119" s="12"/>
      <c r="Q119" s="16">
        <v>0</v>
      </c>
      <c r="R119" s="16">
        <v>0</v>
      </c>
      <c r="S119" s="16">
        <v>14</v>
      </c>
      <c r="T119" s="16" t="e">
        <v>#N/A</v>
      </c>
      <c r="U119" s="16" t="e">
        <v>#N/A</v>
      </c>
    </row>
    <row r="120" spans="1:21" x14ac:dyDescent="0.25">
      <c r="A120" s="12" t="s">
        <v>21</v>
      </c>
      <c r="B120" s="12" t="s">
        <v>163</v>
      </c>
      <c r="C120" s="12" t="s">
        <v>23</v>
      </c>
      <c r="D120" s="15">
        <v>46144.422951388886</v>
      </c>
      <c r="E120" s="12" t="s">
        <v>24</v>
      </c>
      <c r="F120" s="12" t="s">
        <v>95</v>
      </c>
      <c r="G120" s="12">
        <v>3</v>
      </c>
      <c r="H120" s="12">
        <v>3</v>
      </c>
      <c r="I120" s="14"/>
      <c r="J120" s="14" t="s">
        <v>26</v>
      </c>
      <c r="K120" s="12" t="s">
        <v>27</v>
      </c>
      <c r="L120" s="15"/>
      <c r="M120" s="12" t="s">
        <v>28</v>
      </c>
      <c r="N120" s="12"/>
      <c r="O120" s="12"/>
      <c r="P120" s="12"/>
      <c r="Q120" s="16">
        <v>0</v>
      </c>
      <c r="R120" s="16">
        <v>553</v>
      </c>
      <c r="S120" s="16"/>
      <c r="T120" s="16" t="e">
        <v>#N/A</v>
      </c>
      <c r="U120" s="16" t="e">
        <v>#N/A</v>
      </c>
    </row>
    <row r="121" spans="1:21" x14ac:dyDescent="0.25">
      <c r="A121" s="12" t="s">
        <v>21</v>
      </c>
      <c r="B121" s="12" t="s">
        <v>163</v>
      </c>
      <c r="C121" s="12" t="s">
        <v>23</v>
      </c>
      <c r="D121" s="15">
        <v>46144.422951388886</v>
      </c>
      <c r="E121" s="12" t="s">
        <v>24</v>
      </c>
      <c r="F121" s="12" t="s">
        <v>103</v>
      </c>
      <c r="G121" s="12">
        <v>19</v>
      </c>
      <c r="H121" s="12">
        <v>19</v>
      </c>
      <c r="I121" s="14"/>
      <c r="J121" s="14" t="s">
        <v>26</v>
      </c>
      <c r="K121" s="12" t="s">
        <v>27</v>
      </c>
      <c r="L121" s="15"/>
      <c r="M121" s="12" t="s">
        <v>28</v>
      </c>
      <c r="N121" s="12"/>
      <c r="O121" s="12"/>
      <c r="P121" s="12"/>
      <c r="Q121" s="16">
        <v>0</v>
      </c>
      <c r="R121" s="16">
        <v>100</v>
      </c>
      <c r="S121" s="16"/>
      <c r="T121" s="16" t="e">
        <v>#N/A</v>
      </c>
      <c r="U121" s="16" t="e">
        <v>#N/A</v>
      </c>
    </row>
    <row r="122" spans="1:21" x14ac:dyDescent="0.25">
      <c r="A122" s="12" t="s">
        <v>21</v>
      </c>
      <c r="B122" s="12" t="s">
        <v>163</v>
      </c>
      <c r="C122" s="12" t="s">
        <v>23</v>
      </c>
      <c r="D122" s="15">
        <v>46144.422951388886</v>
      </c>
      <c r="E122" s="12" t="s">
        <v>24</v>
      </c>
      <c r="F122" s="12" t="s">
        <v>164</v>
      </c>
      <c r="G122" s="12">
        <v>5</v>
      </c>
      <c r="H122" s="12">
        <v>5</v>
      </c>
      <c r="I122" s="14"/>
      <c r="J122" s="14" t="s">
        <v>61</v>
      </c>
      <c r="K122" s="12" t="s">
        <v>27</v>
      </c>
      <c r="L122" s="15"/>
      <c r="M122" s="12" t="s">
        <v>28</v>
      </c>
      <c r="N122" s="12"/>
      <c r="O122" s="12"/>
      <c r="P122" s="12"/>
      <c r="Q122" s="16">
        <v>5</v>
      </c>
      <c r="R122" s="16">
        <v>0</v>
      </c>
      <c r="S122" s="16"/>
      <c r="T122" s="16" t="e">
        <v>#N/A</v>
      </c>
      <c r="U122" s="16" t="e">
        <v>#N/A</v>
      </c>
    </row>
    <row r="123" spans="1:21" x14ac:dyDescent="0.25">
      <c r="A123" s="12" t="s">
        <v>21</v>
      </c>
      <c r="B123" s="12" t="s">
        <v>163</v>
      </c>
      <c r="C123" s="12" t="s">
        <v>23</v>
      </c>
      <c r="D123" s="17">
        <v>46144.422951388886</v>
      </c>
      <c r="E123" s="12" t="s">
        <v>24</v>
      </c>
      <c r="F123" s="12" t="s">
        <v>165</v>
      </c>
      <c r="G123" s="12">
        <v>5</v>
      </c>
      <c r="H123" s="12">
        <v>5</v>
      </c>
      <c r="I123" s="14"/>
      <c r="J123" s="14" t="s">
        <v>61</v>
      </c>
      <c r="K123" s="12" t="s">
        <v>27</v>
      </c>
      <c r="L123" s="15"/>
      <c r="M123" s="12" t="s">
        <v>28</v>
      </c>
      <c r="N123" s="12"/>
      <c r="O123" s="12"/>
      <c r="P123" s="12"/>
      <c r="Q123" s="16">
        <v>5</v>
      </c>
      <c r="R123" s="16">
        <v>0</v>
      </c>
      <c r="S123" s="16"/>
      <c r="T123" s="16" t="e">
        <v>#N/A</v>
      </c>
      <c r="U123" s="16" t="e">
        <v>#N/A</v>
      </c>
    </row>
    <row r="124" spans="1:21" x14ac:dyDescent="0.25">
      <c r="A124" s="12" t="s">
        <v>21</v>
      </c>
      <c r="B124" s="12" t="s">
        <v>163</v>
      </c>
      <c r="C124" s="12" t="s">
        <v>23</v>
      </c>
      <c r="D124" s="15">
        <v>46144.422951388886</v>
      </c>
      <c r="E124" s="12" t="s">
        <v>24</v>
      </c>
      <c r="F124" s="12" t="s">
        <v>166</v>
      </c>
      <c r="G124" s="12">
        <v>5</v>
      </c>
      <c r="H124" s="12">
        <v>5</v>
      </c>
      <c r="I124" s="14"/>
      <c r="J124" s="14" t="s">
        <v>61</v>
      </c>
      <c r="K124" s="12" t="s">
        <v>27</v>
      </c>
      <c r="L124" s="15"/>
      <c r="M124" s="12" t="s">
        <v>28</v>
      </c>
      <c r="N124" s="12"/>
      <c r="O124" s="12"/>
      <c r="P124" s="12"/>
      <c r="Q124" s="16">
        <v>5</v>
      </c>
      <c r="R124" s="16">
        <v>0</v>
      </c>
      <c r="S124" s="16"/>
      <c r="T124" s="16" t="e">
        <v>#N/A</v>
      </c>
      <c r="U124" s="16" t="e">
        <v>#N/A</v>
      </c>
    </row>
    <row r="125" spans="1:21" x14ac:dyDescent="0.25">
      <c r="A125" s="12" t="s">
        <v>21</v>
      </c>
      <c r="B125" s="12" t="s">
        <v>163</v>
      </c>
      <c r="C125" s="12" t="s">
        <v>23</v>
      </c>
      <c r="D125" s="15">
        <v>46144.422951388886</v>
      </c>
      <c r="E125" s="12" t="s">
        <v>24</v>
      </c>
      <c r="F125" s="12" t="s">
        <v>167</v>
      </c>
      <c r="G125" s="12">
        <v>9</v>
      </c>
      <c r="H125" s="12">
        <v>9</v>
      </c>
      <c r="I125" s="14"/>
      <c r="J125" s="14" t="s">
        <v>61</v>
      </c>
      <c r="K125" s="12" t="s">
        <v>27</v>
      </c>
      <c r="L125" s="15"/>
      <c r="M125" s="12" t="s">
        <v>28</v>
      </c>
      <c r="N125" s="12"/>
      <c r="O125" s="12"/>
      <c r="P125" s="12"/>
      <c r="Q125" s="16">
        <v>9</v>
      </c>
      <c r="R125" s="16">
        <v>0</v>
      </c>
      <c r="S125" s="16"/>
      <c r="T125" s="16" t="e">
        <v>#N/A</v>
      </c>
      <c r="U125" s="16" t="e">
        <v>#N/A</v>
      </c>
    </row>
    <row r="126" spans="1:21" x14ac:dyDescent="0.25">
      <c r="A126" s="12" t="s">
        <v>21</v>
      </c>
      <c r="B126" s="12" t="s">
        <v>163</v>
      </c>
      <c r="C126" s="12" t="s">
        <v>23</v>
      </c>
      <c r="D126" s="15">
        <v>46144.422951388886</v>
      </c>
      <c r="E126" s="12" t="s">
        <v>24</v>
      </c>
      <c r="F126" s="12" t="s">
        <v>168</v>
      </c>
      <c r="G126" s="12">
        <v>1</v>
      </c>
      <c r="H126" s="12">
        <v>1</v>
      </c>
      <c r="I126" s="14"/>
      <c r="J126" s="14" t="s">
        <v>61</v>
      </c>
      <c r="K126" s="12" t="s">
        <v>27</v>
      </c>
      <c r="L126" s="15"/>
      <c r="M126" s="12" t="s">
        <v>28</v>
      </c>
      <c r="N126" s="12"/>
      <c r="O126" s="12"/>
      <c r="P126" s="12"/>
      <c r="Q126" s="16">
        <v>1</v>
      </c>
      <c r="R126" s="16">
        <v>0</v>
      </c>
      <c r="S126" s="16"/>
      <c r="T126" s="16" t="e">
        <v>#N/A</v>
      </c>
      <c r="U126" s="16" t="e">
        <v>#N/A</v>
      </c>
    </row>
    <row r="127" spans="1:21" x14ac:dyDescent="0.25">
      <c r="A127" s="12" t="s">
        <v>21</v>
      </c>
      <c r="B127" s="12" t="s">
        <v>163</v>
      </c>
      <c r="C127" s="12" t="s">
        <v>23</v>
      </c>
      <c r="D127" s="15">
        <v>46144.422951388886</v>
      </c>
      <c r="E127" s="12" t="s">
        <v>24</v>
      </c>
      <c r="F127" s="12" t="s">
        <v>169</v>
      </c>
      <c r="G127" s="12">
        <v>5</v>
      </c>
      <c r="H127" s="12">
        <v>5</v>
      </c>
      <c r="I127" s="14"/>
      <c r="J127" s="14" t="s">
        <v>61</v>
      </c>
      <c r="K127" s="12" t="s">
        <v>27</v>
      </c>
      <c r="L127" s="15"/>
      <c r="M127" s="12" t="s">
        <v>28</v>
      </c>
      <c r="N127" s="12"/>
      <c r="O127" s="12"/>
      <c r="P127" s="12"/>
      <c r="Q127" s="16">
        <v>5</v>
      </c>
      <c r="R127" s="16">
        <v>5</v>
      </c>
      <c r="S127" s="16"/>
      <c r="T127" s="16" t="e">
        <v>#N/A</v>
      </c>
      <c r="U127" s="16" t="e">
        <v>#N/A</v>
      </c>
    </row>
    <row r="128" spans="1:21" x14ac:dyDescent="0.25">
      <c r="A128" s="12" t="s">
        <v>21</v>
      </c>
      <c r="B128" s="12" t="s">
        <v>163</v>
      </c>
      <c r="C128" s="12" t="s">
        <v>23</v>
      </c>
      <c r="D128" s="15">
        <v>46144.422951388886</v>
      </c>
      <c r="E128" s="12" t="s">
        <v>24</v>
      </c>
      <c r="F128" s="12" t="s">
        <v>170</v>
      </c>
      <c r="G128" s="12">
        <v>5</v>
      </c>
      <c r="H128" s="12">
        <v>5</v>
      </c>
      <c r="I128" s="14"/>
      <c r="J128" s="14" t="s">
        <v>61</v>
      </c>
      <c r="K128" s="12" t="s">
        <v>27</v>
      </c>
      <c r="L128" s="15"/>
      <c r="M128" s="12" t="s">
        <v>28</v>
      </c>
      <c r="N128" s="12"/>
      <c r="O128" s="12"/>
      <c r="P128" s="12"/>
      <c r="Q128" s="16">
        <v>5</v>
      </c>
      <c r="R128" s="16">
        <v>4</v>
      </c>
      <c r="S128" s="16"/>
      <c r="T128" s="16" t="e">
        <v>#N/A</v>
      </c>
      <c r="U128" s="16" t="e">
        <v>#N/A</v>
      </c>
    </row>
    <row r="129" spans="1:21" x14ac:dyDescent="0.25">
      <c r="A129" s="12" t="s">
        <v>21</v>
      </c>
      <c r="B129" s="12" t="s">
        <v>163</v>
      </c>
      <c r="C129" s="12" t="s">
        <v>23</v>
      </c>
      <c r="D129" s="15">
        <v>46144.422951388886</v>
      </c>
      <c r="E129" s="12" t="s">
        <v>24</v>
      </c>
      <c r="F129" s="12" t="s">
        <v>171</v>
      </c>
      <c r="G129" s="12">
        <v>1</v>
      </c>
      <c r="H129" s="12">
        <v>1</v>
      </c>
      <c r="I129" s="14"/>
      <c r="J129" s="14" t="s">
        <v>61</v>
      </c>
      <c r="K129" s="12" t="s">
        <v>27</v>
      </c>
      <c r="L129" s="15"/>
      <c r="M129" s="12" t="s">
        <v>28</v>
      </c>
      <c r="N129" s="12"/>
      <c r="O129" s="12"/>
      <c r="P129" s="12"/>
      <c r="Q129" s="16">
        <v>1</v>
      </c>
      <c r="R129" s="16">
        <v>0</v>
      </c>
      <c r="S129" s="16"/>
      <c r="T129" s="16" t="e">
        <v>#N/A</v>
      </c>
      <c r="U129" s="16" t="e">
        <v>#N/A</v>
      </c>
    </row>
    <row r="130" spans="1:21" x14ac:dyDescent="0.25">
      <c r="A130" s="12" t="s">
        <v>21</v>
      </c>
      <c r="B130" s="12" t="s">
        <v>163</v>
      </c>
      <c r="C130" s="12" t="s">
        <v>23</v>
      </c>
      <c r="D130" s="15">
        <v>46144.422951388886</v>
      </c>
      <c r="E130" s="12" t="s">
        <v>24</v>
      </c>
      <c r="F130" s="12" t="s">
        <v>172</v>
      </c>
      <c r="G130" s="12">
        <v>30</v>
      </c>
      <c r="H130" s="12">
        <v>30</v>
      </c>
      <c r="I130" s="14"/>
      <c r="J130" s="14" t="s">
        <v>61</v>
      </c>
      <c r="K130" s="12" t="s">
        <v>27</v>
      </c>
      <c r="L130" s="15"/>
      <c r="M130" s="12" t="s">
        <v>28</v>
      </c>
      <c r="N130" s="12"/>
      <c r="O130" s="12"/>
      <c r="P130" s="12"/>
      <c r="Q130" s="16">
        <v>30</v>
      </c>
      <c r="R130" s="16">
        <v>1</v>
      </c>
      <c r="S130" s="16"/>
      <c r="T130" s="16" t="e">
        <v>#N/A</v>
      </c>
      <c r="U130" s="16" t="e">
        <v>#N/A</v>
      </c>
    </row>
    <row r="131" spans="1:21" x14ac:dyDescent="0.25">
      <c r="A131" s="12" t="s">
        <v>21</v>
      </c>
      <c r="B131" s="12" t="s">
        <v>163</v>
      </c>
      <c r="C131" s="12" t="s">
        <v>23</v>
      </c>
      <c r="D131" s="15">
        <v>46144.422951388886</v>
      </c>
      <c r="E131" s="12" t="s">
        <v>24</v>
      </c>
      <c r="F131" s="12" t="s">
        <v>173</v>
      </c>
      <c r="G131" s="12">
        <v>9</v>
      </c>
      <c r="H131" s="12">
        <v>9</v>
      </c>
      <c r="I131" s="14"/>
      <c r="J131" s="14" t="s">
        <v>61</v>
      </c>
      <c r="K131" s="12" t="s">
        <v>27</v>
      </c>
      <c r="L131" s="15"/>
      <c r="M131" s="12" t="s">
        <v>28</v>
      </c>
      <c r="N131" s="12"/>
      <c r="O131" s="12"/>
      <c r="P131" s="12"/>
      <c r="Q131" s="16">
        <v>9</v>
      </c>
      <c r="R131" s="16">
        <v>0</v>
      </c>
      <c r="S131" s="16"/>
      <c r="T131" s="16" t="e">
        <v>#N/A</v>
      </c>
      <c r="U131" s="16" t="e">
        <v>#N/A</v>
      </c>
    </row>
    <row r="132" spans="1:21" x14ac:dyDescent="0.25">
      <c r="A132" s="12" t="s">
        <v>21</v>
      </c>
      <c r="B132" s="12" t="s">
        <v>163</v>
      </c>
      <c r="C132" s="12" t="s">
        <v>23</v>
      </c>
      <c r="D132" s="15">
        <v>46144.422951388886</v>
      </c>
      <c r="E132" s="12" t="s">
        <v>24</v>
      </c>
      <c r="F132" s="12" t="s">
        <v>174</v>
      </c>
      <c r="G132" s="12">
        <v>2</v>
      </c>
      <c r="H132" s="12">
        <v>2</v>
      </c>
      <c r="I132" s="14"/>
      <c r="J132" s="14" t="s">
        <v>61</v>
      </c>
      <c r="K132" s="12" t="s">
        <v>27</v>
      </c>
      <c r="L132" s="15"/>
      <c r="M132" s="12" t="s">
        <v>28</v>
      </c>
      <c r="N132" s="12"/>
      <c r="O132" s="12"/>
      <c r="P132" s="12"/>
      <c r="Q132" s="16">
        <v>2</v>
      </c>
      <c r="R132" s="16">
        <v>0</v>
      </c>
      <c r="S132" s="16"/>
      <c r="T132" s="16" t="e">
        <v>#N/A</v>
      </c>
      <c r="U132" s="16" t="e">
        <v>#N/A</v>
      </c>
    </row>
    <row r="133" spans="1:21" x14ac:dyDescent="0.25">
      <c r="A133" s="12" t="s">
        <v>21</v>
      </c>
      <c r="B133" s="12" t="s">
        <v>163</v>
      </c>
      <c r="C133" s="12" t="s">
        <v>23</v>
      </c>
      <c r="D133" s="15">
        <v>46144.422951388886</v>
      </c>
      <c r="E133" s="12" t="s">
        <v>24</v>
      </c>
      <c r="F133" s="12" t="s">
        <v>175</v>
      </c>
      <c r="G133" s="12">
        <v>2</v>
      </c>
      <c r="H133" s="12">
        <v>2</v>
      </c>
      <c r="I133" s="14"/>
      <c r="J133" s="14" t="s">
        <v>61</v>
      </c>
      <c r="K133" s="12" t="s">
        <v>27</v>
      </c>
      <c r="L133" s="15"/>
      <c r="M133" s="12" t="s">
        <v>28</v>
      </c>
      <c r="N133" s="12"/>
      <c r="O133" s="12"/>
      <c r="P133" s="12"/>
      <c r="Q133" s="16">
        <v>2</v>
      </c>
      <c r="R133" s="16">
        <v>2</v>
      </c>
      <c r="S133" s="16"/>
      <c r="T133" s="16" t="e">
        <v>#N/A</v>
      </c>
      <c r="U133" s="16" t="e">
        <v>#N/A</v>
      </c>
    </row>
    <row r="134" spans="1:21" x14ac:dyDescent="0.25">
      <c r="A134" s="12" t="s">
        <v>21</v>
      </c>
      <c r="B134" s="12" t="s">
        <v>163</v>
      </c>
      <c r="C134" s="12" t="s">
        <v>23</v>
      </c>
      <c r="D134" s="15">
        <v>46144.422951388886</v>
      </c>
      <c r="E134" s="12" t="s">
        <v>24</v>
      </c>
      <c r="F134" s="12" t="s">
        <v>176</v>
      </c>
      <c r="G134" s="12">
        <v>22</v>
      </c>
      <c r="H134" s="12">
        <v>22</v>
      </c>
      <c r="I134" s="14"/>
      <c r="J134" s="14" t="s">
        <v>61</v>
      </c>
      <c r="K134" s="12" t="s">
        <v>27</v>
      </c>
      <c r="L134" s="15"/>
      <c r="M134" s="12" t="s">
        <v>28</v>
      </c>
      <c r="N134" s="12"/>
      <c r="O134" s="12"/>
      <c r="P134" s="12"/>
      <c r="Q134" s="16">
        <v>22</v>
      </c>
      <c r="R134" s="16">
        <v>0</v>
      </c>
      <c r="S134" s="16"/>
      <c r="T134" s="16" t="e">
        <v>#N/A</v>
      </c>
      <c r="U134" s="16" t="e">
        <v>#N/A</v>
      </c>
    </row>
    <row r="135" spans="1:21" x14ac:dyDescent="0.25">
      <c r="A135" s="12" t="s">
        <v>21</v>
      </c>
      <c r="B135" s="12" t="s">
        <v>163</v>
      </c>
      <c r="C135" s="12" t="s">
        <v>23</v>
      </c>
      <c r="D135" s="15">
        <v>46144.422951388886</v>
      </c>
      <c r="E135" s="12" t="s">
        <v>24</v>
      </c>
      <c r="F135" s="12" t="s">
        <v>177</v>
      </c>
      <c r="G135" s="12">
        <v>7</v>
      </c>
      <c r="H135" s="12">
        <v>7</v>
      </c>
      <c r="I135" s="14"/>
      <c r="J135" s="14" t="s">
        <v>61</v>
      </c>
      <c r="K135" s="12" t="s">
        <v>27</v>
      </c>
      <c r="L135" s="15"/>
      <c r="M135" s="12" t="s">
        <v>28</v>
      </c>
      <c r="N135" s="12"/>
      <c r="O135" s="12"/>
      <c r="P135" s="12"/>
      <c r="Q135" s="16">
        <v>7</v>
      </c>
      <c r="R135" s="16">
        <v>0</v>
      </c>
      <c r="S135" s="16"/>
      <c r="T135" s="16" t="e">
        <v>#N/A</v>
      </c>
      <c r="U135" s="16" t="e">
        <v>#N/A</v>
      </c>
    </row>
    <row r="136" spans="1:21" x14ac:dyDescent="0.25">
      <c r="A136" s="12" t="s">
        <v>21</v>
      </c>
      <c r="B136" s="12" t="s">
        <v>163</v>
      </c>
      <c r="C136" s="12" t="s">
        <v>23</v>
      </c>
      <c r="D136" s="15">
        <v>46144.422951388886</v>
      </c>
      <c r="E136" s="12" t="s">
        <v>24</v>
      </c>
      <c r="F136" s="12" t="s">
        <v>178</v>
      </c>
      <c r="G136" s="12">
        <v>1</v>
      </c>
      <c r="H136" s="12">
        <v>1</v>
      </c>
      <c r="I136" s="14"/>
      <c r="J136" s="14" t="s">
        <v>61</v>
      </c>
      <c r="K136" s="12" t="s">
        <v>27</v>
      </c>
      <c r="L136" s="15"/>
      <c r="M136" s="12" t="s">
        <v>28</v>
      </c>
      <c r="N136" s="12"/>
      <c r="O136" s="12"/>
      <c r="P136" s="12"/>
      <c r="Q136" s="16">
        <v>1</v>
      </c>
      <c r="R136" s="16">
        <v>0</v>
      </c>
      <c r="S136" s="16"/>
      <c r="T136" s="16" t="e">
        <v>#N/A</v>
      </c>
      <c r="U136" s="16" t="e">
        <v>#N/A</v>
      </c>
    </row>
    <row r="137" spans="1:21" x14ac:dyDescent="0.25">
      <c r="A137" s="12" t="s">
        <v>21</v>
      </c>
      <c r="B137" s="12" t="s">
        <v>163</v>
      </c>
      <c r="C137" s="12" t="s">
        <v>23</v>
      </c>
      <c r="D137" s="15">
        <v>46144.422951388886</v>
      </c>
      <c r="E137" s="12" t="s">
        <v>24</v>
      </c>
      <c r="F137" s="12" t="s">
        <v>179</v>
      </c>
      <c r="G137" s="12">
        <v>3</v>
      </c>
      <c r="H137" s="12">
        <v>3</v>
      </c>
      <c r="I137" s="14"/>
      <c r="J137" s="14" t="s">
        <v>61</v>
      </c>
      <c r="K137" s="12" t="s">
        <v>27</v>
      </c>
      <c r="L137" s="15"/>
      <c r="M137" s="12" t="s">
        <v>28</v>
      </c>
      <c r="N137" s="12"/>
      <c r="O137" s="12"/>
      <c r="P137" s="12"/>
      <c r="Q137" s="16">
        <v>3</v>
      </c>
      <c r="R137" s="16">
        <v>0</v>
      </c>
      <c r="S137" s="16"/>
      <c r="T137" s="16" t="e">
        <v>#N/A</v>
      </c>
      <c r="U137" s="16" t="e">
        <v>#N/A</v>
      </c>
    </row>
    <row r="138" spans="1:21" x14ac:dyDescent="0.25">
      <c r="A138" s="12" t="s">
        <v>21</v>
      </c>
      <c r="B138" s="12" t="s">
        <v>163</v>
      </c>
      <c r="C138" s="12" t="s">
        <v>23</v>
      </c>
      <c r="D138" s="15">
        <v>46144.422951388886</v>
      </c>
      <c r="E138" s="12" t="s">
        <v>24</v>
      </c>
      <c r="F138" s="12" t="s">
        <v>180</v>
      </c>
      <c r="G138" s="12">
        <v>9</v>
      </c>
      <c r="H138" s="12">
        <v>9</v>
      </c>
      <c r="I138" s="14"/>
      <c r="J138" s="14" t="s">
        <v>61</v>
      </c>
      <c r="K138" s="12" t="s">
        <v>27</v>
      </c>
      <c r="L138" s="15"/>
      <c r="M138" s="12" t="s">
        <v>28</v>
      </c>
      <c r="N138" s="12"/>
      <c r="O138" s="12"/>
      <c r="P138" s="12"/>
      <c r="Q138" s="16">
        <v>9</v>
      </c>
      <c r="R138" s="16">
        <v>0</v>
      </c>
      <c r="S138" s="16"/>
      <c r="T138" s="16" t="e">
        <v>#N/A</v>
      </c>
      <c r="U138" s="16" t="e">
        <v>#N/A</v>
      </c>
    </row>
    <row r="139" spans="1:21" x14ac:dyDescent="0.25">
      <c r="A139" s="12" t="s">
        <v>21</v>
      </c>
      <c r="B139" s="12" t="s">
        <v>163</v>
      </c>
      <c r="C139" s="12" t="s">
        <v>23</v>
      </c>
      <c r="D139" s="15">
        <v>46144.422951388886</v>
      </c>
      <c r="E139" s="12" t="s">
        <v>24</v>
      </c>
      <c r="F139" s="12" t="s">
        <v>181</v>
      </c>
      <c r="G139" s="12">
        <v>1</v>
      </c>
      <c r="H139" s="12">
        <v>1</v>
      </c>
      <c r="I139" s="14"/>
      <c r="J139" s="14" t="s">
        <v>61</v>
      </c>
      <c r="K139" s="12" t="s">
        <v>27</v>
      </c>
      <c r="L139" s="15"/>
      <c r="M139" s="12" t="s">
        <v>28</v>
      </c>
      <c r="N139" s="12"/>
      <c r="O139" s="12"/>
      <c r="P139" s="12"/>
      <c r="Q139" s="16">
        <v>1</v>
      </c>
      <c r="R139" s="16">
        <v>0</v>
      </c>
      <c r="S139" s="16"/>
      <c r="T139" s="16" t="e">
        <v>#N/A</v>
      </c>
      <c r="U139" s="16" t="e">
        <v>#N/A</v>
      </c>
    </row>
    <row r="140" spans="1:21" x14ac:dyDescent="0.25">
      <c r="A140" s="12" t="s">
        <v>21</v>
      </c>
      <c r="B140" s="12" t="s">
        <v>163</v>
      </c>
      <c r="C140" s="12" t="s">
        <v>23</v>
      </c>
      <c r="D140" s="15">
        <v>46144.422951388886</v>
      </c>
      <c r="E140" s="12" t="s">
        <v>24</v>
      </c>
      <c r="F140" s="12" t="s">
        <v>182</v>
      </c>
      <c r="G140" s="12">
        <v>13</v>
      </c>
      <c r="H140" s="12">
        <v>13</v>
      </c>
      <c r="I140" s="14"/>
      <c r="J140" s="14" t="s">
        <v>61</v>
      </c>
      <c r="K140" s="12" t="s">
        <v>27</v>
      </c>
      <c r="L140" s="15"/>
      <c r="M140" s="12" t="s">
        <v>28</v>
      </c>
      <c r="N140" s="12"/>
      <c r="O140" s="12"/>
      <c r="P140" s="12"/>
      <c r="Q140" s="16">
        <v>13</v>
      </c>
      <c r="R140" s="16">
        <v>0</v>
      </c>
      <c r="S140" s="16"/>
      <c r="T140" s="16" t="e">
        <v>#N/A</v>
      </c>
      <c r="U140" s="16" t="e">
        <v>#N/A</v>
      </c>
    </row>
    <row r="141" spans="1:21" x14ac:dyDescent="0.25">
      <c r="A141" s="12" t="s">
        <v>21</v>
      </c>
      <c r="B141" s="12" t="s">
        <v>163</v>
      </c>
      <c r="C141" s="12" t="s">
        <v>23</v>
      </c>
      <c r="D141" s="13">
        <v>46144.422951388886</v>
      </c>
      <c r="E141" s="12" t="s">
        <v>24</v>
      </c>
      <c r="F141" s="12" t="s">
        <v>130</v>
      </c>
      <c r="G141" s="12">
        <v>134</v>
      </c>
      <c r="H141" s="12">
        <v>134</v>
      </c>
      <c r="I141" s="14"/>
      <c r="J141" s="14" t="s">
        <v>61</v>
      </c>
      <c r="K141" s="12" t="s">
        <v>27</v>
      </c>
      <c r="L141" s="15"/>
      <c r="M141" s="12" t="s">
        <v>28</v>
      </c>
      <c r="N141" s="12"/>
      <c r="O141" s="12"/>
      <c r="P141" s="12"/>
      <c r="Q141" s="16">
        <v>134</v>
      </c>
      <c r="R141" s="16">
        <v>6</v>
      </c>
      <c r="S141" s="16">
        <v>78</v>
      </c>
      <c r="T141" s="16" t="e">
        <v>#N/A</v>
      </c>
      <c r="U141" s="16" t="e">
        <v>#N/A</v>
      </c>
    </row>
    <row r="142" spans="1:21" x14ac:dyDescent="0.25">
      <c r="A142" s="12" t="s">
        <v>21</v>
      </c>
      <c r="B142" s="12" t="s">
        <v>163</v>
      </c>
      <c r="C142" s="12" t="s">
        <v>23</v>
      </c>
      <c r="D142" s="13">
        <v>46144.422951388886</v>
      </c>
      <c r="E142" s="12" t="s">
        <v>24</v>
      </c>
      <c r="F142" s="12" t="s">
        <v>134</v>
      </c>
      <c r="G142" s="12">
        <v>50</v>
      </c>
      <c r="H142" s="12">
        <v>50</v>
      </c>
      <c r="I142" s="14"/>
      <c r="J142" s="14" t="s">
        <v>61</v>
      </c>
      <c r="K142" s="12" t="s">
        <v>27</v>
      </c>
      <c r="L142" s="15"/>
      <c r="M142" s="12" t="s">
        <v>28</v>
      </c>
      <c r="N142" s="12"/>
      <c r="O142" s="12"/>
      <c r="P142" s="12"/>
      <c r="Q142" s="16">
        <v>100</v>
      </c>
      <c r="R142" s="16">
        <v>6</v>
      </c>
      <c r="S142" s="16">
        <v>10</v>
      </c>
      <c r="T142" s="16" t="e">
        <v>#N/A</v>
      </c>
      <c r="U142" s="16" t="e">
        <v>#N/A</v>
      </c>
    </row>
    <row r="143" spans="1:21" x14ac:dyDescent="0.25">
      <c r="A143" s="12" t="s">
        <v>21</v>
      </c>
      <c r="B143" s="12" t="s">
        <v>163</v>
      </c>
      <c r="C143" s="12" t="s">
        <v>23</v>
      </c>
      <c r="D143" s="13">
        <v>46144.422951388886</v>
      </c>
      <c r="E143" s="12" t="s">
        <v>24</v>
      </c>
      <c r="F143" s="12" t="s">
        <v>183</v>
      </c>
      <c r="G143" s="12">
        <v>1</v>
      </c>
      <c r="H143" s="12">
        <v>1</v>
      </c>
      <c r="I143" s="14"/>
      <c r="J143" s="14" t="s">
        <v>26</v>
      </c>
      <c r="K143" s="12" t="s">
        <v>27</v>
      </c>
      <c r="L143" s="15"/>
      <c r="M143" s="12" t="s">
        <v>28</v>
      </c>
      <c r="N143" s="12"/>
      <c r="O143" s="12"/>
      <c r="P143" s="12"/>
      <c r="Q143" s="16">
        <v>0</v>
      </c>
      <c r="R143" s="16">
        <v>0</v>
      </c>
      <c r="S143" s="16"/>
      <c r="T143" s="16" t="e">
        <v>#N/A</v>
      </c>
      <c r="U143" s="16" t="e">
        <v>#N/A</v>
      </c>
    </row>
    <row r="144" spans="1:21" x14ac:dyDescent="0.25">
      <c r="A144" s="12" t="s">
        <v>21</v>
      </c>
      <c r="B144" s="12" t="s">
        <v>163</v>
      </c>
      <c r="C144" s="12" t="s">
        <v>23</v>
      </c>
      <c r="D144" s="15">
        <v>46144.422951388886</v>
      </c>
      <c r="E144" s="12" t="s">
        <v>24</v>
      </c>
      <c r="F144" s="12" t="s">
        <v>184</v>
      </c>
      <c r="G144" s="12">
        <v>2</v>
      </c>
      <c r="H144" s="12">
        <v>2</v>
      </c>
      <c r="I144" s="14"/>
      <c r="J144" s="14" t="s">
        <v>61</v>
      </c>
      <c r="K144" s="12" t="s">
        <v>27</v>
      </c>
      <c r="L144" s="15"/>
      <c r="M144" s="12" t="s">
        <v>28</v>
      </c>
      <c r="N144" s="12"/>
      <c r="O144" s="12"/>
      <c r="P144" s="12"/>
      <c r="Q144" s="16">
        <v>2</v>
      </c>
      <c r="R144" s="16">
        <v>0</v>
      </c>
      <c r="S144" s="16"/>
      <c r="T144" s="16" t="e">
        <v>#N/A</v>
      </c>
      <c r="U144" s="16" t="e">
        <v>#N/A</v>
      </c>
    </row>
    <row r="145" spans="1:21" x14ac:dyDescent="0.25">
      <c r="A145" s="12" t="s">
        <v>21</v>
      </c>
      <c r="B145" s="12" t="s">
        <v>163</v>
      </c>
      <c r="C145" s="12" t="s">
        <v>23</v>
      </c>
      <c r="D145" s="15">
        <v>46144.422951388886</v>
      </c>
      <c r="E145" s="12" t="s">
        <v>24</v>
      </c>
      <c r="F145" s="12" t="s">
        <v>185</v>
      </c>
      <c r="G145" s="12">
        <v>13</v>
      </c>
      <c r="H145" s="12">
        <v>13</v>
      </c>
      <c r="I145" s="14"/>
      <c r="J145" s="14" t="s">
        <v>61</v>
      </c>
      <c r="K145" s="12" t="s">
        <v>27</v>
      </c>
      <c r="L145" s="15"/>
      <c r="M145" s="12" t="s">
        <v>28</v>
      </c>
      <c r="N145" s="12"/>
      <c r="O145" s="12"/>
      <c r="P145" s="12"/>
      <c r="Q145" s="16">
        <v>13</v>
      </c>
      <c r="R145" s="16">
        <v>0</v>
      </c>
      <c r="S145" s="16"/>
      <c r="T145" s="16" t="e">
        <v>#N/A</v>
      </c>
      <c r="U145" s="16" t="e">
        <v>#N/A</v>
      </c>
    </row>
    <row r="146" spans="1:21" x14ac:dyDescent="0.25">
      <c r="A146" s="12" t="s">
        <v>21</v>
      </c>
      <c r="B146" s="12" t="s">
        <v>186</v>
      </c>
      <c r="C146" s="12" t="s">
        <v>23</v>
      </c>
      <c r="D146" s="15">
        <v>46148.526655092595</v>
      </c>
      <c r="E146" s="12" t="s">
        <v>187</v>
      </c>
      <c r="F146" s="12" t="s">
        <v>188</v>
      </c>
      <c r="G146" s="12">
        <v>35000</v>
      </c>
      <c r="H146" s="12">
        <v>35000</v>
      </c>
      <c r="I146" s="14"/>
      <c r="J146" s="14" t="s">
        <v>26</v>
      </c>
      <c r="K146" s="12" t="s">
        <v>190</v>
      </c>
      <c r="L146" s="15">
        <v>1</v>
      </c>
      <c r="M146" s="12" t="s">
        <v>150</v>
      </c>
      <c r="N146" s="12">
        <v>35000</v>
      </c>
      <c r="O146" s="12">
        <v>35000</v>
      </c>
      <c r="P146" s="12">
        <v>0</v>
      </c>
      <c r="Q146" s="16">
        <v>0</v>
      </c>
      <c r="R146" s="16">
        <v>0</v>
      </c>
      <c r="S146" s="16"/>
      <c r="T146" s="16" t="e">
        <v>#N/A</v>
      </c>
      <c r="U146" s="16" t="e">
        <v>#N/A</v>
      </c>
    </row>
    <row r="147" spans="1:21" x14ac:dyDescent="0.25">
      <c r="A147" s="12" t="s">
        <v>21</v>
      </c>
      <c r="B147" s="12" t="s">
        <v>186</v>
      </c>
      <c r="C147" s="12" t="s">
        <v>23</v>
      </c>
      <c r="D147" s="15">
        <v>46148.526655092595</v>
      </c>
      <c r="E147" s="12" t="s">
        <v>187</v>
      </c>
      <c r="F147" s="12" t="s">
        <v>189</v>
      </c>
      <c r="G147" s="12">
        <v>4200</v>
      </c>
      <c r="H147" s="12">
        <v>4200</v>
      </c>
      <c r="I147" s="14"/>
      <c r="J147" s="14" t="s">
        <v>26</v>
      </c>
      <c r="K147" s="12" t="s">
        <v>191</v>
      </c>
      <c r="L147" s="15">
        <v>1</v>
      </c>
      <c r="M147" s="12" t="s">
        <v>150</v>
      </c>
      <c r="N147" s="12">
        <v>4200</v>
      </c>
      <c r="O147" s="12">
        <v>4200</v>
      </c>
      <c r="P147" s="12">
        <v>0</v>
      </c>
      <c r="Q147" s="16">
        <v>0</v>
      </c>
      <c r="R147" s="16">
        <v>0</v>
      </c>
      <c r="S147" s="16"/>
      <c r="T147" s="16" t="e">
        <v>#N/A</v>
      </c>
      <c r="U147" s="16" t="e">
        <v>#N/A</v>
      </c>
    </row>
    <row r="148" spans="1:21" x14ac:dyDescent="0.25">
      <c r="A148" s="12" t="s">
        <v>21</v>
      </c>
      <c r="B148" s="12" t="s">
        <v>192</v>
      </c>
      <c r="C148" s="12" t="s">
        <v>23</v>
      </c>
      <c r="D148" s="15">
        <v>46150.403587962966</v>
      </c>
      <c r="E148" s="12" t="s">
        <v>193</v>
      </c>
      <c r="F148" s="12" t="s">
        <v>70</v>
      </c>
      <c r="G148" s="12">
        <v>50</v>
      </c>
      <c r="H148" s="12">
        <v>20</v>
      </c>
      <c r="I148" s="14"/>
      <c r="J148" s="14" t="s">
        <v>26</v>
      </c>
      <c r="K148" s="12" t="s">
        <v>27</v>
      </c>
      <c r="L148" s="15"/>
      <c r="M148" s="12" t="s">
        <v>28</v>
      </c>
      <c r="N148" s="12"/>
      <c r="O148" s="12"/>
      <c r="P148" s="12"/>
      <c r="Q148" s="16">
        <v>0</v>
      </c>
      <c r="R148" s="16">
        <v>0</v>
      </c>
      <c r="S148" s="16"/>
      <c r="T148" s="16" t="e">
        <v>#N/A</v>
      </c>
      <c r="U148" s="16" t="e">
        <v>#N/A</v>
      </c>
    </row>
    <row r="149" spans="1:21" x14ac:dyDescent="0.25">
      <c r="A149" s="12" t="s">
        <v>21</v>
      </c>
      <c r="B149" s="12" t="s">
        <v>194</v>
      </c>
      <c r="C149" s="12" t="s">
        <v>23</v>
      </c>
      <c r="D149" s="13">
        <v>46153.504027777781</v>
      </c>
      <c r="E149" s="12" t="s">
        <v>195</v>
      </c>
      <c r="F149" s="12" t="s">
        <v>40</v>
      </c>
      <c r="G149" s="12">
        <v>11</v>
      </c>
      <c r="H149" s="12">
        <v>11</v>
      </c>
      <c r="I149" s="14"/>
      <c r="J149" s="14" t="s">
        <v>26</v>
      </c>
      <c r="K149" s="12" t="s">
        <v>27</v>
      </c>
      <c r="L149" s="15"/>
      <c r="M149" s="12" t="s">
        <v>28</v>
      </c>
      <c r="N149" s="12"/>
      <c r="O149" s="12"/>
      <c r="P149" s="12"/>
      <c r="Q149" s="16">
        <v>0</v>
      </c>
      <c r="R149" s="16">
        <v>934</v>
      </c>
      <c r="S149" s="16"/>
      <c r="T149" s="16" t="e">
        <v>#N/A</v>
      </c>
      <c r="U149" s="16" t="e">
        <v>#N/A</v>
      </c>
    </row>
    <row r="150" spans="1:21" x14ac:dyDescent="0.25">
      <c r="A150" s="12" t="s">
        <v>21</v>
      </c>
      <c r="B150" s="12" t="s">
        <v>194</v>
      </c>
      <c r="C150" s="12" t="s">
        <v>23</v>
      </c>
      <c r="D150" s="15">
        <v>46153.504027777781</v>
      </c>
      <c r="E150" s="12" t="s">
        <v>195</v>
      </c>
      <c r="F150" s="12" t="s">
        <v>42</v>
      </c>
      <c r="G150" s="12">
        <v>17</v>
      </c>
      <c r="H150" s="12">
        <v>17</v>
      </c>
      <c r="I150" s="14"/>
      <c r="J150" s="14" t="s">
        <v>26</v>
      </c>
      <c r="K150" s="12" t="s">
        <v>27</v>
      </c>
      <c r="L150" s="15"/>
      <c r="M150" s="12" t="s">
        <v>28</v>
      </c>
      <c r="N150" s="12"/>
      <c r="O150" s="12"/>
      <c r="P150" s="12"/>
      <c r="Q150" s="16">
        <v>0</v>
      </c>
      <c r="R150" s="16">
        <v>0</v>
      </c>
      <c r="S150" s="16"/>
      <c r="T150" s="16" t="e">
        <v>#N/A</v>
      </c>
      <c r="U150" s="16" t="e">
        <v>#N/A</v>
      </c>
    </row>
    <row r="151" spans="1:21" x14ac:dyDescent="0.25">
      <c r="A151" s="12" t="s">
        <v>21</v>
      </c>
      <c r="B151" s="12" t="s">
        <v>194</v>
      </c>
      <c r="C151" s="12" t="s">
        <v>23</v>
      </c>
      <c r="D151" s="15">
        <v>46153.504027777781</v>
      </c>
      <c r="E151" s="12" t="s">
        <v>195</v>
      </c>
      <c r="F151" s="12" t="s">
        <v>145</v>
      </c>
      <c r="G151" s="12">
        <v>244</v>
      </c>
      <c r="H151" s="12">
        <v>244</v>
      </c>
      <c r="I151" s="14"/>
      <c r="J151" s="14" t="s">
        <v>26</v>
      </c>
      <c r="K151" s="12" t="s">
        <v>27</v>
      </c>
      <c r="L151" s="15"/>
      <c r="M151" s="12" t="s">
        <v>28</v>
      </c>
      <c r="N151" s="12"/>
      <c r="O151" s="12"/>
      <c r="P151" s="12"/>
      <c r="Q151" s="16">
        <v>0</v>
      </c>
      <c r="R151" s="16">
        <v>0</v>
      </c>
      <c r="S151" s="16"/>
      <c r="T151" s="16" t="e">
        <v>#N/A</v>
      </c>
      <c r="U151" s="16" t="e">
        <v>#N/A</v>
      </c>
    </row>
    <row r="152" spans="1:21" x14ac:dyDescent="0.25">
      <c r="A152" s="12" t="s">
        <v>21</v>
      </c>
      <c r="B152" s="12" t="s">
        <v>194</v>
      </c>
      <c r="C152" s="12" t="s">
        <v>23</v>
      </c>
      <c r="D152" s="15">
        <v>46153.504027777781</v>
      </c>
      <c r="E152" s="12" t="s">
        <v>195</v>
      </c>
      <c r="F152" s="12" t="s">
        <v>196</v>
      </c>
      <c r="G152" s="12">
        <v>2</v>
      </c>
      <c r="H152" s="12">
        <v>2</v>
      </c>
      <c r="I152" s="14"/>
      <c r="J152" s="14" t="s">
        <v>26</v>
      </c>
      <c r="K152" s="12" t="s">
        <v>27</v>
      </c>
      <c r="L152" s="15"/>
      <c r="M152" s="12" t="s">
        <v>28</v>
      </c>
      <c r="N152" s="12"/>
      <c r="O152" s="12"/>
      <c r="P152" s="12"/>
      <c r="Q152" s="16">
        <v>0</v>
      </c>
      <c r="R152" s="16">
        <v>0</v>
      </c>
      <c r="S152" s="16"/>
      <c r="T152" s="16" t="e">
        <v>#N/A</v>
      </c>
      <c r="U152" s="16" t="e">
        <v>#N/A</v>
      </c>
    </row>
    <row r="153" spans="1:21" x14ac:dyDescent="0.25">
      <c r="A153" s="12" t="s">
        <v>21</v>
      </c>
      <c r="B153" s="12" t="s">
        <v>194</v>
      </c>
      <c r="C153" s="12" t="s">
        <v>23</v>
      </c>
      <c r="D153" s="15">
        <v>46153.504027777781</v>
      </c>
      <c r="E153" s="12" t="s">
        <v>195</v>
      </c>
      <c r="F153" s="12" t="s">
        <v>44</v>
      </c>
      <c r="G153" s="12">
        <v>187</v>
      </c>
      <c r="H153" s="12">
        <v>187</v>
      </c>
      <c r="I153" s="14"/>
      <c r="J153" s="14" t="s">
        <v>26</v>
      </c>
      <c r="K153" s="12" t="s">
        <v>27</v>
      </c>
      <c r="L153" s="15"/>
      <c r="M153" s="12" t="s">
        <v>28</v>
      </c>
      <c r="N153" s="12"/>
      <c r="O153" s="12"/>
      <c r="P153" s="12"/>
      <c r="Q153" s="16">
        <v>0</v>
      </c>
      <c r="R153" s="16">
        <v>75</v>
      </c>
      <c r="S153" s="16"/>
      <c r="T153" s="16" t="e">
        <v>#N/A</v>
      </c>
      <c r="U153" s="16" t="e">
        <v>#N/A</v>
      </c>
    </row>
    <row r="154" spans="1:21" x14ac:dyDescent="0.25">
      <c r="A154" s="12" t="s">
        <v>21</v>
      </c>
      <c r="B154" s="12" t="s">
        <v>194</v>
      </c>
      <c r="C154" s="12" t="s">
        <v>23</v>
      </c>
      <c r="D154" s="15">
        <v>46153.504027777781</v>
      </c>
      <c r="E154" s="12" t="s">
        <v>195</v>
      </c>
      <c r="F154" s="12" t="s">
        <v>47</v>
      </c>
      <c r="G154" s="12">
        <v>100</v>
      </c>
      <c r="H154" s="12">
        <v>100</v>
      </c>
      <c r="I154" s="14"/>
      <c r="J154" s="14" t="s">
        <v>26</v>
      </c>
      <c r="K154" s="12" t="s">
        <v>27</v>
      </c>
      <c r="L154" s="15"/>
      <c r="M154" s="12" t="s">
        <v>28</v>
      </c>
      <c r="N154" s="12"/>
      <c r="O154" s="12"/>
      <c r="P154" s="12"/>
      <c r="Q154" s="16">
        <v>0</v>
      </c>
      <c r="R154" s="16">
        <v>0</v>
      </c>
      <c r="S154" s="16"/>
      <c r="T154" s="16" t="e">
        <v>#N/A</v>
      </c>
      <c r="U154" s="16" t="e">
        <v>#N/A</v>
      </c>
    </row>
    <row r="155" spans="1:21" x14ac:dyDescent="0.25">
      <c r="A155" s="12" t="s">
        <v>21</v>
      </c>
      <c r="B155" s="12" t="s">
        <v>197</v>
      </c>
      <c r="C155" s="12" t="s">
        <v>23</v>
      </c>
      <c r="D155" s="15">
        <v>46154.373402777775</v>
      </c>
      <c r="E155" s="12" t="s">
        <v>198</v>
      </c>
      <c r="F155" s="12" t="s">
        <v>199</v>
      </c>
      <c r="G155" s="12">
        <v>1</v>
      </c>
      <c r="H155" s="12">
        <v>1</v>
      </c>
      <c r="I155" s="14"/>
      <c r="J155" s="14" t="s">
        <v>26</v>
      </c>
      <c r="K155" s="12" t="s">
        <v>27</v>
      </c>
      <c r="L155" s="15"/>
      <c r="M155" s="12" t="s">
        <v>28</v>
      </c>
      <c r="N155" s="12"/>
      <c r="O155" s="12"/>
      <c r="P155" s="12"/>
      <c r="Q155" s="16">
        <v>0</v>
      </c>
      <c r="R155" s="16">
        <v>0</v>
      </c>
      <c r="S155" s="16"/>
      <c r="T155" s="16" t="e">
        <v>#N/A</v>
      </c>
      <c r="U155" s="16" t="e">
        <v>#N/A</v>
      </c>
    </row>
    <row r="156" spans="1:21" x14ac:dyDescent="0.25">
      <c r="A156" s="12" t="s">
        <v>21</v>
      </c>
      <c r="B156" s="12" t="s">
        <v>200</v>
      </c>
      <c r="C156" s="12" t="s">
        <v>23</v>
      </c>
      <c r="D156" s="17">
        <v>46154.424583333333</v>
      </c>
      <c r="E156" s="12" t="s">
        <v>198</v>
      </c>
      <c r="F156" s="12" t="s">
        <v>159</v>
      </c>
      <c r="G156" s="12">
        <v>20</v>
      </c>
      <c r="H156" s="12">
        <v>9</v>
      </c>
      <c r="I156" s="14"/>
      <c r="J156" s="14" t="s">
        <v>26</v>
      </c>
      <c r="K156" s="12" t="s">
        <v>27</v>
      </c>
      <c r="L156" s="15"/>
      <c r="M156" s="12" t="s">
        <v>28</v>
      </c>
      <c r="N156" s="12"/>
      <c r="O156" s="12"/>
      <c r="P156" s="12"/>
      <c r="Q156" s="16">
        <v>0</v>
      </c>
      <c r="R156" s="16">
        <v>0</v>
      </c>
      <c r="S156" s="16"/>
      <c r="T156" s="16" t="e">
        <v>#N/A</v>
      </c>
      <c r="U156" s="16" t="e">
        <v>#N/A</v>
      </c>
    </row>
    <row r="157" spans="1:21" x14ac:dyDescent="0.25">
      <c r="A157" s="12" t="s">
        <v>21</v>
      </c>
      <c r="B157" s="12" t="s">
        <v>200</v>
      </c>
      <c r="C157" s="12" t="s">
        <v>23</v>
      </c>
      <c r="D157" s="15">
        <v>46154.424583333333</v>
      </c>
      <c r="E157" s="12" t="s">
        <v>198</v>
      </c>
      <c r="F157" s="12" t="s">
        <v>201</v>
      </c>
      <c r="G157" s="12">
        <v>60</v>
      </c>
      <c r="H157" s="12">
        <v>50</v>
      </c>
      <c r="I157" s="14"/>
      <c r="J157" s="14" t="s">
        <v>26</v>
      </c>
      <c r="K157" s="12" t="s">
        <v>27</v>
      </c>
      <c r="L157" s="15"/>
      <c r="M157" s="12" t="s">
        <v>28</v>
      </c>
      <c r="N157" s="12"/>
      <c r="O157" s="12"/>
      <c r="P157" s="12"/>
      <c r="Q157" s="16">
        <v>0</v>
      </c>
      <c r="R157" s="16">
        <v>0</v>
      </c>
      <c r="S157" s="16">
        <v>9</v>
      </c>
      <c r="T157" s="16" t="e">
        <v>#N/A</v>
      </c>
      <c r="U157" s="16" t="e">
        <v>#N/A</v>
      </c>
    </row>
    <row r="158" spans="1:21" x14ac:dyDescent="0.25">
      <c r="A158" s="12" t="s">
        <v>21</v>
      </c>
      <c r="B158" s="12" t="s">
        <v>202</v>
      </c>
      <c r="C158" s="12" t="s">
        <v>23</v>
      </c>
      <c r="D158" s="13">
        <v>46155.295949074076</v>
      </c>
      <c r="E158" s="12" t="s">
        <v>198</v>
      </c>
      <c r="F158" s="12" t="s">
        <v>103</v>
      </c>
      <c r="G158" s="12">
        <v>20</v>
      </c>
      <c r="H158" s="12">
        <v>2</v>
      </c>
      <c r="I158" s="14"/>
      <c r="J158" s="14" t="s">
        <v>26</v>
      </c>
      <c r="K158" s="12" t="s">
        <v>27</v>
      </c>
      <c r="L158" s="15"/>
      <c r="M158" s="12" t="s">
        <v>28</v>
      </c>
      <c r="N158" s="12"/>
      <c r="O158" s="12"/>
      <c r="P158" s="12"/>
      <c r="Q158" s="16">
        <v>0</v>
      </c>
      <c r="R158" s="16">
        <v>100</v>
      </c>
      <c r="S158" s="16"/>
      <c r="T158" s="16" t="e">
        <v>#N/A</v>
      </c>
      <c r="U158" s="16" t="e">
        <v>#N/A</v>
      </c>
    </row>
    <row r="159" spans="1:21" x14ac:dyDescent="0.25">
      <c r="A159" s="12" t="s">
        <v>21</v>
      </c>
      <c r="B159" s="12" t="s">
        <v>203</v>
      </c>
      <c r="C159" s="12" t="s">
        <v>23</v>
      </c>
      <c r="D159" s="17">
        <v>46155.357118055559</v>
      </c>
      <c r="E159" s="12" t="s">
        <v>195</v>
      </c>
      <c r="F159" s="12" t="s">
        <v>204</v>
      </c>
      <c r="G159" s="12">
        <v>3</v>
      </c>
      <c r="H159" s="12">
        <v>3</v>
      </c>
      <c r="I159" s="14"/>
      <c r="J159" s="14" t="s">
        <v>26</v>
      </c>
      <c r="K159" s="12" t="s">
        <v>27</v>
      </c>
      <c r="L159" s="15"/>
      <c r="M159" s="12" t="s">
        <v>28</v>
      </c>
      <c r="N159" s="12"/>
      <c r="O159" s="12"/>
      <c r="P159" s="12"/>
      <c r="Q159" s="16">
        <v>0</v>
      </c>
      <c r="R159" s="16">
        <v>80</v>
      </c>
      <c r="S159" s="16"/>
      <c r="T159" s="16" t="e">
        <v>#N/A</v>
      </c>
      <c r="U159" s="16" t="e">
        <v>#N/A</v>
      </c>
    </row>
    <row r="160" spans="1:21" x14ac:dyDescent="0.25">
      <c r="A160" s="12" t="s">
        <v>21</v>
      </c>
      <c r="B160" s="12" t="s">
        <v>203</v>
      </c>
      <c r="C160" s="12" t="s">
        <v>23</v>
      </c>
      <c r="D160" s="15">
        <v>46155.357118055559</v>
      </c>
      <c r="E160" s="12" t="s">
        <v>195</v>
      </c>
      <c r="F160" s="12" t="s">
        <v>40</v>
      </c>
      <c r="G160" s="12">
        <v>26</v>
      </c>
      <c r="H160" s="12">
        <v>26</v>
      </c>
      <c r="I160" s="14"/>
      <c r="J160" s="14" t="s">
        <v>26</v>
      </c>
      <c r="K160" s="12" t="s">
        <v>27</v>
      </c>
      <c r="L160" s="15"/>
      <c r="M160" s="12" t="s">
        <v>28</v>
      </c>
      <c r="N160" s="12"/>
      <c r="O160" s="12"/>
      <c r="P160" s="12"/>
      <c r="Q160" s="16">
        <v>0</v>
      </c>
      <c r="R160" s="16">
        <v>934</v>
      </c>
      <c r="S160" s="16"/>
      <c r="T160" s="16" t="e">
        <v>#N/A</v>
      </c>
      <c r="U160" s="16" t="e">
        <v>#N/A</v>
      </c>
    </row>
    <row r="161" spans="1:21" x14ac:dyDescent="0.25">
      <c r="A161" s="12" t="s">
        <v>21</v>
      </c>
      <c r="B161" s="12" t="s">
        <v>203</v>
      </c>
      <c r="C161" s="12" t="s">
        <v>23</v>
      </c>
      <c r="D161" s="15">
        <v>46155.357118055559</v>
      </c>
      <c r="E161" s="12" t="s">
        <v>195</v>
      </c>
      <c r="F161" s="12" t="s">
        <v>205</v>
      </c>
      <c r="G161" s="12">
        <v>24</v>
      </c>
      <c r="H161" s="12">
        <v>24</v>
      </c>
      <c r="I161" s="14"/>
      <c r="J161" s="14" t="s">
        <v>26</v>
      </c>
      <c r="K161" s="12" t="s">
        <v>27</v>
      </c>
      <c r="L161" s="15"/>
      <c r="M161" s="12" t="s">
        <v>28</v>
      </c>
      <c r="N161" s="12"/>
      <c r="O161" s="12"/>
      <c r="P161" s="12"/>
      <c r="Q161" s="16">
        <v>0</v>
      </c>
      <c r="R161" s="16">
        <v>439</v>
      </c>
      <c r="S161" s="16">
        <v>23</v>
      </c>
      <c r="T161" s="16" t="e">
        <v>#N/A</v>
      </c>
      <c r="U161" s="16" t="e">
        <v>#N/A</v>
      </c>
    </row>
    <row r="162" spans="1:21" x14ac:dyDescent="0.25">
      <c r="A162" s="12" t="s">
        <v>21</v>
      </c>
      <c r="B162" s="12" t="s">
        <v>203</v>
      </c>
      <c r="C162" s="12" t="s">
        <v>23</v>
      </c>
      <c r="D162" s="15">
        <v>46155.357118055559</v>
      </c>
      <c r="E162" s="12" t="s">
        <v>195</v>
      </c>
      <c r="F162" s="12" t="s">
        <v>144</v>
      </c>
      <c r="G162" s="12">
        <v>1</v>
      </c>
      <c r="H162" s="12">
        <v>1</v>
      </c>
      <c r="I162" s="14"/>
      <c r="J162" s="14" t="s">
        <v>26</v>
      </c>
      <c r="K162" s="12" t="s">
        <v>27</v>
      </c>
      <c r="L162" s="15"/>
      <c r="M162" s="12" t="s">
        <v>28</v>
      </c>
      <c r="N162" s="12"/>
      <c r="O162" s="12"/>
      <c r="P162" s="12"/>
      <c r="Q162" s="16">
        <v>0</v>
      </c>
      <c r="R162" s="16">
        <v>7</v>
      </c>
      <c r="S162" s="16"/>
      <c r="T162" s="16" t="e">
        <v>#N/A</v>
      </c>
      <c r="U162" s="16" t="e">
        <v>#N/A</v>
      </c>
    </row>
    <row r="163" spans="1:21" x14ac:dyDescent="0.25">
      <c r="A163" s="12" t="s">
        <v>21</v>
      </c>
      <c r="B163" s="12" t="s">
        <v>203</v>
      </c>
      <c r="C163" s="12" t="s">
        <v>23</v>
      </c>
      <c r="D163" s="15">
        <v>46155.357118055559</v>
      </c>
      <c r="E163" s="12" t="s">
        <v>195</v>
      </c>
      <c r="F163" s="12" t="s">
        <v>206</v>
      </c>
      <c r="G163" s="12">
        <v>2</v>
      </c>
      <c r="H163" s="12">
        <v>2</v>
      </c>
      <c r="I163" s="14"/>
      <c r="J163" s="14" t="s">
        <v>26</v>
      </c>
      <c r="K163" s="12" t="s">
        <v>27</v>
      </c>
      <c r="L163" s="15"/>
      <c r="M163" s="12" t="s">
        <v>28</v>
      </c>
      <c r="N163" s="12"/>
      <c r="O163" s="12"/>
      <c r="P163" s="12"/>
      <c r="Q163" s="16">
        <v>0</v>
      </c>
      <c r="R163" s="16">
        <v>9</v>
      </c>
      <c r="S163" s="16"/>
      <c r="T163" s="16" t="e">
        <v>#N/A</v>
      </c>
      <c r="U163" s="16" t="e">
        <v>#N/A</v>
      </c>
    </row>
    <row r="164" spans="1:21" x14ac:dyDescent="0.25">
      <c r="A164" s="12" t="s">
        <v>21</v>
      </c>
      <c r="B164" s="12" t="s">
        <v>203</v>
      </c>
      <c r="C164" s="12" t="s">
        <v>23</v>
      </c>
      <c r="D164" s="15">
        <v>46155.357118055559</v>
      </c>
      <c r="E164" s="12" t="s">
        <v>195</v>
      </c>
      <c r="F164" s="12" t="s">
        <v>42</v>
      </c>
      <c r="G164" s="12">
        <v>16</v>
      </c>
      <c r="H164" s="12">
        <v>16</v>
      </c>
      <c r="I164" s="14"/>
      <c r="J164" s="14" t="s">
        <v>26</v>
      </c>
      <c r="K164" s="12" t="s">
        <v>27</v>
      </c>
      <c r="L164" s="15"/>
      <c r="M164" s="12" t="s">
        <v>28</v>
      </c>
      <c r="N164" s="12"/>
      <c r="O164" s="12"/>
      <c r="P164" s="12"/>
      <c r="Q164" s="16">
        <v>0</v>
      </c>
      <c r="R164" s="16">
        <v>0</v>
      </c>
      <c r="S164" s="16"/>
      <c r="T164" s="16" t="e">
        <v>#N/A</v>
      </c>
      <c r="U164" s="16" t="e">
        <v>#N/A</v>
      </c>
    </row>
    <row r="165" spans="1:21" x14ac:dyDescent="0.25">
      <c r="A165" s="12" t="s">
        <v>21</v>
      </c>
      <c r="B165" s="12" t="s">
        <v>203</v>
      </c>
      <c r="C165" s="12" t="s">
        <v>23</v>
      </c>
      <c r="D165" s="15">
        <v>46155.357118055559</v>
      </c>
      <c r="E165" s="12" t="s">
        <v>195</v>
      </c>
      <c r="F165" s="12" t="s">
        <v>207</v>
      </c>
      <c r="G165" s="12">
        <v>8</v>
      </c>
      <c r="H165" s="12">
        <v>8</v>
      </c>
      <c r="I165" s="14"/>
      <c r="J165" s="14" t="s">
        <v>26</v>
      </c>
      <c r="K165" s="12" t="s">
        <v>27</v>
      </c>
      <c r="L165" s="15"/>
      <c r="M165" s="12" t="s">
        <v>28</v>
      </c>
      <c r="N165" s="12"/>
      <c r="O165" s="12"/>
      <c r="P165" s="12"/>
      <c r="Q165" s="16">
        <v>0</v>
      </c>
      <c r="R165" s="16">
        <v>0</v>
      </c>
      <c r="S165" s="16"/>
      <c r="T165" s="16" t="e">
        <v>#N/A</v>
      </c>
      <c r="U165" s="16" t="e">
        <v>#N/A</v>
      </c>
    </row>
    <row r="166" spans="1:21" x14ac:dyDescent="0.25">
      <c r="A166" s="12" t="s">
        <v>21</v>
      </c>
      <c r="B166" s="12" t="s">
        <v>203</v>
      </c>
      <c r="C166" s="12" t="s">
        <v>23</v>
      </c>
      <c r="D166" s="15">
        <v>46155.357118055559</v>
      </c>
      <c r="E166" s="12" t="s">
        <v>195</v>
      </c>
      <c r="F166" s="12" t="s">
        <v>208</v>
      </c>
      <c r="G166" s="12">
        <v>12</v>
      </c>
      <c r="H166" s="12">
        <v>12</v>
      </c>
      <c r="I166" s="14"/>
      <c r="J166" s="14" t="s">
        <v>26</v>
      </c>
      <c r="K166" s="12" t="s">
        <v>27</v>
      </c>
      <c r="L166" s="15"/>
      <c r="M166" s="12" t="s">
        <v>28</v>
      </c>
      <c r="N166" s="12"/>
      <c r="O166" s="12"/>
      <c r="P166" s="12"/>
      <c r="Q166" s="16">
        <v>0</v>
      </c>
      <c r="R166" s="16">
        <v>0</v>
      </c>
      <c r="S166" s="16"/>
      <c r="T166" s="16" t="e">
        <v>#N/A</v>
      </c>
      <c r="U166" s="16" t="e">
        <v>#N/A</v>
      </c>
    </row>
    <row r="167" spans="1:21" x14ac:dyDescent="0.25">
      <c r="A167" s="12" t="s">
        <v>21</v>
      </c>
      <c r="B167" s="12" t="s">
        <v>203</v>
      </c>
      <c r="C167" s="12" t="s">
        <v>23</v>
      </c>
      <c r="D167" s="15">
        <v>46155.357118055559</v>
      </c>
      <c r="E167" s="12" t="s">
        <v>195</v>
      </c>
      <c r="F167" s="12" t="s">
        <v>209</v>
      </c>
      <c r="G167" s="12">
        <v>1</v>
      </c>
      <c r="H167" s="12">
        <v>1</v>
      </c>
      <c r="I167" s="14"/>
      <c r="J167" s="14" t="s">
        <v>26</v>
      </c>
      <c r="K167" s="12" t="s">
        <v>27</v>
      </c>
      <c r="L167" s="15"/>
      <c r="M167" s="12" t="s">
        <v>28</v>
      </c>
      <c r="N167" s="12"/>
      <c r="O167" s="12"/>
      <c r="P167" s="12"/>
      <c r="Q167" s="16">
        <v>0</v>
      </c>
      <c r="R167" s="16">
        <v>0</v>
      </c>
      <c r="S167" s="16"/>
      <c r="T167" s="16" t="e">
        <v>#N/A</v>
      </c>
      <c r="U167" s="16" t="e">
        <v>#N/A</v>
      </c>
    </row>
    <row r="168" spans="1:21" x14ac:dyDescent="0.25">
      <c r="A168" s="12" t="s">
        <v>21</v>
      </c>
      <c r="B168" s="12" t="s">
        <v>210</v>
      </c>
      <c r="C168" s="12" t="s">
        <v>23</v>
      </c>
      <c r="D168" s="15">
        <v>46155.377951388888</v>
      </c>
      <c r="E168" s="12" t="s">
        <v>195</v>
      </c>
      <c r="F168" s="12" t="s">
        <v>145</v>
      </c>
      <c r="G168" s="12">
        <v>272</v>
      </c>
      <c r="H168" s="12">
        <v>272</v>
      </c>
      <c r="I168" s="14"/>
      <c r="J168" s="14" t="s">
        <v>26</v>
      </c>
      <c r="K168" s="12" t="s">
        <v>27</v>
      </c>
      <c r="L168" s="15"/>
      <c r="M168" s="12" t="s">
        <v>28</v>
      </c>
      <c r="N168" s="12"/>
      <c r="O168" s="12"/>
      <c r="P168" s="12"/>
      <c r="Q168" s="16">
        <v>0</v>
      </c>
      <c r="R168" s="16">
        <v>0</v>
      </c>
      <c r="S168" s="16"/>
      <c r="T168" s="16" t="e">
        <v>#N/A</v>
      </c>
      <c r="U168" s="16" t="e">
        <v>#N/A</v>
      </c>
    </row>
    <row r="169" spans="1:21" x14ac:dyDescent="0.25">
      <c r="A169" s="12" t="s">
        <v>21</v>
      </c>
      <c r="B169" s="12" t="s">
        <v>210</v>
      </c>
      <c r="C169" s="12" t="s">
        <v>23</v>
      </c>
      <c r="D169" s="15">
        <v>46155.377951388888</v>
      </c>
      <c r="E169" s="12" t="s">
        <v>195</v>
      </c>
      <c r="F169" s="12" t="s">
        <v>211</v>
      </c>
      <c r="G169" s="12">
        <v>2</v>
      </c>
      <c r="H169" s="12">
        <v>2</v>
      </c>
      <c r="I169" s="14"/>
      <c r="J169" s="14" t="s">
        <v>26</v>
      </c>
      <c r="K169" s="12" t="s">
        <v>27</v>
      </c>
      <c r="L169" s="15"/>
      <c r="M169" s="12" t="s">
        <v>28</v>
      </c>
      <c r="N169" s="12"/>
      <c r="O169" s="12"/>
      <c r="P169" s="12"/>
      <c r="Q169" s="16">
        <v>0</v>
      </c>
      <c r="R169" s="16">
        <v>0</v>
      </c>
      <c r="S169" s="16"/>
      <c r="T169" s="16" t="e">
        <v>#N/A</v>
      </c>
      <c r="U169" s="16" t="e">
        <v>#N/A</v>
      </c>
    </row>
    <row r="170" spans="1:21" x14ac:dyDescent="0.25">
      <c r="A170" s="12" t="s">
        <v>21</v>
      </c>
      <c r="B170" s="12" t="s">
        <v>210</v>
      </c>
      <c r="C170" s="12" t="s">
        <v>23</v>
      </c>
      <c r="D170" s="15">
        <v>46155.377951388888</v>
      </c>
      <c r="E170" s="12" t="s">
        <v>195</v>
      </c>
      <c r="F170" s="12" t="s">
        <v>44</v>
      </c>
      <c r="G170" s="12">
        <v>134</v>
      </c>
      <c r="H170" s="12">
        <v>134</v>
      </c>
      <c r="I170" s="14"/>
      <c r="J170" s="14" t="s">
        <v>26</v>
      </c>
      <c r="K170" s="12" t="s">
        <v>27</v>
      </c>
      <c r="L170" s="15"/>
      <c r="M170" s="12" t="s">
        <v>28</v>
      </c>
      <c r="N170" s="12"/>
      <c r="O170" s="12"/>
      <c r="P170" s="12"/>
      <c r="Q170" s="16">
        <v>0</v>
      </c>
      <c r="R170" s="16">
        <v>75</v>
      </c>
      <c r="S170" s="16"/>
      <c r="T170" s="16" t="e">
        <v>#N/A</v>
      </c>
      <c r="U170" s="16" t="e">
        <v>#N/A</v>
      </c>
    </row>
    <row r="171" spans="1:21" x14ac:dyDescent="0.25">
      <c r="A171" s="12" t="s">
        <v>21</v>
      </c>
      <c r="B171" s="12" t="s">
        <v>210</v>
      </c>
      <c r="C171" s="12" t="s">
        <v>23</v>
      </c>
      <c r="D171" s="15">
        <v>46155.377951388888</v>
      </c>
      <c r="E171" s="12" t="s">
        <v>195</v>
      </c>
      <c r="F171" s="12" t="s">
        <v>48</v>
      </c>
      <c r="G171" s="12">
        <v>138</v>
      </c>
      <c r="H171" s="12">
        <v>138</v>
      </c>
      <c r="I171" s="14"/>
      <c r="J171" s="14" t="s">
        <v>26</v>
      </c>
      <c r="K171" s="12" t="s">
        <v>27</v>
      </c>
      <c r="L171" s="15"/>
      <c r="M171" s="12" t="s">
        <v>28</v>
      </c>
      <c r="N171" s="12"/>
      <c r="O171" s="12"/>
      <c r="P171" s="12"/>
      <c r="Q171" s="16">
        <v>0</v>
      </c>
      <c r="R171" s="16">
        <v>3758</v>
      </c>
      <c r="S171" s="16">
        <v>38</v>
      </c>
      <c r="T171" s="16" t="e">
        <v>#N/A</v>
      </c>
      <c r="U171" s="16" t="e">
        <v>#N/A</v>
      </c>
    </row>
    <row r="172" spans="1:21" x14ac:dyDescent="0.25">
      <c r="A172" s="12" t="s">
        <v>21</v>
      </c>
      <c r="B172" s="12" t="s">
        <v>212</v>
      </c>
      <c r="C172" s="12" t="s">
        <v>23</v>
      </c>
      <c r="D172" s="17">
        <v>46155.388773148145</v>
      </c>
      <c r="E172" s="12" t="s">
        <v>195</v>
      </c>
      <c r="F172" s="12" t="s">
        <v>40</v>
      </c>
      <c r="G172" s="12">
        <v>19</v>
      </c>
      <c r="H172" s="12">
        <v>19</v>
      </c>
      <c r="I172" s="14"/>
      <c r="J172" s="14" t="s">
        <v>26</v>
      </c>
      <c r="K172" s="12" t="s">
        <v>27</v>
      </c>
      <c r="L172" s="15"/>
      <c r="M172" s="12" t="s">
        <v>28</v>
      </c>
      <c r="N172" s="12"/>
      <c r="O172" s="12"/>
      <c r="P172" s="12"/>
      <c r="Q172" s="16">
        <v>0</v>
      </c>
      <c r="R172" s="16">
        <v>934</v>
      </c>
      <c r="S172" s="16"/>
      <c r="T172" s="16" t="e">
        <v>#N/A</v>
      </c>
      <c r="U172" s="16" t="e">
        <v>#N/A</v>
      </c>
    </row>
    <row r="173" spans="1:21" x14ac:dyDescent="0.25">
      <c r="A173" s="12" t="s">
        <v>21</v>
      </c>
      <c r="B173" s="12" t="s">
        <v>212</v>
      </c>
      <c r="C173" s="12" t="s">
        <v>23</v>
      </c>
      <c r="D173" s="17">
        <v>46155.388773148145</v>
      </c>
      <c r="E173" s="12" t="s">
        <v>195</v>
      </c>
      <c r="F173" s="12" t="s">
        <v>86</v>
      </c>
      <c r="G173" s="12">
        <v>4</v>
      </c>
      <c r="H173" s="12">
        <v>4</v>
      </c>
      <c r="I173" s="14"/>
      <c r="J173" s="14" t="s">
        <v>26</v>
      </c>
      <c r="K173" s="12" t="s">
        <v>27</v>
      </c>
      <c r="L173" s="15"/>
      <c r="M173" s="12" t="s">
        <v>28</v>
      </c>
      <c r="N173" s="12"/>
      <c r="O173" s="12"/>
      <c r="P173" s="12"/>
      <c r="Q173" s="16">
        <v>0</v>
      </c>
      <c r="R173" s="16">
        <v>0</v>
      </c>
      <c r="S173" s="16"/>
      <c r="T173" s="16" t="e">
        <v>#N/A</v>
      </c>
      <c r="U173" s="16" t="e">
        <v>#N/A</v>
      </c>
    </row>
    <row r="174" spans="1:21" x14ac:dyDescent="0.25">
      <c r="A174" s="12" t="s">
        <v>21</v>
      </c>
      <c r="B174" s="12" t="s">
        <v>212</v>
      </c>
      <c r="C174" s="12" t="s">
        <v>23</v>
      </c>
      <c r="D174" s="17">
        <v>46155.388773148145</v>
      </c>
      <c r="E174" s="12" t="s">
        <v>195</v>
      </c>
      <c r="F174" s="12" t="s">
        <v>144</v>
      </c>
      <c r="G174" s="12">
        <v>1</v>
      </c>
      <c r="H174" s="12">
        <v>1</v>
      </c>
      <c r="I174" s="14"/>
      <c r="J174" s="14" t="s">
        <v>26</v>
      </c>
      <c r="K174" s="12" t="s">
        <v>27</v>
      </c>
      <c r="L174" s="15"/>
      <c r="M174" s="12" t="s">
        <v>28</v>
      </c>
      <c r="N174" s="12"/>
      <c r="O174" s="12"/>
      <c r="P174" s="12"/>
      <c r="Q174" s="16">
        <v>0</v>
      </c>
      <c r="R174" s="16">
        <v>7</v>
      </c>
      <c r="S174" s="16"/>
      <c r="T174" s="16" t="e">
        <v>#N/A</v>
      </c>
      <c r="U174" s="16" t="e">
        <v>#N/A</v>
      </c>
    </row>
    <row r="175" spans="1:21" x14ac:dyDescent="0.25">
      <c r="A175" s="12" t="s">
        <v>21</v>
      </c>
      <c r="B175" s="12" t="s">
        <v>212</v>
      </c>
      <c r="C175" s="12" t="s">
        <v>23</v>
      </c>
      <c r="D175" s="17">
        <v>46155.388773148145</v>
      </c>
      <c r="E175" s="12" t="s">
        <v>195</v>
      </c>
      <c r="F175" s="12" t="s">
        <v>42</v>
      </c>
      <c r="G175" s="12">
        <v>6</v>
      </c>
      <c r="H175" s="12">
        <v>6</v>
      </c>
      <c r="I175" s="14"/>
      <c r="J175" s="14" t="s">
        <v>26</v>
      </c>
      <c r="K175" s="12" t="s">
        <v>27</v>
      </c>
      <c r="L175" s="15"/>
      <c r="M175" s="12" t="s">
        <v>28</v>
      </c>
      <c r="N175" s="12"/>
      <c r="O175" s="12"/>
      <c r="P175" s="12"/>
      <c r="Q175" s="16">
        <v>0</v>
      </c>
      <c r="R175" s="16">
        <v>0</v>
      </c>
      <c r="S175" s="16"/>
      <c r="T175" s="16" t="e">
        <v>#N/A</v>
      </c>
      <c r="U175" s="16" t="e">
        <v>#N/A</v>
      </c>
    </row>
    <row r="176" spans="1:21" x14ac:dyDescent="0.25">
      <c r="A176" s="12" t="s">
        <v>21</v>
      </c>
      <c r="B176" s="12" t="s">
        <v>212</v>
      </c>
      <c r="C176" s="12" t="s">
        <v>23</v>
      </c>
      <c r="D176" s="17">
        <v>46155.388773148145</v>
      </c>
      <c r="E176" s="12" t="s">
        <v>195</v>
      </c>
      <c r="F176" s="12" t="s">
        <v>145</v>
      </c>
      <c r="G176" s="12">
        <v>134</v>
      </c>
      <c r="H176" s="12">
        <v>134</v>
      </c>
      <c r="I176" s="14"/>
      <c r="J176" s="14" t="s">
        <v>26</v>
      </c>
      <c r="K176" s="12" t="s">
        <v>27</v>
      </c>
      <c r="L176" s="15"/>
      <c r="M176" s="12" t="s">
        <v>28</v>
      </c>
      <c r="N176" s="12"/>
      <c r="O176" s="12"/>
      <c r="P176" s="12"/>
      <c r="Q176" s="16">
        <v>0</v>
      </c>
      <c r="R176" s="16">
        <v>0</v>
      </c>
      <c r="S176" s="16"/>
      <c r="T176" s="16" t="e">
        <v>#N/A</v>
      </c>
      <c r="U176" s="16" t="e">
        <v>#N/A</v>
      </c>
    </row>
    <row r="177" spans="1:21" x14ac:dyDescent="0.25">
      <c r="A177" s="12" t="s">
        <v>21</v>
      </c>
      <c r="B177" s="12" t="s">
        <v>212</v>
      </c>
      <c r="C177" s="12" t="s">
        <v>23</v>
      </c>
      <c r="D177" s="17">
        <v>46155.388773148145</v>
      </c>
      <c r="E177" s="12" t="s">
        <v>195</v>
      </c>
      <c r="F177" s="12" t="s">
        <v>213</v>
      </c>
      <c r="G177" s="12">
        <v>4</v>
      </c>
      <c r="H177" s="12">
        <v>4</v>
      </c>
      <c r="I177" s="14"/>
      <c r="J177" s="14" t="s">
        <v>26</v>
      </c>
      <c r="K177" s="12" t="s">
        <v>27</v>
      </c>
      <c r="L177" s="15"/>
      <c r="M177" s="12" t="s">
        <v>28</v>
      </c>
      <c r="N177" s="12"/>
      <c r="O177" s="12"/>
      <c r="P177" s="12"/>
      <c r="Q177" s="16">
        <v>0</v>
      </c>
      <c r="R177" s="16">
        <v>0</v>
      </c>
      <c r="S177" s="16"/>
      <c r="T177" s="16" t="e">
        <v>#N/A</v>
      </c>
      <c r="U177" s="16" t="e">
        <v>#N/A</v>
      </c>
    </row>
    <row r="178" spans="1:21" x14ac:dyDescent="0.25">
      <c r="A178" s="12" t="s">
        <v>21</v>
      </c>
      <c r="B178" s="12" t="s">
        <v>212</v>
      </c>
      <c r="C178" s="12" t="s">
        <v>23</v>
      </c>
      <c r="D178" s="17">
        <v>46155.388773148145</v>
      </c>
      <c r="E178" s="12" t="s">
        <v>195</v>
      </c>
      <c r="F178" s="12" t="s">
        <v>89</v>
      </c>
      <c r="G178" s="12">
        <v>4</v>
      </c>
      <c r="H178" s="12">
        <v>4</v>
      </c>
      <c r="I178" s="14"/>
      <c r="J178" s="14" t="s">
        <v>26</v>
      </c>
      <c r="K178" s="12" t="s">
        <v>27</v>
      </c>
      <c r="L178" s="15"/>
      <c r="M178" s="12" t="s">
        <v>28</v>
      </c>
      <c r="N178" s="12"/>
      <c r="O178" s="12"/>
      <c r="P178" s="12"/>
      <c r="Q178" s="16">
        <v>0</v>
      </c>
      <c r="R178" s="16">
        <v>0</v>
      </c>
      <c r="S178" s="16"/>
      <c r="T178" s="16" t="e">
        <v>#N/A</v>
      </c>
      <c r="U178" s="16" t="e">
        <v>#N/A</v>
      </c>
    </row>
    <row r="179" spans="1:21" x14ac:dyDescent="0.25">
      <c r="A179" s="12" t="s">
        <v>21</v>
      </c>
      <c r="B179" s="12" t="s">
        <v>212</v>
      </c>
      <c r="C179" s="12" t="s">
        <v>23</v>
      </c>
      <c r="D179" s="17">
        <v>46155.388773148145</v>
      </c>
      <c r="E179" s="12" t="s">
        <v>195</v>
      </c>
      <c r="F179" s="12" t="s">
        <v>214</v>
      </c>
      <c r="G179" s="12">
        <v>4</v>
      </c>
      <c r="H179" s="12">
        <v>4</v>
      </c>
      <c r="I179" s="14"/>
      <c r="J179" s="14" t="s">
        <v>26</v>
      </c>
      <c r="K179" s="12" t="s">
        <v>27</v>
      </c>
      <c r="L179" s="15"/>
      <c r="M179" s="12" t="s">
        <v>28</v>
      </c>
      <c r="N179" s="12"/>
      <c r="O179" s="12"/>
      <c r="P179" s="12"/>
      <c r="Q179" s="16">
        <v>0</v>
      </c>
      <c r="R179" s="16">
        <v>270</v>
      </c>
      <c r="S179" s="16">
        <v>3</v>
      </c>
      <c r="T179" s="16" t="e">
        <v>#N/A</v>
      </c>
      <c r="U179" s="16" t="e">
        <v>#N/A</v>
      </c>
    </row>
    <row r="180" spans="1:21" x14ac:dyDescent="0.25">
      <c r="A180" s="12" t="s">
        <v>21</v>
      </c>
      <c r="B180" s="12" t="s">
        <v>212</v>
      </c>
      <c r="C180" s="12" t="s">
        <v>23</v>
      </c>
      <c r="D180" s="15">
        <v>46155.388773148145</v>
      </c>
      <c r="E180" s="12" t="s">
        <v>195</v>
      </c>
      <c r="F180" s="12" t="s">
        <v>91</v>
      </c>
      <c r="G180" s="12">
        <v>4</v>
      </c>
      <c r="H180" s="12">
        <v>4</v>
      </c>
      <c r="I180" s="14"/>
      <c r="J180" s="14" t="s">
        <v>26</v>
      </c>
      <c r="K180" s="12" t="s">
        <v>27</v>
      </c>
      <c r="L180" s="15"/>
      <c r="M180" s="12" t="s">
        <v>28</v>
      </c>
      <c r="N180" s="12"/>
      <c r="O180" s="12"/>
      <c r="P180" s="12"/>
      <c r="Q180" s="16">
        <v>0</v>
      </c>
      <c r="R180" s="16">
        <v>0</v>
      </c>
      <c r="S180" s="16"/>
      <c r="T180" s="16" t="e">
        <v>#N/A</v>
      </c>
      <c r="U180" s="16" t="e">
        <v>#N/A</v>
      </c>
    </row>
    <row r="181" spans="1:21" x14ac:dyDescent="0.25">
      <c r="A181" s="12" t="s">
        <v>21</v>
      </c>
      <c r="B181" s="12" t="s">
        <v>212</v>
      </c>
      <c r="C181" s="12" t="s">
        <v>23</v>
      </c>
      <c r="D181" s="15">
        <v>46155.388773148145</v>
      </c>
      <c r="E181" s="12" t="s">
        <v>195</v>
      </c>
      <c r="F181" s="12" t="s">
        <v>92</v>
      </c>
      <c r="G181" s="12">
        <v>4</v>
      </c>
      <c r="H181" s="12">
        <v>4</v>
      </c>
      <c r="I181" s="14"/>
      <c r="J181" s="14" t="s">
        <v>26</v>
      </c>
      <c r="K181" s="12" t="s">
        <v>27</v>
      </c>
      <c r="L181" s="15"/>
      <c r="M181" s="12" t="s">
        <v>28</v>
      </c>
      <c r="N181" s="12"/>
      <c r="O181" s="12"/>
      <c r="P181" s="12"/>
      <c r="Q181" s="16">
        <v>0</v>
      </c>
      <c r="R181" s="16">
        <v>0</v>
      </c>
      <c r="S181" s="16"/>
      <c r="T181" s="16" t="e">
        <v>#N/A</v>
      </c>
      <c r="U181" s="16" t="e">
        <v>#N/A</v>
      </c>
    </row>
    <row r="182" spans="1:21" x14ac:dyDescent="0.25">
      <c r="A182" s="12" t="s">
        <v>21</v>
      </c>
      <c r="B182" s="12" t="s">
        <v>212</v>
      </c>
      <c r="C182" s="12" t="s">
        <v>23</v>
      </c>
      <c r="D182" s="15">
        <v>46155.388773148145</v>
      </c>
      <c r="E182" s="12" t="s">
        <v>195</v>
      </c>
      <c r="F182" s="12" t="s">
        <v>215</v>
      </c>
      <c r="G182" s="12">
        <v>4</v>
      </c>
      <c r="H182" s="12">
        <v>4</v>
      </c>
      <c r="I182" s="14"/>
      <c r="J182" s="14" t="s">
        <v>26</v>
      </c>
      <c r="K182" s="12" t="s">
        <v>27</v>
      </c>
      <c r="L182" s="15"/>
      <c r="M182" s="12" t="s">
        <v>28</v>
      </c>
      <c r="N182" s="12"/>
      <c r="O182" s="12"/>
      <c r="P182" s="12"/>
      <c r="Q182" s="16">
        <v>0</v>
      </c>
      <c r="R182" s="16">
        <v>1</v>
      </c>
      <c r="S182" s="16"/>
      <c r="T182" s="16" t="e">
        <v>#N/A</v>
      </c>
      <c r="U182" s="16" t="e">
        <v>#N/A</v>
      </c>
    </row>
    <row r="183" spans="1:21" x14ac:dyDescent="0.25">
      <c r="A183" s="12" t="s">
        <v>21</v>
      </c>
      <c r="B183" s="12" t="s">
        <v>212</v>
      </c>
      <c r="C183" s="12" t="s">
        <v>23</v>
      </c>
      <c r="D183" s="15">
        <v>46155.388773148145</v>
      </c>
      <c r="E183" s="12" t="s">
        <v>195</v>
      </c>
      <c r="F183" s="12" t="s">
        <v>196</v>
      </c>
      <c r="G183" s="12">
        <v>4</v>
      </c>
      <c r="H183" s="12">
        <v>4</v>
      </c>
      <c r="I183" s="14"/>
      <c r="J183" s="14" t="s">
        <v>26</v>
      </c>
      <c r="K183" s="12" t="s">
        <v>27</v>
      </c>
      <c r="L183" s="15"/>
      <c r="M183" s="12" t="s">
        <v>28</v>
      </c>
      <c r="N183" s="12"/>
      <c r="O183" s="12"/>
      <c r="P183" s="12"/>
      <c r="Q183" s="16">
        <v>0</v>
      </c>
      <c r="R183" s="16">
        <v>0</v>
      </c>
      <c r="S183" s="16"/>
      <c r="T183" s="16" t="e">
        <v>#N/A</v>
      </c>
      <c r="U183" s="16" t="e">
        <v>#N/A</v>
      </c>
    </row>
    <row r="184" spans="1:21" x14ac:dyDescent="0.25">
      <c r="A184" s="12" t="s">
        <v>21</v>
      </c>
      <c r="B184" s="12" t="s">
        <v>212</v>
      </c>
      <c r="C184" s="12" t="s">
        <v>23</v>
      </c>
      <c r="D184" s="15">
        <v>46155.388773148145</v>
      </c>
      <c r="E184" s="12" t="s">
        <v>195</v>
      </c>
      <c r="F184" s="12" t="s">
        <v>94</v>
      </c>
      <c r="G184" s="12">
        <v>20</v>
      </c>
      <c r="H184" s="12">
        <v>20</v>
      </c>
      <c r="I184" s="14"/>
      <c r="J184" s="14" t="s">
        <v>26</v>
      </c>
      <c r="K184" s="12" t="s">
        <v>27</v>
      </c>
      <c r="L184" s="15"/>
      <c r="M184" s="12" t="s">
        <v>28</v>
      </c>
      <c r="N184" s="12"/>
      <c r="O184" s="12"/>
      <c r="P184" s="12"/>
      <c r="Q184" s="16">
        <v>0</v>
      </c>
      <c r="R184" s="16">
        <v>100</v>
      </c>
      <c r="S184" s="16"/>
      <c r="T184" s="16" t="e">
        <v>#N/A</v>
      </c>
      <c r="U184" s="16" t="e">
        <v>#N/A</v>
      </c>
    </row>
    <row r="185" spans="1:21" x14ac:dyDescent="0.25">
      <c r="A185" s="12" t="s">
        <v>21</v>
      </c>
      <c r="B185" s="12" t="s">
        <v>212</v>
      </c>
      <c r="C185" s="12" t="s">
        <v>23</v>
      </c>
      <c r="D185" s="17">
        <v>46155.388773148145</v>
      </c>
      <c r="E185" s="12" t="s">
        <v>195</v>
      </c>
      <c r="F185" s="12" t="s">
        <v>207</v>
      </c>
      <c r="G185" s="12">
        <v>4</v>
      </c>
      <c r="H185" s="12">
        <v>4</v>
      </c>
      <c r="I185" s="14"/>
      <c r="J185" s="14" t="s">
        <v>26</v>
      </c>
      <c r="K185" s="12" t="s">
        <v>27</v>
      </c>
      <c r="L185" s="15"/>
      <c r="M185" s="12" t="s">
        <v>28</v>
      </c>
      <c r="N185" s="12"/>
      <c r="O185" s="12"/>
      <c r="P185" s="12"/>
      <c r="Q185" s="16">
        <v>0</v>
      </c>
      <c r="R185" s="16">
        <v>0</v>
      </c>
      <c r="S185" s="16"/>
      <c r="T185" s="16" t="e">
        <v>#N/A</v>
      </c>
      <c r="U185" s="16" t="e">
        <v>#N/A</v>
      </c>
    </row>
    <row r="186" spans="1:21" x14ac:dyDescent="0.25">
      <c r="A186" s="12" t="s">
        <v>21</v>
      </c>
      <c r="B186" s="12" t="s">
        <v>212</v>
      </c>
      <c r="C186" s="12" t="s">
        <v>23</v>
      </c>
      <c r="D186" s="15">
        <v>46155.388773148145</v>
      </c>
      <c r="E186" s="12" t="s">
        <v>195</v>
      </c>
      <c r="F186" s="12" t="s">
        <v>209</v>
      </c>
      <c r="G186" s="12">
        <v>1</v>
      </c>
      <c r="H186" s="12">
        <v>1</v>
      </c>
      <c r="I186" s="14"/>
      <c r="J186" s="14" t="s">
        <v>26</v>
      </c>
      <c r="K186" s="12" t="s">
        <v>27</v>
      </c>
      <c r="L186" s="15"/>
      <c r="M186" s="12" t="s">
        <v>28</v>
      </c>
      <c r="N186" s="12"/>
      <c r="O186" s="12"/>
      <c r="P186" s="12"/>
      <c r="Q186" s="16">
        <v>0</v>
      </c>
      <c r="R186" s="16">
        <v>0</v>
      </c>
      <c r="S186" s="16"/>
      <c r="T186" s="16" t="e">
        <v>#N/A</v>
      </c>
      <c r="U186" s="16" t="e">
        <v>#N/A</v>
      </c>
    </row>
    <row r="187" spans="1:21" x14ac:dyDescent="0.25">
      <c r="A187" s="12" t="s">
        <v>21</v>
      </c>
      <c r="B187" s="12" t="s">
        <v>216</v>
      </c>
      <c r="C187" s="12" t="s">
        <v>23</v>
      </c>
      <c r="D187" s="15">
        <v>46155.477210648147</v>
      </c>
      <c r="E187" s="12" t="s">
        <v>195</v>
      </c>
      <c r="F187" s="12" t="s">
        <v>44</v>
      </c>
      <c r="G187" s="12">
        <v>51</v>
      </c>
      <c r="H187" s="12">
        <v>51</v>
      </c>
      <c r="I187" s="14"/>
      <c r="J187" s="14" t="s">
        <v>26</v>
      </c>
      <c r="K187" s="12" t="s">
        <v>27</v>
      </c>
      <c r="L187" s="15"/>
      <c r="M187" s="12" t="s">
        <v>28</v>
      </c>
      <c r="N187" s="12"/>
      <c r="O187" s="12"/>
      <c r="P187" s="12"/>
      <c r="Q187" s="16">
        <v>0</v>
      </c>
      <c r="R187" s="16">
        <v>75</v>
      </c>
      <c r="S187" s="16"/>
      <c r="T187" s="16" t="e">
        <v>#N/A</v>
      </c>
      <c r="U187" s="16" t="e">
        <v>#N/A</v>
      </c>
    </row>
    <row r="188" spans="1:21" x14ac:dyDescent="0.25">
      <c r="A188" s="12" t="s">
        <v>21</v>
      </c>
      <c r="B188" s="12" t="s">
        <v>216</v>
      </c>
      <c r="C188" s="12" t="s">
        <v>23</v>
      </c>
      <c r="D188" s="17">
        <v>46155.477210648147</v>
      </c>
      <c r="E188" s="12" t="s">
        <v>195</v>
      </c>
      <c r="F188" s="12" t="s">
        <v>126</v>
      </c>
      <c r="G188" s="12">
        <v>73</v>
      </c>
      <c r="H188" s="12">
        <v>73</v>
      </c>
      <c r="I188" s="14"/>
      <c r="J188" s="14" t="s">
        <v>26</v>
      </c>
      <c r="K188" s="12" t="s">
        <v>27</v>
      </c>
      <c r="L188" s="15"/>
      <c r="M188" s="12" t="s">
        <v>28</v>
      </c>
      <c r="N188" s="12"/>
      <c r="O188" s="12"/>
      <c r="P188" s="12"/>
      <c r="Q188" s="16">
        <v>0</v>
      </c>
      <c r="R188" s="16">
        <v>0</v>
      </c>
      <c r="S188" s="16"/>
      <c r="T188" s="16" t="e">
        <v>#N/A</v>
      </c>
      <c r="U188" s="16" t="e">
        <v>#N/A</v>
      </c>
    </row>
    <row r="189" spans="1:21" x14ac:dyDescent="0.25">
      <c r="A189" s="12" t="s">
        <v>21</v>
      </c>
      <c r="B189" s="12" t="s">
        <v>216</v>
      </c>
      <c r="C189" s="12" t="s">
        <v>23</v>
      </c>
      <c r="D189" s="17">
        <v>46155.477210648147</v>
      </c>
      <c r="E189" s="12" t="s">
        <v>195</v>
      </c>
      <c r="F189" s="12" t="s">
        <v>127</v>
      </c>
      <c r="G189" s="12">
        <v>18</v>
      </c>
      <c r="H189" s="12">
        <v>18</v>
      </c>
      <c r="I189" s="14"/>
      <c r="J189" s="14" t="s">
        <v>26</v>
      </c>
      <c r="K189" s="12" t="s">
        <v>27</v>
      </c>
      <c r="L189" s="15"/>
      <c r="M189" s="12" t="s">
        <v>28</v>
      </c>
      <c r="N189" s="12"/>
      <c r="O189" s="12"/>
      <c r="P189" s="12"/>
      <c r="Q189" s="16">
        <v>0</v>
      </c>
      <c r="R189" s="16">
        <v>0</v>
      </c>
      <c r="S189" s="16"/>
      <c r="T189" s="16" t="e">
        <v>#N/A</v>
      </c>
      <c r="U189" s="16" t="e">
        <v>#N/A</v>
      </c>
    </row>
    <row r="190" spans="1:21" x14ac:dyDescent="0.25">
      <c r="A190" s="12" t="s">
        <v>21</v>
      </c>
      <c r="B190" s="12" t="s">
        <v>216</v>
      </c>
      <c r="C190" s="12" t="s">
        <v>23</v>
      </c>
      <c r="D190" s="17">
        <v>46155.477210648147</v>
      </c>
      <c r="E190" s="12" t="s">
        <v>195</v>
      </c>
      <c r="F190" s="12" t="s">
        <v>47</v>
      </c>
      <c r="G190" s="12">
        <v>100</v>
      </c>
      <c r="H190" s="12">
        <v>100</v>
      </c>
      <c r="I190" s="14"/>
      <c r="J190" s="14" t="s">
        <v>26</v>
      </c>
      <c r="K190" s="12" t="s">
        <v>27</v>
      </c>
      <c r="L190" s="15"/>
      <c r="M190" s="12" t="s">
        <v>28</v>
      </c>
      <c r="N190" s="12"/>
      <c r="O190" s="12"/>
      <c r="P190" s="12"/>
      <c r="Q190" s="16">
        <v>0</v>
      </c>
      <c r="R190" s="16">
        <v>0</v>
      </c>
      <c r="S190" s="16"/>
      <c r="T190" s="16" t="e">
        <v>#N/A</v>
      </c>
      <c r="U190" s="16" t="e">
        <v>#N/A</v>
      </c>
    </row>
    <row r="191" spans="1:21" x14ac:dyDescent="0.25">
      <c r="A191" s="12" t="s">
        <v>21</v>
      </c>
      <c r="B191" s="12" t="s">
        <v>217</v>
      </c>
      <c r="C191" s="12" t="s">
        <v>23</v>
      </c>
      <c r="D191" s="15">
        <v>46155.514236111114</v>
      </c>
      <c r="E191" s="12" t="s">
        <v>218</v>
      </c>
      <c r="F191" s="12" t="s">
        <v>219</v>
      </c>
      <c r="G191" s="12">
        <v>200</v>
      </c>
      <c r="H191" s="12">
        <v>200</v>
      </c>
      <c r="I191" s="14"/>
      <c r="J191" s="14" t="s">
        <v>26</v>
      </c>
      <c r="K191" s="12" t="s">
        <v>27</v>
      </c>
      <c r="L191" s="15"/>
      <c r="M191" s="12" t="s">
        <v>28</v>
      </c>
      <c r="N191" s="12"/>
      <c r="O191" s="12"/>
      <c r="P191" s="12"/>
      <c r="Q191" s="16">
        <v>0</v>
      </c>
      <c r="R191" s="16">
        <v>637</v>
      </c>
      <c r="S191" s="16"/>
      <c r="T191" s="16" t="e">
        <v>#N/A</v>
      </c>
      <c r="U191" s="16" t="e">
        <v>#N/A</v>
      </c>
    </row>
    <row r="192" spans="1:21" x14ac:dyDescent="0.25">
      <c r="A192" s="12" t="s">
        <v>21</v>
      </c>
      <c r="B192" s="12" t="s">
        <v>220</v>
      </c>
      <c r="C192" s="12" t="s">
        <v>23</v>
      </c>
      <c r="D192" s="15">
        <v>46156.311805555553</v>
      </c>
      <c r="E192" s="12" t="s">
        <v>187</v>
      </c>
      <c r="F192" s="12" t="s">
        <v>221</v>
      </c>
      <c r="G192" s="12">
        <v>7500</v>
      </c>
      <c r="H192" s="12">
        <v>7500</v>
      </c>
      <c r="I192" s="14"/>
      <c r="J192" s="14" t="s">
        <v>26</v>
      </c>
      <c r="K192" s="12" t="s">
        <v>224</v>
      </c>
      <c r="L192" s="15">
        <v>1</v>
      </c>
      <c r="M192" s="12" t="s">
        <v>150</v>
      </c>
      <c r="N192" s="12">
        <v>7500</v>
      </c>
      <c r="O192" s="12">
        <v>7500</v>
      </c>
      <c r="P192" s="12">
        <v>0</v>
      </c>
      <c r="Q192" s="16">
        <v>0</v>
      </c>
      <c r="R192" s="16">
        <v>0</v>
      </c>
      <c r="S192" s="16"/>
      <c r="T192" s="16" t="e">
        <v>#N/A</v>
      </c>
      <c r="U192" s="16" t="e">
        <v>#N/A</v>
      </c>
    </row>
    <row r="193" spans="1:21" x14ac:dyDescent="0.25">
      <c r="A193" s="12" t="s">
        <v>21</v>
      </c>
      <c r="B193" s="12" t="s">
        <v>220</v>
      </c>
      <c r="C193" s="12" t="s">
        <v>23</v>
      </c>
      <c r="D193" s="15">
        <v>46156.311805555553</v>
      </c>
      <c r="E193" s="12" t="s">
        <v>187</v>
      </c>
      <c r="F193" s="12" t="s">
        <v>222</v>
      </c>
      <c r="G193" s="12">
        <v>500</v>
      </c>
      <c r="H193" s="12">
        <v>500</v>
      </c>
      <c r="I193" s="14"/>
      <c r="J193" s="14" t="s">
        <v>26</v>
      </c>
      <c r="K193" s="12" t="s">
        <v>225</v>
      </c>
      <c r="L193" s="15">
        <v>1</v>
      </c>
      <c r="M193" s="12" t="s">
        <v>150</v>
      </c>
      <c r="N193" s="12">
        <v>500</v>
      </c>
      <c r="O193" s="12">
        <v>500</v>
      </c>
      <c r="P193" s="12">
        <v>0</v>
      </c>
      <c r="Q193" s="16">
        <v>0</v>
      </c>
      <c r="R193" s="16">
        <v>0</v>
      </c>
      <c r="S193" s="16"/>
      <c r="T193" s="16" t="e">
        <v>#N/A</v>
      </c>
      <c r="U193" s="16" t="e">
        <v>#N/A</v>
      </c>
    </row>
    <row r="194" spans="1:21" x14ac:dyDescent="0.25">
      <c r="A194" s="12" t="s">
        <v>21</v>
      </c>
      <c r="B194" s="12" t="s">
        <v>220</v>
      </c>
      <c r="C194" s="12" t="s">
        <v>23</v>
      </c>
      <c r="D194" s="15">
        <v>46156.311805555553</v>
      </c>
      <c r="E194" s="12" t="s">
        <v>187</v>
      </c>
      <c r="F194" s="12" t="s">
        <v>223</v>
      </c>
      <c r="G194" s="12">
        <v>6900</v>
      </c>
      <c r="H194" s="12">
        <v>6900</v>
      </c>
      <c r="I194" s="14"/>
      <c r="J194" s="14" t="s">
        <v>26</v>
      </c>
      <c r="K194" s="12" t="s">
        <v>226</v>
      </c>
      <c r="L194" s="15">
        <v>1</v>
      </c>
      <c r="M194" s="12" t="s">
        <v>150</v>
      </c>
      <c r="N194" s="12">
        <v>6900</v>
      </c>
      <c r="O194" s="12">
        <v>6900</v>
      </c>
      <c r="P194" s="12">
        <v>0</v>
      </c>
      <c r="Q194" s="16">
        <v>0</v>
      </c>
      <c r="R194" s="16">
        <v>0</v>
      </c>
      <c r="S194" s="16"/>
      <c r="T194" s="16" t="e">
        <v>#N/A</v>
      </c>
      <c r="U194" s="16" t="e">
        <v>#N/A</v>
      </c>
    </row>
    <row r="195" spans="1:21" x14ac:dyDescent="0.25">
      <c r="A195" s="12" t="s">
        <v>21</v>
      </c>
      <c r="B195" s="12" t="s">
        <v>227</v>
      </c>
      <c r="C195" s="12" t="s">
        <v>23</v>
      </c>
      <c r="D195" s="15">
        <v>46157.365972222222</v>
      </c>
      <c r="E195" s="12" t="s">
        <v>228</v>
      </c>
      <c r="F195" s="12" t="s">
        <v>201</v>
      </c>
      <c r="G195" s="12">
        <v>40</v>
      </c>
      <c r="H195" s="12">
        <v>40</v>
      </c>
      <c r="I195" s="14"/>
      <c r="J195" s="14" t="s">
        <v>26</v>
      </c>
      <c r="K195" s="12" t="s">
        <v>27</v>
      </c>
      <c r="L195" s="15"/>
      <c r="M195" s="12" t="s">
        <v>28</v>
      </c>
      <c r="N195" s="12"/>
      <c r="O195" s="12"/>
      <c r="P195" s="12"/>
      <c r="Q195" s="16">
        <v>0</v>
      </c>
      <c r="R195" s="16">
        <v>0</v>
      </c>
      <c r="S195" s="16"/>
      <c r="T195" s="16" t="e">
        <v>#N/A</v>
      </c>
      <c r="U195" s="16" t="e">
        <v>#N/A</v>
      </c>
    </row>
    <row r="196" spans="1:21" x14ac:dyDescent="0.25">
      <c r="A196" s="12" t="s">
        <v>21</v>
      </c>
      <c r="B196" s="12" t="s">
        <v>229</v>
      </c>
      <c r="C196" s="12" t="s">
        <v>23</v>
      </c>
      <c r="D196" s="15">
        <v>46161.323379629626</v>
      </c>
      <c r="E196" s="12" t="s">
        <v>24</v>
      </c>
      <c r="F196" s="12" t="s">
        <v>78</v>
      </c>
      <c r="G196" s="12">
        <v>41</v>
      </c>
      <c r="H196" s="12">
        <v>41</v>
      </c>
      <c r="I196" s="14"/>
      <c r="J196" s="14" t="s">
        <v>26</v>
      </c>
      <c r="K196" s="12" t="s">
        <v>27</v>
      </c>
      <c r="L196" s="15"/>
      <c r="M196" s="12" t="s">
        <v>28</v>
      </c>
      <c r="N196" s="12"/>
      <c r="O196" s="12"/>
      <c r="P196" s="12"/>
      <c r="Q196" s="16">
        <v>0</v>
      </c>
      <c r="R196" s="16">
        <v>-7</v>
      </c>
      <c r="S196" s="16"/>
      <c r="T196" s="16" t="e">
        <v>#N/A</v>
      </c>
      <c r="U196" s="16" t="e">
        <v>#N/A</v>
      </c>
    </row>
    <row r="197" spans="1:21" x14ac:dyDescent="0.25">
      <c r="A197" s="12" t="s">
        <v>21</v>
      </c>
      <c r="B197" s="12" t="s">
        <v>230</v>
      </c>
      <c r="C197" s="12" t="s">
        <v>23</v>
      </c>
      <c r="D197" s="15">
        <v>46162.352094907408</v>
      </c>
      <c r="E197" s="12" t="s">
        <v>198</v>
      </c>
      <c r="F197" s="12" t="s">
        <v>205</v>
      </c>
      <c r="G197" s="12">
        <v>8</v>
      </c>
      <c r="H197" s="12">
        <v>8</v>
      </c>
      <c r="I197" s="14"/>
      <c r="J197" s="14" t="s">
        <v>26</v>
      </c>
      <c r="K197" s="12" t="s">
        <v>27</v>
      </c>
      <c r="L197" s="15"/>
      <c r="M197" s="12" t="s">
        <v>28</v>
      </c>
      <c r="N197" s="12"/>
      <c r="O197" s="12"/>
      <c r="P197" s="12"/>
      <c r="Q197" s="16">
        <v>0</v>
      </c>
      <c r="R197" s="16">
        <v>439</v>
      </c>
      <c r="S197" s="16"/>
      <c r="T197" s="16" t="e">
        <v>#N/A</v>
      </c>
      <c r="U197" s="16" t="e">
        <v>#N/A</v>
      </c>
    </row>
    <row r="198" spans="1:21" x14ac:dyDescent="0.25">
      <c r="A198" s="12" t="s">
        <v>21</v>
      </c>
      <c r="B198" s="12" t="s">
        <v>231</v>
      </c>
      <c r="C198" s="12" t="s">
        <v>23</v>
      </c>
      <c r="D198" s="15">
        <v>46163.532210648147</v>
      </c>
      <c r="E198" s="12" t="s">
        <v>195</v>
      </c>
      <c r="F198" s="12" t="s">
        <v>232</v>
      </c>
      <c r="G198" s="12">
        <v>814</v>
      </c>
      <c r="H198" s="12">
        <v>201</v>
      </c>
      <c r="I198" s="14"/>
      <c r="J198" s="14" t="s">
        <v>26</v>
      </c>
      <c r="K198" s="12" t="s">
        <v>27</v>
      </c>
      <c r="L198" s="15"/>
      <c r="M198" s="12" t="s">
        <v>28</v>
      </c>
      <c r="N198" s="12"/>
      <c r="O198" s="12"/>
      <c r="P198" s="12"/>
      <c r="Q198" s="16">
        <v>0</v>
      </c>
      <c r="R198" s="16">
        <v>0</v>
      </c>
      <c r="S198" s="16"/>
      <c r="T198" s="16" t="e">
        <v>#N/A</v>
      </c>
      <c r="U198" s="16" t="e">
        <v>#N/A</v>
      </c>
    </row>
    <row r="199" spans="1:21" x14ac:dyDescent="0.25">
      <c r="A199" s="12" t="s">
        <v>21</v>
      </c>
      <c r="B199" s="12" t="s">
        <v>231</v>
      </c>
      <c r="C199" s="12" t="s">
        <v>23</v>
      </c>
      <c r="D199" s="15">
        <v>46163.532210648147</v>
      </c>
      <c r="E199" s="12" t="s">
        <v>195</v>
      </c>
      <c r="F199" s="12" t="s">
        <v>233</v>
      </c>
      <c r="G199" s="12">
        <v>581</v>
      </c>
      <c r="H199" s="12">
        <v>381</v>
      </c>
      <c r="I199" s="14"/>
      <c r="J199" s="14" t="s">
        <v>26</v>
      </c>
      <c r="K199" s="12" t="s">
        <v>27</v>
      </c>
      <c r="L199" s="15"/>
      <c r="M199" s="12" t="s">
        <v>28</v>
      </c>
      <c r="N199" s="12"/>
      <c r="O199" s="12"/>
      <c r="P199" s="12"/>
      <c r="Q199" s="16">
        <v>0</v>
      </c>
      <c r="R199" s="16">
        <v>0</v>
      </c>
      <c r="S199" s="16"/>
      <c r="T199" s="16" t="e">
        <v>#N/A</v>
      </c>
      <c r="U199" s="16" t="e">
        <v>#N/A</v>
      </c>
    </row>
    <row r="200" spans="1:21" x14ac:dyDescent="0.25">
      <c r="A200" s="12" t="s">
        <v>21</v>
      </c>
      <c r="B200" s="12" t="s">
        <v>231</v>
      </c>
      <c r="C200" s="12" t="s">
        <v>23</v>
      </c>
      <c r="D200" s="15">
        <v>46163.532210648147</v>
      </c>
      <c r="E200" s="12" t="s">
        <v>195</v>
      </c>
      <c r="F200" s="12" t="s">
        <v>233</v>
      </c>
      <c r="G200" s="12">
        <v>2442</v>
      </c>
      <c r="H200" s="12">
        <v>1992</v>
      </c>
      <c r="I200" s="14"/>
      <c r="J200" s="14" t="s">
        <v>26</v>
      </c>
      <c r="K200" s="12" t="s">
        <v>27</v>
      </c>
      <c r="L200" s="15"/>
      <c r="M200" s="12" t="s">
        <v>28</v>
      </c>
      <c r="N200" s="12"/>
      <c r="O200" s="12"/>
      <c r="P200" s="12"/>
      <c r="Q200" s="16">
        <v>0</v>
      </c>
      <c r="R200" s="16">
        <v>0</v>
      </c>
      <c r="S200" s="16"/>
      <c r="T200" s="16" t="e">
        <v>#N/A</v>
      </c>
      <c r="U200" s="16" t="e">
        <v>#N/A</v>
      </c>
    </row>
    <row r="201" spans="1:21" x14ac:dyDescent="0.25">
      <c r="A201" s="12" t="s">
        <v>21</v>
      </c>
      <c r="B201" s="12" t="s">
        <v>231</v>
      </c>
      <c r="C201" s="12" t="s">
        <v>23</v>
      </c>
      <c r="D201" s="15">
        <v>46163.532210648147</v>
      </c>
      <c r="E201" s="12" t="s">
        <v>195</v>
      </c>
      <c r="F201" s="12" t="s">
        <v>234</v>
      </c>
      <c r="G201" s="12">
        <v>1601</v>
      </c>
      <c r="H201" s="12">
        <v>460</v>
      </c>
      <c r="I201" s="14"/>
      <c r="J201" s="14" t="s">
        <v>26</v>
      </c>
      <c r="K201" s="12" t="s">
        <v>27</v>
      </c>
      <c r="L201" s="15"/>
      <c r="M201" s="12" t="s">
        <v>28</v>
      </c>
      <c r="N201" s="12"/>
      <c r="O201" s="12"/>
      <c r="P201" s="12"/>
      <c r="Q201" s="16">
        <v>0</v>
      </c>
      <c r="R201" s="16">
        <v>0</v>
      </c>
      <c r="S201" s="16">
        <v>59</v>
      </c>
      <c r="T201" s="16" t="e">
        <v>#N/A</v>
      </c>
      <c r="U201" s="16" t="e">
        <v>#N/A</v>
      </c>
    </row>
    <row r="202" spans="1:21" x14ac:dyDescent="0.25">
      <c r="A202" s="12" t="s">
        <v>21</v>
      </c>
      <c r="B202" s="12" t="s">
        <v>231</v>
      </c>
      <c r="C202" s="12" t="s">
        <v>23</v>
      </c>
      <c r="D202" s="15">
        <v>46163.532210648147</v>
      </c>
      <c r="E202" s="12" t="s">
        <v>195</v>
      </c>
      <c r="F202" s="12" t="s">
        <v>80</v>
      </c>
      <c r="G202" s="12">
        <v>1177</v>
      </c>
      <c r="H202" s="12">
        <v>933</v>
      </c>
      <c r="I202" s="14"/>
      <c r="J202" s="14" t="s">
        <v>26</v>
      </c>
      <c r="K202" s="12" t="s">
        <v>27</v>
      </c>
      <c r="L202" s="15"/>
      <c r="M202" s="12" t="s">
        <v>28</v>
      </c>
      <c r="N202" s="12"/>
      <c r="O202" s="12"/>
      <c r="P202" s="12"/>
      <c r="Q202" s="16">
        <v>0</v>
      </c>
      <c r="R202" s="16">
        <v>0</v>
      </c>
      <c r="S202" s="16">
        <v>6</v>
      </c>
      <c r="T202" s="16" t="e">
        <v>#N/A</v>
      </c>
      <c r="U202" s="16" t="e">
        <v>#N/A</v>
      </c>
    </row>
    <row r="203" spans="1:21" x14ac:dyDescent="0.25">
      <c r="A203" s="12" t="s">
        <v>21</v>
      </c>
      <c r="B203" s="12" t="s">
        <v>231</v>
      </c>
      <c r="C203" s="12" t="s">
        <v>23</v>
      </c>
      <c r="D203" s="13">
        <v>46163.532210648147</v>
      </c>
      <c r="E203" s="12" t="s">
        <v>195</v>
      </c>
      <c r="F203" s="12" t="s">
        <v>235</v>
      </c>
      <c r="G203" s="12">
        <v>858</v>
      </c>
      <c r="H203" s="12">
        <v>858</v>
      </c>
      <c r="I203" s="14"/>
      <c r="J203" s="14" t="s">
        <v>26</v>
      </c>
      <c r="K203" s="12" t="s">
        <v>27</v>
      </c>
      <c r="L203" s="15"/>
      <c r="M203" s="12" t="s">
        <v>28</v>
      </c>
      <c r="N203" s="12"/>
      <c r="O203" s="12"/>
      <c r="P203" s="12"/>
      <c r="Q203" s="16">
        <v>0</v>
      </c>
      <c r="R203" s="16">
        <v>66</v>
      </c>
      <c r="S203" s="16"/>
      <c r="T203" s="16" t="e">
        <v>#N/A</v>
      </c>
      <c r="U203" s="16" t="e">
        <v>#N/A</v>
      </c>
    </row>
    <row r="204" spans="1:21" x14ac:dyDescent="0.25">
      <c r="A204" s="12" t="s">
        <v>21</v>
      </c>
      <c r="B204" s="12" t="s">
        <v>231</v>
      </c>
      <c r="C204" s="12" t="s">
        <v>23</v>
      </c>
      <c r="D204" s="15">
        <v>46163.532210648147</v>
      </c>
      <c r="E204" s="12" t="s">
        <v>195</v>
      </c>
      <c r="F204" s="12" t="s">
        <v>236</v>
      </c>
      <c r="G204" s="12">
        <v>220</v>
      </c>
      <c r="H204" s="12">
        <v>55</v>
      </c>
      <c r="I204" s="14"/>
      <c r="J204" s="14" t="s">
        <v>26</v>
      </c>
      <c r="K204" s="12" t="s">
        <v>27</v>
      </c>
      <c r="L204" s="15"/>
      <c r="M204" s="12" t="s">
        <v>28</v>
      </c>
      <c r="N204" s="12"/>
      <c r="O204" s="12"/>
      <c r="P204" s="12"/>
      <c r="Q204" s="16">
        <v>0</v>
      </c>
      <c r="R204" s="16">
        <v>0</v>
      </c>
      <c r="S204" s="16"/>
      <c r="T204" s="16" t="e">
        <v>#N/A</v>
      </c>
      <c r="U204" s="16" t="e">
        <v>#N/A</v>
      </c>
    </row>
    <row r="205" spans="1:21" x14ac:dyDescent="0.25">
      <c r="A205" s="12" t="s">
        <v>21</v>
      </c>
      <c r="B205" s="12" t="s">
        <v>231</v>
      </c>
      <c r="C205" s="12" t="s">
        <v>23</v>
      </c>
      <c r="D205" s="15">
        <v>46163.532210648147</v>
      </c>
      <c r="E205" s="12" t="s">
        <v>195</v>
      </c>
      <c r="F205" s="12" t="s">
        <v>237</v>
      </c>
      <c r="G205" s="12">
        <v>715</v>
      </c>
      <c r="H205" s="12">
        <v>167</v>
      </c>
      <c r="I205" s="14"/>
      <c r="J205" s="14" t="s">
        <v>26</v>
      </c>
      <c r="K205" s="12" t="s">
        <v>27</v>
      </c>
      <c r="L205" s="15"/>
      <c r="M205" s="12" t="s">
        <v>28</v>
      </c>
      <c r="N205" s="12"/>
      <c r="O205" s="12"/>
      <c r="P205" s="12"/>
      <c r="Q205" s="16">
        <v>0</v>
      </c>
      <c r="R205" s="16">
        <v>0</v>
      </c>
      <c r="S205" s="16"/>
      <c r="T205" s="16" t="e">
        <v>#N/A</v>
      </c>
      <c r="U205" s="16" t="e">
        <v>#N/A</v>
      </c>
    </row>
    <row r="206" spans="1:21" x14ac:dyDescent="0.25">
      <c r="A206" s="12" t="s">
        <v>21</v>
      </c>
      <c r="B206" s="12" t="s">
        <v>231</v>
      </c>
      <c r="C206" s="12" t="s">
        <v>23</v>
      </c>
      <c r="D206" s="15">
        <v>46163.532210648147</v>
      </c>
      <c r="E206" s="12" t="s">
        <v>195</v>
      </c>
      <c r="F206" s="12" t="s">
        <v>238</v>
      </c>
      <c r="G206" s="12">
        <v>1309</v>
      </c>
      <c r="H206" s="12">
        <v>1135</v>
      </c>
      <c r="I206" s="14"/>
      <c r="J206" s="14" t="s">
        <v>26</v>
      </c>
      <c r="K206" s="12" t="s">
        <v>27</v>
      </c>
      <c r="L206" s="15"/>
      <c r="M206" s="12" t="s">
        <v>28</v>
      </c>
      <c r="N206" s="12"/>
      <c r="O206" s="12"/>
      <c r="P206" s="12"/>
      <c r="Q206" s="16">
        <v>0</v>
      </c>
      <c r="R206" s="16">
        <v>0</v>
      </c>
      <c r="S206" s="16">
        <v>326</v>
      </c>
      <c r="T206" s="16" t="e">
        <v>#N/A</v>
      </c>
      <c r="U206" s="16" t="e">
        <v>#N/A</v>
      </c>
    </row>
    <row r="207" spans="1:21" x14ac:dyDescent="0.25">
      <c r="A207" s="12" t="s">
        <v>21</v>
      </c>
      <c r="B207" s="12" t="s">
        <v>239</v>
      </c>
      <c r="C207" s="12" t="s">
        <v>23</v>
      </c>
      <c r="D207" s="15">
        <v>46164.654872685183</v>
      </c>
      <c r="E207" s="12" t="s">
        <v>240</v>
      </c>
      <c r="F207" s="12" t="s">
        <v>241</v>
      </c>
      <c r="G207" s="12">
        <v>2</v>
      </c>
      <c r="H207" s="12">
        <v>2</v>
      </c>
      <c r="I207" s="14"/>
      <c r="J207" s="14" t="s">
        <v>26</v>
      </c>
      <c r="K207" s="12" t="s">
        <v>27</v>
      </c>
      <c r="L207" s="15"/>
      <c r="M207" s="12" t="s">
        <v>28</v>
      </c>
      <c r="N207" s="12"/>
      <c r="O207" s="12"/>
      <c r="P207" s="12"/>
      <c r="Q207" s="16">
        <v>0</v>
      </c>
      <c r="R207" s="16">
        <v>953</v>
      </c>
      <c r="S207" s="16"/>
      <c r="T207" s="16" t="e">
        <v>#N/A</v>
      </c>
      <c r="U207" s="16" t="e">
        <v>#N/A</v>
      </c>
    </row>
    <row r="208" spans="1:21" x14ac:dyDescent="0.25">
      <c r="A208" s="12" t="s">
        <v>21</v>
      </c>
      <c r="B208" s="12" t="s">
        <v>239</v>
      </c>
      <c r="C208" s="12" t="s">
        <v>23</v>
      </c>
      <c r="D208" s="15">
        <v>46164.654872685183</v>
      </c>
      <c r="E208" s="12" t="s">
        <v>240</v>
      </c>
      <c r="F208" s="12" t="s">
        <v>242</v>
      </c>
      <c r="G208" s="12">
        <v>1</v>
      </c>
      <c r="H208" s="12">
        <v>1</v>
      </c>
      <c r="I208" s="14"/>
      <c r="J208" s="14" t="s">
        <v>61</v>
      </c>
      <c r="K208" s="12" t="s">
        <v>27</v>
      </c>
      <c r="L208" s="15"/>
      <c r="M208" s="12" t="s">
        <v>28</v>
      </c>
      <c r="N208" s="12"/>
      <c r="O208" s="12"/>
      <c r="P208" s="12"/>
      <c r="Q208" s="16">
        <v>1</v>
      </c>
      <c r="R208" s="16">
        <v>0</v>
      </c>
      <c r="S208" s="16"/>
      <c r="T208" s="16" t="e">
        <v>#N/A</v>
      </c>
      <c r="U208" s="16" t="e">
        <v>#N/A</v>
      </c>
    </row>
    <row r="209" spans="1:21" x14ac:dyDescent="0.25">
      <c r="A209" s="12" t="s">
        <v>21</v>
      </c>
      <c r="B209" s="12" t="s">
        <v>239</v>
      </c>
      <c r="C209" s="12" t="s">
        <v>23</v>
      </c>
      <c r="D209" s="15">
        <v>46164.654872685183</v>
      </c>
      <c r="E209" s="12" t="s">
        <v>240</v>
      </c>
      <c r="F209" s="12" t="s">
        <v>243</v>
      </c>
      <c r="G209" s="12">
        <v>2</v>
      </c>
      <c r="H209" s="12">
        <v>2</v>
      </c>
      <c r="I209" s="14"/>
      <c r="J209" s="14" t="s">
        <v>61</v>
      </c>
      <c r="K209" s="12" t="s">
        <v>27</v>
      </c>
      <c r="L209" s="15"/>
      <c r="M209" s="12" t="s">
        <v>28</v>
      </c>
      <c r="N209" s="12"/>
      <c r="O209" s="12"/>
      <c r="P209" s="12"/>
      <c r="Q209" s="16">
        <v>2</v>
      </c>
      <c r="R209" s="16">
        <v>1</v>
      </c>
      <c r="S209" s="16"/>
      <c r="T209" s="16" t="e">
        <v>#N/A</v>
      </c>
      <c r="U209" s="16" t="e">
        <v>#N/A</v>
      </c>
    </row>
    <row r="210" spans="1:21" x14ac:dyDescent="0.25">
      <c r="A210" s="12" t="s">
        <v>21</v>
      </c>
      <c r="B210" s="12" t="s">
        <v>239</v>
      </c>
      <c r="C210" s="12" t="s">
        <v>23</v>
      </c>
      <c r="D210" s="13">
        <v>46164.654872685183</v>
      </c>
      <c r="E210" s="12" t="s">
        <v>240</v>
      </c>
      <c r="F210" s="12" t="s">
        <v>244</v>
      </c>
      <c r="G210" s="12">
        <v>1</v>
      </c>
      <c r="H210" s="12">
        <v>1</v>
      </c>
      <c r="I210" s="14"/>
      <c r="J210" s="14" t="s">
        <v>61</v>
      </c>
      <c r="K210" s="12" t="s">
        <v>27</v>
      </c>
      <c r="L210" s="15"/>
      <c r="M210" s="12" t="s">
        <v>28</v>
      </c>
      <c r="N210" s="12"/>
      <c r="O210" s="12"/>
      <c r="P210" s="12"/>
      <c r="Q210" s="16">
        <v>1</v>
      </c>
      <c r="R210" s="16">
        <v>0</v>
      </c>
      <c r="S210" s="16"/>
      <c r="T210" s="16" t="e">
        <v>#N/A</v>
      </c>
      <c r="U210" s="16" t="e">
        <v>#N/A</v>
      </c>
    </row>
    <row r="211" spans="1:21" x14ac:dyDescent="0.25">
      <c r="A211" s="12" t="s">
        <v>21</v>
      </c>
      <c r="B211" s="12" t="s">
        <v>239</v>
      </c>
      <c r="C211" s="12" t="s">
        <v>23</v>
      </c>
      <c r="D211" s="15">
        <v>46164.654872685183</v>
      </c>
      <c r="E211" s="12" t="s">
        <v>240</v>
      </c>
      <c r="F211" s="12" t="s">
        <v>245</v>
      </c>
      <c r="G211" s="12">
        <v>3</v>
      </c>
      <c r="H211" s="12">
        <v>3</v>
      </c>
      <c r="I211" s="14"/>
      <c r="J211" s="14" t="s">
        <v>61</v>
      </c>
      <c r="K211" s="12" t="s">
        <v>27</v>
      </c>
      <c r="L211" s="15"/>
      <c r="M211" s="12" t="s">
        <v>28</v>
      </c>
      <c r="N211" s="12"/>
      <c r="O211" s="12"/>
      <c r="P211" s="12"/>
      <c r="Q211" s="16">
        <v>3</v>
      </c>
      <c r="R211" s="16">
        <v>0</v>
      </c>
      <c r="S211" s="16"/>
      <c r="T211" s="16" t="e">
        <v>#N/A</v>
      </c>
      <c r="U211" s="16" t="e">
        <v>#N/A</v>
      </c>
    </row>
    <row r="212" spans="1:21" x14ac:dyDescent="0.25">
      <c r="A212" s="12" t="s">
        <v>21</v>
      </c>
      <c r="B212" s="12" t="s">
        <v>239</v>
      </c>
      <c r="C212" s="12" t="s">
        <v>23</v>
      </c>
      <c r="D212" s="15">
        <v>46164.654872685183</v>
      </c>
      <c r="E212" s="12" t="s">
        <v>240</v>
      </c>
      <c r="F212" s="12" t="s">
        <v>246</v>
      </c>
      <c r="G212" s="12">
        <v>1</v>
      </c>
      <c r="H212" s="12">
        <v>1</v>
      </c>
      <c r="I212" s="14"/>
      <c r="J212" s="14" t="s">
        <v>61</v>
      </c>
      <c r="K212" s="12" t="s">
        <v>27</v>
      </c>
      <c r="L212" s="15"/>
      <c r="M212" s="12" t="s">
        <v>28</v>
      </c>
      <c r="N212" s="12"/>
      <c r="O212" s="12"/>
      <c r="P212" s="12"/>
      <c r="Q212" s="16">
        <v>1</v>
      </c>
      <c r="R212" s="16">
        <v>0</v>
      </c>
      <c r="S212" s="16"/>
      <c r="T212" s="16" t="e">
        <v>#N/A</v>
      </c>
      <c r="U212" s="16" t="e">
        <v>#N/A</v>
      </c>
    </row>
    <row r="213" spans="1:21" x14ac:dyDescent="0.25">
      <c r="A213" s="12" t="s">
        <v>21</v>
      </c>
      <c r="B213" s="12" t="s">
        <v>239</v>
      </c>
      <c r="C213" s="12" t="s">
        <v>23</v>
      </c>
      <c r="D213" s="15">
        <v>46164.654872685183</v>
      </c>
      <c r="E213" s="12" t="s">
        <v>240</v>
      </c>
      <c r="F213" s="12" t="s">
        <v>247</v>
      </c>
      <c r="G213" s="12">
        <v>1</v>
      </c>
      <c r="H213" s="12">
        <v>1</v>
      </c>
      <c r="I213" s="14"/>
      <c r="J213" s="14" t="s">
        <v>61</v>
      </c>
      <c r="K213" s="12" t="s">
        <v>27</v>
      </c>
      <c r="L213" s="15"/>
      <c r="M213" s="12" t="s">
        <v>28</v>
      </c>
      <c r="N213" s="12"/>
      <c r="O213" s="12"/>
      <c r="P213" s="12"/>
      <c r="Q213" s="16">
        <v>1</v>
      </c>
      <c r="R213" s="16">
        <v>0</v>
      </c>
      <c r="S213" s="16"/>
      <c r="T213" s="16" t="e">
        <v>#N/A</v>
      </c>
      <c r="U213" s="16" t="e">
        <v>#N/A</v>
      </c>
    </row>
    <row r="214" spans="1:21" x14ac:dyDescent="0.25">
      <c r="A214" s="12" t="s">
        <v>21</v>
      </c>
      <c r="B214" s="12" t="s">
        <v>239</v>
      </c>
      <c r="C214" s="12" t="s">
        <v>23</v>
      </c>
      <c r="D214" s="17">
        <v>46164.654872685183</v>
      </c>
      <c r="E214" s="12" t="s">
        <v>240</v>
      </c>
      <c r="F214" s="12" t="s">
        <v>248</v>
      </c>
      <c r="G214" s="12">
        <v>7</v>
      </c>
      <c r="H214" s="12">
        <v>7</v>
      </c>
      <c r="I214" s="14"/>
      <c r="J214" s="14" t="s">
        <v>61</v>
      </c>
      <c r="K214" s="12" t="s">
        <v>27</v>
      </c>
      <c r="L214" s="15"/>
      <c r="M214" s="12" t="s">
        <v>28</v>
      </c>
      <c r="N214" s="12"/>
      <c r="O214" s="12"/>
      <c r="P214" s="12"/>
      <c r="Q214" s="16">
        <v>7</v>
      </c>
      <c r="R214" s="16">
        <v>2</v>
      </c>
      <c r="S214" s="16"/>
      <c r="T214" s="16" t="e">
        <v>#N/A</v>
      </c>
      <c r="U214" s="16" t="e">
        <v>#N/A</v>
      </c>
    </row>
    <row r="215" spans="1:21" x14ac:dyDescent="0.25">
      <c r="A215" s="12" t="s">
        <v>21</v>
      </c>
      <c r="B215" s="12" t="s">
        <v>239</v>
      </c>
      <c r="C215" s="12" t="s">
        <v>23</v>
      </c>
      <c r="D215" s="17">
        <v>46164.654872685183</v>
      </c>
      <c r="E215" s="12" t="s">
        <v>240</v>
      </c>
      <c r="F215" s="12" t="s">
        <v>249</v>
      </c>
      <c r="G215" s="12">
        <v>1</v>
      </c>
      <c r="H215" s="12">
        <v>1</v>
      </c>
      <c r="I215" s="14"/>
      <c r="J215" s="14" t="s">
        <v>61</v>
      </c>
      <c r="K215" s="12" t="s">
        <v>27</v>
      </c>
      <c r="L215" s="15"/>
      <c r="M215" s="12" t="s">
        <v>28</v>
      </c>
      <c r="N215" s="12"/>
      <c r="O215" s="12"/>
      <c r="P215" s="12"/>
      <c r="Q215" s="16">
        <v>1</v>
      </c>
      <c r="R215" s="16">
        <v>0</v>
      </c>
      <c r="S215" s="16"/>
      <c r="T215" s="16" t="e">
        <v>#N/A</v>
      </c>
      <c r="U215" s="16" t="e">
        <v>#N/A</v>
      </c>
    </row>
    <row r="216" spans="1:21" x14ac:dyDescent="0.25">
      <c r="A216" s="12" t="s">
        <v>21</v>
      </c>
      <c r="B216" s="12" t="s">
        <v>239</v>
      </c>
      <c r="C216" s="12" t="s">
        <v>23</v>
      </c>
      <c r="D216" s="15">
        <v>46164.654872685183</v>
      </c>
      <c r="E216" s="12" t="s">
        <v>240</v>
      </c>
      <c r="F216" s="12" t="s">
        <v>250</v>
      </c>
      <c r="G216" s="12">
        <v>1</v>
      </c>
      <c r="H216" s="12">
        <v>1</v>
      </c>
      <c r="I216" s="14"/>
      <c r="J216" s="14" t="s">
        <v>61</v>
      </c>
      <c r="K216" s="12" t="s">
        <v>27</v>
      </c>
      <c r="L216" s="15"/>
      <c r="M216" s="12" t="s">
        <v>28</v>
      </c>
      <c r="N216" s="12"/>
      <c r="O216" s="12"/>
      <c r="P216" s="12"/>
      <c r="Q216" s="16">
        <v>1</v>
      </c>
      <c r="R216" s="16">
        <v>0</v>
      </c>
      <c r="S216" s="16"/>
      <c r="T216" s="16" t="e">
        <v>#N/A</v>
      </c>
      <c r="U216" s="16" t="e">
        <v>#N/A</v>
      </c>
    </row>
    <row r="217" spans="1:21" x14ac:dyDescent="0.25">
      <c r="A217" s="12" t="s">
        <v>21</v>
      </c>
      <c r="B217" s="12" t="s">
        <v>239</v>
      </c>
      <c r="C217" s="12" t="s">
        <v>23</v>
      </c>
      <c r="D217" s="15">
        <v>46164.654872685183</v>
      </c>
      <c r="E217" s="12" t="s">
        <v>240</v>
      </c>
      <c r="F217" s="12" t="s">
        <v>251</v>
      </c>
      <c r="G217" s="12">
        <v>1</v>
      </c>
      <c r="H217" s="12">
        <v>1</v>
      </c>
      <c r="I217" s="14"/>
      <c r="J217" s="14" t="s">
        <v>61</v>
      </c>
      <c r="K217" s="12" t="s">
        <v>27</v>
      </c>
      <c r="L217" s="15"/>
      <c r="M217" s="12" t="s">
        <v>28</v>
      </c>
      <c r="N217" s="12"/>
      <c r="O217" s="12"/>
      <c r="P217" s="12"/>
      <c r="Q217" s="16">
        <v>1</v>
      </c>
      <c r="R217" s="16">
        <v>0</v>
      </c>
      <c r="S217" s="16"/>
      <c r="T217" s="16" t="e">
        <v>#N/A</v>
      </c>
      <c r="U217" s="16" t="e">
        <v>#N/A</v>
      </c>
    </row>
    <row r="218" spans="1:21" x14ac:dyDescent="0.25">
      <c r="A218" s="12" t="s">
        <v>21</v>
      </c>
      <c r="B218" s="12" t="s">
        <v>239</v>
      </c>
      <c r="C218" s="12" t="s">
        <v>23</v>
      </c>
      <c r="D218" s="15">
        <v>46164.654872685183</v>
      </c>
      <c r="E218" s="12" t="s">
        <v>240</v>
      </c>
      <c r="F218" s="12" t="s">
        <v>252</v>
      </c>
      <c r="G218" s="12">
        <v>3</v>
      </c>
      <c r="H218" s="12">
        <v>3</v>
      </c>
      <c r="I218" s="14"/>
      <c r="J218" s="14" t="s">
        <v>61</v>
      </c>
      <c r="K218" s="12" t="s">
        <v>27</v>
      </c>
      <c r="L218" s="15"/>
      <c r="M218" s="12" t="s">
        <v>28</v>
      </c>
      <c r="N218" s="12"/>
      <c r="O218" s="12"/>
      <c r="P218" s="12"/>
      <c r="Q218" s="16">
        <v>3</v>
      </c>
      <c r="R218" s="16">
        <v>0</v>
      </c>
      <c r="S218" s="16"/>
      <c r="T218" s="16" t="e">
        <v>#N/A</v>
      </c>
      <c r="U218" s="16" t="e">
        <v>#N/A</v>
      </c>
    </row>
    <row r="219" spans="1:21" x14ac:dyDescent="0.25">
      <c r="A219" s="12" t="s">
        <v>21</v>
      </c>
      <c r="B219" s="12" t="s">
        <v>239</v>
      </c>
      <c r="C219" s="12" t="s">
        <v>23</v>
      </c>
      <c r="D219" s="15">
        <v>46164.654872685183</v>
      </c>
      <c r="E219" s="12" t="s">
        <v>240</v>
      </c>
      <c r="F219" s="12" t="s">
        <v>253</v>
      </c>
      <c r="G219" s="12">
        <v>4</v>
      </c>
      <c r="H219" s="12">
        <v>4</v>
      </c>
      <c r="I219" s="14"/>
      <c r="J219" s="14" t="s">
        <v>61</v>
      </c>
      <c r="K219" s="12" t="s">
        <v>27</v>
      </c>
      <c r="L219" s="15"/>
      <c r="M219" s="12" t="s">
        <v>28</v>
      </c>
      <c r="N219" s="12"/>
      <c r="O219" s="12"/>
      <c r="P219" s="12"/>
      <c r="Q219" s="16">
        <v>4</v>
      </c>
      <c r="R219" s="16">
        <v>0</v>
      </c>
      <c r="S219" s="16"/>
      <c r="T219" s="16" t="e">
        <v>#N/A</v>
      </c>
      <c r="U219" s="16" t="e">
        <v>#N/A</v>
      </c>
    </row>
    <row r="220" spans="1:21" x14ac:dyDescent="0.25">
      <c r="A220" s="12" t="s">
        <v>21</v>
      </c>
      <c r="B220" s="12" t="s">
        <v>239</v>
      </c>
      <c r="C220" s="12" t="s">
        <v>23</v>
      </c>
      <c r="D220" s="15">
        <v>46164.654872685183</v>
      </c>
      <c r="E220" s="12" t="s">
        <v>240</v>
      </c>
      <c r="F220" s="12" t="s">
        <v>254</v>
      </c>
      <c r="G220" s="12">
        <v>100</v>
      </c>
      <c r="H220" s="12">
        <v>100</v>
      </c>
      <c r="I220" s="14"/>
      <c r="J220" s="14" t="s">
        <v>26</v>
      </c>
      <c r="K220" s="12" t="s">
        <v>27</v>
      </c>
      <c r="L220" s="15"/>
      <c r="M220" s="12" t="s">
        <v>28</v>
      </c>
      <c r="N220" s="12"/>
      <c r="O220" s="12"/>
      <c r="P220" s="12"/>
      <c r="Q220" s="16">
        <v>0</v>
      </c>
      <c r="R220" s="16">
        <v>64500</v>
      </c>
      <c r="S220" s="16"/>
      <c r="T220" s="16" t="e">
        <v>#N/A</v>
      </c>
      <c r="U220" s="16" t="e">
        <v>#N/A</v>
      </c>
    </row>
    <row r="221" spans="1:21" x14ac:dyDescent="0.25">
      <c r="A221" s="12" t="s">
        <v>21</v>
      </c>
      <c r="B221" s="12" t="s">
        <v>239</v>
      </c>
      <c r="C221" s="12" t="s">
        <v>23</v>
      </c>
      <c r="D221" s="13">
        <v>46164.654872685183</v>
      </c>
      <c r="E221" s="12" t="s">
        <v>240</v>
      </c>
      <c r="F221" s="12" t="s">
        <v>255</v>
      </c>
      <c r="G221" s="12">
        <v>100</v>
      </c>
      <c r="H221" s="12">
        <v>100</v>
      </c>
      <c r="I221" s="14"/>
      <c r="J221" s="14" t="s">
        <v>26</v>
      </c>
      <c r="K221" s="12" t="s">
        <v>27</v>
      </c>
      <c r="L221" s="15"/>
      <c r="M221" s="12" t="s">
        <v>28</v>
      </c>
      <c r="N221" s="12"/>
      <c r="O221" s="12"/>
      <c r="P221" s="12"/>
      <c r="Q221" s="16">
        <v>0</v>
      </c>
      <c r="R221" s="16">
        <v>49645</v>
      </c>
      <c r="S221" s="16"/>
      <c r="T221" s="16" t="e">
        <v>#N/A</v>
      </c>
      <c r="U221" s="16" t="e">
        <v>#N/A</v>
      </c>
    </row>
    <row r="222" spans="1:21" x14ac:dyDescent="0.25">
      <c r="A222" s="12" t="s">
        <v>21</v>
      </c>
      <c r="B222" s="12" t="s">
        <v>239</v>
      </c>
      <c r="C222" s="12" t="s">
        <v>23</v>
      </c>
      <c r="D222" s="15">
        <v>46164.654872685183</v>
      </c>
      <c r="E222" s="12" t="s">
        <v>240</v>
      </c>
      <c r="F222" s="12" t="s">
        <v>256</v>
      </c>
      <c r="G222" s="12">
        <v>1</v>
      </c>
      <c r="H222" s="12">
        <v>1</v>
      </c>
      <c r="I222" s="14"/>
      <c r="J222" s="14" t="s">
        <v>61</v>
      </c>
      <c r="K222" s="12" t="s">
        <v>27</v>
      </c>
      <c r="L222" s="15"/>
      <c r="M222" s="12" t="s">
        <v>28</v>
      </c>
      <c r="N222" s="12"/>
      <c r="O222" s="12"/>
      <c r="P222" s="12"/>
      <c r="Q222" s="16">
        <v>1</v>
      </c>
      <c r="R222" s="16">
        <v>2</v>
      </c>
      <c r="S222" s="16"/>
      <c r="T222" s="16" t="e">
        <v>#N/A</v>
      </c>
      <c r="U222" s="16" t="e">
        <v>#N/A</v>
      </c>
    </row>
    <row r="223" spans="1:21" x14ac:dyDescent="0.25">
      <c r="A223" s="12" t="s">
        <v>21</v>
      </c>
      <c r="B223" s="12" t="s">
        <v>257</v>
      </c>
      <c r="C223" s="12" t="s">
        <v>23</v>
      </c>
      <c r="D223" s="15">
        <v>46172.392025462963</v>
      </c>
      <c r="E223" s="12" t="s">
        <v>258</v>
      </c>
      <c r="F223" s="12" t="s">
        <v>259</v>
      </c>
      <c r="G223" s="12">
        <v>200</v>
      </c>
      <c r="H223" s="12">
        <v>160</v>
      </c>
      <c r="I223" s="14"/>
      <c r="J223" s="14" t="s">
        <v>26</v>
      </c>
      <c r="K223" s="12" t="s">
        <v>27</v>
      </c>
      <c r="L223" s="15"/>
      <c r="M223" s="12" t="s">
        <v>28</v>
      </c>
      <c r="N223" s="12"/>
      <c r="O223" s="12"/>
      <c r="P223" s="12"/>
      <c r="Q223" s="16">
        <v>0</v>
      </c>
      <c r="R223" s="16">
        <v>4</v>
      </c>
      <c r="S223" s="16"/>
      <c r="T223" s="16" t="e">
        <v>#N/A</v>
      </c>
      <c r="U223" s="16" t="e">
        <v>#N/A</v>
      </c>
    </row>
    <row r="224" spans="1:21" x14ac:dyDescent="0.25">
      <c r="A224" s="12" t="s">
        <v>21</v>
      </c>
      <c r="B224" s="12" t="s">
        <v>257</v>
      </c>
      <c r="C224" s="12" t="s">
        <v>23</v>
      </c>
      <c r="D224" s="15">
        <v>46172.392025462963</v>
      </c>
      <c r="E224" s="12" t="s">
        <v>258</v>
      </c>
      <c r="F224" s="12" t="s">
        <v>201</v>
      </c>
      <c r="G224" s="12">
        <v>100</v>
      </c>
      <c r="H224" s="12">
        <v>18</v>
      </c>
      <c r="I224" s="14"/>
      <c r="J224" s="14" t="s">
        <v>26</v>
      </c>
      <c r="K224" s="12" t="s">
        <v>27</v>
      </c>
      <c r="L224" s="15"/>
      <c r="M224" s="12" t="s">
        <v>28</v>
      </c>
      <c r="N224" s="12"/>
      <c r="O224" s="12"/>
      <c r="P224" s="12"/>
      <c r="Q224" s="16">
        <v>0</v>
      </c>
      <c r="R224" s="16">
        <v>0</v>
      </c>
      <c r="S224" s="16"/>
      <c r="T224" s="16" t="e">
        <v>#N/A</v>
      </c>
      <c r="U224" s="16" t="e">
        <v>#N/A</v>
      </c>
    </row>
    <row r="225" spans="1:21" x14ac:dyDescent="0.25">
      <c r="A225" s="12" t="s">
        <v>21</v>
      </c>
      <c r="B225" s="12" t="s">
        <v>260</v>
      </c>
      <c r="C225" s="12" t="s">
        <v>23</v>
      </c>
      <c r="D225" s="15">
        <v>46177.381261574075</v>
      </c>
      <c r="E225" s="12" t="s">
        <v>156</v>
      </c>
      <c r="F225" s="12" t="s">
        <v>261</v>
      </c>
      <c r="G225" s="12">
        <v>6</v>
      </c>
      <c r="H225" s="12">
        <v>6</v>
      </c>
      <c r="I225" s="14"/>
      <c r="J225" s="14" t="s">
        <v>26</v>
      </c>
      <c r="K225" s="12" t="s">
        <v>27</v>
      </c>
      <c r="L225" s="15"/>
      <c r="M225" s="12" t="s">
        <v>28</v>
      </c>
      <c r="N225" s="12"/>
      <c r="O225" s="12"/>
      <c r="P225" s="12"/>
      <c r="Q225" s="16">
        <v>0</v>
      </c>
      <c r="R225" s="16">
        <v>0</v>
      </c>
      <c r="S225" s="16">
        <v>5</v>
      </c>
      <c r="T225" s="16" t="e">
        <v>#N/A</v>
      </c>
      <c r="U225" s="16" t="e">
        <v>#N/A</v>
      </c>
    </row>
    <row r="226" spans="1:21" x14ac:dyDescent="0.25">
      <c r="A226" s="12" t="s">
        <v>21</v>
      </c>
      <c r="B226" s="12" t="s">
        <v>260</v>
      </c>
      <c r="C226" s="12" t="s">
        <v>23</v>
      </c>
      <c r="D226" s="15">
        <v>46177.381261574075</v>
      </c>
      <c r="E226" s="12" t="s">
        <v>156</v>
      </c>
      <c r="F226" s="12" t="s">
        <v>262</v>
      </c>
      <c r="G226" s="12">
        <v>80</v>
      </c>
      <c r="H226" s="12">
        <v>40</v>
      </c>
      <c r="I226" s="14"/>
      <c r="J226" s="14" t="s">
        <v>26</v>
      </c>
      <c r="K226" s="12" t="s">
        <v>27</v>
      </c>
      <c r="L226" s="15"/>
      <c r="M226" s="12" t="s">
        <v>28</v>
      </c>
      <c r="N226" s="12"/>
      <c r="O226" s="12"/>
      <c r="P226" s="12"/>
      <c r="Q226" s="16">
        <v>0</v>
      </c>
      <c r="R226" s="16">
        <v>0</v>
      </c>
      <c r="S226" s="16"/>
      <c r="T226" s="16" t="e">
        <v>#N/A</v>
      </c>
      <c r="U226" s="16" t="e">
        <v>#N/A</v>
      </c>
    </row>
    <row r="227" spans="1:21" x14ac:dyDescent="0.25">
      <c r="A227" s="12" t="s">
        <v>21</v>
      </c>
      <c r="B227" s="12" t="s">
        <v>260</v>
      </c>
      <c r="C227" s="12" t="s">
        <v>23</v>
      </c>
      <c r="D227" s="15">
        <v>46177.381261574075</v>
      </c>
      <c r="E227" s="12" t="s">
        <v>156</v>
      </c>
      <c r="F227" s="12" t="s">
        <v>263</v>
      </c>
      <c r="G227" s="12">
        <v>60</v>
      </c>
      <c r="H227" s="12">
        <v>60</v>
      </c>
      <c r="I227" s="14"/>
      <c r="J227" s="14" t="s">
        <v>26</v>
      </c>
      <c r="K227" s="12" t="s">
        <v>27</v>
      </c>
      <c r="L227" s="15"/>
      <c r="M227" s="12" t="s">
        <v>28</v>
      </c>
      <c r="N227" s="12"/>
      <c r="O227" s="12"/>
      <c r="P227" s="12"/>
      <c r="Q227" s="16">
        <v>0</v>
      </c>
      <c r="R227" s="16">
        <v>0</v>
      </c>
      <c r="S227" s="16"/>
      <c r="T227" s="16" t="e">
        <v>#N/A</v>
      </c>
      <c r="U227" s="16" t="e">
        <v>#N/A</v>
      </c>
    </row>
    <row r="228" spans="1:21" x14ac:dyDescent="0.25">
      <c r="A228" s="12" t="s">
        <v>21</v>
      </c>
      <c r="B228" s="12" t="s">
        <v>260</v>
      </c>
      <c r="C228" s="12" t="s">
        <v>23</v>
      </c>
      <c r="D228" s="15">
        <v>46177.381261574075</v>
      </c>
      <c r="E228" s="12" t="s">
        <v>156</v>
      </c>
      <c r="F228" s="12" t="s">
        <v>264</v>
      </c>
      <c r="G228" s="12">
        <v>10</v>
      </c>
      <c r="H228" s="12">
        <v>10</v>
      </c>
      <c r="I228" s="14"/>
      <c r="J228" s="14" t="s">
        <v>26</v>
      </c>
      <c r="K228" s="12" t="s">
        <v>27</v>
      </c>
      <c r="L228" s="15"/>
      <c r="M228" s="12" t="s">
        <v>28</v>
      </c>
      <c r="N228" s="12"/>
      <c r="O228" s="12"/>
      <c r="P228" s="12"/>
      <c r="Q228" s="16">
        <v>0</v>
      </c>
      <c r="R228" s="16">
        <v>468</v>
      </c>
      <c r="S228" s="16">
        <v>5</v>
      </c>
      <c r="T228" s="16" t="e">
        <v>#N/A</v>
      </c>
      <c r="U228" s="16" t="e">
        <v>#N/A</v>
      </c>
    </row>
    <row r="229" spans="1:21" x14ac:dyDescent="0.25">
      <c r="A229" s="12" t="s">
        <v>21</v>
      </c>
      <c r="B229" s="12" t="s">
        <v>265</v>
      </c>
      <c r="C229" s="12" t="s">
        <v>23</v>
      </c>
      <c r="D229" s="15">
        <v>46178.600636574076</v>
      </c>
      <c r="E229" s="12" t="s">
        <v>266</v>
      </c>
      <c r="F229" s="12" t="s">
        <v>267</v>
      </c>
      <c r="G229" s="12">
        <v>10</v>
      </c>
      <c r="H229" s="12">
        <v>1</v>
      </c>
      <c r="I229" s="14"/>
      <c r="J229" s="14" t="s">
        <v>61</v>
      </c>
      <c r="K229" s="12" t="s">
        <v>27</v>
      </c>
      <c r="L229" s="15"/>
      <c r="M229" s="12" t="s">
        <v>28</v>
      </c>
      <c r="N229" s="12"/>
      <c r="O229" s="12"/>
      <c r="P229" s="12"/>
      <c r="Q229" s="16">
        <v>10</v>
      </c>
      <c r="R229" s="16">
        <v>0</v>
      </c>
      <c r="S229" s="16"/>
      <c r="T229" s="16" t="e">
        <v>#N/A</v>
      </c>
      <c r="U229" s="16" t="e">
        <v>#N/A</v>
      </c>
    </row>
    <row r="230" spans="1:21" x14ac:dyDescent="0.25">
      <c r="A230" s="12" t="s">
        <v>21</v>
      </c>
      <c r="B230" s="12" t="s">
        <v>265</v>
      </c>
      <c r="C230" s="12" t="s">
        <v>23</v>
      </c>
      <c r="D230" s="15">
        <v>46178.600636574076</v>
      </c>
      <c r="E230" s="12" t="s">
        <v>266</v>
      </c>
      <c r="F230" s="12" t="s">
        <v>70</v>
      </c>
      <c r="G230" s="12">
        <v>80</v>
      </c>
      <c r="H230" s="12">
        <v>75</v>
      </c>
      <c r="I230" s="14"/>
      <c r="J230" s="14" t="s">
        <v>61</v>
      </c>
      <c r="K230" s="12" t="s">
        <v>27</v>
      </c>
      <c r="L230" s="15"/>
      <c r="M230" s="12" t="s">
        <v>28</v>
      </c>
      <c r="N230" s="12"/>
      <c r="O230" s="12"/>
      <c r="P230" s="12"/>
      <c r="Q230" s="16">
        <v>50</v>
      </c>
      <c r="R230" s="16">
        <v>0</v>
      </c>
      <c r="S230" s="16"/>
      <c r="T230" s="16" t="e">
        <v>#N/A</v>
      </c>
      <c r="U230" s="16" t="e">
        <v>#N/A</v>
      </c>
    </row>
    <row r="231" spans="1:21" x14ac:dyDescent="0.25">
      <c r="A231" s="12" t="s">
        <v>21</v>
      </c>
      <c r="B231" s="12" t="s">
        <v>265</v>
      </c>
      <c r="C231" s="12" t="s">
        <v>23</v>
      </c>
      <c r="D231" s="15">
        <v>46178.600636574076</v>
      </c>
      <c r="E231" s="12" t="s">
        <v>266</v>
      </c>
      <c r="F231" s="12" t="s">
        <v>268</v>
      </c>
      <c r="G231" s="12">
        <v>36</v>
      </c>
      <c r="H231" s="12">
        <v>36</v>
      </c>
      <c r="I231" s="14"/>
      <c r="J231" s="14" t="s">
        <v>61</v>
      </c>
      <c r="K231" s="12" t="s">
        <v>27</v>
      </c>
      <c r="L231" s="15"/>
      <c r="M231" s="12" t="s">
        <v>28</v>
      </c>
      <c r="N231" s="12"/>
      <c r="O231" s="12"/>
      <c r="P231" s="12"/>
      <c r="Q231" s="16">
        <v>18</v>
      </c>
      <c r="R231" s="16">
        <v>0</v>
      </c>
      <c r="S231" s="16"/>
      <c r="T231" s="16" t="e">
        <v>#N/A</v>
      </c>
      <c r="U231" s="16" t="e">
        <v>#N/A</v>
      </c>
    </row>
    <row r="232" spans="1:21" x14ac:dyDescent="0.25">
      <c r="A232" s="12" t="s">
        <v>21</v>
      </c>
      <c r="B232" s="12" t="s">
        <v>269</v>
      </c>
      <c r="C232" s="12" t="s">
        <v>23</v>
      </c>
      <c r="D232" s="15">
        <v>46181.370115740741</v>
      </c>
      <c r="E232" s="12" t="s">
        <v>24</v>
      </c>
      <c r="F232" s="12" t="s">
        <v>71</v>
      </c>
      <c r="G232" s="12">
        <v>300</v>
      </c>
      <c r="H232" s="12">
        <v>200</v>
      </c>
      <c r="I232" s="14"/>
      <c r="J232" s="14" t="s">
        <v>61</v>
      </c>
      <c r="K232" s="12" t="s">
        <v>27</v>
      </c>
      <c r="L232" s="15"/>
      <c r="M232" s="12" t="s">
        <v>28</v>
      </c>
      <c r="N232" s="12"/>
      <c r="O232" s="12"/>
      <c r="P232" s="12"/>
      <c r="Q232" s="16">
        <v>100</v>
      </c>
      <c r="R232" s="16">
        <v>0</v>
      </c>
      <c r="S232" s="16"/>
      <c r="T232" s="16" t="e">
        <v>#N/A</v>
      </c>
      <c r="U232" s="16" t="e">
        <v>#N/A</v>
      </c>
    </row>
    <row r="233" spans="1:21" x14ac:dyDescent="0.25">
      <c r="A233" s="12" t="s">
        <v>21</v>
      </c>
      <c r="B233" s="12" t="s">
        <v>270</v>
      </c>
      <c r="C233" s="12" t="s">
        <v>23</v>
      </c>
      <c r="D233" s="15">
        <v>46182.313819444447</v>
      </c>
      <c r="E233" s="12" t="s">
        <v>271</v>
      </c>
      <c r="F233" s="12" t="s">
        <v>272</v>
      </c>
      <c r="G233" s="12">
        <v>10</v>
      </c>
      <c r="H233" s="12">
        <v>10</v>
      </c>
      <c r="I233" s="14"/>
      <c r="J233" s="14" t="s">
        <v>26</v>
      </c>
      <c r="K233" s="12" t="s">
        <v>27</v>
      </c>
      <c r="L233" s="15"/>
      <c r="M233" s="12" t="s">
        <v>28</v>
      </c>
      <c r="N233" s="12"/>
      <c r="O233" s="12"/>
      <c r="P233" s="12"/>
      <c r="Q233" s="16">
        <v>0</v>
      </c>
      <c r="R233" s="16">
        <v>0</v>
      </c>
      <c r="S233" s="16"/>
      <c r="T233" s="16" t="e">
        <v>#N/A</v>
      </c>
      <c r="U233" s="16" t="e">
        <v>#N/A</v>
      </c>
    </row>
    <row r="234" spans="1:21" x14ac:dyDescent="0.25">
      <c r="A234" s="12" t="s">
        <v>21</v>
      </c>
      <c r="B234" s="12" t="s">
        <v>270</v>
      </c>
      <c r="C234" s="12" t="s">
        <v>23</v>
      </c>
      <c r="D234" s="15">
        <v>46182.313819444447</v>
      </c>
      <c r="E234" s="12" t="s">
        <v>271</v>
      </c>
      <c r="F234" s="12" t="s">
        <v>273</v>
      </c>
      <c r="G234" s="12">
        <v>80</v>
      </c>
      <c r="H234" s="12">
        <v>80</v>
      </c>
      <c r="I234" s="14"/>
      <c r="J234" s="14" t="s">
        <v>61</v>
      </c>
      <c r="K234" s="12" t="s">
        <v>27</v>
      </c>
      <c r="L234" s="15"/>
      <c r="M234" s="12" t="s">
        <v>28</v>
      </c>
      <c r="N234" s="12"/>
      <c r="O234" s="12"/>
      <c r="P234" s="12"/>
      <c r="Q234" s="16">
        <v>40</v>
      </c>
      <c r="R234" s="16">
        <v>0</v>
      </c>
      <c r="S234" s="16"/>
      <c r="T234" s="16" t="e">
        <v>#N/A</v>
      </c>
      <c r="U234" s="16" t="e">
        <v>#N/A</v>
      </c>
    </row>
    <row r="235" spans="1:21" x14ac:dyDescent="0.25">
      <c r="A235" s="12" t="s">
        <v>21</v>
      </c>
      <c r="B235" s="12" t="s">
        <v>270</v>
      </c>
      <c r="C235" s="12" t="s">
        <v>23</v>
      </c>
      <c r="D235" s="15">
        <v>46182.313819444447</v>
      </c>
      <c r="E235" s="12" t="s">
        <v>271</v>
      </c>
      <c r="F235" s="12" t="s">
        <v>274</v>
      </c>
      <c r="G235" s="12">
        <v>80</v>
      </c>
      <c r="H235" s="12">
        <v>80</v>
      </c>
      <c r="I235" s="14"/>
      <c r="J235" s="14" t="s">
        <v>61</v>
      </c>
      <c r="K235" s="12" t="s">
        <v>27</v>
      </c>
      <c r="L235" s="15"/>
      <c r="M235" s="12" t="s">
        <v>28</v>
      </c>
      <c r="N235" s="12"/>
      <c r="O235" s="12"/>
      <c r="P235" s="12"/>
      <c r="Q235" s="16">
        <v>40</v>
      </c>
      <c r="R235" s="16">
        <v>0</v>
      </c>
      <c r="S235" s="16"/>
      <c r="T235" s="16" t="e">
        <v>#N/A</v>
      </c>
      <c r="U235" s="16" t="e">
        <v>#N/A</v>
      </c>
    </row>
    <row r="236" spans="1:21" x14ac:dyDescent="0.25">
      <c r="A236" s="12" t="s">
        <v>21</v>
      </c>
      <c r="B236" s="12" t="s">
        <v>270</v>
      </c>
      <c r="C236" s="12" t="s">
        <v>23</v>
      </c>
      <c r="D236" s="15">
        <v>46182.313819444447</v>
      </c>
      <c r="E236" s="12" t="s">
        <v>271</v>
      </c>
      <c r="F236" s="12" t="s">
        <v>275</v>
      </c>
      <c r="G236" s="12">
        <v>20</v>
      </c>
      <c r="H236" s="12">
        <v>20</v>
      </c>
      <c r="I236" s="14"/>
      <c r="J236" s="14" t="s">
        <v>26</v>
      </c>
      <c r="K236" s="12" t="s">
        <v>27</v>
      </c>
      <c r="L236" s="15"/>
      <c r="M236" s="12" t="s">
        <v>28</v>
      </c>
      <c r="N236" s="12"/>
      <c r="O236" s="12"/>
      <c r="P236" s="12"/>
      <c r="Q236" s="16">
        <v>0</v>
      </c>
      <c r="R236" s="16">
        <v>0</v>
      </c>
      <c r="S236" s="16"/>
      <c r="T236" s="16" t="e">
        <v>#N/A</v>
      </c>
      <c r="U236" s="16" t="e">
        <v>#N/A</v>
      </c>
    </row>
    <row r="237" spans="1:21" x14ac:dyDescent="0.25">
      <c r="A237" s="12" t="s">
        <v>21</v>
      </c>
      <c r="B237" s="12" t="s">
        <v>270</v>
      </c>
      <c r="C237" s="12" t="s">
        <v>23</v>
      </c>
      <c r="D237" s="15">
        <v>46182.313819444447</v>
      </c>
      <c r="E237" s="12" t="s">
        <v>271</v>
      </c>
      <c r="F237" s="12" t="s">
        <v>276</v>
      </c>
      <c r="G237" s="12">
        <v>10</v>
      </c>
      <c r="H237" s="12">
        <v>4</v>
      </c>
      <c r="I237" s="14"/>
      <c r="J237" s="14" t="s">
        <v>26</v>
      </c>
      <c r="K237" s="12" t="s">
        <v>27</v>
      </c>
      <c r="L237" s="15"/>
      <c r="M237" s="12" t="s">
        <v>28</v>
      </c>
      <c r="N237" s="12"/>
      <c r="O237" s="12"/>
      <c r="P237" s="12"/>
      <c r="Q237" s="16">
        <v>0</v>
      </c>
      <c r="R237" s="16">
        <v>11</v>
      </c>
      <c r="S237" s="16"/>
      <c r="T237" s="16" t="e">
        <v>#N/A</v>
      </c>
      <c r="U237" s="16" t="e">
        <v>#N/A</v>
      </c>
    </row>
    <row r="238" spans="1:21" x14ac:dyDescent="0.25">
      <c r="A238" s="12" t="s">
        <v>21</v>
      </c>
      <c r="B238" s="12" t="s">
        <v>270</v>
      </c>
      <c r="C238" s="12" t="s">
        <v>23</v>
      </c>
      <c r="D238" s="15">
        <v>46182.313819444447</v>
      </c>
      <c r="E238" s="12" t="s">
        <v>271</v>
      </c>
      <c r="F238" s="12" t="s">
        <v>277</v>
      </c>
      <c r="G238" s="12">
        <v>23</v>
      </c>
      <c r="H238" s="12">
        <v>2</v>
      </c>
      <c r="I238" s="14"/>
      <c r="J238" s="14" t="s">
        <v>26</v>
      </c>
      <c r="K238" s="12" t="s">
        <v>27</v>
      </c>
      <c r="L238" s="15"/>
      <c r="M238" s="12" t="s">
        <v>28</v>
      </c>
      <c r="N238" s="12"/>
      <c r="O238" s="12"/>
      <c r="P238" s="12"/>
      <c r="Q238" s="16">
        <v>0</v>
      </c>
      <c r="R238" s="16">
        <v>0</v>
      </c>
      <c r="S238" s="16">
        <v>1</v>
      </c>
      <c r="T238" s="16" t="e">
        <v>#N/A</v>
      </c>
      <c r="U238" s="16" t="e">
        <v>#N/A</v>
      </c>
    </row>
    <row r="239" spans="1:21" x14ac:dyDescent="0.25">
      <c r="A239" s="12" t="s">
        <v>21</v>
      </c>
      <c r="B239" s="12" t="s">
        <v>278</v>
      </c>
      <c r="C239" s="12" t="s">
        <v>23</v>
      </c>
      <c r="D239" s="15">
        <v>46182.646817129629</v>
      </c>
      <c r="E239" s="12" t="s">
        <v>69</v>
      </c>
      <c r="F239" s="12" t="s">
        <v>71</v>
      </c>
      <c r="G239" s="12">
        <v>100</v>
      </c>
      <c r="H239" s="12">
        <v>50</v>
      </c>
      <c r="I239" s="14"/>
      <c r="J239" s="14" t="s">
        <v>61</v>
      </c>
      <c r="K239" s="12" t="s">
        <v>27</v>
      </c>
      <c r="L239" s="15"/>
      <c r="M239" s="12" t="s">
        <v>28</v>
      </c>
      <c r="N239" s="12"/>
      <c r="O239" s="12"/>
      <c r="P239" s="12"/>
      <c r="Q239" s="16">
        <v>100</v>
      </c>
      <c r="R239" s="16">
        <v>0</v>
      </c>
      <c r="S239" s="16"/>
      <c r="T239" s="16" t="e">
        <v>#N/A</v>
      </c>
      <c r="U239" s="16" t="e">
        <v>#N/A</v>
      </c>
    </row>
    <row r="240" spans="1:21" x14ac:dyDescent="0.25">
      <c r="A240" s="12" t="s">
        <v>21</v>
      </c>
      <c r="B240" s="12" t="s">
        <v>278</v>
      </c>
      <c r="C240" s="12" t="s">
        <v>23</v>
      </c>
      <c r="D240" s="15">
        <v>46182.646817129629</v>
      </c>
      <c r="E240" s="12" t="s">
        <v>69</v>
      </c>
      <c r="F240" s="12" t="s">
        <v>277</v>
      </c>
      <c r="G240" s="12">
        <v>21</v>
      </c>
      <c r="H240" s="12">
        <v>12</v>
      </c>
      <c r="I240" s="14"/>
      <c r="J240" s="14" t="s">
        <v>26</v>
      </c>
      <c r="K240" s="12" t="s">
        <v>27</v>
      </c>
      <c r="L240" s="15"/>
      <c r="M240" s="12" t="s">
        <v>28</v>
      </c>
      <c r="N240" s="12"/>
      <c r="O240" s="12"/>
      <c r="P240" s="12"/>
      <c r="Q240" s="16">
        <v>0</v>
      </c>
      <c r="R240" s="16">
        <v>0</v>
      </c>
      <c r="S240" s="16"/>
      <c r="T240" s="16" t="e">
        <v>#N/A</v>
      </c>
      <c r="U240" s="16" t="e">
        <v>#N/A</v>
      </c>
    </row>
    <row r="241" spans="1:21" x14ac:dyDescent="0.25">
      <c r="A241" s="12" t="s">
        <v>21</v>
      </c>
      <c r="B241" s="12" t="s">
        <v>279</v>
      </c>
      <c r="C241" s="12" t="s">
        <v>23</v>
      </c>
      <c r="D241" s="15">
        <v>46184.283750000002</v>
      </c>
      <c r="E241" s="12" t="s">
        <v>195</v>
      </c>
      <c r="F241" s="12" t="s">
        <v>233</v>
      </c>
      <c r="G241" s="12">
        <v>2950</v>
      </c>
      <c r="H241" s="12">
        <v>450</v>
      </c>
      <c r="I241" s="14"/>
      <c r="J241" s="14" t="s">
        <v>26</v>
      </c>
      <c r="K241" s="12" t="s">
        <v>27</v>
      </c>
      <c r="L241" s="15"/>
      <c r="M241" s="12" t="s">
        <v>28</v>
      </c>
      <c r="N241" s="12"/>
      <c r="O241" s="12"/>
      <c r="P241" s="12"/>
      <c r="Q241" s="16">
        <v>0</v>
      </c>
      <c r="R241" s="16">
        <v>0</v>
      </c>
      <c r="S241" s="16"/>
      <c r="T241" s="16" t="e">
        <v>#N/A</v>
      </c>
      <c r="U241" s="16" t="e">
        <v>#N/A</v>
      </c>
    </row>
    <row r="242" spans="1:21" x14ac:dyDescent="0.25">
      <c r="A242" s="12" t="s">
        <v>21</v>
      </c>
      <c r="B242" s="12" t="s">
        <v>280</v>
      </c>
      <c r="C242" s="12" t="s">
        <v>23</v>
      </c>
      <c r="D242" s="15">
        <v>46184.580937500003</v>
      </c>
      <c r="E242" s="12" t="s">
        <v>266</v>
      </c>
      <c r="F242" s="12" t="s">
        <v>70</v>
      </c>
      <c r="G242" s="12">
        <v>30</v>
      </c>
      <c r="H242" s="12">
        <v>30</v>
      </c>
      <c r="I242" s="14"/>
      <c r="J242" s="14" t="s">
        <v>61</v>
      </c>
      <c r="K242" s="12" t="s">
        <v>281</v>
      </c>
      <c r="L242" s="15">
        <v>1</v>
      </c>
      <c r="M242" s="12" t="s">
        <v>150</v>
      </c>
      <c r="N242" s="12">
        <v>30</v>
      </c>
      <c r="O242" s="12">
        <v>30</v>
      </c>
      <c r="P242" s="12">
        <v>0</v>
      </c>
      <c r="Q242" s="16">
        <v>30</v>
      </c>
      <c r="R242" s="16">
        <v>0</v>
      </c>
      <c r="S242" s="16"/>
      <c r="T242" s="16" t="e">
        <v>#N/A</v>
      </c>
      <c r="U242" s="16" t="e">
        <v>#N/A</v>
      </c>
    </row>
    <row r="243" spans="1:21" x14ac:dyDescent="0.25">
      <c r="A243" s="12" t="s">
        <v>21</v>
      </c>
      <c r="B243" s="12" t="s">
        <v>282</v>
      </c>
      <c r="C243" s="12" t="s">
        <v>23</v>
      </c>
      <c r="D243" s="15">
        <v>46185.285266203704</v>
      </c>
      <c r="E243" s="12" t="s">
        <v>258</v>
      </c>
      <c r="F243" s="12" t="s">
        <v>159</v>
      </c>
      <c r="G243" s="12">
        <v>20</v>
      </c>
      <c r="H243" s="12">
        <v>10</v>
      </c>
      <c r="I243" s="14"/>
      <c r="J243" s="14" t="s">
        <v>26</v>
      </c>
      <c r="K243" s="12" t="s">
        <v>27</v>
      </c>
      <c r="L243" s="15"/>
      <c r="M243" s="12" t="s">
        <v>28</v>
      </c>
      <c r="N243" s="12"/>
      <c r="O243" s="12"/>
      <c r="P243" s="12"/>
      <c r="Q243" s="16">
        <v>0</v>
      </c>
      <c r="R243" s="16">
        <v>0</v>
      </c>
      <c r="S243" s="16"/>
      <c r="T243" s="16" t="e">
        <v>#N/A</v>
      </c>
      <c r="U243" s="16" t="e">
        <v>#N/A</v>
      </c>
    </row>
    <row r="244" spans="1:21" x14ac:dyDescent="0.25">
      <c r="A244" s="12" t="s">
        <v>21</v>
      </c>
      <c r="B244" s="12" t="s">
        <v>282</v>
      </c>
      <c r="C244" s="12" t="s">
        <v>23</v>
      </c>
      <c r="D244" s="15">
        <v>46185.285266203704</v>
      </c>
      <c r="E244" s="12" t="s">
        <v>258</v>
      </c>
      <c r="F244" s="12" t="s">
        <v>70</v>
      </c>
      <c r="G244" s="12">
        <v>20</v>
      </c>
      <c r="H244" s="12">
        <v>20</v>
      </c>
      <c r="I244" s="14"/>
      <c r="J244" s="14" t="s">
        <v>26</v>
      </c>
      <c r="K244" s="12" t="s">
        <v>27</v>
      </c>
      <c r="L244" s="15"/>
      <c r="M244" s="12" t="s">
        <v>28</v>
      </c>
      <c r="N244" s="12"/>
      <c r="O244" s="12"/>
      <c r="P244" s="12"/>
      <c r="Q244" s="16">
        <v>0</v>
      </c>
      <c r="R244" s="16">
        <v>0</v>
      </c>
      <c r="S244" s="16"/>
      <c r="T244" s="16" t="e">
        <v>#N/A</v>
      </c>
      <c r="U244" s="16" t="e">
        <v>#N/A</v>
      </c>
    </row>
    <row r="245" spans="1:21" x14ac:dyDescent="0.25">
      <c r="A245" s="12" t="s">
        <v>21</v>
      </c>
      <c r="B245" s="12" t="s">
        <v>282</v>
      </c>
      <c r="C245" s="12" t="s">
        <v>23</v>
      </c>
      <c r="D245" s="15">
        <v>46185.285266203704</v>
      </c>
      <c r="E245" s="12" t="s">
        <v>258</v>
      </c>
      <c r="F245" s="12" t="s">
        <v>283</v>
      </c>
      <c r="G245" s="12">
        <v>20</v>
      </c>
      <c r="H245" s="12">
        <v>12</v>
      </c>
      <c r="I245" s="14"/>
      <c r="J245" s="14" t="s">
        <v>26</v>
      </c>
      <c r="K245" s="12" t="s">
        <v>27</v>
      </c>
      <c r="L245" s="15"/>
      <c r="M245" s="12" t="s">
        <v>28</v>
      </c>
      <c r="N245" s="12"/>
      <c r="O245" s="12"/>
      <c r="P245" s="12"/>
      <c r="Q245" s="16">
        <v>0</v>
      </c>
      <c r="R245" s="16">
        <v>0</v>
      </c>
      <c r="S245" s="16"/>
      <c r="T245" s="16" t="e">
        <v>#N/A</v>
      </c>
      <c r="U245" s="16" t="e">
        <v>#N/A</v>
      </c>
    </row>
    <row r="246" spans="1:21" x14ac:dyDescent="0.25">
      <c r="A246" s="12" t="s">
        <v>21</v>
      </c>
      <c r="B246" s="12" t="s">
        <v>284</v>
      </c>
      <c r="C246" s="12" t="s">
        <v>23</v>
      </c>
      <c r="D246" s="15">
        <v>46185.303159722222</v>
      </c>
      <c r="E246" s="12" t="s">
        <v>258</v>
      </c>
      <c r="F246" s="12" t="s">
        <v>285</v>
      </c>
      <c r="G246" s="12">
        <v>41</v>
      </c>
      <c r="H246" s="12">
        <v>2</v>
      </c>
      <c r="I246" s="14"/>
      <c r="J246" s="14" t="s">
        <v>61</v>
      </c>
      <c r="K246" s="12" t="s">
        <v>27</v>
      </c>
      <c r="L246" s="15"/>
      <c r="M246" s="12" t="s">
        <v>28</v>
      </c>
      <c r="N246" s="12"/>
      <c r="O246" s="12"/>
      <c r="P246" s="12"/>
      <c r="Q246" s="16">
        <v>41</v>
      </c>
      <c r="R246" s="16">
        <v>0</v>
      </c>
      <c r="S246" s="16"/>
      <c r="T246" s="16" t="e">
        <v>#N/A</v>
      </c>
      <c r="U246" s="16" t="e">
        <v>#N/A</v>
      </c>
    </row>
    <row r="247" spans="1:21" x14ac:dyDescent="0.25">
      <c r="A247" s="12" t="s">
        <v>21</v>
      </c>
      <c r="B247" s="12" t="s">
        <v>286</v>
      </c>
      <c r="C247" s="12" t="s">
        <v>23</v>
      </c>
      <c r="D247" s="15">
        <v>46188.429861111108</v>
      </c>
      <c r="E247" s="12" t="s">
        <v>287</v>
      </c>
      <c r="F247" s="12" t="s">
        <v>112</v>
      </c>
      <c r="G247" s="12">
        <v>4</v>
      </c>
      <c r="H247" s="12">
        <v>4</v>
      </c>
      <c r="I247" s="14"/>
      <c r="J247" s="14" t="s">
        <v>26</v>
      </c>
      <c r="K247" s="12" t="s">
        <v>27</v>
      </c>
      <c r="L247" s="15"/>
      <c r="M247" s="12" t="s">
        <v>28</v>
      </c>
      <c r="N247" s="12"/>
      <c r="O247" s="12"/>
      <c r="P247" s="12"/>
      <c r="Q247" s="16">
        <v>0</v>
      </c>
      <c r="R247" s="16">
        <v>991</v>
      </c>
      <c r="S247" s="16"/>
      <c r="T247" s="16" t="e">
        <v>#N/A</v>
      </c>
      <c r="U247" s="16" t="e">
        <v>#N/A</v>
      </c>
    </row>
    <row r="248" spans="1:21" x14ac:dyDescent="0.25">
      <c r="A248" s="12" t="s">
        <v>21</v>
      </c>
      <c r="B248" s="12" t="s">
        <v>288</v>
      </c>
      <c r="C248" s="12" t="s">
        <v>23</v>
      </c>
      <c r="D248" s="15">
        <v>46191.52375</v>
      </c>
      <c r="E248" s="12" t="s">
        <v>24</v>
      </c>
      <c r="F248" s="12" t="s">
        <v>289</v>
      </c>
      <c r="G248" s="12">
        <v>40</v>
      </c>
      <c r="H248" s="12">
        <v>40</v>
      </c>
      <c r="I248" s="14"/>
      <c r="J248" s="14" t="s">
        <v>61</v>
      </c>
      <c r="K248" s="12" t="s">
        <v>291</v>
      </c>
      <c r="L248" s="15">
        <v>1</v>
      </c>
      <c r="M248" s="12" t="s">
        <v>150</v>
      </c>
      <c r="N248" s="12">
        <v>40</v>
      </c>
      <c r="O248" s="12">
        <v>40</v>
      </c>
      <c r="P248" s="12">
        <v>0</v>
      </c>
      <c r="Q248" s="16">
        <v>40</v>
      </c>
      <c r="R248" s="16">
        <v>0</v>
      </c>
      <c r="S248" s="16"/>
      <c r="T248" s="16" t="e">
        <v>#N/A</v>
      </c>
      <c r="U248" s="16" t="e">
        <v>#N/A</v>
      </c>
    </row>
    <row r="249" spans="1:21" x14ac:dyDescent="0.25">
      <c r="A249" s="12" t="s">
        <v>21</v>
      </c>
      <c r="B249" s="12" t="s">
        <v>288</v>
      </c>
      <c r="C249" s="12" t="s">
        <v>23</v>
      </c>
      <c r="D249" s="15">
        <v>46191.52375</v>
      </c>
      <c r="E249" s="12" t="s">
        <v>24</v>
      </c>
      <c r="F249" s="12" t="s">
        <v>290</v>
      </c>
      <c r="G249" s="12">
        <v>30</v>
      </c>
      <c r="H249" s="12">
        <v>30</v>
      </c>
      <c r="I249" s="14"/>
      <c r="J249" s="14" t="s">
        <v>61</v>
      </c>
      <c r="K249" s="12" t="s">
        <v>292</v>
      </c>
      <c r="L249" s="15">
        <v>1</v>
      </c>
      <c r="M249" s="12" t="s">
        <v>150</v>
      </c>
      <c r="N249" s="12">
        <v>30</v>
      </c>
      <c r="O249" s="12">
        <v>30</v>
      </c>
      <c r="P249" s="12">
        <v>0</v>
      </c>
      <c r="Q249" s="16">
        <v>30</v>
      </c>
      <c r="R249" s="16">
        <v>2</v>
      </c>
      <c r="S249" s="16"/>
      <c r="T249" s="16" t="e">
        <v>#N/A</v>
      </c>
      <c r="U249" s="16" t="e">
        <v>#N/A</v>
      </c>
    </row>
    <row r="250" spans="1:21" x14ac:dyDescent="0.25">
      <c r="A250" s="12" t="s">
        <v>21</v>
      </c>
      <c r="B250" s="12" t="s">
        <v>288</v>
      </c>
      <c r="C250" s="12" t="s">
        <v>23</v>
      </c>
      <c r="D250" s="13">
        <v>46191.52375</v>
      </c>
      <c r="E250" s="12" t="s">
        <v>24</v>
      </c>
      <c r="F250" s="12" t="s">
        <v>293</v>
      </c>
      <c r="G250" s="12">
        <v>50</v>
      </c>
      <c r="H250" s="12">
        <v>50</v>
      </c>
      <c r="I250" s="14"/>
      <c r="J250" s="14" t="s">
        <v>61</v>
      </c>
      <c r="K250" s="12" t="s">
        <v>294</v>
      </c>
      <c r="L250" s="15">
        <v>1</v>
      </c>
      <c r="M250" s="12" t="s">
        <v>150</v>
      </c>
      <c r="N250" s="12">
        <v>50</v>
      </c>
      <c r="O250" s="12">
        <v>50</v>
      </c>
      <c r="P250" s="12">
        <v>0</v>
      </c>
      <c r="Q250" s="16">
        <v>50</v>
      </c>
      <c r="R250" s="16">
        <v>8</v>
      </c>
      <c r="S250" s="16"/>
      <c r="T250" s="16" t="e">
        <v>#N/A</v>
      </c>
      <c r="U250" s="16" t="e">
        <v>#N/A</v>
      </c>
    </row>
    <row r="251" spans="1:21" x14ac:dyDescent="0.25">
      <c r="A251" s="12" t="s">
        <v>21</v>
      </c>
      <c r="B251" s="12" t="s">
        <v>295</v>
      </c>
      <c r="C251" s="12" t="s">
        <v>23</v>
      </c>
      <c r="D251" s="15">
        <v>46192.302384259259</v>
      </c>
      <c r="E251" s="12" t="s">
        <v>195</v>
      </c>
      <c r="F251" s="12" t="s">
        <v>296</v>
      </c>
      <c r="G251" s="12">
        <v>148</v>
      </c>
      <c r="H251" s="12">
        <v>148</v>
      </c>
      <c r="I251" s="14"/>
      <c r="J251" s="14" t="s">
        <v>26</v>
      </c>
      <c r="K251" s="12" t="s">
        <v>27</v>
      </c>
      <c r="L251" s="15"/>
      <c r="M251" s="12" t="s">
        <v>28</v>
      </c>
      <c r="N251" s="12"/>
      <c r="O251" s="12"/>
      <c r="P251" s="12"/>
      <c r="Q251" s="16">
        <v>0</v>
      </c>
      <c r="R251" s="16">
        <v>39</v>
      </c>
      <c r="S251" s="16"/>
      <c r="T251" s="16" t="e">
        <v>#N/A</v>
      </c>
      <c r="U251" s="16" t="e">
        <v>#N/A</v>
      </c>
    </row>
    <row r="252" spans="1:21" x14ac:dyDescent="0.25">
      <c r="A252" s="12" t="s">
        <v>21</v>
      </c>
      <c r="B252" s="12" t="s">
        <v>295</v>
      </c>
      <c r="C252" s="12" t="s">
        <v>23</v>
      </c>
      <c r="D252" s="13">
        <v>46192.302384259259</v>
      </c>
      <c r="E252" s="12" t="s">
        <v>195</v>
      </c>
      <c r="F252" s="12" t="s">
        <v>205</v>
      </c>
      <c r="G252" s="12">
        <v>297</v>
      </c>
      <c r="H252" s="12">
        <v>297</v>
      </c>
      <c r="I252" s="14"/>
      <c r="J252" s="14" t="s">
        <v>26</v>
      </c>
      <c r="K252" s="12" t="s">
        <v>27</v>
      </c>
      <c r="L252" s="15"/>
      <c r="M252" s="12" t="s">
        <v>28</v>
      </c>
      <c r="N252" s="12"/>
      <c r="O252" s="12"/>
      <c r="P252" s="12"/>
      <c r="Q252" s="16">
        <v>0</v>
      </c>
      <c r="R252" s="16">
        <v>439</v>
      </c>
      <c r="S252" s="16"/>
      <c r="T252" s="16" t="e">
        <v>#N/A</v>
      </c>
      <c r="U252" s="16" t="e">
        <v>#N/A</v>
      </c>
    </row>
    <row r="253" spans="1:21" x14ac:dyDescent="0.25">
      <c r="A253" s="12" t="s">
        <v>21</v>
      </c>
      <c r="B253" s="12" t="s">
        <v>295</v>
      </c>
      <c r="C253" s="12" t="s">
        <v>23</v>
      </c>
      <c r="D253" s="15">
        <v>46192.302384259259</v>
      </c>
      <c r="E253" s="12" t="s">
        <v>195</v>
      </c>
      <c r="F253" s="12" t="s">
        <v>205</v>
      </c>
      <c r="G253" s="12">
        <v>600</v>
      </c>
      <c r="H253" s="12">
        <v>600</v>
      </c>
      <c r="I253" s="14"/>
      <c r="J253" s="14" t="s">
        <v>26</v>
      </c>
      <c r="K253" s="12" t="s">
        <v>27</v>
      </c>
      <c r="L253" s="15"/>
      <c r="M253" s="12" t="s">
        <v>28</v>
      </c>
      <c r="N253" s="12"/>
      <c r="O253" s="12"/>
      <c r="P253" s="12"/>
      <c r="Q253" s="16">
        <v>0</v>
      </c>
      <c r="R253" s="16">
        <v>439</v>
      </c>
      <c r="S253" s="16"/>
      <c r="T253" s="16" t="e">
        <v>#N/A</v>
      </c>
      <c r="U253" s="16" t="e">
        <v>#N/A</v>
      </c>
    </row>
    <row r="254" spans="1:21" x14ac:dyDescent="0.25">
      <c r="A254" s="12" t="s">
        <v>21</v>
      </c>
      <c r="B254" s="12" t="s">
        <v>295</v>
      </c>
      <c r="C254" s="12" t="s">
        <v>23</v>
      </c>
      <c r="D254" s="13">
        <v>46192.302384259259</v>
      </c>
      <c r="E254" s="12" t="s">
        <v>195</v>
      </c>
      <c r="F254" s="12" t="s">
        <v>87</v>
      </c>
      <c r="G254" s="12">
        <v>300</v>
      </c>
      <c r="H254" s="12">
        <v>300</v>
      </c>
      <c r="I254" s="14"/>
      <c r="J254" s="14" t="s">
        <v>26</v>
      </c>
      <c r="K254" s="12" t="s">
        <v>27</v>
      </c>
      <c r="L254" s="15"/>
      <c r="M254" s="12" t="s">
        <v>28</v>
      </c>
      <c r="N254" s="12"/>
      <c r="O254" s="12"/>
      <c r="P254" s="12"/>
      <c r="Q254" s="16">
        <v>0</v>
      </c>
      <c r="R254" s="16">
        <v>165</v>
      </c>
      <c r="S254" s="16"/>
      <c r="T254" s="16" t="e">
        <v>#N/A</v>
      </c>
      <c r="U254" s="16" t="e">
        <v>#N/A</v>
      </c>
    </row>
    <row r="255" spans="1:21" x14ac:dyDescent="0.25">
      <c r="A255" s="12" t="s">
        <v>21</v>
      </c>
      <c r="B255" s="12" t="s">
        <v>295</v>
      </c>
      <c r="C255" s="12" t="s">
        <v>23</v>
      </c>
      <c r="D255" s="13">
        <v>46192.302384259259</v>
      </c>
      <c r="E255" s="12" t="s">
        <v>195</v>
      </c>
      <c r="F255" s="12" t="s">
        <v>206</v>
      </c>
      <c r="G255" s="12">
        <v>149</v>
      </c>
      <c r="H255" s="12">
        <v>149</v>
      </c>
      <c r="I255" s="14"/>
      <c r="J255" s="14" t="s">
        <v>26</v>
      </c>
      <c r="K255" s="12" t="s">
        <v>27</v>
      </c>
      <c r="L255" s="15"/>
      <c r="M255" s="12" t="s">
        <v>28</v>
      </c>
      <c r="N255" s="12"/>
      <c r="O255" s="12"/>
      <c r="P255" s="12"/>
      <c r="Q255" s="16">
        <v>0</v>
      </c>
      <c r="R255" s="16">
        <v>9</v>
      </c>
      <c r="S255" s="16"/>
      <c r="T255" s="16" t="e">
        <v>#N/A</v>
      </c>
      <c r="U255" s="16" t="e">
        <v>#N/A</v>
      </c>
    </row>
    <row r="256" spans="1:21" x14ac:dyDescent="0.25">
      <c r="A256" s="12" t="s">
        <v>21</v>
      </c>
      <c r="B256" s="12" t="s">
        <v>295</v>
      </c>
      <c r="C256" s="12" t="s">
        <v>23</v>
      </c>
      <c r="D256" s="15">
        <v>46192.302384259259</v>
      </c>
      <c r="E256" s="12" t="s">
        <v>195</v>
      </c>
      <c r="F256" s="12" t="s">
        <v>297</v>
      </c>
      <c r="G256" s="12">
        <v>300</v>
      </c>
      <c r="H256" s="12">
        <v>300</v>
      </c>
      <c r="I256" s="14"/>
      <c r="J256" s="14" t="s">
        <v>26</v>
      </c>
      <c r="K256" s="12" t="s">
        <v>27</v>
      </c>
      <c r="L256" s="15"/>
      <c r="M256" s="12" t="s">
        <v>28</v>
      </c>
      <c r="N256" s="12"/>
      <c r="O256" s="12"/>
      <c r="P256" s="12"/>
      <c r="Q256" s="16">
        <v>0</v>
      </c>
      <c r="R256" s="16">
        <v>535</v>
      </c>
      <c r="S256" s="16"/>
      <c r="T256" s="16" t="e">
        <v>#N/A</v>
      </c>
      <c r="U256" s="16" t="e">
        <v>#N/A</v>
      </c>
    </row>
    <row r="257" spans="1:21" x14ac:dyDescent="0.25">
      <c r="A257" s="12" t="s">
        <v>21</v>
      </c>
      <c r="B257" s="12" t="s">
        <v>295</v>
      </c>
      <c r="C257" s="12" t="s">
        <v>23</v>
      </c>
      <c r="D257" s="15">
        <v>46192.302384259259</v>
      </c>
      <c r="E257" s="12" t="s">
        <v>195</v>
      </c>
      <c r="F257" s="12" t="s">
        <v>298</v>
      </c>
      <c r="G257" s="12">
        <v>300</v>
      </c>
      <c r="H257" s="12">
        <v>300</v>
      </c>
      <c r="I257" s="14"/>
      <c r="J257" s="14" t="s">
        <v>26</v>
      </c>
      <c r="K257" s="12" t="s">
        <v>27</v>
      </c>
      <c r="L257" s="15"/>
      <c r="M257" s="12" t="s">
        <v>28</v>
      </c>
      <c r="N257" s="12"/>
      <c r="O257" s="12"/>
      <c r="P257" s="12"/>
      <c r="Q257" s="16">
        <v>0</v>
      </c>
      <c r="R257" s="16">
        <v>848</v>
      </c>
      <c r="S257" s="16"/>
      <c r="T257" s="16" t="e">
        <v>#N/A</v>
      </c>
      <c r="U257" s="16" t="e">
        <v>#N/A</v>
      </c>
    </row>
    <row r="258" spans="1:21" x14ac:dyDescent="0.25">
      <c r="A258" s="12" t="s">
        <v>21</v>
      </c>
      <c r="B258" s="12" t="s">
        <v>295</v>
      </c>
      <c r="C258" s="12" t="s">
        <v>23</v>
      </c>
      <c r="D258" s="15">
        <v>46192.302384259259</v>
      </c>
      <c r="E258" s="12" t="s">
        <v>195</v>
      </c>
      <c r="F258" s="12" t="s">
        <v>299</v>
      </c>
      <c r="G258" s="12">
        <v>300</v>
      </c>
      <c r="H258" s="12">
        <v>300</v>
      </c>
      <c r="I258" s="14"/>
      <c r="J258" s="14" t="s">
        <v>26</v>
      </c>
      <c r="K258" s="12" t="s">
        <v>27</v>
      </c>
      <c r="L258" s="15"/>
      <c r="M258" s="12" t="s">
        <v>28</v>
      </c>
      <c r="N258" s="12"/>
      <c r="O258" s="12"/>
      <c r="P258" s="12"/>
      <c r="Q258" s="16">
        <v>0</v>
      </c>
      <c r="R258" s="16">
        <v>46</v>
      </c>
      <c r="S258" s="16"/>
      <c r="T258" s="16" t="e">
        <v>#N/A</v>
      </c>
      <c r="U258" s="16" t="e">
        <v>#N/A</v>
      </c>
    </row>
    <row r="259" spans="1:21" x14ac:dyDescent="0.25">
      <c r="A259" s="12" t="s">
        <v>21</v>
      </c>
      <c r="B259" s="12" t="s">
        <v>295</v>
      </c>
      <c r="C259" s="12" t="s">
        <v>23</v>
      </c>
      <c r="D259" s="15">
        <v>46192.302384259259</v>
      </c>
      <c r="E259" s="12" t="s">
        <v>195</v>
      </c>
      <c r="F259" s="12" t="s">
        <v>300</v>
      </c>
      <c r="G259" s="12">
        <v>600</v>
      </c>
      <c r="H259" s="12">
        <v>600</v>
      </c>
      <c r="I259" s="14"/>
      <c r="J259" s="14" t="s">
        <v>26</v>
      </c>
      <c r="K259" s="12" t="s">
        <v>27</v>
      </c>
      <c r="L259" s="15"/>
      <c r="M259" s="12" t="s">
        <v>28</v>
      </c>
      <c r="N259" s="12"/>
      <c r="O259" s="12"/>
      <c r="P259" s="12"/>
      <c r="Q259" s="16">
        <v>0</v>
      </c>
      <c r="R259" s="16">
        <v>14745</v>
      </c>
      <c r="S259" s="16"/>
      <c r="T259" s="16" t="e">
        <v>#N/A</v>
      </c>
      <c r="U259" s="16" t="e">
        <v>#N/A</v>
      </c>
    </row>
    <row r="260" spans="1:21" x14ac:dyDescent="0.25">
      <c r="A260" s="12" t="s">
        <v>21</v>
      </c>
      <c r="B260" s="12" t="s">
        <v>295</v>
      </c>
      <c r="C260" s="12" t="s">
        <v>23</v>
      </c>
      <c r="D260" s="13">
        <v>46192.302384259259</v>
      </c>
      <c r="E260" s="12" t="s">
        <v>195</v>
      </c>
      <c r="F260" s="12" t="s">
        <v>301</v>
      </c>
      <c r="G260" s="12">
        <v>300</v>
      </c>
      <c r="H260" s="12">
        <v>300</v>
      </c>
      <c r="I260" s="14"/>
      <c r="J260" s="14" t="s">
        <v>26</v>
      </c>
      <c r="K260" s="12" t="s">
        <v>27</v>
      </c>
      <c r="L260" s="15"/>
      <c r="M260" s="12" t="s">
        <v>28</v>
      </c>
      <c r="N260" s="12"/>
      <c r="O260" s="12"/>
      <c r="P260" s="12"/>
      <c r="Q260" s="16">
        <v>0</v>
      </c>
      <c r="R260" s="16">
        <v>12830</v>
      </c>
      <c r="S260" s="16"/>
      <c r="T260" s="16" t="e">
        <v>#N/A</v>
      </c>
      <c r="U260" s="16" t="e">
        <v>#N/A</v>
      </c>
    </row>
    <row r="261" spans="1:21" x14ac:dyDescent="0.25">
      <c r="A261" s="12" t="s">
        <v>21</v>
      </c>
      <c r="B261" s="12" t="s">
        <v>295</v>
      </c>
      <c r="C261" s="12" t="s">
        <v>23</v>
      </c>
      <c r="D261" s="15">
        <v>46192.302384259259</v>
      </c>
      <c r="E261" s="12" t="s">
        <v>195</v>
      </c>
      <c r="F261" s="12" t="s">
        <v>214</v>
      </c>
      <c r="G261" s="12">
        <v>297</v>
      </c>
      <c r="H261" s="12">
        <v>297</v>
      </c>
      <c r="I261" s="14"/>
      <c r="J261" s="14" t="s">
        <v>26</v>
      </c>
      <c r="K261" s="12" t="s">
        <v>27</v>
      </c>
      <c r="L261" s="15"/>
      <c r="M261" s="12" t="s">
        <v>28</v>
      </c>
      <c r="N261" s="12"/>
      <c r="O261" s="12"/>
      <c r="P261" s="12"/>
      <c r="Q261" s="16">
        <v>0</v>
      </c>
      <c r="R261" s="16">
        <v>270</v>
      </c>
      <c r="S261" s="16"/>
      <c r="T261" s="16" t="e">
        <v>#N/A</v>
      </c>
      <c r="U261" s="16" t="e">
        <v>#N/A</v>
      </c>
    </row>
    <row r="262" spans="1:21" x14ac:dyDescent="0.25">
      <c r="A262" s="12" t="s">
        <v>21</v>
      </c>
      <c r="B262" s="12" t="s">
        <v>295</v>
      </c>
      <c r="C262" s="12" t="s">
        <v>23</v>
      </c>
      <c r="D262" s="13">
        <v>46192.302384259259</v>
      </c>
      <c r="E262" s="12" t="s">
        <v>195</v>
      </c>
      <c r="F262" s="12" t="s">
        <v>302</v>
      </c>
      <c r="G262" s="12">
        <v>600</v>
      </c>
      <c r="H262" s="12">
        <v>600</v>
      </c>
      <c r="I262" s="14"/>
      <c r="J262" s="14" t="s">
        <v>26</v>
      </c>
      <c r="K262" s="12" t="s">
        <v>27</v>
      </c>
      <c r="L262" s="15"/>
      <c r="M262" s="12" t="s">
        <v>28</v>
      </c>
      <c r="N262" s="12"/>
      <c r="O262" s="12"/>
      <c r="P262" s="12"/>
      <c r="Q262" s="16">
        <v>0</v>
      </c>
      <c r="R262" s="16">
        <v>14163</v>
      </c>
      <c r="S262" s="16"/>
      <c r="T262" s="16" t="e">
        <v>#N/A</v>
      </c>
      <c r="U262" s="16" t="e">
        <v>#N/A</v>
      </c>
    </row>
    <row r="263" spans="1:21" x14ac:dyDescent="0.25">
      <c r="A263" s="12" t="s">
        <v>21</v>
      </c>
      <c r="B263" s="12" t="s">
        <v>295</v>
      </c>
      <c r="C263" s="12" t="s">
        <v>23</v>
      </c>
      <c r="D263" s="15">
        <v>46192.302384259259</v>
      </c>
      <c r="E263" s="12" t="s">
        <v>195</v>
      </c>
      <c r="F263" s="12" t="s">
        <v>303</v>
      </c>
      <c r="G263" s="12">
        <v>1188</v>
      </c>
      <c r="H263" s="12">
        <v>1188</v>
      </c>
      <c r="I263" s="14"/>
      <c r="J263" s="14" t="s">
        <v>26</v>
      </c>
      <c r="K263" s="12" t="s">
        <v>27</v>
      </c>
      <c r="L263" s="15"/>
      <c r="M263" s="12" t="s">
        <v>28</v>
      </c>
      <c r="N263" s="12"/>
      <c r="O263" s="12"/>
      <c r="P263" s="12"/>
      <c r="Q263" s="16">
        <v>0</v>
      </c>
      <c r="R263" s="16">
        <v>12045</v>
      </c>
      <c r="S263" s="16"/>
      <c r="T263" s="16" t="e">
        <v>#N/A</v>
      </c>
      <c r="U263" s="16" t="e">
        <v>#N/A</v>
      </c>
    </row>
    <row r="264" spans="1:21" x14ac:dyDescent="0.25">
      <c r="A264" s="12" t="s">
        <v>21</v>
      </c>
      <c r="B264" s="12" t="s">
        <v>295</v>
      </c>
      <c r="C264" s="12" t="s">
        <v>23</v>
      </c>
      <c r="D264" s="15">
        <v>46192.302384259259</v>
      </c>
      <c r="E264" s="12" t="s">
        <v>195</v>
      </c>
      <c r="F264" s="12" t="s">
        <v>304</v>
      </c>
      <c r="G264" s="12">
        <v>1200</v>
      </c>
      <c r="H264" s="12">
        <v>1200</v>
      </c>
      <c r="I264" s="14"/>
      <c r="J264" s="14" t="s">
        <v>26</v>
      </c>
      <c r="K264" s="12" t="s">
        <v>27</v>
      </c>
      <c r="L264" s="15"/>
      <c r="M264" s="12" t="s">
        <v>28</v>
      </c>
      <c r="N264" s="12"/>
      <c r="O264" s="12"/>
      <c r="P264" s="12"/>
      <c r="Q264" s="16">
        <v>0</v>
      </c>
      <c r="R264" s="16">
        <v>85020</v>
      </c>
      <c r="S264" s="16"/>
      <c r="T264" s="16" t="e">
        <v>#N/A</v>
      </c>
      <c r="U264" s="16" t="e">
        <v>#N/A</v>
      </c>
    </row>
    <row r="265" spans="1:21" x14ac:dyDescent="0.25">
      <c r="A265" s="12" t="s">
        <v>21</v>
      </c>
      <c r="B265" s="12" t="s">
        <v>295</v>
      </c>
      <c r="C265" s="12" t="s">
        <v>23</v>
      </c>
      <c r="D265" s="13">
        <v>46192.302384259259</v>
      </c>
      <c r="E265" s="12" t="s">
        <v>195</v>
      </c>
      <c r="F265" s="12" t="s">
        <v>305</v>
      </c>
      <c r="G265" s="12">
        <v>2376</v>
      </c>
      <c r="H265" s="12">
        <v>2376</v>
      </c>
      <c r="I265" s="14"/>
      <c r="J265" s="14" t="s">
        <v>26</v>
      </c>
      <c r="K265" s="12" t="s">
        <v>27</v>
      </c>
      <c r="L265" s="15"/>
      <c r="M265" s="12" t="s">
        <v>28</v>
      </c>
      <c r="N265" s="12"/>
      <c r="O265" s="12"/>
      <c r="P265" s="12"/>
      <c r="Q265" s="16">
        <v>0</v>
      </c>
      <c r="R265" s="16">
        <v>155314</v>
      </c>
      <c r="S265" s="16"/>
      <c r="T265" s="16" t="e">
        <v>#N/A</v>
      </c>
      <c r="U265" s="16" t="e">
        <v>#N/A</v>
      </c>
    </row>
    <row r="266" spans="1:21" x14ac:dyDescent="0.25">
      <c r="A266" s="12" t="s">
        <v>21</v>
      </c>
      <c r="B266" s="12" t="s">
        <v>295</v>
      </c>
      <c r="C266" s="12" t="s">
        <v>23</v>
      </c>
      <c r="D266" s="15">
        <v>46192.302384259259</v>
      </c>
      <c r="E266" s="12" t="s">
        <v>195</v>
      </c>
      <c r="F266" s="12" t="s">
        <v>306</v>
      </c>
      <c r="G266" s="12">
        <v>1188</v>
      </c>
      <c r="H266" s="12">
        <v>1188</v>
      </c>
      <c r="I266" s="14"/>
      <c r="J266" s="14" t="s">
        <v>26</v>
      </c>
      <c r="K266" s="12" t="s">
        <v>27</v>
      </c>
      <c r="L266" s="15"/>
      <c r="M266" s="12" t="s">
        <v>28</v>
      </c>
      <c r="N266" s="12"/>
      <c r="O266" s="12"/>
      <c r="P266" s="12"/>
      <c r="Q266" s="16">
        <v>0</v>
      </c>
      <c r="R266" s="16">
        <v>14778</v>
      </c>
      <c r="S266" s="16"/>
      <c r="T266" s="16" t="e">
        <v>#N/A</v>
      </c>
      <c r="U266" s="16" t="e">
        <v>#N/A</v>
      </c>
    </row>
    <row r="267" spans="1:21" x14ac:dyDescent="0.25">
      <c r="A267" s="12" t="s">
        <v>21</v>
      </c>
      <c r="B267" s="12" t="s">
        <v>295</v>
      </c>
      <c r="C267" s="12" t="s">
        <v>23</v>
      </c>
      <c r="D267" s="13">
        <v>46192.302384259259</v>
      </c>
      <c r="E267" s="12" t="s">
        <v>195</v>
      </c>
      <c r="F267" s="12" t="s">
        <v>306</v>
      </c>
      <c r="G267" s="12">
        <v>900</v>
      </c>
      <c r="H267" s="12">
        <v>900</v>
      </c>
      <c r="I267" s="14"/>
      <c r="J267" s="14" t="s">
        <v>26</v>
      </c>
      <c r="K267" s="12" t="s">
        <v>27</v>
      </c>
      <c r="L267" s="15"/>
      <c r="M267" s="12" t="s">
        <v>28</v>
      </c>
      <c r="N267" s="12"/>
      <c r="O267" s="12"/>
      <c r="P267" s="12"/>
      <c r="Q267" s="16">
        <v>0</v>
      </c>
      <c r="R267" s="16">
        <v>14778</v>
      </c>
      <c r="S267" s="16"/>
      <c r="T267" s="16" t="e">
        <v>#N/A</v>
      </c>
      <c r="U267" s="16" t="e">
        <v>#N/A</v>
      </c>
    </row>
    <row r="268" spans="1:21" x14ac:dyDescent="0.25">
      <c r="A268" s="12" t="s">
        <v>21</v>
      </c>
      <c r="B268" s="12" t="s">
        <v>295</v>
      </c>
      <c r="C268" s="12" t="s">
        <v>23</v>
      </c>
      <c r="D268" s="15">
        <v>46192.302384259259</v>
      </c>
      <c r="E268" s="12" t="s">
        <v>195</v>
      </c>
      <c r="F268" s="12" t="s">
        <v>59</v>
      </c>
      <c r="G268" s="12">
        <v>300</v>
      </c>
      <c r="H268" s="12">
        <v>300</v>
      </c>
      <c r="I268" s="14"/>
      <c r="J268" s="14" t="s">
        <v>26</v>
      </c>
      <c r="K268" s="12" t="s">
        <v>27</v>
      </c>
      <c r="L268" s="15"/>
      <c r="M268" s="12" t="s">
        <v>28</v>
      </c>
      <c r="N268" s="12"/>
      <c r="O268" s="12"/>
      <c r="P268" s="12"/>
      <c r="Q268" s="16">
        <v>0</v>
      </c>
      <c r="R268" s="16">
        <v>0</v>
      </c>
      <c r="S268" s="16"/>
      <c r="T268" s="16" t="e">
        <v>#N/A</v>
      </c>
      <c r="U268" s="16" t="e">
        <v>#N/A</v>
      </c>
    </row>
    <row r="269" spans="1:21" x14ac:dyDescent="0.25">
      <c r="A269" s="12" t="s">
        <v>21</v>
      </c>
      <c r="B269" s="12" t="s">
        <v>295</v>
      </c>
      <c r="C269" s="12" t="s">
        <v>23</v>
      </c>
      <c r="D269" s="15">
        <v>46192.302384259259</v>
      </c>
      <c r="E269" s="12" t="s">
        <v>195</v>
      </c>
      <c r="F269" s="12" t="s">
        <v>307</v>
      </c>
      <c r="G269" s="12">
        <v>300</v>
      </c>
      <c r="H269" s="12">
        <v>300</v>
      </c>
      <c r="I269" s="14"/>
      <c r="J269" s="14" t="s">
        <v>26</v>
      </c>
      <c r="K269" s="12" t="s">
        <v>27</v>
      </c>
      <c r="L269" s="15"/>
      <c r="M269" s="12" t="s">
        <v>28</v>
      </c>
      <c r="N269" s="12"/>
      <c r="O269" s="12"/>
      <c r="P269" s="12"/>
      <c r="Q269" s="16">
        <v>0</v>
      </c>
      <c r="R269" s="16">
        <v>12653</v>
      </c>
      <c r="S269" s="16"/>
      <c r="T269" s="16" t="e">
        <v>#N/A</v>
      </c>
      <c r="U269" s="16" t="e">
        <v>#N/A</v>
      </c>
    </row>
    <row r="270" spans="1:21" x14ac:dyDescent="0.25">
      <c r="A270" s="12" t="s">
        <v>21</v>
      </c>
      <c r="B270" s="12" t="s">
        <v>295</v>
      </c>
      <c r="C270" s="12" t="s">
        <v>23</v>
      </c>
      <c r="D270" s="15">
        <v>46192.302384259259</v>
      </c>
      <c r="E270" s="12" t="s">
        <v>195</v>
      </c>
      <c r="F270" s="12" t="s">
        <v>308</v>
      </c>
      <c r="G270" s="12">
        <v>594</v>
      </c>
      <c r="H270" s="12">
        <v>594</v>
      </c>
      <c r="I270" s="14"/>
      <c r="J270" s="14" t="s">
        <v>26</v>
      </c>
      <c r="K270" s="12" t="s">
        <v>27</v>
      </c>
      <c r="L270" s="15"/>
      <c r="M270" s="12" t="s">
        <v>28</v>
      </c>
      <c r="N270" s="12"/>
      <c r="O270" s="12"/>
      <c r="P270" s="12"/>
      <c r="Q270" s="16">
        <v>0</v>
      </c>
      <c r="R270" s="16">
        <v>10717</v>
      </c>
      <c r="S270" s="16"/>
      <c r="T270" s="16" t="e">
        <v>#N/A</v>
      </c>
      <c r="U270" s="16" t="e">
        <v>#N/A</v>
      </c>
    </row>
    <row r="271" spans="1:21" x14ac:dyDescent="0.25">
      <c r="A271" s="12" t="s">
        <v>21</v>
      </c>
      <c r="B271" s="12" t="s">
        <v>295</v>
      </c>
      <c r="C271" s="12" t="s">
        <v>23</v>
      </c>
      <c r="D271" s="15">
        <v>46192.302384259259</v>
      </c>
      <c r="E271" s="12" t="s">
        <v>195</v>
      </c>
      <c r="F271" s="12" t="s">
        <v>308</v>
      </c>
      <c r="G271" s="12">
        <v>900</v>
      </c>
      <c r="H271" s="12">
        <v>900</v>
      </c>
      <c r="I271" s="14"/>
      <c r="J271" s="14" t="s">
        <v>26</v>
      </c>
      <c r="K271" s="12" t="s">
        <v>27</v>
      </c>
      <c r="L271" s="15"/>
      <c r="M271" s="12" t="s">
        <v>28</v>
      </c>
      <c r="N271" s="12"/>
      <c r="O271" s="12"/>
      <c r="P271" s="12"/>
      <c r="Q271" s="16">
        <v>0</v>
      </c>
      <c r="R271" s="16">
        <v>10717</v>
      </c>
      <c r="S271" s="16"/>
      <c r="T271" s="16" t="e">
        <v>#N/A</v>
      </c>
      <c r="U271" s="16" t="e">
        <v>#N/A</v>
      </c>
    </row>
    <row r="272" spans="1:21" x14ac:dyDescent="0.25">
      <c r="A272" s="12" t="s">
        <v>21</v>
      </c>
      <c r="B272" s="12" t="s">
        <v>295</v>
      </c>
      <c r="C272" s="12" t="s">
        <v>23</v>
      </c>
      <c r="D272" s="15">
        <v>46192.302384259259</v>
      </c>
      <c r="E272" s="12" t="s">
        <v>195</v>
      </c>
      <c r="F272" s="12" t="s">
        <v>309</v>
      </c>
      <c r="G272" s="12">
        <v>5400</v>
      </c>
      <c r="H272" s="12">
        <v>5400</v>
      </c>
      <c r="I272" s="14"/>
      <c r="J272" s="14" t="s">
        <v>26</v>
      </c>
      <c r="K272" s="12" t="s">
        <v>27</v>
      </c>
      <c r="L272" s="15"/>
      <c r="M272" s="12" t="s">
        <v>28</v>
      </c>
      <c r="N272" s="12"/>
      <c r="O272" s="12"/>
      <c r="P272" s="12"/>
      <c r="Q272" s="16">
        <v>0</v>
      </c>
      <c r="R272" s="16">
        <v>220850</v>
      </c>
      <c r="S272" s="16"/>
      <c r="T272" s="16" t="e">
        <v>#N/A</v>
      </c>
      <c r="U272" s="16" t="e">
        <v>#N/A</v>
      </c>
    </row>
    <row r="273" spans="1:21" x14ac:dyDescent="0.25">
      <c r="A273" s="12" t="s">
        <v>21</v>
      </c>
      <c r="B273" s="12" t="s">
        <v>295</v>
      </c>
      <c r="C273" s="12" t="s">
        <v>23</v>
      </c>
      <c r="D273" s="15">
        <v>46192.302384259259</v>
      </c>
      <c r="E273" s="12" t="s">
        <v>195</v>
      </c>
      <c r="F273" s="12" t="s">
        <v>310</v>
      </c>
      <c r="G273" s="12">
        <v>1050</v>
      </c>
      <c r="H273" s="12">
        <v>1050</v>
      </c>
      <c r="I273" s="14"/>
      <c r="J273" s="14" t="s">
        <v>26</v>
      </c>
      <c r="K273" s="12" t="s">
        <v>27</v>
      </c>
      <c r="L273" s="15"/>
      <c r="M273" s="12" t="s">
        <v>28</v>
      </c>
      <c r="N273" s="12"/>
      <c r="O273" s="12"/>
      <c r="P273" s="12"/>
      <c r="Q273" s="16">
        <v>0</v>
      </c>
      <c r="R273" s="16">
        <v>3738</v>
      </c>
      <c r="S273" s="16"/>
      <c r="T273" s="16" t="e">
        <v>#N/A</v>
      </c>
      <c r="U273" s="16" t="e">
        <v>#N/A</v>
      </c>
    </row>
    <row r="274" spans="1:21" x14ac:dyDescent="0.25">
      <c r="A274" s="12" t="s">
        <v>21</v>
      </c>
      <c r="B274" s="12" t="s">
        <v>295</v>
      </c>
      <c r="C274" s="12" t="s">
        <v>23</v>
      </c>
      <c r="D274" s="13">
        <v>46192.302384259259</v>
      </c>
      <c r="E274" s="12" t="s">
        <v>195</v>
      </c>
      <c r="F274" s="12" t="s">
        <v>311</v>
      </c>
      <c r="G274" s="12">
        <v>1050</v>
      </c>
      <c r="H274" s="12">
        <v>1050</v>
      </c>
      <c r="I274" s="14"/>
      <c r="J274" s="14" t="s">
        <v>26</v>
      </c>
      <c r="K274" s="12" t="s">
        <v>27</v>
      </c>
      <c r="L274" s="15"/>
      <c r="M274" s="12" t="s">
        <v>28</v>
      </c>
      <c r="N274" s="12"/>
      <c r="O274" s="12"/>
      <c r="P274" s="12"/>
      <c r="Q274" s="16">
        <v>0</v>
      </c>
      <c r="R274" s="16">
        <v>12947</v>
      </c>
      <c r="S274" s="16"/>
      <c r="T274" s="16" t="e">
        <v>#N/A</v>
      </c>
      <c r="U274" s="16" t="e">
        <v>#N/A</v>
      </c>
    </row>
    <row r="275" spans="1:21" x14ac:dyDescent="0.25">
      <c r="A275" s="12" t="s">
        <v>21</v>
      </c>
      <c r="B275" s="12" t="s">
        <v>295</v>
      </c>
      <c r="C275" s="12" t="s">
        <v>23</v>
      </c>
      <c r="D275" s="13">
        <v>46192.302384259259</v>
      </c>
      <c r="E275" s="12" t="s">
        <v>195</v>
      </c>
      <c r="F275" s="12" t="s">
        <v>312</v>
      </c>
      <c r="G275" s="12">
        <v>2376</v>
      </c>
      <c r="H275" s="12">
        <v>2376</v>
      </c>
      <c r="I275" s="14"/>
      <c r="J275" s="14" t="s">
        <v>26</v>
      </c>
      <c r="K275" s="12" t="s">
        <v>27</v>
      </c>
      <c r="L275" s="15"/>
      <c r="M275" s="12" t="s">
        <v>28</v>
      </c>
      <c r="N275" s="12"/>
      <c r="O275" s="12"/>
      <c r="P275" s="12"/>
      <c r="Q275" s="16">
        <v>0</v>
      </c>
      <c r="R275" s="16">
        <v>12445</v>
      </c>
      <c r="S275" s="16"/>
      <c r="T275" s="16" t="e">
        <v>#N/A</v>
      </c>
      <c r="U275" s="16" t="e">
        <v>#N/A</v>
      </c>
    </row>
    <row r="276" spans="1:21" x14ac:dyDescent="0.25">
      <c r="A276" s="12" t="s">
        <v>21</v>
      </c>
      <c r="B276" s="12" t="s">
        <v>295</v>
      </c>
      <c r="C276" s="12" t="s">
        <v>23</v>
      </c>
      <c r="D276" s="15">
        <v>46192.302384259259</v>
      </c>
      <c r="E276" s="12" t="s">
        <v>195</v>
      </c>
      <c r="F276" s="12" t="s">
        <v>313</v>
      </c>
      <c r="G276" s="12">
        <v>1050</v>
      </c>
      <c r="H276" s="12">
        <v>1050</v>
      </c>
      <c r="I276" s="14"/>
      <c r="J276" s="14" t="s">
        <v>26</v>
      </c>
      <c r="K276" s="12" t="s">
        <v>27</v>
      </c>
      <c r="L276" s="15"/>
      <c r="M276" s="12" t="s">
        <v>28</v>
      </c>
      <c r="N276" s="12"/>
      <c r="O276" s="12"/>
      <c r="P276" s="12"/>
      <c r="Q276" s="16">
        <v>0</v>
      </c>
      <c r="R276" s="16">
        <v>25</v>
      </c>
      <c r="S276" s="16"/>
      <c r="T276" s="16" t="e">
        <v>#N/A</v>
      </c>
      <c r="U276" s="16" t="e">
        <v>#N/A</v>
      </c>
    </row>
    <row r="277" spans="1:21" x14ac:dyDescent="0.25">
      <c r="A277" s="12" t="s">
        <v>21</v>
      </c>
      <c r="B277" s="12" t="s">
        <v>295</v>
      </c>
      <c r="C277" s="12" t="s">
        <v>23</v>
      </c>
      <c r="D277" s="15">
        <v>46192.302384259259</v>
      </c>
      <c r="E277" s="12" t="s">
        <v>195</v>
      </c>
      <c r="F277" s="12" t="s">
        <v>314</v>
      </c>
      <c r="G277" s="12">
        <v>1000</v>
      </c>
      <c r="H277" s="12">
        <v>1000</v>
      </c>
      <c r="I277" s="14"/>
      <c r="J277" s="14" t="s">
        <v>26</v>
      </c>
      <c r="K277" s="12" t="s">
        <v>27</v>
      </c>
      <c r="L277" s="15"/>
      <c r="M277" s="12" t="s">
        <v>28</v>
      </c>
      <c r="N277" s="12"/>
      <c r="O277" s="12"/>
      <c r="P277" s="12"/>
      <c r="Q277" s="16">
        <v>0</v>
      </c>
      <c r="R277" s="16">
        <v>24390</v>
      </c>
      <c r="S277" s="16"/>
      <c r="T277" s="16" t="e">
        <v>#N/A</v>
      </c>
      <c r="U277" s="16" t="e">
        <v>#N/A</v>
      </c>
    </row>
    <row r="278" spans="1:21" x14ac:dyDescent="0.25">
      <c r="A278" s="12" t="s">
        <v>21</v>
      </c>
      <c r="B278" s="12" t="s">
        <v>295</v>
      </c>
      <c r="C278" s="12" t="s">
        <v>23</v>
      </c>
      <c r="D278" s="15">
        <v>46192.302384259259</v>
      </c>
      <c r="E278" s="12" t="s">
        <v>195</v>
      </c>
      <c r="F278" s="12" t="s">
        <v>314</v>
      </c>
      <c r="G278" s="12">
        <v>600</v>
      </c>
      <c r="H278" s="12">
        <v>600</v>
      </c>
      <c r="I278" s="14"/>
      <c r="J278" s="14" t="s">
        <v>26</v>
      </c>
      <c r="K278" s="12" t="s">
        <v>27</v>
      </c>
      <c r="L278" s="15"/>
      <c r="M278" s="12" t="s">
        <v>28</v>
      </c>
      <c r="N278" s="12"/>
      <c r="O278" s="12"/>
      <c r="P278" s="12"/>
      <c r="Q278" s="16">
        <v>0</v>
      </c>
      <c r="R278" s="16">
        <v>24390</v>
      </c>
      <c r="S278" s="16"/>
      <c r="T278" s="16" t="e">
        <v>#N/A</v>
      </c>
      <c r="U278" s="16" t="e">
        <v>#N/A</v>
      </c>
    </row>
    <row r="279" spans="1:21" x14ac:dyDescent="0.25">
      <c r="A279" s="12" t="s">
        <v>21</v>
      </c>
      <c r="B279" s="12" t="s">
        <v>295</v>
      </c>
      <c r="C279" s="12" t="s">
        <v>23</v>
      </c>
      <c r="D279" s="15">
        <v>46192.302384259259</v>
      </c>
      <c r="E279" s="12" t="s">
        <v>195</v>
      </c>
      <c r="F279" s="12" t="s">
        <v>255</v>
      </c>
      <c r="G279" s="12">
        <v>1000</v>
      </c>
      <c r="H279" s="12">
        <v>1000</v>
      </c>
      <c r="I279" s="14"/>
      <c r="J279" s="14" t="s">
        <v>26</v>
      </c>
      <c r="K279" s="12" t="s">
        <v>27</v>
      </c>
      <c r="L279" s="15"/>
      <c r="M279" s="12" t="s">
        <v>28</v>
      </c>
      <c r="N279" s="12"/>
      <c r="O279" s="12"/>
      <c r="P279" s="12"/>
      <c r="Q279" s="16">
        <v>0</v>
      </c>
      <c r="R279" s="16">
        <v>49645</v>
      </c>
      <c r="S279" s="16"/>
      <c r="T279" s="16" t="e">
        <v>#N/A</v>
      </c>
      <c r="U279" s="16" t="e">
        <v>#N/A</v>
      </c>
    </row>
    <row r="280" spans="1:21" x14ac:dyDescent="0.25">
      <c r="A280" s="12" t="s">
        <v>21</v>
      </c>
      <c r="B280" s="12" t="s">
        <v>295</v>
      </c>
      <c r="C280" s="12" t="s">
        <v>23</v>
      </c>
      <c r="D280" s="13">
        <v>46192.302384259259</v>
      </c>
      <c r="E280" s="12" t="s">
        <v>195</v>
      </c>
      <c r="F280" s="12" t="s">
        <v>48</v>
      </c>
      <c r="G280" s="12">
        <v>2700</v>
      </c>
      <c r="H280" s="12">
        <v>2700</v>
      </c>
      <c r="I280" s="14"/>
      <c r="J280" s="14" t="s">
        <v>26</v>
      </c>
      <c r="K280" s="12" t="s">
        <v>27</v>
      </c>
      <c r="L280" s="15"/>
      <c r="M280" s="12" t="s">
        <v>28</v>
      </c>
      <c r="N280" s="12"/>
      <c r="O280" s="12"/>
      <c r="P280" s="12"/>
      <c r="Q280" s="16">
        <v>0</v>
      </c>
      <c r="R280" s="16">
        <v>3758</v>
      </c>
      <c r="S280" s="16"/>
      <c r="T280" s="16" t="e">
        <v>#N/A</v>
      </c>
      <c r="U280" s="16" t="e">
        <v>#N/A</v>
      </c>
    </row>
    <row r="281" spans="1:21" x14ac:dyDescent="0.25">
      <c r="A281" s="12" t="s">
        <v>21</v>
      </c>
      <c r="B281" s="12" t="s">
        <v>295</v>
      </c>
      <c r="C281" s="12" t="s">
        <v>23</v>
      </c>
      <c r="D281" s="15">
        <v>46192.302384259259</v>
      </c>
      <c r="E281" s="12" t="s">
        <v>195</v>
      </c>
      <c r="F281" s="12" t="s">
        <v>315</v>
      </c>
      <c r="G281" s="12">
        <v>2400</v>
      </c>
      <c r="H281" s="12">
        <v>2400</v>
      </c>
      <c r="I281" s="14"/>
      <c r="J281" s="14" t="s">
        <v>26</v>
      </c>
      <c r="K281" s="12" t="s">
        <v>27</v>
      </c>
      <c r="L281" s="15"/>
      <c r="M281" s="12" t="s">
        <v>28</v>
      </c>
      <c r="N281" s="12"/>
      <c r="O281" s="12"/>
      <c r="P281" s="12"/>
      <c r="Q281" s="16">
        <v>0</v>
      </c>
      <c r="R281" s="16">
        <v>5042</v>
      </c>
      <c r="S281" s="16"/>
      <c r="T281" s="16" t="e">
        <v>#N/A</v>
      </c>
      <c r="U281" s="16" t="e">
        <v>#N/A</v>
      </c>
    </row>
    <row r="282" spans="1:21" x14ac:dyDescent="0.25">
      <c r="A282" s="12" t="s">
        <v>21</v>
      </c>
      <c r="B282" s="12" t="s">
        <v>316</v>
      </c>
      <c r="C282" s="12" t="s">
        <v>23</v>
      </c>
      <c r="D282" s="13">
        <v>46195.506979166668</v>
      </c>
      <c r="E282" s="12" t="s">
        <v>24</v>
      </c>
      <c r="F282" s="12" t="s">
        <v>59</v>
      </c>
      <c r="G282" s="12">
        <v>150</v>
      </c>
      <c r="H282" s="12">
        <v>150</v>
      </c>
      <c r="I282" s="14"/>
      <c r="J282" s="14" t="s">
        <v>26</v>
      </c>
      <c r="K282" s="12" t="s">
        <v>27</v>
      </c>
      <c r="L282" s="15"/>
      <c r="M282" s="12" t="s">
        <v>28</v>
      </c>
      <c r="N282" s="12"/>
      <c r="O282" s="12"/>
      <c r="P282" s="12"/>
      <c r="Q282" s="16">
        <v>0</v>
      </c>
      <c r="R282" s="16">
        <v>0</v>
      </c>
      <c r="S282" s="16">
        <v>20</v>
      </c>
      <c r="T282" s="16" t="e">
        <v>#N/A</v>
      </c>
      <c r="U282" s="16" t="e">
        <v>#N/A</v>
      </c>
    </row>
    <row r="283" spans="1:21" x14ac:dyDescent="0.25">
      <c r="A283" s="12" t="s">
        <v>21</v>
      </c>
      <c r="B283" s="12" t="s">
        <v>316</v>
      </c>
      <c r="C283" s="12" t="s">
        <v>23</v>
      </c>
      <c r="D283" s="15">
        <v>46195.506979166668</v>
      </c>
      <c r="E283" s="12" t="s">
        <v>24</v>
      </c>
      <c r="F283" s="12" t="s">
        <v>317</v>
      </c>
      <c r="G283" s="12">
        <v>12</v>
      </c>
      <c r="H283" s="12">
        <v>12</v>
      </c>
      <c r="I283" s="14"/>
      <c r="J283" s="14" t="s">
        <v>61</v>
      </c>
      <c r="K283" s="12" t="s">
        <v>27</v>
      </c>
      <c r="L283" s="15"/>
      <c r="M283" s="12" t="s">
        <v>28</v>
      </c>
      <c r="N283" s="12"/>
      <c r="O283" s="12"/>
      <c r="P283" s="12"/>
      <c r="Q283" s="16">
        <v>12</v>
      </c>
      <c r="R283" s="16">
        <v>0</v>
      </c>
      <c r="S283" s="16"/>
      <c r="T283" s="16" t="e">
        <v>#N/A</v>
      </c>
      <c r="U283" s="16" t="e">
        <v>#N/A</v>
      </c>
    </row>
    <row r="284" spans="1:21" x14ac:dyDescent="0.25">
      <c r="A284" s="12" t="s">
        <v>21</v>
      </c>
      <c r="B284" s="12" t="s">
        <v>316</v>
      </c>
      <c r="C284" s="12" t="s">
        <v>23</v>
      </c>
      <c r="D284" s="15">
        <v>46195.506979166668</v>
      </c>
      <c r="E284" s="12" t="s">
        <v>24</v>
      </c>
      <c r="F284" s="12" t="s">
        <v>165</v>
      </c>
      <c r="G284" s="12">
        <v>65</v>
      </c>
      <c r="H284" s="12">
        <v>65</v>
      </c>
      <c r="I284" s="14"/>
      <c r="J284" s="14" t="s">
        <v>26</v>
      </c>
      <c r="K284" s="12" t="s">
        <v>27</v>
      </c>
      <c r="L284" s="15"/>
      <c r="M284" s="12" t="s">
        <v>28</v>
      </c>
      <c r="N284" s="12"/>
      <c r="O284" s="12"/>
      <c r="P284" s="12"/>
      <c r="Q284" s="16">
        <v>0</v>
      </c>
      <c r="R284" s="16">
        <v>0</v>
      </c>
      <c r="S284" s="16"/>
      <c r="T284" s="16" t="e">
        <v>#N/A</v>
      </c>
      <c r="U284" s="16" t="e">
        <v>#N/A</v>
      </c>
    </row>
    <row r="285" spans="1:21" x14ac:dyDescent="0.25">
      <c r="A285" s="12" t="s">
        <v>21</v>
      </c>
      <c r="B285" s="12" t="s">
        <v>316</v>
      </c>
      <c r="C285" s="12" t="s">
        <v>23</v>
      </c>
      <c r="D285" s="15">
        <v>46195.506979166668</v>
      </c>
      <c r="E285" s="12" t="s">
        <v>24</v>
      </c>
      <c r="F285" s="12" t="s">
        <v>166</v>
      </c>
      <c r="G285" s="12">
        <v>65</v>
      </c>
      <c r="H285" s="12">
        <v>65</v>
      </c>
      <c r="I285" s="14"/>
      <c r="J285" s="14" t="s">
        <v>61</v>
      </c>
      <c r="K285" s="12" t="s">
        <v>27</v>
      </c>
      <c r="L285" s="15"/>
      <c r="M285" s="12" t="s">
        <v>28</v>
      </c>
      <c r="N285" s="12"/>
      <c r="O285" s="12"/>
      <c r="P285" s="12"/>
      <c r="Q285" s="16">
        <v>65</v>
      </c>
      <c r="R285" s="16">
        <v>0</v>
      </c>
      <c r="S285" s="16"/>
      <c r="T285" s="16" t="e">
        <v>#N/A</v>
      </c>
      <c r="U285" s="16" t="e">
        <v>#N/A</v>
      </c>
    </row>
    <row r="286" spans="1:21" x14ac:dyDescent="0.25">
      <c r="A286" s="12" t="s">
        <v>21</v>
      </c>
      <c r="B286" s="12" t="s">
        <v>316</v>
      </c>
      <c r="C286" s="12" t="s">
        <v>23</v>
      </c>
      <c r="D286" s="15">
        <v>46195.506979166668</v>
      </c>
      <c r="E286" s="12" t="s">
        <v>24</v>
      </c>
      <c r="F286" s="12" t="s">
        <v>167</v>
      </c>
      <c r="G286" s="12">
        <v>68</v>
      </c>
      <c r="H286" s="12">
        <v>68</v>
      </c>
      <c r="I286" s="14"/>
      <c r="J286" s="14" t="s">
        <v>61</v>
      </c>
      <c r="K286" s="12" t="s">
        <v>27</v>
      </c>
      <c r="L286" s="15"/>
      <c r="M286" s="12" t="s">
        <v>28</v>
      </c>
      <c r="N286" s="12"/>
      <c r="O286" s="12"/>
      <c r="P286" s="12"/>
      <c r="Q286" s="16">
        <v>68</v>
      </c>
      <c r="R286" s="16">
        <v>0</v>
      </c>
      <c r="S286" s="16"/>
      <c r="T286" s="16" t="e">
        <v>#N/A</v>
      </c>
      <c r="U286" s="16" t="e">
        <v>#N/A</v>
      </c>
    </row>
    <row r="287" spans="1:21" x14ac:dyDescent="0.25">
      <c r="A287" s="12" t="s">
        <v>21</v>
      </c>
      <c r="B287" s="12" t="s">
        <v>316</v>
      </c>
      <c r="C287" s="12" t="s">
        <v>23</v>
      </c>
      <c r="D287" s="15">
        <v>46195.506979166668</v>
      </c>
      <c r="E287" s="12" t="s">
        <v>24</v>
      </c>
      <c r="F287" s="12" t="s">
        <v>36</v>
      </c>
      <c r="G287" s="12">
        <v>190</v>
      </c>
      <c r="H287" s="12">
        <v>190</v>
      </c>
      <c r="I287" s="14"/>
      <c r="J287" s="14" t="s">
        <v>61</v>
      </c>
      <c r="K287" s="12" t="s">
        <v>27</v>
      </c>
      <c r="L287" s="15"/>
      <c r="M287" s="12" t="s">
        <v>28</v>
      </c>
      <c r="N287" s="12"/>
      <c r="O287" s="12"/>
      <c r="P287" s="12"/>
      <c r="Q287" s="16">
        <v>190</v>
      </c>
      <c r="R287" s="16">
        <v>0</v>
      </c>
      <c r="S287" s="16"/>
      <c r="T287" s="16" t="e">
        <v>#N/A</v>
      </c>
      <c r="U287" s="16" t="e">
        <v>#N/A</v>
      </c>
    </row>
    <row r="288" spans="1:21" x14ac:dyDescent="0.25">
      <c r="A288" s="12" t="s">
        <v>21</v>
      </c>
      <c r="B288" s="12" t="s">
        <v>316</v>
      </c>
      <c r="C288" s="12" t="s">
        <v>23</v>
      </c>
      <c r="D288" s="13">
        <v>46195.506979166668</v>
      </c>
      <c r="E288" s="12" t="s">
        <v>24</v>
      </c>
      <c r="F288" s="12" t="s">
        <v>178</v>
      </c>
      <c r="G288" s="12">
        <v>5</v>
      </c>
      <c r="H288" s="12">
        <v>5</v>
      </c>
      <c r="I288" s="14"/>
      <c r="J288" s="14" t="s">
        <v>61</v>
      </c>
      <c r="K288" s="12" t="s">
        <v>27</v>
      </c>
      <c r="L288" s="15"/>
      <c r="M288" s="12" t="s">
        <v>28</v>
      </c>
      <c r="N288" s="12"/>
      <c r="O288" s="12"/>
      <c r="P288" s="12"/>
      <c r="Q288" s="16">
        <v>5</v>
      </c>
      <c r="R288" s="16">
        <v>0</v>
      </c>
      <c r="S288" s="16"/>
      <c r="T288" s="16" t="e">
        <v>#N/A</v>
      </c>
      <c r="U288" s="16" t="e">
        <v>#N/A</v>
      </c>
    </row>
    <row r="289" spans="1:21" x14ac:dyDescent="0.25">
      <c r="A289" s="12" t="s">
        <v>21</v>
      </c>
      <c r="B289" s="12" t="s">
        <v>316</v>
      </c>
      <c r="C289" s="12" t="s">
        <v>23</v>
      </c>
      <c r="D289" s="15">
        <v>46195.506979166668</v>
      </c>
      <c r="E289" s="12" t="s">
        <v>24</v>
      </c>
      <c r="F289" s="12" t="s">
        <v>318</v>
      </c>
      <c r="G289" s="12">
        <v>159</v>
      </c>
      <c r="H289" s="12">
        <v>159</v>
      </c>
      <c r="I289" s="14"/>
      <c r="J289" s="14" t="s">
        <v>61</v>
      </c>
      <c r="K289" s="12" t="s">
        <v>27</v>
      </c>
      <c r="L289" s="15"/>
      <c r="M289" s="12" t="s">
        <v>28</v>
      </c>
      <c r="N289" s="12"/>
      <c r="O289" s="12"/>
      <c r="P289" s="12"/>
      <c r="Q289" s="16">
        <v>159</v>
      </c>
      <c r="R289" s="16">
        <v>0</v>
      </c>
      <c r="S289" s="16"/>
      <c r="T289" s="16" t="e">
        <v>#N/A</v>
      </c>
      <c r="U289" s="16" t="e">
        <v>#N/A</v>
      </c>
    </row>
    <row r="290" spans="1:21" x14ac:dyDescent="0.25">
      <c r="A290" s="12" t="s">
        <v>21</v>
      </c>
      <c r="B290" s="12" t="s">
        <v>316</v>
      </c>
      <c r="C290" s="12" t="s">
        <v>23</v>
      </c>
      <c r="D290" s="15">
        <v>46195.506979166668</v>
      </c>
      <c r="E290" s="12" t="s">
        <v>24</v>
      </c>
      <c r="F290" s="12" t="s">
        <v>181</v>
      </c>
      <c r="G290" s="12">
        <v>5</v>
      </c>
      <c r="H290" s="12">
        <v>5</v>
      </c>
      <c r="I290" s="14"/>
      <c r="J290" s="14" t="s">
        <v>61</v>
      </c>
      <c r="K290" s="12" t="s">
        <v>27</v>
      </c>
      <c r="L290" s="15"/>
      <c r="M290" s="12" t="s">
        <v>28</v>
      </c>
      <c r="N290" s="12"/>
      <c r="O290" s="12"/>
      <c r="P290" s="12"/>
      <c r="Q290" s="16">
        <v>5</v>
      </c>
      <c r="R290" s="16">
        <v>0</v>
      </c>
      <c r="S290" s="16"/>
      <c r="T290" s="16" t="e">
        <v>#N/A</v>
      </c>
      <c r="U290" s="16" t="e">
        <v>#N/A</v>
      </c>
    </row>
    <row r="291" spans="1:21" x14ac:dyDescent="0.25">
      <c r="A291" s="12" t="s">
        <v>21</v>
      </c>
      <c r="B291" s="12" t="s">
        <v>316</v>
      </c>
      <c r="C291" s="12" t="s">
        <v>23</v>
      </c>
      <c r="D291" s="13">
        <v>46195.506979166668</v>
      </c>
      <c r="E291" s="12" t="s">
        <v>24</v>
      </c>
      <c r="F291" s="12" t="s">
        <v>319</v>
      </c>
      <c r="G291" s="12">
        <v>100</v>
      </c>
      <c r="H291" s="12">
        <v>100</v>
      </c>
      <c r="I291" s="14"/>
      <c r="J291" s="14" t="s">
        <v>26</v>
      </c>
      <c r="K291" s="12" t="s">
        <v>27</v>
      </c>
      <c r="L291" s="15"/>
      <c r="M291" s="12" t="s">
        <v>28</v>
      </c>
      <c r="N291" s="12"/>
      <c r="O291" s="12"/>
      <c r="P291" s="12"/>
      <c r="Q291" s="16">
        <v>0</v>
      </c>
      <c r="R291" s="16">
        <v>657</v>
      </c>
      <c r="S291" s="16"/>
      <c r="T291" s="16" t="e">
        <v>#N/A</v>
      </c>
      <c r="U291" s="16" t="e">
        <v>#N/A</v>
      </c>
    </row>
    <row r="292" spans="1:21" x14ac:dyDescent="0.25">
      <c r="A292" s="12" t="s">
        <v>21</v>
      </c>
      <c r="B292" s="12" t="s">
        <v>316</v>
      </c>
      <c r="C292" s="12" t="s">
        <v>23</v>
      </c>
      <c r="D292" s="13">
        <v>46195.506979166668</v>
      </c>
      <c r="E292" s="12" t="s">
        <v>24</v>
      </c>
      <c r="F292" s="12" t="s">
        <v>320</v>
      </c>
      <c r="G292" s="12">
        <v>70</v>
      </c>
      <c r="H292" s="12">
        <v>70</v>
      </c>
      <c r="I292" s="14"/>
      <c r="J292" s="14" t="s">
        <v>26</v>
      </c>
      <c r="K292" s="12" t="s">
        <v>27</v>
      </c>
      <c r="L292" s="15"/>
      <c r="M292" s="12" t="s">
        <v>28</v>
      </c>
      <c r="N292" s="12"/>
      <c r="O292" s="12"/>
      <c r="P292" s="12"/>
      <c r="Q292" s="16">
        <v>0</v>
      </c>
      <c r="R292" s="16">
        <v>1</v>
      </c>
      <c r="S292" s="16"/>
      <c r="T292" s="16" t="e">
        <v>#N/A</v>
      </c>
      <c r="U292" s="16" t="e">
        <v>#N/A</v>
      </c>
    </row>
    <row r="293" spans="1:21" x14ac:dyDescent="0.25">
      <c r="A293" s="12" t="s">
        <v>21</v>
      </c>
      <c r="B293" s="12" t="s">
        <v>316</v>
      </c>
      <c r="C293" s="12" t="s">
        <v>23</v>
      </c>
      <c r="D293" s="15">
        <v>46195.506979166668</v>
      </c>
      <c r="E293" s="12" t="s">
        <v>24</v>
      </c>
      <c r="F293" s="12" t="s">
        <v>37</v>
      </c>
      <c r="G293" s="12">
        <v>123</v>
      </c>
      <c r="H293" s="12">
        <v>123</v>
      </c>
      <c r="I293" s="14"/>
      <c r="J293" s="14" t="s">
        <v>61</v>
      </c>
      <c r="K293" s="12" t="s">
        <v>27</v>
      </c>
      <c r="L293" s="15"/>
      <c r="M293" s="12" t="s">
        <v>28</v>
      </c>
      <c r="N293" s="12"/>
      <c r="O293" s="12"/>
      <c r="P293" s="12"/>
      <c r="Q293" s="16">
        <v>123</v>
      </c>
      <c r="R293" s="16">
        <v>0</v>
      </c>
      <c r="S293" s="16"/>
      <c r="T293" s="16" t="e">
        <v>#N/A</v>
      </c>
      <c r="U293" s="16" t="e">
        <v>#N/A</v>
      </c>
    </row>
    <row r="294" spans="1:21" x14ac:dyDescent="0.25">
      <c r="A294" s="12" t="s">
        <v>21</v>
      </c>
      <c r="B294" s="12" t="s">
        <v>316</v>
      </c>
      <c r="C294" s="12" t="s">
        <v>23</v>
      </c>
      <c r="D294" s="15">
        <v>46195.506979166668</v>
      </c>
      <c r="E294" s="12" t="s">
        <v>24</v>
      </c>
      <c r="F294" s="12" t="s">
        <v>262</v>
      </c>
      <c r="G294" s="12">
        <v>500</v>
      </c>
      <c r="H294" s="12">
        <v>500</v>
      </c>
      <c r="I294" s="14"/>
      <c r="J294" s="14" t="s">
        <v>26</v>
      </c>
      <c r="K294" s="12" t="s">
        <v>27</v>
      </c>
      <c r="L294" s="15"/>
      <c r="M294" s="12" t="s">
        <v>28</v>
      </c>
      <c r="N294" s="12"/>
      <c r="O294" s="12"/>
      <c r="P294" s="12"/>
      <c r="Q294" s="16">
        <v>0</v>
      </c>
      <c r="R294" s="16">
        <v>0</v>
      </c>
      <c r="S294" s="16"/>
      <c r="T294" s="16" t="e">
        <v>#N/A</v>
      </c>
      <c r="U294" s="16" t="e">
        <v>#N/A</v>
      </c>
    </row>
    <row r="295" spans="1:21" x14ac:dyDescent="0.25">
      <c r="A295" s="12" t="s">
        <v>21</v>
      </c>
      <c r="B295" s="12" t="s">
        <v>316</v>
      </c>
      <c r="C295" s="12" t="s">
        <v>23</v>
      </c>
      <c r="D295" s="15">
        <v>46195.506979166668</v>
      </c>
      <c r="E295" s="12" t="s">
        <v>24</v>
      </c>
      <c r="F295" s="12" t="s">
        <v>321</v>
      </c>
      <c r="G295" s="12">
        <v>50</v>
      </c>
      <c r="H295" s="12">
        <v>50</v>
      </c>
      <c r="I295" s="14"/>
      <c r="J295" s="14" t="s">
        <v>26</v>
      </c>
      <c r="K295" s="12" t="s">
        <v>27</v>
      </c>
      <c r="L295" s="15"/>
      <c r="M295" s="12" t="s">
        <v>28</v>
      </c>
      <c r="N295" s="12"/>
      <c r="O295" s="12"/>
      <c r="P295" s="12"/>
      <c r="Q295" s="16">
        <v>0</v>
      </c>
      <c r="R295" s="16">
        <v>0</v>
      </c>
      <c r="S295" s="16"/>
      <c r="T295" s="16" t="e">
        <v>#N/A</v>
      </c>
      <c r="U295" s="16" t="e">
        <v>#N/A</v>
      </c>
    </row>
    <row r="296" spans="1:21" x14ac:dyDescent="0.25">
      <c r="A296" s="12" t="s">
        <v>21</v>
      </c>
      <c r="B296" s="12" t="s">
        <v>322</v>
      </c>
      <c r="C296" s="12" t="s">
        <v>23</v>
      </c>
      <c r="D296" s="13">
        <v>46199.294722222221</v>
      </c>
      <c r="E296" s="12" t="s">
        <v>266</v>
      </c>
      <c r="F296" s="12" t="s">
        <v>71</v>
      </c>
      <c r="G296" s="12">
        <v>50</v>
      </c>
      <c r="H296" s="12">
        <v>50</v>
      </c>
      <c r="I296" s="14"/>
      <c r="J296" s="14" t="s">
        <v>26</v>
      </c>
      <c r="K296" s="12" t="s">
        <v>27</v>
      </c>
      <c r="L296" s="15"/>
      <c r="M296" s="12" t="s">
        <v>28</v>
      </c>
      <c r="N296" s="12"/>
      <c r="O296" s="12"/>
      <c r="P296" s="12"/>
      <c r="Q296" s="16">
        <v>0</v>
      </c>
      <c r="R296" s="16">
        <v>0</v>
      </c>
      <c r="S296" s="16"/>
      <c r="T296" s="16" t="e">
        <v>#N/A</v>
      </c>
      <c r="U296" s="16" t="e">
        <v>#N/A</v>
      </c>
    </row>
    <row r="297" spans="1:21" x14ac:dyDescent="0.25">
      <c r="A297" s="12" t="s">
        <v>21</v>
      </c>
      <c r="B297" s="12" t="s">
        <v>323</v>
      </c>
      <c r="C297" s="12" t="s">
        <v>23</v>
      </c>
      <c r="D297" s="15">
        <v>46199.498495370368</v>
      </c>
      <c r="E297" s="12" t="s">
        <v>24</v>
      </c>
      <c r="F297" s="12" t="s">
        <v>324</v>
      </c>
      <c r="G297" s="12">
        <v>60</v>
      </c>
      <c r="H297" s="12">
        <v>18</v>
      </c>
      <c r="I297" s="14"/>
      <c r="J297" s="14" t="s">
        <v>61</v>
      </c>
      <c r="K297" s="12" t="s">
        <v>27</v>
      </c>
      <c r="L297" s="15"/>
      <c r="M297" s="12" t="s">
        <v>28</v>
      </c>
      <c r="N297" s="12"/>
      <c r="O297" s="12"/>
      <c r="P297" s="12"/>
      <c r="Q297" s="16">
        <v>30</v>
      </c>
      <c r="R297" s="16">
        <v>4</v>
      </c>
      <c r="S297" s="16"/>
      <c r="T297" s="16" t="e">
        <v>#N/A</v>
      </c>
      <c r="U297" s="16" t="e">
        <v>#N/A</v>
      </c>
    </row>
    <row r="298" spans="1:21" x14ac:dyDescent="0.25">
      <c r="A298" s="12" t="s">
        <v>21</v>
      </c>
      <c r="B298" s="12" t="s">
        <v>323</v>
      </c>
      <c r="C298" s="12" t="s">
        <v>23</v>
      </c>
      <c r="D298" s="15">
        <v>46199.498495370368</v>
      </c>
      <c r="E298" s="12" t="s">
        <v>24</v>
      </c>
      <c r="F298" s="12" t="s">
        <v>71</v>
      </c>
      <c r="G298" s="12">
        <v>200</v>
      </c>
      <c r="H298" s="12">
        <v>200</v>
      </c>
      <c r="I298" s="14"/>
      <c r="J298" s="14" t="s">
        <v>26</v>
      </c>
      <c r="K298" s="12" t="s">
        <v>27</v>
      </c>
      <c r="L298" s="15"/>
      <c r="M298" s="12" t="s">
        <v>28</v>
      </c>
      <c r="N298" s="12"/>
      <c r="O298" s="12"/>
      <c r="P298" s="12"/>
      <c r="Q298" s="16">
        <v>0</v>
      </c>
      <c r="R298" s="16">
        <v>0</v>
      </c>
      <c r="S298" s="16"/>
      <c r="T298" s="16" t="e">
        <v>#N/A</v>
      </c>
      <c r="U298" s="16" t="e">
        <v>#N/A</v>
      </c>
    </row>
    <row r="299" spans="1:21" x14ac:dyDescent="0.25">
      <c r="A299" s="12" t="s">
        <v>21</v>
      </c>
      <c r="B299" s="12" t="s">
        <v>323</v>
      </c>
      <c r="C299" s="12" t="s">
        <v>23</v>
      </c>
      <c r="D299" s="13">
        <v>46199.498495370368</v>
      </c>
      <c r="E299" s="12" t="s">
        <v>24</v>
      </c>
      <c r="F299" s="12" t="s">
        <v>325</v>
      </c>
      <c r="G299" s="12">
        <v>40</v>
      </c>
      <c r="H299" s="12">
        <v>30</v>
      </c>
      <c r="I299" s="14"/>
      <c r="J299" s="14" t="s">
        <v>61</v>
      </c>
      <c r="K299" s="12" t="s">
        <v>27</v>
      </c>
      <c r="L299" s="15"/>
      <c r="M299" s="12" t="s">
        <v>28</v>
      </c>
      <c r="N299" s="12"/>
      <c r="O299" s="12"/>
      <c r="P299" s="12"/>
      <c r="Q299" s="16">
        <v>40</v>
      </c>
      <c r="R299" s="16">
        <v>4</v>
      </c>
      <c r="S299" s="16"/>
      <c r="T299" s="16" t="e">
        <v>#N/A</v>
      </c>
      <c r="U299" s="16" t="e">
        <v>#N/A</v>
      </c>
    </row>
    <row r="300" spans="1:21" x14ac:dyDescent="0.25">
      <c r="A300" s="12" t="s">
        <v>21</v>
      </c>
      <c r="B300" s="12" t="s">
        <v>323</v>
      </c>
      <c r="C300" s="12" t="s">
        <v>23</v>
      </c>
      <c r="D300" s="13">
        <v>46199.498495370368</v>
      </c>
      <c r="E300" s="12" t="s">
        <v>24</v>
      </c>
      <c r="F300" s="12" t="s">
        <v>326</v>
      </c>
      <c r="G300" s="12">
        <v>60</v>
      </c>
      <c r="H300" s="12">
        <v>5</v>
      </c>
      <c r="I300" s="14"/>
      <c r="J300" s="14" t="s">
        <v>61</v>
      </c>
      <c r="K300" s="12" t="s">
        <v>27</v>
      </c>
      <c r="L300" s="15"/>
      <c r="M300" s="12" t="s">
        <v>28</v>
      </c>
      <c r="N300" s="12"/>
      <c r="O300" s="12"/>
      <c r="P300" s="12"/>
      <c r="Q300" s="16">
        <v>120</v>
      </c>
      <c r="R300" s="16">
        <v>0</v>
      </c>
      <c r="S300" s="16"/>
      <c r="T300" s="16" t="e">
        <v>#N/A</v>
      </c>
      <c r="U300" s="16" t="e">
        <v>#N/A</v>
      </c>
    </row>
    <row r="301" spans="1:21" x14ac:dyDescent="0.25">
      <c r="A301" s="12" t="s">
        <v>21</v>
      </c>
      <c r="B301" s="12" t="s">
        <v>323</v>
      </c>
      <c r="C301" s="12" t="s">
        <v>23</v>
      </c>
      <c r="D301" s="13">
        <v>46199.498495370368</v>
      </c>
      <c r="E301" s="12" t="s">
        <v>24</v>
      </c>
      <c r="F301" s="12" t="s">
        <v>256</v>
      </c>
      <c r="G301" s="12">
        <v>30</v>
      </c>
      <c r="H301" s="12">
        <v>30</v>
      </c>
      <c r="I301" s="14"/>
      <c r="J301" s="14" t="s">
        <v>61</v>
      </c>
      <c r="K301" s="12" t="s">
        <v>27</v>
      </c>
      <c r="L301" s="15"/>
      <c r="M301" s="12" t="s">
        <v>28</v>
      </c>
      <c r="N301" s="12"/>
      <c r="O301" s="12"/>
      <c r="P301" s="12"/>
      <c r="Q301" s="16">
        <v>92</v>
      </c>
      <c r="R301" s="16">
        <v>2</v>
      </c>
      <c r="S301" s="16"/>
      <c r="T301" s="16" t="e">
        <v>#N/A</v>
      </c>
      <c r="U301" s="16" t="e">
        <v>#N/A</v>
      </c>
    </row>
    <row r="302" spans="1:21" x14ac:dyDescent="0.25">
      <c r="A302" s="12" t="s">
        <v>21</v>
      </c>
      <c r="B302" s="12" t="s">
        <v>327</v>
      </c>
      <c r="C302" s="12" t="s">
        <v>23</v>
      </c>
      <c r="D302" s="15">
        <v>46199.539861111109</v>
      </c>
      <c r="E302" s="12" t="s">
        <v>328</v>
      </c>
      <c r="F302" s="12" t="s">
        <v>40</v>
      </c>
      <c r="G302" s="12">
        <v>6</v>
      </c>
      <c r="H302" s="12">
        <v>4</v>
      </c>
      <c r="I302" s="14"/>
      <c r="J302" s="14" t="s">
        <v>26</v>
      </c>
      <c r="K302" s="12" t="s">
        <v>27</v>
      </c>
      <c r="L302" s="15"/>
      <c r="M302" s="12" t="s">
        <v>28</v>
      </c>
      <c r="N302" s="12"/>
      <c r="O302" s="12"/>
      <c r="P302" s="12"/>
      <c r="Q302" s="16">
        <v>0</v>
      </c>
      <c r="R302" s="16">
        <v>934</v>
      </c>
      <c r="S302" s="16"/>
      <c r="T302" s="16" t="e">
        <v>#N/A</v>
      </c>
      <c r="U302" s="16" t="e">
        <v>#N/A</v>
      </c>
    </row>
    <row r="303" spans="1:21" x14ac:dyDescent="0.25">
      <c r="A303" s="12" t="s">
        <v>21</v>
      </c>
      <c r="B303" s="12" t="s">
        <v>327</v>
      </c>
      <c r="C303" s="12" t="s">
        <v>23</v>
      </c>
      <c r="D303" s="15">
        <v>46199.539861111109</v>
      </c>
      <c r="E303" s="12" t="s">
        <v>328</v>
      </c>
      <c r="F303" s="12" t="s">
        <v>208</v>
      </c>
      <c r="G303" s="12">
        <v>1</v>
      </c>
      <c r="H303" s="12">
        <v>1</v>
      </c>
      <c r="I303" s="14"/>
      <c r="J303" s="14" t="s">
        <v>26</v>
      </c>
      <c r="K303" s="12" t="s">
        <v>329</v>
      </c>
      <c r="L303" s="15">
        <v>1</v>
      </c>
      <c r="M303" s="12" t="s">
        <v>150</v>
      </c>
      <c r="N303" s="12">
        <v>1</v>
      </c>
      <c r="O303" s="12">
        <v>1</v>
      </c>
      <c r="P303" s="12">
        <v>0</v>
      </c>
      <c r="Q303" s="16">
        <v>0</v>
      </c>
      <c r="R303" s="16">
        <v>0</v>
      </c>
      <c r="S303" s="16"/>
      <c r="T303" s="16" t="e">
        <v>#N/A</v>
      </c>
      <c r="U303" s="16" t="e">
        <v>#N/A</v>
      </c>
    </row>
    <row r="304" spans="1:21" x14ac:dyDescent="0.25">
      <c r="A304" s="12" t="s">
        <v>21</v>
      </c>
      <c r="B304" s="12" t="s">
        <v>330</v>
      </c>
      <c r="C304" s="12" t="s">
        <v>23</v>
      </c>
      <c r="D304" s="15">
        <v>46200.435891203706</v>
      </c>
      <c r="E304" s="12" t="s">
        <v>331</v>
      </c>
      <c r="F304" s="12" t="s">
        <v>332</v>
      </c>
      <c r="G304" s="12">
        <v>5</v>
      </c>
      <c r="H304" s="12">
        <v>1</v>
      </c>
      <c r="I304" s="14"/>
      <c r="J304" s="14" t="s">
        <v>61</v>
      </c>
      <c r="K304" s="12" t="s">
        <v>27</v>
      </c>
      <c r="L304" s="15"/>
      <c r="M304" s="12" t="s">
        <v>28</v>
      </c>
      <c r="N304" s="12"/>
      <c r="O304" s="12"/>
      <c r="P304" s="12"/>
      <c r="Q304" s="16">
        <v>5</v>
      </c>
      <c r="R304" s="16">
        <v>0</v>
      </c>
      <c r="S304" s="16"/>
      <c r="T304" s="16" t="e">
        <v>#N/A</v>
      </c>
      <c r="U304" s="16" t="e">
        <v>#N/A</v>
      </c>
    </row>
    <row r="305" spans="1:21" x14ac:dyDescent="0.25">
      <c r="A305" s="12" t="s">
        <v>21</v>
      </c>
      <c r="B305" s="12" t="s">
        <v>333</v>
      </c>
      <c r="C305" s="12" t="s">
        <v>23</v>
      </c>
      <c r="D305" s="15">
        <v>46202.475428240738</v>
      </c>
      <c r="E305" s="12" t="s">
        <v>24</v>
      </c>
      <c r="F305" s="12" t="s">
        <v>134</v>
      </c>
      <c r="G305" s="12">
        <v>500</v>
      </c>
      <c r="H305" s="12">
        <v>150</v>
      </c>
      <c r="I305" s="14"/>
      <c r="J305" s="14" t="s">
        <v>61</v>
      </c>
      <c r="K305" s="12" t="s">
        <v>27</v>
      </c>
      <c r="L305" s="15"/>
      <c r="M305" s="12" t="s">
        <v>28</v>
      </c>
      <c r="N305" s="12"/>
      <c r="O305" s="12"/>
      <c r="P305" s="12"/>
      <c r="Q305" s="16">
        <v>400</v>
      </c>
      <c r="R305" s="16">
        <v>6</v>
      </c>
      <c r="S305" s="16"/>
      <c r="T305" s="16" t="e">
        <v>#N/A</v>
      </c>
      <c r="U305" s="16" t="e">
        <v>#N/A</v>
      </c>
    </row>
    <row r="306" spans="1:21" x14ac:dyDescent="0.25">
      <c r="A306" s="12" t="s">
        <v>21</v>
      </c>
      <c r="B306" s="12" t="s">
        <v>334</v>
      </c>
      <c r="C306" s="12" t="s">
        <v>23</v>
      </c>
      <c r="D306" s="15">
        <v>46203.314398148148</v>
      </c>
      <c r="E306" s="12" t="s">
        <v>335</v>
      </c>
      <c r="F306" s="12" t="s">
        <v>320</v>
      </c>
      <c r="G306" s="12">
        <v>50</v>
      </c>
      <c r="H306" s="12">
        <v>50</v>
      </c>
      <c r="I306" s="14"/>
      <c r="J306" s="14" t="s">
        <v>26</v>
      </c>
      <c r="K306" s="12" t="s">
        <v>27</v>
      </c>
      <c r="L306" s="15"/>
      <c r="M306" s="12" t="s">
        <v>28</v>
      </c>
      <c r="N306" s="12"/>
      <c r="O306" s="12"/>
      <c r="P306" s="12"/>
      <c r="Q306" s="16">
        <v>0</v>
      </c>
      <c r="R306" s="16">
        <v>1</v>
      </c>
      <c r="S306" s="16">
        <v>20</v>
      </c>
      <c r="T306" s="16" t="e">
        <v>#N/A</v>
      </c>
      <c r="U306" s="16" t="e">
        <v>#N/A</v>
      </c>
    </row>
    <row r="307" spans="1:21" x14ac:dyDescent="0.25">
      <c r="A307" s="12" t="s">
        <v>21</v>
      </c>
      <c r="B307" s="12" t="s">
        <v>336</v>
      </c>
      <c r="C307" s="12" t="s">
        <v>23</v>
      </c>
      <c r="D307" s="15">
        <v>46204.351388888892</v>
      </c>
      <c r="E307" s="12" t="s">
        <v>39</v>
      </c>
      <c r="F307" s="12" t="s">
        <v>337</v>
      </c>
      <c r="G307" s="12">
        <v>8</v>
      </c>
      <c r="H307" s="12">
        <v>1</v>
      </c>
      <c r="I307" s="14"/>
      <c r="J307" s="14" t="s">
        <v>26</v>
      </c>
      <c r="K307" s="12" t="s">
        <v>27</v>
      </c>
      <c r="L307" s="15"/>
      <c r="M307" s="12" t="s">
        <v>28</v>
      </c>
      <c r="N307" s="12"/>
      <c r="O307" s="12"/>
      <c r="P307" s="12"/>
      <c r="Q307" s="16">
        <v>0</v>
      </c>
      <c r="R307" s="16">
        <v>69</v>
      </c>
      <c r="S307" s="16"/>
      <c r="T307" s="16" t="e">
        <v>#N/A</v>
      </c>
      <c r="U307" s="16" t="e">
        <v>#N/A</v>
      </c>
    </row>
    <row r="308" spans="1:21" x14ac:dyDescent="0.25">
      <c r="A308" s="12" t="s">
        <v>21</v>
      </c>
      <c r="B308" s="12" t="s">
        <v>338</v>
      </c>
      <c r="C308" s="12" t="s">
        <v>23</v>
      </c>
      <c r="D308" s="15">
        <v>46205.5078587963</v>
      </c>
      <c r="E308" s="12" t="s">
        <v>24</v>
      </c>
      <c r="F308" s="12" t="s">
        <v>109</v>
      </c>
      <c r="G308" s="12">
        <v>20</v>
      </c>
      <c r="H308" s="12">
        <v>20</v>
      </c>
      <c r="I308" s="14"/>
      <c r="J308" s="14" t="s">
        <v>61</v>
      </c>
      <c r="K308" s="12" t="s">
        <v>27</v>
      </c>
      <c r="L308" s="15"/>
      <c r="M308" s="12" t="s">
        <v>28</v>
      </c>
      <c r="N308" s="12"/>
      <c r="O308" s="12"/>
      <c r="P308" s="12"/>
      <c r="Q308" s="16">
        <v>180</v>
      </c>
      <c r="R308" s="16">
        <v>1</v>
      </c>
      <c r="S308" s="16"/>
      <c r="T308" s="16" t="e">
        <v>#N/A</v>
      </c>
      <c r="U308" s="16" t="e">
        <v>#N/A</v>
      </c>
    </row>
    <row r="309" spans="1:21" x14ac:dyDescent="0.25">
      <c r="A309" s="12" t="s">
        <v>21</v>
      </c>
      <c r="B309" s="12" t="s">
        <v>339</v>
      </c>
      <c r="C309" s="12" t="s">
        <v>23</v>
      </c>
      <c r="D309" s="15">
        <v>46206.537673611114</v>
      </c>
      <c r="E309" s="12" t="s">
        <v>340</v>
      </c>
      <c r="F309" s="12" t="s">
        <v>157</v>
      </c>
      <c r="G309" s="12">
        <v>57</v>
      </c>
      <c r="H309" s="12">
        <v>37</v>
      </c>
      <c r="I309" s="14"/>
      <c r="J309" s="14" t="s">
        <v>26</v>
      </c>
      <c r="K309" s="12" t="s">
        <v>341</v>
      </c>
      <c r="L309" s="15">
        <v>1</v>
      </c>
      <c r="M309" s="12" t="s">
        <v>150</v>
      </c>
      <c r="N309" s="12">
        <v>37</v>
      </c>
      <c r="O309" s="12">
        <v>37</v>
      </c>
      <c r="P309" s="12">
        <v>0</v>
      </c>
      <c r="Q309" s="16">
        <v>0</v>
      </c>
      <c r="R309" s="16">
        <v>0</v>
      </c>
      <c r="S309" s="16"/>
      <c r="T309" s="16" t="e">
        <v>#N/A</v>
      </c>
      <c r="U309" s="16" t="e">
        <v>#N/A</v>
      </c>
    </row>
    <row r="310" spans="1:21" x14ac:dyDescent="0.25">
      <c r="A310" s="12" t="s">
        <v>21</v>
      </c>
      <c r="B310" s="12" t="s">
        <v>342</v>
      </c>
      <c r="C310" s="12" t="s">
        <v>23</v>
      </c>
      <c r="D310" s="15">
        <v>46206.537939814814</v>
      </c>
      <c r="E310" s="12" t="s">
        <v>340</v>
      </c>
      <c r="F310" s="12" t="s">
        <v>343</v>
      </c>
      <c r="G310" s="12">
        <v>102</v>
      </c>
      <c r="H310" s="12">
        <v>90</v>
      </c>
      <c r="I310" s="14"/>
      <c r="J310" s="14" t="s">
        <v>26</v>
      </c>
      <c r="K310" s="12" t="s">
        <v>27</v>
      </c>
      <c r="L310" s="15"/>
      <c r="M310" s="12" t="s">
        <v>28</v>
      </c>
      <c r="N310" s="12"/>
      <c r="O310" s="12"/>
      <c r="P310" s="12"/>
      <c r="Q310" s="16">
        <v>0</v>
      </c>
      <c r="R310" s="16">
        <v>10</v>
      </c>
      <c r="S310" s="16"/>
      <c r="T310" s="16" t="e">
        <v>#N/A</v>
      </c>
      <c r="U310" s="16" t="e">
        <v>#N/A</v>
      </c>
    </row>
    <row r="311" spans="1:21" x14ac:dyDescent="0.25">
      <c r="A311" s="12" t="s">
        <v>21</v>
      </c>
      <c r="B311" s="12" t="s">
        <v>342</v>
      </c>
      <c r="C311" s="12" t="s">
        <v>23</v>
      </c>
      <c r="D311" s="15">
        <v>46206.537939814814</v>
      </c>
      <c r="E311" s="12" t="s">
        <v>340</v>
      </c>
      <c r="F311" s="12" t="s">
        <v>159</v>
      </c>
      <c r="G311" s="12">
        <v>55</v>
      </c>
      <c r="H311" s="12">
        <v>55</v>
      </c>
      <c r="I311" s="14"/>
      <c r="J311" s="14" t="s">
        <v>61</v>
      </c>
      <c r="K311" s="12" t="s">
        <v>27</v>
      </c>
      <c r="L311" s="15"/>
      <c r="M311" s="12" t="s">
        <v>28</v>
      </c>
      <c r="N311" s="12"/>
      <c r="O311" s="12"/>
      <c r="P311" s="12"/>
      <c r="Q311" s="16">
        <v>55</v>
      </c>
      <c r="R311" s="16">
        <v>0</v>
      </c>
      <c r="S311" s="16"/>
      <c r="T311" s="16" t="e">
        <v>#N/A</v>
      </c>
      <c r="U311" s="16" t="e">
        <v>#N/A</v>
      </c>
    </row>
    <row r="312" spans="1:21" x14ac:dyDescent="0.25">
      <c r="A312" s="12" t="s">
        <v>21</v>
      </c>
      <c r="B312" s="12" t="s">
        <v>342</v>
      </c>
      <c r="C312" s="12" t="s">
        <v>23</v>
      </c>
      <c r="D312" s="15">
        <v>46206.537939814814</v>
      </c>
      <c r="E312" s="12" t="s">
        <v>340</v>
      </c>
      <c r="F312" s="12" t="s">
        <v>277</v>
      </c>
      <c r="G312" s="12">
        <v>78</v>
      </c>
      <c r="H312" s="12">
        <v>18</v>
      </c>
      <c r="I312" s="14">
        <v>-3</v>
      </c>
      <c r="J312" s="14" t="s">
        <v>26</v>
      </c>
      <c r="K312" s="12" t="s">
        <v>27</v>
      </c>
      <c r="L312" s="15"/>
      <c r="M312" s="12" t="s">
        <v>28</v>
      </c>
      <c r="N312" s="12"/>
      <c r="O312" s="12"/>
      <c r="P312" s="12"/>
      <c r="Q312" s="16">
        <v>0</v>
      </c>
      <c r="R312" s="16">
        <v>0</v>
      </c>
      <c r="S312" s="16"/>
      <c r="T312" s="16" t="e">
        <v>#N/A</v>
      </c>
      <c r="U312" s="16" t="e">
        <v>#N/A</v>
      </c>
    </row>
    <row r="313" spans="1:21" x14ac:dyDescent="0.25">
      <c r="A313" s="12" t="s">
        <v>21</v>
      </c>
      <c r="B313" s="12" t="s">
        <v>344</v>
      </c>
      <c r="C313" s="12" t="s">
        <v>23</v>
      </c>
      <c r="D313" s="15">
        <v>46207.357523148145</v>
      </c>
      <c r="E313" s="12" t="s">
        <v>345</v>
      </c>
      <c r="F313" s="12" t="s">
        <v>346</v>
      </c>
      <c r="G313" s="12">
        <v>18</v>
      </c>
      <c r="H313" s="12">
        <v>3</v>
      </c>
      <c r="I313" s="14"/>
      <c r="J313" s="14" t="s">
        <v>61</v>
      </c>
      <c r="K313" s="12" t="s">
        <v>27</v>
      </c>
      <c r="L313" s="15"/>
      <c r="M313" s="12" t="s">
        <v>28</v>
      </c>
      <c r="N313" s="12"/>
      <c r="O313" s="12"/>
      <c r="P313" s="12"/>
      <c r="Q313" s="16">
        <v>18</v>
      </c>
      <c r="R313" s="16">
        <v>0</v>
      </c>
      <c r="S313" s="16"/>
      <c r="T313" s="16" t="e">
        <v>#N/A</v>
      </c>
      <c r="U313" s="16" t="e">
        <v>#N/A</v>
      </c>
    </row>
    <row r="314" spans="1:21" x14ac:dyDescent="0.25">
      <c r="A314" s="12" t="s">
        <v>21</v>
      </c>
      <c r="B314" s="12" t="s">
        <v>347</v>
      </c>
      <c r="C314" s="12" t="s">
        <v>23</v>
      </c>
      <c r="D314" s="15">
        <v>46209.315960648149</v>
      </c>
      <c r="E314" s="12" t="s">
        <v>345</v>
      </c>
      <c r="F314" s="12" t="s">
        <v>348</v>
      </c>
      <c r="G314" s="12">
        <v>20</v>
      </c>
      <c r="H314" s="12">
        <v>20</v>
      </c>
      <c r="I314" s="14"/>
      <c r="J314" s="14" t="s">
        <v>26</v>
      </c>
      <c r="K314" s="12" t="s">
        <v>27</v>
      </c>
      <c r="L314" s="15"/>
      <c r="M314" s="12" t="s">
        <v>28</v>
      </c>
      <c r="N314" s="12"/>
      <c r="O314" s="12"/>
      <c r="P314" s="12"/>
      <c r="Q314" s="16">
        <v>0</v>
      </c>
      <c r="R314" s="16">
        <v>0</v>
      </c>
      <c r="S314" s="16"/>
      <c r="T314" s="16" t="e">
        <v>#N/A</v>
      </c>
      <c r="U314" s="16" t="e">
        <v>#N/A</v>
      </c>
    </row>
    <row r="315" spans="1:21" x14ac:dyDescent="0.25">
      <c r="A315" s="12" t="s">
        <v>21</v>
      </c>
      <c r="B315" s="12" t="s">
        <v>347</v>
      </c>
      <c r="C315" s="12" t="s">
        <v>23</v>
      </c>
      <c r="D315" s="15">
        <v>46209.315960648149</v>
      </c>
      <c r="E315" s="12" t="s">
        <v>345</v>
      </c>
      <c r="F315" s="12" t="s">
        <v>349</v>
      </c>
      <c r="G315" s="12">
        <v>9</v>
      </c>
      <c r="H315" s="12">
        <v>9</v>
      </c>
      <c r="I315" s="14"/>
      <c r="J315" s="14" t="s">
        <v>26</v>
      </c>
      <c r="K315" s="12" t="s">
        <v>27</v>
      </c>
      <c r="L315" s="15"/>
      <c r="M315" s="12" t="s">
        <v>28</v>
      </c>
      <c r="N315" s="12"/>
      <c r="O315" s="12"/>
      <c r="P315" s="12"/>
      <c r="Q315" s="16">
        <v>0</v>
      </c>
      <c r="R315" s="16">
        <v>0</v>
      </c>
      <c r="S315" s="16"/>
      <c r="T315" s="16" t="e">
        <v>#N/A</v>
      </c>
      <c r="U315" s="16" t="e">
        <v>#N/A</v>
      </c>
    </row>
    <row r="316" spans="1:21" x14ac:dyDescent="0.25">
      <c r="A316" s="12" t="s">
        <v>21</v>
      </c>
      <c r="B316" s="12" t="s">
        <v>347</v>
      </c>
      <c r="C316" s="12" t="s">
        <v>23</v>
      </c>
      <c r="D316" s="15">
        <v>46209.315960648149</v>
      </c>
      <c r="E316" s="12" t="s">
        <v>345</v>
      </c>
      <c r="F316" s="12" t="s">
        <v>350</v>
      </c>
      <c r="G316" s="12">
        <v>8</v>
      </c>
      <c r="H316" s="12">
        <v>8</v>
      </c>
      <c r="I316" s="14"/>
      <c r="J316" s="14" t="s">
        <v>26</v>
      </c>
      <c r="K316" s="12" t="s">
        <v>27</v>
      </c>
      <c r="L316" s="15"/>
      <c r="M316" s="12" t="s">
        <v>28</v>
      </c>
      <c r="N316" s="12"/>
      <c r="O316" s="12"/>
      <c r="P316" s="12"/>
      <c r="Q316" s="16">
        <v>0</v>
      </c>
      <c r="R316" s="16">
        <v>0</v>
      </c>
      <c r="S316" s="16"/>
      <c r="T316" s="16" t="e">
        <v>#N/A</v>
      </c>
      <c r="U316" s="16" t="e">
        <v>#N/A</v>
      </c>
    </row>
    <row r="317" spans="1:21" x14ac:dyDescent="0.25">
      <c r="A317" s="12" t="s">
        <v>21</v>
      </c>
      <c r="B317" s="12" t="s">
        <v>347</v>
      </c>
      <c r="C317" s="12" t="s">
        <v>23</v>
      </c>
      <c r="D317" s="15">
        <v>46209.315960648149</v>
      </c>
      <c r="E317" s="12" t="s">
        <v>345</v>
      </c>
      <c r="F317" s="12" t="s">
        <v>351</v>
      </c>
      <c r="G317" s="12">
        <v>15</v>
      </c>
      <c r="H317" s="12">
        <v>15</v>
      </c>
      <c r="I317" s="14"/>
      <c r="J317" s="14" t="s">
        <v>26</v>
      </c>
      <c r="K317" s="12" t="s">
        <v>27</v>
      </c>
      <c r="L317" s="15"/>
      <c r="M317" s="12" t="s">
        <v>28</v>
      </c>
      <c r="N317" s="12"/>
      <c r="O317" s="12"/>
      <c r="P317" s="12"/>
      <c r="Q317" s="16">
        <v>0</v>
      </c>
      <c r="R317" s="16">
        <v>2</v>
      </c>
      <c r="S317" s="16"/>
      <c r="T317" s="16" t="e">
        <v>#N/A</v>
      </c>
      <c r="U317" s="16" t="e">
        <v>#N/A</v>
      </c>
    </row>
    <row r="318" spans="1:21" x14ac:dyDescent="0.25">
      <c r="A318" s="12" t="s">
        <v>21</v>
      </c>
      <c r="B318" s="12" t="s">
        <v>347</v>
      </c>
      <c r="C318" s="12" t="s">
        <v>23</v>
      </c>
      <c r="D318" s="15">
        <v>46209.315960648149</v>
      </c>
      <c r="E318" s="12" t="s">
        <v>345</v>
      </c>
      <c r="F318" s="12" t="s">
        <v>352</v>
      </c>
      <c r="G318" s="12">
        <v>8</v>
      </c>
      <c r="H318" s="12">
        <v>8</v>
      </c>
      <c r="I318" s="14"/>
      <c r="J318" s="14" t="s">
        <v>26</v>
      </c>
      <c r="K318" s="12" t="s">
        <v>27</v>
      </c>
      <c r="L318" s="15"/>
      <c r="M318" s="12" t="s">
        <v>28</v>
      </c>
      <c r="N318" s="12"/>
      <c r="O318" s="12"/>
      <c r="P318" s="12"/>
      <c r="Q318" s="16">
        <v>0</v>
      </c>
      <c r="R318" s="16">
        <v>0</v>
      </c>
      <c r="S318" s="16"/>
      <c r="T318" s="16" t="e">
        <v>#N/A</v>
      </c>
      <c r="U318" s="16" t="e">
        <v>#N/A</v>
      </c>
    </row>
    <row r="319" spans="1:21" x14ac:dyDescent="0.25">
      <c r="A319" s="12" t="s">
        <v>21</v>
      </c>
      <c r="B319" s="12" t="s">
        <v>353</v>
      </c>
      <c r="C319" s="12" t="s">
        <v>23</v>
      </c>
      <c r="D319" s="15">
        <v>46209.432268518518</v>
      </c>
      <c r="E319" s="12" t="s">
        <v>331</v>
      </c>
      <c r="F319" s="12" t="s">
        <v>354</v>
      </c>
      <c r="G319" s="12">
        <v>12</v>
      </c>
      <c r="H319" s="12">
        <v>2</v>
      </c>
      <c r="I319" s="14">
        <v>-1</v>
      </c>
      <c r="J319" s="14" t="s">
        <v>26</v>
      </c>
      <c r="K319" s="12" t="s">
        <v>27</v>
      </c>
      <c r="L319" s="15"/>
      <c r="M319" s="12" t="s">
        <v>28</v>
      </c>
      <c r="N319" s="12"/>
      <c r="O319" s="12"/>
      <c r="P319" s="12"/>
      <c r="Q319" s="16">
        <v>0</v>
      </c>
      <c r="R319" s="16">
        <v>0</v>
      </c>
      <c r="S319" s="16"/>
      <c r="T319" s="16" t="e">
        <v>#N/A</v>
      </c>
      <c r="U319" s="16" t="e">
        <v>#N/A</v>
      </c>
    </row>
    <row r="320" spans="1:21" x14ac:dyDescent="0.25">
      <c r="A320" s="12" t="s">
        <v>21</v>
      </c>
      <c r="B320" s="12" t="s">
        <v>353</v>
      </c>
      <c r="C320" s="12" t="s">
        <v>23</v>
      </c>
      <c r="D320" s="15">
        <v>46209.432268518518</v>
      </c>
      <c r="E320" s="12" t="s">
        <v>331</v>
      </c>
      <c r="F320" s="12" t="s">
        <v>355</v>
      </c>
      <c r="G320" s="12">
        <v>6</v>
      </c>
      <c r="H320" s="12">
        <v>2</v>
      </c>
      <c r="I320" s="14"/>
      <c r="J320" s="14" t="s">
        <v>61</v>
      </c>
      <c r="K320" s="12" t="s">
        <v>27</v>
      </c>
      <c r="L320" s="15"/>
      <c r="M320" s="12" t="s">
        <v>28</v>
      </c>
      <c r="N320" s="12"/>
      <c r="O320" s="12"/>
      <c r="P320" s="12"/>
      <c r="Q320" s="16">
        <v>6</v>
      </c>
      <c r="R320" s="16">
        <v>0</v>
      </c>
      <c r="S320" s="16"/>
      <c r="T320" s="16" t="e">
        <v>#N/A</v>
      </c>
      <c r="U320" s="16" t="e">
        <v>#N/A</v>
      </c>
    </row>
    <row r="321" spans="1:21" x14ac:dyDescent="0.25">
      <c r="A321" s="12" t="s">
        <v>21</v>
      </c>
      <c r="B321" s="12" t="s">
        <v>353</v>
      </c>
      <c r="C321" s="12" t="s">
        <v>23</v>
      </c>
      <c r="D321" s="15">
        <v>46209.432268518518</v>
      </c>
      <c r="E321" s="12" t="s">
        <v>331</v>
      </c>
      <c r="F321" s="12" t="s">
        <v>356</v>
      </c>
      <c r="G321" s="12">
        <v>10</v>
      </c>
      <c r="H321" s="12">
        <v>4</v>
      </c>
      <c r="I321" s="14"/>
      <c r="J321" s="14" t="s">
        <v>61</v>
      </c>
      <c r="K321" s="12" t="s">
        <v>27</v>
      </c>
      <c r="L321" s="15"/>
      <c r="M321" s="12" t="s">
        <v>28</v>
      </c>
      <c r="N321" s="12"/>
      <c r="O321" s="12"/>
      <c r="P321" s="12"/>
      <c r="Q321" s="16">
        <v>10</v>
      </c>
      <c r="R321" s="16">
        <v>0</v>
      </c>
      <c r="S321" s="16"/>
      <c r="T321" s="16" t="e">
        <v>#N/A</v>
      </c>
      <c r="U321" s="16" t="e">
        <v>#N/A</v>
      </c>
    </row>
    <row r="322" spans="1:21" x14ac:dyDescent="0.25">
      <c r="A322" s="12" t="s">
        <v>21</v>
      </c>
      <c r="B322" s="12" t="s">
        <v>353</v>
      </c>
      <c r="C322" s="12" t="s">
        <v>23</v>
      </c>
      <c r="D322" s="15">
        <v>46209.432268518518</v>
      </c>
      <c r="E322" s="12" t="s">
        <v>331</v>
      </c>
      <c r="F322" s="12" t="s">
        <v>357</v>
      </c>
      <c r="G322" s="12">
        <v>30</v>
      </c>
      <c r="H322" s="12">
        <v>30</v>
      </c>
      <c r="I322" s="14"/>
      <c r="J322" s="14" t="s">
        <v>61</v>
      </c>
      <c r="K322" s="12" t="s">
        <v>358</v>
      </c>
      <c r="L322" s="15">
        <v>1</v>
      </c>
      <c r="M322" s="12" t="s">
        <v>150</v>
      </c>
      <c r="N322" s="12">
        <v>30</v>
      </c>
      <c r="O322" s="12">
        <v>30</v>
      </c>
      <c r="P322" s="12">
        <v>0</v>
      </c>
      <c r="Q322" s="16">
        <v>70</v>
      </c>
      <c r="R322" s="16">
        <v>0</v>
      </c>
      <c r="S322" s="16"/>
      <c r="T322" s="16" t="e">
        <v>#N/A</v>
      </c>
      <c r="U322" s="16" t="e">
        <v>#N/A</v>
      </c>
    </row>
    <row r="323" spans="1:21" x14ac:dyDescent="0.25">
      <c r="A323" s="12" t="s">
        <v>21</v>
      </c>
      <c r="B323" s="12" t="s">
        <v>353</v>
      </c>
      <c r="C323" s="12" t="s">
        <v>23</v>
      </c>
      <c r="D323" s="15">
        <v>46209.432268518518</v>
      </c>
      <c r="E323" s="12" t="s">
        <v>331</v>
      </c>
      <c r="F323" s="12" t="s">
        <v>253</v>
      </c>
      <c r="G323" s="12">
        <v>40</v>
      </c>
      <c r="H323" s="12">
        <v>40</v>
      </c>
      <c r="I323" s="14"/>
      <c r="J323" s="14" t="s">
        <v>61</v>
      </c>
      <c r="K323" s="12" t="s">
        <v>359</v>
      </c>
      <c r="L323" s="15">
        <v>1</v>
      </c>
      <c r="M323" s="12" t="s">
        <v>150</v>
      </c>
      <c r="N323" s="12">
        <v>40</v>
      </c>
      <c r="O323" s="12">
        <v>40</v>
      </c>
      <c r="P323" s="12">
        <v>0</v>
      </c>
      <c r="Q323" s="16">
        <v>70</v>
      </c>
      <c r="R323" s="16">
        <v>0</v>
      </c>
      <c r="S323" s="16"/>
      <c r="T323" s="16" t="e">
        <v>#N/A</v>
      </c>
      <c r="U323" s="16" t="e">
        <v>#N/A</v>
      </c>
    </row>
    <row r="324" spans="1:21" x14ac:dyDescent="0.25">
      <c r="A324" s="12" t="s">
        <v>21</v>
      </c>
      <c r="B324" s="12" t="s">
        <v>353</v>
      </c>
      <c r="C324" s="12" t="s">
        <v>23</v>
      </c>
      <c r="D324" s="15">
        <v>46209.432268518518</v>
      </c>
      <c r="E324" s="12" t="s">
        <v>331</v>
      </c>
      <c r="F324" s="12" t="s">
        <v>360</v>
      </c>
      <c r="G324" s="12">
        <v>20</v>
      </c>
      <c r="H324" s="12">
        <v>2</v>
      </c>
      <c r="I324" s="14"/>
      <c r="J324" s="14" t="s">
        <v>61</v>
      </c>
      <c r="K324" s="12" t="s">
        <v>27</v>
      </c>
      <c r="L324" s="15"/>
      <c r="M324" s="12" t="s">
        <v>28</v>
      </c>
      <c r="N324" s="12"/>
      <c r="O324" s="12"/>
      <c r="P324" s="12"/>
      <c r="Q324" s="16">
        <v>20</v>
      </c>
      <c r="R324" s="16">
        <v>1</v>
      </c>
      <c r="S324" s="16"/>
      <c r="T324" s="16" t="e">
        <v>#N/A</v>
      </c>
      <c r="U324" s="16" t="e">
        <v>#N/A</v>
      </c>
    </row>
    <row r="325" spans="1:21" x14ac:dyDescent="0.25">
      <c r="A325" s="12" t="s">
        <v>21</v>
      </c>
      <c r="B325" s="12" t="s">
        <v>361</v>
      </c>
      <c r="C325" s="12" t="s">
        <v>23</v>
      </c>
      <c r="D325" s="15">
        <v>46210.339687500003</v>
      </c>
      <c r="E325" s="12" t="s">
        <v>24</v>
      </c>
      <c r="F325" s="12" t="s">
        <v>261</v>
      </c>
      <c r="G325" s="12">
        <v>120</v>
      </c>
      <c r="H325" s="12">
        <v>80</v>
      </c>
      <c r="I325" s="14">
        <v>-30</v>
      </c>
      <c r="J325" s="14" t="s">
        <v>61</v>
      </c>
      <c r="K325" s="12" t="s">
        <v>27</v>
      </c>
      <c r="L325" s="15"/>
      <c r="M325" s="12" t="s">
        <v>28</v>
      </c>
      <c r="N325" s="12"/>
      <c r="O325" s="12"/>
      <c r="P325" s="12"/>
      <c r="Q325" s="16">
        <v>60</v>
      </c>
      <c r="R325" s="16">
        <v>0</v>
      </c>
      <c r="S325" s="16"/>
      <c r="T325" s="16" t="e">
        <v>#N/A</v>
      </c>
      <c r="U325" s="16" t="e">
        <v>#N/A</v>
      </c>
    </row>
    <row r="326" spans="1:21" x14ac:dyDescent="0.25">
      <c r="A326" s="12" t="s">
        <v>21</v>
      </c>
      <c r="B326" s="12" t="s">
        <v>361</v>
      </c>
      <c r="C326" s="12" t="s">
        <v>23</v>
      </c>
      <c r="D326" s="15">
        <v>46210.339687500003</v>
      </c>
      <c r="E326" s="12" t="s">
        <v>24</v>
      </c>
      <c r="F326" s="12" t="s">
        <v>362</v>
      </c>
      <c r="G326" s="12">
        <v>30</v>
      </c>
      <c r="H326" s="12">
        <v>3</v>
      </c>
      <c r="I326" s="14"/>
      <c r="J326" s="14" t="s">
        <v>61</v>
      </c>
      <c r="K326" s="12" t="s">
        <v>27</v>
      </c>
      <c r="L326" s="15"/>
      <c r="M326" s="12" t="s">
        <v>28</v>
      </c>
      <c r="N326" s="12"/>
      <c r="O326" s="12"/>
      <c r="P326" s="12"/>
      <c r="Q326" s="16">
        <v>56</v>
      </c>
      <c r="R326" s="16">
        <v>0</v>
      </c>
      <c r="S326" s="16"/>
      <c r="T326" s="16" t="e">
        <v>#N/A</v>
      </c>
      <c r="U326" s="16" t="e">
        <v>#N/A</v>
      </c>
    </row>
    <row r="327" spans="1:21" x14ac:dyDescent="0.25">
      <c r="A327" s="12" t="s">
        <v>21</v>
      </c>
      <c r="B327" s="12" t="s">
        <v>361</v>
      </c>
      <c r="C327" s="12" t="s">
        <v>23</v>
      </c>
      <c r="D327" s="15">
        <v>46210.339687500003</v>
      </c>
      <c r="E327" s="12" t="s">
        <v>24</v>
      </c>
      <c r="F327" s="12" t="s">
        <v>324</v>
      </c>
      <c r="G327" s="12">
        <v>30</v>
      </c>
      <c r="H327" s="12">
        <v>19</v>
      </c>
      <c r="I327" s="14"/>
      <c r="J327" s="14" t="s">
        <v>26</v>
      </c>
      <c r="K327" s="12" t="s">
        <v>27</v>
      </c>
      <c r="L327" s="15"/>
      <c r="M327" s="12" t="s">
        <v>28</v>
      </c>
      <c r="N327" s="12"/>
      <c r="O327" s="12"/>
      <c r="P327" s="12"/>
      <c r="Q327" s="16">
        <v>0</v>
      </c>
      <c r="R327" s="16">
        <v>4</v>
      </c>
      <c r="S327" s="16"/>
      <c r="T327" s="16" t="e">
        <v>#N/A</v>
      </c>
      <c r="U327" s="16" t="e">
        <v>#N/A</v>
      </c>
    </row>
    <row r="328" spans="1:21" x14ac:dyDescent="0.25">
      <c r="A328" s="12" t="s">
        <v>21</v>
      </c>
      <c r="B328" s="12" t="s">
        <v>363</v>
      </c>
      <c r="C328" s="12" t="s">
        <v>23</v>
      </c>
      <c r="D328" s="15">
        <v>46210.429074074076</v>
      </c>
      <c r="E328" s="12" t="s">
        <v>24</v>
      </c>
      <c r="F328" s="12" t="s">
        <v>364</v>
      </c>
      <c r="G328" s="12">
        <v>100</v>
      </c>
      <c r="H328" s="12">
        <v>100</v>
      </c>
      <c r="I328" s="14">
        <v>-1</v>
      </c>
      <c r="J328" s="14" t="s">
        <v>26</v>
      </c>
      <c r="K328" s="12" t="s">
        <v>27</v>
      </c>
      <c r="L328" s="15"/>
      <c r="M328" s="12" t="s">
        <v>28</v>
      </c>
      <c r="N328" s="12"/>
      <c r="O328" s="12"/>
      <c r="P328" s="12"/>
      <c r="Q328" s="16">
        <v>0</v>
      </c>
      <c r="R328" s="16">
        <v>0</v>
      </c>
      <c r="S328" s="16"/>
      <c r="T328" s="16" t="e">
        <v>#N/A</v>
      </c>
      <c r="U328" s="16" t="e">
        <v>#N/A</v>
      </c>
    </row>
    <row r="329" spans="1:21" x14ac:dyDescent="0.25">
      <c r="A329" s="12" t="s">
        <v>21</v>
      </c>
      <c r="B329" s="12" t="s">
        <v>365</v>
      </c>
      <c r="C329" s="12" t="s">
        <v>23</v>
      </c>
      <c r="D329" s="15">
        <v>46210.56517361111</v>
      </c>
      <c r="E329" s="12" t="s">
        <v>345</v>
      </c>
      <c r="F329" s="12" t="s">
        <v>273</v>
      </c>
      <c r="G329" s="12">
        <v>20</v>
      </c>
      <c r="H329" s="12">
        <v>2</v>
      </c>
      <c r="I329" s="14"/>
      <c r="J329" s="14" t="s">
        <v>61</v>
      </c>
      <c r="K329" s="12" t="s">
        <v>27</v>
      </c>
      <c r="L329" s="15"/>
      <c r="M329" s="12" t="s">
        <v>28</v>
      </c>
      <c r="N329" s="12"/>
      <c r="O329" s="12"/>
      <c r="P329" s="12"/>
      <c r="Q329" s="16">
        <v>20</v>
      </c>
      <c r="R329" s="16">
        <v>0</v>
      </c>
      <c r="S329" s="16"/>
      <c r="T329" s="16" t="e">
        <v>#N/A</v>
      </c>
      <c r="U329" s="16" t="e">
        <v>#N/A</v>
      </c>
    </row>
    <row r="330" spans="1:21" x14ac:dyDescent="0.25">
      <c r="A330" s="12" t="s">
        <v>21</v>
      </c>
      <c r="B330" s="12" t="s">
        <v>365</v>
      </c>
      <c r="C330" s="12" t="s">
        <v>23</v>
      </c>
      <c r="D330" s="15">
        <v>46210.56517361111</v>
      </c>
      <c r="E330" s="12" t="s">
        <v>345</v>
      </c>
      <c r="F330" s="12" t="s">
        <v>366</v>
      </c>
      <c r="G330" s="12">
        <v>2</v>
      </c>
      <c r="H330" s="12">
        <v>2</v>
      </c>
      <c r="I330" s="14"/>
      <c r="J330" s="14" t="s">
        <v>26</v>
      </c>
      <c r="K330" s="12" t="s">
        <v>27</v>
      </c>
      <c r="L330" s="15"/>
      <c r="M330" s="12" t="s">
        <v>28</v>
      </c>
      <c r="N330" s="12"/>
      <c r="O330" s="12"/>
      <c r="P330" s="12"/>
      <c r="Q330" s="16">
        <v>0</v>
      </c>
      <c r="R330" s="16">
        <v>0</v>
      </c>
      <c r="S330" s="16"/>
      <c r="T330" s="16" t="e">
        <v>#N/A</v>
      </c>
      <c r="U330" s="16" t="e">
        <v>#N/A</v>
      </c>
    </row>
    <row r="331" spans="1:21" x14ac:dyDescent="0.25">
      <c r="A331" s="12" t="s">
        <v>21</v>
      </c>
      <c r="B331" s="12" t="s">
        <v>367</v>
      </c>
      <c r="C331" s="12" t="s">
        <v>23</v>
      </c>
      <c r="D331" s="15">
        <v>46210.608182870368</v>
      </c>
      <c r="E331" s="12" t="s">
        <v>368</v>
      </c>
      <c r="F331" s="12" t="s">
        <v>134</v>
      </c>
      <c r="G331" s="12">
        <v>100</v>
      </c>
      <c r="H331" s="12">
        <v>100</v>
      </c>
      <c r="I331" s="14"/>
      <c r="J331" s="14" t="s">
        <v>26</v>
      </c>
      <c r="K331" s="12" t="s">
        <v>27</v>
      </c>
      <c r="L331" s="15"/>
      <c r="M331" s="12" t="s">
        <v>28</v>
      </c>
      <c r="N331" s="12"/>
      <c r="O331" s="12"/>
      <c r="P331" s="12"/>
      <c r="Q331" s="16">
        <v>0</v>
      </c>
      <c r="R331" s="16">
        <v>6</v>
      </c>
      <c r="S331" s="16"/>
      <c r="T331" s="16" t="e">
        <v>#N/A</v>
      </c>
      <c r="U331" s="16" t="e">
        <v>#N/A</v>
      </c>
    </row>
    <row r="332" spans="1:21" x14ac:dyDescent="0.25">
      <c r="A332" s="12" t="s">
        <v>21</v>
      </c>
      <c r="B332" s="12" t="s">
        <v>369</v>
      </c>
      <c r="C332" s="12" t="s">
        <v>23</v>
      </c>
      <c r="D332" s="15">
        <v>46211.492037037038</v>
      </c>
      <c r="E332" s="12" t="s">
        <v>370</v>
      </c>
      <c r="F332" s="12" t="s">
        <v>371</v>
      </c>
      <c r="G332" s="12">
        <v>500</v>
      </c>
      <c r="H332" s="12">
        <v>140</v>
      </c>
      <c r="I332" s="14"/>
      <c r="J332" s="14" t="s">
        <v>26</v>
      </c>
      <c r="K332" s="12" t="s">
        <v>27</v>
      </c>
      <c r="L332" s="15"/>
      <c r="M332" s="12" t="s">
        <v>28</v>
      </c>
      <c r="N332" s="12"/>
      <c r="O332" s="12"/>
      <c r="P332" s="12"/>
      <c r="Q332" s="16">
        <v>0</v>
      </c>
      <c r="R332" s="16">
        <v>1</v>
      </c>
      <c r="S332" s="16"/>
      <c r="T332" s="16" t="e">
        <v>#N/A</v>
      </c>
      <c r="U332" s="16" t="e">
        <v>#N/A</v>
      </c>
    </row>
    <row r="333" spans="1:21" x14ac:dyDescent="0.25">
      <c r="A333" s="12" t="s">
        <v>21</v>
      </c>
      <c r="B333" s="12" t="s">
        <v>372</v>
      </c>
      <c r="C333" s="12" t="s">
        <v>23</v>
      </c>
      <c r="D333" s="15">
        <v>46212.477118055554</v>
      </c>
      <c r="E333" s="12" t="s">
        <v>24</v>
      </c>
      <c r="F333" s="12" t="s">
        <v>373</v>
      </c>
      <c r="G333" s="12">
        <v>30</v>
      </c>
      <c r="H333" s="12">
        <v>18</v>
      </c>
      <c r="I333" s="14"/>
      <c r="J333" s="14" t="s">
        <v>61</v>
      </c>
      <c r="K333" s="12" t="s">
        <v>27</v>
      </c>
      <c r="L333" s="15"/>
      <c r="M333" s="12" t="s">
        <v>28</v>
      </c>
      <c r="N333" s="12"/>
      <c r="O333" s="12"/>
      <c r="P333" s="12"/>
      <c r="Q333" s="16">
        <v>25</v>
      </c>
      <c r="R333" s="16">
        <v>2</v>
      </c>
      <c r="S333" s="16"/>
      <c r="T333" s="16" t="e">
        <v>#N/A</v>
      </c>
      <c r="U333" s="16" t="e">
        <v>#N/A</v>
      </c>
    </row>
    <row r="334" spans="1:21" x14ac:dyDescent="0.25">
      <c r="A334" s="12" t="s">
        <v>21</v>
      </c>
      <c r="B334" s="12" t="s">
        <v>372</v>
      </c>
      <c r="C334" s="12" t="s">
        <v>23</v>
      </c>
      <c r="D334" s="15">
        <v>46212.477118055554</v>
      </c>
      <c r="E334" s="12" t="s">
        <v>24</v>
      </c>
      <c r="F334" s="12" t="s">
        <v>261</v>
      </c>
      <c r="G334" s="12">
        <v>120</v>
      </c>
      <c r="H334" s="12">
        <v>100</v>
      </c>
      <c r="I334" s="14"/>
      <c r="J334" s="14" t="s">
        <v>61</v>
      </c>
      <c r="K334" s="12" t="s">
        <v>27</v>
      </c>
      <c r="L334" s="15"/>
      <c r="M334" s="12" t="s">
        <v>28</v>
      </c>
      <c r="N334" s="12"/>
      <c r="O334" s="12"/>
      <c r="P334" s="12"/>
      <c r="Q334" s="16">
        <v>120</v>
      </c>
      <c r="R334" s="16">
        <v>0</v>
      </c>
      <c r="S334" s="16"/>
      <c r="T334" s="16" t="e">
        <v>#N/A</v>
      </c>
      <c r="U334" s="16" t="e">
        <v>#N/A</v>
      </c>
    </row>
    <row r="335" spans="1:21" x14ac:dyDescent="0.25">
      <c r="A335" s="12" t="s">
        <v>21</v>
      </c>
      <c r="B335" s="12" t="s">
        <v>372</v>
      </c>
      <c r="C335" s="12" t="s">
        <v>23</v>
      </c>
      <c r="D335" s="15">
        <v>46212.477118055554</v>
      </c>
      <c r="E335" s="12" t="s">
        <v>24</v>
      </c>
      <c r="F335" s="12" t="s">
        <v>374</v>
      </c>
      <c r="G335" s="12">
        <v>40</v>
      </c>
      <c r="H335" s="12">
        <v>40</v>
      </c>
      <c r="I335" s="14"/>
      <c r="J335" s="14" t="s">
        <v>26</v>
      </c>
      <c r="K335" s="12" t="s">
        <v>27</v>
      </c>
      <c r="L335" s="15"/>
      <c r="M335" s="12" t="s">
        <v>28</v>
      </c>
      <c r="N335" s="12"/>
      <c r="O335" s="12"/>
      <c r="P335" s="12"/>
      <c r="Q335" s="16">
        <v>0</v>
      </c>
      <c r="R335" s="16">
        <v>0</v>
      </c>
      <c r="S335" s="16"/>
      <c r="T335" s="16" t="e">
        <v>#N/A</v>
      </c>
      <c r="U335" s="16" t="e">
        <v>#N/A</v>
      </c>
    </row>
    <row r="336" spans="1:21" x14ac:dyDescent="0.25">
      <c r="A336" s="12" t="s">
        <v>21</v>
      </c>
      <c r="B336" s="12" t="s">
        <v>372</v>
      </c>
      <c r="C336" s="12" t="s">
        <v>23</v>
      </c>
      <c r="D336" s="15">
        <v>46212.477118055554</v>
      </c>
      <c r="E336" s="12" t="s">
        <v>24</v>
      </c>
      <c r="F336" s="12" t="s">
        <v>71</v>
      </c>
      <c r="G336" s="12">
        <v>400</v>
      </c>
      <c r="H336" s="12">
        <v>270</v>
      </c>
      <c r="I336" s="14"/>
      <c r="J336" s="14" t="s">
        <v>61</v>
      </c>
      <c r="K336" s="12" t="s">
        <v>27</v>
      </c>
      <c r="L336" s="15"/>
      <c r="M336" s="12" t="s">
        <v>28</v>
      </c>
      <c r="N336" s="12"/>
      <c r="O336" s="12"/>
      <c r="P336" s="12"/>
      <c r="Q336" s="16">
        <v>600</v>
      </c>
      <c r="R336" s="16">
        <v>0</v>
      </c>
      <c r="S336" s="16"/>
      <c r="T336" s="16" t="e">
        <v>#N/A</v>
      </c>
      <c r="U336" s="16" t="e">
        <v>#N/A</v>
      </c>
    </row>
    <row r="337" spans="1:21" x14ac:dyDescent="0.25">
      <c r="A337" s="12" t="s">
        <v>21</v>
      </c>
      <c r="B337" s="12" t="s">
        <v>372</v>
      </c>
      <c r="C337" s="12" t="s">
        <v>23</v>
      </c>
      <c r="D337" s="15">
        <v>46212.477118055554</v>
      </c>
      <c r="E337" s="12" t="s">
        <v>24</v>
      </c>
      <c r="F337" s="12" t="s">
        <v>375</v>
      </c>
      <c r="G337" s="12">
        <v>15</v>
      </c>
      <c r="H337" s="12">
        <v>15</v>
      </c>
      <c r="I337" s="14"/>
      <c r="J337" s="14" t="s">
        <v>61</v>
      </c>
      <c r="K337" s="12" t="s">
        <v>376</v>
      </c>
      <c r="L337" s="15">
        <v>1</v>
      </c>
      <c r="M337" s="12" t="s">
        <v>150</v>
      </c>
      <c r="N337" s="12">
        <v>15</v>
      </c>
      <c r="O337" s="12">
        <v>15</v>
      </c>
      <c r="P337" s="12">
        <v>0</v>
      </c>
      <c r="Q337" s="16">
        <v>25</v>
      </c>
      <c r="R337" s="16">
        <v>0</v>
      </c>
      <c r="S337" s="16"/>
      <c r="T337" s="16" t="e">
        <v>#N/A</v>
      </c>
      <c r="U337" s="16" t="e">
        <v>#N/A</v>
      </c>
    </row>
    <row r="338" spans="1:21" x14ac:dyDescent="0.25">
      <c r="A338" s="12" t="s">
        <v>21</v>
      </c>
      <c r="B338" s="12" t="s">
        <v>377</v>
      </c>
      <c r="C338" s="12" t="s">
        <v>23</v>
      </c>
      <c r="D338" s="15">
        <v>46212.477199074077</v>
      </c>
      <c r="E338" s="12" t="s">
        <v>258</v>
      </c>
      <c r="F338" s="12" t="s">
        <v>148</v>
      </c>
      <c r="G338" s="12">
        <v>2</v>
      </c>
      <c r="H338" s="12">
        <v>2</v>
      </c>
      <c r="I338" s="14"/>
      <c r="J338" s="14" t="s">
        <v>26</v>
      </c>
      <c r="K338" s="12" t="s">
        <v>378</v>
      </c>
      <c r="L338" s="15">
        <v>1</v>
      </c>
      <c r="M338" s="12" t="s">
        <v>150</v>
      </c>
      <c r="N338" s="12">
        <v>2</v>
      </c>
      <c r="O338" s="12">
        <v>2</v>
      </c>
      <c r="P338" s="12">
        <v>0</v>
      </c>
      <c r="Q338" s="16">
        <v>0</v>
      </c>
      <c r="R338" s="16">
        <v>1</v>
      </c>
      <c r="S338" s="16"/>
      <c r="T338" s="16" t="e">
        <v>#N/A</v>
      </c>
      <c r="U338" s="16" t="e">
        <v>#N/A</v>
      </c>
    </row>
    <row r="339" spans="1:21" x14ac:dyDescent="0.25">
      <c r="A339" s="12" t="s">
        <v>21</v>
      </c>
      <c r="B339" s="12" t="s">
        <v>379</v>
      </c>
      <c r="C339" s="12" t="s">
        <v>23</v>
      </c>
      <c r="D339" s="15">
        <v>46212.484976851854</v>
      </c>
      <c r="E339" s="12" t="s">
        <v>24</v>
      </c>
      <c r="F339" s="12" t="s">
        <v>268</v>
      </c>
      <c r="G339" s="12">
        <v>36</v>
      </c>
      <c r="H339" s="12">
        <v>24</v>
      </c>
      <c r="I339" s="14"/>
      <c r="J339" s="14" t="s">
        <v>61</v>
      </c>
      <c r="K339" s="12" t="s">
        <v>27</v>
      </c>
      <c r="L339" s="15"/>
      <c r="M339" s="12" t="s">
        <v>28</v>
      </c>
      <c r="N339" s="12"/>
      <c r="O339" s="12"/>
      <c r="P339" s="12"/>
      <c r="Q339" s="16">
        <v>60</v>
      </c>
      <c r="R339" s="16">
        <v>0</v>
      </c>
      <c r="S339" s="16"/>
      <c r="T339" s="16" t="e">
        <v>#N/A</v>
      </c>
      <c r="U339" s="16" t="e">
        <v>#N/A</v>
      </c>
    </row>
    <row r="340" spans="1:21" x14ac:dyDescent="0.25">
      <c r="A340" s="12" t="s">
        <v>21</v>
      </c>
      <c r="B340" s="12" t="s">
        <v>379</v>
      </c>
      <c r="C340" s="12" t="s">
        <v>23</v>
      </c>
      <c r="D340" s="15">
        <v>46212.484976851854</v>
      </c>
      <c r="E340" s="12" t="s">
        <v>24</v>
      </c>
      <c r="F340" s="12" t="s">
        <v>380</v>
      </c>
      <c r="G340" s="12">
        <v>9</v>
      </c>
      <c r="H340" s="12">
        <v>9</v>
      </c>
      <c r="I340" s="14"/>
      <c r="J340" s="14" t="s">
        <v>61</v>
      </c>
      <c r="K340" s="12" t="s">
        <v>27</v>
      </c>
      <c r="L340" s="15"/>
      <c r="M340" s="12" t="s">
        <v>28</v>
      </c>
      <c r="N340" s="12"/>
      <c r="O340" s="12"/>
      <c r="P340" s="12"/>
      <c r="Q340" s="16">
        <v>3</v>
      </c>
      <c r="R340" s="16">
        <v>0</v>
      </c>
      <c r="S340" s="16"/>
      <c r="T340" s="16" t="e">
        <v>#N/A</v>
      </c>
      <c r="U340" s="16" t="e">
        <v>#N/A</v>
      </c>
    </row>
    <row r="341" spans="1:21" x14ac:dyDescent="0.25">
      <c r="A341" s="12" t="s">
        <v>21</v>
      </c>
      <c r="B341" s="12" t="s">
        <v>379</v>
      </c>
      <c r="C341" s="12" t="s">
        <v>23</v>
      </c>
      <c r="D341" s="15">
        <v>46212.484976851854</v>
      </c>
      <c r="E341" s="12" t="s">
        <v>24</v>
      </c>
      <c r="F341" s="12" t="s">
        <v>381</v>
      </c>
      <c r="G341" s="12">
        <v>30</v>
      </c>
      <c r="H341" s="12">
        <v>30</v>
      </c>
      <c r="I341" s="14"/>
      <c r="J341" s="14" t="s">
        <v>61</v>
      </c>
      <c r="K341" s="12" t="s">
        <v>382</v>
      </c>
      <c r="L341" s="15">
        <v>1</v>
      </c>
      <c r="M341" s="12" t="s">
        <v>150</v>
      </c>
      <c r="N341" s="12">
        <v>30</v>
      </c>
      <c r="O341" s="12">
        <v>30</v>
      </c>
      <c r="P341" s="12">
        <v>0</v>
      </c>
      <c r="Q341" s="16">
        <v>30</v>
      </c>
      <c r="R341" s="16">
        <v>0</v>
      </c>
      <c r="S341" s="16"/>
      <c r="T341" s="16" t="e">
        <v>#N/A</v>
      </c>
      <c r="U341" s="16" t="e">
        <v>#N/A</v>
      </c>
    </row>
    <row r="342" spans="1:21" x14ac:dyDescent="0.25">
      <c r="A342" s="12" t="s">
        <v>21</v>
      </c>
      <c r="B342" s="12" t="s">
        <v>379</v>
      </c>
      <c r="C342" s="12" t="s">
        <v>23</v>
      </c>
      <c r="D342" s="15">
        <v>46212.484976851854</v>
      </c>
      <c r="E342" s="12" t="s">
        <v>24</v>
      </c>
      <c r="F342" s="12" t="s">
        <v>383</v>
      </c>
      <c r="G342" s="12">
        <v>9</v>
      </c>
      <c r="H342" s="12">
        <v>9</v>
      </c>
      <c r="I342" s="14"/>
      <c r="J342" s="14" t="s">
        <v>61</v>
      </c>
      <c r="K342" s="12" t="s">
        <v>27</v>
      </c>
      <c r="L342" s="15"/>
      <c r="M342" s="12" t="s">
        <v>28</v>
      </c>
      <c r="N342" s="12"/>
      <c r="O342" s="12"/>
      <c r="P342" s="12"/>
      <c r="Q342" s="16">
        <v>3</v>
      </c>
      <c r="R342" s="16">
        <v>0</v>
      </c>
      <c r="S342" s="16"/>
      <c r="T342" s="16" t="e">
        <v>#N/A</v>
      </c>
      <c r="U342" s="16" t="e">
        <v>#N/A</v>
      </c>
    </row>
    <row r="343" spans="1:21" x14ac:dyDescent="0.25">
      <c r="A343" s="12" t="s">
        <v>21</v>
      </c>
      <c r="B343" s="12" t="s">
        <v>384</v>
      </c>
      <c r="C343" s="12" t="s">
        <v>23</v>
      </c>
      <c r="D343" s="15">
        <v>46213.36446759259</v>
      </c>
      <c r="E343" s="12" t="s">
        <v>368</v>
      </c>
      <c r="F343" s="12" t="s">
        <v>130</v>
      </c>
      <c r="G343" s="12">
        <v>500</v>
      </c>
      <c r="H343" s="12">
        <v>400</v>
      </c>
      <c r="I343" s="14"/>
      <c r="J343" s="14" t="s">
        <v>26</v>
      </c>
      <c r="K343" s="12" t="s">
        <v>27</v>
      </c>
      <c r="L343" s="15"/>
      <c r="M343" s="12" t="s">
        <v>28</v>
      </c>
      <c r="N343" s="12"/>
      <c r="O343" s="12"/>
      <c r="P343" s="12"/>
      <c r="Q343" s="16">
        <v>0</v>
      </c>
      <c r="R343" s="16">
        <v>6</v>
      </c>
      <c r="S343" s="16"/>
      <c r="T343" s="16" t="e">
        <v>#N/A</v>
      </c>
      <c r="U343" s="16" t="e">
        <v>#N/A</v>
      </c>
    </row>
    <row r="344" spans="1:21" x14ac:dyDescent="0.25">
      <c r="A344" s="12" t="s">
        <v>21</v>
      </c>
      <c r="B344" s="12" t="s">
        <v>385</v>
      </c>
      <c r="C344" s="12" t="s">
        <v>23</v>
      </c>
      <c r="D344" s="15">
        <v>46213.491956018515</v>
      </c>
      <c r="E344" s="12" t="s">
        <v>368</v>
      </c>
      <c r="F344" s="12" t="s">
        <v>130</v>
      </c>
      <c r="G344" s="12">
        <v>500</v>
      </c>
      <c r="H344" s="12">
        <v>500</v>
      </c>
      <c r="I344" s="14"/>
      <c r="J344" s="14" t="s">
        <v>26</v>
      </c>
      <c r="K344" s="12" t="s">
        <v>27</v>
      </c>
      <c r="L344" s="15"/>
      <c r="M344" s="12" t="s">
        <v>28</v>
      </c>
      <c r="N344" s="12"/>
      <c r="O344" s="12"/>
      <c r="P344" s="12"/>
      <c r="Q344" s="16">
        <v>0</v>
      </c>
      <c r="R344" s="16">
        <v>6</v>
      </c>
      <c r="S344" s="16"/>
      <c r="T344" s="16" t="e">
        <v>#N/A</v>
      </c>
      <c r="U344" s="16" t="e">
        <v>#N/A</v>
      </c>
    </row>
    <row r="345" spans="1:21" x14ac:dyDescent="0.25">
      <c r="A345" s="12" t="s">
        <v>21</v>
      </c>
      <c r="B345" s="12" t="s">
        <v>385</v>
      </c>
      <c r="C345" s="12" t="s">
        <v>23</v>
      </c>
      <c r="D345" s="15">
        <v>46213.491956018515</v>
      </c>
      <c r="E345" s="12" t="s">
        <v>368</v>
      </c>
      <c r="F345" s="12" t="s">
        <v>134</v>
      </c>
      <c r="G345" s="12">
        <v>200</v>
      </c>
      <c r="H345" s="12">
        <v>200</v>
      </c>
      <c r="I345" s="14"/>
      <c r="J345" s="14" t="s">
        <v>26</v>
      </c>
      <c r="K345" s="12" t="s">
        <v>27</v>
      </c>
      <c r="L345" s="15"/>
      <c r="M345" s="12" t="s">
        <v>28</v>
      </c>
      <c r="N345" s="12"/>
      <c r="O345" s="12"/>
      <c r="P345" s="12"/>
      <c r="Q345" s="16">
        <v>0</v>
      </c>
      <c r="R345" s="16">
        <v>6</v>
      </c>
      <c r="S345" s="16"/>
      <c r="T345" s="16" t="e">
        <v>#N/A</v>
      </c>
      <c r="U345" s="16" t="e">
        <v>#N/A</v>
      </c>
    </row>
    <row r="346" spans="1:21" x14ac:dyDescent="0.25">
      <c r="A346" s="12" t="s">
        <v>21</v>
      </c>
      <c r="B346" s="12" t="s">
        <v>386</v>
      </c>
      <c r="C346" s="12" t="s">
        <v>23</v>
      </c>
      <c r="D346" s="15">
        <v>46213.594513888886</v>
      </c>
      <c r="E346" s="12" t="s">
        <v>195</v>
      </c>
      <c r="F346" s="12" t="s">
        <v>387</v>
      </c>
      <c r="G346" s="12">
        <v>10</v>
      </c>
      <c r="H346" s="12">
        <v>10</v>
      </c>
      <c r="I346" s="14"/>
      <c r="J346" s="14" t="s">
        <v>26</v>
      </c>
      <c r="K346" s="12" t="s">
        <v>27</v>
      </c>
      <c r="L346" s="15"/>
      <c r="M346" s="12" t="s">
        <v>28</v>
      </c>
      <c r="N346" s="12"/>
      <c r="O346" s="12"/>
      <c r="P346" s="12"/>
      <c r="Q346" s="16">
        <v>0</v>
      </c>
      <c r="R346" s="16">
        <v>102</v>
      </c>
      <c r="S346" s="16"/>
      <c r="T346" s="16" t="e">
        <v>#N/A</v>
      </c>
      <c r="U346" s="16" t="e">
        <v>#N/A</v>
      </c>
    </row>
    <row r="347" spans="1:21" x14ac:dyDescent="0.25">
      <c r="A347" s="12" t="s">
        <v>21</v>
      </c>
      <c r="B347" s="12" t="s">
        <v>388</v>
      </c>
      <c r="C347" s="12" t="s">
        <v>23</v>
      </c>
      <c r="D347" s="15">
        <v>46217.613946759258</v>
      </c>
      <c r="E347" s="12" t="s">
        <v>198</v>
      </c>
      <c r="F347" s="12" t="s">
        <v>157</v>
      </c>
      <c r="G347" s="12">
        <v>20</v>
      </c>
      <c r="H347" s="12">
        <v>20</v>
      </c>
      <c r="I347" s="14"/>
      <c r="J347" s="14" t="s">
        <v>26</v>
      </c>
      <c r="K347" s="12" t="s">
        <v>27</v>
      </c>
      <c r="L347" s="15"/>
      <c r="M347" s="12" t="s">
        <v>28</v>
      </c>
      <c r="N347" s="12"/>
      <c r="O347" s="12"/>
      <c r="P347" s="12"/>
      <c r="Q347" s="16">
        <v>0</v>
      </c>
      <c r="R347" s="16">
        <v>0</v>
      </c>
      <c r="S347" s="16"/>
      <c r="T347" s="16" t="e">
        <v>#N/A</v>
      </c>
      <c r="U347" s="16" t="e">
        <v>#N/A</v>
      </c>
    </row>
    <row r="348" spans="1:21" x14ac:dyDescent="0.25">
      <c r="A348" s="12" t="s">
        <v>21</v>
      </c>
      <c r="B348" s="12" t="s">
        <v>388</v>
      </c>
      <c r="C348" s="12" t="s">
        <v>23</v>
      </c>
      <c r="D348" s="15">
        <v>46217.613946759258</v>
      </c>
      <c r="E348" s="12" t="s">
        <v>198</v>
      </c>
      <c r="F348" s="12" t="s">
        <v>244</v>
      </c>
      <c r="G348" s="12">
        <v>10</v>
      </c>
      <c r="H348" s="12">
        <v>10</v>
      </c>
      <c r="I348" s="14"/>
      <c r="J348" s="14" t="s">
        <v>26</v>
      </c>
      <c r="K348" s="12" t="s">
        <v>27</v>
      </c>
      <c r="L348" s="15"/>
      <c r="M348" s="12" t="s">
        <v>28</v>
      </c>
      <c r="N348" s="12"/>
      <c r="O348" s="12"/>
      <c r="P348" s="12"/>
      <c r="Q348" s="16">
        <v>0</v>
      </c>
      <c r="R348" s="16">
        <v>0</v>
      </c>
      <c r="S348" s="16"/>
      <c r="T348" s="16" t="e">
        <v>#N/A</v>
      </c>
      <c r="U348" s="16" t="e">
        <v>#N/A</v>
      </c>
    </row>
    <row r="349" spans="1:21" x14ac:dyDescent="0.25">
      <c r="A349" s="12" t="s">
        <v>21</v>
      </c>
      <c r="B349" s="12" t="s">
        <v>388</v>
      </c>
      <c r="C349" s="12" t="s">
        <v>23</v>
      </c>
      <c r="D349" s="15">
        <v>46217.613946759258</v>
      </c>
      <c r="E349" s="12" t="s">
        <v>198</v>
      </c>
      <c r="F349" s="12" t="s">
        <v>159</v>
      </c>
      <c r="G349" s="12">
        <v>20</v>
      </c>
      <c r="H349" s="12">
        <v>20</v>
      </c>
      <c r="I349" s="14"/>
      <c r="J349" s="14" t="s">
        <v>26</v>
      </c>
      <c r="K349" s="12" t="s">
        <v>27</v>
      </c>
      <c r="L349" s="15"/>
      <c r="M349" s="12" t="s">
        <v>28</v>
      </c>
      <c r="N349" s="12"/>
      <c r="O349" s="12"/>
      <c r="P349" s="12"/>
      <c r="Q349" s="16">
        <v>0</v>
      </c>
      <c r="R349" s="16">
        <v>0</v>
      </c>
      <c r="S349" s="16"/>
      <c r="T349" s="16" t="e">
        <v>#N/A</v>
      </c>
      <c r="U349" s="16" t="e">
        <v>#N/A</v>
      </c>
    </row>
    <row r="350" spans="1:21" x14ac:dyDescent="0.25">
      <c r="A350" s="12" t="s">
        <v>21</v>
      </c>
      <c r="B350" s="12" t="s">
        <v>388</v>
      </c>
      <c r="C350" s="12" t="s">
        <v>23</v>
      </c>
      <c r="D350" s="15">
        <v>46217.613946759258</v>
      </c>
      <c r="E350" s="12" t="s">
        <v>198</v>
      </c>
      <c r="F350" s="12" t="s">
        <v>246</v>
      </c>
      <c r="G350" s="12">
        <v>10</v>
      </c>
      <c r="H350" s="12">
        <v>10</v>
      </c>
      <c r="I350" s="14"/>
      <c r="J350" s="14" t="s">
        <v>26</v>
      </c>
      <c r="K350" s="12" t="s">
        <v>27</v>
      </c>
      <c r="L350" s="15"/>
      <c r="M350" s="12" t="s">
        <v>28</v>
      </c>
      <c r="N350" s="12"/>
      <c r="O350" s="12"/>
      <c r="P350" s="12"/>
      <c r="Q350" s="16">
        <v>0</v>
      </c>
      <c r="R350" s="16">
        <v>0</v>
      </c>
      <c r="S350" s="16"/>
      <c r="T350" s="16" t="e">
        <v>#N/A</v>
      </c>
      <c r="U350" s="16" t="e">
        <v>#N/A</v>
      </c>
    </row>
    <row r="351" spans="1:21" x14ac:dyDescent="0.25">
      <c r="A351" s="12" t="s">
        <v>21</v>
      </c>
      <c r="B351" s="12" t="s">
        <v>388</v>
      </c>
      <c r="C351" s="12" t="s">
        <v>23</v>
      </c>
      <c r="D351" s="15">
        <v>46217.613946759258</v>
      </c>
      <c r="E351" s="12" t="s">
        <v>198</v>
      </c>
      <c r="F351" s="12" t="s">
        <v>389</v>
      </c>
      <c r="G351" s="12">
        <v>10</v>
      </c>
      <c r="H351" s="12">
        <v>1</v>
      </c>
      <c r="I351" s="14"/>
      <c r="J351" s="14" t="s">
        <v>26</v>
      </c>
      <c r="K351" s="12" t="s">
        <v>27</v>
      </c>
      <c r="L351" s="15"/>
      <c r="M351" s="12" t="s">
        <v>28</v>
      </c>
      <c r="N351" s="12"/>
      <c r="O351" s="12"/>
      <c r="P351" s="12"/>
      <c r="Q351" s="16">
        <v>0</v>
      </c>
      <c r="R351" s="16">
        <v>0</v>
      </c>
      <c r="S351" s="16"/>
      <c r="T351" s="16" t="e">
        <v>#N/A</v>
      </c>
      <c r="U351" s="16" t="e">
        <v>#N/A</v>
      </c>
    </row>
    <row r="352" spans="1:21" x14ac:dyDescent="0.25">
      <c r="A352" s="12" t="s">
        <v>21</v>
      </c>
      <c r="B352" s="12" t="s">
        <v>388</v>
      </c>
      <c r="C352" s="12" t="s">
        <v>23</v>
      </c>
      <c r="D352" s="15">
        <v>46217.613946759258</v>
      </c>
      <c r="E352" s="12" t="s">
        <v>198</v>
      </c>
      <c r="F352" s="12" t="s">
        <v>201</v>
      </c>
      <c r="G352" s="12">
        <v>20</v>
      </c>
      <c r="H352" s="12">
        <v>7</v>
      </c>
      <c r="I352" s="14"/>
      <c r="J352" s="14" t="s">
        <v>61</v>
      </c>
      <c r="K352" s="12" t="s">
        <v>27</v>
      </c>
      <c r="L352" s="15"/>
      <c r="M352" s="12" t="s">
        <v>28</v>
      </c>
      <c r="N352" s="12"/>
      <c r="O352" s="12"/>
      <c r="P352" s="12"/>
      <c r="Q352" s="16">
        <v>10</v>
      </c>
      <c r="R352" s="16">
        <v>0</v>
      </c>
      <c r="S352" s="16"/>
      <c r="T352" s="16" t="e">
        <v>#N/A</v>
      </c>
      <c r="U352" s="16" t="e">
        <v>#N/A</v>
      </c>
    </row>
    <row r="353" spans="1:21" x14ac:dyDescent="0.25">
      <c r="A353" s="12" t="s">
        <v>21</v>
      </c>
      <c r="B353" s="12" t="s">
        <v>390</v>
      </c>
      <c r="C353" s="12" t="s">
        <v>23</v>
      </c>
      <c r="D353" s="15">
        <v>46218.473703703705</v>
      </c>
      <c r="E353" s="12" t="s">
        <v>391</v>
      </c>
      <c r="F353" s="12" t="s">
        <v>283</v>
      </c>
      <c r="G353" s="12">
        <v>40</v>
      </c>
      <c r="H353" s="12">
        <v>40</v>
      </c>
      <c r="I353" s="14"/>
      <c r="J353" s="14" t="s">
        <v>26</v>
      </c>
      <c r="K353" s="12" t="s">
        <v>27</v>
      </c>
      <c r="L353" s="15"/>
      <c r="M353" s="12" t="s">
        <v>28</v>
      </c>
      <c r="N353" s="12"/>
      <c r="O353" s="12"/>
      <c r="P353" s="12"/>
      <c r="Q353" s="16">
        <v>0</v>
      </c>
      <c r="R353" s="16">
        <v>0</v>
      </c>
      <c r="S353" s="16"/>
      <c r="T353" s="16" t="e">
        <v>#N/A</v>
      </c>
      <c r="U353" s="16" t="e">
        <v>#N/A</v>
      </c>
    </row>
    <row r="354" spans="1:21" x14ac:dyDescent="0.25">
      <c r="A354" s="12" t="s">
        <v>21</v>
      </c>
      <c r="B354" s="12" t="s">
        <v>392</v>
      </c>
      <c r="C354" s="12" t="s">
        <v>23</v>
      </c>
      <c r="D354" s="15">
        <v>46218.542569444442</v>
      </c>
      <c r="E354" s="12" t="s">
        <v>393</v>
      </c>
      <c r="F354" s="12" t="s">
        <v>394</v>
      </c>
      <c r="G354" s="12">
        <v>2</v>
      </c>
      <c r="H354" s="12">
        <v>2</v>
      </c>
      <c r="I354" s="14"/>
      <c r="J354" s="14" t="s">
        <v>26</v>
      </c>
      <c r="K354" s="12" t="s">
        <v>395</v>
      </c>
      <c r="L354" s="15">
        <v>1</v>
      </c>
      <c r="M354" s="12" t="s">
        <v>150</v>
      </c>
      <c r="N354" s="12">
        <v>2</v>
      </c>
      <c r="O354" s="12">
        <v>2</v>
      </c>
      <c r="P354" s="12">
        <v>0</v>
      </c>
      <c r="Q354" s="16">
        <v>0</v>
      </c>
      <c r="R354" s="16">
        <v>3</v>
      </c>
      <c r="S354" s="16"/>
      <c r="T354" s="16" t="e">
        <v>#N/A</v>
      </c>
      <c r="U354" s="16" t="e">
        <v>#N/A</v>
      </c>
    </row>
    <row r="355" spans="1:21" x14ac:dyDescent="0.25">
      <c r="A355" s="12" t="s">
        <v>21</v>
      </c>
      <c r="B355" s="12" t="s">
        <v>392</v>
      </c>
      <c r="C355" s="12" t="s">
        <v>23</v>
      </c>
      <c r="D355" s="15">
        <v>46218.542569444442</v>
      </c>
      <c r="E355" s="12" t="s">
        <v>393</v>
      </c>
      <c r="F355" s="12" t="s">
        <v>148</v>
      </c>
      <c r="G355" s="12">
        <v>2</v>
      </c>
      <c r="H355" s="12">
        <v>2</v>
      </c>
      <c r="I355" s="14"/>
      <c r="J355" s="14" t="s">
        <v>26</v>
      </c>
      <c r="K355" s="12" t="s">
        <v>396</v>
      </c>
      <c r="L355" s="15">
        <v>1</v>
      </c>
      <c r="M355" s="12" t="s">
        <v>150</v>
      </c>
      <c r="N355" s="12">
        <v>2</v>
      </c>
      <c r="O355" s="12">
        <v>2</v>
      </c>
      <c r="P355" s="12">
        <v>0</v>
      </c>
      <c r="Q355" s="16">
        <v>0</v>
      </c>
      <c r="R355" s="16">
        <v>1</v>
      </c>
      <c r="S355" s="16"/>
      <c r="T355" s="16" t="e">
        <v>#N/A</v>
      </c>
      <c r="U355" s="16" t="e">
        <v>#N/A</v>
      </c>
    </row>
    <row r="356" spans="1:21" x14ac:dyDescent="0.25">
      <c r="A356" s="12" t="s">
        <v>21</v>
      </c>
      <c r="B356" s="12" t="s">
        <v>397</v>
      </c>
      <c r="C356" s="12" t="s">
        <v>23</v>
      </c>
      <c r="D356" s="15">
        <v>46219.315069444441</v>
      </c>
      <c r="E356" s="12" t="s">
        <v>398</v>
      </c>
      <c r="F356" s="12" t="s">
        <v>246</v>
      </c>
      <c r="G356" s="12">
        <v>20</v>
      </c>
      <c r="H356" s="12">
        <v>20</v>
      </c>
      <c r="I356" s="14"/>
      <c r="J356" s="14" t="s">
        <v>61</v>
      </c>
      <c r="K356" s="12" t="s">
        <v>27</v>
      </c>
      <c r="L356" s="15"/>
      <c r="M356" s="12" t="s">
        <v>28</v>
      </c>
      <c r="N356" s="12"/>
      <c r="O356" s="12"/>
      <c r="P356" s="12"/>
      <c r="Q356" s="16">
        <v>20</v>
      </c>
      <c r="R356" s="16">
        <v>0</v>
      </c>
      <c r="S356" s="16">
        <v>15</v>
      </c>
      <c r="T356" s="16" t="e">
        <v>#N/A</v>
      </c>
      <c r="U356" s="16" t="e">
        <v>#N/A</v>
      </c>
    </row>
    <row r="357" spans="1:21" x14ac:dyDescent="0.25">
      <c r="A357" s="12" t="s">
        <v>21</v>
      </c>
      <c r="B357" s="12" t="s">
        <v>397</v>
      </c>
      <c r="C357" s="12" t="s">
        <v>23</v>
      </c>
      <c r="D357" s="15">
        <v>46219.315069444441</v>
      </c>
      <c r="E357" s="12" t="s">
        <v>398</v>
      </c>
      <c r="F357" s="12" t="s">
        <v>374</v>
      </c>
      <c r="G357" s="12">
        <v>6</v>
      </c>
      <c r="H357" s="12">
        <v>6</v>
      </c>
      <c r="I357" s="14"/>
      <c r="J357" s="14" t="s">
        <v>26</v>
      </c>
      <c r="K357" s="12" t="s">
        <v>27</v>
      </c>
      <c r="L357" s="15"/>
      <c r="M357" s="12" t="s">
        <v>28</v>
      </c>
      <c r="N357" s="12"/>
      <c r="O357" s="12"/>
      <c r="P357" s="12"/>
      <c r="Q357" s="16">
        <v>0</v>
      </c>
      <c r="R357" s="16">
        <v>0</v>
      </c>
      <c r="S357" s="16"/>
      <c r="T357" s="16" t="e">
        <v>#N/A</v>
      </c>
      <c r="U357" s="16" t="e">
        <v>#N/A</v>
      </c>
    </row>
    <row r="358" spans="1:21" x14ac:dyDescent="0.25">
      <c r="A358" s="12" t="s">
        <v>21</v>
      </c>
      <c r="B358" s="12" t="s">
        <v>397</v>
      </c>
      <c r="C358" s="12" t="s">
        <v>23</v>
      </c>
      <c r="D358" s="15">
        <v>46219.315069444441</v>
      </c>
      <c r="E358" s="12" t="s">
        <v>398</v>
      </c>
      <c r="F358" s="12" t="s">
        <v>399</v>
      </c>
      <c r="G358" s="12">
        <v>9</v>
      </c>
      <c r="H358" s="12">
        <v>9</v>
      </c>
      <c r="I358" s="14"/>
      <c r="J358" s="14" t="s">
        <v>26</v>
      </c>
      <c r="K358" s="12" t="s">
        <v>27</v>
      </c>
      <c r="L358" s="15"/>
      <c r="M358" s="12" t="s">
        <v>28</v>
      </c>
      <c r="N358" s="12"/>
      <c r="O358" s="12"/>
      <c r="P358" s="12"/>
      <c r="Q358" s="16">
        <v>0</v>
      </c>
      <c r="R358" s="16">
        <v>1</v>
      </c>
      <c r="S358" s="16"/>
      <c r="T358" s="16" t="e">
        <v>#N/A</v>
      </c>
      <c r="U358" s="16" t="e">
        <v>#N/A</v>
      </c>
    </row>
    <row r="359" spans="1:21" x14ac:dyDescent="0.25">
      <c r="A359" s="12" t="s">
        <v>21</v>
      </c>
      <c r="B359" s="12" t="s">
        <v>397</v>
      </c>
      <c r="C359" s="12" t="s">
        <v>23</v>
      </c>
      <c r="D359" s="15">
        <v>46219.315069444441</v>
      </c>
      <c r="E359" s="12" t="s">
        <v>398</v>
      </c>
      <c r="F359" s="12" t="s">
        <v>71</v>
      </c>
      <c r="G359" s="12">
        <v>60</v>
      </c>
      <c r="H359" s="12">
        <v>50</v>
      </c>
      <c r="I359" s="14"/>
      <c r="J359" s="14" t="s">
        <v>61</v>
      </c>
      <c r="K359" s="12" t="s">
        <v>27</v>
      </c>
      <c r="L359" s="15"/>
      <c r="M359" s="12" t="s">
        <v>28</v>
      </c>
      <c r="N359" s="12"/>
      <c r="O359" s="12"/>
      <c r="P359" s="12"/>
      <c r="Q359" s="16">
        <v>30</v>
      </c>
      <c r="R359" s="16">
        <v>0</v>
      </c>
      <c r="S359" s="16"/>
      <c r="T359" s="16" t="e">
        <v>#N/A</v>
      </c>
      <c r="U359" s="16" t="e">
        <v>#N/A</v>
      </c>
    </row>
    <row r="360" spans="1:21" x14ac:dyDescent="0.25">
      <c r="A360" s="12" t="s">
        <v>21</v>
      </c>
      <c r="B360" s="12" t="s">
        <v>397</v>
      </c>
      <c r="C360" s="12" t="s">
        <v>23</v>
      </c>
      <c r="D360" s="15">
        <v>46219.315069444441</v>
      </c>
      <c r="E360" s="12" t="s">
        <v>398</v>
      </c>
      <c r="F360" s="12" t="s">
        <v>249</v>
      </c>
      <c r="G360" s="12">
        <v>3</v>
      </c>
      <c r="H360" s="12">
        <v>3</v>
      </c>
      <c r="I360" s="14"/>
      <c r="J360" s="14" t="s">
        <v>61</v>
      </c>
      <c r="K360" s="12" t="s">
        <v>400</v>
      </c>
      <c r="L360" s="15">
        <v>1</v>
      </c>
      <c r="M360" s="12" t="s">
        <v>150</v>
      </c>
      <c r="N360" s="12">
        <v>3</v>
      </c>
      <c r="O360" s="12">
        <v>3</v>
      </c>
      <c r="P360" s="12">
        <v>0</v>
      </c>
      <c r="Q360" s="16">
        <v>3</v>
      </c>
      <c r="R360" s="16">
        <v>0</v>
      </c>
      <c r="S360" s="16"/>
      <c r="T360" s="16" t="e">
        <v>#N/A</v>
      </c>
      <c r="U360" s="16" t="e">
        <v>#N/A</v>
      </c>
    </row>
    <row r="361" spans="1:21" x14ac:dyDescent="0.25">
      <c r="A361" s="12" t="s">
        <v>21</v>
      </c>
      <c r="B361" s="12" t="s">
        <v>397</v>
      </c>
      <c r="C361" s="12" t="s">
        <v>23</v>
      </c>
      <c r="D361" s="15">
        <v>46219.315069444441</v>
      </c>
      <c r="E361" s="12" t="s">
        <v>398</v>
      </c>
      <c r="F361" s="12" t="s">
        <v>401</v>
      </c>
      <c r="G361" s="12">
        <v>12</v>
      </c>
      <c r="H361" s="12">
        <v>12</v>
      </c>
      <c r="I361" s="14"/>
      <c r="J361" s="14" t="s">
        <v>61</v>
      </c>
      <c r="K361" s="12" t="s">
        <v>27</v>
      </c>
      <c r="L361" s="15"/>
      <c r="M361" s="12" t="s">
        <v>28</v>
      </c>
      <c r="N361" s="12"/>
      <c r="O361" s="12"/>
      <c r="P361" s="12"/>
      <c r="Q361" s="16">
        <v>8</v>
      </c>
      <c r="R361" s="16">
        <v>0</v>
      </c>
      <c r="S361" s="16"/>
      <c r="T361" s="16" t="e">
        <v>#N/A</v>
      </c>
      <c r="U361" s="16" t="e">
        <v>#N/A</v>
      </c>
    </row>
    <row r="362" spans="1:21" x14ac:dyDescent="0.25">
      <c r="A362" s="12" t="s">
        <v>21</v>
      </c>
      <c r="B362" s="12" t="s">
        <v>397</v>
      </c>
      <c r="C362" s="12" t="s">
        <v>23</v>
      </c>
      <c r="D362" s="15">
        <v>46219.315069444441</v>
      </c>
      <c r="E362" s="12" t="s">
        <v>398</v>
      </c>
      <c r="F362" s="12" t="s">
        <v>201</v>
      </c>
      <c r="G362" s="12">
        <v>20</v>
      </c>
      <c r="H362" s="12">
        <v>4</v>
      </c>
      <c r="I362" s="14"/>
      <c r="J362" s="14" t="s">
        <v>61</v>
      </c>
      <c r="K362" s="12" t="s">
        <v>27</v>
      </c>
      <c r="L362" s="15"/>
      <c r="M362" s="12" t="s">
        <v>28</v>
      </c>
      <c r="N362" s="12"/>
      <c r="O362" s="12"/>
      <c r="P362" s="12"/>
      <c r="Q362" s="16">
        <v>16</v>
      </c>
      <c r="R362" s="16">
        <v>0</v>
      </c>
      <c r="S362" s="16"/>
      <c r="T362" s="16" t="e">
        <v>#N/A</v>
      </c>
      <c r="U362" s="16" t="e">
        <v>#N/A</v>
      </c>
    </row>
    <row r="363" spans="1:21" x14ac:dyDescent="0.25">
      <c r="A363" s="12" t="s">
        <v>21</v>
      </c>
      <c r="B363" s="12" t="s">
        <v>397</v>
      </c>
      <c r="C363" s="12" t="s">
        <v>23</v>
      </c>
      <c r="D363" s="15">
        <v>46219.315069444441</v>
      </c>
      <c r="E363" s="12" t="s">
        <v>398</v>
      </c>
      <c r="F363" s="12" t="s">
        <v>253</v>
      </c>
      <c r="G363" s="12">
        <v>16</v>
      </c>
      <c r="H363" s="12">
        <v>16</v>
      </c>
      <c r="I363" s="14"/>
      <c r="J363" s="14" t="s">
        <v>61</v>
      </c>
      <c r="K363" s="12" t="s">
        <v>402</v>
      </c>
      <c r="L363" s="15">
        <v>1</v>
      </c>
      <c r="M363" s="12" t="s">
        <v>150</v>
      </c>
      <c r="N363" s="12">
        <v>16</v>
      </c>
      <c r="O363" s="12">
        <v>16</v>
      </c>
      <c r="P363" s="12">
        <v>0</v>
      </c>
      <c r="Q363" s="16">
        <v>16</v>
      </c>
      <c r="R363" s="16">
        <v>0</v>
      </c>
      <c r="S363" s="16"/>
      <c r="T363" s="16" t="e">
        <v>#N/A</v>
      </c>
      <c r="U363" s="16" t="e">
        <v>#N/A</v>
      </c>
    </row>
    <row r="364" spans="1:21" x14ac:dyDescent="0.25">
      <c r="A364" s="12" t="s">
        <v>21</v>
      </c>
      <c r="B364" s="12" t="s">
        <v>403</v>
      </c>
      <c r="C364" s="12" t="s">
        <v>23</v>
      </c>
      <c r="D364" s="15">
        <v>46220.294189814813</v>
      </c>
      <c r="E364" s="12" t="s">
        <v>24</v>
      </c>
      <c r="F364" s="12" t="s">
        <v>404</v>
      </c>
      <c r="G364" s="12">
        <v>2</v>
      </c>
      <c r="H364" s="12">
        <v>2</v>
      </c>
      <c r="I364" s="14"/>
      <c r="J364" s="14" t="s">
        <v>26</v>
      </c>
      <c r="K364" s="12" t="s">
        <v>27</v>
      </c>
      <c r="L364" s="15"/>
      <c r="M364" s="12" t="s">
        <v>28</v>
      </c>
      <c r="N364" s="12"/>
      <c r="O364" s="12"/>
      <c r="P364" s="12"/>
      <c r="Q364" s="16">
        <v>0</v>
      </c>
      <c r="R364" s="16">
        <v>2</v>
      </c>
      <c r="S364" s="16"/>
      <c r="T364" s="16" t="e">
        <v>#N/A</v>
      </c>
      <c r="U364" s="16" t="e">
        <v>#N/A</v>
      </c>
    </row>
    <row r="365" spans="1:21" x14ac:dyDescent="0.25">
      <c r="A365" s="12" t="s">
        <v>21</v>
      </c>
      <c r="B365" s="12" t="s">
        <v>403</v>
      </c>
      <c r="C365" s="12" t="s">
        <v>23</v>
      </c>
      <c r="D365" s="15">
        <v>46220.294189814813</v>
      </c>
      <c r="E365" s="12" t="s">
        <v>24</v>
      </c>
      <c r="F365" s="12" t="s">
        <v>405</v>
      </c>
      <c r="G365" s="12">
        <v>1</v>
      </c>
      <c r="H365" s="12">
        <v>1</v>
      </c>
      <c r="I365" s="14"/>
      <c r="J365" s="14" t="s">
        <v>26</v>
      </c>
      <c r="K365" s="12" t="s">
        <v>27</v>
      </c>
      <c r="L365" s="15"/>
      <c r="M365" s="12" t="s">
        <v>28</v>
      </c>
      <c r="N365" s="12"/>
      <c r="O365" s="12"/>
      <c r="P365" s="12"/>
      <c r="Q365" s="16">
        <v>0</v>
      </c>
      <c r="R365" s="16">
        <v>91</v>
      </c>
      <c r="S365" s="16"/>
      <c r="T365" s="16" t="e">
        <v>#N/A</v>
      </c>
      <c r="U365" s="16" t="e">
        <v>#N/A</v>
      </c>
    </row>
    <row r="366" spans="1:21" x14ac:dyDescent="0.25">
      <c r="A366" s="12" t="s">
        <v>21</v>
      </c>
      <c r="B366" s="12" t="s">
        <v>403</v>
      </c>
      <c r="C366" s="12" t="s">
        <v>23</v>
      </c>
      <c r="D366" s="15">
        <v>46220.294189814813</v>
      </c>
      <c r="E366" s="12" t="s">
        <v>24</v>
      </c>
      <c r="F366" s="12" t="s">
        <v>405</v>
      </c>
      <c r="G366" s="12">
        <v>1</v>
      </c>
      <c r="H366" s="12">
        <v>1</v>
      </c>
      <c r="I366" s="14"/>
      <c r="J366" s="14" t="s">
        <v>26</v>
      </c>
      <c r="K366" s="12" t="s">
        <v>27</v>
      </c>
      <c r="L366" s="15"/>
      <c r="M366" s="12" t="s">
        <v>28</v>
      </c>
      <c r="N366" s="12"/>
      <c r="O366" s="12"/>
      <c r="P366" s="12"/>
      <c r="Q366" s="16">
        <v>0</v>
      </c>
      <c r="R366" s="16">
        <v>91</v>
      </c>
      <c r="S366" s="16"/>
      <c r="T366" s="16" t="e">
        <v>#N/A</v>
      </c>
      <c r="U366" s="16" t="e">
        <v>#N/A</v>
      </c>
    </row>
    <row r="367" spans="1:21" x14ac:dyDescent="0.25">
      <c r="A367" s="12" t="s">
        <v>21</v>
      </c>
      <c r="B367" s="12" t="s">
        <v>403</v>
      </c>
      <c r="C367" s="12" t="s">
        <v>23</v>
      </c>
      <c r="D367" s="15">
        <v>46220.294189814813</v>
      </c>
      <c r="E367" s="12" t="s">
        <v>24</v>
      </c>
      <c r="F367" s="12" t="s">
        <v>406</v>
      </c>
      <c r="G367" s="12">
        <v>16</v>
      </c>
      <c r="H367" s="12">
        <v>16</v>
      </c>
      <c r="I367" s="14"/>
      <c r="J367" s="14" t="s">
        <v>26</v>
      </c>
      <c r="K367" s="12" t="s">
        <v>27</v>
      </c>
      <c r="L367" s="15"/>
      <c r="M367" s="12" t="s">
        <v>28</v>
      </c>
      <c r="N367" s="12"/>
      <c r="O367" s="12"/>
      <c r="P367" s="12"/>
      <c r="Q367" s="16">
        <v>0</v>
      </c>
      <c r="R367" s="16">
        <v>0</v>
      </c>
      <c r="S367" s="16"/>
      <c r="T367" s="16" t="e">
        <v>#N/A</v>
      </c>
      <c r="U367" s="16" t="e">
        <v>#N/A</v>
      </c>
    </row>
    <row r="368" spans="1:21" x14ac:dyDescent="0.25">
      <c r="A368" s="12" t="s">
        <v>21</v>
      </c>
      <c r="B368" s="12" t="s">
        <v>403</v>
      </c>
      <c r="C368" s="12" t="s">
        <v>23</v>
      </c>
      <c r="D368" s="15">
        <v>46220.294189814813</v>
      </c>
      <c r="E368" s="12" t="s">
        <v>24</v>
      </c>
      <c r="F368" s="12" t="s">
        <v>407</v>
      </c>
      <c r="G368" s="12">
        <v>4</v>
      </c>
      <c r="H368" s="12">
        <v>4</v>
      </c>
      <c r="I368" s="14"/>
      <c r="J368" s="14" t="s">
        <v>26</v>
      </c>
      <c r="K368" s="12" t="s">
        <v>27</v>
      </c>
      <c r="L368" s="15"/>
      <c r="M368" s="12" t="s">
        <v>28</v>
      </c>
      <c r="N368" s="12"/>
      <c r="O368" s="12"/>
      <c r="P368" s="12"/>
      <c r="Q368" s="16">
        <v>0</v>
      </c>
      <c r="R368" s="16">
        <v>17</v>
      </c>
      <c r="S368" s="16"/>
      <c r="T368" s="16" t="e">
        <v>#N/A</v>
      </c>
      <c r="U368" s="16" t="e">
        <v>#N/A</v>
      </c>
    </row>
    <row r="369" spans="1:21" x14ac:dyDescent="0.25">
      <c r="A369" s="12" t="s">
        <v>21</v>
      </c>
      <c r="B369" s="12" t="s">
        <v>408</v>
      </c>
      <c r="C369" s="12" t="s">
        <v>23</v>
      </c>
      <c r="D369" s="15">
        <v>46220.346435185187</v>
      </c>
      <c r="E369" s="12" t="s">
        <v>258</v>
      </c>
      <c r="F369" s="12" t="s">
        <v>243</v>
      </c>
      <c r="G369" s="12">
        <v>80</v>
      </c>
      <c r="H369" s="12">
        <v>80</v>
      </c>
      <c r="I369" s="14"/>
      <c r="J369" s="14" t="s">
        <v>61</v>
      </c>
      <c r="K369" s="12" t="s">
        <v>409</v>
      </c>
      <c r="L369" s="15">
        <v>1</v>
      </c>
      <c r="M369" s="12" t="s">
        <v>150</v>
      </c>
      <c r="N369" s="12">
        <v>80</v>
      </c>
      <c r="O369" s="12">
        <v>80</v>
      </c>
      <c r="P369" s="12">
        <v>0</v>
      </c>
      <c r="Q369" s="16">
        <v>80</v>
      </c>
      <c r="R369" s="16">
        <v>1</v>
      </c>
      <c r="S369" s="16"/>
      <c r="T369" s="16" t="e">
        <v>#N/A</v>
      </c>
      <c r="U369" s="16" t="e">
        <v>#N/A</v>
      </c>
    </row>
    <row r="370" spans="1:21" x14ac:dyDescent="0.25">
      <c r="A370" s="12" t="s">
        <v>21</v>
      </c>
      <c r="B370" s="12" t="s">
        <v>408</v>
      </c>
      <c r="C370" s="12" t="s">
        <v>23</v>
      </c>
      <c r="D370" s="15">
        <v>46220.346435185187</v>
      </c>
      <c r="E370" s="12" t="s">
        <v>258</v>
      </c>
      <c r="F370" s="12" t="s">
        <v>399</v>
      </c>
      <c r="G370" s="12">
        <v>10</v>
      </c>
      <c r="H370" s="12">
        <v>10</v>
      </c>
      <c r="I370" s="14"/>
      <c r="J370" s="14" t="s">
        <v>26</v>
      </c>
      <c r="K370" s="12" t="s">
        <v>27</v>
      </c>
      <c r="L370" s="15"/>
      <c r="M370" s="12" t="s">
        <v>28</v>
      </c>
      <c r="N370" s="12"/>
      <c r="O370" s="12"/>
      <c r="P370" s="12"/>
      <c r="Q370" s="16">
        <v>0</v>
      </c>
      <c r="R370" s="16">
        <v>1</v>
      </c>
      <c r="S370" s="16"/>
      <c r="T370" s="16" t="e">
        <v>#N/A</v>
      </c>
      <c r="U370" s="16" t="e">
        <v>#N/A</v>
      </c>
    </row>
    <row r="371" spans="1:21" x14ac:dyDescent="0.25">
      <c r="A371" s="12" t="s">
        <v>21</v>
      </c>
      <c r="B371" s="12" t="s">
        <v>408</v>
      </c>
      <c r="C371" s="12" t="s">
        <v>23</v>
      </c>
      <c r="D371" s="15">
        <v>46220.346435185187</v>
      </c>
      <c r="E371" s="12" t="s">
        <v>258</v>
      </c>
      <c r="F371" s="12" t="s">
        <v>249</v>
      </c>
      <c r="G371" s="12">
        <v>20</v>
      </c>
      <c r="H371" s="12">
        <v>20</v>
      </c>
      <c r="I371" s="14"/>
      <c r="J371" s="14" t="s">
        <v>26</v>
      </c>
      <c r="K371" s="12" t="s">
        <v>27</v>
      </c>
      <c r="L371" s="15"/>
      <c r="M371" s="12" t="s">
        <v>28</v>
      </c>
      <c r="N371" s="12"/>
      <c r="O371" s="12"/>
      <c r="P371" s="12"/>
      <c r="Q371" s="16">
        <v>0</v>
      </c>
      <c r="R371" s="16">
        <v>0</v>
      </c>
      <c r="S371" s="16"/>
      <c r="T371" s="16" t="e">
        <v>#N/A</v>
      </c>
      <c r="U371" s="16" t="e">
        <v>#N/A</v>
      </c>
    </row>
    <row r="372" spans="1:21" x14ac:dyDescent="0.25">
      <c r="A372" s="12" t="s">
        <v>21</v>
      </c>
      <c r="B372" s="12" t="s">
        <v>408</v>
      </c>
      <c r="C372" s="12" t="s">
        <v>23</v>
      </c>
      <c r="D372" s="15">
        <v>46220.346435185187</v>
      </c>
      <c r="E372" s="12" t="s">
        <v>258</v>
      </c>
      <c r="F372" s="12" t="s">
        <v>253</v>
      </c>
      <c r="G372" s="12">
        <v>40</v>
      </c>
      <c r="H372" s="12">
        <v>40</v>
      </c>
      <c r="I372" s="14"/>
      <c r="J372" s="14" t="s">
        <v>61</v>
      </c>
      <c r="K372" s="12" t="s">
        <v>410</v>
      </c>
      <c r="L372" s="15">
        <v>1</v>
      </c>
      <c r="M372" s="12" t="s">
        <v>150</v>
      </c>
      <c r="N372" s="12">
        <v>40</v>
      </c>
      <c r="O372" s="12">
        <v>40</v>
      </c>
      <c r="P372" s="12">
        <v>0</v>
      </c>
      <c r="Q372" s="16">
        <v>40</v>
      </c>
      <c r="R372" s="16">
        <v>0</v>
      </c>
      <c r="S372" s="16"/>
      <c r="T372" s="16" t="e">
        <v>#N/A</v>
      </c>
      <c r="U372" s="16" t="e">
        <v>#N/A</v>
      </c>
    </row>
    <row r="373" spans="1:21" x14ac:dyDescent="0.25">
      <c r="A373" s="12" t="s">
        <v>21</v>
      </c>
      <c r="B373" s="12" t="s">
        <v>411</v>
      </c>
      <c r="C373" s="12" t="s">
        <v>23</v>
      </c>
      <c r="D373" s="15">
        <v>46220.346666666665</v>
      </c>
      <c r="E373" s="12" t="s">
        <v>258</v>
      </c>
      <c r="F373" s="12" t="s">
        <v>157</v>
      </c>
      <c r="G373" s="12">
        <v>10</v>
      </c>
      <c r="H373" s="12">
        <v>10</v>
      </c>
      <c r="I373" s="14"/>
      <c r="J373" s="14" t="s">
        <v>26</v>
      </c>
      <c r="K373" s="12" t="s">
        <v>27</v>
      </c>
      <c r="L373" s="15"/>
      <c r="M373" s="12" t="s">
        <v>28</v>
      </c>
      <c r="N373" s="12"/>
      <c r="O373" s="12"/>
      <c r="P373" s="12"/>
      <c r="Q373" s="16">
        <v>0</v>
      </c>
      <c r="R373" s="16">
        <v>0</v>
      </c>
      <c r="S373" s="16"/>
      <c r="T373" s="16" t="e">
        <v>#N/A</v>
      </c>
      <c r="U373" s="16" t="e">
        <v>#N/A</v>
      </c>
    </row>
    <row r="374" spans="1:21" x14ac:dyDescent="0.25">
      <c r="A374" s="12" t="s">
        <v>21</v>
      </c>
      <c r="B374" s="12" t="s">
        <v>411</v>
      </c>
      <c r="C374" s="12" t="s">
        <v>23</v>
      </c>
      <c r="D374" s="15">
        <v>46220.346666666665</v>
      </c>
      <c r="E374" s="12" t="s">
        <v>258</v>
      </c>
      <c r="F374" s="12" t="s">
        <v>412</v>
      </c>
      <c r="G374" s="12">
        <v>20</v>
      </c>
      <c r="H374" s="12">
        <v>20</v>
      </c>
      <c r="I374" s="14"/>
      <c r="J374" s="14" t="s">
        <v>26</v>
      </c>
      <c r="K374" s="12" t="s">
        <v>27</v>
      </c>
      <c r="L374" s="15"/>
      <c r="M374" s="12" t="s">
        <v>28</v>
      </c>
      <c r="N374" s="12"/>
      <c r="O374" s="12"/>
      <c r="P374" s="12"/>
      <c r="Q374" s="16">
        <v>0</v>
      </c>
      <c r="R374" s="16">
        <v>0</v>
      </c>
      <c r="S374" s="16"/>
      <c r="T374" s="16" t="e">
        <v>#N/A</v>
      </c>
      <c r="U374" s="16" t="e">
        <v>#N/A</v>
      </c>
    </row>
    <row r="375" spans="1:21" x14ac:dyDescent="0.25">
      <c r="A375" s="12" t="s">
        <v>21</v>
      </c>
      <c r="B375" s="12" t="s">
        <v>411</v>
      </c>
      <c r="C375" s="12" t="s">
        <v>23</v>
      </c>
      <c r="D375" s="15">
        <v>46220.346666666665</v>
      </c>
      <c r="E375" s="12" t="s">
        <v>258</v>
      </c>
      <c r="F375" s="12" t="s">
        <v>159</v>
      </c>
      <c r="G375" s="12">
        <v>20</v>
      </c>
      <c r="H375" s="12">
        <v>20</v>
      </c>
      <c r="I375" s="14"/>
      <c r="J375" s="14" t="s">
        <v>26</v>
      </c>
      <c r="K375" s="12" t="s">
        <v>27</v>
      </c>
      <c r="L375" s="15"/>
      <c r="M375" s="12" t="s">
        <v>28</v>
      </c>
      <c r="N375" s="12"/>
      <c r="O375" s="12"/>
      <c r="P375" s="12"/>
      <c r="Q375" s="16">
        <v>0</v>
      </c>
      <c r="R375" s="16">
        <v>0</v>
      </c>
      <c r="S375" s="16"/>
      <c r="T375" s="16" t="e">
        <v>#N/A</v>
      </c>
      <c r="U375" s="16" t="e">
        <v>#N/A</v>
      </c>
    </row>
    <row r="376" spans="1:21" x14ac:dyDescent="0.25">
      <c r="A376" s="12" t="s">
        <v>21</v>
      </c>
      <c r="B376" s="12" t="s">
        <v>411</v>
      </c>
      <c r="C376" s="12" t="s">
        <v>23</v>
      </c>
      <c r="D376" s="15">
        <v>46220.346666666665</v>
      </c>
      <c r="E376" s="12" t="s">
        <v>258</v>
      </c>
      <c r="F376" s="12" t="s">
        <v>413</v>
      </c>
      <c r="G376" s="12">
        <v>6</v>
      </c>
      <c r="H376" s="12">
        <v>6</v>
      </c>
      <c r="I376" s="14"/>
      <c r="J376" s="14" t="s">
        <v>26</v>
      </c>
      <c r="K376" s="12" t="s">
        <v>27</v>
      </c>
      <c r="L376" s="15"/>
      <c r="M376" s="12" t="s">
        <v>28</v>
      </c>
      <c r="N376" s="12"/>
      <c r="O376" s="12"/>
      <c r="P376" s="12"/>
      <c r="Q376" s="16">
        <v>0</v>
      </c>
      <c r="R376" s="16">
        <v>5</v>
      </c>
      <c r="S376" s="16"/>
      <c r="T376" s="16" t="e">
        <v>#N/A</v>
      </c>
      <c r="U376" s="16" t="e">
        <v>#N/A</v>
      </c>
    </row>
    <row r="377" spans="1:21" x14ac:dyDescent="0.25">
      <c r="A377" s="12" t="s">
        <v>21</v>
      </c>
      <c r="B377" s="12" t="s">
        <v>411</v>
      </c>
      <c r="C377" s="12" t="s">
        <v>23</v>
      </c>
      <c r="D377" s="15">
        <v>46220.346666666665</v>
      </c>
      <c r="E377" s="12" t="s">
        <v>258</v>
      </c>
      <c r="F377" s="12" t="s">
        <v>70</v>
      </c>
      <c r="G377" s="12">
        <v>100</v>
      </c>
      <c r="H377" s="12">
        <v>50</v>
      </c>
      <c r="I377" s="14"/>
      <c r="J377" s="14" t="s">
        <v>26</v>
      </c>
      <c r="K377" s="12" t="s">
        <v>27</v>
      </c>
      <c r="L377" s="15"/>
      <c r="M377" s="12" t="s">
        <v>28</v>
      </c>
      <c r="N377" s="12"/>
      <c r="O377" s="12"/>
      <c r="P377" s="12"/>
      <c r="Q377" s="16">
        <v>0</v>
      </c>
      <c r="R377" s="16">
        <v>0</v>
      </c>
      <c r="S377" s="16"/>
      <c r="T377" s="16" t="e">
        <v>#N/A</v>
      </c>
      <c r="U377" s="16" t="e">
        <v>#N/A</v>
      </c>
    </row>
    <row r="378" spans="1:21" x14ac:dyDescent="0.25">
      <c r="A378" s="12" t="s">
        <v>21</v>
      </c>
      <c r="B378" s="12" t="s">
        <v>411</v>
      </c>
      <c r="C378" s="12" t="s">
        <v>23</v>
      </c>
      <c r="D378" s="15">
        <v>46220.346666666665</v>
      </c>
      <c r="E378" s="12" t="s">
        <v>258</v>
      </c>
      <c r="F378" s="12" t="s">
        <v>283</v>
      </c>
      <c r="G378" s="12">
        <v>200</v>
      </c>
      <c r="H378" s="12">
        <v>180</v>
      </c>
      <c r="I378" s="14"/>
      <c r="J378" s="14" t="s">
        <v>26</v>
      </c>
      <c r="K378" s="12" t="s">
        <v>27</v>
      </c>
      <c r="L378" s="15"/>
      <c r="M378" s="12" t="s">
        <v>28</v>
      </c>
      <c r="N378" s="12"/>
      <c r="O378" s="12"/>
      <c r="P378" s="12"/>
      <c r="Q378" s="16">
        <v>0</v>
      </c>
      <c r="R378" s="16">
        <v>0</v>
      </c>
      <c r="S378" s="16"/>
      <c r="T378" s="16" t="e">
        <v>#N/A</v>
      </c>
      <c r="U378" s="16" t="e">
        <v>#N/A</v>
      </c>
    </row>
    <row r="379" spans="1:21" x14ac:dyDescent="0.25">
      <c r="A379" s="12" t="s">
        <v>21</v>
      </c>
      <c r="B379" s="12" t="s">
        <v>411</v>
      </c>
      <c r="C379" s="12" t="s">
        <v>23</v>
      </c>
      <c r="D379" s="15">
        <v>46220.346666666665</v>
      </c>
      <c r="E379" s="12" t="s">
        <v>258</v>
      </c>
      <c r="F379" s="12" t="s">
        <v>268</v>
      </c>
      <c r="G379" s="12">
        <v>40</v>
      </c>
      <c r="H379" s="12">
        <v>5</v>
      </c>
      <c r="I379" s="14"/>
      <c r="J379" s="14" t="s">
        <v>26</v>
      </c>
      <c r="K379" s="12" t="s">
        <v>27</v>
      </c>
      <c r="L379" s="15"/>
      <c r="M379" s="12" t="s">
        <v>28</v>
      </c>
      <c r="N379" s="12"/>
      <c r="O379" s="12"/>
      <c r="P379" s="12"/>
      <c r="Q379" s="16">
        <v>0</v>
      </c>
      <c r="R379" s="16">
        <v>0</v>
      </c>
      <c r="S379" s="16"/>
      <c r="T379" s="16" t="e">
        <v>#N/A</v>
      </c>
      <c r="U379" s="16" t="e">
        <v>#N/A</v>
      </c>
    </row>
    <row r="380" spans="1:21" x14ac:dyDescent="0.25">
      <c r="A380" s="12" t="s">
        <v>21</v>
      </c>
      <c r="B380" s="12" t="s">
        <v>411</v>
      </c>
      <c r="C380" s="12" t="s">
        <v>23</v>
      </c>
      <c r="D380" s="15">
        <v>46220.346666666665</v>
      </c>
      <c r="E380" s="12" t="s">
        <v>258</v>
      </c>
      <c r="F380" s="12" t="s">
        <v>389</v>
      </c>
      <c r="G380" s="12">
        <v>30</v>
      </c>
      <c r="H380" s="12">
        <v>16</v>
      </c>
      <c r="I380" s="14"/>
      <c r="J380" s="14" t="s">
        <v>26</v>
      </c>
      <c r="K380" s="12" t="s">
        <v>27</v>
      </c>
      <c r="L380" s="15"/>
      <c r="M380" s="12" t="s">
        <v>28</v>
      </c>
      <c r="N380" s="12"/>
      <c r="O380" s="12"/>
      <c r="P380" s="12"/>
      <c r="Q380" s="16">
        <v>0</v>
      </c>
      <c r="R380" s="16">
        <v>0</v>
      </c>
      <c r="S380" s="16"/>
      <c r="T380" s="16" t="e">
        <v>#N/A</v>
      </c>
      <c r="U380" s="16" t="e">
        <v>#N/A</v>
      </c>
    </row>
    <row r="381" spans="1:21" x14ac:dyDescent="0.25">
      <c r="A381" s="12" t="s">
        <v>21</v>
      </c>
      <c r="B381" s="12" t="s">
        <v>411</v>
      </c>
      <c r="C381" s="12" t="s">
        <v>23</v>
      </c>
      <c r="D381" s="15">
        <v>46220.346666666665</v>
      </c>
      <c r="E381" s="12" t="s">
        <v>258</v>
      </c>
      <c r="F381" s="12" t="s">
        <v>401</v>
      </c>
      <c r="G381" s="12">
        <v>30</v>
      </c>
      <c r="H381" s="12">
        <v>30</v>
      </c>
      <c r="I381" s="14"/>
      <c r="J381" s="14" t="s">
        <v>26</v>
      </c>
      <c r="K381" s="12" t="s">
        <v>27</v>
      </c>
      <c r="L381" s="15"/>
      <c r="M381" s="12" t="s">
        <v>28</v>
      </c>
      <c r="N381" s="12"/>
      <c r="O381" s="12"/>
      <c r="P381" s="12"/>
      <c r="Q381" s="16">
        <v>0</v>
      </c>
      <c r="R381" s="16">
        <v>0</v>
      </c>
      <c r="S381" s="16"/>
      <c r="T381" s="16" t="e">
        <v>#N/A</v>
      </c>
      <c r="U381" s="16" t="e">
        <v>#N/A</v>
      </c>
    </row>
    <row r="382" spans="1:21" x14ac:dyDescent="0.25">
      <c r="A382" s="12" t="s">
        <v>21</v>
      </c>
      <c r="B382" s="12" t="s">
        <v>411</v>
      </c>
      <c r="C382" s="12" t="s">
        <v>23</v>
      </c>
      <c r="D382" s="15">
        <v>46220.346666666665</v>
      </c>
      <c r="E382" s="12" t="s">
        <v>258</v>
      </c>
      <c r="F382" s="12" t="s">
        <v>201</v>
      </c>
      <c r="G382" s="12">
        <v>50</v>
      </c>
      <c r="H382" s="12">
        <v>40</v>
      </c>
      <c r="I382" s="14"/>
      <c r="J382" s="14" t="s">
        <v>26</v>
      </c>
      <c r="K382" s="12" t="s">
        <v>27</v>
      </c>
      <c r="L382" s="15"/>
      <c r="M382" s="12" t="s">
        <v>28</v>
      </c>
      <c r="N382" s="12"/>
      <c r="O382" s="12"/>
      <c r="P382" s="12"/>
      <c r="Q382" s="16">
        <v>0</v>
      </c>
      <c r="R382" s="16">
        <v>0</v>
      </c>
      <c r="S382" s="16"/>
      <c r="T382" s="16" t="e">
        <v>#N/A</v>
      </c>
      <c r="U382" s="16" t="e">
        <v>#N/A</v>
      </c>
    </row>
    <row r="383" spans="1:21" x14ac:dyDescent="0.25">
      <c r="A383" s="12" t="s">
        <v>21</v>
      </c>
      <c r="B383" s="12" t="s">
        <v>414</v>
      </c>
      <c r="C383" s="12" t="s">
        <v>23</v>
      </c>
      <c r="D383" s="15">
        <v>46220.369189814817</v>
      </c>
      <c r="E383" s="12" t="s">
        <v>39</v>
      </c>
      <c r="F383" s="12" t="s">
        <v>50</v>
      </c>
      <c r="G383" s="12">
        <v>2</v>
      </c>
      <c r="H383" s="12">
        <v>2</v>
      </c>
      <c r="I383" s="14"/>
      <c r="J383" s="14" t="s">
        <v>26</v>
      </c>
      <c r="K383" s="12" t="s">
        <v>27</v>
      </c>
      <c r="L383" s="15"/>
      <c r="M383" s="12" t="s">
        <v>28</v>
      </c>
      <c r="N383" s="12"/>
      <c r="O383" s="12"/>
      <c r="P383" s="12"/>
      <c r="Q383" s="16">
        <v>0</v>
      </c>
      <c r="R383" s="16">
        <v>0</v>
      </c>
      <c r="S383" s="16"/>
      <c r="T383" s="16" t="e">
        <v>#N/A</v>
      </c>
      <c r="U383" s="16" t="e">
        <v>#N/A</v>
      </c>
    </row>
    <row r="384" spans="1:21" x14ac:dyDescent="0.25">
      <c r="A384" s="12" t="s">
        <v>21</v>
      </c>
      <c r="B384" s="12" t="s">
        <v>415</v>
      </c>
      <c r="C384" s="12" t="s">
        <v>23</v>
      </c>
      <c r="D384" s="15">
        <v>46220.385347222225</v>
      </c>
      <c r="E384" s="12" t="s">
        <v>69</v>
      </c>
      <c r="F384" s="12" t="s">
        <v>157</v>
      </c>
      <c r="G384" s="12">
        <v>10</v>
      </c>
      <c r="H384" s="12">
        <v>10</v>
      </c>
      <c r="I384" s="14"/>
      <c r="J384" s="14" t="s">
        <v>61</v>
      </c>
      <c r="K384" s="12" t="s">
        <v>27</v>
      </c>
      <c r="L384" s="15"/>
      <c r="M384" s="12" t="s">
        <v>28</v>
      </c>
      <c r="N384" s="12"/>
      <c r="O384" s="12"/>
      <c r="P384" s="12"/>
      <c r="Q384" s="16">
        <v>10</v>
      </c>
      <c r="R384" s="16">
        <v>0</v>
      </c>
      <c r="S384" s="16"/>
      <c r="T384" s="16" t="e">
        <v>#N/A</v>
      </c>
      <c r="U384" s="16" t="e">
        <v>#N/A</v>
      </c>
    </row>
    <row r="385" spans="1:21" x14ac:dyDescent="0.25">
      <c r="A385" s="12" t="s">
        <v>21</v>
      </c>
      <c r="B385" s="12" t="s">
        <v>415</v>
      </c>
      <c r="C385" s="12" t="s">
        <v>23</v>
      </c>
      <c r="D385" s="15">
        <v>46220.385347222225</v>
      </c>
      <c r="E385" s="12" t="s">
        <v>69</v>
      </c>
      <c r="F385" s="12" t="s">
        <v>159</v>
      </c>
      <c r="G385" s="12">
        <v>10</v>
      </c>
      <c r="H385" s="12">
        <v>10</v>
      </c>
      <c r="I385" s="14"/>
      <c r="J385" s="14" t="s">
        <v>61</v>
      </c>
      <c r="K385" s="12" t="s">
        <v>27</v>
      </c>
      <c r="L385" s="15"/>
      <c r="M385" s="12" t="s">
        <v>28</v>
      </c>
      <c r="N385" s="12"/>
      <c r="O385" s="12"/>
      <c r="P385" s="12"/>
      <c r="Q385" s="16">
        <v>15</v>
      </c>
      <c r="R385" s="16">
        <v>0</v>
      </c>
      <c r="S385" s="16"/>
      <c r="T385" s="16" t="e">
        <v>#N/A</v>
      </c>
      <c r="U385" s="16" t="e">
        <v>#N/A</v>
      </c>
    </row>
    <row r="386" spans="1:21" x14ac:dyDescent="0.25">
      <c r="A386" s="12" t="s">
        <v>21</v>
      </c>
      <c r="B386" s="12" t="s">
        <v>416</v>
      </c>
      <c r="C386" s="12" t="s">
        <v>23</v>
      </c>
      <c r="D386" s="15">
        <v>46220.474386574075</v>
      </c>
      <c r="E386" s="12" t="s">
        <v>156</v>
      </c>
      <c r="F386" s="12" t="s">
        <v>59</v>
      </c>
      <c r="G386" s="12">
        <v>30</v>
      </c>
      <c r="H386" s="12">
        <v>30</v>
      </c>
      <c r="I386" s="14"/>
      <c r="J386" s="14" t="s">
        <v>26</v>
      </c>
      <c r="K386" s="12" t="s">
        <v>27</v>
      </c>
      <c r="L386" s="15"/>
      <c r="M386" s="12" t="s">
        <v>28</v>
      </c>
      <c r="N386" s="12"/>
      <c r="O386" s="12"/>
      <c r="P386" s="12"/>
      <c r="Q386" s="16">
        <v>0</v>
      </c>
      <c r="R386" s="16">
        <v>0</v>
      </c>
      <c r="S386" s="16"/>
      <c r="T386" s="16" t="e">
        <v>#N/A</v>
      </c>
      <c r="U386" s="16" t="e">
        <v>#N/A</v>
      </c>
    </row>
    <row r="387" spans="1:21" x14ac:dyDescent="0.25">
      <c r="A387" s="12" t="s">
        <v>21</v>
      </c>
      <c r="B387" s="12" t="s">
        <v>416</v>
      </c>
      <c r="C387" s="12" t="s">
        <v>23</v>
      </c>
      <c r="D387" s="15">
        <v>46220.474386574075</v>
      </c>
      <c r="E387" s="12" t="s">
        <v>156</v>
      </c>
      <c r="F387" s="12" t="s">
        <v>71</v>
      </c>
      <c r="G387" s="12">
        <v>10</v>
      </c>
      <c r="H387" s="12">
        <v>10</v>
      </c>
      <c r="I387" s="14"/>
      <c r="J387" s="14" t="s">
        <v>26</v>
      </c>
      <c r="K387" s="12" t="s">
        <v>27</v>
      </c>
      <c r="L387" s="15"/>
      <c r="M387" s="12" t="s">
        <v>28</v>
      </c>
      <c r="N387" s="12"/>
      <c r="O387" s="12"/>
      <c r="P387" s="12"/>
      <c r="Q387" s="16">
        <v>0</v>
      </c>
      <c r="R387" s="16">
        <v>0</v>
      </c>
      <c r="S387" s="16"/>
      <c r="T387" s="16" t="e">
        <v>#N/A</v>
      </c>
      <c r="U387" s="16" t="e">
        <v>#N/A</v>
      </c>
    </row>
    <row r="388" spans="1:21" x14ac:dyDescent="0.25">
      <c r="A388" s="12" t="s">
        <v>21</v>
      </c>
      <c r="B388" s="12" t="s">
        <v>416</v>
      </c>
      <c r="C388" s="12" t="s">
        <v>23</v>
      </c>
      <c r="D388" s="15">
        <v>46220.474386574075</v>
      </c>
      <c r="E388" s="12" t="s">
        <v>156</v>
      </c>
      <c r="F388" s="12" t="s">
        <v>325</v>
      </c>
      <c r="G388" s="12">
        <v>10</v>
      </c>
      <c r="H388" s="12">
        <v>5</v>
      </c>
      <c r="I388" s="14"/>
      <c r="J388" s="14" t="s">
        <v>61</v>
      </c>
      <c r="K388" s="12" t="s">
        <v>27</v>
      </c>
      <c r="L388" s="15"/>
      <c r="M388" s="12" t="s">
        <v>28</v>
      </c>
      <c r="N388" s="12"/>
      <c r="O388" s="12"/>
      <c r="P388" s="12"/>
      <c r="Q388" s="16">
        <v>5</v>
      </c>
      <c r="R388" s="16">
        <v>4</v>
      </c>
      <c r="S388" s="16">
        <v>4</v>
      </c>
      <c r="T388" s="16" t="e">
        <v>#N/A</v>
      </c>
      <c r="U388" s="16" t="e">
        <v>#N/A</v>
      </c>
    </row>
    <row r="389" spans="1:21" x14ac:dyDescent="0.25">
      <c r="A389" s="12" t="s">
        <v>21</v>
      </c>
      <c r="B389" s="12" t="s">
        <v>416</v>
      </c>
      <c r="C389" s="12" t="s">
        <v>23</v>
      </c>
      <c r="D389" s="15">
        <v>46220.474386574075</v>
      </c>
      <c r="E389" s="12" t="s">
        <v>156</v>
      </c>
      <c r="F389" s="12" t="s">
        <v>262</v>
      </c>
      <c r="G389" s="12">
        <v>80</v>
      </c>
      <c r="H389" s="12">
        <v>40</v>
      </c>
      <c r="I389" s="14"/>
      <c r="J389" s="14" t="s">
        <v>26</v>
      </c>
      <c r="K389" s="12" t="s">
        <v>27</v>
      </c>
      <c r="L389" s="15"/>
      <c r="M389" s="12" t="s">
        <v>28</v>
      </c>
      <c r="N389" s="12"/>
      <c r="O389" s="12"/>
      <c r="P389" s="12"/>
      <c r="Q389" s="16">
        <v>0</v>
      </c>
      <c r="R389" s="16">
        <v>0</v>
      </c>
      <c r="S389" s="16"/>
      <c r="T389" s="16" t="e">
        <v>#N/A</v>
      </c>
      <c r="U389" s="16" t="e">
        <v>#N/A</v>
      </c>
    </row>
    <row r="390" spans="1:21" x14ac:dyDescent="0.25">
      <c r="A390" s="12" t="s">
        <v>21</v>
      </c>
      <c r="B390" s="12" t="s">
        <v>416</v>
      </c>
      <c r="C390" s="12" t="s">
        <v>23</v>
      </c>
      <c r="D390" s="15">
        <v>46220.474386574075</v>
      </c>
      <c r="E390" s="12" t="s">
        <v>156</v>
      </c>
      <c r="F390" s="12" t="s">
        <v>263</v>
      </c>
      <c r="G390" s="12">
        <v>60</v>
      </c>
      <c r="H390" s="12">
        <v>60</v>
      </c>
      <c r="I390" s="14"/>
      <c r="J390" s="14" t="s">
        <v>26</v>
      </c>
      <c r="K390" s="12" t="s">
        <v>27</v>
      </c>
      <c r="L390" s="15"/>
      <c r="M390" s="12" t="s">
        <v>28</v>
      </c>
      <c r="N390" s="12"/>
      <c r="O390" s="12"/>
      <c r="P390" s="12"/>
      <c r="Q390" s="16">
        <v>0</v>
      </c>
      <c r="R390" s="16">
        <v>0</v>
      </c>
      <c r="S390" s="16"/>
      <c r="T390" s="16" t="e">
        <v>#N/A</v>
      </c>
      <c r="U390" s="16" t="e">
        <v>#N/A</v>
      </c>
    </row>
    <row r="391" spans="1:21" x14ac:dyDescent="0.25">
      <c r="A391" s="12" t="s">
        <v>21</v>
      </c>
      <c r="B391" s="12" t="s">
        <v>416</v>
      </c>
      <c r="C391" s="12" t="s">
        <v>23</v>
      </c>
      <c r="D391" s="15">
        <v>46220.474386574075</v>
      </c>
      <c r="E391" s="12" t="s">
        <v>156</v>
      </c>
      <c r="F391" s="12" t="s">
        <v>417</v>
      </c>
      <c r="G391" s="12">
        <v>10</v>
      </c>
      <c r="H391" s="12">
        <v>10</v>
      </c>
      <c r="I391" s="14"/>
      <c r="J391" s="14" t="s">
        <v>26</v>
      </c>
      <c r="K391" s="12" t="s">
        <v>27</v>
      </c>
      <c r="L391" s="15"/>
      <c r="M391" s="12" t="s">
        <v>28</v>
      </c>
      <c r="N391" s="12"/>
      <c r="O391" s="12"/>
      <c r="P391" s="12"/>
      <c r="Q391" s="16">
        <v>0</v>
      </c>
      <c r="R391" s="16">
        <v>178</v>
      </c>
      <c r="S391" s="16"/>
      <c r="T391" s="16" t="e">
        <v>#N/A</v>
      </c>
      <c r="U391" s="16" t="e">
        <v>#N/A</v>
      </c>
    </row>
    <row r="392" spans="1:21" x14ac:dyDescent="0.25">
      <c r="A392" s="12" t="s">
        <v>21</v>
      </c>
      <c r="B392" s="12" t="s">
        <v>416</v>
      </c>
      <c r="C392" s="12" t="s">
        <v>23</v>
      </c>
      <c r="D392" s="15">
        <v>46220.474386574075</v>
      </c>
      <c r="E392" s="12" t="s">
        <v>156</v>
      </c>
      <c r="F392" s="12" t="s">
        <v>371</v>
      </c>
      <c r="G392" s="12">
        <v>40</v>
      </c>
      <c r="H392" s="12">
        <v>10</v>
      </c>
      <c r="I392" s="14"/>
      <c r="J392" s="14" t="s">
        <v>26</v>
      </c>
      <c r="K392" s="12" t="s">
        <v>27</v>
      </c>
      <c r="L392" s="15"/>
      <c r="M392" s="12" t="s">
        <v>28</v>
      </c>
      <c r="N392" s="12"/>
      <c r="O392" s="12"/>
      <c r="P392" s="12"/>
      <c r="Q392" s="16">
        <v>0</v>
      </c>
      <c r="R392" s="16">
        <v>1</v>
      </c>
      <c r="S392" s="16"/>
      <c r="T392" s="16" t="e">
        <v>#N/A</v>
      </c>
      <c r="U392" s="16" t="e">
        <v>#N/A</v>
      </c>
    </row>
    <row r="393" spans="1:21" x14ac:dyDescent="0.25">
      <c r="A393" s="12" t="s">
        <v>21</v>
      </c>
      <c r="B393" s="12" t="s">
        <v>418</v>
      </c>
      <c r="C393" s="12" t="s">
        <v>23</v>
      </c>
      <c r="D393" s="15">
        <v>46221.390555555554</v>
      </c>
      <c r="E393" s="12" t="s">
        <v>368</v>
      </c>
      <c r="F393" s="12" t="s">
        <v>130</v>
      </c>
      <c r="G393" s="12">
        <v>1000</v>
      </c>
      <c r="H393" s="12">
        <v>440</v>
      </c>
      <c r="I393" s="14"/>
      <c r="J393" s="14" t="s">
        <v>26</v>
      </c>
      <c r="K393" s="12" t="s">
        <v>27</v>
      </c>
      <c r="L393" s="15"/>
      <c r="M393" s="12" t="s">
        <v>28</v>
      </c>
      <c r="N393" s="12"/>
      <c r="O393" s="12"/>
      <c r="P393" s="12"/>
      <c r="Q393" s="16">
        <v>0</v>
      </c>
      <c r="R393" s="16">
        <v>6</v>
      </c>
      <c r="S393" s="16">
        <v>19</v>
      </c>
      <c r="T393" s="16" t="e">
        <v>#N/A</v>
      </c>
      <c r="U393" s="16" t="e">
        <v>#N/A</v>
      </c>
    </row>
    <row r="394" spans="1:21" x14ac:dyDescent="0.25">
      <c r="A394" s="12" t="s">
        <v>21</v>
      </c>
      <c r="B394" s="12" t="s">
        <v>418</v>
      </c>
      <c r="C394" s="12" t="s">
        <v>23</v>
      </c>
      <c r="D394" s="15">
        <v>46221.390555555554</v>
      </c>
      <c r="E394" s="12" t="s">
        <v>368</v>
      </c>
      <c r="F394" s="12" t="s">
        <v>134</v>
      </c>
      <c r="G394" s="12">
        <v>250</v>
      </c>
      <c r="H394" s="12">
        <v>175</v>
      </c>
      <c r="I394" s="14"/>
      <c r="J394" s="14" t="s">
        <v>26</v>
      </c>
      <c r="K394" s="12" t="s">
        <v>27</v>
      </c>
      <c r="L394" s="15"/>
      <c r="M394" s="12" t="s">
        <v>28</v>
      </c>
      <c r="N394" s="12"/>
      <c r="O394" s="12"/>
      <c r="P394" s="12"/>
      <c r="Q394" s="16">
        <v>0</v>
      </c>
      <c r="R394" s="16">
        <v>6</v>
      </c>
      <c r="S394" s="16"/>
      <c r="T394" s="16" t="e">
        <v>#N/A</v>
      </c>
      <c r="U394" s="16" t="e">
        <v>#N/A</v>
      </c>
    </row>
    <row r="395" spans="1:21" x14ac:dyDescent="0.25">
      <c r="A395" s="12" t="s">
        <v>21</v>
      </c>
      <c r="B395" s="12" t="s">
        <v>418</v>
      </c>
      <c r="C395" s="12" t="s">
        <v>23</v>
      </c>
      <c r="D395" s="15">
        <v>46221.390555555554</v>
      </c>
      <c r="E395" s="12" t="s">
        <v>368</v>
      </c>
      <c r="F395" s="12" t="s">
        <v>371</v>
      </c>
      <c r="G395" s="12">
        <v>150</v>
      </c>
      <c r="H395" s="12">
        <v>150</v>
      </c>
      <c r="I395" s="14"/>
      <c r="J395" s="14" t="s">
        <v>26</v>
      </c>
      <c r="K395" s="12" t="s">
        <v>27</v>
      </c>
      <c r="L395" s="15"/>
      <c r="M395" s="12" t="s">
        <v>28</v>
      </c>
      <c r="N395" s="12"/>
      <c r="O395" s="12"/>
      <c r="P395" s="12"/>
      <c r="Q395" s="16">
        <v>0</v>
      </c>
      <c r="R395" s="16">
        <v>1</v>
      </c>
      <c r="S395" s="16"/>
      <c r="T395" s="16" t="e">
        <v>#N/A</v>
      </c>
      <c r="U395" s="16" t="e">
        <v>#N/A</v>
      </c>
    </row>
    <row r="396" spans="1:21" x14ac:dyDescent="0.25">
      <c r="A396" s="12" t="s">
        <v>21</v>
      </c>
      <c r="B396" s="12" t="s">
        <v>419</v>
      </c>
      <c r="C396" s="12" t="s">
        <v>23</v>
      </c>
      <c r="D396" s="15">
        <v>46221.431111111109</v>
      </c>
      <c r="E396" s="12" t="s">
        <v>195</v>
      </c>
      <c r="F396" s="12" t="s">
        <v>420</v>
      </c>
      <c r="G396" s="12">
        <v>25</v>
      </c>
      <c r="H396" s="12">
        <v>24</v>
      </c>
      <c r="I396" s="14"/>
      <c r="J396" s="14" t="s">
        <v>26</v>
      </c>
      <c r="K396" s="12" t="s">
        <v>27</v>
      </c>
      <c r="L396" s="15"/>
      <c r="M396" s="12" t="s">
        <v>28</v>
      </c>
      <c r="N396" s="12"/>
      <c r="O396" s="12"/>
      <c r="P396" s="12"/>
      <c r="Q396" s="16">
        <v>0</v>
      </c>
      <c r="R396" s="16">
        <v>90</v>
      </c>
      <c r="S396" s="16"/>
      <c r="T396" s="16" t="e">
        <v>#N/A</v>
      </c>
      <c r="U396" s="16" t="e">
        <v>#N/A</v>
      </c>
    </row>
    <row r="397" spans="1:21" x14ac:dyDescent="0.25">
      <c r="A397" s="12" t="s">
        <v>21</v>
      </c>
      <c r="B397" s="12" t="s">
        <v>421</v>
      </c>
      <c r="C397" s="12" t="s">
        <v>23</v>
      </c>
      <c r="D397" s="15">
        <v>46224.334328703706</v>
      </c>
      <c r="E397" s="12" t="s">
        <v>258</v>
      </c>
      <c r="F397" s="12" t="s">
        <v>371</v>
      </c>
      <c r="G397" s="12">
        <v>1500</v>
      </c>
      <c r="H397" s="12">
        <v>650</v>
      </c>
      <c r="I397" s="14"/>
      <c r="J397" s="14" t="s">
        <v>26</v>
      </c>
      <c r="K397" s="12" t="s">
        <v>27</v>
      </c>
      <c r="L397" s="15"/>
      <c r="M397" s="12" t="s">
        <v>28</v>
      </c>
      <c r="N397" s="12"/>
      <c r="O397" s="12"/>
      <c r="P397" s="12"/>
      <c r="Q397" s="16">
        <v>0</v>
      </c>
      <c r="R397" s="16">
        <v>1</v>
      </c>
      <c r="S397" s="16"/>
      <c r="T397" s="16" t="e">
        <v>#N/A</v>
      </c>
      <c r="U397" s="16" t="e">
        <v>#N/A</v>
      </c>
    </row>
    <row r="398" spans="1:21" x14ac:dyDescent="0.25">
      <c r="A398" s="12" t="s">
        <v>21</v>
      </c>
      <c r="B398" s="12" t="s">
        <v>422</v>
      </c>
      <c r="C398" s="12" t="s">
        <v>23</v>
      </c>
      <c r="D398" s="15">
        <v>46224.431018518517</v>
      </c>
      <c r="E398" s="12" t="s">
        <v>423</v>
      </c>
      <c r="F398" s="12" t="s">
        <v>424</v>
      </c>
      <c r="G398" s="12">
        <v>20</v>
      </c>
      <c r="H398" s="12">
        <v>4</v>
      </c>
      <c r="I398" s="14"/>
      <c r="J398" s="14" t="s">
        <v>26</v>
      </c>
      <c r="K398" s="12" t="s">
        <v>27</v>
      </c>
      <c r="L398" s="15"/>
      <c r="M398" s="12" t="s">
        <v>28</v>
      </c>
      <c r="N398" s="12"/>
      <c r="O398" s="12"/>
      <c r="P398" s="12"/>
      <c r="Q398" s="16">
        <v>0</v>
      </c>
      <c r="R398" s="16">
        <v>0</v>
      </c>
      <c r="S398" s="16"/>
      <c r="T398" s="16" t="e">
        <v>#N/A</v>
      </c>
      <c r="U398" s="16" t="e">
        <v>#N/A</v>
      </c>
    </row>
    <row r="399" spans="1:21" x14ac:dyDescent="0.25">
      <c r="A399" s="12" t="s">
        <v>21</v>
      </c>
      <c r="B399" s="12" t="s">
        <v>425</v>
      </c>
      <c r="C399" s="12" t="s">
        <v>23</v>
      </c>
      <c r="D399" s="15">
        <v>46224.477800925924</v>
      </c>
      <c r="E399" s="12" t="s">
        <v>368</v>
      </c>
      <c r="F399" s="12" t="s">
        <v>262</v>
      </c>
      <c r="G399" s="12">
        <v>240</v>
      </c>
      <c r="H399" s="12">
        <v>240</v>
      </c>
      <c r="I399" s="14"/>
      <c r="J399" s="14" t="s">
        <v>26</v>
      </c>
      <c r="K399" s="12" t="s">
        <v>27</v>
      </c>
      <c r="L399" s="15"/>
      <c r="M399" s="12" t="s">
        <v>28</v>
      </c>
      <c r="N399" s="12"/>
      <c r="O399" s="12"/>
      <c r="P399" s="12"/>
      <c r="Q399" s="16">
        <v>0</v>
      </c>
      <c r="R399" s="16">
        <v>0</v>
      </c>
      <c r="S399" s="16"/>
      <c r="T399" s="16" t="e">
        <v>#N/A</v>
      </c>
      <c r="U399" s="16" t="e">
        <v>#N/A</v>
      </c>
    </row>
    <row r="400" spans="1:21" x14ac:dyDescent="0.25">
      <c r="A400" s="12" t="s">
        <v>21</v>
      </c>
      <c r="B400" s="12" t="s">
        <v>425</v>
      </c>
      <c r="C400" s="12" t="s">
        <v>23</v>
      </c>
      <c r="D400" s="15">
        <v>46224.477800925924</v>
      </c>
      <c r="E400" s="12" t="s">
        <v>368</v>
      </c>
      <c r="F400" s="12" t="s">
        <v>263</v>
      </c>
      <c r="G400" s="12">
        <v>240</v>
      </c>
      <c r="H400" s="12">
        <v>180</v>
      </c>
      <c r="I400" s="14"/>
      <c r="J400" s="14" t="s">
        <v>26</v>
      </c>
      <c r="K400" s="12" t="s">
        <v>27</v>
      </c>
      <c r="L400" s="15"/>
      <c r="M400" s="12" t="s">
        <v>28</v>
      </c>
      <c r="N400" s="12"/>
      <c r="O400" s="12"/>
      <c r="P400" s="12"/>
      <c r="Q400" s="16">
        <v>0</v>
      </c>
      <c r="R400" s="16">
        <v>3200</v>
      </c>
      <c r="S400" s="16"/>
      <c r="T400" s="16" t="e">
        <v>#N/A</v>
      </c>
      <c r="U400" s="16" t="e">
        <v>#N/A</v>
      </c>
    </row>
    <row r="401" spans="1:21" x14ac:dyDescent="0.25">
      <c r="A401" s="12" t="s">
        <v>21</v>
      </c>
      <c r="B401" s="12" t="s">
        <v>426</v>
      </c>
      <c r="C401" s="12" t="s">
        <v>23</v>
      </c>
      <c r="D401" s="15">
        <v>46224.48877314815</v>
      </c>
      <c r="E401" s="12" t="s">
        <v>195</v>
      </c>
      <c r="F401" s="12" t="s">
        <v>427</v>
      </c>
      <c r="G401" s="12">
        <v>182</v>
      </c>
      <c r="H401" s="12">
        <v>26</v>
      </c>
      <c r="I401" s="14"/>
      <c r="J401" s="14" t="s">
        <v>26</v>
      </c>
      <c r="K401" s="12" t="s">
        <v>27</v>
      </c>
      <c r="L401" s="15"/>
      <c r="M401" s="12" t="s">
        <v>28</v>
      </c>
      <c r="N401" s="12"/>
      <c r="O401" s="12"/>
      <c r="P401" s="12"/>
      <c r="Q401" s="16">
        <v>0</v>
      </c>
      <c r="R401" s="16">
        <v>11</v>
      </c>
      <c r="S401" s="16"/>
      <c r="T401" s="16" t="e">
        <v>#N/A</v>
      </c>
      <c r="U401" s="16" t="e">
        <v>#N/A</v>
      </c>
    </row>
    <row r="402" spans="1:21" x14ac:dyDescent="0.25">
      <c r="A402" s="12" t="s">
        <v>21</v>
      </c>
      <c r="B402" s="12" t="s">
        <v>428</v>
      </c>
      <c r="C402" s="12" t="s">
        <v>23</v>
      </c>
      <c r="D402" s="15">
        <v>46224.570810185185</v>
      </c>
      <c r="E402" s="12" t="s">
        <v>258</v>
      </c>
      <c r="F402" s="12" t="s">
        <v>134</v>
      </c>
      <c r="G402" s="12">
        <v>200</v>
      </c>
      <c r="H402" s="12">
        <v>200</v>
      </c>
      <c r="I402" s="14"/>
      <c r="J402" s="14" t="s">
        <v>26</v>
      </c>
      <c r="K402" s="12" t="s">
        <v>27</v>
      </c>
      <c r="L402" s="15"/>
      <c r="M402" s="12" t="s">
        <v>28</v>
      </c>
      <c r="N402" s="12"/>
      <c r="O402" s="12"/>
      <c r="P402" s="12"/>
      <c r="Q402" s="16">
        <v>0</v>
      </c>
      <c r="R402" s="16">
        <v>6</v>
      </c>
      <c r="S402" s="16"/>
      <c r="T402" s="16" t="e">
        <v>#N/A</v>
      </c>
      <c r="U402" s="16" t="e">
        <v>#N/A</v>
      </c>
    </row>
    <row r="403" spans="1:21" x14ac:dyDescent="0.25">
      <c r="A403" s="12" t="s">
        <v>21</v>
      </c>
      <c r="B403" s="12" t="s">
        <v>429</v>
      </c>
      <c r="C403" s="12" t="s">
        <v>23</v>
      </c>
      <c r="D403" s="15">
        <v>46225.289189814815</v>
      </c>
      <c r="E403" s="12" t="s">
        <v>368</v>
      </c>
      <c r="F403" s="12" t="s">
        <v>157</v>
      </c>
      <c r="G403" s="12">
        <v>30</v>
      </c>
      <c r="H403" s="12">
        <v>30</v>
      </c>
      <c r="I403" s="14"/>
      <c r="J403" s="14" t="s">
        <v>26</v>
      </c>
      <c r="K403" s="12" t="s">
        <v>27</v>
      </c>
      <c r="L403" s="15"/>
      <c r="M403" s="12" t="s">
        <v>28</v>
      </c>
      <c r="N403" s="12"/>
      <c r="O403" s="12"/>
      <c r="P403" s="12"/>
      <c r="Q403" s="16">
        <v>0</v>
      </c>
      <c r="R403" s="16">
        <v>0</v>
      </c>
      <c r="S403" s="16"/>
      <c r="T403" s="16" t="e">
        <v>#N/A</v>
      </c>
      <c r="U403" s="16" t="e">
        <v>#N/A</v>
      </c>
    </row>
    <row r="404" spans="1:21" x14ac:dyDescent="0.25">
      <c r="A404" s="12" t="s">
        <v>21</v>
      </c>
      <c r="B404" s="12" t="s">
        <v>429</v>
      </c>
      <c r="C404" s="12" t="s">
        <v>23</v>
      </c>
      <c r="D404" s="15">
        <v>46225.289189814815</v>
      </c>
      <c r="E404" s="12" t="s">
        <v>368</v>
      </c>
      <c r="F404" s="12" t="s">
        <v>159</v>
      </c>
      <c r="G404" s="12">
        <v>30</v>
      </c>
      <c r="H404" s="12">
        <v>30</v>
      </c>
      <c r="I404" s="14"/>
      <c r="J404" s="14" t="s">
        <v>26</v>
      </c>
      <c r="K404" s="12" t="s">
        <v>27</v>
      </c>
      <c r="L404" s="15"/>
      <c r="M404" s="12" t="s">
        <v>28</v>
      </c>
      <c r="N404" s="12"/>
      <c r="O404" s="12"/>
      <c r="P404" s="12"/>
      <c r="Q404" s="16">
        <v>0</v>
      </c>
      <c r="R404" s="16">
        <v>0</v>
      </c>
      <c r="S404" s="16"/>
      <c r="T404" s="16" t="e">
        <v>#N/A</v>
      </c>
      <c r="U404" s="16" t="e">
        <v>#N/A</v>
      </c>
    </row>
    <row r="405" spans="1:21" x14ac:dyDescent="0.25">
      <c r="A405" s="12" t="s">
        <v>21</v>
      </c>
      <c r="B405" s="12" t="s">
        <v>429</v>
      </c>
      <c r="C405" s="12" t="s">
        <v>23</v>
      </c>
      <c r="D405" s="15">
        <v>46225.289189814815</v>
      </c>
      <c r="E405" s="12" t="s">
        <v>368</v>
      </c>
      <c r="F405" s="12" t="s">
        <v>268</v>
      </c>
      <c r="G405" s="12">
        <v>32</v>
      </c>
      <c r="H405" s="12">
        <v>14</v>
      </c>
      <c r="I405" s="14"/>
      <c r="J405" s="14" t="s">
        <v>26</v>
      </c>
      <c r="K405" s="12" t="s">
        <v>27</v>
      </c>
      <c r="L405" s="15"/>
      <c r="M405" s="12" t="s">
        <v>28</v>
      </c>
      <c r="N405" s="12"/>
      <c r="O405" s="12"/>
      <c r="P405" s="12"/>
      <c r="Q405" s="16">
        <v>0</v>
      </c>
      <c r="R405" s="16">
        <v>0</v>
      </c>
      <c r="S405" s="16"/>
      <c r="T405" s="16" t="e">
        <v>#N/A</v>
      </c>
      <c r="U405" s="16" t="e">
        <v>#N/A</v>
      </c>
    </row>
    <row r="406" spans="1:21" x14ac:dyDescent="0.25">
      <c r="A406" s="12" t="s">
        <v>21</v>
      </c>
      <c r="B406" s="12" t="s">
        <v>429</v>
      </c>
      <c r="C406" s="12" t="s">
        <v>23</v>
      </c>
      <c r="D406" s="15">
        <v>46225.289189814815</v>
      </c>
      <c r="E406" s="12" t="s">
        <v>368</v>
      </c>
      <c r="F406" s="12" t="s">
        <v>268</v>
      </c>
      <c r="G406" s="12">
        <v>3</v>
      </c>
      <c r="H406" s="12">
        <v>3</v>
      </c>
      <c r="I406" s="14"/>
      <c r="J406" s="14" t="s">
        <v>26</v>
      </c>
      <c r="K406" s="12" t="s">
        <v>27</v>
      </c>
      <c r="L406" s="15"/>
      <c r="M406" s="12" t="s">
        <v>28</v>
      </c>
      <c r="N406" s="12"/>
      <c r="O406" s="12"/>
      <c r="P406" s="12"/>
      <c r="Q406" s="16">
        <v>0</v>
      </c>
      <c r="R406" s="16">
        <v>0</v>
      </c>
      <c r="S406" s="16"/>
      <c r="T406" s="16" t="e">
        <v>#N/A</v>
      </c>
      <c r="U406" s="16" t="e">
        <v>#N/A</v>
      </c>
    </row>
    <row r="407" spans="1:21" x14ac:dyDescent="0.25">
      <c r="A407" s="12" t="s">
        <v>21</v>
      </c>
      <c r="B407" s="12" t="s">
        <v>429</v>
      </c>
      <c r="C407" s="12" t="s">
        <v>23</v>
      </c>
      <c r="D407" s="15">
        <v>46225.289189814815</v>
      </c>
      <c r="E407" s="12" t="s">
        <v>368</v>
      </c>
      <c r="F407" s="12" t="s">
        <v>401</v>
      </c>
      <c r="G407" s="12">
        <v>28</v>
      </c>
      <c r="H407" s="12">
        <v>6</v>
      </c>
      <c r="I407" s="14"/>
      <c r="J407" s="14" t="s">
        <v>26</v>
      </c>
      <c r="K407" s="12" t="s">
        <v>27</v>
      </c>
      <c r="L407" s="15"/>
      <c r="M407" s="12" t="s">
        <v>28</v>
      </c>
      <c r="N407" s="12"/>
      <c r="O407" s="12"/>
      <c r="P407" s="12"/>
      <c r="Q407" s="16">
        <v>0</v>
      </c>
      <c r="R407" s="16">
        <v>0</v>
      </c>
      <c r="S407" s="16"/>
      <c r="T407" s="16" t="e">
        <v>#N/A</v>
      </c>
      <c r="U407" s="16" t="e">
        <v>#N/A</v>
      </c>
    </row>
    <row r="408" spans="1:21" x14ac:dyDescent="0.25">
      <c r="A408" s="12" t="s">
        <v>21</v>
      </c>
      <c r="B408" s="12" t="s">
        <v>429</v>
      </c>
      <c r="C408" s="12" t="s">
        <v>23</v>
      </c>
      <c r="D408" s="15">
        <v>46225.289189814815</v>
      </c>
      <c r="E408" s="12" t="s">
        <v>368</v>
      </c>
      <c r="F408" s="12" t="s">
        <v>201</v>
      </c>
      <c r="G408" s="12">
        <v>20</v>
      </c>
      <c r="H408" s="12">
        <v>20</v>
      </c>
      <c r="I408" s="14"/>
      <c r="J408" s="14" t="s">
        <v>26</v>
      </c>
      <c r="K408" s="12" t="s">
        <v>27</v>
      </c>
      <c r="L408" s="15"/>
      <c r="M408" s="12" t="s">
        <v>28</v>
      </c>
      <c r="N408" s="12"/>
      <c r="O408" s="12"/>
      <c r="P408" s="12"/>
      <c r="Q408" s="16">
        <v>0</v>
      </c>
      <c r="R408" s="16">
        <v>0</v>
      </c>
      <c r="S408" s="16"/>
      <c r="T408" s="16" t="e">
        <v>#N/A</v>
      </c>
      <c r="U408" s="16" t="e">
        <v>#N/A</v>
      </c>
    </row>
    <row r="409" spans="1:21" x14ac:dyDescent="0.25">
      <c r="A409" s="12" t="s">
        <v>21</v>
      </c>
      <c r="B409" s="12" t="s">
        <v>430</v>
      </c>
      <c r="C409" s="12" t="s">
        <v>23</v>
      </c>
      <c r="D409" s="15">
        <v>46225.289490740739</v>
      </c>
      <c r="E409" s="12" t="s">
        <v>368</v>
      </c>
      <c r="F409" s="12" t="s">
        <v>70</v>
      </c>
      <c r="G409" s="12">
        <v>30</v>
      </c>
      <c r="H409" s="12">
        <v>30</v>
      </c>
      <c r="I409" s="14"/>
      <c r="J409" s="14" t="s">
        <v>26</v>
      </c>
      <c r="K409" s="12" t="s">
        <v>27</v>
      </c>
      <c r="L409" s="15"/>
      <c r="M409" s="12" t="s">
        <v>28</v>
      </c>
      <c r="N409" s="12"/>
      <c r="O409" s="12"/>
      <c r="P409" s="12"/>
      <c r="Q409" s="16">
        <v>0</v>
      </c>
      <c r="R409" s="16">
        <v>0</v>
      </c>
      <c r="S409" s="16"/>
      <c r="T409" s="16" t="e">
        <v>#N/A</v>
      </c>
      <c r="U409" s="16" t="e">
        <v>#N/A</v>
      </c>
    </row>
    <row r="410" spans="1:21" x14ac:dyDescent="0.25">
      <c r="A410" s="12" t="s">
        <v>21</v>
      </c>
      <c r="B410" s="12" t="s">
        <v>431</v>
      </c>
      <c r="C410" s="12" t="s">
        <v>23</v>
      </c>
      <c r="D410" s="15">
        <v>46225.289861111109</v>
      </c>
      <c r="E410" s="12" t="s">
        <v>368</v>
      </c>
      <c r="F410" s="12" t="s">
        <v>244</v>
      </c>
      <c r="G410" s="12">
        <v>10</v>
      </c>
      <c r="H410" s="12">
        <v>10</v>
      </c>
      <c r="I410" s="14"/>
      <c r="J410" s="14" t="s">
        <v>26</v>
      </c>
      <c r="K410" s="12" t="s">
        <v>27</v>
      </c>
      <c r="L410" s="15"/>
      <c r="M410" s="12" t="s">
        <v>28</v>
      </c>
      <c r="N410" s="12"/>
      <c r="O410" s="12"/>
      <c r="P410" s="12"/>
      <c r="Q410" s="16">
        <v>0</v>
      </c>
      <c r="R410" s="16">
        <v>0</v>
      </c>
      <c r="S410" s="16"/>
      <c r="T410" s="16" t="e">
        <v>#N/A</v>
      </c>
      <c r="U410" s="16" t="e">
        <v>#N/A</v>
      </c>
    </row>
    <row r="411" spans="1:21" x14ac:dyDescent="0.25">
      <c r="A411" s="12" t="s">
        <v>21</v>
      </c>
      <c r="B411" s="12" t="s">
        <v>431</v>
      </c>
      <c r="C411" s="12" t="s">
        <v>23</v>
      </c>
      <c r="D411" s="15">
        <v>46225.289861111109</v>
      </c>
      <c r="E411" s="12" t="s">
        <v>368</v>
      </c>
      <c r="F411" s="12" t="s">
        <v>246</v>
      </c>
      <c r="G411" s="12">
        <v>12</v>
      </c>
      <c r="H411" s="12">
        <v>12</v>
      </c>
      <c r="I411" s="14"/>
      <c r="J411" s="14" t="s">
        <v>26</v>
      </c>
      <c r="K411" s="12" t="s">
        <v>27</v>
      </c>
      <c r="L411" s="15"/>
      <c r="M411" s="12" t="s">
        <v>28</v>
      </c>
      <c r="N411" s="12"/>
      <c r="O411" s="12"/>
      <c r="P411" s="12"/>
      <c r="Q411" s="16">
        <v>0</v>
      </c>
      <c r="R411" s="16">
        <v>0</v>
      </c>
      <c r="S411" s="16"/>
      <c r="T411" s="16" t="e">
        <v>#N/A</v>
      </c>
      <c r="U411" s="16" t="e">
        <v>#N/A</v>
      </c>
    </row>
    <row r="412" spans="1:21" x14ac:dyDescent="0.25">
      <c r="A412" s="12" t="s">
        <v>21</v>
      </c>
      <c r="B412" s="12" t="s">
        <v>432</v>
      </c>
      <c r="C412" s="12" t="s">
        <v>23</v>
      </c>
      <c r="D412" s="15">
        <v>46225.356550925928</v>
      </c>
      <c r="E412" s="12" t="s">
        <v>433</v>
      </c>
      <c r="F412" s="12" t="s">
        <v>406</v>
      </c>
      <c r="G412" s="12">
        <v>8</v>
      </c>
      <c r="H412" s="12">
        <v>8</v>
      </c>
      <c r="I412" s="14"/>
      <c r="J412" s="14" t="s">
        <v>26</v>
      </c>
      <c r="K412" s="12" t="s">
        <v>27</v>
      </c>
      <c r="L412" s="15"/>
      <c r="M412" s="12" t="s">
        <v>28</v>
      </c>
      <c r="N412" s="12"/>
      <c r="O412" s="12"/>
      <c r="P412" s="12"/>
      <c r="Q412" s="16">
        <v>0</v>
      </c>
      <c r="R412" s="16">
        <v>0</v>
      </c>
      <c r="S412" s="16"/>
      <c r="T412" s="16" t="e">
        <v>#N/A</v>
      </c>
      <c r="U412" s="16" t="e">
        <v>#N/A</v>
      </c>
    </row>
    <row r="413" spans="1:21" x14ac:dyDescent="0.25">
      <c r="A413" s="12" t="s">
        <v>21</v>
      </c>
      <c r="B413" s="12" t="s">
        <v>434</v>
      </c>
      <c r="C413" s="12" t="s">
        <v>23</v>
      </c>
      <c r="D413" s="15">
        <v>46225.357777777775</v>
      </c>
      <c r="E413" s="12" t="s">
        <v>433</v>
      </c>
      <c r="F413" s="12" t="s">
        <v>406</v>
      </c>
      <c r="G413" s="12">
        <v>20</v>
      </c>
      <c r="H413" s="12">
        <v>20</v>
      </c>
      <c r="I413" s="14"/>
      <c r="J413" s="14" t="s">
        <v>26</v>
      </c>
      <c r="K413" s="12" t="s">
        <v>27</v>
      </c>
      <c r="L413" s="15"/>
      <c r="M413" s="12" t="s">
        <v>28</v>
      </c>
      <c r="N413" s="12"/>
      <c r="O413" s="12"/>
      <c r="P413" s="12"/>
      <c r="Q413" s="16">
        <v>0</v>
      </c>
      <c r="R413" s="16">
        <v>0</v>
      </c>
      <c r="S413" s="16"/>
      <c r="T413" s="16" t="e">
        <v>#N/A</v>
      </c>
      <c r="U413" s="16" t="e">
        <v>#N/A</v>
      </c>
    </row>
    <row r="414" spans="1:21" x14ac:dyDescent="0.25">
      <c r="A414" s="12" t="s">
        <v>21</v>
      </c>
      <c r="B414" s="12" t="s">
        <v>435</v>
      </c>
      <c r="C414" s="12" t="s">
        <v>23</v>
      </c>
      <c r="D414" s="15">
        <v>46225.478865740741</v>
      </c>
      <c r="E414" s="12" t="s">
        <v>436</v>
      </c>
      <c r="F414" s="12" t="s">
        <v>437</v>
      </c>
      <c r="G414" s="12">
        <v>300</v>
      </c>
      <c r="H414" s="12">
        <v>300</v>
      </c>
      <c r="I414" s="14"/>
      <c r="J414" s="14" t="s">
        <v>26</v>
      </c>
      <c r="K414" s="12" t="s">
        <v>27</v>
      </c>
      <c r="L414" s="15"/>
      <c r="M414" s="12" t="s">
        <v>28</v>
      </c>
      <c r="N414" s="12"/>
      <c r="O414" s="12"/>
      <c r="P414" s="12"/>
      <c r="Q414" s="16">
        <v>0</v>
      </c>
      <c r="R414" s="16">
        <v>90</v>
      </c>
      <c r="S414" s="16"/>
      <c r="T414" s="16" t="e">
        <v>#N/A</v>
      </c>
      <c r="U414" s="16" t="e">
        <v>#N/A</v>
      </c>
    </row>
    <row r="415" spans="1:21" x14ac:dyDescent="0.25">
      <c r="A415" s="12" t="s">
        <v>21</v>
      </c>
      <c r="B415" s="12" t="s">
        <v>435</v>
      </c>
      <c r="C415" s="12" t="s">
        <v>23</v>
      </c>
      <c r="D415" s="15">
        <v>46225.478865740741</v>
      </c>
      <c r="E415" s="12" t="s">
        <v>436</v>
      </c>
      <c r="F415" s="12" t="s">
        <v>438</v>
      </c>
      <c r="G415" s="12">
        <v>120</v>
      </c>
      <c r="H415" s="12">
        <v>120</v>
      </c>
      <c r="I415" s="14"/>
      <c r="J415" s="14" t="s">
        <v>26</v>
      </c>
      <c r="K415" s="12" t="s">
        <v>27</v>
      </c>
      <c r="L415" s="15"/>
      <c r="M415" s="12" t="s">
        <v>28</v>
      </c>
      <c r="N415" s="12"/>
      <c r="O415" s="12"/>
      <c r="P415" s="12"/>
      <c r="Q415" s="16">
        <v>0</v>
      </c>
      <c r="R415" s="16">
        <v>113</v>
      </c>
      <c r="S415" s="16"/>
      <c r="T415" s="16" t="e">
        <v>#N/A</v>
      </c>
      <c r="U415" s="16" t="e">
        <v>#N/A</v>
      </c>
    </row>
    <row r="416" spans="1:21" x14ac:dyDescent="0.25">
      <c r="A416" s="12" t="s">
        <v>21</v>
      </c>
      <c r="B416" s="12" t="s">
        <v>435</v>
      </c>
      <c r="C416" s="12" t="s">
        <v>23</v>
      </c>
      <c r="D416" s="15">
        <v>46225.478865740741</v>
      </c>
      <c r="E416" s="12" t="s">
        <v>436</v>
      </c>
      <c r="F416" s="12" t="s">
        <v>262</v>
      </c>
      <c r="G416" s="12">
        <v>1200</v>
      </c>
      <c r="H416" s="12">
        <v>1200</v>
      </c>
      <c r="I416" s="14"/>
      <c r="J416" s="14" t="s">
        <v>26</v>
      </c>
      <c r="K416" s="12" t="s">
        <v>27</v>
      </c>
      <c r="L416" s="15"/>
      <c r="M416" s="12" t="s">
        <v>28</v>
      </c>
      <c r="N416" s="12"/>
      <c r="O416" s="12"/>
      <c r="P416" s="12"/>
      <c r="Q416" s="16">
        <v>0</v>
      </c>
      <c r="R416" s="16">
        <v>0</v>
      </c>
      <c r="S416" s="16"/>
      <c r="T416" s="16" t="e">
        <v>#N/A</v>
      </c>
      <c r="U416" s="16" t="e">
        <v>#N/A</v>
      </c>
    </row>
    <row r="417" spans="1:21" x14ac:dyDescent="0.25">
      <c r="A417" s="12" t="s">
        <v>21</v>
      </c>
      <c r="B417" s="12" t="s">
        <v>435</v>
      </c>
      <c r="C417" s="12" t="s">
        <v>23</v>
      </c>
      <c r="D417" s="15">
        <v>46225.478865740741</v>
      </c>
      <c r="E417" s="12" t="s">
        <v>436</v>
      </c>
      <c r="F417" s="12" t="s">
        <v>439</v>
      </c>
      <c r="G417" s="12">
        <v>240</v>
      </c>
      <c r="H417" s="12">
        <v>240</v>
      </c>
      <c r="I417" s="14"/>
      <c r="J417" s="14" t="s">
        <v>26</v>
      </c>
      <c r="K417" s="12" t="s">
        <v>27</v>
      </c>
      <c r="L417" s="15"/>
      <c r="M417" s="12" t="s">
        <v>28</v>
      </c>
      <c r="N417" s="12"/>
      <c r="O417" s="12"/>
      <c r="P417" s="12"/>
      <c r="Q417" s="16">
        <v>0</v>
      </c>
      <c r="R417" s="16">
        <v>0</v>
      </c>
      <c r="S417" s="16"/>
      <c r="T417" s="16" t="e">
        <v>#N/A</v>
      </c>
      <c r="U417" s="16" t="e">
        <v>#N/A</v>
      </c>
    </row>
    <row r="418" spans="1:21" x14ac:dyDescent="0.25">
      <c r="A418" s="12" t="s">
        <v>21</v>
      </c>
      <c r="B418" s="12" t="s">
        <v>435</v>
      </c>
      <c r="C418" s="12" t="s">
        <v>23</v>
      </c>
      <c r="D418" s="15">
        <v>46225.478865740741</v>
      </c>
      <c r="E418" s="12" t="s">
        <v>436</v>
      </c>
      <c r="F418" s="12" t="s">
        <v>263</v>
      </c>
      <c r="G418" s="12">
        <v>180</v>
      </c>
      <c r="H418" s="12">
        <v>180</v>
      </c>
      <c r="I418" s="14"/>
      <c r="J418" s="14" t="s">
        <v>26</v>
      </c>
      <c r="K418" s="12" t="s">
        <v>27</v>
      </c>
      <c r="L418" s="15"/>
      <c r="M418" s="12" t="s">
        <v>28</v>
      </c>
      <c r="N418" s="12"/>
      <c r="O418" s="12"/>
      <c r="P418" s="12"/>
      <c r="Q418" s="16">
        <v>0</v>
      </c>
      <c r="R418" s="16">
        <v>3200</v>
      </c>
      <c r="S418" s="16"/>
      <c r="T418" s="16" t="e">
        <v>#N/A</v>
      </c>
      <c r="U418" s="16" t="e">
        <v>#N/A</v>
      </c>
    </row>
    <row r="419" spans="1:21" x14ac:dyDescent="0.25">
      <c r="A419" s="12" t="s">
        <v>21</v>
      </c>
      <c r="B419" s="12" t="s">
        <v>440</v>
      </c>
      <c r="C419" s="12" t="s">
        <v>23</v>
      </c>
      <c r="D419" s="15">
        <v>46225.543773148151</v>
      </c>
      <c r="E419" s="12" t="s">
        <v>436</v>
      </c>
      <c r="F419" s="12" t="s">
        <v>441</v>
      </c>
      <c r="G419" s="12">
        <v>8</v>
      </c>
      <c r="H419" s="12">
        <v>8</v>
      </c>
      <c r="I419" s="14"/>
      <c r="J419" s="14" t="s">
        <v>61</v>
      </c>
      <c r="K419" s="12" t="s">
        <v>27</v>
      </c>
      <c r="L419" s="15"/>
      <c r="M419" s="12" t="s">
        <v>28</v>
      </c>
      <c r="N419" s="12"/>
      <c r="O419" s="12"/>
      <c r="P419" s="12"/>
      <c r="Q419" s="16">
        <v>8</v>
      </c>
      <c r="R419" s="16">
        <v>0</v>
      </c>
      <c r="S419" s="16">
        <v>7</v>
      </c>
      <c r="T419" s="16" t="e">
        <v>#N/A</v>
      </c>
      <c r="U419" s="16" t="e">
        <v>#N/A</v>
      </c>
    </row>
    <row r="420" spans="1:21" x14ac:dyDescent="0.25">
      <c r="A420" s="12" t="s">
        <v>21</v>
      </c>
      <c r="B420" s="12" t="s">
        <v>440</v>
      </c>
      <c r="C420" s="12" t="s">
        <v>23</v>
      </c>
      <c r="D420" s="15">
        <v>46225.543773148151</v>
      </c>
      <c r="E420" s="12" t="s">
        <v>436</v>
      </c>
      <c r="F420" s="12" t="s">
        <v>442</v>
      </c>
      <c r="G420" s="12">
        <v>20</v>
      </c>
      <c r="H420" s="12">
        <v>20</v>
      </c>
      <c r="I420" s="14"/>
      <c r="J420" s="14" t="s">
        <v>61</v>
      </c>
      <c r="K420" s="12" t="s">
        <v>27</v>
      </c>
      <c r="L420" s="15"/>
      <c r="M420" s="12" t="s">
        <v>28</v>
      </c>
      <c r="N420" s="12"/>
      <c r="O420" s="12"/>
      <c r="P420" s="12"/>
      <c r="Q420" s="16">
        <v>20</v>
      </c>
      <c r="R420" s="16">
        <v>0</v>
      </c>
      <c r="S420" s="16">
        <v>10</v>
      </c>
      <c r="T420" s="16" t="e">
        <v>#N/A</v>
      </c>
      <c r="U420" s="16" t="e">
        <v>#N/A</v>
      </c>
    </row>
    <row r="421" spans="1:21" x14ac:dyDescent="0.25">
      <c r="A421" s="12" t="s">
        <v>21</v>
      </c>
      <c r="B421" s="12" t="s">
        <v>440</v>
      </c>
      <c r="C421" s="12" t="s">
        <v>23</v>
      </c>
      <c r="D421" s="15">
        <v>46225.543773148151</v>
      </c>
      <c r="E421" s="12" t="s">
        <v>436</v>
      </c>
      <c r="F421" s="12" t="s">
        <v>71</v>
      </c>
      <c r="G421" s="12">
        <v>40</v>
      </c>
      <c r="H421" s="12">
        <v>40</v>
      </c>
      <c r="I421" s="14"/>
      <c r="J421" s="14" t="s">
        <v>61</v>
      </c>
      <c r="K421" s="12" t="s">
        <v>27</v>
      </c>
      <c r="L421" s="15"/>
      <c r="M421" s="12" t="s">
        <v>28</v>
      </c>
      <c r="N421" s="12"/>
      <c r="O421" s="12"/>
      <c r="P421" s="12"/>
      <c r="Q421" s="16">
        <v>20</v>
      </c>
      <c r="R421" s="16">
        <v>0</v>
      </c>
      <c r="S421" s="16"/>
      <c r="T421" s="16" t="e">
        <v>#N/A</v>
      </c>
      <c r="U421" s="16" t="e">
        <v>#N/A</v>
      </c>
    </row>
    <row r="422" spans="1:21" x14ac:dyDescent="0.25">
      <c r="A422" s="12" t="s">
        <v>21</v>
      </c>
      <c r="B422" s="12" t="s">
        <v>440</v>
      </c>
      <c r="C422" s="12" t="s">
        <v>23</v>
      </c>
      <c r="D422" s="15">
        <v>46225.543773148151</v>
      </c>
      <c r="E422" s="12" t="s">
        <v>436</v>
      </c>
      <c r="F422" s="12" t="s">
        <v>443</v>
      </c>
      <c r="G422" s="12">
        <v>48</v>
      </c>
      <c r="H422" s="12">
        <v>48</v>
      </c>
      <c r="I422" s="14"/>
      <c r="J422" s="14" t="s">
        <v>61</v>
      </c>
      <c r="K422" s="12" t="s">
        <v>27</v>
      </c>
      <c r="L422" s="15"/>
      <c r="M422" s="12" t="s">
        <v>28</v>
      </c>
      <c r="N422" s="12"/>
      <c r="O422" s="12"/>
      <c r="P422" s="12"/>
      <c r="Q422" s="16">
        <v>36</v>
      </c>
      <c r="R422" s="16">
        <v>0</v>
      </c>
      <c r="S422" s="16">
        <v>38</v>
      </c>
      <c r="T422" s="16" t="e">
        <v>#N/A</v>
      </c>
      <c r="U422" s="16" t="e">
        <v>#N/A</v>
      </c>
    </row>
    <row r="423" spans="1:21" x14ac:dyDescent="0.25">
      <c r="A423" s="12" t="s">
        <v>21</v>
      </c>
      <c r="B423" s="12" t="s">
        <v>440</v>
      </c>
      <c r="C423" s="12" t="s">
        <v>23</v>
      </c>
      <c r="D423" s="15">
        <v>46225.543773148151</v>
      </c>
      <c r="E423" s="12" t="s">
        <v>436</v>
      </c>
      <c r="F423" s="12" t="s">
        <v>320</v>
      </c>
      <c r="G423" s="12">
        <v>90</v>
      </c>
      <c r="H423" s="12">
        <v>90</v>
      </c>
      <c r="I423" s="14"/>
      <c r="J423" s="14" t="s">
        <v>26</v>
      </c>
      <c r="K423" s="12" t="s">
        <v>27</v>
      </c>
      <c r="L423" s="15"/>
      <c r="M423" s="12" t="s">
        <v>28</v>
      </c>
      <c r="N423" s="12"/>
      <c r="O423" s="12"/>
      <c r="P423" s="12"/>
      <c r="Q423" s="16">
        <v>0</v>
      </c>
      <c r="R423" s="16">
        <v>1</v>
      </c>
      <c r="S423" s="16"/>
      <c r="T423" s="16" t="e">
        <v>#N/A</v>
      </c>
      <c r="U423" s="16" t="e">
        <v>#N/A</v>
      </c>
    </row>
    <row r="424" spans="1:21" x14ac:dyDescent="0.25">
      <c r="A424" s="12" t="s">
        <v>21</v>
      </c>
      <c r="B424" s="12" t="s">
        <v>444</v>
      </c>
      <c r="C424" s="12" t="s">
        <v>23</v>
      </c>
      <c r="D424" s="15">
        <v>46226.387731481482</v>
      </c>
      <c r="E424" s="12" t="s">
        <v>340</v>
      </c>
      <c r="F424" s="12" t="s">
        <v>157</v>
      </c>
      <c r="G424" s="12">
        <v>57</v>
      </c>
      <c r="H424" s="12">
        <v>57</v>
      </c>
      <c r="I424" s="14"/>
      <c r="J424" s="14" t="s">
        <v>26</v>
      </c>
      <c r="K424" s="12" t="s">
        <v>445</v>
      </c>
      <c r="L424" s="15">
        <v>1</v>
      </c>
      <c r="M424" s="12" t="s">
        <v>150</v>
      </c>
      <c r="N424" s="12">
        <v>45</v>
      </c>
      <c r="O424" s="12">
        <v>45</v>
      </c>
      <c r="P424" s="12">
        <v>0</v>
      </c>
      <c r="Q424" s="16">
        <v>0</v>
      </c>
      <c r="R424" s="16">
        <v>0</v>
      </c>
      <c r="S424" s="16">
        <v>12</v>
      </c>
      <c r="T424" s="16" t="e">
        <v>#N/A</v>
      </c>
      <c r="U424" s="16" t="e">
        <v>#N/A</v>
      </c>
    </row>
    <row r="425" spans="1:21" x14ac:dyDescent="0.25">
      <c r="A425" s="12" t="s">
        <v>21</v>
      </c>
      <c r="B425" s="12" t="s">
        <v>444</v>
      </c>
      <c r="C425" s="12" t="s">
        <v>23</v>
      </c>
      <c r="D425" s="15">
        <v>46226.387731481482</v>
      </c>
      <c r="E425" s="12" t="s">
        <v>340</v>
      </c>
      <c r="F425" s="12" t="s">
        <v>412</v>
      </c>
      <c r="G425" s="12">
        <v>131</v>
      </c>
      <c r="H425" s="12">
        <v>131</v>
      </c>
      <c r="I425" s="14"/>
      <c r="J425" s="14" t="s">
        <v>26</v>
      </c>
      <c r="K425" s="12" t="s">
        <v>27</v>
      </c>
      <c r="L425" s="15"/>
      <c r="M425" s="12" t="s">
        <v>28</v>
      </c>
      <c r="N425" s="12"/>
      <c r="O425" s="12"/>
      <c r="P425" s="12"/>
      <c r="Q425" s="16">
        <v>0</v>
      </c>
      <c r="R425" s="16">
        <v>0</v>
      </c>
      <c r="S425" s="16">
        <v>71</v>
      </c>
      <c r="T425" s="16" t="e">
        <v>#N/A</v>
      </c>
      <c r="U425" s="16" t="e">
        <v>#N/A</v>
      </c>
    </row>
    <row r="426" spans="1:21" x14ac:dyDescent="0.25">
      <c r="A426" s="12" t="s">
        <v>21</v>
      </c>
      <c r="B426" s="12" t="s">
        <v>444</v>
      </c>
      <c r="C426" s="12" t="s">
        <v>23</v>
      </c>
      <c r="D426" s="15">
        <v>46226.387731481482</v>
      </c>
      <c r="E426" s="12" t="s">
        <v>340</v>
      </c>
      <c r="F426" s="12" t="s">
        <v>159</v>
      </c>
      <c r="G426" s="12">
        <v>55</v>
      </c>
      <c r="H426" s="12">
        <v>55</v>
      </c>
      <c r="I426" s="14"/>
      <c r="J426" s="14" t="s">
        <v>26</v>
      </c>
      <c r="K426" s="12" t="s">
        <v>27</v>
      </c>
      <c r="L426" s="15"/>
      <c r="M426" s="12" t="s">
        <v>28</v>
      </c>
      <c r="N426" s="12"/>
      <c r="O426" s="12"/>
      <c r="P426" s="12"/>
      <c r="Q426" s="16">
        <v>0</v>
      </c>
      <c r="R426" s="16">
        <v>0</v>
      </c>
      <c r="S426" s="16"/>
      <c r="T426" s="16" t="e">
        <v>#N/A</v>
      </c>
      <c r="U426" s="16" t="e">
        <v>#N/A</v>
      </c>
    </row>
    <row r="427" spans="1:21" x14ac:dyDescent="0.25">
      <c r="A427" s="12" t="s">
        <v>21</v>
      </c>
      <c r="B427" s="12" t="s">
        <v>444</v>
      </c>
      <c r="C427" s="12" t="s">
        <v>23</v>
      </c>
      <c r="D427" s="15">
        <v>46226.387731481482</v>
      </c>
      <c r="E427" s="12" t="s">
        <v>340</v>
      </c>
      <c r="F427" s="12" t="s">
        <v>283</v>
      </c>
      <c r="G427" s="12">
        <v>14</v>
      </c>
      <c r="H427" s="12">
        <v>14</v>
      </c>
      <c r="I427" s="14"/>
      <c r="J427" s="14" t="s">
        <v>61</v>
      </c>
      <c r="K427" s="12" t="s">
        <v>27</v>
      </c>
      <c r="L427" s="15"/>
      <c r="M427" s="12" t="s">
        <v>28</v>
      </c>
      <c r="N427" s="12"/>
      <c r="O427" s="12"/>
      <c r="P427" s="12"/>
      <c r="Q427" s="16">
        <v>53</v>
      </c>
      <c r="R427" s="16">
        <v>0</v>
      </c>
      <c r="S427" s="16">
        <v>13</v>
      </c>
      <c r="T427" s="16" t="e">
        <v>#N/A</v>
      </c>
      <c r="U427" s="16" t="e">
        <v>#N/A</v>
      </c>
    </row>
    <row r="428" spans="1:21" x14ac:dyDescent="0.25">
      <c r="A428" s="12" t="s">
        <v>21</v>
      </c>
      <c r="B428" s="12" t="s">
        <v>444</v>
      </c>
      <c r="C428" s="12" t="s">
        <v>23</v>
      </c>
      <c r="D428" s="15">
        <v>46226.387731481482</v>
      </c>
      <c r="E428" s="12" t="s">
        <v>340</v>
      </c>
      <c r="F428" s="12" t="s">
        <v>446</v>
      </c>
      <c r="G428" s="12">
        <v>38</v>
      </c>
      <c r="H428" s="12">
        <v>38</v>
      </c>
      <c r="I428" s="14"/>
      <c r="J428" s="14" t="s">
        <v>26</v>
      </c>
      <c r="K428" s="12" t="s">
        <v>27</v>
      </c>
      <c r="L428" s="15"/>
      <c r="M428" s="12" t="s">
        <v>28</v>
      </c>
      <c r="N428" s="12"/>
      <c r="O428" s="12"/>
      <c r="P428" s="12"/>
      <c r="Q428" s="16">
        <v>0</v>
      </c>
      <c r="R428" s="16">
        <v>0</v>
      </c>
      <c r="S428" s="16"/>
      <c r="T428" s="16" t="e">
        <v>#N/A</v>
      </c>
      <c r="U428" s="16" t="e">
        <v>#N/A</v>
      </c>
    </row>
    <row r="429" spans="1:21" x14ac:dyDescent="0.25">
      <c r="A429" s="12" t="s">
        <v>21</v>
      </c>
      <c r="B429" s="12" t="s">
        <v>444</v>
      </c>
      <c r="C429" s="12" t="s">
        <v>23</v>
      </c>
      <c r="D429" s="15">
        <v>46226.387731481482</v>
      </c>
      <c r="E429" s="12" t="s">
        <v>340</v>
      </c>
      <c r="F429" s="12" t="s">
        <v>447</v>
      </c>
      <c r="G429" s="12">
        <v>11</v>
      </c>
      <c r="H429" s="12">
        <v>11</v>
      </c>
      <c r="I429" s="14"/>
      <c r="J429" s="14" t="s">
        <v>26</v>
      </c>
      <c r="K429" s="12" t="s">
        <v>27</v>
      </c>
      <c r="L429" s="15"/>
      <c r="M429" s="12" t="s">
        <v>28</v>
      </c>
      <c r="N429" s="12"/>
      <c r="O429" s="12"/>
      <c r="P429" s="12"/>
      <c r="Q429" s="16">
        <v>0</v>
      </c>
      <c r="R429" s="16">
        <v>0</v>
      </c>
      <c r="S429" s="16"/>
      <c r="T429" s="16" t="e">
        <v>#N/A</v>
      </c>
      <c r="U429" s="16" t="e">
        <v>#N/A</v>
      </c>
    </row>
    <row r="430" spans="1:21" x14ac:dyDescent="0.25">
      <c r="A430" s="12" t="s">
        <v>21</v>
      </c>
      <c r="B430" s="12" t="s">
        <v>444</v>
      </c>
      <c r="C430" s="12" t="s">
        <v>23</v>
      </c>
      <c r="D430" s="15">
        <v>46226.387731481482</v>
      </c>
      <c r="E430" s="12" t="s">
        <v>340</v>
      </c>
      <c r="F430" s="12" t="s">
        <v>401</v>
      </c>
      <c r="G430" s="12">
        <v>2</v>
      </c>
      <c r="H430" s="12">
        <v>2</v>
      </c>
      <c r="I430" s="14"/>
      <c r="J430" s="14" t="s">
        <v>61</v>
      </c>
      <c r="K430" s="12" t="s">
        <v>27</v>
      </c>
      <c r="L430" s="15"/>
      <c r="M430" s="12" t="s">
        <v>28</v>
      </c>
      <c r="N430" s="12"/>
      <c r="O430" s="12"/>
      <c r="P430" s="12"/>
      <c r="Q430" s="16">
        <v>9</v>
      </c>
      <c r="R430" s="16">
        <v>0</v>
      </c>
      <c r="S430" s="16">
        <v>1</v>
      </c>
      <c r="T430" s="16" t="e">
        <v>#N/A</v>
      </c>
      <c r="U430" s="16" t="e">
        <v>#N/A</v>
      </c>
    </row>
    <row r="431" spans="1:21" x14ac:dyDescent="0.25">
      <c r="A431" s="12" t="s">
        <v>21</v>
      </c>
      <c r="B431" s="12" t="s">
        <v>444</v>
      </c>
      <c r="C431" s="12" t="s">
        <v>23</v>
      </c>
      <c r="D431" s="15">
        <v>46226.387731481482</v>
      </c>
      <c r="E431" s="12" t="s">
        <v>340</v>
      </c>
      <c r="F431" s="12" t="s">
        <v>448</v>
      </c>
      <c r="G431" s="12">
        <v>450</v>
      </c>
      <c r="H431" s="12">
        <v>450</v>
      </c>
      <c r="I431" s="14"/>
      <c r="J431" s="14" t="s">
        <v>26</v>
      </c>
      <c r="K431" s="12" t="s">
        <v>27</v>
      </c>
      <c r="L431" s="15"/>
      <c r="M431" s="12" t="s">
        <v>28</v>
      </c>
      <c r="N431" s="12"/>
      <c r="O431" s="12"/>
      <c r="P431" s="12"/>
      <c r="Q431" s="16">
        <v>0</v>
      </c>
      <c r="R431" s="16">
        <v>0</v>
      </c>
      <c r="S431" s="16"/>
      <c r="T431" s="16" t="e">
        <v>#N/A</v>
      </c>
      <c r="U431" s="16" t="e">
        <v>#N/A</v>
      </c>
    </row>
    <row r="432" spans="1:21" x14ac:dyDescent="0.25">
      <c r="A432" s="12" t="s">
        <v>21</v>
      </c>
      <c r="B432" s="12" t="s">
        <v>444</v>
      </c>
      <c r="C432" s="12" t="s">
        <v>23</v>
      </c>
      <c r="D432" s="15">
        <v>46226.387731481482</v>
      </c>
      <c r="E432" s="12" t="s">
        <v>340</v>
      </c>
      <c r="F432" s="12" t="s">
        <v>449</v>
      </c>
      <c r="G432" s="12">
        <v>1300</v>
      </c>
      <c r="H432" s="12">
        <v>1300</v>
      </c>
      <c r="I432" s="14"/>
      <c r="J432" s="14" t="s">
        <v>26</v>
      </c>
      <c r="K432" s="12" t="s">
        <v>27</v>
      </c>
      <c r="L432" s="15"/>
      <c r="M432" s="12" t="s">
        <v>28</v>
      </c>
      <c r="N432" s="12"/>
      <c r="O432" s="12"/>
      <c r="P432" s="12"/>
      <c r="Q432" s="16">
        <v>0</v>
      </c>
      <c r="R432" s="16">
        <v>0</v>
      </c>
      <c r="S432" s="16"/>
      <c r="T432" s="16" t="e">
        <v>#N/A</v>
      </c>
      <c r="U432" s="16" t="e">
        <v>#N/A</v>
      </c>
    </row>
    <row r="433" spans="1:21" x14ac:dyDescent="0.25">
      <c r="A433" s="12" t="s">
        <v>21</v>
      </c>
      <c r="B433" s="12" t="s">
        <v>444</v>
      </c>
      <c r="C433" s="12" t="s">
        <v>23</v>
      </c>
      <c r="D433" s="15">
        <v>46226.387731481482</v>
      </c>
      <c r="E433" s="12" t="s">
        <v>340</v>
      </c>
      <c r="F433" s="12" t="s">
        <v>277</v>
      </c>
      <c r="G433" s="12">
        <v>8</v>
      </c>
      <c r="H433" s="12">
        <v>8</v>
      </c>
      <c r="I433" s="14"/>
      <c r="J433" s="14" t="s">
        <v>26</v>
      </c>
      <c r="K433" s="12" t="s">
        <v>27</v>
      </c>
      <c r="L433" s="15"/>
      <c r="M433" s="12" t="s">
        <v>28</v>
      </c>
      <c r="N433" s="12"/>
      <c r="O433" s="12"/>
      <c r="P433" s="12"/>
      <c r="Q433" s="16">
        <v>0</v>
      </c>
      <c r="R433" s="16">
        <v>0</v>
      </c>
      <c r="S433" s="16"/>
      <c r="T433" s="16" t="e">
        <v>#N/A</v>
      </c>
      <c r="U433" s="16" t="e">
        <v>#N/A</v>
      </c>
    </row>
    <row r="434" spans="1:21" x14ac:dyDescent="0.25">
      <c r="A434" s="12" t="s">
        <v>21</v>
      </c>
      <c r="B434" s="12" t="s">
        <v>444</v>
      </c>
      <c r="C434" s="12" t="s">
        <v>23</v>
      </c>
      <c r="D434" s="15">
        <v>46226.387731481482</v>
      </c>
      <c r="E434" s="12" t="s">
        <v>340</v>
      </c>
      <c r="F434" s="12" t="s">
        <v>450</v>
      </c>
      <c r="G434" s="12">
        <v>1400</v>
      </c>
      <c r="H434" s="12">
        <v>1400</v>
      </c>
      <c r="I434" s="14"/>
      <c r="J434" s="14" t="s">
        <v>26</v>
      </c>
      <c r="K434" s="12" t="s">
        <v>27</v>
      </c>
      <c r="L434" s="15"/>
      <c r="M434" s="12" t="s">
        <v>28</v>
      </c>
      <c r="N434" s="12"/>
      <c r="O434" s="12"/>
      <c r="P434" s="12"/>
      <c r="Q434" s="16">
        <v>0</v>
      </c>
      <c r="R434" s="16">
        <v>0</v>
      </c>
      <c r="S434" s="16"/>
      <c r="T434" s="16" t="e">
        <v>#N/A</v>
      </c>
      <c r="U434" s="16" t="e">
        <v>#N/A</v>
      </c>
    </row>
    <row r="435" spans="1:21" x14ac:dyDescent="0.25">
      <c r="A435" s="12" t="s">
        <v>21</v>
      </c>
      <c r="B435" s="12" t="s">
        <v>451</v>
      </c>
      <c r="C435" s="12" t="s">
        <v>23</v>
      </c>
      <c r="D435" s="15">
        <v>46226.41915509259</v>
      </c>
      <c r="E435" s="12" t="s">
        <v>193</v>
      </c>
      <c r="F435" s="12" t="s">
        <v>157</v>
      </c>
      <c r="G435" s="12">
        <v>10</v>
      </c>
      <c r="H435" s="12">
        <v>10</v>
      </c>
      <c r="I435" s="14"/>
      <c r="J435" s="14" t="s">
        <v>26</v>
      </c>
      <c r="K435" s="12" t="s">
        <v>27</v>
      </c>
      <c r="L435" s="15"/>
      <c r="M435" s="12" t="s">
        <v>28</v>
      </c>
      <c r="N435" s="12"/>
      <c r="O435" s="12"/>
      <c r="P435" s="12"/>
      <c r="Q435" s="16">
        <v>0</v>
      </c>
      <c r="R435" s="16">
        <v>0</v>
      </c>
      <c r="S435" s="16"/>
      <c r="T435" s="16" t="e">
        <v>#N/A</v>
      </c>
      <c r="U435" s="16" t="e">
        <v>#N/A</v>
      </c>
    </row>
    <row r="436" spans="1:21" x14ac:dyDescent="0.25">
      <c r="A436" s="12" t="s">
        <v>21</v>
      </c>
      <c r="B436" s="12" t="s">
        <v>451</v>
      </c>
      <c r="C436" s="12" t="s">
        <v>23</v>
      </c>
      <c r="D436" s="15">
        <v>46226.41915509259</v>
      </c>
      <c r="E436" s="12" t="s">
        <v>193</v>
      </c>
      <c r="F436" s="12" t="s">
        <v>158</v>
      </c>
      <c r="G436" s="12">
        <v>60</v>
      </c>
      <c r="H436" s="12">
        <v>60</v>
      </c>
      <c r="I436" s="14"/>
      <c r="J436" s="14" t="s">
        <v>61</v>
      </c>
      <c r="K436" s="12" t="s">
        <v>27</v>
      </c>
      <c r="L436" s="15"/>
      <c r="M436" s="12" t="s">
        <v>28</v>
      </c>
      <c r="N436" s="12"/>
      <c r="O436" s="12"/>
      <c r="P436" s="12"/>
      <c r="Q436" s="16">
        <v>60</v>
      </c>
      <c r="R436" s="16">
        <v>0</v>
      </c>
      <c r="S436" s="16"/>
      <c r="T436" s="16" t="e">
        <v>#N/A</v>
      </c>
      <c r="U436" s="16" t="e">
        <v>#N/A</v>
      </c>
    </row>
    <row r="437" spans="1:21" x14ac:dyDescent="0.25">
      <c r="A437" s="12" t="s">
        <v>21</v>
      </c>
      <c r="B437" s="12" t="s">
        <v>451</v>
      </c>
      <c r="C437" s="12" t="s">
        <v>23</v>
      </c>
      <c r="D437" s="15">
        <v>46226.41915509259</v>
      </c>
      <c r="E437" s="12" t="s">
        <v>193</v>
      </c>
      <c r="F437" s="12" t="s">
        <v>159</v>
      </c>
      <c r="G437" s="12">
        <v>20</v>
      </c>
      <c r="H437" s="12">
        <v>20</v>
      </c>
      <c r="I437" s="14"/>
      <c r="J437" s="14" t="s">
        <v>26</v>
      </c>
      <c r="K437" s="12" t="s">
        <v>27</v>
      </c>
      <c r="L437" s="15"/>
      <c r="M437" s="12" t="s">
        <v>28</v>
      </c>
      <c r="N437" s="12"/>
      <c r="O437" s="12"/>
      <c r="P437" s="12"/>
      <c r="Q437" s="16">
        <v>0</v>
      </c>
      <c r="R437" s="16">
        <v>0</v>
      </c>
      <c r="S437" s="16"/>
      <c r="T437" s="16" t="e">
        <v>#N/A</v>
      </c>
      <c r="U437" s="16" t="e">
        <v>#N/A</v>
      </c>
    </row>
    <row r="438" spans="1:21" x14ac:dyDescent="0.25">
      <c r="A438" s="12" t="s">
        <v>21</v>
      </c>
      <c r="B438" s="12" t="s">
        <v>451</v>
      </c>
      <c r="C438" s="12" t="s">
        <v>23</v>
      </c>
      <c r="D438" s="15">
        <v>46226.41915509259</v>
      </c>
      <c r="E438" s="12" t="s">
        <v>193</v>
      </c>
      <c r="F438" s="12" t="s">
        <v>452</v>
      </c>
      <c r="G438" s="12">
        <v>40</v>
      </c>
      <c r="H438" s="12">
        <v>40</v>
      </c>
      <c r="I438" s="14"/>
      <c r="J438" s="14" t="s">
        <v>61</v>
      </c>
      <c r="K438" s="12" t="s">
        <v>27</v>
      </c>
      <c r="L438" s="15"/>
      <c r="M438" s="12" t="s">
        <v>28</v>
      </c>
      <c r="N438" s="12"/>
      <c r="O438" s="12"/>
      <c r="P438" s="12"/>
      <c r="Q438" s="16">
        <v>20</v>
      </c>
      <c r="R438" s="16">
        <v>71</v>
      </c>
      <c r="S438" s="16"/>
      <c r="T438" s="16" t="e">
        <v>#N/A</v>
      </c>
      <c r="U438" s="16" t="e">
        <v>#N/A</v>
      </c>
    </row>
    <row r="439" spans="1:21" x14ac:dyDescent="0.25">
      <c r="A439" s="12" t="s">
        <v>21</v>
      </c>
      <c r="B439" s="12" t="s">
        <v>451</v>
      </c>
      <c r="C439" s="12" t="s">
        <v>23</v>
      </c>
      <c r="D439" s="15">
        <v>46226.41915509259</v>
      </c>
      <c r="E439" s="12" t="s">
        <v>193</v>
      </c>
      <c r="F439" s="12" t="s">
        <v>246</v>
      </c>
      <c r="G439" s="12">
        <v>20</v>
      </c>
      <c r="H439" s="12">
        <v>20</v>
      </c>
      <c r="I439" s="14"/>
      <c r="J439" s="14" t="s">
        <v>26</v>
      </c>
      <c r="K439" s="12" t="s">
        <v>27</v>
      </c>
      <c r="L439" s="15"/>
      <c r="M439" s="12" t="s">
        <v>28</v>
      </c>
      <c r="N439" s="12"/>
      <c r="O439" s="12"/>
      <c r="P439" s="12"/>
      <c r="Q439" s="16">
        <v>0</v>
      </c>
      <c r="R439" s="16">
        <v>0</v>
      </c>
      <c r="S439" s="16"/>
      <c r="T439" s="16" t="e">
        <v>#N/A</v>
      </c>
      <c r="U439" s="16" t="e">
        <v>#N/A</v>
      </c>
    </row>
    <row r="440" spans="1:21" x14ac:dyDescent="0.25">
      <c r="A440" s="12" t="s">
        <v>21</v>
      </c>
      <c r="B440" s="12" t="s">
        <v>451</v>
      </c>
      <c r="C440" s="12" t="s">
        <v>23</v>
      </c>
      <c r="D440" s="15">
        <v>46226.41915509259</v>
      </c>
      <c r="E440" s="12" t="s">
        <v>193</v>
      </c>
      <c r="F440" s="12" t="s">
        <v>354</v>
      </c>
      <c r="G440" s="12">
        <v>10</v>
      </c>
      <c r="H440" s="12">
        <v>10</v>
      </c>
      <c r="I440" s="14"/>
      <c r="J440" s="14" t="s">
        <v>61</v>
      </c>
      <c r="K440" s="12" t="s">
        <v>27</v>
      </c>
      <c r="L440" s="15"/>
      <c r="M440" s="12" t="s">
        <v>28</v>
      </c>
      <c r="N440" s="12"/>
      <c r="O440" s="12"/>
      <c r="P440" s="12"/>
      <c r="Q440" s="16">
        <v>10</v>
      </c>
      <c r="R440" s="16">
        <v>0</v>
      </c>
      <c r="S440" s="16"/>
      <c r="T440" s="16" t="e">
        <v>#N/A</v>
      </c>
      <c r="U440" s="16" t="e">
        <v>#N/A</v>
      </c>
    </row>
    <row r="441" spans="1:21" x14ac:dyDescent="0.25">
      <c r="A441" s="12" t="s">
        <v>21</v>
      </c>
      <c r="B441" s="12" t="s">
        <v>451</v>
      </c>
      <c r="C441" s="12" t="s">
        <v>23</v>
      </c>
      <c r="D441" s="15">
        <v>46226.41915509259</v>
      </c>
      <c r="E441" s="12" t="s">
        <v>193</v>
      </c>
      <c r="F441" s="12" t="s">
        <v>261</v>
      </c>
      <c r="G441" s="12">
        <v>12</v>
      </c>
      <c r="H441" s="12">
        <v>12</v>
      </c>
      <c r="I441" s="14"/>
      <c r="J441" s="14" t="s">
        <v>61</v>
      </c>
      <c r="K441" s="12" t="s">
        <v>27</v>
      </c>
      <c r="L441" s="15"/>
      <c r="M441" s="12" t="s">
        <v>28</v>
      </c>
      <c r="N441" s="12"/>
      <c r="O441" s="12"/>
      <c r="P441" s="12"/>
      <c r="Q441" s="16">
        <v>16</v>
      </c>
      <c r="R441" s="16">
        <v>0</v>
      </c>
      <c r="S441" s="16"/>
      <c r="T441" s="16" t="e">
        <v>#N/A</v>
      </c>
      <c r="U441" s="16" t="e">
        <v>#N/A</v>
      </c>
    </row>
    <row r="442" spans="1:21" x14ac:dyDescent="0.25">
      <c r="A442" s="12" t="s">
        <v>21</v>
      </c>
      <c r="B442" s="12" t="s">
        <v>451</v>
      </c>
      <c r="C442" s="12" t="s">
        <v>23</v>
      </c>
      <c r="D442" s="15">
        <v>46226.41915509259</v>
      </c>
      <c r="E442" s="12" t="s">
        <v>193</v>
      </c>
      <c r="F442" s="12" t="s">
        <v>70</v>
      </c>
      <c r="G442" s="12">
        <v>80</v>
      </c>
      <c r="H442" s="12">
        <v>80</v>
      </c>
      <c r="I442" s="14"/>
      <c r="J442" s="14" t="s">
        <v>61</v>
      </c>
      <c r="K442" s="12" t="s">
        <v>27</v>
      </c>
      <c r="L442" s="15"/>
      <c r="M442" s="12" t="s">
        <v>28</v>
      </c>
      <c r="N442" s="12"/>
      <c r="O442" s="12"/>
      <c r="P442" s="12"/>
      <c r="Q442" s="16">
        <v>30</v>
      </c>
      <c r="R442" s="16">
        <v>0</v>
      </c>
      <c r="S442" s="16"/>
      <c r="T442" s="16" t="e">
        <v>#N/A</v>
      </c>
      <c r="U442" s="16" t="e">
        <v>#N/A</v>
      </c>
    </row>
    <row r="443" spans="1:21" x14ac:dyDescent="0.25">
      <c r="A443" s="12" t="s">
        <v>21</v>
      </c>
      <c r="B443" s="12" t="s">
        <v>451</v>
      </c>
      <c r="C443" s="12" t="s">
        <v>23</v>
      </c>
      <c r="D443" s="15">
        <v>46226.41915509259</v>
      </c>
      <c r="E443" s="12" t="s">
        <v>193</v>
      </c>
      <c r="F443" s="12" t="s">
        <v>71</v>
      </c>
      <c r="G443" s="12">
        <v>50</v>
      </c>
      <c r="H443" s="12">
        <v>50</v>
      </c>
      <c r="I443" s="14"/>
      <c r="J443" s="14" t="s">
        <v>61</v>
      </c>
      <c r="K443" s="12" t="s">
        <v>27</v>
      </c>
      <c r="L443" s="15"/>
      <c r="M443" s="12" t="s">
        <v>28</v>
      </c>
      <c r="N443" s="12"/>
      <c r="O443" s="12"/>
      <c r="P443" s="12"/>
      <c r="Q443" s="16">
        <v>20</v>
      </c>
      <c r="R443" s="16">
        <v>0</v>
      </c>
      <c r="S443" s="16"/>
      <c r="T443" s="16" t="e">
        <v>#N/A</v>
      </c>
      <c r="U443" s="16" t="e">
        <v>#N/A</v>
      </c>
    </row>
    <row r="444" spans="1:21" x14ac:dyDescent="0.25">
      <c r="A444" s="12" t="s">
        <v>21</v>
      </c>
      <c r="B444" s="12" t="s">
        <v>451</v>
      </c>
      <c r="C444" s="12" t="s">
        <v>23</v>
      </c>
      <c r="D444" s="15">
        <v>46226.41915509259</v>
      </c>
      <c r="E444" s="12" t="s">
        <v>193</v>
      </c>
      <c r="F444" s="12" t="s">
        <v>283</v>
      </c>
      <c r="G444" s="12">
        <v>80</v>
      </c>
      <c r="H444" s="12">
        <v>80</v>
      </c>
      <c r="I444" s="14"/>
      <c r="J444" s="14" t="s">
        <v>61</v>
      </c>
      <c r="K444" s="12" t="s">
        <v>27</v>
      </c>
      <c r="L444" s="15"/>
      <c r="M444" s="12" t="s">
        <v>28</v>
      </c>
      <c r="N444" s="12"/>
      <c r="O444" s="12"/>
      <c r="P444" s="12"/>
      <c r="Q444" s="16">
        <v>100</v>
      </c>
      <c r="R444" s="16">
        <v>0</v>
      </c>
      <c r="S444" s="16"/>
      <c r="T444" s="16" t="e">
        <v>#N/A</v>
      </c>
      <c r="U444" s="16" t="e">
        <v>#N/A</v>
      </c>
    </row>
    <row r="445" spans="1:21" x14ac:dyDescent="0.25">
      <c r="A445" s="12" t="s">
        <v>21</v>
      </c>
      <c r="B445" s="12" t="s">
        <v>451</v>
      </c>
      <c r="C445" s="12" t="s">
        <v>23</v>
      </c>
      <c r="D445" s="15">
        <v>46226.41915509259</v>
      </c>
      <c r="E445" s="12" t="s">
        <v>193</v>
      </c>
      <c r="F445" s="12" t="s">
        <v>268</v>
      </c>
      <c r="G445" s="12">
        <v>32</v>
      </c>
      <c r="H445" s="12">
        <v>32</v>
      </c>
      <c r="I445" s="14"/>
      <c r="J445" s="14" t="s">
        <v>61</v>
      </c>
      <c r="K445" s="12" t="s">
        <v>27</v>
      </c>
      <c r="L445" s="15"/>
      <c r="M445" s="12" t="s">
        <v>28</v>
      </c>
      <c r="N445" s="12"/>
      <c r="O445" s="12"/>
      <c r="P445" s="12"/>
      <c r="Q445" s="16">
        <v>24</v>
      </c>
      <c r="R445" s="16">
        <v>0</v>
      </c>
      <c r="S445" s="16"/>
      <c r="T445" s="16" t="e">
        <v>#N/A</v>
      </c>
      <c r="U445" s="16" t="e">
        <v>#N/A</v>
      </c>
    </row>
    <row r="446" spans="1:21" x14ac:dyDescent="0.25">
      <c r="A446" s="12" t="s">
        <v>21</v>
      </c>
      <c r="B446" s="12" t="s">
        <v>451</v>
      </c>
      <c r="C446" s="12" t="s">
        <v>23</v>
      </c>
      <c r="D446" s="15">
        <v>46226.41915509259</v>
      </c>
      <c r="E446" s="12" t="s">
        <v>193</v>
      </c>
      <c r="F446" s="12" t="s">
        <v>249</v>
      </c>
      <c r="G446" s="12">
        <v>5</v>
      </c>
      <c r="H446" s="12">
        <v>5</v>
      </c>
      <c r="I446" s="14"/>
      <c r="J446" s="14" t="s">
        <v>26</v>
      </c>
      <c r="K446" s="12" t="s">
        <v>27</v>
      </c>
      <c r="L446" s="15"/>
      <c r="M446" s="12" t="s">
        <v>28</v>
      </c>
      <c r="N446" s="12"/>
      <c r="O446" s="12"/>
      <c r="P446" s="12"/>
      <c r="Q446" s="16">
        <v>0</v>
      </c>
      <c r="R446" s="16">
        <v>0</v>
      </c>
      <c r="S446" s="16"/>
      <c r="T446" s="16" t="e">
        <v>#N/A</v>
      </c>
      <c r="U446" s="16" t="e">
        <v>#N/A</v>
      </c>
    </row>
    <row r="447" spans="1:21" x14ac:dyDescent="0.25">
      <c r="A447" s="12" t="s">
        <v>21</v>
      </c>
      <c r="B447" s="12" t="s">
        <v>451</v>
      </c>
      <c r="C447" s="12" t="s">
        <v>23</v>
      </c>
      <c r="D447" s="15">
        <v>46226.41915509259</v>
      </c>
      <c r="E447" s="12" t="s">
        <v>193</v>
      </c>
      <c r="F447" s="12" t="s">
        <v>453</v>
      </c>
      <c r="G447" s="12">
        <v>100</v>
      </c>
      <c r="H447" s="12">
        <v>80</v>
      </c>
      <c r="I447" s="14"/>
      <c r="J447" s="14" t="s">
        <v>61</v>
      </c>
      <c r="K447" s="12" t="s">
        <v>27</v>
      </c>
      <c r="L447" s="15"/>
      <c r="M447" s="12" t="s">
        <v>28</v>
      </c>
      <c r="N447" s="12"/>
      <c r="O447" s="12"/>
      <c r="P447" s="12"/>
      <c r="Q447" s="16">
        <v>50</v>
      </c>
      <c r="R447" s="16">
        <v>7</v>
      </c>
      <c r="S447" s="16"/>
      <c r="T447" s="16" t="e">
        <v>#N/A</v>
      </c>
      <c r="U447" s="16" t="e">
        <v>#N/A</v>
      </c>
    </row>
    <row r="448" spans="1:21" x14ac:dyDescent="0.25">
      <c r="A448" s="12" t="s">
        <v>21</v>
      </c>
      <c r="B448" s="12" t="s">
        <v>451</v>
      </c>
      <c r="C448" s="12" t="s">
        <v>23</v>
      </c>
      <c r="D448" s="15">
        <v>46226.41915509259</v>
      </c>
      <c r="E448" s="12" t="s">
        <v>193</v>
      </c>
      <c r="F448" s="12" t="s">
        <v>401</v>
      </c>
      <c r="G448" s="12">
        <v>32</v>
      </c>
      <c r="H448" s="12">
        <v>26</v>
      </c>
      <c r="I448" s="14"/>
      <c r="J448" s="14" t="s">
        <v>26</v>
      </c>
      <c r="K448" s="12" t="s">
        <v>27</v>
      </c>
      <c r="L448" s="15"/>
      <c r="M448" s="12" t="s">
        <v>28</v>
      </c>
      <c r="N448" s="12"/>
      <c r="O448" s="12"/>
      <c r="P448" s="12"/>
      <c r="Q448" s="16">
        <v>0</v>
      </c>
      <c r="R448" s="16">
        <v>0</v>
      </c>
      <c r="S448" s="16"/>
      <c r="T448" s="16" t="e">
        <v>#N/A</v>
      </c>
      <c r="U448" s="16" t="e">
        <v>#N/A</v>
      </c>
    </row>
    <row r="449" spans="1:21" x14ac:dyDescent="0.25">
      <c r="A449" s="12" t="s">
        <v>21</v>
      </c>
      <c r="B449" s="12" t="s">
        <v>451</v>
      </c>
      <c r="C449" s="12" t="s">
        <v>23</v>
      </c>
      <c r="D449" s="15">
        <v>46226.41915509259</v>
      </c>
      <c r="E449" s="12" t="s">
        <v>193</v>
      </c>
      <c r="F449" s="12" t="s">
        <v>454</v>
      </c>
      <c r="G449" s="12">
        <v>50</v>
      </c>
      <c r="H449" s="12">
        <v>50</v>
      </c>
      <c r="I449" s="14"/>
      <c r="J449" s="14" t="s">
        <v>61</v>
      </c>
      <c r="K449" s="12" t="s">
        <v>27</v>
      </c>
      <c r="L449" s="15"/>
      <c r="M449" s="12" t="s">
        <v>28</v>
      </c>
      <c r="N449" s="12"/>
      <c r="O449" s="12"/>
      <c r="P449" s="12"/>
      <c r="Q449" s="16">
        <v>50</v>
      </c>
      <c r="R449" s="16">
        <v>0</v>
      </c>
      <c r="S449" s="16"/>
      <c r="T449" s="16" t="e">
        <v>#N/A</v>
      </c>
      <c r="U449" s="16" t="e">
        <v>#N/A</v>
      </c>
    </row>
    <row r="450" spans="1:21" x14ac:dyDescent="0.25">
      <c r="A450" s="12" t="s">
        <v>21</v>
      </c>
      <c r="B450" s="12" t="s">
        <v>451</v>
      </c>
      <c r="C450" s="12" t="s">
        <v>23</v>
      </c>
      <c r="D450" s="15">
        <v>46226.41915509259</v>
      </c>
      <c r="E450" s="12" t="s">
        <v>193</v>
      </c>
      <c r="F450" s="12" t="s">
        <v>201</v>
      </c>
      <c r="G450" s="12">
        <v>20</v>
      </c>
      <c r="H450" s="12">
        <v>8</v>
      </c>
      <c r="I450" s="14"/>
      <c r="J450" s="14" t="s">
        <v>26</v>
      </c>
      <c r="K450" s="12" t="s">
        <v>27</v>
      </c>
      <c r="L450" s="15"/>
      <c r="M450" s="12" t="s">
        <v>28</v>
      </c>
      <c r="N450" s="12"/>
      <c r="O450" s="12"/>
      <c r="P450" s="12"/>
      <c r="Q450" s="16">
        <v>0</v>
      </c>
      <c r="R450" s="16">
        <v>0</v>
      </c>
      <c r="S450" s="16"/>
      <c r="T450" s="16" t="e">
        <v>#N/A</v>
      </c>
      <c r="U450" s="16" t="e">
        <v>#N/A</v>
      </c>
    </row>
    <row r="451" spans="1:21" x14ac:dyDescent="0.25">
      <c r="A451" s="12" t="s">
        <v>21</v>
      </c>
      <c r="B451" s="12" t="s">
        <v>451</v>
      </c>
      <c r="C451" s="12" t="s">
        <v>23</v>
      </c>
      <c r="D451" s="15">
        <v>46226.41915509259</v>
      </c>
      <c r="E451" s="12" t="s">
        <v>193</v>
      </c>
      <c r="F451" s="12" t="s">
        <v>135</v>
      </c>
      <c r="G451" s="12">
        <v>50</v>
      </c>
      <c r="H451" s="12">
        <v>10</v>
      </c>
      <c r="I451" s="14"/>
      <c r="J451" s="14" t="s">
        <v>61</v>
      </c>
      <c r="K451" s="12" t="s">
        <v>27</v>
      </c>
      <c r="L451" s="15"/>
      <c r="M451" s="12" t="s">
        <v>28</v>
      </c>
      <c r="N451" s="12"/>
      <c r="O451" s="12"/>
      <c r="P451" s="12"/>
      <c r="Q451" s="16">
        <v>24</v>
      </c>
      <c r="R451" s="16">
        <v>224</v>
      </c>
      <c r="S451" s="16"/>
      <c r="T451" s="16" t="e">
        <v>#N/A</v>
      </c>
      <c r="U451" s="16" t="e">
        <v>#N/A</v>
      </c>
    </row>
    <row r="452" spans="1:21" x14ac:dyDescent="0.25">
      <c r="A452" s="12" t="s">
        <v>21</v>
      </c>
      <c r="B452" s="12" t="s">
        <v>451</v>
      </c>
      <c r="C452" s="12" t="s">
        <v>23</v>
      </c>
      <c r="D452" s="15">
        <v>46226.41915509259</v>
      </c>
      <c r="E452" s="12" t="s">
        <v>193</v>
      </c>
      <c r="F452" s="12" t="s">
        <v>371</v>
      </c>
      <c r="G452" s="12">
        <v>300</v>
      </c>
      <c r="H452" s="12">
        <v>300</v>
      </c>
      <c r="I452" s="14"/>
      <c r="J452" s="14" t="s">
        <v>26</v>
      </c>
      <c r="K452" s="12" t="s">
        <v>27</v>
      </c>
      <c r="L452" s="15"/>
      <c r="M452" s="12" t="s">
        <v>28</v>
      </c>
      <c r="N452" s="12"/>
      <c r="O452" s="12"/>
      <c r="P452" s="12"/>
      <c r="Q452" s="16">
        <v>0</v>
      </c>
      <c r="R452" s="16">
        <v>1</v>
      </c>
      <c r="S452" s="16"/>
      <c r="T452" s="16" t="e">
        <v>#N/A</v>
      </c>
      <c r="U452" s="16" t="e">
        <v>#N/A</v>
      </c>
    </row>
    <row r="453" spans="1:21" x14ac:dyDescent="0.25">
      <c r="A453" s="12" t="s">
        <v>21</v>
      </c>
      <c r="B453" s="12" t="s">
        <v>455</v>
      </c>
      <c r="C453" s="12" t="s">
        <v>23</v>
      </c>
      <c r="D453" s="15">
        <v>46226.420208333337</v>
      </c>
      <c r="E453" s="12" t="s">
        <v>193</v>
      </c>
      <c r="F453" s="12" t="s">
        <v>456</v>
      </c>
      <c r="G453" s="12">
        <v>5</v>
      </c>
      <c r="H453" s="12">
        <v>5</v>
      </c>
      <c r="I453" s="14"/>
      <c r="J453" s="14" t="s">
        <v>26</v>
      </c>
      <c r="K453" s="12" t="s">
        <v>27</v>
      </c>
      <c r="L453" s="15"/>
      <c r="M453" s="12" t="s">
        <v>28</v>
      </c>
      <c r="N453" s="12"/>
      <c r="O453" s="12"/>
      <c r="P453" s="12"/>
      <c r="Q453" s="16">
        <v>0</v>
      </c>
      <c r="R453" s="16">
        <v>0</v>
      </c>
      <c r="S453" s="16"/>
      <c r="T453" s="16" t="e">
        <v>#N/A</v>
      </c>
      <c r="U453" s="16" t="e">
        <v>#N/A</v>
      </c>
    </row>
    <row r="454" spans="1:21" x14ac:dyDescent="0.25">
      <c r="A454" s="12" t="s">
        <v>21</v>
      </c>
      <c r="B454" s="12" t="s">
        <v>455</v>
      </c>
      <c r="C454" s="12" t="s">
        <v>23</v>
      </c>
      <c r="D454" s="15">
        <v>46226.420208333337</v>
      </c>
      <c r="E454" s="12" t="s">
        <v>193</v>
      </c>
      <c r="F454" s="12" t="s">
        <v>457</v>
      </c>
      <c r="G454" s="12">
        <v>15</v>
      </c>
      <c r="H454" s="12">
        <v>8</v>
      </c>
      <c r="I454" s="14"/>
      <c r="J454" s="14" t="s">
        <v>61</v>
      </c>
      <c r="K454" s="12" t="s">
        <v>27</v>
      </c>
      <c r="L454" s="15"/>
      <c r="M454" s="12" t="s">
        <v>28</v>
      </c>
      <c r="N454" s="12"/>
      <c r="O454" s="12"/>
      <c r="P454" s="12"/>
      <c r="Q454" s="16">
        <v>15</v>
      </c>
      <c r="R454" s="16">
        <v>0</v>
      </c>
      <c r="S454" s="16"/>
      <c r="T454" s="16" t="e">
        <v>#N/A</v>
      </c>
      <c r="U454" s="16" t="e">
        <v>#N/A</v>
      </c>
    </row>
    <row r="455" spans="1:21" x14ac:dyDescent="0.25">
      <c r="A455" s="12" t="s">
        <v>21</v>
      </c>
      <c r="B455" s="12" t="s">
        <v>458</v>
      </c>
      <c r="C455" s="12" t="s">
        <v>23</v>
      </c>
      <c r="D455" s="15">
        <v>46226.421122685184</v>
      </c>
      <c r="E455" s="12" t="s">
        <v>193</v>
      </c>
      <c r="F455" s="12" t="s">
        <v>459</v>
      </c>
      <c r="G455" s="12">
        <v>15</v>
      </c>
      <c r="H455" s="12">
        <v>2</v>
      </c>
      <c r="I455" s="14"/>
      <c r="J455" s="14" t="s">
        <v>61</v>
      </c>
      <c r="K455" s="12" t="s">
        <v>27</v>
      </c>
      <c r="L455" s="15"/>
      <c r="M455" s="12" t="s">
        <v>28</v>
      </c>
      <c r="N455" s="12"/>
      <c r="O455" s="12"/>
      <c r="P455" s="12"/>
      <c r="Q455" s="16">
        <v>15</v>
      </c>
      <c r="R455" s="16">
        <v>0</v>
      </c>
      <c r="S455" s="16">
        <v>1</v>
      </c>
      <c r="T455" s="16" t="e">
        <v>#N/A</v>
      </c>
      <c r="U455" s="16" t="e">
        <v>#N/A</v>
      </c>
    </row>
    <row r="456" spans="1:21" x14ac:dyDescent="0.25">
      <c r="A456" s="12" t="s">
        <v>21</v>
      </c>
      <c r="B456" s="12" t="s">
        <v>460</v>
      </c>
      <c r="C456" s="12" t="s">
        <v>23</v>
      </c>
      <c r="D456" s="15">
        <v>46226.502638888887</v>
      </c>
      <c r="E456" s="12" t="s">
        <v>195</v>
      </c>
      <c r="F456" s="12" t="s">
        <v>461</v>
      </c>
      <c r="G456" s="12">
        <v>5</v>
      </c>
      <c r="H456" s="12">
        <v>5</v>
      </c>
      <c r="I456" s="14"/>
      <c r="J456" s="14" t="s">
        <v>26</v>
      </c>
      <c r="K456" s="12" t="s">
        <v>27</v>
      </c>
      <c r="L456" s="15"/>
      <c r="M456" s="12" t="s">
        <v>28</v>
      </c>
      <c r="N456" s="12"/>
      <c r="O456" s="12"/>
      <c r="P456" s="12"/>
      <c r="Q456" s="16">
        <v>0</v>
      </c>
      <c r="R456" s="16">
        <v>127</v>
      </c>
      <c r="S456" s="16"/>
      <c r="T456" s="16" t="e">
        <v>#N/A</v>
      </c>
      <c r="U456" s="16" t="e">
        <v>#N/A</v>
      </c>
    </row>
    <row r="457" spans="1:21" x14ac:dyDescent="0.25">
      <c r="A457" s="12" t="s">
        <v>21</v>
      </c>
      <c r="B457" s="12" t="s">
        <v>460</v>
      </c>
      <c r="C457" s="12" t="s">
        <v>23</v>
      </c>
      <c r="D457" s="15">
        <v>46226.502638888887</v>
      </c>
      <c r="E457" s="12" t="s">
        <v>195</v>
      </c>
      <c r="F457" s="12" t="s">
        <v>462</v>
      </c>
      <c r="G457" s="12">
        <v>5</v>
      </c>
      <c r="H457" s="12">
        <v>5</v>
      </c>
      <c r="I457" s="14"/>
      <c r="J457" s="14" t="s">
        <v>26</v>
      </c>
      <c r="K457" s="12" t="s">
        <v>27</v>
      </c>
      <c r="L457" s="15"/>
      <c r="M457" s="12" t="s">
        <v>28</v>
      </c>
      <c r="N457" s="12"/>
      <c r="O457" s="12"/>
      <c r="P457" s="12"/>
      <c r="Q457" s="16">
        <v>0</v>
      </c>
      <c r="R457" s="16">
        <v>182</v>
      </c>
      <c r="S457" s="16"/>
      <c r="T457" s="16" t="e">
        <v>#N/A</v>
      </c>
      <c r="U457" s="16" t="e">
        <v>#N/A</v>
      </c>
    </row>
    <row r="458" spans="1:21" x14ac:dyDescent="0.25">
      <c r="A458" s="12" t="s">
        <v>21</v>
      </c>
      <c r="B458" s="12" t="s">
        <v>460</v>
      </c>
      <c r="C458" s="12" t="s">
        <v>23</v>
      </c>
      <c r="D458" s="15">
        <v>46226.502638888887</v>
      </c>
      <c r="E458" s="12" t="s">
        <v>195</v>
      </c>
      <c r="F458" s="12" t="s">
        <v>211</v>
      </c>
      <c r="G458" s="12">
        <v>5</v>
      </c>
      <c r="H458" s="12">
        <v>5</v>
      </c>
      <c r="I458" s="14"/>
      <c r="J458" s="14" t="s">
        <v>26</v>
      </c>
      <c r="K458" s="12" t="s">
        <v>27</v>
      </c>
      <c r="L458" s="15"/>
      <c r="M458" s="12" t="s">
        <v>28</v>
      </c>
      <c r="N458" s="12"/>
      <c r="O458" s="12"/>
      <c r="P458" s="12"/>
      <c r="Q458" s="16">
        <v>0</v>
      </c>
      <c r="R458" s="16">
        <v>0</v>
      </c>
      <c r="S458" s="16"/>
      <c r="T458" s="16" t="e">
        <v>#N/A</v>
      </c>
      <c r="U458" s="16" t="e">
        <v>#N/A</v>
      </c>
    </row>
    <row r="459" spans="1:21" x14ac:dyDescent="0.25">
      <c r="A459" s="12" t="s">
        <v>21</v>
      </c>
      <c r="B459" s="12" t="s">
        <v>460</v>
      </c>
      <c r="C459" s="12" t="s">
        <v>23</v>
      </c>
      <c r="D459" s="15">
        <v>46226.502638888887</v>
      </c>
      <c r="E459" s="12" t="s">
        <v>195</v>
      </c>
      <c r="F459" s="12" t="s">
        <v>90</v>
      </c>
      <c r="G459" s="12">
        <v>14</v>
      </c>
      <c r="H459" s="12">
        <v>14</v>
      </c>
      <c r="I459" s="14"/>
      <c r="J459" s="14" t="s">
        <v>26</v>
      </c>
      <c r="K459" s="12" t="s">
        <v>27</v>
      </c>
      <c r="L459" s="15"/>
      <c r="M459" s="12" t="s">
        <v>28</v>
      </c>
      <c r="N459" s="12"/>
      <c r="O459" s="12"/>
      <c r="P459" s="12"/>
      <c r="Q459" s="16">
        <v>0</v>
      </c>
      <c r="R459" s="16">
        <v>0</v>
      </c>
      <c r="S459" s="16"/>
      <c r="T459" s="16" t="e">
        <v>#N/A</v>
      </c>
      <c r="U459" s="16" t="e">
        <v>#N/A</v>
      </c>
    </row>
    <row r="460" spans="1:21" x14ac:dyDescent="0.25">
      <c r="A460" s="12" t="s">
        <v>21</v>
      </c>
      <c r="B460" s="12" t="s">
        <v>460</v>
      </c>
      <c r="C460" s="12" t="s">
        <v>23</v>
      </c>
      <c r="D460" s="15">
        <v>46226.502638888887</v>
      </c>
      <c r="E460" s="12" t="s">
        <v>195</v>
      </c>
      <c r="F460" s="12" t="s">
        <v>196</v>
      </c>
      <c r="G460" s="12">
        <v>5</v>
      </c>
      <c r="H460" s="12">
        <v>5</v>
      </c>
      <c r="I460" s="14"/>
      <c r="J460" s="14" t="s">
        <v>26</v>
      </c>
      <c r="K460" s="12" t="s">
        <v>27</v>
      </c>
      <c r="L460" s="15"/>
      <c r="M460" s="12" t="s">
        <v>28</v>
      </c>
      <c r="N460" s="12"/>
      <c r="O460" s="12"/>
      <c r="P460" s="12"/>
      <c r="Q460" s="16">
        <v>0</v>
      </c>
      <c r="R460" s="16">
        <v>0</v>
      </c>
      <c r="S460" s="16"/>
      <c r="T460" s="16" t="e">
        <v>#N/A</v>
      </c>
      <c r="U460" s="16" t="e">
        <v>#N/A</v>
      </c>
    </row>
    <row r="461" spans="1:21" x14ac:dyDescent="0.25">
      <c r="A461" s="12" t="s">
        <v>21</v>
      </c>
      <c r="B461" s="12" t="s">
        <v>463</v>
      </c>
      <c r="C461" s="12" t="s">
        <v>23</v>
      </c>
      <c r="D461" s="15">
        <v>46226.508958333332</v>
      </c>
      <c r="E461" s="12" t="s">
        <v>393</v>
      </c>
      <c r="F461" s="12" t="s">
        <v>70</v>
      </c>
      <c r="G461" s="12">
        <v>100</v>
      </c>
      <c r="H461" s="12">
        <v>50</v>
      </c>
      <c r="I461" s="14"/>
      <c r="J461" s="14" t="s">
        <v>61</v>
      </c>
      <c r="K461" s="12" t="s">
        <v>27</v>
      </c>
      <c r="L461" s="15"/>
      <c r="M461" s="12" t="s">
        <v>28</v>
      </c>
      <c r="N461" s="12"/>
      <c r="O461" s="12"/>
      <c r="P461" s="12"/>
      <c r="Q461" s="16">
        <v>100</v>
      </c>
      <c r="R461" s="16">
        <v>0</v>
      </c>
      <c r="S461" s="16"/>
      <c r="T461" s="16" t="e">
        <v>#N/A</v>
      </c>
      <c r="U461" s="16" t="e">
        <v>#N/A</v>
      </c>
    </row>
    <row r="462" spans="1:21" x14ac:dyDescent="0.25">
      <c r="A462" s="12" t="s">
        <v>21</v>
      </c>
      <c r="B462" s="12" t="s">
        <v>463</v>
      </c>
      <c r="C462" s="12" t="s">
        <v>23</v>
      </c>
      <c r="D462" s="15">
        <v>46226.508958333332</v>
      </c>
      <c r="E462" s="12" t="s">
        <v>393</v>
      </c>
      <c r="F462" s="12" t="s">
        <v>134</v>
      </c>
      <c r="G462" s="12">
        <v>50</v>
      </c>
      <c r="H462" s="12">
        <v>50</v>
      </c>
      <c r="I462" s="14"/>
      <c r="J462" s="14" t="s">
        <v>26</v>
      </c>
      <c r="K462" s="12" t="s">
        <v>27</v>
      </c>
      <c r="L462" s="15"/>
      <c r="M462" s="12" t="s">
        <v>28</v>
      </c>
      <c r="N462" s="12"/>
      <c r="O462" s="12"/>
      <c r="P462" s="12"/>
      <c r="Q462" s="16">
        <v>0</v>
      </c>
      <c r="R462" s="16">
        <v>6</v>
      </c>
      <c r="S462" s="16"/>
      <c r="T462" s="16" t="e">
        <v>#N/A</v>
      </c>
      <c r="U462" s="16" t="e">
        <v>#N/A</v>
      </c>
    </row>
    <row r="463" spans="1:21" x14ac:dyDescent="0.25">
      <c r="A463" s="12" t="s">
        <v>21</v>
      </c>
      <c r="B463" s="12" t="s">
        <v>464</v>
      </c>
      <c r="C463" s="12" t="s">
        <v>23</v>
      </c>
      <c r="D463" s="15">
        <v>46226.566643518519</v>
      </c>
      <c r="E463" s="12" t="s">
        <v>465</v>
      </c>
      <c r="F463" s="12" t="s">
        <v>70</v>
      </c>
      <c r="G463" s="12">
        <v>50</v>
      </c>
      <c r="H463" s="12">
        <v>50</v>
      </c>
      <c r="I463" s="14"/>
      <c r="J463" s="14" t="s">
        <v>26</v>
      </c>
      <c r="K463" s="12" t="s">
        <v>27</v>
      </c>
      <c r="L463" s="15"/>
      <c r="M463" s="12" t="s">
        <v>28</v>
      </c>
      <c r="N463" s="12"/>
      <c r="O463" s="12"/>
      <c r="P463" s="12"/>
      <c r="Q463" s="16">
        <v>0</v>
      </c>
      <c r="R463" s="16">
        <v>0</v>
      </c>
      <c r="S463" s="16"/>
      <c r="T463" s="16" t="e">
        <v>#N/A</v>
      </c>
      <c r="U463" s="16" t="e">
        <v>#N/A</v>
      </c>
    </row>
    <row r="464" spans="1:21" x14ac:dyDescent="0.25">
      <c r="A464" s="12" t="s">
        <v>21</v>
      </c>
      <c r="B464" s="12" t="s">
        <v>466</v>
      </c>
      <c r="C464" s="12" t="s">
        <v>23</v>
      </c>
      <c r="D464" s="15">
        <v>46226.584039351852</v>
      </c>
      <c r="E464" s="12" t="s">
        <v>193</v>
      </c>
      <c r="F464" s="12" t="s">
        <v>437</v>
      </c>
      <c r="G464" s="12">
        <v>600</v>
      </c>
      <c r="H464" s="12">
        <v>50</v>
      </c>
      <c r="I464" s="14"/>
      <c r="J464" s="14" t="s">
        <v>26</v>
      </c>
      <c r="K464" s="12" t="s">
        <v>27</v>
      </c>
      <c r="L464" s="15"/>
      <c r="M464" s="12" t="s">
        <v>28</v>
      </c>
      <c r="N464" s="12"/>
      <c r="O464" s="12"/>
      <c r="P464" s="12"/>
      <c r="Q464" s="16">
        <v>0</v>
      </c>
      <c r="R464" s="16">
        <v>90</v>
      </c>
      <c r="S464" s="16"/>
      <c r="T464" s="16" t="e">
        <v>#N/A</v>
      </c>
      <c r="U464" s="16" t="e">
        <v>#N/A</v>
      </c>
    </row>
    <row r="465" spans="1:21" x14ac:dyDescent="0.25">
      <c r="A465" s="12" t="s">
        <v>21</v>
      </c>
      <c r="B465" s="12" t="s">
        <v>467</v>
      </c>
      <c r="C465" s="12" t="s">
        <v>23</v>
      </c>
      <c r="D465" s="15">
        <v>46227.515520833331</v>
      </c>
      <c r="E465" s="12" t="s">
        <v>24</v>
      </c>
      <c r="F465" s="12" t="s">
        <v>122</v>
      </c>
      <c r="G465" s="12">
        <v>70</v>
      </c>
      <c r="H465" s="12">
        <v>3</v>
      </c>
      <c r="I465" s="14"/>
      <c r="J465" s="14" t="s">
        <v>61</v>
      </c>
      <c r="K465" s="12" t="s">
        <v>27</v>
      </c>
      <c r="L465" s="15"/>
      <c r="M465" s="12" t="s">
        <v>28</v>
      </c>
      <c r="N465" s="12"/>
      <c r="O465" s="12"/>
      <c r="P465" s="12"/>
      <c r="Q465" s="16">
        <v>70</v>
      </c>
      <c r="R465" s="16">
        <v>0</v>
      </c>
      <c r="S465" s="16"/>
      <c r="T465" s="16" t="e">
        <v>#N/A</v>
      </c>
      <c r="U465" s="16" t="e">
        <v>#N/A</v>
      </c>
    </row>
    <row r="466" spans="1:21" x14ac:dyDescent="0.25">
      <c r="A466" s="12" t="s">
        <v>21</v>
      </c>
      <c r="B466" s="12" t="s">
        <v>467</v>
      </c>
      <c r="C466" s="12" t="s">
        <v>23</v>
      </c>
      <c r="D466" s="15">
        <v>46227.515520833331</v>
      </c>
      <c r="E466" s="12" t="s">
        <v>24</v>
      </c>
      <c r="F466" s="12" t="s">
        <v>468</v>
      </c>
      <c r="G466" s="12">
        <v>40</v>
      </c>
      <c r="H466" s="12">
        <v>1</v>
      </c>
      <c r="I466" s="14"/>
      <c r="J466" s="14" t="s">
        <v>61</v>
      </c>
      <c r="K466" s="12" t="s">
        <v>27</v>
      </c>
      <c r="L466" s="15"/>
      <c r="M466" s="12" t="s">
        <v>28</v>
      </c>
      <c r="N466" s="12"/>
      <c r="O466" s="12"/>
      <c r="P466" s="12"/>
      <c r="Q466" s="16">
        <v>40</v>
      </c>
      <c r="R466" s="16">
        <v>0</v>
      </c>
      <c r="S466" s="16"/>
      <c r="T466" s="16" t="e">
        <v>#N/A</v>
      </c>
      <c r="U466" s="16" t="e">
        <v>#N/A</v>
      </c>
    </row>
    <row r="467" spans="1:21" x14ac:dyDescent="0.25">
      <c r="A467" s="12" t="s">
        <v>21</v>
      </c>
      <c r="B467" s="12" t="s">
        <v>469</v>
      </c>
      <c r="C467" s="12" t="s">
        <v>23</v>
      </c>
      <c r="D467" s="15">
        <v>46228.27648148148</v>
      </c>
      <c r="E467" s="12" t="s">
        <v>266</v>
      </c>
      <c r="F467" s="12" t="s">
        <v>157</v>
      </c>
      <c r="G467" s="12">
        <v>12</v>
      </c>
      <c r="H467" s="12">
        <v>12</v>
      </c>
      <c r="I467" s="14"/>
      <c r="J467" s="14" t="s">
        <v>26</v>
      </c>
      <c r="K467" s="12" t="s">
        <v>27</v>
      </c>
      <c r="L467" s="15"/>
      <c r="M467" s="12" t="s">
        <v>28</v>
      </c>
      <c r="N467" s="12"/>
      <c r="O467" s="12"/>
      <c r="P467" s="12"/>
      <c r="Q467" s="16">
        <v>0</v>
      </c>
      <c r="R467" s="16">
        <v>0</v>
      </c>
      <c r="S467" s="16"/>
      <c r="T467" s="16" t="e">
        <v>#N/A</v>
      </c>
      <c r="U467" s="16" t="e">
        <v>#N/A</v>
      </c>
    </row>
    <row r="468" spans="1:21" x14ac:dyDescent="0.25">
      <c r="A468" s="12" t="s">
        <v>21</v>
      </c>
      <c r="B468" s="12" t="s">
        <v>469</v>
      </c>
      <c r="C468" s="12" t="s">
        <v>23</v>
      </c>
      <c r="D468" s="15">
        <v>46228.27648148148</v>
      </c>
      <c r="E468" s="12" t="s">
        <v>266</v>
      </c>
      <c r="F468" s="12" t="s">
        <v>159</v>
      </c>
      <c r="G468" s="12">
        <v>10</v>
      </c>
      <c r="H468" s="12">
        <v>10</v>
      </c>
      <c r="I468" s="14"/>
      <c r="J468" s="14" t="s">
        <v>26</v>
      </c>
      <c r="K468" s="12" t="s">
        <v>27</v>
      </c>
      <c r="L468" s="15"/>
      <c r="M468" s="12" t="s">
        <v>28</v>
      </c>
      <c r="N468" s="12"/>
      <c r="O468" s="12"/>
      <c r="P468" s="12"/>
      <c r="Q468" s="16">
        <v>0</v>
      </c>
      <c r="R468" s="16">
        <v>0</v>
      </c>
      <c r="S468" s="16"/>
      <c r="T468" s="16" t="e">
        <v>#N/A</v>
      </c>
      <c r="U468" s="16" t="e">
        <v>#N/A</v>
      </c>
    </row>
    <row r="469" spans="1:21" x14ac:dyDescent="0.25">
      <c r="A469" s="12" t="s">
        <v>21</v>
      </c>
      <c r="B469" s="12" t="s">
        <v>469</v>
      </c>
      <c r="C469" s="12" t="s">
        <v>23</v>
      </c>
      <c r="D469" s="15">
        <v>46228.27648148148</v>
      </c>
      <c r="E469" s="12" t="s">
        <v>266</v>
      </c>
      <c r="F469" s="12" t="s">
        <v>413</v>
      </c>
      <c r="G469" s="12">
        <v>8</v>
      </c>
      <c r="H469" s="12">
        <v>4</v>
      </c>
      <c r="I469" s="14"/>
      <c r="J469" s="14" t="s">
        <v>26</v>
      </c>
      <c r="K469" s="12" t="s">
        <v>27</v>
      </c>
      <c r="L469" s="15"/>
      <c r="M469" s="12" t="s">
        <v>28</v>
      </c>
      <c r="N469" s="12"/>
      <c r="O469" s="12"/>
      <c r="P469" s="12"/>
      <c r="Q469" s="16">
        <v>0</v>
      </c>
      <c r="R469" s="16">
        <v>5</v>
      </c>
      <c r="S469" s="16"/>
      <c r="T469" s="16" t="e">
        <v>#N/A</v>
      </c>
      <c r="U469" s="16" t="e">
        <v>#N/A</v>
      </c>
    </row>
    <row r="470" spans="1:21" x14ac:dyDescent="0.25">
      <c r="A470" s="12" t="s">
        <v>21</v>
      </c>
      <c r="B470" s="12" t="s">
        <v>469</v>
      </c>
      <c r="C470" s="12" t="s">
        <v>23</v>
      </c>
      <c r="D470" s="15">
        <v>46228.27648148148</v>
      </c>
      <c r="E470" s="12" t="s">
        <v>266</v>
      </c>
      <c r="F470" s="12" t="s">
        <v>70</v>
      </c>
      <c r="G470" s="12">
        <v>40</v>
      </c>
      <c r="H470" s="12">
        <v>40</v>
      </c>
      <c r="I470" s="14"/>
      <c r="J470" s="14" t="s">
        <v>26</v>
      </c>
      <c r="K470" s="12" t="s">
        <v>27</v>
      </c>
      <c r="L470" s="15"/>
      <c r="M470" s="12" t="s">
        <v>28</v>
      </c>
      <c r="N470" s="12"/>
      <c r="O470" s="12"/>
      <c r="P470" s="12"/>
      <c r="Q470" s="16">
        <v>0</v>
      </c>
      <c r="R470" s="16">
        <v>0</v>
      </c>
      <c r="S470" s="16"/>
      <c r="T470" s="16" t="e">
        <v>#N/A</v>
      </c>
      <c r="U470" s="16" t="e">
        <v>#N/A</v>
      </c>
    </row>
    <row r="471" spans="1:21" x14ac:dyDescent="0.25">
      <c r="A471" s="12" t="s">
        <v>21</v>
      </c>
      <c r="B471" s="12" t="s">
        <v>469</v>
      </c>
      <c r="C471" s="12" t="s">
        <v>23</v>
      </c>
      <c r="D471" s="15">
        <v>46228.27648148148</v>
      </c>
      <c r="E471" s="12" t="s">
        <v>266</v>
      </c>
      <c r="F471" s="12" t="s">
        <v>71</v>
      </c>
      <c r="G471" s="12">
        <v>50</v>
      </c>
      <c r="H471" s="12">
        <v>50</v>
      </c>
      <c r="I471" s="14"/>
      <c r="J471" s="14" t="s">
        <v>26</v>
      </c>
      <c r="K471" s="12" t="s">
        <v>27</v>
      </c>
      <c r="L471" s="15"/>
      <c r="M471" s="12" t="s">
        <v>28</v>
      </c>
      <c r="N471" s="12"/>
      <c r="O471" s="12"/>
      <c r="P471" s="12"/>
      <c r="Q471" s="16">
        <v>0</v>
      </c>
      <c r="R471" s="16">
        <v>0</v>
      </c>
      <c r="S471" s="16"/>
      <c r="T471" s="16" t="e">
        <v>#N/A</v>
      </c>
      <c r="U471" s="16" t="e">
        <v>#N/A</v>
      </c>
    </row>
    <row r="472" spans="1:21" x14ac:dyDescent="0.25">
      <c r="A472" s="12" t="s">
        <v>21</v>
      </c>
      <c r="B472" s="12" t="s">
        <v>469</v>
      </c>
      <c r="C472" s="12" t="s">
        <v>23</v>
      </c>
      <c r="D472" s="15">
        <v>46228.27648148148</v>
      </c>
      <c r="E472" s="12" t="s">
        <v>266</v>
      </c>
      <c r="F472" s="12" t="s">
        <v>283</v>
      </c>
      <c r="G472" s="12">
        <v>30</v>
      </c>
      <c r="H472" s="12">
        <v>30</v>
      </c>
      <c r="I472" s="14"/>
      <c r="J472" s="14" t="s">
        <v>61</v>
      </c>
      <c r="K472" s="12" t="s">
        <v>470</v>
      </c>
      <c r="L472" s="15">
        <v>1</v>
      </c>
      <c r="M472" s="12" t="s">
        <v>150</v>
      </c>
      <c r="N472" s="12">
        <v>30</v>
      </c>
      <c r="O472" s="12">
        <v>30</v>
      </c>
      <c r="P472" s="12">
        <v>0</v>
      </c>
      <c r="Q472" s="16">
        <v>30</v>
      </c>
      <c r="R472" s="16">
        <v>0</v>
      </c>
      <c r="S472" s="16"/>
      <c r="T472" s="16" t="e">
        <v>#N/A</v>
      </c>
      <c r="U472" s="16" t="e">
        <v>#N/A</v>
      </c>
    </row>
    <row r="473" spans="1:21" x14ac:dyDescent="0.25">
      <c r="A473" s="12" t="s">
        <v>21</v>
      </c>
      <c r="B473" s="12" t="s">
        <v>469</v>
      </c>
      <c r="C473" s="12" t="s">
        <v>23</v>
      </c>
      <c r="D473" s="15">
        <v>46228.27648148148</v>
      </c>
      <c r="E473" s="12" t="s">
        <v>266</v>
      </c>
      <c r="F473" s="12" t="s">
        <v>268</v>
      </c>
      <c r="G473" s="12">
        <v>20</v>
      </c>
      <c r="H473" s="12">
        <v>20</v>
      </c>
      <c r="I473" s="14"/>
      <c r="J473" s="14" t="s">
        <v>26</v>
      </c>
      <c r="K473" s="12" t="s">
        <v>27</v>
      </c>
      <c r="L473" s="15"/>
      <c r="M473" s="12" t="s">
        <v>28</v>
      </c>
      <c r="N473" s="12"/>
      <c r="O473" s="12"/>
      <c r="P473" s="12"/>
      <c r="Q473" s="16">
        <v>0</v>
      </c>
      <c r="R473" s="16">
        <v>0</v>
      </c>
      <c r="S473" s="16"/>
      <c r="T473" s="16" t="e">
        <v>#N/A</v>
      </c>
      <c r="U473" s="16" t="e">
        <v>#N/A</v>
      </c>
    </row>
    <row r="474" spans="1:21" x14ac:dyDescent="0.25">
      <c r="A474" s="12" t="s">
        <v>21</v>
      </c>
      <c r="B474" s="12" t="s">
        <v>471</v>
      </c>
      <c r="C474" s="12" t="s">
        <v>23</v>
      </c>
      <c r="D474" s="15">
        <v>46228.313125000001</v>
      </c>
      <c r="E474" s="12" t="s">
        <v>266</v>
      </c>
      <c r="F474" s="12" t="s">
        <v>472</v>
      </c>
      <c r="G474" s="12">
        <v>30</v>
      </c>
      <c r="H474" s="12">
        <v>30</v>
      </c>
      <c r="I474" s="14"/>
      <c r="J474" s="14" t="s">
        <v>61</v>
      </c>
      <c r="K474" s="12" t="s">
        <v>473</v>
      </c>
      <c r="L474" s="15">
        <v>1</v>
      </c>
      <c r="M474" s="12" t="s">
        <v>150</v>
      </c>
      <c r="N474" s="12">
        <v>30</v>
      </c>
      <c r="O474" s="12">
        <v>30</v>
      </c>
      <c r="P474" s="12">
        <v>0</v>
      </c>
      <c r="Q474" s="16">
        <v>30</v>
      </c>
      <c r="R474" s="16">
        <v>0</v>
      </c>
      <c r="S474" s="16"/>
      <c r="T474" s="16" t="e">
        <v>#N/A</v>
      </c>
      <c r="U474" s="16" t="e">
        <v>#N/A</v>
      </c>
    </row>
    <row r="475" spans="1:21" x14ac:dyDescent="0.25">
      <c r="A475" s="12" t="s">
        <v>21</v>
      </c>
      <c r="B475" s="12" t="s">
        <v>471</v>
      </c>
      <c r="C475" s="12" t="s">
        <v>23</v>
      </c>
      <c r="D475" s="15">
        <v>46228.313125000001</v>
      </c>
      <c r="E475" s="12" t="s">
        <v>266</v>
      </c>
      <c r="F475" s="12" t="s">
        <v>474</v>
      </c>
      <c r="G475" s="12">
        <v>10</v>
      </c>
      <c r="H475" s="12">
        <v>10</v>
      </c>
      <c r="I475" s="14"/>
      <c r="J475" s="14" t="s">
        <v>61</v>
      </c>
      <c r="K475" s="12" t="s">
        <v>475</v>
      </c>
      <c r="L475" s="15">
        <v>1</v>
      </c>
      <c r="M475" s="12" t="s">
        <v>150</v>
      </c>
      <c r="N475" s="12">
        <v>10</v>
      </c>
      <c r="O475" s="12">
        <v>10</v>
      </c>
      <c r="P475" s="12">
        <v>0</v>
      </c>
      <c r="Q475" s="16">
        <v>10</v>
      </c>
      <c r="R475" s="16">
        <v>0</v>
      </c>
      <c r="S475" s="16"/>
      <c r="T475" s="16" t="e">
        <v>#N/A</v>
      </c>
      <c r="U475" s="16" t="e">
        <v>#N/A</v>
      </c>
    </row>
    <row r="476" spans="1:21" x14ac:dyDescent="0.25">
      <c r="A476" s="12" t="s">
        <v>21</v>
      </c>
      <c r="B476" s="12" t="s">
        <v>476</v>
      </c>
      <c r="C476" s="12" t="s">
        <v>23</v>
      </c>
      <c r="D476" s="15">
        <v>46228.323449074072</v>
      </c>
      <c r="E476" s="12" t="s">
        <v>266</v>
      </c>
      <c r="F476" s="12" t="s">
        <v>242</v>
      </c>
      <c r="G476" s="12">
        <v>30</v>
      </c>
      <c r="H476" s="12">
        <v>30</v>
      </c>
      <c r="I476" s="14"/>
      <c r="J476" s="14" t="s">
        <v>26</v>
      </c>
      <c r="K476" s="12" t="s">
        <v>27</v>
      </c>
      <c r="L476" s="15"/>
      <c r="M476" s="12" t="s">
        <v>28</v>
      </c>
      <c r="N476" s="12"/>
      <c r="O476" s="12"/>
      <c r="P476" s="12"/>
      <c r="Q476" s="16">
        <v>0</v>
      </c>
      <c r="R476" s="16">
        <v>0</v>
      </c>
      <c r="S476" s="16"/>
      <c r="T476" s="16" t="e">
        <v>#N/A</v>
      </c>
      <c r="U476" s="16" t="e">
        <v>#N/A</v>
      </c>
    </row>
    <row r="477" spans="1:21" x14ac:dyDescent="0.25">
      <c r="A477" s="12" t="s">
        <v>21</v>
      </c>
      <c r="B477" s="12" t="s">
        <v>476</v>
      </c>
      <c r="C477" s="12" t="s">
        <v>23</v>
      </c>
      <c r="D477" s="15">
        <v>46228.323449074072</v>
      </c>
      <c r="E477" s="12" t="s">
        <v>266</v>
      </c>
      <c r="F477" s="12" t="s">
        <v>243</v>
      </c>
      <c r="G477" s="12">
        <v>15</v>
      </c>
      <c r="H477" s="12">
        <v>15</v>
      </c>
      <c r="I477" s="14"/>
      <c r="J477" s="14" t="s">
        <v>26</v>
      </c>
      <c r="K477" s="12" t="s">
        <v>27</v>
      </c>
      <c r="L477" s="15"/>
      <c r="M477" s="12" t="s">
        <v>28</v>
      </c>
      <c r="N477" s="12"/>
      <c r="O477" s="12"/>
      <c r="P477" s="12"/>
      <c r="Q477" s="16">
        <v>0</v>
      </c>
      <c r="R477" s="16">
        <v>1</v>
      </c>
      <c r="S477" s="16"/>
      <c r="T477" s="16" t="e">
        <v>#N/A</v>
      </c>
      <c r="U477" s="16" t="e">
        <v>#N/A</v>
      </c>
    </row>
    <row r="478" spans="1:21" x14ac:dyDescent="0.25">
      <c r="A478" s="12" t="s">
        <v>21</v>
      </c>
      <c r="B478" s="12" t="s">
        <v>476</v>
      </c>
      <c r="C478" s="12" t="s">
        <v>23</v>
      </c>
      <c r="D478" s="15">
        <v>46228.323449074072</v>
      </c>
      <c r="E478" s="12" t="s">
        <v>266</v>
      </c>
      <c r="F478" s="12" t="s">
        <v>246</v>
      </c>
      <c r="G478" s="12">
        <v>15</v>
      </c>
      <c r="H478" s="12">
        <v>15</v>
      </c>
      <c r="I478" s="14"/>
      <c r="J478" s="14" t="s">
        <v>26</v>
      </c>
      <c r="K478" s="12" t="s">
        <v>27</v>
      </c>
      <c r="L478" s="15"/>
      <c r="M478" s="12" t="s">
        <v>28</v>
      </c>
      <c r="N478" s="12"/>
      <c r="O478" s="12"/>
      <c r="P478" s="12"/>
      <c r="Q478" s="16">
        <v>0</v>
      </c>
      <c r="R478" s="16">
        <v>0</v>
      </c>
      <c r="S478" s="16"/>
      <c r="T478" s="16" t="e">
        <v>#N/A</v>
      </c>
      <c r="U478" s="16" t="e">
        <v>#N/A</v>
      </c>
    </row>
    <row r="479" spans="1:21" x14ac:dyDescent="0.25">
      <c r="A479" s="12" t="s">
        <v>21</v>
      </c>
      <c r="B479" s="12" t="s">
        <v>476</v>
      </c>
      <c r="C479" s="12" t="s">
        <v>23</v>
      </c>
      <c r="D479" s="15">
        <v>46228.323449074072</v>
      </c>
      <c r="E479" s="12" t="s">
        <v>266</v>
      </c>
      <c r="F479" s="12" t="s">
        <v>108</v>
      </c>
      <c r="G479" s="12">
        <v>20</v>
      </c>
      <c r="H479" s="12">
        <v>20</v>
      </c>
      <c r="I479" s="14"/>
      <c r="J479" s="14" t="s">
        <v>26</v>
      </c>
      <c r="K479" s="12" t="s">
        <v>27</v>
      </c>
      <c r="L479" s="15"/>
      <c r="M479" s="12" t="s">
        <v>28</v>
      </c>
      <c r="N479" s="12"/>
      <c r="O479" s="12"/>
      <c r="P479" s="12"/>
      <c r="Q479" s="16">
        <v>0</v>
      </c>
      <c r="R479" s="16">
        <v>0</v>
      </c>
      <c r="S479" s="16"/>
      <c r="T479" s="16" t="e">
        <v>#N/A</v>
      </c>
      <c r="U479" s="16" t="e">
        <v>#N/A</v>
      </c>
    </row>
    <row r="480" spans="1:21" x14ac:dyDescent="0.25">
      <c r="A480" s="12" t="s">
        <v>21</v>
      </c>
      <c r="B480" s="12" t="s">
        <v>477</v>
      </c>
      <c r="C480" s="12" t="s">
        <v>23</v>
      </c>
      <c r="D480" s="15">
        <v>46228.328831018516</v>
      </c>
      <c r="E480" s="12" t="s">
        <v>266</v>
      </c>
      <c r="F480" s="12" t="s">
        <v>478</v>
      </c>
      <c r="G480" s="12">
        <v>15</v>
      </c>
      <c r="H480" s="12">
        <v>15</v>
      </c>
      <c r="I480" s="14"/>
      <c r="J480" s="14" t="s">
        <v>26</v>
      </c>
      <c r="K480" s="12" t="s">
        <v>27</v>
      </c>
      <c r="L480" s="15"/>
      <c r="M480" s="12" t="s">
        <v>28</v>
      </c>
      <c r="N480" s="12"/>
      <c r="O480" s="12"/>
      <c r="P480" s="12"/>
      <c r="Q480" s="16">
        <v>0</v>
      </c>
      <c r="R480" s="16">
        <v>0</v>
      </c>
      <c r="S480" s="16"/>
      <c r="T480" s="16" t="e">
        <v>#N/A</v>
      </c>
      <c r="U480" s="16" t="e">
        <v>#N/A</v>
      </c>
    </row>
    <row r="481" spans="1:21" x14ac:dyDescent="0.25">
      <c r="A481" s="12" t="s">
        <v>21</v>
      </c>
      <c r="B481" s="12" t="s">
        <v>477</v>
      </c>
      <c r="C481" s="12" t="s">
        <v>23</v>
      </c>
      <c r="D481" s="15">
        <v>46228.328831018516</v>
      </c>
      <c r="E481" s="12" t="s">
        <v>266</v>
      </c>
      <c r="F481" s="12" t="s">
        <v>289</v>
      </c>
      <c r="G481" s="12">
        <v>10</v>
      </c>
      <c r="H481" s="12">
        <v>10</v>
      </c>
      <c r="I481" s="14"/>
      <c r="J481" s="14" t="s">
        <v>26</v>
      </c>
      <c r="K481" s="12" t="s">
        <v>27</v>
      </c>
      <c r="L481" s="15"/>
      <c r="M481" s="12" t="s">
        <v>28</v>
      </c>
      <c r="N481" s="12"/>
      <c r="O481" s="12"/>
      <c r="P481" s="12"/>
      <c r="Q481" s="16">
        <v>0</v>
      </c>
      <c r="R481" s="16">
        <v>0</v>
      </c>
      <c r="S481" s="16"/>
      <c r="T481" s="16" t="e">
        <v>#N/A</v>
      </c>
      <c r="U481" s="16" t="e">
        <v>#N/A</v>
      </c>
    </row>
    <row r="482" spans="1:21" x14ac:dyDescent="0.25">
      <c r="A482" s="12" t="s">
        <v>21</v>
      </c>
      <c r="B482" s="12" t="s">
        <v>477</v>
      </c>
      <c r="C482" s="12" t="s">
        <v>23</v>
      </c>
      <c r="D482" s="15">
        <v>46228.328831018516</v>
      </c>
      <c r="E482" s="12" t="s">
        <v>266</v>
      </c>
      <c r="F482" s="12" t="s">
        <v>290</v>
      </c>
      <c r="G482" s="12">
        <v>8</v>
      </c>
      <c r="H482" s="12">
        <v>8</v>
      </c>
      <c r="I482" s="14"/>
      <c r="J482" s="14" t="s">
        <v>26</v>
      </c>
      <c r="K482" s="12" t="s">
        <v>27</v>
      </c>
      <c r="L482" s="15"/>
      <c r="M482" s="12" t="s">
        <v>28</v>
      </c>
      <c r="N482" s="12"/>
      <c r="O482" s="12"/>
      <c r="P482" s="12"/>
      <c r="Q482" s="16">
        <v>0</v>
      </c>
      <c r="R482" s="16">
        <v>2</v>
      </c>
      <c r="S482" s="16"/>
      <c r="T482" s="16" t="e">
        <v>#N/A</v>
      </c>
      <c r="U482" s="16" t="e">
        <v>#N/A</v>
      </c>
    </row>
    <row r="483" spans="1:21" x14ac:dyDescent="0.25">
      <c r="A483" s="12" t="s">
        <v>21</v>
      </c>
      <c r="B483" s="12" t="s">
        <v>477</v>
      </c>
      <c r="C483" s="12" t="s">
        <v>23</v>
      </c>
      <c r="D483" s="15">
        <v>46228.328831018516</v>
      </c>
      <c r="E483" s="12" t="s">
        <v>266</v>
      </c>
      <c r="F483" s="12" t="s">
        <v>479</v>
      </c>
      <c r="G483" s="12">
        <v>5</v>
      </c>
      <c r="H483" s="12">
        <v>5</v>
      </c>
      <c r="I483" s="14"/>
      <c r="J483" s="14" t="s">
        <v>61</v>
      </c>
      <c r="K483" s="12" t="s">
        <v>480</v>
      </c>
      <c r="L483" s="15">
        <v>1</v>
      </c>
      <c r="M483" s="12" t="s">
        <v>150</v>
      </c>
      <c r="N483" s="12">
        <v>5</v>
      </c>
      <c r="O483" s="12">
        <v>5</v>
      </c>
      <c r="P483" s="12">
        <v>0</v>
      </c>
      <c r="Q483" s="16">
        <v>5</v>
      </c>
      <c r="R483" s="16">
        <v>0</v>
      </c>
      <c r="S483" s="16"/>
      <c r="T483" s="16" t="e">
        <v>#N/A</v>
      </c>
      <c r="U483" s="16" t="e">
        <v>#N/A</v>
      </c>
    </row>
    <row r="484" spans="1:21" x14ac:dyDescent="0.25">
      <c r="A484" s="12" t="s">
        <v>21</v>
      </c>
      <c r="B484" s="12" t="s">
        <v>477</v>
      </c>
      <c r="C484" s="12" t="s">
        <v>23</v>
      </c>
      <c r="D484" s="15">
        <v>46228.328831018516</v>
      </c>
      <c r="E484" s="12" t="s">
        <v>266</v>
      </c>
      <c r="F484" s="12" t="s">
        <v>481</v>
      </c>
      <c r="G484" s="12">
        <v>6</v>
      </c>
      <c r="H484" s="12">
        <v>1</v>
      </c>
      <c r="I484" s="14"/>
      <c r="J484" s="14" t="s">
        <v>61</v>
      </c>
      <c r="K484" s="12" t="s">
        <v>27</v>
      </c>
      <c r="L484" s="15"/>
      <c r="M484" s="12" t="s">
        <v>28</v>
      </c>
      <c r="N484" s="12"/>
      <c r="O484" s="12"/>
      <c r="P484" s="12"/>
      <c r="Q484" s="16">
        <v>6</v>
      </c>
      <c r="R484" s="16">
        <v>0</v>
      </c>
      <c r="S484" s="16"/>
      <c r="T484" s="16" t="e">
        <v>#N/A</v>
      </c>
      <c r="U484" s="16" t="e">
        <v>#N/A</v>
      </c>
    </row>
    <row r="485" spans="1:21" x14ac:dyDescent="0.25">
      <c r="A485" s="12" t="s">
        <v>21</v>
      </c>
      <c r="B485" s="12" t="s">
        <v>477</v>
      </c>
      <c r="C485" s="12" t="s">
        <v>23</v>
      </c>
      <c r="D485" s="15">
        <v>46228.328831018516</v>
      </c>
      <c r="E485" s="12" t="s">
        <v>266</v>
      </c>
      <c r="F485" s="12" t="s">
        <v>424</v>
      </c>
      <c r="G485" s="12">
        <v>6</v>
      </c>
      <c r="H485" s="12">
        <v>6</v>
      </c>
      <c r="I485" s="14"/>
      <c r="J485" s="14" t="s">
        <v>61</v>
      </c>
      <c r="K485" s="12" t="s">
        <v>482</v>
      </c>
      <c r="L485" s="15">
        <v>1</v>
      </c>
      <c r="M485" s="12" t="s">
        <v>150</v>
      </c>
      <c r="N485" s="12">
        <v>6</v>
      </c>
      <c r="O485" s="12">
        <v>6</v>
      </c>
      <c r="P485" s="12">
        <v>0</v>
      </c>
      <c r="Q485" s="16">
        <v>6</v>
      </c>
      <c r="R485" s="16">
        <v>0</v>
      </c>
      <c r="S485" s="16"/>
      <c r="T485" s="16" t="e">
        <v>#N/A</v>
      </c>
      <c r="U485" s="16" t="e">
        <v>#N/A</v>
      </c>
    </row>
    <row r="486" spans="1:21" x14ac:dyDescent="0.25">
      <c r="A486" s="12" t="s">
        <v>21</v>
      </c>
      <c r="B486" s="12" t="s">
        <v>483</v>
      </c>
      <c r="C486" s="12" t="s">
        <v>23</v>
      </c>
      <c r="D486" s="15">
        <v>46228.359699074077</v>
      </c>
      <c r="E486" s="12" t="s">
        <v>484</v>
      </c>
      <c r="F486" s="12" t="s">
        <v>261</v>
      </c>
      <c r="G486" s="12">
        <v>30</v>
      </c>
      <c r="H486" s="12">
        <v>22</v>
      </c>
      <c r="I486" s="14"/>
      <c r="J486" s="14" t="s">
        <v>26</v>
      </c>
      <c r="K486" s="12" t="s">
        <v>27</v>
      </c>
      <c r="L486" s="15"/>
      <c r="M486" s="12" t="s">
        <v>28</v>
      </c>
      <c r="N486" s="12"/>
      <c r="O486" s="12"/>
      <c r="P486" s="12"/>
      <c r="Q486" s="16">
        <v>0</v>
      </c>
      <c r="R486" s="16">
        <v>0</v>
      </c>
      <c r="S486" s="16"/>
      <c r="T486" s="16" t="e">
        <v>#N/A</v>
      </c>
      <c r="U486" s="16" t="e">
        <v>#N/A</v>
      </c>
    </row>
    <row r="487" spans="1:21" x14ac:dyDescent="0.25">
      <c r="A487" s="12" t="s">
        <v>21</v>
      </c>
      <c r="B487" s="12" t="s">
        <v>483</v>
      </c>
      <c r="C487" s="12" t="s">
        <v>23</v>
      </c>
      <c r="D487" s="15">
        <v>46228.359699074077</v>
      </c>
      <c r="E487" s="12" t="s">
        <v>484</v>
      </c>
      <c r="F487" s="12" t="s">
        <v>374</v>
      </c>
      <c r="G487" s="12">
        <v>10</v>
      </c>
      <c r="H487" s="12">
        <v>10</v>
      </c>
      <c r="I487" s="14"/>
      <c r="J487" s="14" t="s">
        <v>26</v>
      </c>
      <c r="K487" s="12" t="s">
        <v>27</v>
      </c>
      <c r="L487" s="15"/>
      <c r="M487" s="12" t="s">
        <v>28</v>
      </c>
      <c r="N487" s="12"/>
      <c r="O487" s="12"/>
      <c r="P487" s="12"/>
      <c r="Q487" s="16">
        <v>0</v>
      </c>
      <c r="R487" s="16">
        <v>0</v>
      </c>
      <c r="S487" s="16"/>
      <c r="T487" s="16" t="e">
        <v>#N/A</v>
      </c>
      <c r="U487" s="16" t="e">
        <v>#N/A</v>
      </c>
    </row>
    <row r="488" spans="1:21" x14ac:dyDescent="0.25">
      <c r="A488" s="12" t="s">
        <v>21</v>
      </c>
      <c r="B488" s="12" t="s">
        <v>483</v>
      </c>
      <c r="C488" s="12" t="s">
        <v>23</v>
      </c>
      <c r="D488" s="15">
        <v>46228.359699074077</v>
      </c>
      <c r="E488" s="12" t="s">
        <v>484</v>
      </c>
      <c r="F488" s="12" t="s">
        <v>70</v>
      </c>
      <c r="G488" s="12">
        <v>50</v>
      </c>
      <c r="H488" s="12">
        <v>50</v>
      </c>
      <c r="I488" s="14"/>
      <c r="J488" s="14" t="s">
        <v>26</v>
      </c>
      <c r="K488" s="12" t="s">
        <v>27</v>
      </c>
      <c r="L488" s="15"/>
      <c r="M488" s="12" t="s">
        <v>28</v>
      </c>
      <c r="N488" s="12"/>
      <c r="O488" s="12"/>
      <c r="P488" s="12"/>
      <c r="Q488" s="16">
        <v>0</v>
      </c>
      <c r="R488" s="16">
        <v>0</v>
      </c>
      <c r="S488" s="16"/>
      <c r="T488" s="16" t="e">
        <v>#N/A</v>
      </c>
      <c r="U488" s="16" t="e">
        <v>#N/A</v>
      </c>
    </row>
    <row r="489" spans="1:21" x14ac:dyDescent="0.25">
      <c r="A489" s="12" t="s">
        <v>21</v>
      </c>
      <c r="B489" s="12" t="s">
        <v>483</v>
      </c>
      <c r="C489" s="12" t="s">
        <v>23</v>
      </c>
      <c r="D489" s="15">
        <v>46228.359699074077</v>
      </c>
      <c r="E489" s="12" t="s">
        <v>484</v>
      </c>
      <c r="F489" s="12" t="s">
        <v>71</v>
      </c>
      <c r="G489" s="12">
        <v>50</v>
      </c>
      <c r="H489" s="12">
        <v>6</v>
      </c>
      <c r="I489" s="14"/>
      <c r="J489" s="14" t="s">
        <v>26</v>
      </c>
      <c r="K489" s="12" t="s">
        <v>27</v>
      </c>
      <c r="L489" s="15"/>
      <c r="M489" s="12" t="s">
        <v>28</v>
      </c>
      <c r="N489" s="12"/>
      <c r="O489" s="12"/>
      <c r="P489" s="12"/>
      <c r="Q489" s="16">
        <v>0</v>
      </c>
      <c r="R489" s="16">
        <v>0</v>
      </c>
      <c r="S489" s="16"/>
      <c r="T489" s="16" t="e">
        <v>#N/A</v>
      </c>
      <c r="U489" s="16" t="e">
        <v>#N/A</v>
      </c>
    </row>
    <row r="490" spans="1:21" x14ac:dyDescent="0.25">
      <c r="A490" s="12" t="s">
        <v>21</v>
      </c>
      <c r="B490" s="12" t="s">
        <v>483</v>
      </c>
      <c r="C490" s="12" t="s">
        <v>23</v>
      </c>
      <c r="D490" s="15">
        <v>46228.359699074077</v>
      </c>
      <c r="E490" s="12" t="s">
        <v>484</v>
      </c>
      <c r="F490" s="12" t="s">
        <v>401</v>
      </c>
      <c r="G490" s="12">
        <v>10</v>
      </c>
      <c r="H490" s="12">
        <v>10</v>
      </c>
      <c r="I490" s="14"/>
      <c r="J490" s="14" t="s">
        <v>26</v>
      </c>
      <c r="K490" s="12" t="s">
        <v>27</v>
      </c>
      <c r="L490" s="15"/>
      <c r="M490" s="12" t="s">
        <v>28</v>
      </c>
      <c r="N490" s="12"/>
      <c r="O490" s="12"/>
      <c r="P490" s="12"/>
      <c r="Q490" s="16">
        <v>0</v>
      </c>
      <c r="R490" s="16">
        <v>0</v>
      </c>
      <c r="S490" s="16"/>
      <c r="T490" s="16" t="e">
        <v>#N/A</v>
      </c>
      <c r="U490" s="16" t="e">
        <v>#N/A</v>
      </c>
    </row>
    <row r="491" spans="1:21" x14ac:dyDescent="0.25">
      <c r="A491" s="12" t="s">
        <v>21</v>
      </c>
      <c r="B491" s="12" t="s">
        <v>485</v>
      </c>
      <c r="C491" s="12" t="s">
        <v>23</v>
      </c>
      <c r="D491" s="15">
        <v>46228.394548611112</v>
      </c>
      <c r="E491" s="12" t="s">
        <v>258</v>
      </c>
      <c r="F491" s="12" t="s">
        <v>486</v>
      </c>
      <c r="G491" s="12">
        <v>3</v>
      </c>
      <c r="H491" s="12">
        <v>3</v>
      </c>
      <c r="I491" s="14"/>
      <c r="J491" s="14" t="s">
        <v>61</v>
      </c>
      <c r="K491" s="12" t="s">
        <v>487</v>
      </c>
      <c r="L491" s="15">
        <v>1</v>
      </c>
      <c r="M491" s="12" t="s">
        <v>150</v>
      </c>
      <c r="N491" s="12">
        <v>3</v>
      </c>
      <c r="O491" s="12">
        <v>3</v>
      </c>
      <c r="P491" s="12">
        <v>0</v>
      </c>
      <c r="Q491" s="16">
        <v>3</v>
      </c>
      <c r="R491" s="16">
        <v>3</v>
      </c>
      <c r="S491" s="16"/>
      <c r="T491" s="16" t="e">
        <v>#N/A</v>
      </c>
      <c r="U491" s="16" t="e">
        <v>#N/A</v>
      </c>
    </row>
    <row r="492" spans="1:21" x14ac:dyDescent="0.25">
      <c r="A492" s="12" t="s">
        <v>21</v>
      </c>
      <c r="B492" s="12" t="s">
        <v>488</v>
      </c>
      <c r="C492" s="12" t="s">
        <v>23</v>
      </c>
      <c r="D492" s="15">
        <v>46230.439560185187</v>
      </c>
      <c r="E492" s="12" t="s">
        <v>331</v>
      </c>
      <c r="F492" s="12" t="s">
        <v>489</v>
      </c>
      <c r="G492" s="12">
        <v>15</v>
      </c>
      <c r="H492" s="12">
        <v>15</v>
      </c>
      <c r="I492" s="14">
        <v>-3</v>
      </c>
      <c r="J492" s="14" t="s">
        <v>61</v>
      </c>
      <c r="K492" s="12" t="s">
        <v>27</v>
      </c>
      <c r="L492" s="15"/>
      <c r="M492" s="12" t="s">
        <v>28</v>
      </c>
      <c r="N492" s="12"/>
      <c r="O492" s="12"/>
      <c r="P492" s="12"/>
      <c r="Q492" s="16">
        <v>15</v>
      </c>
      <c r="R492" s="16">
        <v>0</v>
      </c>
      <c r="S492" s="16"/>
      <c r="T492" s="16" t="e">
        <v>#N/A</v>
      </c>
      <c r="U492" s="16" t="e">
        <v>#N/A</v>
      </c>
    </row>
    <row r="493" spans="1:21" x14ac:dyDescent="0.25">
      <c r="A493" s="12" t="s">
        <v>21</v>
      </c>
      <c r="B493" s="12" t="s">
        <v>490</v>
      </c>
      <c r="C493" s="12" t="s">
        <v>23</v>
      </c>
      <c r="D493" s="15">
        <v>46230.453206018516</v>
      </c>
      <c r="E493" s="12" t="s">
        <v>491</v>
      </c>
      <c r="F493" s="12" t="s">
        <v>134</v>
      </c>
      <c r="G493" s="12">
        <v>300</v>
      </c>
      <c r="H493" s="12">
        <v>200</v>
      </c>
      <c r="I493" s="14"/>
      <c r="J493" s="14" t="s">
        <v>26</v>
      </c>
      <c r="K493" s="12" t="s">
        <v>27</v>
      </c>
      <c r="L493" s="15"/>
      <c r="M493" s="12" t="s">
        <v>28</v>
      </c>
      <c r="N493" s="12"/>
      <c r="O493" s="12"/>
      <c r="P493" s="12"/>
      <c r="Q493" s="16">
        <v>0</v>
      </c>
      <c r="R493" s="16">
        <v>6</v>
      </c>
      <c r="S493" s="16"/>
      <c r="T493" s="16" t="e">
        <v>#N/A</v>
      </c>
      <c r="U493" s="16" t="e">
        <v>#N/A</v>
      </c>
    </row>
    <row r="494" spans="1:21" x14ac:dyDescent="0.25">
      <c r="A494" s="12" t="s">
        <v>21</v>
      </c>
      <c r="B494" s="12" t="s">
        <v>490</v>
      </c>
      <c r="C494" s="12" t="s">
        <v>23</v>
      </c>
      <c r="D494" s="15">
        <v>46230.453206018516</v>
      </c>
      <c r="E494" s="12" t="s">
        <v>491</v>
      </c>
      <c r="F494" s="12" t="s">
        <v>371</v>
      </c>
      <c r="G494" s="12">
        <v>1500</v>
      </c>
      <c r="H494" s="12">
        <v>1030</v>
      </c>
      <c r="I494" s="14"/>
      <c r="J494" s="14" t="s">
        <v>26</v>
      </c>
      <c r="K494" s="12" t="s">
        <v>27</v>
      </c>
      <c r="L494" s="15"/>
      <c r="M494" s="12" t="s">
        <v>28</v>
      </c>
      <c r="N494" s="12"/>
      <c r="O494" s="12"/>
      <c r="P494" s="12"/>
      <c r="Q494" s="16">
        <v>0</v>
      </c>
      <c r="R494" s="16">
        <v>1</v>
      </c>
      <c r="S494" s="16"/>
      <c r="T494" s="16" t="e">
        <v>#N/A</v>
      </c>
      <c r="U494" s="16" t="e">
        <v>#N/A</v>
      </c>
    </row>
    <row r="495" spans="1:21" x14ac:dyDescent="0.25">
      <c r="A495" s="12" t="s">
        <v>21</v>
      </c>
      <c r="B495" s="12" t="s">
        <v>492</v>
      </c>
      <c r="C495" s="12" t="s">
        <v>23</v>
      </c>
      <c r="D495" s="15">
        <v>46230.5000462963</v>
      </c>
      <c r="E495" s="12" t="s">
        <v>340</v>
      </c>
      <c r="F495" s="12" t="s">
        <v>452</v>
      </c>
      <c r="G495" s="12">
        <v>57</v>
      </c>
      <c r="H495" s="12">
        <v>57</v>
      </c>
      <c r="I495" s="14"/>
      <c r="J495" s="14" t="s">
        <v>26</v>
      </c>
      <c r="K495" s="12" t="s">
        <v>493</v>
      </c>
      <c r="L495" s="15">
        <v>1</v>
      </c>
      <c r="M495" s="12" t="s">
        <v>150</v>
      </c>
      <c r="N495" s="12">
        <v>57</v>
      </c>
      <c r="O495" s="12">
        <v>57</v>
      </c>
      <c r="P495" s="12">
        <v>0</v>
      </c>
      <c r="Q495" s="16">
        <v>0</v>
      </c>
      <c r="R495" s="16">
        <v>71</v>
      </c>
      <c r="S495" s="16"/>
      <c r="T495" s="16" t="e">
        <v>#N/A</v>
      </c>
      <c r="U495" s="16" t="e">
        <v>#N/A</v>
      </c>
    </row>
    <row r="496" spans="1:21" x14ac:dyDescent="0.25">
      <c r="A496" s="12" t="s">
        <v>21</v>
      </c>
      <c r="B496" s="12" t="s">
        <v>492</v>
      </c>
      <c r="C496" s="12" t="s">
        <v>23</v>
      </c>
      <c r="D496" s="15">
        <v>46230.5000462963</v>
      </c>
      <c r="E496" s="12" t="s">
        <v>340</v>
      </c>
      <c r="F496" s="12" t="s">
        <v>446</v>
      </c>
      <c r="G496" s="12">
        <v>24</v>
      </c>
      <c r="H496" s="12">
        <v>24</v>
      </c>
      <c r="I496" s="14"/>
      <c r="J496" s="14" t="s">
        <v>26</v>
      </c>
      <c r="K496" s="12" t="s">
        <v>27</v>
      </c>
      <c r="L496" s="15"/>
      <c r="M496" s="12" t="s">
        <v>28</v>
      </c>
      <c r="N496" s="12"/>
      <c r="O496" s="12"/>
      <c r="P496" s="12"/>
      <c r="Q496" s="16">
        <v>0</v>
      </c>
      <c r="R496" s="16">
        <v>0</v>
      </c>
      <c r="S496" s="16"/>
      <c r="T496" s="16" t="e">
        <v>#N/A</v>
      </c>
      <c r="U496" s="16" t="e">
        <v>#N/A</v>
      </c>
    </row>
    <row r="497" spans="1:21" x14ac:dyDescent="0.25">
      <c r="A497" s="12" t="s">
        <v>21</v>
      </c>
      <c r="B497" s="12" t="s">
        <v>492</v>
      </c>
      <c r="C497" s="12" t="s">
        <v>23</v>
      </c>
      <c r="D497" s="15">
        <v>46230.5000462963</v>
      </c>
      <c r="E497" s="12" t="s">
        <v>340</v>
      </c>
      <c r="F497" s="12" t="s">
        <v>447</v>
      </c>
      <c r="G497" s="12">
        <v>20</v>
      </c>
      <c r="H497" s="12">
        <v>20</v>
      </c>
      <c r="I497" s="14"/>
      <c r="J497" s="14" t="s">
        <v>26</v>
      </c>
      <c r="K497" s="12" t="s">
        <v>27</v>
      </c>
      <c r="L497" s="15"/>
      <c r="M497" s="12" t="s">
        <v>28</v>
      </c>
      <c r="N497" s="12"/>
      <c r="O497" s="12"/>
      <c r="P497" s="12"/>
      <c r="Q497" s="16">
        <v>0</v>
      </c>
      <c r="R497" s="16">
        <v>0</v>
      </c>
      <c r="S497" s="16"/>
      <c r="T497" s="16" t="e">
        <v>#N/A</v>
      </c>
      <c r="U497" s="16" t="e">
        <v>#N/A</v>
      </c>
    </row>
    <row r="498" spans="1:21" x14ac:dyDescent="0.25">
      <c r="A498" s="12" t="s">
        <v>21</v>
      </c>
      <c r="B498" s="12" t="s">
        <v>492</v>
      </c>
      <c r="C498" s="12" t="s">
        <v>23</v>
      </c>
      <c r="D498" s="15">
        <v>46230.5000462963</v>
      </c>
      <c r="E498" s="12" t="s">
        <v>340</v>
      </c>
      <c r="F498" s="12" t="s">
        <v>277</v>
      </c>
      <c r="G498" s="12">
        <v>8</v>
      </c>
      <c r="H498" s="12">
        <v>8</v>
      </c>
      <c r="I498" s="14"/>
      <c r="J498" s="14" t="s">
        <v>26</v>
      </c>
      <c r="K498" s="12" t="s">
        <v>27</v>
      </c>
      <c r="L498" s="15"/>
      <c r="M498" s="12" t="s">
        <v>28</v>
      </c>
      <c r="N498" s="12"/>
      <c r="O498" s="12"/>
      <c r="P498" s="12"/>
      <c r="Q498" s="16">
        <v>0</v>
      </c>
      <c r="R498" s="16">
        <v>0</v>
      </c>
      <c r="S498" s="16"/>
      <c r="T498" s="16" t="e">
        <v>#N/A</v>
      </c>
      <c r="U498" s="16" t="e">
        <v>#N/A</v>
      </c>
    </row>
    <row r="499" spans="1:21" x14ac:dyDescent="0.25">
      <c r="A499" s="12" t="s">
        <v>21</v>
      </c>
      <c r="B499" s="12" t="s">
        <v>492</v>
      </c>
      <c r="C499" s="12" t="s">
        <v>23</v>
      </c>
      <c r="D499" s="15">
        <v>46230.5000462963</v>
      </c>
      <c r="E499" s="12" t="s">
        <v>340</v>
      </c>
      <c r="F499" s="12" t="s">
        <v>450</v>
      </c>
      <c r="G499" s="12">
        <v>4500</v>
      </c>
      <c r="H499" s="12">
        <v>4500</v>
      </c>
      <c r="I499" s="14"/>
      <c r="J499" s="14" t="s">
        <v>26</v>
      </c>
      <c r="K499" s="12" t="s">
        <v>27</v>
      </c>
      <c r="L499" s="15"/>
      <c r="M499" s="12" t="s">
        <v>28</v>
      </c>
      <c r="N499" s="12"/>
      <c r="O499" s="12"/>
      <c r="P499" s="12"/>
      <c r="Q499" s="16">
        <v>0</v>
      </c>
      <c r="R499" s="16">
        <v>0</v>
      </c>
      <c r="S499" s="16">
        <v>600</v>
      </c>
      <c r="T499" s="16" t="e">
        <v>#N/A</v>
      </c>
      <c r="U499" s="16" t="e">
        <v>#N/A</v>
      </c>
    </row>
    <row r="500" spans="1:21" x14ac:dyDescent="0.25">
      <c r="A500" s="12" t="s">
        <v>21</v>
      </c>
      <c r="B500" s="12" t="s">
        <v>494</v>
      </c>
      <c r="C500" s="12" t="s">
        <v>23</v>
      </c>
      <c r="D500" s="15">
        <v>46230.502002314817</v>
      </c>
      <c r="E500" s="12" t="s">
        <v>335</v>
      </c>
      <c r="F500" s="12" t="s">
        <v>134</v>
      </c>
      <c r="G500" s="12">
        <v>120</v>
      </c>
      <c r="H500" s="12">
        <v>120</v>
      </c>
      <c r="I500" s="14"/>
      <c r="J500" s="14" t="s">
        <v>26</v>
      </c>
      <c r="K500" s="12" t="s">
        <v>27</v>
      </c>
      <c r="L500" s="15"/>
      <c r="M500" s="12" t="s">
        <v>28</v>
      </c>
      <c r="N500" s="12"/>
      <c r="O500" s="12"/>
      <c r="P500" s="12"/>
      <c r="Q500" s="16">
        <v>0</v>
      </c>
      <c r="R500" s="16">
        <v>6</v>
      </c>
      <c r="S500" s="16"/>
      <c r="T500" s="16" t="e">
        <v>#N/A</v>
      </c>
      <c r="U500" s="16" t="e">
        <v>#N/A</v>
      </c>
    </row>
    <row r="501" spans="1:21" x14ac:dyDescent="0.25">
      <c r="A501" s="12" t="s">
        <v>21</v>
      </c>
      <c r="B501" s="12" t="s">
        <v>494</v>
      </c>
      <c r="C501" s="12" t="s">
        <v>23</v>
      </c>
      <c r="D501" s="15">
        <v>46230.502002314817</v>
      </c>
      <c r="E501" s="12" t="s">
        <v>335</v>
      </c>
      <c r="F501" s="12" t="s">
        <v>371</v>
      </c>
      <c r="G501" s="12">
        <v>400</v>
      </c>
      <c r="H501" s="12">
        <v>300</v>
      </c>
      <c r="I501" s="14"/>
      <c r="J501" s="14" t="s">
        <v>26</v>
      </c>
      <c r="K501" s="12" t="s">
        <v>27</v>
      </c>
      <c r="L501" s="15"/>
      <c r="M501" s="12" t="s">
        <v>28</v>
      </c>
      <c r="N501" s="12"/>
      <c r="O501" s="12"/>
      <c r="P501" s="12"/>
      <c r="Q501" s="16">
        <v>0</v>
      </c>
      <c r="R501" s="16">
        <v>1</v>
      </c>
      <c r="S501" s="16"/>
      <c r="T501" s="16" t="e">
        <v>#N/A</v>
      </c>
      <c r="U501" s="16" t="e">
        <v>#N/A</v>
      </c>
    </row>
    <row r="502" spans="1:21" x14ac:dyDescent="0.25">
      <c r="A502" s="12" t="s">
        <v>21</v>
      </c>
      <c r="B502" s="12" t="s">
        <v>495</v>
      </c>
      <c r="C502" s="12" t="s">
        <v>23</v>
      </c>
      <c r="D502" s="15">
        <v>46230.594328703701</v>
      </c>
      <c r="E502" s="12" t="s">
        <v>24</v>
      </c>
      <c r="F502" s="12" t="s">
        <v>496</v>
      </c>
      <c r="G502" s="12">
        <v>350</v>
      </c>
      <c r="H502" s="12">
        <v>157</v>
      </c>
      <c r="I502" s="14">
        <v>-2</v>
      </c>
      <c r="J502" s="14" t="s">
        <v>61</v>
      </c>
      <c r="K502" s="12" t="s">
        <v>27</v>
      </c>
      <c r="L502" s="15"/>
      <c r="M502" s="12" t="s">
        <v>28</v>
      </c>
      <c r="N502" s="12"/>
      <c r="O502" s="12"/>
      <c r="P502" s="12"/>
      <c r="Q502" s="16">
        <v>1300</v>
      </c>
      <c r="R502" s="16">
        <v>0</v>
      </c>
      <c r="S502" s="16"/>
      <c r="T502" s="16" t="e">
        <v>#N/A</v>
      </c>
      <c r="U502" s="16" t="e">
        <v>#N/A</v>
      </c>
    </row>
    <row r="503" spans="1:21" x14ac:dyDescent="0.25">
      <c r="A503" s="12" t="s">
        <v>21</v>
      </c>
      <c r="B503" s="12" t="s">
        <v>497</v>
      </c>
      <c r="C503" s="12" t="s">
        <v>23</v>
      </c>
      <c r="D503" s="15">
        <v>46231.506886574076</v>
      </c>
      <c r="E503" s="12" t="s">
        <v>69</v>
      </c>
      <c r="F503" s="12" t="s">
        <v>157</v>
      </c>
      <c r="G503" s="12">
        <v>10</v>
      </c>
      <c r="H503" s="12">
        <v>10</v>
      </c>
      <c r="I503" s="14"/>
      <c r="J503" s="14" t="s">
        <v>26</v>
      </c>
      <c r="K503" s="12" t="s">
        <v>27</v>
      </c>
      <c r="L503" s="15"/>
      <c r="M503" s="12" t="s">
        <v>28</v>
      </c>
      <c r="N503" s="12"/>
      <c r="O503" s="12"/>
      <c r="P503" s="12"/>
      <c r="Q503" s="16">
        <v>0</v>
      </c>
      <c r="R503" s="16">
        <v>0</v>
      </c>
      <c r="S503" s="16"/>
      <c r="T503" s="16" t="e">
        <v>#N/A</v>
      </c>
      <c r="U503" s="16" t="e">
        <v>#N/A</v>
      </c>
    </row>
    <row r="504" spans="1:21" x14ac:dyDescent="0.25">
      <c r="A504" s="12" t="s">
        <v>21</v>
      </c>
      <c r="B504" s="12" t="s">
        <v>497</v>
      </c>
      <c r="C504" s="12" t="s">
        <v>23</v>
      </c>
      <c r="D504" s="15">
        <v>46231.506886574076</v>
      </c>
      <c r="E504" s="12" t="s">
        <v>69</v>
      </c>
      <c r="F504" s="12" t="s">
        <v>159</v>
      </c>
      <c r="G504" s="12">
        <v>10</v>
      </c>
      <c r="H504" s="12">
        <v>10</v>
      </c>
      <c r="I504" s="14"/>
      <c r="J504" s="14" t="s">
        <v>26</v>
      </c>
      <c r="K504" s="12" t="s">
        <v>27</v>
      </c>
      <c r="L504" s="15"/>
      <c r="M504" s="12" t="s">
        <v>28</v>
      </c>
      <c r="N504" s="12"/>
      <c r="O504" s="12"/>
      <c r="P504" s="12"/>
      <c r="Q504" s="16">
        <v>0</v>
      </c>
      <c r="R504" s="16">
        <v>0</v>
      </c>
      <c r="S504" s="16"/>
      <c r="T504" s="16" t="e">
        <v>#N/A</v>
      </c>
      <c r="U504" s="16" t="e">
        <v>#N/A</v>
      </c>
    </row>
    <row r="505" spans="1:21" x14ac:dyDescent="0.25">
      <c r="A505" s="12" t="s">
        <v>21</v>
      </c>
      <c r="B505" s="12" t="s">
        <v>497</v>
      </c>
      <c r="C505" s="12" t="s">
        <v>23</v>
      </c>
      <c r="D505" s="15">
        <v>46231.506886574076</v>
      </c>
      <c r="E505" s="12" t="s">
        <v>69</v>
      </c>
      <c r="F505" s="12" t="s">
        <v>71</v>
      </c>
      <c r="G505" s="12">
        <v>50</v>
      </c>
      <c r="H505" s="12">
        <v>50</v>
      </c>
      <c r="I505" s="14"/>
      <c r="J505" s="14" t="s">
        <v>26</v>
      </c>
      <c r="K505" s="12" t="s">
        <v>27</v>
      </c>
      <c r="L505" s="15"/>
      <c r="M505" s="12" t="s">
        <v>28</v>
      </c>
      <c r="N505" s="12"/>
      <c r="O505" s="12"/>
      <c r="P505" s="12"/>
      <c r="Q505" s="16">
        <v>0</v>
      </c>
      <c r="R505" s="16">
        <v>0</v>
      </c>
      <c r="S505" s="16"/>
      <c r="T505" s="16" t="e">
        <v>#N/A</v>
      </c>
      <c r="U505" s="16" t="e">
        <v>#N/A</v>
      </c>
    </row>
    <row r="506" spans="1:21" x14ac:dyDescent="0.25">
      <c r="A506" s="12" t="s">
        <v>21</v>
      </c>
      <c r="B506" s="12" t="s">
        <v>497</v>
      </c>
      <c r="C506" s="12" t="s">
        <v>23</v>
      </c>
      <c r="D506" s="15">
        <v>46231.506886574076</v>
      </c>
      <c r="E506" s="12" t="s">
        <v>69</v>
      </c>
      <c r="F506" s="12" t="s">
        <v>283</v>
      </c>
      <c r="G506" s="12">
        <v>50</v>
      </c>
      <c r="H506" s="12">
        <v>30</v>
      </c>
      <c r="I506" s="14"/>
      <c r="J506" s="14" t="s">
        <v>61</v>
      </c>
      <c r="K506" s="12" t="s">
        <v>27</v>
      </c>
      <c r="L506" s="15"/>
      <c r="M506" s="12" t="s">
        <v>28</v>
      </c>
      <c r="N506" s="12"/>
      <c r="O506" s="12"/>
      <c r="P506" s="12"/>
      <c r="Q506" s="16">
        <v>28</v>
      </c>
      <c r="R506" s="16">
        <v>0</v>
      </c>
      <c r="S506" s="16"/>
      <c r="T506" s="16" t="e">
        <v>#N/A</v>
      </c>
      <c r="U506" s="16" t="e">
        <v>#N/A</v>
      </c>
    </row>
    <row r="507" spans="1:21" x14ac:dyDescent="0.25">
      <c r="A507" s="12" t="s">
        <v>21</v>
      </c>
      <c r="B507" s="12" t="s">
        <v>497</v>
      </c>
      <c r="C507" s="12" t="s">
        <v>23</v>
      </c>
      <c r="D507" s="15">
        <v>46231.506886574076</v>
      </c>
      <c r="E507" s="12" t="s">
        <v>69</v>
      </c>
      <c r="F507" s="12" t="s">
        <v>401</v>
      </c>
      <c r="G507" s="12">
        <v>12</v>
      </c>
      <c r="H507" s="12">
        <v>12</v>
      </c>
      <c r="I507" s="14"/>
      <c r="J507" s="14" t="s">
        <v>26</v>
      </c>
      <c r="K507" s="12" t="s">
        <v>27</v>
      </c>
      <c r="L507" s="15"/>
      <c r="M507" s="12" t="s">
        <v>28</v>
      </c>
      <c r="N507" s="12"/>
      <c r="O507" s="12"/>
      <c r="P507" s="12"/>
      <c r="Q507" s="16">
        <v>0</v>
      </c>
      <c r="R507" s="16">
        <v>0</v>
      </c>
      <c r="S507" s="16"/>
      <c r="T507" s="16" t="e">
        <v>#N/A</v>
      </c>
      <c r="U507" s="16" t="e">
        <v>#N/A</v>
      </c>
    </row>
    <row r="508" spans="1:21" x14ac:dyDescent="0.25">
      <c r="A508" s="12" t="s">
        <v>21</v>
      </c>
      <c r="B508" s="12" t="s">
        <v>498</v>
      </c>
      <c r="C508" s="12" t="s">
        <v>23</v>
      </c>
      <c r="D508" s="15">
        <v>46231.547083333331</v>
      </c>
      <c r="E508" s="12" t="s">
        <v>331</v>
      </c>
      <c r="F508" s="12" t="s">
        <v>130</v>
      </c>
      <c r="G508" s="12">
        <v>500</v>
      </c>
      <c r="H508" s="12">
        <v>50</v>
      </c>
      <c r="I508" s="14"/>
      <c r="J508" s="14" t="s">
        <v>26</v>
      </c>
      <c r="K508" s="12" t="s">
        <v>27</v>
      </c>
      <c r="L508" s="15"/>
      <c r="M508" s="12" t="s">
        <v>28</v>
      </c>
      <c r="N508" s="12"/>
      <c r="O508" s="12"/>
      <c r="P508" s="12"/>
      <c r="Q508" s="16">
        <v>0</v>
      </c>
      <c r="R508" s="16">
        <v>6</v>
      </c>
      <c r="S508" s="16"/>
      <c r="T508" s="16" t="e">
        <v>#N/A</v>
      </c>
      <c r="U508" s="16" t="e">
        <v>#N/A</v>
      </c>
    </row>
    <row r="509" spans="1:21" x14ac:dyDescent="0.25">
      <c r="A509" s="12" t="s">
        <v>21</v>
      </c>
      <c r="B509" s="12" t="s">
        <v>498</v>
      </c>
      <c r="C509" s="12" t="s">
        <v>23</v>
      </c>
      <c r="D509" s="15">
        <v>46231.547083333331</v>
      </c>
      <c r="E509" s="12" t="s">
        <v>331</v>
      </c>
      <c r="F509" s="12" t="s">
        <v>134</v>
      </c>
      <c r="G509" s="12">
        <v>300</v>
      </c>
      <c r="H509" s="12">
        <v>300</v>
      </c>
      <c r="I509" s="14"/>
      <c r="J509" s="14" t="s">
        <v>26</v>
      </c>
      <c r="K509" s="12" t="s">
        <v>27</v>
      </c>
      <c r="L509" s="15"/>
      <c r="M509" s="12" t="s">
        <v>28</v>
      </c>
      <c r="N509" s="12"/>
      <c r="O509" s="12"/>
      <c r="P509" s="12"/>
      <c r="Q509" s="16">
        <v>0</v>
      </c>
      <c r="R509" s="16">
        <v>6</v>
      </c>
      <c r="S509" s="16"/>
      <c r="T509" s="16" t="e">
        <v>#N/A</v>
      </c>
      <c r="U509" s="16" t="e">
        <v>#N/A</v>
      </c>
    </row>
    <row r="510" spans="1:21" x14ac:dyDescent="0.25">
      <c r="A510" s="12" t="s">
        <v>21</v>
      </c>
      <c r="B510" s="12" t="s">
        <v>498</v>
      </c>
      <c r="C510" s="12" t="s">
        <v>23</v>
      </c>
      <c r="D510" s="15">
        <v>46231.547083333331</v>
      </c>
      <c r="E510" s="12" t="s">
        <v>331</v>
      </c>
      <c r="F510" s="12" t="s">
        <v>371</v>
      </c>
      <c r="G510" s="12">
        <v>1000</v>
      </c>
      <c r="H510" s="12">
        <v>800</v>
      </c>
      <c r="I510" s="14">
        <v>-300</v>
      </c>
      <c r="J510" s="14" t="s">
        <v>26</v>
      </c>
      <c r="K510" s="12" t="s">
        <v>27</v>
      </c>
      <c r="L510" s="15"/>
      <c r="M510" s="12" t="s">
        <v>28</v>
      </c>
      <c r="N510" s="12"/>
      <c r="O510" s="12"/>
      <c r="P510" s="12"/>
      <c r="Q510" s="16">
        <v>0</v>
      </c>
      <c r="R510" s="16">
        <v>1</v>
      </c>
      <c r="S510" s="16"/>
      <c r="T510" s="16" t="e">
        <v>#N/A</v>
      </c>
      <c r="U510" s="16" t="e">
        <v>#N/A</v>
      </c>
    </row>
    <row r="511" spans="1:21" x14ac:dyDescent="0.25">
      <c r="A511" s="12" t="s">
        <v>21</v>
      </c>
      <c r="B511" s="12" t="s">
        <v>499</v>
      </c>
      <c r="C511" s="12" t="s">
        <v>23</v>
      </c>
      <c r="D511" s="15">
        <v>46231.577476851853</v>
      </c>
      <c r="E511" s="12" t="s">
        <v>24</v>
      </c>
      <c r="F511" s="12" t="s">
        <v>354</v>
      </c>
      <c r="G511" s="12">
        <v>40</v>
      </c>
      <c r="H511" s="12">
        <v>40</v>
      </c>
      <c r="I511" s="14"/>
      <c r="J511" s="14" t="s">
        <v>26</v>
      </c>
      <c r="K511" s="12" t="s">
        <v>27</v>
      </c>
      <c r="L511" s="15"/>
      <c r="M511" s="12" t="s">
        <v>28</v>
      </c>
      <c r="N511" s="12"/>
      <c r="O511" s="12"/>
      <c r="P511" s="12"/>
      <c r="Q511" s="16">
        <v>0</v>
      </c>
      <c r="R511" s="16">
        <v>0</v>
      </c>
      <c r="S511" s="16"/>
      <c r="T511" s="16" t="e">
        <v>#N/A</v>
      </c>
      <c r="U511" s="16" t="e">
        <v>#N/A</v>
      </c>
    </row>
    <row r="512" spans="1:21" x14ac:dyDescent="0.25">
      <c r="A512" s="12" t="s">
        <v>21</v>
      </c>
      <c r="B512" s="12" t="s">
        <v>499</v>
      </c>
      <c r="C512" s="12" t="s">
        <v>23</v>
      </c>
      <c r="D512" s="15">
        <v>46231.577476851853</v>
      </c>
      <c r="E512" s="12" t="s">
        <v>24</v>
      </c>
      <c r="F512" s="12" t="s">
        <v>283</v>
      </c>
      <c r="G512" s="12">
        <v>100</v>
      </c>
      <c r="H512" s="12">
        <v>48</v>
      </c>
      <c r="I512" s="14"/>
      <c r="J512" s="14" t="s">
        <v>61</v>
      </c>
      <c r="K512" s="12" t="s">
        <v>27</v>
      </c>
      <c r="L512" s="15"/>
      <c r="M512" s="12" t="s">
        <v>28</v>
      </c>
      <c r="N512" s="12"/>
      <c r="O512" s="12"/>
      <c r="P512" s="12"/>
      <c r="Q512" s="16">
        <v>120</v>
      </c>
      <c r="R512" s="16">
        <v>0</v>
      </c>
      <c r="S512" s="16"/>
      <c r="T512" s="16" t="e">
        <v>#N/A</v>
      </c>
      <c r="U512" s="16" t="e">
        <v>#N/A</v>
      </c>
    </row>
    <row r="513" spans="1:21" x14ac:dyDescent="0.25">
      <c r="A513" s="12" t="s">
        <v>21</v>
      </c>
      <c r="B513" s="12" t="s">
        <v>499</v>
      </c>
      <c r="C513" s="12" t="s">
        <v>23</v>
      </c>
      <c r="D513" s="15">
        <v>46231.577476851853</v>
      </c>
      <c r="E513" s="12" t="s">
        <v>24</v>
      </c>
      <c r="F513" s="12" t="s">
        <v>500</v>
      </c>
      <c r="G513" s="12">
        <v>4</v>
      </c>
      <c r="H513" s="12">
        <v>1</v>
      </c>
      <c r="I513" s="14"/>
      <c r="J513" s="14" t="s">
        <v>61</v>
      </c>
      <c r="K513" s="12" t="s">
        <v>27</v>
      </c>
      <c r="L513" s="15"/>
      <c r="M513" s="12" t="s">
        <v>28</v>
      </c>
      <c r="N513" s="12"/>
      <c r="O513" s="12"/>
      <c r="P513" s="12"/>
      <c r="Q513" s="16">
        <v>4</v>
      </c>
      <c r="R513" s="16">
        <v>0</v>
      </c>
      <c r="S513" s="16"/>
      <c r="T513" s="16" t="e">
        <v>#N/A</v>
      </c>
      <c r="U513" s="16" t="e">
        <v>#N/A</v>
      </c>
    </row>
    <row r="514" spans="1:21" x14ac:dyDescent="0.25">
      <c r="A514" s="12" t="s">
        <v>21</v>
      </c>
      <c r="B514" s="12" t="s">
        <v>499</v>
      </c>
      <c r="C514" s="12" t="s">
        <v>23</v>
      </c>
      <c r="D514" s="15">
        <v>46231.577476851853</v>
      </c>
      <c r="E514" s="12" t="s">
        <v>24</v>
      </c>
      <c r="F514" s="12" t="s">
        <v>320</v>
      </c>
      <c r="G514" s="12">
        <v>300</v>
      </c>
      <c r="H514" s="12">
        <v>100</v>
      </c>
      <c r="I514" s="14"/>
      <c r="J514" s="14" t="s">
        <v>61</v>
      </c>
      <c r="K514" s="12" t="s">
        <v>27</v>
      </c>
      <c r="L514" s="15"/>
      <c r="M514" s="12" t="s">
        <v>28</v>
      </c>
      <c r="N514" s="12"/>
      <c r="O514" s="12"/>
      <c r="P514" s="12"/>
      <c r="Q514" s="16">
        <v>150</v>
      </c>
      <c r="R514" s="16">
        <v>1</v>
      </c>
      <c r="S514" s="16"/>
      <c r="T514" s="16" t="e">
        <v>#N/A</v>
      </c>
      <c r="U514" s="16" t="e">
        <v>#N/A</v>
      </c>
    </row>
    <row r="515" spans="1:21" x14ac:dyDescent="0.25">
      <c r="A515" s="12" t="s">
        <v>21</v>
      </c>
      <c r="B515" s="12" t="s">
        <v>501</v>
      </c>
      <c r="C515" s="12" t="s">
        <v>23</v>
      </c>
      <c r="D515" s="15">
        <v>46232.636412037034</v>
      </c>
      <c r="E515" s="12" t="s">
        <v>502</v>
      </c>
      <c r="F515" s="12" t="s">
        <v>157</v>
      </c>
      <c r="G515" s="12">
        <v>8</v>
      </c>
      <c r="H515" s="12">
        <v>8</v>
      </c>
      <c r="I515" s="14"/>
      <c r="J515" s="14" t="s">
        <v>61</v>
      </c>
      <c r="K515" s="12" t="s">
        <v>27</v>
      </c>
      <c r="L515" s="15"/>
      <c r="M515" s="12" t="s">
        <v>28</v>
      </c>
      <c r="N515" s="12"/>
      <c r="O515" s="12"/>
      <c r="P515" s="12"/>
      <c r="Q515" s="16">
        <v>12</v>
      </c>
      <c r="R515" s="16">
        <v>0</v>
      </c>
      <c r="S515" s="16"/>
      <c r="T515" s="16" t="e">
        <v>#N/A</v>
      </c>
      <c r="U515" s="16" t="e">
        <v>#N/A</v>
      </c>
    </row>
    <row r="516" spans="1:21" x14ac:dyDescent="0.25">
      <c r="A516" s="12" t="s">
        <v>21</v>
      </c>
      <c r="B516" s="12" t="s">
        <v>501</v>
      </c>
      <c r="C516" s="12" t="s">
        <v>23</v>
      </c>
      <c r="D516" s="15">
        <v>46232.636412037034</v>
      </c>
      <c r="E516" s="12" t="s">
        <v>502</v>
      </c>
      <c r="F516" s="12" t="s">
        <v>159</v>
      </c>
      <c r="G516" s="12">
        <v>16</v>
      </c>
      <c r="H516" s="12">
        <v>16</v>
      </c>
      <c r="I516" s="14"/>
      <c r="J516" s="14" t="s">
        <v>61</v>
      </c>
      <c r="K516" s="12" t="s">
        <v>27</v>
      </c>
      <c r="L516" s="15"/>
      <c r="M516" s="12" t="s">
        <v>28</v>
      </c>
      <c r="N516" s="12"/>
      <c r="O516" s="12"/>
      <c r="P516" s="12"/>
      <c r="Q516" s="16">
        <v>12</v>
      </c>
      <c r="R516" s="16">
        <v>0</v>
      </c>
      <c r="S516" s="16"/>
      <c r="T516" s="16" t="e">
        <v>#N/A</v>
      </c>
      <c r="U516" s="16" t="e">
        <v>#N/A</v>
      </c>
    </row>
    <row r="517" spans="1:21" x14ac:dyDescent="0.25">
      <c r="A517" s="12" t="s">
        <v>21</v>
      </c>
      <c r="B517" s="12" t="s">
        <v>503</v>
      </c>
      <c r="C517" s="12" t="s">
        <v>23</v>
      </c>
      <c r="D517" s="15">
        <v>46233.276898148149</v>
      </c>
      <c r="E517" s="12" t="s">
        <v>266</v>
      </c>
      <c r="F517" s="12" t="s">
        <v>134</v>
      </c>
      <c r="G517" s="12">
        <v>100</v>
      </c>
      <c r="H517" s="12">
        <v>100</v>
      </c>
      <c r="I517" s="14"/>
      <c r="J517" s="14" t="s">
        <v>26</v>
      </c>
      <c r="K517" s="12" t="s">
        <v>27</v>
      </c>
      <c r="L517" s="15"/>
      <c r="M517" s="12" t="s">
        <v>28</v>
      </c>
      <c r="N517" s="12"/>
      <c r="O517" s="12"/>
      <c r="P517" s="12"/>
      <c r="Q517" s="16">
        <v>0</v>
      </c>
      <c r="R517" s="16">
        <v>6</v>
      </c>
      <c r="S517" s="16"/>
      <c r="T517" s="16" t="e">
        <v>#N/A</v>
      </c>
      <c r="U517" s="16" t="e">
        <v>#N/A</v>
      </c>
    </row>
    <row r="518" spans="1:21" x14ac:dyDescent="0.25">
      <c r="A518" s="12" t="s">
        <v>21</v>
      </c>
      <c r="B518" s="12" t="s">
        <v>504</v>
      </c>
      <c r="C518" s="12" t="s">
        <v>23</v>
      </c>
      <c r="D518" s="15">
        <v>46233.394189814811</v>
      </c>
      <c r="E518" s="12" t="s">
        <v>505</v>
      </c>
      <c r="F518" s="12" t="s">
        <v>354</v>
      </c>
      <c r="G518" s="12">
        <v>18</v>
      </c>
      <c r="H518" s="12">
        <v>18</v>
      </c>
      <c r="I518" s="14"/>
      <c r="J518" s="14" t="s">
        <v>26</v>
      </c>
      <c r="K518" s="12" t="s">
        <v>27</v>
      </c>
      <c r="L518" s="15"/>
      <c r="M518" s="12" t="s">
        <v>28</v>
      </c>
      <c r="N518" s="12"/>
      <c r="O518" s="12"/>
      <c r="P518" s="12"/>
      <c r="Q518" s="16">
        <v>0</v>
      </c>
      <c r="R518" s="16">
        <v>0</v>
      </c>
      <c r="S518" s="16"/>
      <c r="T518" s="16" t="e">
        <v>#N/A</v>
      </c>
      <c r="U518" s="16" t="e">
        <v>#N/A</v>
      </c>
    </row>
    <row r="519" spans="1:21" x14ac:dyDescent="0.25">
      <c r="A519" s="12" t="s">
        <v>21</v>
      </c>
      <c r="B519" s="12" t="s">
        <v>504</v>
      </c>
      <c r="C519" s="12" t="s">
        <v>23</v>
      </c>
      <c r="D519" s="15">
        <v>46233.394189814811</v>
      </c>
      <c r="E519" s="12" t="s">
        <v>505</v>
      </c>
      <c r="F519" s="12" t="s">
        <v>268</v>
      </c>
      <c r="G519" s="12">
        <v>18</v>
      </c>
      <c r="H519" s="12">
        <v>10</v>
      </c>
      <c r="I519" s="14"/>
      <c r="J519" s="14" t="s">
        <v>61</v>
      </c>
      <c r="K519" s="12" t="s">
        <v>27</v>
      </c>
      <c r="L519" s="15"/>
      <c r="M519" s="12" t="s">
        <v>28</v>
      </c>
      <c r="N519" s="12"/>
      <c r="O519" s="12"/>
      <c r="P519" s="12"/>
      <c r="Q519" s="16">
        <v>18</v>
      </c>
      <c r="R519" s="16">
        <v>0</v>
      </c>
      <c r="S519" s="16"/>
      <c r="T519" s="16" t="e">
        <v>#N/A</v>
      </c>
      <c r="U519" s="16" t="e">
        <v>#N/A</v>
      </c>
    </row>
    <row r="520" spans="1:21" x14ac:dyDescent="0.25">
      <c r="A520" s="12" t="s">
        <v>21</v>
      </c>
      <c r="B520" s="12" t="s">
        <v>504</v>
      </c>
      <c r="C520" s="12" t="s">
        <v>23</v>
      </c>
      <c r="D520" s="15">
        <v>46233.394189814811</v>
      </c>
      <c r="E520" s="12" t="s">
        <v>505</v>
      </c>
      <c r="F520" s="12" t="s">
        <v>401</v>
      </c>
      <c r="G520" s="12">
        <v>20</v>
      </c>
      <c r="H520" s="12">
        <v>20</v>
      </c>
      <c r="I520" s="14"/>
      <c r="J520" s="14" t="s">
        <v>61</v>
      </c>
      <c r="K520" s="12" t="s">
        <v>27</v>
      </c>
      <c r="L520" s="15"/>
      <c r="M520" s="12" t="s">
        <v>28</v>
      </c>
      <c r="N520" s="12"/>
      <c r="O520" s="12"/>
      <c r="P520" s="12"/>
      <c r="Q520" s="16">
        <v>12</v>
      </c>
      <c r="R520" s="16">
        <v>0</v>
      </c>
      <c r="S520" s="16"/>
      <c r="T520" s="16" t="e">
        <v>#N/A</v>
      </c>
      <c r="U520" s="16" t="e">
        <v>#N/A</v>
      </c>
    </row>
    <row r="521" spans="1:21" x14ac:dyDescent="0.25">
      <c r="A521" s="12" t="s">
        <v>21</v>
      </c>
      <c r="B521" s="12" t="s">
        <v>506</v>
      </c>
      <c r="C521" s="12" t="s">
        <v>23</v>
      </c>
      <c r="D521" s="15">
        <v>46233.637199074074</v>
      </c>
      <c r="E521" s="12" t="s">
        <v>507</v>
      </c>
      <c r="F521" s="12" t="s">
        <v>508</v>
      </c>
      <c r="G521" s="12">
        <v>1100</v>
      </c>
      <c r="H521" s="12">
        <v>126</v>
      </c>
      <c r="I521" s="14"/>
      <c r="J521" s="14" t="s">
        <v>26</v>
      </c>
      <c r="K521" s="12" t="s">
        <v>27</v>
      </c>
      <c r="L521" s="15"/>
      <c r="M521" s="12" t="s">
        <v>28</v>
      </c>
      <c r="N521" s="12"/>
      <c r="O521" s="12"/>
      <c r="P521" s="12"/>
      <c r="Q521" s="16">
        <v>0</v>
      </c>
      <c r="R521" s="16">
        <v>1900</v>
      </c>
      <c r="S521" s="16"/>
      <c r="T521" s="16" t="e">
        <v>#N/A</v>
      </c>
      <c r="U521" s="16" t="e">
        <v>#N/A</v>
      </c>
    </row>
    <row r="522" spans="1:21" x14ac:dyDescent="0.25">
      <c r="A522" s="12" t="s">
        <v>21</v>
      </c>
      <c r="B522" s="12" t="s">
        <v>509</v>
      </c>
      <c r="C522" s="12" t="s">
        <v>23</v>
      </c>
      <c r="D522" s="15">
        <v>46233.644606481481</v>
      </c>
      <c r="E522" s="12" t="s">
        <v>511</v>
      </c>
      <c r="F522" s="12" t="s">
        <v>262</v>
      </c>
      <c r="G522" s="12">
        <v>2000</v>
      </c>
      <c r="H522" s="12">
        <v>600</v>
      </c>
      <c r="I522" s="14"/>
      <c r="J522" s="14" t="s">
        <v>26</v>
      </c>
      <c r="K522" s="12" t="s">
        <v>27</v>
      </c>
      <c r="L522" s="15"/>
      <c r="M522" s="12" t="s">
        <v>28</v>
      </c>
      <c r="N522" s="12"/>
      <c r="O522" s="12"/>
      <c r="P522" s="12"/>
      <c r="Q522" s="16">
        <v>0</v>
      </c>
      <c r="R522" s="16">
        <v>0</v>
      </c>
      <c r="S522" s="16"/>
      <c r="T522" s="16" t="e">
        <v>#N/A</v>
      </c>
      <c r="U522" s="16" t="e">
        <v>#N/A</v>
      </c>
    </row>
    <row r="523" spans="1:21" x14ac:dyDescent="0.25">
      <c r="A523" s="12" t="s">
        <v>21</v>
      </c>
      <c r="B523" s="12" t="s">
        <v>510</v>
      </c>
      <c r="C523" s="12" t="s">
        <v>23</v>
      </c>
      <c r="D523" s="15">
        <v>46234.300497685188</v>
      </c>
      <c r="E523" s="12" t="s">
        <v>398</v>
      </c>
      <c r="F523" s="12" t="s">
        <v>283</v>
      </c>
      <c r="G523" s="12">
        <v>40</v>
      </c>
      <c r="H523" s="12">
        <v>4</v>
      </c>
      <c r="I523" s="14"/>
      <c r="J523" s="14" t="s">
        <v>61</v>
      </c>
      <c r="K523" s="12" t="s">
        <v>27</v>
      </c>
      <c r="L523" s="15"/>
      <c r="M523" s="12" t="s">
        <v>28</v>
      </c>
      <c r="N523" s="12"/>
      <c r="O523" s="12"/>
      <c r="P523" s="12"/>
      <c r="Q523" s="16">
        <v>32</v>
      </c>
      <c r="R523" s="16">
        <v>0</v>
      </c>
      <c r="S523" s="16"/>
      <c r="T523" s="16" t="e">
        <v>#N/A</v>
      </c>
      <c r="U523" s="16" t="e">
        <v>#N/A</v>
      </c>
    </row>
    <row r="524" spans="1:21" x14ac:dyDescent="0.25">
      <c r="A524" s="12" t="s">
        <v>21</v>
      </c>
      <c r="B524" s="12" t="s">
        <v>512</v>
      </c>
      <c r="C524" s="12" t="s">
        <v>23</v>
      </c>
      <c r="D524" s="15">
        <v>46234.302766203706</v>
      </c>
      <c r="E524" s="12" t="s">
        <v>331</v>
      </c>
      <c r="F524" s="12" t="s">
        <v>513</v>
      </c>
      <c r="G524" s="12">
        <v>10</v>
      </c>
      <c r="H524" s="12">
        <v>10</v>
      </c>
      <c r="I524" s="14">
        <v>-5</v>
      </c>
      <c r="J524" s="14" t="s">
        <v>26</v>
      </c>
      <c r="K524" s="12" t="s">
        <v>27</v>
      </c>
      <c r="L524" s="15"/>
      <c r="M524" s="12" t="s">
        <v>28</v>
      </c>
      <c r="N524" s="12"/>
      <c r="O524" s="12"/>
      <c r="P524" s="12"/>
      <c r="Q524" s="16">
        <v>0</v>
      </c>
      <c r="R524" s="16">
        <v>0</v>
      </c>
      <c r="S524" s="16"/>
      <c r="T524" s="16" t="e">
        <v>#N/A</v>
      </c>
      <c r="U524" s="16" t="e">
        <v>#N/A</v>
      </c>
    </row>
    <row r="525" spans="1:21" x14ac:dyDescent="0.25">
      <c r="A525" s="12" t="s">
        <v>21</v>
      </c>
      <c r="B525" s="12" t="s">
        <v>514</v>
      </c>
      <c r="C525" s="12" t="s">
        <v>23</v>
      </c>
      <c r="D525" s="15">
        <v>46234.303749999999</v>
      </c>
      <c r="E525" s="12" t="s">
        <v>24</v>
      </c>
      <c r="F525" s="12" t="s">
        <v>515</v>
      </c>
      <c r="G525" s="12">
        <v>5</v>
      </c>
      <c r="H525" s="12">
        <v>5</v>
      </c>
      <c r="I525" s="14"/>
      <c r="J525" s="14" t="s">
        <v>61</v>
      </c>
      <c r="K525" s="12" t="s">
        <v>516</v>
      </c>
      <c r="L525" s="15">
        <v>1</v>
      </c>
      <c r="M525" s="12" t="s">
        <v>150</v>
      </c>
      <c r="N525" s="12">
        <v>5</v>
      </c>
      <c r="O525" s="12">
        <v>5</v>
      </c>
      <c r="P525" s="12">
        <v>0</v>
      </c>
      <c r="Q525" s="16">
        <v>27</v>
      </c>
      <c r="R525" s="16">
        <v>0</v>
      </c>
      <c r="S525" s="16"/>
      <c r="T525" s="16" t="e">
        <v>#N/A</v>
      </c>
      <c r="U525" s="16" t="e">
        <v>#N/A</v>
      </c>
    </row>
    <row r="526" spans="1:21" x14ac:dyDescent="0.25">
      <c r="A526" s="12" t="s">
        <v>21</v>
      </c>
      <c r="B526" s="12" t="s">
        <v>517</v>
      </c>
      <c r="C526" s="12" t="s">
        <v>23</v>
      </c>
      <c r="D526" s="15">
        <v>46234.482245370367</v>
      </c>
      <c r="E526" s="12" t="s">
        <v>393</v>
      </c>
      <c r="F526" s="12" t="s">
        <v>374</v>
      </c>
      <c r="G526" s="12">
        <v>20</v>
      </c>
      <c r="H526" s="12">
        <v>20</v>
      </c>
      <c r="I526" s="14"/>
      <c r="J526" s="14" t="s">
        <v>26</v>
      </c>
      <c r="K526" s="12" t="s">
        <v>27</v>
      </c>
      <c r="L526" s="15"/>
      <c r="M526" s="12" t="s">
        <v>28</v>
      </c>
      <c r="N526" s="12"/>
      <c r="O526" s="12"/>
      <c r="P526" s="12"/>
      <c r="Q526" s="16">
        <v>0</v>
      </c>
      <c r="R526" s="16">
        <v>0</v>
      </c>
      <c r="S526" s="16">
        <v>12</v>
      </c>
      <c r="T526" s="16" t="e">
        <v>#N/A</v>
      </c>
      <c r="U526" s="16" t="e">
        <v>#N/A</v>
      </c>
    </row>
    <row r="527" spans="1:21" x14ac:dyDescent="0.25">
      <c r="A527" s="12" t="s">
        <v>21</v>
      </c>
      <c r="B527" s="12" t="s">
        <v>518</v>
      </c>
      <c r="C527" s="12" t="s">
        <v>23</v>
      </c>
      <c r="D527" s="15">
        <v>46234.563368055555</v>
      </c>
      <c r="E527" s="12" t="s">
        <v>398</v>
      </c>
      <c r="F527" s="12" t="s">
        <v>519</v>
      </c>
      <c r="G527" s="12">
        <v>2</v>
      </c>
      <c r="H527" s="12">
        <v>2</v>
      </c>
      <c r="I527" s="14"/>
      <c r="J527" s="14" t="s">
        <v>26</v>
      </c>
      <c r="K527" s="12" t="s">
        <v>520</v>
      </c>
      <c r="L527" s="15">
        <v>1</v>
      </c>
      <c r="M527" s="12" t="s">
        <v>150</v>
      </c>
      <c r="N527" s="12">
        <v>2</v>
      </c>
      <c r="O527" s="12">
        <v>2</v>
      </c>
      <c r="P527" s="12">
        <v>0</v>
      </c>
      <c r="Q527" s="16">
        <v>0</v>
      </c>
      <c r="R527" s="16">
        <v>1</v>
      </c>
      <c r="S527" s="16"/>
      <c r="T527" s="16" t="e">
        <v>#N/A</v>
      </c>
      <c r="U527" s="16" t="e">
        <v>#N/A</v>
      </c>
    </row>
    <row r="528" spans="1:21" x14ac:dyDescent="0.25">
      <c r="A528" s="12" t="s">
        <v>21</v>
      </c>
      <c r="B528" s="12" t="s">
        <v>521</v>
      </c>
      <c r="C528" s="12" t="s">
        <v>23</v>
      </c>
      <c r="D528" s="15">
        <v>46235.515069444446</v>
      </c>
      <c r="E528" s="12" t="s">
        <v>522</v>
      </c>
      <c r="F528" s="12" t="s">
        <v>157</v>
      </c>
      <c r="G528" s="12">
        <v>20</v>
      </c>
      <c r="H528" s="12">
        <v>20</v>
      </c>
      <c r="I528" s="14"/>
      <c r="J528" s="14" t="s">
        <v>26</v>
      </c>
      <c r="K528" s="12" t="s">
        <v>27</v>
      </c>
      <c r="L528" s="15"/>
      <c r="M528" s="12" t="s">
        <v>28</v>
      </c>
      <c r="N528" s="12"/>
      <c r="O528" s="12"/>
      <c r="P528" s="12"/>
      <c r="Q528" s="16">
        <v>0</v>
      </c>
      <c r="R528" s="16">
        <v>0</v>
      </c>
      <c r="S528" s="16"/>
      <c r="T528" s="16" t="e">
        <v>#N/A</v>
      </c>
      <c r="U528" s="16" t="e">
        <v>#N/A</v>
      </c>
    </row>
    <row r="529" spans="1:21" x14ac:dyDescent="0.25">
      <c r="A529" s="12" t="s">
        <v>21</v>
      </c>
      <c r="B529" s="12" t="s">
        <v>521</v>
      </c>
      <c r="C529" s="12" t="s">
        <v>23</v>
      </c>
      <c r="D529" s="15">
        <v>46235.515069444446</v>
      </c>
      <c r="E529" s="12" t="s">
        <v>522</v>
      </c>
      <c r="F529" s="12" t="s">
        <v>523</v>
      </c>
      <c r="G529" s="12">
        <v>20</v>
      </c>
      <c r="H529" s="12">
        <v>10</v>
      </c>
      <c r="I529" s="14"/>
      <c r="J529" s="14" t="s">
        <v>26</v>
      </c>
      <c r="K529" s="12" t="s">
        <v>27</v>
      </c>
      <c r="L529" s="15"/>
      <c r="M529" s="12" t="s">
        <v>28</v>
      </c>
      <c r="N529" s="12"/>
      <c r="O529" s="12"/>
      <c r="P529" s="12"/>
      <c r="Q529" s="16">
        <v>0</v>
      </c>
      <c r="R529" s="16">
        <v>3</v>
      </c>
      <c r="S529" s="16"/>
      <c r="T529" s="16" t="e">
        <v>#N/A</v>
      </c>
      <c r="U529" s="16" t="e">
        <v>#N/A</v>
      </c>
    </row>
    <row r="530" spans="1:21" x14ac:dyDescent="0.25">
      <c r="A530" s="12" t="s">
        <v>21</v>
      </c>
      <c r="B530" s="12" t="s">
        <v>524</v>
      </c>
      <c r="C530" s="12" t="s">
        <v>23</v>
      </c>
      <c r="D530" s="15">
        <v>46235.515706018516</v>
      </c>
      <c r="E530" s="12" t="s">
        <v>436</v>
      </c>
      <c r="F530" s="12" t="s">
        <v>157</v>
      </c>
      <c r="G530" s="12">
        <v>10</v>
      </c>
      <c r="H530" s="12">
        <v>10</v>
      </c>
      <c r="I530" s="14"/>
      <c r="J530" s="14" t="s">
        <v>61</v>
      </c>
      <c r="K530" s="12" t="s">
        <v>27</v>
      </c>
      <c r="L530" s="15"/>
      <c r="M530" s="12" t="s">
        <v>28</v>
      </c>
      <c r="N530" s="12"/>
      <c r="O530" s="12"/>
      <c r="P530" s="12"/>
      <c r="Q530" s="16">
        <v>10</v>
      </c>
      <c r="R530" s="16">
        <v>0</v>
      </c>
      <c r="S530" s="16"/>
      <c r="T530" s="16" t="e">
        <v>#N/A</v>
      </c>
      <c r="U530" s="16" t="e">
        <v>#N/A</v>
      </c>
    </row>
    <row r="531" spans="1:21" x14ac:dyDescent="0.25">
      <c r="A531" s="12" t="s">
        <v>21</v>
      </c>
      <c r="B531" s="12" t="s">
        <v>524</v>
      </c>
      <c r="C531" s="12" t="s">
        <v>23</v>
      </c>
      <c r="D531" s="15">
        <v>46235.515706018516</v>
      </c>
      <c r="E531" s="12" t="s">
        <v>436</v>
      </c>
      <c r="F531" s="12" t="s">
        <v>261</v>
      </c>
      <c r="G531" s="12">
        <v>30</v>
      </c>
      <c r="H531" s="12">
        <v>30</v>
      </c>
      <c r="I531" s="14"/>
      <c r="J531" s="14" t="s">
        <v>26</v>
      </c>
      <c r="K531" s="12" t="s">
        <v>27</v>
      </c>
      <c r="L531" s="15"/>
      <c r="M531" s="12" t="s">
        <v>28</v>
      </c>
      <c r="N531" s="12"/>
      <c r="O531" s="12"/>
      <c r="P531" s="12"/>
      <c r="Q531" s="16">
        <v>0</v>
      </c>
      <c r="R531" s="16">
        <v>0</v>
      </c>
      <c r="S531" s="16">
        <v>22</v>
      </c>
      <c r="T531" s="16" t="e">
        <v>#N/A</v>
      </c>
      <c r="U531" s="16" t="e">
        <v>#N/A</v>
      </c>
    </row>
    <row r="532" spans="1:21" x14ac:dyDescent="0.25">
      <c r="A532" s="12" t="s">
        <v>21</v>
      </c>
      <c r="B532" s="12" t="s">
        <v>524</v>
      </c>
      <c r="C532" s="12" t="s">
        <v>23</v>
      </c>
      <c r="D532" s="15">
        <v>46235.515706018516</v>
      </c>
      <c r="E532" s="12" t="s">
        <v>436</v>
      </c>
      <c r="F532" s="12" t="s">
        <v>71</v>
      </c>
      <c r="G532" s="12">
        <v>100</v>
      </c>
      <c r="H532" s="12">
        <v>100</v>
      </c>
      <c r="I532" s="14"/>
      <c r="J532" s="14" t="s">
        <v>61</v>
      </c>
      <c r="K532" s="12" t="s">
        <v>27</v>
      </c>
      <c r="L532" s="15"/>
      <c r="M532" s="12" t="s">
        <v>28</v>
      </c>
      <c r="N532" s="12"/>
      <c r="O532" s="12"/>
      <c r="P532" s="12"/>
      <c r="Q532" s="16">
        <v>10</v>
      </c>
      <c r="R532" s="16">
        <v>0</v>
      </c>
      <c r="S532" s="16"/>
      <c r="T532" s="16" t="e">
        <v>#N/A</v>
      </c>
      <c r="U532" s="16" t="e">
        <v>#N/A</v>
      </c>
    </row>
    <row r="533" spans="1:21" x14ac:dyDescent="0.25">
      <c r="A533" s="12" t="s">
        <v>21</v>
      </c>
      <c r="B533" s="12" t="s">
        <v>524</v>
      </c>
      <c r="C533" s="12" t="s">
        <v>23</v>
      </c>
      <c r="D533" s="15">
        <v>46235.515706018516</v>
      </c>
      <c r="E533" s="12" t="s">
        <v>436</v>
      </c>
      <c r="F533" s="12" t="s">
        <v>283</v>
      </c>
      <c r="G533" s="12">
        <v>75</v>
      </c>
      <c r="H533" s="12">
        <v>75</v>
      </c>
      <c r="I533" s="14"/>
      <c r="J533" s="14" t="s">
        <v>61</v>
      </c>
      <c r="K533" s="12" t="s">
        <v>27</v>
      </c>
      <c r="L533" s="15"/>
      <c r="M533" s="12" t="s">
        <v>28</v>
      </c>
      <c r="N533" s="12"/>
      <c r="O533" s="12"/>
      <c r="P533" s="12"/>
      <c r="Q533" s="16">
        <v>30</v>
      </c>
      <c r="R533" s="16">
        <v>0</v>
      </c>
      <c r="S533" s="16"/>
      <c r="T533" s="16" t="e">
        <v>#N/A</v>
      </c>
      <c r="U533" s="16" t="e">
        <v>#N/A</v>
      </c>
    </row>
    <row r="534" spans="1:21" x14ac:dyDescent="0.25">
      <c r="A534" s="12" t="s">
        <v>21</v>
      </c>
      <c r="B534" s="12" t="s">
        <v>524</v>
      </c>
      <c r="C534" s="12" t="s">
        <v>23</v>
      </c>
      <c r="D534" s="15">
        <v>46235.515706018516</v>
      </c>
      <c r="E534" s="12" t="s">
        <v>436</v>
      </c>
      <c r="F534" s="12" t="s">
        <v>525</v>
      </c>
      <c r="G534" s="12">
        <v>60</v>
      </c>
      <c r="H534" s="12">
        <v>60</v>
      </c>
      <c r="I534" s="14"/>
      <c r="J534" s="14" t="s">
        <v>26</v>
      </c>
      <c r="K534" s="12" t="s">
        <v>27</v>
      </c>
      <c r="L534" s="15"/>
      <c r="M534" s="12" t="s">
        <v>28</v>
      </c>
      <c r="N534" s="12"/>
      <c r="O534" s="12"/>
      <c r="P534" s="12"/>
      <c r="Q534" s="16">
        <v>0</v>
      </c>
      <c r="R534" s="16">
        <v>0</v>
      </c>
      <c r="S534" s="16"/>
      <c r="T534" s="16" t="e">
        <v>#N/A</v>
      </c>
      <c r="U534" s="16" t="e">
        <v>#N/A</v>
      </c>
    </row>
    <row r="535" spans="1:21" x14ac:dyDescent="0.25">
      <c r="A535" s="12" t="s">
        <v>21</v>
      </c>
      <c r="B535" s="12" t="s">
        <v>524</v>
      </c>
      <c r="C535" s="12" t="s">
        <v>23</v>
      </c>
      <c r="D535" s="15">
        <v>46235.515706018516</v>
      </c>
      <c r="E535" s="12" t="s">
        <v>436</v>
      </c>
      <c r="F535" s="12" t="s">
        <v>401</v>
      </c>
      <c r="G535" s="12">
        <v>18</v>
      </c>
      <c r="H535" s="12">
        <v>18</v>
      </c>
      <c r="I535" s="14"/>
      <c r="J535" s="14" t="s">
        <v>26</v>
      </c>
      <c r="K535" s="12" t="s">
        <v>27</v>
      </c>
      <c r="L535" s="15"/>
      <c r="M535" s="12" t="s">
        <v>28</v>
      </c>
      <c r="N535" s="12"/>
      <c r="O535" s="12"/>
      <c r="P535" s="12"/>
      <c r="Q535" s="16">
        <v>0</v>
      </c>
      <c r="R535" s="16">
        <v>0</v>
      </c>
      <c r="S535" s="16"/>
      <c r="T535" s="16" t="e">
        <v>#N/A</v>
      </c>
      <c r="U535" s="16" t="e">
        <v>#N/A</v>
      </c>
    </row>
    <row r="536" spans="1:21" x14ac:dyDescent="0.25">
      <c r="A536" s="12" t="s">
        <v>21</v>
      </c>
      <c r="B536" s="12" t="s">
        <v>524</v>
      </c>
      <c r="C536" s="12" t="s">
        <v>23</v>
      </c>
      <c r="D536" s="15">
        <v>46235.515706018516</v>
      </c>
      <c r="E536" s="12" t="s">
        <v>436</v>
      </c>
      <c r="F536" s="12" t="s">
        <v>454</v>
      </c>
      <c r="G536" s="12">
        <v>30</v>
      </c>
      <c r="H536" s="12">
        <v>30</v>
      </c>
      <c r="I536" s="14"/>
      <c r="J536" s="14" t="s">
        <v>26</v>
      </c>
      <c r="K536" s="12" t="s">
        <v>27</v>
      </c>
      <c r="L536" s="15"/>
      <c r="M536" s="12" t="s">
        <v>28</v>
      </c>
      <c r="N536" s="12"/>
      <c r="O536" s="12"/>
      <c r="P536" s="12"/>
      <c r="Q536" s="16">
        <v>0</v>
      </c>
      <c r="R536" s="16">
        <v>0</v>
      </c>
      <c r="S536" s="16"/>
      <c r="T536" s="16" t="e">
        <v>#N/A</v>
      </c>
      <c r="U536" s="16" t="e">
        <v>#N/A</v>
      </c>
    </row>
    <row r="537" spans="1:21" x14ac:dyDescent="0.25">
      <c r="A537" s="12" t="s">
        <v>21</v>
      </c>
      <c r="B537" s="12" t="s">
        <v>526</v>
      </c>
      <c r="C537" s="12" t="s">
        <v>23</v>
      </c>
      <c r="D537" s="15">
        <v>46237.378981481481</v>
      </c>
      <c r="E537" s="12" t="s">
        <v>24</v>
      </c>
      <c r="F537" s="12" t="s">
        <v>527</v>
      </c>
      <c r="G537" s="12">
        <v>2</v>
      </c>
      <c r="H537" s="12">
        <v>2</v>
      </c>
      <c r="I537" s="14"/>
      <c r="J537" s="14" t="s">
        <v>61</v>
      </c>
      <c r="K537" s="12" t="s">
        <v>27</v>
      </c>
      <c r="L537" s="15"/>
      <c r="M537" s="12" t="s">
        <v>28</v>
      </c>
      <c r="N537" s="12"/>
      <c r="O537" s="12"/>
      <c r="P537" s="12"/>
      <c r="Q537" s="16">
        <v>4</v>
      </c>
      <c r="R537" s="16">
        <v>0</v>
      </c>
      <c r="S537" s="16"/>
      <c r="T537" s="16" t="e">
        <v>#N/A</v>
      </c>
      <c r="U537" s="16" t="e">
        <v>#N/A</v>
      </c>
    </row>
    <row r="538" spans="1:21" x14ac:dyDescent="0.25">
      <c r="A538" s="12" t="s">
        <v>21</v>
      </c>
      <c r="B538" s="12" t="s">
        <v>528</v>
      </c>
      <c r="C538" s="12" t="s">
        <v>23</v>
      </c>
      <c r="D538" s="15">
        <v>46237.429085648146</v>
      </c>
      <c r="E538" s="12" t="s">
        <v>345</v>
      </c>
      <c r="F538" s="12" t="s">
        <v>130</v>
      </c>
      <c r="G538" s="12">
        <v>100</v>
      </c>
      <c r="H538" s="12">
        <v>100</v>
      </c>
      <c r="I538" s="14"/>
      <c r="J538" s="14" t="s">
        <v>26</v>
      </c>
      <c r="K538" s="12" t="s">
        <v>27</v>
      </c>
      <c r="L538" s="15"/>
      <c r="M538" s="12" t="s">
        <v>28</v>
      </c>
      <c r="N538" s="12"/>
      <c r="O538" s="12"/>
      <c r="P538" s="12"/>
      <c r="Q538" s="16">
        <v>0</v>
      </c>
      <c r="R538" s="16">
        <v>6</v>
      </c>
      <c r="S538" s="16"/>
      <c r="T538" s="16" t="e">
        <v>#N/A</v>
      </c>
      <c r="U538" s="16" t="e">
        <v>#N/A</v>
      </c>
    </row>
    <row r="539" spans="1:21" x14ac:dyDescent="0.25">
      <c r="A539" s="12" t="s">
        <v>21</v>
      </c>
      <c r="B539" s="12" t="s">
        <v>528</v>
      </c>
      <c r="C539" s="12" t="s">
        <v>23</v>
      </c>
      <c r="D539" s="15">
        <v>46237.429085648146</v>
      </c>
      <c r="E539" s="12" t="s">
        <v>345</v>
      </c>
      <c r="F539" s="12" t="s">
        <v>134</v>
      </c>
      <c r="G539" s="12">
        <v>100</v>
      </c>
      <c r="H539" s="12">
        <v>100</v>
      </c>
      <c r="I539" s="14"/>
      <c r="J539" s="14" t="s">
        <v>26</v>
      </c>
      <c r="K539" s="12" t="s">
        <v>27</v>
      </c>
      <c r="L539" s="15"/>
      <c r="M539" s="12" t="s">
        <v>28</v>
      </c>
      <c r="N539" s="12"/>
      <c r="O539" s="12"/>
      <c r="P539" s="12"/>
      <c r="Q539" s="16">
        <v>0</v>
      </c>
      <c r="R539" s="16">
        <v>6</v>
      </c>
      <c r="S539" s="16"/>
      <c r="T539" s="16" t="e">
        <v>#N/A</v>
      </c>
      <c r="U539" s="16" t="e">
        <v>#N/A</v>
      </c>
    </row>
    <row r="540" spans="1:21" x14ac:dyDescent="0.25">
      <c r="A540" s="12" t="s">
        <v>21</v>
      </c>
      <c r="B540" s="12" t="s">
        <v>529</v>
      </c>
      <c r="C540" s="12" t="s">
        <v>23</v>
      </c>
      <c r="D540" s="15">
        <v>46237.443969907406</v>
      </c>
      <c r="E540" s="12" t="s">
        <v>24</v>
      </c>
      <c r="F540" s="12" t="s">
        <v>530</v>
      </c>
      <c r="G540" s="12">
        <v>10</v>
      </c>
      <c r="H540" s="12">
        <v>2</v>
      </c>
      <c r="I540" s="14"/>
      <c r="J540" s="14" t="s">
        <v>61</v>
      </c>
      <c r="K540" s="12" t="s">
        <v>27</v>
      </c>
      <c r="L540" s="15"/>
      <c r="M540" s="12" t="s">
        <v>28</v>
      </c>
      <c r="N540" s="12"/>
      <c r="O540" s="12"/>
      <c r="P540" s="12"/>
      <c r="Q540" s="16">
        <v>10</v>
      </c>
      <c r="R540" s="16">
        <v>0</v>
      </c>
      <c r="S540" s="16"/>
      <c r="T540" s="16" t="e">
        <v>#N/A</v>
      </c>
      <c r="U540" s="16" t="e">
        <v>#N/A</v>
      </c>
    </row>
    <row r="541" spans="1:21" x14ac:dyDescent="0.25">
      <c r="A541" s="12" t="s">
        <v>21</v>
      </c>
      <c r="B541" s="12" t="s">
        <v>529</v>
      </c>
      <c r="C541" s="12" t="s">
        <v>23</v>
      </c>
      <c r="D541" s="15">
        <v>46237.443969907406</v>
      </c>
      <c r="E541" s="12" t="s">
        <v>24</v>
      </c>
      <c r="F541" s="12" t="s">
        <v>531</v>
      </c>
      <c r="G541" s="12">
        <v>10</v>
      </c>
      <c r="H541" s="12">
        <v>10</v>
      </c>
      <c r="I541" s="14"/>
      <c r="J541" s="14" t="s">
        <v>61</v>
      </c>
      <c r="K541" s="12" t="s">
        <v>27</v>
      </c>
      <c r="L541" s="15"/>
      <c r="M541" s="12" t="s">
        <v>28</v>
      </c>
      <c r="N541" s="12"/>
      <c r="O541" s="12"/>
      <c r="P541" s="12"/>
      <c r="Q541" s="16">
        <v>10</v>
      </c>
      <c r="R541" s="16">
        <v>0</v>
      </c>
      <c r="S541" s="16"/>
      <c r="T541" s="16" t="e">
        <v>#N/A</v>
      </c>
      <c r="U541" s="16" t="e">
        <v>#N/A</v>
      </c>
    </row>
    <row r="542" spans="1:21" x14ac:dyDescent="0.25">
      <c r="A542" s="12" t="s">
        <v>21</v>
      </c>
      <c r="B542" s="12" t="s">
        <v>529</v>
      </c>
      <c r="C542" s="12" t="s">
        <v>23</v>
      </c>
      <c r="D542" s="15">
        <v>46237.443969907406</v>
      </c>
      <c r="E542" s="12" t="s">
        <v>24</v>
      </c>
      <c r="F542" s="12" t="s">
        <v>532</v>
      </c>
      <c r="G542" s="12">
        <v>5</v>
      </c>
      <c r="H542" s="12">
        <v>5</v>
      </c>
      <c r="I542" s="14"/>
      <c r="J542" s="14" t="s">
        <v>26</v>
      </c>
      <c r="K542" s="12" t="s">
        <v>27</v>
      </c>
      <c r="L542" s="15"/>
      <c r="M542" s="12" t="s">
        <v>28</v>
      </c>
      <c r="N542" s="12"/>
      <c r="O542" s="12"/>
      <c r="P542" s="12"/>
      <c r="Q542" s="16">
        <v>0</v>
      </c>
      <c r="R542" s="16">
        <v>0</v>
      </c>
      <c r="S542" s="16"/>
      <c r="T542" s="16" t="e">
        <v>#N/A</v>
      </c>
      <c r="U542" s="16" t="e">
        <v>#N/A</v>
      </c>
    </row>
    <row r="543" spans="1:21" x14ac:dyDescent="0.25">
      <c r="A543" s="12" t="s">
        <v>21</v>
      </c>
      <c r="B543" s="12" t="s">
        <v>533</v>
      </c>
      <c r="C543" s="12" t="s">
        <v>23</v>
      </c>
      <c r="D543" s="15">
        <v>46237.444467592592</v>
      </c>
      <c r="E543" s="12" t="s">
        <v>24</v>
      </c>
      <c r="F543" s="12" t="s">
        <v>449</v>
      </c>
      <c r="G543" s="12">
        <v>300</v>
      </c>
      <c r="H543" s="12">
        <v>150</v>
      </c>
      <c r="I543" s="14"/>
      <c r="J543" s="14" t="s">
        <v>26</v>
      </c>
      <c r="K543" s="12" t="s">
        <v>27</v>
      </c>
      <c r="L543" s="15"/>
      <c r="M543" s="12" t="s">
        <v>28</v>
      </c>
      <c r="N543" s="12"/>
      <c r="O543" s="12"/>
      <c r="P543" s="12"/>
      <c r="Q543" s="16">
        <v>0</v>
      </c>
      <c r="R543" s="16">
        <v>0</v>
      </c>
      <c r="S543" s="16"/>
      <c r="T543" s="16" t="e">
        <v>#N/A</v>
      </c>
      <c r="U543" s="16" t="e">
        <v>#N/A</v>
      </c>
    </row>
    <row r="544" spans="1:21" x14ac:dyDescent="0.25">
      <c r="A544" s="12" t="s">
        <v>21</v>
      </c>
      <c r="B544" s="12" t="s">
        <v>534</v>
      </c>
      <c r="C544" s="12" t="s">
        <v>23</v>
      </c>
      <c r="D544" s="15">
        <v>46237.630509259259</v>
      </c>
      <c r="E544" s="12" t="s">
        <v>24</v>
      </c>
      <c r="F544" s="12" t="s">
        <v>535</v>
      </c>
      <c r="G544" s="12">
        <v>6</v>
      </c>
      <c r="H544" s="12">
        <v>6</v>
      </c>
      <c r="I544" s="14"/>
      <c r="J544" s="14" t="s">
        <v>26</v>
      </c>
      <c r="K544" s="12" t="s">
        <v>27</v>
      </c>
      <c r="L544" s="15"/>
      <c r="M544" s="12" t="s">
        <v>28</v>
      </c>
      <c r="N544" s="12"/>
      <c r="O544" s="12"/>
      <c r="P544" s="12"/>
      <c r="Q544" s="16">
        <v>0</v>
      </c>
      <c r="R544" s="16">
        <v>0</v>
      </c>
      <c r="S544" s="16"/>
      <c r="T544" s="16" t="e">
        <v>#N/A</v>
      </c>
      <c r="U544" s="16" t="e">
        <v>#N/A</v>
      </c>
    </row>
    <row r="545" spans="1:21" x14ac:dyDescent="0.25">
      <c r="A545" s="12" t="s">
        <v>21</v>
      </c>
      <c r="B545" s="12" t="s">
        <v>534</v>
      </c>
      <c r="C545" s="12" t="s">
        <v>23</v>
      </c>
      <c r="D545" s="15">
        <v>46237.630509259259</v>
      </c>
      <c r="E545" s="12" t="s">
        <v>24</v>
      </c>
      <c r="F545" s="12" t="s">
        <v>48</v>
      </c>
      <c r="G545" s="12">
        <v>200</v>
      </c>
      <c r="H545" s="12">
        <v>200</v>
      </c>
      <c r="I545" s="14"/>
      <c r="J545" s="14" t="s">
        <v>26</v>
      </c>
      <c r="K545" s="12" t="s">
        <v>27</v>
      </c>
      <c r="L545" s="15"/>
      <c r="M545" s="12" t="s">
        <v>28</v>
      </c>
      <c r="N545" s="12"/>
      <c r="O545" s="12"/>
      <c r="P545" s="12"/>
      <c r="Q545" s="16">
        <v>0</v>
      </c>
      <c r="R545" s="16">
        <v>3758</v>
      </c>
      <c r="S545" s="16"/>
      <c r="T545" s="16" t="e">
        <v>#N/A</v>
      </c>
      <c r="U545" s="16" t="e">
        <v>#N/A</v>
      </c>
    </row>
    <row r="546" spans="1:21" x14ac:dyDescent="0.25">
      <c r="A546" s="12" t="s">
        <v>21</v>
      </c>
      <c r="B546" s="12" t="s">
        <v>536</v>
      </c>
      <c r="C546" s="12" t="s">
        <v>23</v>
      </c>
      <c r="D546" s="15">
        <v>46238.275856481479</v>
      </c>
      <c r="E546" s="12" t="s">
        <v>24</v>
      </c>
      <c r="F546" s="12" t="s">
        <v>374</v>
      </c>
      <c r="G546" s="12">
        <v>40</v>
      </c>
      <c r="H546" s="12">
        <v>40</v>
      </c>
      <c r="I546" s="14"/>
      <c r="J546" s="14" t="s">
        <v>26</v>
      </c>
      <c r="K546" s="12" t="s">
        <v>27</v>
      </c>
      <c r="L546" s="15"/>
      <c r="M546" s="12" t="s">
        <v>28</v>
      </c>
      <c r="N546" s="12"/>
      <c r="O546" s="12"/>
      <c r="P546" s="12"/>
      <c r="Q546" s="16">
        <v>0</v>
      </c>
      <c r="R546" s="16">
        <v>0</v>
      </c>
      <c r="S546" s="16"/>
      <c r="T546" s="16" t="e">
        <v>#N/A</v>
      </c>
      <c r="U546" s="16" t="e">
        <v>#N/A</v>
      </c>
    </row>
    <row r="547" spans="1:21" x14ac:dyDescent="0.25">
      <c r="A547" s="12" t="s">
        <v>21</v>
      </c>
      <c r="B547" s="12" t="s">
        <v>536</v>
      </c>
      <c r="C547" s="12" t="s">
        <v>23</v>
      </c>
      <c r="D547" s="15">
        <v>46238.275856481479</v>
      </c>
      <c r="E547" s="12" t="s">
        <v>24</v>
      </c>
      <c r="F547" s="12" t="s">
        <v>525</v>
      </c>
      <c r="G547" s="12">
        <v>120</v>
      </c>
      <c r="H547" s="12">
        <v>80</v>
      </c>
      <c r="I547" s="14"/>
      <c r="J547" s="14" t="s">
        <v>61</v>
      </c>
      <c r="K547" s="12" t="s">
        <v>27</v>
      </c>
      <c r="L547" s="15"/>
      <c r="M547" s="12" t="s">
        <v>28</v>
      </c>
      <c r="N547" s="12"/>
      <c r="O547" s="12"/>
      <c r="P547" s="12"/>
      <c r="Q547" s="16">
        <v>120</v>
      </c>
      <c r="R547" s="16">
        <v>0</v>
      </c>
      <c r="S547" s="16"/>
      <c r="T547" s="16" t="e">
        <v>#N/A</v>
      </c>
      <c r="U547" s="16" t="e">
        <v>#N/A</v>
      </c>
    </row>
    <row r="548" spans="1:21" x14ac:dyDescent="0.25">
      <c r="A548" s="12" t="s">
        <v>21</v>
      </c>
      <c r="B548" s="12" t="s">
        <v>537</v>
      </c>
      <c r="C548" s="12" t="s">
        <v>23</v>
      </c>
      <c r="D548" s="15">
        <v>46238.420185185183</v>
      </c>
      <c r="E548" s="12" t="s">
        <v>266</v>
      </c>
      <c r="F548" s="12" t="s">
        <v>267</v>
      </c>
      <c r="G548" s="12">
        <v>12</v>
      </c>
      <c r="H548" s="12">
        <v>12</v>
      </c>
      <c r="I548" s="14"/>
      <c r="J548" s="14" t="s">
        <v>61</v>
      </c>
      <c r="K548" s="12" t="s">
        <v>27</v>
      </c>
      <c r="L548" s="15"/>
      <c r="M548" s="12" t="s">
        <v>28</v>
      </c>
      <c r="N548" s="12"/>
      <c r="O548" s="12"/>
      <c r="P548" s="12"/>
      <c r="Q548" s="16">
        <v>12</v>
      </c>
      <c r="R548" s="16">
        <v>0</v>
      </c>
      <c r="S548" s="16">
        <v>10</v>
      </c>
      <c r="T548" s="16" t="e">
        <v>#N/A</v>
      </c>
      <c r="U548" s="16" t="e">
        <v>#N/A</v>
      </c>
    </row>
    <row r="549" spans="1:21" x14ac:dyDescent="0.25">
      <c r="A549" s="12" t="s">
        <v>21</v>
      </c>
      <c r="B549" s="12" t="s">
        <v>538</v>
      </c>
      <c r="C549" s="12" t="s">
        <v>23</v>
      </c>
      <c r="D549" s="15">
        <v>46238.533275462964</v>
      </c>
      <c r="E549" s="12" t="s">
        <v>258</v>
      </c>
      <c r="F549" s="12" t="s">
        <v>283</v>
      </c>
      <c r="G549" s="12">
        <v>80</v>
      </c>
      <c r="H549" s="12">
        <v>80</v>
      </c>
      <c r="I549" s="14"/>
      <c r="J549" s="14" t="s">
        <v>26</v>
      </c>
      <c r="K549" s="12" t="s">
        <v>27</v>
      </c>
      <c r="L549" s="15"/>
      <c r="M549" s="12" t="s">
        <v>28</v>
      </c>
      <c r="N549" s="12"/>
      <c r="O549" s="12"/>
      <c r="P549" s="12"/>
      <c r="Q549" s="16">
        <v>0</v>
      </c>
      <c r="R549" s="16">
        <v>0</v>
      </c>
      <c r="S549" s="16"/>
      <c r="T549" s="16" t="e">
        <v>#N/A</v>
      </c>
      <c r="U549" s="16" t="e">
        <v>#N/A</v>
      </c>
    </row>
    <row r="550" spans="1:21" x14ac:dyDescent="0.25">
      <c r="A550" s="12" t="s">
        <v>21</v>
      </c>
      <c r="B550" s="12" t="s">
        <v>538</v>
      </c>
      <c r="C550" s="12" t="s">
        <v>23</v>
      </c>
      <c r="D550" s="15">
        <v>46238.533275462964</v>
      </c>
      <c r="E550" s="12" t="s">
        <v>258</v>
      </c>
      <c r="F550" s="12" t="s">
        <v>283</v>
      </c>
      <c r="G550" s="12">
        <v>20</v>
      </c>
      <c r="H550" s="12">
        <v>20</v>
      </c>
      <c r="I550" s="14"/>
      <c r="J550" s="14" t="s">
        <v>26</v>
      </c>
      <c r="K550" s="12" t="s">
        <v>27</v>
      </c>
      <c r="L550" s="15"/>
      <c r="M550" s="12" t="s">
        <v>28</v>
      </c>
      <c r="N550" s="12"/>
      <c r="O550" s="12"/>
      <c r="P550" s="12"/>
      <c r="Q550" s="16">
        <v>0</v>
      </c>
      <c r="R550" s="16">
        <v>0</v>
      </c>
      <c r="S550" s="16"/>
      <c r="T550" s="16" t="e">
        <v>#N/A</v>
      </c>
      <c r="U550" s="16" t="e">
        <v>#N/A</v>
      </c>
    </row>
    <row r="551" spans="1:21" x14ac:dyDescent="0.25">
      <c r="A551" s="12" t="s">
        <v>21</v>
      </c>
      <c r="B551" s="12" t="s">
        <v>538</v>
      </c>
      <c r="C551" s="12" t="s">
        <v>23</v>
      </c>
      <c r="D551" s="15">
        <v>46238.533275462964</v>
      </c>
      <c r="E551" s="12" t="s">
        <v>258</v>
      </c>
      <c r="F551" s="12" t="s">
        <v>268</v>
      </c>
      <c r="G551" s="12">
        <v>24</v>
      </c>
      <c r="H551" s="12">
        <v>24</v>
      </c>
      <c r="I551" s="14"/>
      <c r="J551" s="14" t="s">
        <v>26</v>
      </c>
      <c r="K551" s="12" t="s">
        <v>27</v>
      </c>
      <c r="L551" s="15"/>
      <c r="M551" s="12" t="s">
        <v>28</v>
      </c>
      <c r="N551" s="12"/>
      <c r="O551" s="12"/>
      <c r="P551" s="12"/>
      <c r="Q551" s="16">
        <v>0</v>
      </c>
      <c r="R551" s="16">
        <v>0</v>
      </c>
      <c r="S551" s="16"/>
      <c r="T551" s="16" t="e">
        <v>#N/A</v>
      </c>
      <c r="U551" s="16" t="e">
        <v>#N/A</v>
      </c>
    </row>
    <row r="552" spans="1:21" x14ac:dyDescent="0.25">
      <c r="A552" s="12" t="s">
        <v>21</v>
      </c>
      <c r="B552" s="12" t="s">
        <v>538</v>
      </c>
      <c r="C552" s="12" t="s">
        <v>23</v>
      </c>
      <c r="D552" s="15">
        <v>46238.533275462964</v>
      </c>
      <c r="E552" s="12" t="s">
        <v>258</v>
      </c>
      <c r="F552" s="12" t="s">
        <v>389</v>
      </c>
      <c r="G552" s="12">
        <v>10</v>
      </c>
      <c r="H552" s="12">
        <v>10</v>
      </c>
      <c r="I552" s="14">
        <v>-6</v>
      </c>
      <c r="J552" s="14" t="s">
        <v>61</v>
      </c>
      <c r="K552" s="12" t="s">
        <v>27</v>
      </c>
      <c r="L552" s="15"/>
      <c r="M552" s="12" t="s">
        <v>28</v>
      </c>
      <c r="N552" s="12"/>
      <c r="O552" s="12"/>
      <c r="P552" s="12"/>
      <c r="Q552" s="16">
        <v>12</v>
      </c>
      <c r="R552" s="16">
        <v>0</v>
      </c>
      <c r="S552" s="16"/>
      <c r="T552" s="16" t="e">
        <v>#N/A</v>
      </c>
      <c r="U552" s="16" t="e">
        <v>#N/A</v>
      </c>
    </row>
    <row r="553" spans="1:21" x14ac:dyDescent="0.25">
      <c r="A553" s="12" t="s">
        <v>21</v>
      </c>
      <c r="B553" s="12" t="s">
        <v>539</v>
      </c>
      <c r="C553" s="12" t="s">
        <v>23</v>
      </c>
      <c r="D553" s="15">
        <v>46238.533564814818</v>
      </c>
      <c r="E553" s="12" t="s">
        <v>69</v>
      </c>
      <c r="F553" s="12" t="s">
        <v>525</v>
      </c>
      <c r="G553" s="12">
        <v>100</v>
      </c>
      <c r="H553" s="12">
        <v>76</v>
      </c>
      <c r="I553" s="14"/>
      <c r="J553" s="14" t="s">
        <v>26</v>
      </c>
      <c r="K553" s="12" t="s">
        <v>27</v>
      </c>
      <c r="L553" s="15"/>
      <c r="M553" s="12" t="s">
        <v>28</v>
      </c>
      <c r="N553" s="12"/>
      <c r="O553" s="12"/>
      <c r="P553" s="12"/>
      <c r="Q553" s="16">
        <v>0</v>
      </c>
      <c r="R553" s="16">
        <v>0</v>
      </c>
      <c r="S553" s="16"/>
      <c r="T553" s="16" t="e">
        <v>#N/A</v>
      </c>
      <c r="U553" s="16" t="e">
        <v>#N/A</v>
      </c>
    </row>
    <row r="554" spans="1:21" x14ac:dyDescent="0.25">
      <c r="A554" s="12" t="s">
        <v>21</v>
      </c>
      <c r="B554" s="12" t="s">
        <v>540</v>
      </c>
      <c r="C554" s="12" t="s">
        <v>23</v>
      </c>
      <c r="D554" s="15">
        <v>46239.320763888885</v>
      </c>
      <c r="E554" s="12" t="s">
        <v>340</v>
      </c>
      <c r="F554" s="12" t="s">
        <v>42</v>
      </c>
      <c r="G554" s="12">
        <v>5</v>
      </c>
      <c r="H554" s="12">
        <v>5</v>
      </c>
      <c r="I554" s="14"/>
      <c r="J554" s="14" t="s">
        <v>26</v>
      </c>
      <c r="K554" s="12" t="s">
        <v>27</v>
      </c>
      <c r="L554" s="15"/>
      <c r="M554" s="12" t="s">
        <v>28</v>
      </c>
      <c r="N554" s="12"/>
      <c r="O554" s="12"/>
      <c r="P554" s="12"/>
      <c r="Q554" s="16">
        <v>0</v>
      </c>
      <c r="R554" s="16">
        <v>0</v>
      </c>
      <c r="S554" s="16"/>
      <c r="T554" s="16" t="e">
        <v>#N/A</v>
      </c>
      <c r="U554" s="16" t="e">
        <v>#N/A</v>
      </c>
    </row>
    <row r="555" spans="1:21" x14ac:dyDescent="0.25">
      <c r="A555" s="12" t="s">
        <v>21</v>
      </c>
      <c r="B555" s="12" t="s">
        <v>541</v>
      </c>
      <c r="C555" s="12" t="s">
        <v>23</v>
      </c>
      <c r="D555" s="15">
        <v>46239.468599537038</v>
      </c>
      <c r="E555" s="12" t="s">
        <v>24</v>
      </c>
      <c r="F555" s="12" t="s">
        <v>542</v>
      </c>
      <c r="G555" s="12">
        <v>8</v>
      </c>
      <c r="H555" s="12">
        <v>8</v>
      </c>
      <c r="I555" s="14"/>
      <c r="J555" s="14" t="s">
        <v>26</v>
      </c>
      <c r="K555" s="12" t="s">
        <v>27</v>
      </c>
      <c r="L555" s="15"/>
      <c r="M555" s="12" t="s">
        <v>28</v>
      </c>
      <c r="N555" s="12"/>
      <c r="O555" s="12"/>
      <c r="P555" s="12"/>
      <c r="Q555" s="16">
        <v>0</v>
      </c>
      <c r="R555" s="16">
        <v>0</v>
      </c>
      <c r="S555" s="16"/>
      <c r="T555" s="16" t="e">
        <v>#N/A</v>
      </c>
      <c r="U555" s="16" t="e">
        <v>#N/A</v>
      </c>
    </row>
    <row r="556" spans="1:21" x14ac:dyDescent="0.25">
      <c r="A556" s="12" t="s">
        <v>21</v>
      </c>
      <c r="B556" s="12" t="s">
        <v>543</v>
      </c>
      <c r="C556" s="12" t="s">
        <v>23</v>
      </c>
      <c r="D556" s="15">
        <v>46239.575335648151</v>
      </c>
      <c r="E556" s="12" t="s">
        <v>24</v>
      </c>
      <c r="F556" s="12" t="s">
        <v>544</v>
      </c>
      <c r="G556" s="12">
        <v>2</v>
      </c>
      <c r="H556" s="12">
        <v>2</v>
      </c>
      <c r="I556" s="14"/>
      <c r="J556" s="14" t="s">
        <v>26</v>
      </c>
      <c r="K556" s="12" t="s">
        <v>27</v>
      </c>
      <c r="L556" s="15"/>
      <c r="M556" s="12" t="s">
        <v>28</v>
      </c>
      <c r="N556" s="12"/>
      <c r="O556" s="12"/>
      <c r="P556" s="12"/>
      <c r="Q556" s="16">
        <v>0</v>
      </c>
      <c r="R556" s="16">
        <v>0</v>
      </c>
      <c r="S556" s="16"/>
      <c r="T556" s="16" t="e">
        <v>#N/A</v>
      </c>
      <c r="U556" s="16" t="e">
        <v>#N/A</v>
      </c>
    </row>
    <row r="557" spans="1:21" x14ac:dyDescent="0.25">
      <c r="A557" s="12" t="s">
        <v>21</v>
      </c>
      <c r="B557" s="12" t="s">
        <v>543</v>
      </c>
      <c r="C557" s="12" t="s">
        <v>23</v>
      </c>
      <c r="D557" s="15">
        <v>46239.575335648151</v>
      </c>
      <c r="E557" s="12" t="s">
        <v>24</v>
      </c>
      <c r="F557" s="12" t="s">
        <v>43</v>
      </c>
      <c r="G557" s="12">
        <v>57</v>
      </c>
      <c r="H557" s="12">
        <v>41</v>
      </c>
      <c r="I557" s="14"/>
      <c r="J557" s="14" t="s">
        <v>26</v>
      </c>
      <c r="K557" s="12" t="s">
        <v>27</v>
      </c>
      <c r="L557" s="15"/>
      <c r="M557" s="12" t="s">
        <v>28</v>
      </c>
      <c r="N557" s="12"/>
      <c r="O557" s="12"/>
      <c r="P557" s="12"/>
      <c r="Q557" s="16">
        <v>0</v>
      </c>
      <c r="R557" s="16">
        <v>0</v>
      </c>
      <c r="S557" s="16"/>
      <c r="T557" s="16" t="e">
        <v>#N/A</v>
      </c>
      <c r="U557" s="16" t="e">
        <v>#N/A</v>
      </c>
    </row>
    <row r="558" spans="1:21" x14ac:dyDescent="0.25">
      <c r="A558" s="12" t="s">
        <v>21</v>
      </c>
      <c r="B558" s="12" t="s">
        <v>543</v>
      </c>
      <c r="C558" s="12" t="s">
        <v>23</v>
      </c>
      <c r="D558" s="15">
        <v>46239.575335648151</v>
      </c>
      <c r="E558" s="12" t="s">
        <v>24</v>
      </c>
      <c r="F558" s="12" t="s">
        <v>542</v>
      </c>
      <c r="G558" s="12">
        <v>8</v>
      </c>
      <c r="H558" s="12">
        <v>8</v>
      </c>
      <c r="I558" s="14"/>
      <c r="J558" s="14" t="s">
        <v>26</v>
      </c>
      <c r="K558" s="12" t="s">
        <v>27</v>
      </c>
      <c r="L558" s="15"/>
      <c r="M558" s="12" t="s">
        <v>28</v>
      </c>
      <c r="N558" s="12"/>
      <c r="O558" s="12"/>
      <c r="P558" s="12"/>
      <c r="Q558" s="16">
        <v>0</v>
      </c>
      <c r="R558" s="16">
        <v>0</v>
      </c>
      <c r="S558" s="16"/>
      <c r="T558" s="16" t="e">
        <v>#N/A</v>
      </c>
      <c r="U558" s="16" t="e">
        <v>#N/A</v>
      </c>
    </row>
    <row r="559" spans="1:21" x14ac:dyDescent="0.25">
      <c r="A559" s="12" t="s">
        <v>21</v>
      </c>
      <c r="B559" s="12" t="s">
        <v>545</v>
      </c>
      <c r="C559" s="12" t="s">
        <v>23</v>
      </c>
      <c r="D559" s="15">
        <v>46240.525231481479</v>
      </c>
      <c r="E559" s="12" t="s">
        <v>195</v>
      </c>
      <c r="F559" s="12" t="s">
        <v>206</v>
      </c>
      <c r="G559" s="12">
        <v>100</v>
      </c>
      <c r="H559" s="12">
        <v>100</v>
      </c>
      <c r="I559" s="14">
        <v>-65</v>
      </c>
      <c r="J559" s="14" t="s">
        <v>26</v>
      </c>
      <c r="K559" s="12" t="s">
        <v>27</v>
      </c>
      <c r="L559" s="15"/>
      <c r="M559" s="12" t="s">
        <v>28</v>
      </c>
      <c r="N559" s="12"/>
      <c r="O559" s="12"/>
      <c r="P559" s="12"/>
      <c r="Q559" s="16">
        <v>0</v>
      </c>
      <c r="R559" s="16">
        <v>9</v>
      </c>
      <c r="S559" s="16"/>
      <c r="T559" s="16" t="e">
        <v>#N/A</v>
      </c>
      <c r="U559" s="16" t="e">
        <v>#N/A</v>
      </c>
    </row>
    <row r="560" spans="1:21" x14ac:dyDescent="0.25">
      <c r="A560" s="12" t="s">
        <v>21</v>
      </c>
      <c r="B560" s="12" t="s">
        <v>545</v>
      </c>
      <c r="C560" s="12" t="s">
        <v>23</v>
      </c>
      <c r="D560" s="15">
        <v>46240.525231481479</v>
      </c>
      <c r="E560" s="12" t="s">
        <v>195</v>
      </c>
      <c r="F560" s="12" t="s">
        <v>42</v>
      </c>
      <c r="G560" s="12">
        <v>200</v>
      </c>
      <c r="H560" s="12">
        <v>200</v>
      </c>
      <c r="I560" s="14"/>
      <c r="J560" s="14" t="s">
        <v>26</v>
      </c>
      <c r="K560" s="12" t="s">
        <v>27</v>
      </c>
      <c r="L560" s="15"/>
      <c r="M560" s="12" t="s">
        <v>28</v>
      </c>
      <c r="N560" s="12"/>
      <c r="O560" s="12"/>
      <c r="P560" s="12"/>
      <c r="Q560" s="16">
        <v>0</v>
      </c>
      <c r="R560" s="16">
        <v>0</v>
      </c>
      <c r="S560" s="16"/>
      <c r="T560" s="16" t="e">
        <v>#N/A</v>
      </c>
      <c r="U560" s="16" t="e">
        <v>#N/A</v>
      </c>
    </row>
    <row r="561" spans="1:21" x14ac:dyDescent="0.25">
      <c r="A561" s="12" t="s">
        <v>21</v>
      </c>
      <c r="B561" s="12" t="s">
        <v>545</v>
      </c>
      <c r="C561" s="12" t="s">
        <v>23</v>
      </c>
      <c r="D561" s="15">
        <v>46240.525231481479</v>
      </c>
      <c r="E561" s="12" t="s">
        <v>195</v>
      </c>
      <c r="F561" s="12" t="s">
        <v>404</v>
      </c>
      <c r="G561" s="12">
        <v>200</v>
      </c>
      <c r="H561" s="12">
        <v>200</v>
      </c>
      <c r="I561" s="14">
        <v>-70</v>
      </c>
      <c r="J561" s="14" t="s">
        <v>26</v>
      </c>
      <c r="K561" s="12" t="s">
        <v>27</v>
      </c>
      <c r="L561" s="15"/>
      <c r="M561" s="12" t="s">
        <v>28</v>
      </c>
      <c r="N561" s="12"/>
      <c r="O561" s="12"/>
      <c r="P561" s="12"/>
      <c r="Q561" s="16">
        <v>0</v>
      </c>
      <c r="R561" s="16">
        <v>2</v>
      </c>
      <c r="S561" s="16"/>
      <c r="T561" s="16" t="e">
        <v>#N/A</v>
      </c>
      <c r="U561" s="16" t="e">
        <v>#N/A</v>
      </c>
    </row>
    <row r="562" spans="1:21" x14ac:dyDescent="0.25">
      <c r="A562" s="12" t="s">
        <v>21</v>
      </c>
      <c r="B562" s="12" t="s">
        <v>545</v>
      </c>
      <c r="C562" s="12" t="s">
        <v>23</v>
      </c>
      <c r="D562" s="15">
        <v>46240.525231481479</v>
      </c>
      <c r="E562" s="12" t="s">
        <v>195</v>
      </c>
      <c r="F562" s="12" t="s">
        <v>59</v>
      </c>
      <c r="G562" s="12">
        <v>200</v>
      </c>
      <c r="H562" s="12">
        <v>200</v>
      </c>
      <c r="I562" s="14">
        <v>-100</v>
      </c>
      <c r="J562" s="14" t="s">
        <v>26</v>
      </c>
      <c r="K562" s="12" t="s">
        <v>27</v>
      </c>
      <c r="L562" s="15"/>
      <c r="M562" s="12" t="s">
        <v>28</v>
      </c>
      <c r="N562" s="12"/>
      <c r="O562" s="12"/>
      <c r="P562" s="12"/>
      <c r="Q562" s="16">
        <v>0</v>
      </c>
      <c r="R562" s="16">
        <v>0</v>
      </c>
      <c r="S562" s="16"/>
      <c r="T562" s="16" t="e">
        <v>#N/A</v>
      </c>
      <c r="U562" s="16" t="e">
        <v>#N/A</v>
      </c>
    </row>
    <row r="563" spans="1:21" x14ac:dyDescent="0.25">
      <c r="A563" s="12" t="s">
        <v>21</v>
      </c>
      <c r="B563" s="12" t="s">
        <v>545</v>
      </c>
      <c r="C563" s="12" t="s">
        <v>23</v>
      </c>
      <c r="D563" s="15">
        <v>46240.525231481479</v>
      </c>
      <c r="E563" s="12" t="s">
        <v>195</v>
      </c>
      <c r="F563" s="12" t="s">
        <v>546</v>
      </c>
      <c r="G563" s="12">
        <v>800</v>
      </c>
      <c r="H563" s="12">
        <v>800</v>
      </c>
      <c r="I563" s="14">
        <v>-371</v>
      </c>
      <c r="J563" s="14" t="s">
        <v>26</v>
      </c>
      <c r="K563" s="12" t="s">
        <v>27</v>
      </c>
      <c r="L563" s="15"/>
      <c r="M563" s="12" t="s">
        <v>28</v>
      </c>
      <c r="N563" s="12"/>
      <c r="O563" s="12"/>
      <c r="P563" s="12"/>
      <c r="Q563" s="16">
        <v>0</v>
      </c>
      <c r="R563" s="16">
        <v>0</v>
      </c>
      <c r="S563" s="16"/>
      <c r="T563" s="16" t="e">
        <v>#N/A</v>
      </c>
      <c r="U563" s="16" t="e">
        <v>#N/A</v>
      </c>
    </row>
    <row r="564" spans="1:21" x14ac:dyDescent="0.25">
      <c r="A564" s="12" t="s">
        <v>21</v>
      </c>
      <c r="B564" s="12" t="s">
        <v>545</v>
      </c>
      <c r="C564" s="12" t="s">
        <v>23</v>
      </c>
      <c r="D564" s="15">
        <v>46240.525231481479</v>
      </c>
      <c r="E564" s="12" t="s">
        <v>195</v>
      </c>
      <c r="F564" s="12" t="s">
        <v>209</v>
      </c>
      <c r="G564" s="12">
        <v>100</v>
      </c>
      <c r="H564" s="12">
        <v>100</v>
      </c>
      <c r="I564" s="14"/>
      <c r="J564" s="14" t="s">
        <v>26</v>
      </c>
      <c r="K564" s="12" t="s">
        <v>27</v>
      </c>
      <c r="L564" s="15"/>
      <c r="M564" s="12" t="s">
        <v>28</v>
      </c>
      <c r="N564" s="12"/>
      <c r="O564" s="12"/>
      <c r="P564" s="12"/>
      <c r="Q564" s="16">
        <v>0</v>
      </c>
      <c r="R564" s="16">
        <v>0</v>
      </c>
      <c r="S564" s="16"/>
      <c r="T564" s="16" t="e">
        <v>#N/A</v>
      </c>
      <c r="U564" s="16" t="e">
        <v>#N/A</v>
      </c>
    </row>
    <row r="565" spans="1:21" x14ac:dyDescent="0.25">
      <c r="A565" s="12" t="s">
        <v>21</v>
      </c>
      <c r="B565" s="12" t="s">
        <v>547</v>
      </c>
      <c r="C565" s="12" t="s">
        <v>23</v>
      </c>
      <c r="D565" s="15">
        <v>46240.550856481481</v>
      </c>
      <c r="E565" s="12" t="s">
        <v>548</v>
      </c>
      <c r="F565" s="12" t="s">
        <v>354</v>
      </c>
      <c r="G565" s="12">
        <v>20</v>
      </c>
      <c r="H565" s="12">
        <v>20</v>
      </c>
      <c r="I565" s="14"/>
      <c r="J565" s="14" t="s">
        <v>26</v>
      </c>
      <c r="K565" s="12" t="s">
        <v>27</v>
      </c>
      <c r="L565" s="15"/>
      <c r="M565" s="12" t="s">
        <v>28</v>
      </c>
      <c r="N565" s="12"/>
      <c r="O565" s="12"/>
      <c r="P565" s="12"/>
      <c r="Q565" s="16">
        <v>0</v>
      </c>
      <c r="R565" s="16">
        <v>0</v>
      </c>
      <c r="S565" s="16"/>
      <c r="T565" s="16" t="e">
        <v>#N/A</v>
      </c>
      <c r="U565" s="16" t="e">
        <v>#N/A</v>
      </c>
    </row>
    <row r="566" spans="1:21" x14ac:dyDescent="0.25">
      <c r="A566" s="12" t="s">
        <v>21</v>
      </c>
      <c r="B566" s="12" t="s">
        <v>547</v>
      </c>
      <c r="C566" s="12" t="s">
        <v>23</v>
      </c>
      <c r="D566" s="15">
        <v>46240.550856481481</v>
      </c>
      <c r="E566" s="12" t="s">
        <v>548</v>
      </c>
      <c r="F566" s="12" t="s">
        <v>496</v>
      </c>
      <c r="G566" s="12">
        <v>30</v>
      </c>
      <c r="H566" s="12">
        <v>30</v>
      </c>
      <c r="I566" s="14"/>
      <c r="J566" s="14" t="s">
        <v>26</v>
      </c>
      <c r="K566" s="12" t="s">
        <v>27</v>
      </c>
      <c r="L566" s="15"/>
      <c r="M566" s="12" t="s">
        <v>28</v>
      </c>
      <c r="N566" s="12"/>
      <c r="O566" s="12"/>
      <c r="P566" s="12"/>
      <c r="Q566" s="16">
        <v>0</v>
      </c>
      <c r="R566" s="16">
        <v>0</v>
      </c>
      <c r="S566" s="16"/>
      <c r="T566" s="16" t="e">
        <v>#N/A</v>
      </c>
      <c r="U566" s="16" t="e">
        <v>#N/A</v>
      </c>
    </row>
    <row r="567" spans="1:21" x14ac:dyDescent="0.25">
      <c r="A567" s="12" t="s">
        <v>21</v>
      </c>
      <c r="B567" s="12" t="s">
        <v>547</v>
      </c>
      <c r="C567" s="12" t="s">
        <v>23</v>
      </c>
      <c r="D567" s="15">
        <v>46240.550856481481</v>
      </c>
      <c r="E567" s="12" t="s">
        <v>548</v>
      </c>
      <c r="F567" s="12" t="s">
        <v>549</v>
      </c>
      <c r="G567" s="12">
        <v>8</v>
      </c>
      <c r="H567" s="12">
        <v>8</v>
      </c>
      <c r="I567" s="14"/>
      <c r="J567" s="14" t="s">
        <v>26</v>
      </c>
      <c r="K567" s="12" t="s">
        <v>27</v>
      </c>
      <c r="L567" s="15"/>
      <c r="M567" s="12" t="s">
        <v>28</v>
      </c>
      <c r="N567" s="12"/>
      <c r="O567" s="12"/>
      <c r="P567" s="12"/>
      <c r="Q567" s="16">
        <v>0</v>
      </c>
      <c r="R567" s="16">
        <v>1</v>
      </c>
      <c r="S567" s="16"/>
      <c r="T567" s="16" t="e">
        <v>#N/A</v>
      </c>
      <c r="U567" s="16" t="e">
        <v>#N/A</v>
      </c>
    </row>
    <row r="568" spans="1:21" x14ac:dyDescent="0.25">
      <c r="A568" s="12" t="s">
        <v>21</v>
      </c>
      <c r="B568" s="12" t="s">
        <v>547</v>
      </c>
      <c r="C568" s="12" t="s">
        <v>23</v>
      </c>
      <c r="D568" s="15">
        <v>46240.550856481481</v>
      </c>
      <c r="E568" s="12" t="s">
        <v>548</v>
      </c>
      <c r="F568" s="12" t="s">
        <v>550</v>
      </c>
      <c r="G568" s="12">
        <v>12</v>
      </c>
      <c r="H568" s="12">
        <v>12</v>
      </c>
      <c r="I568" s="14"/>
      <c r="J568" s="14" t="s">
        <v>26</v>
      </c>
      <c r="K568" s="12" t="s">
        <v>27</v>
      </c>
      <c r="L568" s="15"/>
      <c r="M568" s="12" t="s">
        <v>28</v>
      </c>
      <c r="N568" s="12"/>
      <c r="O568" s="12"/>
      <c r="P568" s="12"/>
      <c r="Q568" s="16">
        <v>0</v>
      </c>
      <c r="R568" s="16">
        <v>0</v>
      </c>
      <c r="S568" s="16"/>
      <c r="T568" s="16" t="e">
        <v>#N/A</v>
      </c>
      <c r="U568" s="16" t="e">
        <v>#N/A</v>
      </c>
    </row>
    <row r="569" spans="1:21" x14ac:dyDescent="0.25">
      <c r="A569" s="12" t="s">
        <v>21</v>
      </c>
      <c r="B569" s="12" t="s">
        <v>547</v>
      </c>
      <c r="C569" s="12" t="s">
        <v>23</v>
      </c>
      <c r="D569" s="15">
        <v>46240.550856481481</v>
      </c>
      <c r="E569" s="12" t="s">
        <v>548</v>
      </c>
      <c r="F569" s="12" t="s">
        <v>70</v>
      </c>
      <c r="G569" s="12">
        <v>30</v>
      </c>
      <c r="H569" s="12">
        <v>30</v>
      </c>
      <c r="I569" s="14"/>
      <c r="J569" s="14" t="s">
        <v>26</v>
      </c>
      <c r="K569" s="12" t="s">
        <v>27</v>
      </c>
      <c r="L569" s="15"/>
      <c r="M569" s="12" t="s">
        <v>28</v>
      </c>
      <c r="N569" s="12"/>
      <c r="O569" s="12"/>
      <c r="P569" s="12"/>
      <c r="Q569" s="16">
        <v>0</v>
      </c>
      <c r="R569" s="16">
        <v>0</v>
      </c>
      <c r="S569" s="16"/>
      <c r="T569" s="16" t="e">
        <v>#N/A</v>
      </c>
      <c r="U569" s="16" t="e">
        <v>#N/A</v>
      </c>
    </row>
    <row r="570" spans="1:21" x14ac:dyDescent="0.25">
      <c r="A570" s="12" t="s">
        <v>21</v>
      </c>
      <c r="B570" s="12" t="s">
        <v>547</v>
      </c>
      <c r="C570" s="12" t="s">
        <v>23</v>
      </c>
      <c r="D570" s="15">
        <v>46240.550856481481</v>
      </c>
      <c r="E570" s="12" t="s">
        <v>548</v>
      </c>
      <c r="F570" s="12" t="s">
        <v>551</v>
      </c>
      <c r="G570" s="12">
        <v>4</v>
      </c>
      <c r="H570" s="12">
        <v>4</v>
      </c>
      <c r="I570" s="14"/>
      <c r="J570" s="14" t="s">
        <v>26</v>
      </c>
      <c r="K570" s="12" t="s">
        <v>27</v>
      </c>
      <c r="L570" s="15"/>
      <c r="M570" s="12" t="s">
        <v>28</v>
      </c>
      <c r="N570" s="12"/>
      <c r="O570" s="12"/>
      <c r="P570" s="12"/>
      <c r="Q570" s="16">
        <v>0</v>
      </c>
      <c r="R570" s="16">
        <v>0</v>
      </c>
      <c r="S570" s="16"/>
      <c r="T570" s="16" t="e">
        <v>#N/A</v>
      </c>
      <c r="U570" s="16" t="e">
        <v>#N/A</v>
      </c>
    </row>
    <row r="571" spans="1:21" x14ac:dyDescent="0.25">
      <c r="A571" s="12" t="s">
        <v>21</v>
      </c>
      <c r="B571" s="12" t="s">
        <v>547</v>
      </c>
      <c r="C571" s="12" t="s">
        <v>23</v>
      </c>
      <c r="D571" s="15">
        <v>46240.550856481481</v>
      </c>
      <c r="E571" s="12" t="s">
        <v>548</v>
      </c>
      <c r="F571" s="12" t="s">
        <v>362</v>
      </c>
      <c r="G571" s="12">
        <v>4</v>
      </c>
      <c r="H571" s="12">
        <v>4</v>
      </c>
      <c r="I571" s="14"/>
      <c r="J571" s="14" t="s">
        <v>26</v>
      </c>
      <c r="K571" s="12" t="s">
        <v>27</v>
      </c>
      <c r="L571" s="15"/>
      <c r="M571" s="12" t="s">
        <v>28</v>
      </c>
      <c r="N571" s="12"/>
      <c r="O571" s="12"/>
      <c r="P571" s="12"/>
      <c r="Q571" s="16">
        <v>0</v>
      </c>
      <c r="R571" s="16">
        <v>0</v>
      </c>
      <c r="S571" s="16"/>
      <c r="T571" s="16" t="e">
        <v>#N/A</v>
      </c>
      <c r="U571" s="16" t="e">
        <v>#N/A</v>
      </c>
    </row>
    <row r="572" spans="1:21" x14ac:dyDescent="0.25">
      <c r="A572" s="12" t="s">
        <v>21</v>
      </c>
      <c r="B572" s="12" t="s">
        <v>547</v>
      </c>
      <c r="C572" s="12" t="s">
        <v>23</v>
      </c>
      <c r="D572" s="15">
        <v>46240.550856481481</v>
      </c>
      <c r="E572" s="12" t="s">
        <v>548</v>
      </c>
      <c r="F572" s="12" t="s">
        <v>552</v>
      </c>
      <c r="G572" s="12">
        <v>30</v>
      </c>
      <c r="H572" s="12">
        <v>30</v>
      </c>
      <c r="I572" s="14"/>
      <c r="J572" s="14" t="s">
        <v>26</v>
      </c>
      <c r="K572" s="12" t="s">
        <v>27</v>
      </c>
      <c r="L572" s="15"/>
      <c r="M572" s="12" t="s">
        <v>28</v>
      </c>
      <c r="N572" s="12"/>
      <c r="O572" s="12"/>
      <c r="P572" s="12"/>
      <c r="Q572" s="16">
        <v>0</v>
      </c>
      <c r="R572" s="16">
        <v>0</v>
      </c>
      <c r="S572" s="16"/>
      <c r="T572" s="16" t="e">
        <v>#N/A</v>
      </c>
      <c r="U572" s="16" t="e">
        <v>#N/A</v>
      </c>
    </row>
    <row r="573" spans="1:21" x14ac:dyDescent="0.25">
      <c r="A573" s="12" t="s">
        <v>21</v>
      </c>
      <c r="B573" s="12" t="s">
        <v>547</v>
      </c>
      <c r="C573" s="12" t="s">
        <v>23</v>
      </c>
      <c r="D573" s="15">
        <v>46240.550856481481</v>
      </c>
      <c r="E573" s="12" t="s">
        <v>548</v>
      </c>
      <c r="F573" s="12" t="s">
        <v>472</v>
      </c>
      <c r="G573" s="12">
        <v>50</v>
      </c>
      <c r="H573" s="12">
        <v>50</v>
      </c>
      <c r="I573" s="14"/>
      <c r="J573" s="14" t="s">
        <v>61</v>
      </c>
      <c r="K573" s="12" t="s">
        <v>554</v>
      </c>
      <c r="L573" s="15">
        <v>1</v>
      </c>
      <c r="M573" s="12" t="s">
        <v>150</v>
      </c>
      <c r="N573" s="12">
        <v>50</v>
      </c>
      <c r="O573" s="12">
        <v>50</v>
      </c>
      <c r="P573" s="12">
        <v>0</v>
      </c>
      <c r="Q573" s="16">
        <v>80</v>
      </c>
      <c r="R573" s="16">
        <v>0</v>
      </c>
      <c r="S573" s="16"/>
      <c r="T573" s="16" t="e">
        <v>#N/A</v>
      </c>
      <c r="U573" s="16" t="e">
        <v>#N/A</v>
      </c>
    </row>
    <row r="574" spans="1:21" x14ac:dyDescent="0.25">
      <c r="A574" s="12" t="s">
        <v>21</v>
      </c>
      <c r="B574" s="12" t="s">
        <v>547</v>
      </c>
      <c r="C574" s="12" t="s">
        <v>23</v>
      </c>
      <c r="D574" s="15">
        <v>46240.550856481481</v>
      </c>
      <c r="E574" s="12" t="s">
        <v>548</v>
      </c>
      <c r="F574" s="12" t="s">
        <v>553</v>
      </c>
      <c r="G574" s="12">
        <v>40</v>
      </c>
      <c r="H574" s="12">
        <v>40</v>
      </c>
      <c r="I574" s="14"/>
      <c r="J574" s="14" t="s">
        <v>61</v>
      </c>
      <c r="K574" s="12" t="s">
        <v>555</v>
      </c>
      <c r="L574" s="15">
        <v>1</v>
      </c>
      <c r="M574" s="12" t="s">
        <v>150</v>
      </c>
      <c r="N574" s="12">
        <v>40</v>
      </c>
      <c r="O574" s="12">
        <v>40</v>
      </c>
      <c r="P574" s="12">
        <v>0</v>
      </c>
      <c r="Q574" s="16">
        <v>120</v>
      </c>
      <c r="R574" s="16">
        <v>2</v>
      </c>
      <c r="S574" s="16"/>
      <c r="T574" s="16" t="e">
        <v>#N/A</v>
      </c>
      <c r="U574" s="16" t="e">
        <v>#N/A</v>
      </c>
    </row>
    <row r="575" spans="1:21" x14ac:dyDescent="0.25">
      <c r="A575" s="12" t="s">
        <v>21</v>
      </c>
      <c r="B575" s="12" t="s">
        <v>547</v>
      </c>
      <c r="C575" s="12" t="s">
        <v>23</v>
      </c>
      <c r="D575" s="15">
        <v>46240.550856481481</v>
      </c>
      <c r="E575" s="12" t="s">
        <v>548</v>
      </c>
      <c r="F575" s="12" t="s">
        <v>273</v>
      </c>
      <c r="G575" s="12">
        <v>40</v>
      </c>
      <c r="H575" s="12">
        <v>40</v>
      </c>
      <c r="I575" s="14"/>
      <c r="J575" s="14" t="s">
        <v>61</v>
      </c>
      <c r="K575" s="12" t="s">
        <v>556</v>
      </c>
      <c r="L575" s="15">
        <v>1</v>
      </c>
      <c r="M575" s="12" t="s">
        <v>150</v>
      </c>
      <c r="N575" s="12">
        <v>40</v>
      </c>
      <c r="O575" s="12">
        <v>40</v>
      </c>
      <c r="P575" s="12">
        <v>0</v>
      </c>
      <c r="Q575" s="16">
        <v>120</v>
      </c>
      <c r="R575" s="16">
        <v>0</v>
      </c>
      <c r="S575" s="16"/>
      <c r="T575" s="16" t="e">
        <v>#N/A</v>
      </c>
      <c r="U575" s="16" t="e">
        <v>#N/A</v>
      </c>
    </row>
    <row r="576" spans="1:21" x14ac:dyDescent="0.25">
      <c r="A576" s="12" t="s">
        <v>21</v>
      </c>
      <c r="B576" s="12" t="s">
        <v>547</v>
      </c>
      <c r="C576" s="12" t="s">
        <v>23</v>
      </c>
      <c r="D576" s="15">
        <v>46240.550856481481</v>
      </c>
      <c r="E576" s="12" t="s">
        <v>548</v>
      </c>
      <c r="F576" s="12" t="s">
        <v>399</v>
      </c>
      <c r="G576" s="12">
        <v>8</v>
      </c>
      <c r="H576" s="12">
        <v>8</v>
      </c>
      <c r="I576" s="14"/>
      <c r="J576" s="14" t="s">
        <v>26</v>
      </c>
      <c r="K576" s="12" t="s">
        <v>27</v>
      </c>
      <c r="L576" s="15"/>
      <c r="M576" s="12" t="s">
        <v>28</v>
      </c>
      <c r="N576" s="12"/>
      <c r="O576" s="12"/>
      <c r="P576" s="12"/>
      <c r="Q576" s="16">
        <v>0</v>
      </c>
      <c r="R576" s="16">
        <v>1</v>
      </c>
      <c r="S576" s="16"/>
      <c r="T576" s="16" t="e">
        <v>#N/A</v>
      </c>
      <c r="U576" s="16" t="e">
        <v>#N/A</v>
      </c>
    </row>
    <row r="577" spans="1:21" x14ac:dyDescent="0.25">
      <c r="A577" s="12" t="s">
        <v>21</v>
      </c>
      <c r="B577" s="12" t="s">
        <v>547</v>
      </c>
      <c r="C577" s="12" t="s">
        <v>23</v>
      </c>
      <c r="D577" s="15">
        <v>46240.550856481481</v>
      </c>
      <c r="E577" s="12" t="s">
        <v>548</v>
      </c>
      <c r="F577" s="12" t="s">
        <v>274</v>
      </c>
      <c r="G577" s="12">
        <v>40</v>
      </c>
      <c r="H577" s="12">
        <v>40</v>
      </c>
      <c r="I577" s="14"/>
      <c r="J577" s="14" t="s">
        <v>61</v>
      </c>
      <c r="K577" s="12" t="s">
        <v>561</v>
      </c>
      <c r="L577" s="15">
        <v>1</v>
      </c>
      <c r="M577" s="12" t="s">
        <v>150</v>
      </c>
      <c r="N577" s="12">
        <v>40</v>
      </c>
      <c r="O577" s="12">
        <v>40</v>
      </c>
      <c r="P577" s="12">
        <v>0</v>
      </c>
      <c r="Q577" s="16">
        <v>120</v>
      </c>
      <c r="R577" s="16">
        <v>0</v>
      </c>
      <c r="S577" s="16"/>
      <c r="T577" s="16" t="e">
        <v>#N/A</v>
      </c>
      <c r="U577" s="16" t="e">
        <v>#N/A</v>
      </c>
    </row>
    <row r="578" spans="1:21" x14ac:dyDescent="0.25">
      <c r="A578" s="12" t="s">
        <v>21</v>
      </c>
      <c r="B578" s="12" t="s">
        <v>547</v>
      </c>
      <c r="C578" s="12" t="s">
        <v>23</v>
      </c>
      <c r="D578" s="15">
        <v>46240.550856481481</v>
      </c>
      <c r="E578" s="12" t="s">
        <v>548</v>
      </c>
      <c r="F578" s="12" t="s">
        <v>557</v>
      </c>
      <c r="G578" s="12">
        <v>40</v>
      </c>
      <c r="H578" s="12">
        <v>40</v>
      </c>
      <c r="I578" s="14"/>
      <c r="J578" s="14" t="s">
        <v>61</v>
      </c>
      <c r="K578" s="12" t="s">
        <v>562</v>
      </c>
      <c r="L578" s="15">
        <v>1</v>
      </c>
      <c r="M578" s="12" t="s">
        <v>150</v>
      </c>
      <c r="N578" s="12">
        <v>40</v>
      </c>
      <c r="O578" s="12">
        <v>40</v>
      </c>
      <c r="P578" s="12">
        <v>0</v>
      </c>
      <c r="Q578" s="16">
        <v>120</v>
      </c>
      <c r="R578" s="16">
        <v>0</v>
      </c>
      <c r="S578" s="16"/>
      <c r="T578" s="16" t="e">
        <v>#N/A</v>
      </c>
      <c r="U578" s="16" t="e">
        <v>#N/A</v>
      </c>
    </row>
    <row r="579" spans="1:21" x14ac:dyDescent="0.25">
      <c r="A579" s="12" t="s">
        <v>21</v>
      </c>
      <c r="B579" s="12" t="s">
        <v>547</v>
      </c>
      <c r="C579" s="12" t="s">
        <v>23</v>
      </c>
      <c r="D579" s="15">
        <v>46240.550856481481</v>
      </c>
      <c r="E579" s="12" t="s">
        <v>548</v>
      </c>
      <c r="F579" s="12" t="s">
        <v>558</v>
      </c>
      <c r="G579" s="12">
        <v>30</v>
      </c>
      <c r="H579" s="12">
        <v>30</v>
      </c>
      <c r="I579" s="14"/>
      <c r="J579" s="14" t="s">
        <v>61</v>
      </c>
      <c r="K579" s="12" t="s">
        <v>563</v>
      </c>
      <c r="L579" s="15">
        <v>1</v>
      </c>
      <c r="M579" s="12" t="s">
        <v>150</v>
      </c>
      <c r="N579" s="12">
        <v>30</v>
      </c>
      <c r="O579" s="12">
        <v>30</v>
      </c>
      <c r="P579" s="12">
        <v>0</v>
      </c>
      <c r="Q579" s="16">
        <v>80</v>
      </c>
      <c r="R579" s="16">
        <v>0</v>
      </c>
      <c r="S579" s="16"/>
      <c r="T579" s="16" t="e">
        <v>#N/A</v>
      </c>
      <c r="U579" s="16" t="e">
        <v>#N/A</v>
      </c>
    </row>
    <row r="580" spans="1:21" x14ac:dyDescent="0.25">
      <c r="A580" s="12" t="s">
        <v>21</v>
      </c>
      <c r="B580" s="12" t="s">
        <v>547</v>
      </c>
      <c r="C580" s="12" t="s">
        <v>23</v>
      </c>
      <c r="D580" s="15">
        <v>46240.550856481481</v>
      </c>
      <c r="E580" s="12" t="s">
        <v>548</v>
      </c>
      <c r="F580" s="12" t="s">
        <v>283</v>
      </c>
      <c r="G580" s="12">
        <v>20</v>
      </c>
      <c r="H580" s="12">
        <v>20</v>
      </c>
      <c r="I580" s="14"/>
      <c r="J580" s="14" t="s">
        <v>26</v>
      </c>
      <c r="K580" s="12" t="s">
        <v>27</v>
      </c>
      <c r="L580" s="15"/>
      <c r="M580" s="12" t="s">
        <v>28</v>
      </c>
      <c r="N580" s="12"/>
      <c r="O580" s="12"/>
      <c r="P580" s="12"/>
      <c r="Q580" s="16">
        <v>0</v>
      </c>
      <c r="R580" s="16">
        <v>0</v>
      </c>
      <c r="S580" s="16"/>
      <c r="T580" s="16" t="e">
        <v>#N/A</v>
      </c>
      <c r="U580" s="16" t="e">
        <v>#N/A</v>
      </c>
    </row>
    <row r="581" spans="1:21" x14ac:dyDescent="0.25">
      <c r="A581" s="12" t="s">
        <v>21</v>
      </c>
      <c r="B581" s="12" t="s">
        <v>547</v>
      </c>
      <c r="C581" s="12" t="s">
        <v>23</v>
      </c>
      <c r="D581" s="15">
        <v>46240.550856481481</v>
      </c>
      <c r="E581" s="12" t="s">
        <v>548</v>
      </c>
      <c r="F581" s="12" t="s">
        <v>559</v>
      </c>
      <c r="G581" s="12">
        <v>40</v>
      </c>
      <c r="H581" s="12">
        <v>40</v>
      </c>
      <c r="I581" s="14"/>
      <c r="J581" s="14" t="s">
        <v>61</v>
      </c>
      <c r="K581" s="12" t="s">
        <v>564</v>
      </c>
      <c r="L581" s="15">
        <v>1</v>
      </c>
      <c r="M581" s="12" t="s">
        <v>150</v>
      </c>
      <c r="N581" s="12">
        <v>40</v>
      </c>
      <c r="O581" s="12">
        <v>40</v>
      </c>
      <c r="P581" s="12">
        <v>0</v>
      </c>
      <c r="Q581" s="16">
        <v>120</v>
      </c>
      <c r="R581" s="16">
        <v>0</v>
      </c>
      <c r="S581" s="16"/>
      <c r="T581" s="16" t="e">
        <v>#N/A</v>
      </c>
      <c r="U581" s="16" t="e">
        <v>#N/A</v>
      </c>
    </row>
    <row r="582" spans="1:21" x14ac:dyDescent="0.25">
      <c r="A582" s="12" t="s">
        <v>21</v>
      </c>
      <c r="B582" s="12" t="s">
        <v>547</v>
      </c>
      <c r="C582" s="12" t="s">
        <v>23</v>
      </c>
      <c r="D582" s="15">
        <v>46240.550856481481</v>
      </c>
      <c r="E582" s="12" t="s">
        <v>548</v>
      </c>
      <c r="F582" s="12" t="s">
        <v>560</v>
      </c>
      <c r="G582" s="12">
        <v>40</v>
      </c>
      <c r="H582" s="12">
        <v>40</v>
      </c>
      <c r="I582" s="14"/>
      <c r="J582" s="14" t="s">
        <v>61</v>
      </c>
      <c r="K582" s="12" t="s">
        <v>565</v>
      </c>
      <c r="L582" s="15">
        <v>1</v>
      </c>
      <c r="M582" s="12" t="s">
        <v>150</v>
      </c>
      <c r="N582" s="12">
        <v>40</v>
      </c>
      <c r="O582" s="12">
        <v>40</v>
      </c>
      <c r="P582" s="12">
        <v>0</v>
      </c>
      <c r="Q582" s="16">
        <v>120</v>
      </c>
      <c r="R582" s="16">
        <v>0</v>
      </c>
      <c r="S582" s="16"/>
      <c r="T582" s="16" t="e">
        <v>#N/A</v>
      </c>
      <c r="U582" s="16" t="e">
        <v>#N/A</v>
      </c>
    </row>
    <row r="583" spans="1:21" x14ac:dyDescent="0.25">
      <c r="A583" s="12" t="s">
        <v>21</v>
      </c>
      <c r="B583" s="12" t="s">
        <v>547</v>
      </c>
      <c r="C583" s="12" t="s">
        <v>23</v>
      </c>
      <c r="D583" s="15">
        <v>46240.550856481481</v>
      </c>
      <c r="E583" s="12" t="s">
        <v>548</v>
      </c>
      <c r="F583" s="12" t="s">
        <v>525</v>
      </c>
      <c r="G583" s="12">
        <v>80</v>
      </c>
      <c r="H583" s="12">
        <v>80</v>
      </c>
      <c r="I583" s="14"/>
      <c r="J583" s="14" t="s">
        <v>61</v>
      </c>
      <c r="K583" s="12" t="s">
        <v>27</v>
      </c>
      <c r="L583" s="15"/>
      <c r="M583" s="12" t="s">
        <v>28</v>
      </c>
      <c r="N583" s="12"/>
      <c r="O583" s="12"/>
      <c r="P583" s="12"/>
      <c r="Q583" s="16">
        <v>120</v>
      </c>
      <c r="R583" s="16">
        <v>0</v>
      </c>
      <c r="S583" s="16"/>
      <c r="T583" s="16" t="e">
        <v>#N/A</v>
      </c>
      <c r="U583" s="16" t="e">
        <v>#N/A</v>
      </c>
    </row>
    <row r="584" spans="1:21" x14ac:dyDescent="0.25">
      <c r="A584" s="12" t="s">
        <v>21</v>
      </c>
      <c r="B584" s="12" t="s">
        <v>547</v>
      </c>
      <c r="C584" s="12" t="s">
        <v>23</v>
      </c>
      <c r="D584" s="15">
        <v>46240.550856481481</v>
      </c>
      <c r="E584" s="12" t="s">
        <v>548</v>
      </c>
      <c r="F584" s="12" t="s">
        <v>201</v>
      </c>
      <c r="G584" s="12">
        <v>20</v>
      </c>
      <c r="H584" s="12">
        <v>20</v>
      </c>
      <c r="I584" s="14"/>
      <c r="J584" s="14" t="s">
        <v>26</v>
      </c>
      <c r="K584" s="12" t="s">
        <v>27</v>
      </c>
      <c r="L584" s="15"/>
      <c r="M584" s="12" t="s">
        <v>28</v>
      </c>
      <c r="N584" s="12"/>
      <c r="O584" s="12"/>
      <c r="P584" s="12"/>
      <c r="Q584" s="16">
        <v>0</v>
      </c>
      <c r="R584" s="16">
        <v>0</v>
      </c>
      <c r="S584" s="16"/>
      <c r="T584" s="16" t="e">
        <v>#N/A</v>
      </c>
      <c r="U584" s="16" t="e">
        <v>#N/A</v>
      </c>
    </row>
    <row r="585" spans="1:21" x14ac:dyDescent="0.25">
      <c r="A585" s="12" t="s">
        <v>21</v>
      </c>
      <c r="B585" s="12" t="s">
        <v>547</v>
      </c>
      <c r="C585" s="12" t="s">
        <v>23</v>
      </c>
      <c r="D585" s="15">
        <v>46240.550856481481</v>
      </c>
      <c r="E585" s="12" t="s">
        <v>548</v>
      </c>
      <c r="F585" s="12" t="s">
        <v>443</v>
      </c>
      <c r="G585" s="12">
        <v>20</v>
      </c>
      <c r="H585" s="12">
        <v>20</v>
      </c>
      <c r="I585" s="14"/>
      <c r="J585" s="14" t="s">
        <v>26</v>
      </c>
      <c r="K585" s="12" t="s">
        <v>27</v>
      </c>
      <c r="L585" s="15"/>
      <c r="M585" s="12" t="s">
        <v>28</v>
      </c>
      <c r="N585" s="12"/>
      <c r="O585" s="12"/>
      <c r="P585" s="12"/>
      <c r="Q585" s="16">
        <v>0</v>
      </c>
      <c r="R585" s="16">
        <v>0</v>
      </c>
      <c r="S585" s="16"/>
      <c r="T585" s="16" t="e">
        <v>#N/A</v>
      </c>
      <c r="U585" s="16" t="e">
        <v>#N/A</v>
      </c>
    </row>
    <row r="586" spans="1:21" x14ac:dyDescent="0.25">
      <c r="A586" s="12" t="s">
        <v>21</v>
      </c>
      <c r="B586" s="12" t="s">
        <v>547</v>
      </c>
      <c r="C586" s="12" t="s">
        <v>23</v>
      </c>
      <c r="D586" s="15">
        <v>46240.550856481481</v>
      </c>
      <c r="E586" s="12" t="s">
        <v>548</v>
      </c>
      <c r="F586" s="12" t="s">
        <v>566</v>
      </c>
      <c r="G586" s="12">
        <v>30</v>
      </c>
      <c r="H586" s="12">
        <v>30</v>
      </c>
      <c r="I586" s="14"/>
      <c r="J586" s="14" t="s">
        <v>61</v>
      </c>
      <c r="K586" s="12" t="s">
        <v>569</v>
      </c>
      <c r="L586" s="15">
        <v>1</v>
      </c>
      <c r="M586" s="12" t="s">
        <v>150</v>
      </c>
      <c r="N586" s="12">
        <v>30</v>
      </c>
      <c r="O586" s="12">
        <v>30</v>
      </c>
      <c r="P586" s="12">
        <v>0</v>
      </c>
      <c r="Q586" s="16">
        <v>80</v>
      </c>
      <c r="R586" s="16">
        <v>0</v>
      </c>
      <c r="S586" s="16"/>
      <c r="T586" s="16" t="e">
        <v>#N/A</v>
      </c>
      <c r="U586" s="16" t="e">
        <v>#N/A</v>
      </c>
    </row>
    <row r="587" spans="1:21" x14ac:dyDescent="0.25">
      <c r="A587" s="12" t="s">
        <v>21</v>
      </c>
      <c r="B587" s="12" t="s">
        <v>547</v>
      </c>
      <c r="C587" s="12" t="s">
        <v>23</v>
      </c>
      <c r="D587" s="15">
        <v>46240.550856481481</v>
      </c>
      <c r="E587" s="12" t="s">
        <v>548</v>
      </c>
      <c r="F587" s="12" t="s">
        <v>567</v>
      </c>
      <c r="G587" s="12">
        <v>50</v>
      </c>
      <c r="H587" s="12">
        <v>50</v>
      </c>
      <c r="I587" s="14"/>
      <c r="J587" s="14" t="s">
        <v>61</v>
      </c>
      <c r="K587" s="12" t="s">
        <v>570</v>
      </c>
      <c r="L587" s="15">
        <v>1</v>
      </c>
      <c r="M587" s="12" t="s">
        <v>150</v>
      </c>
      <c r="N587" s="12">
        <v>50</v>
      </c>
      <c r="O587" s="12">
        <v>50</v>
      </c>
      <c r="P587" s="12">
        <v>0</v>
      </c>
      <c r="Q587" s="16">
        <v>80</v>
      </c>
      <c r="R587" s="16">
        <v>0</v>
      </c>
      <c r="S587" s="16"/>
      <c r="T587" s="16" t="e">
        <v>#N/A</v>
      </c>
      <c r="U587" s="16" t="e">
        <v>#N/A</v>
      </c>
    </row>
    <row r="588" spans="1:21" x14ac:dyDescent="0.25">
      <c r="A588" s="12" t="s">
        <v>21</v>
      </c>
      <c r="B588" s="12" t="s">
        <v>547</v>
      </c>
      <c r="C588" s="12" t="s">
        <v>23</v>
      </c>
      <c r="D588" s="15">
        <v>46240.550856481481</v>
      </c>
      <c r="E588" s="12" t="s">
        <v>548</v>
      </c>
      <c r="F588" s="12" t="s">
        <v>568</v>
      </c>
      <c r="G588" s="12">
        <v>30</v>
      </c>
      <c r="H588" s="12">
        <v>30</v>
      </c>
      <c r="I588" s="14"/>
      <c r="J588" s="14" t="s">
        <v>61</v>
      </c>
      <c r="K588" s="12" t="s">
        <v>571</v>
      </c>
      <c r="L588" s="15">
        <v>1</v>
      </c>
      <c r="M588" s="12" t="s">
        <v>150</v>
      </c>
      <c r="N588" s="12">
        <v>30</v>
      </c>
      <c r="O588" s="12">
        <v>30</v>
      </c>
      <c r="P588" s="12">
        <v>0</v>
      </c>
      <c r="Q588" s="16">
        <v>130</v>
      </c>
      <c r="R588" s="16">
        <v>0</v>
      </c>
      <c r="S588" s="16"/>
      <c r="T588" s="16" t="e">
        <v>#N/A</v>
      </c>
      <c r="U588" s="16" t="e">
        <v>#N/A</v>
      </c>
    </row>
    <row r="589" spans="1:21" x14ac:dyDescent="0.25">
      <c r="A589" s="12" t="s">
        <v>21</v>
      </c>
      <c r="B589" s="12" t="s">
        <v>547</v>
      </c>
      <c r="C589" s="12" t="s">
        <v>23</v>
      </c>
      <c r="D589" s="15">
        <v>46240.550856481481</v>
      </c>
      <c r="E589" s="12" t="s">
        <v>548</v>
      </c>
      <c r="F589" s="12" t="s">
        <v>320</v>
      </c>
      <c r="G589" s="12">
        <v>50</v>
      </c>
      <c r="H589" s="12">
        <v>50</v>
      </c>
      <c r="I589" s="14"/>
      <c r="J589" s="14" t="s">
        <v>61</v>
      </c>
      <c r="K589" s="12" t="s">
        <v>27</v>
      </c>
      <c r="L589" s="15"/>
      <c r="M589" s="12" t="s">
        <v>28</v>
      </c>
      <c r="N589" s="12"/>
      <c r="O589" s="12"/>
      <c r="P589" s="12"/>
      <c r="Q589" s="16">
        <v>80</v>
      </c>
      <c r="R589" s="16">
        <v>1</v>
      </c>
      <c r="S589" s="16">
        <v>24</v>
      </c>
      <c r="T589" s="16" t="e">
        <v>#N/A</v>
      </c>
      <c r="U589" s="16" t="e">
        <v>#N/A</v>
      </c>
    </row>
    <row r="590" spans="1:21" x14ac:dyDescent="0.25">
      <c r="A590" s="12" t="s">
        <v>21</v>
      </c>
      <c r="B590" s="12" t="s">
        <v>547</v>
      </c>
      <c r="C590" s="12" t="s">
        <v>23</v>
      </c>
      <c r="D590" s="15">
        <v>46240.550856481481</v>
      </c>
      <c r="E590" s="12" t="s">
        <v>548</v>
      </c>
      <c r="F590" s="12" t="s">
        <v>134</v>
      </c>
      <c r="G590" s="12">
        <v>50</v>
      </c>
      <c r="H590" s="12">
        <v>50</v>
      </c>
      <c r="I590" s="14"/>
      <c r="J590" s="14" t="s">
        <v>26</v>
      </c>
      <c r="K590" s="12" t="s">
        <v>27</v>
      </c>
      <c r="L590" s="15"/>
      <c r="M590" s="12" t="s">
        <v>28</v>
      </c>
      <c r="N590" s="12"/>
      <c r="O590" s="12"/>
      <c r="P590" s="12"/>
      <c r="Q590" s="16">
        <v>0</v>
      </c>
      <c r="R590" s="16">
        <v>6</v>
      </c>
      <c r="S590" s="16"/>
      <c r="T590" s="16" t="e">
        <v>#N/A</v>
      </c>
      <c r="U590" s="16" t="e">
        <v>#N/A</v>
      </c>
    </row>
    <row r="591" spans="1:21" x14ac:dyDescent="0.25">
      <c r="A591" s="12" t="s">
        <v>21</v>
      </c>
      <c r="B591" s="12" t="s">
        <v>547</v>
      </c>
      <c r="C591" s="12" t="s">
        <v>23</v>
      </c>
      <c r="D591" s="15">
        <v>46240.550856481481</v>
      </c>
      <c r="E591" s="12" t="s">
        <v>548</v>
      </c>
      <c r="F591" s="12" t="s">
        <v>371</v>
      </c>
      <c r="G591" s="12">
        <v>300</v>
      </c>
      <c r="H591" s="12">
        <v>300</v>
      </c>
      <c r="I591" s="14"/>
      <c r="J591" s="14" t="s">
        <v>26</v>
      </c>
      <c r="K591" s="12" t="s">
        <v>27</v>
      </c>
      <c r="L591" s="15"/>
      <c r="M591" s="12" t="s">
        <v>28</v>
      </c>
      <c r="N591" s="12"/>
      <c r="O591" s="12"/>
      <c r="P591" s="12"/>
      <c r="Q591" s="16">
        <v>0</v>
      </c>
      <c r="R591" s="16">
        <v>1</v>
      </c>
      <c r="S591" s="16"/>
      <c r="T591" s="16" t="e">
        <v>#N/A</v>
      </c>
      <c r="U591" s="16" t="e">
        <v>#N/A</v>
      </c>
    </row>
    <row r="592" spans="1:21" x14ac:dyDescent="0.25">
      <c r="A592" s="12" t="s">
        <v>21</v>
      </c>
      <c r="B592" s="12" t="s">
        <v>547</v>
      </c>
      <c r="C592" s="12" t="s">
        <v>23</v>
      </c>
      <c r="D592" s="15">
        <v>46240.550856481481</v>
      </c>
      <c r="E592" s="12" t="s">
        <v>548</v>
      </c>
      <c r="F592" s="12" t="s">
        <v>572</v>
      </c>
      <c r="G592" s="12">
        <v>30</v>
      </c>
      <c r="H592" s="12">
        <v>30</v>
      </c>
      <c r="I592" s="14"/>
      <c r="J592" s="14" t="s">
        <v>26</v>
      </c>
      <c r="K592" s="12" t="s">
        <v>27</v>
      </c>
      <c r="L592" s="15"/>
      <c r="M592" s="12" t="s">
        <v>28</v>
      </c>
      <c r="N592" s="12"/>
      <c r="O592" s="12"/>
      <c r="P592" s="12"/>
      <c r="Q592" s="16">
        <v>0</v>
      </c>
      <c r="R592" s="16">
        <v>10</v>
      </c>
      <c r="S592" s="16"/>
      <c r="T592" s="16" t="e">
        <v>#N/A</v>
      </c>
      <c r="U592" s="16" t="e">
        <v>#N/A</v>
      </c>
    </row>
    <row r="593" spans="1:21" x14ac:dyDescent="0.25">
      <c r="A593" s="12" t="s">
        <v>21</v>
      </c>
      <c r="B593" s="12" t="s">
        <v>547</v>
      </c>
      <c r="C593" s="12" t="s">
        <v>23</v>
      </c>
      <c r="D593" s="15">
        <v>46240.550856481481</v>
      </c>
      <c r="E593" s="12" t="s">
        <v>548</v>
      </c>
      <c r="F593" s="12" t="s">
        <v>573</v>
      </c>
      <c r="G593" s="12">
        <v>50</v>
      </c>
      <c r="H593" s="12">
        <v>50</v>
      </c>
      <c r="I593" s="14"/>
      <c r="J593" s="14" t="s">
        <v>61</v>
      </c>
      <c r="K593" s="12" t="s">
        <v>574</v>
      </c>
      <c r="L593" s="15">
        <v>1</v>
      </c>
      <c r="M593" s="12" t="s">
        <v>150</v>
      </c>
      <c r="N593" s="12">
        <v>50</v>
      </c>
      <c r="O593" s="12">
        <v>50</v>
      </c>
      <c r="P593" s="12">
        <v>0</v>
      </c>
      <c r="Q593" s="16">
        <v>130</v>
      </c>
      <c r="R593" s="16">
        <v>4</v>
      </c>
      <c r="S593" s="16"/>
      <c r="T593" s="16" t="e">
        <v>#N/A</v>
      </c>
      <c r="U593" s="16" t="e">
        <v>#N/A</v>
      </c>
    </row>
    <row r="594" spans="1:21" x14ac:dyDescent="0.25">
      <c r="A594" s="12" t="s">
        <v>21</v>
      </c>
      <c r="B594" s="12" t="s">
        <v>547</v>
      </c>
      <c r="C594" s="12" t="s">
        <v>23</v>
      </c>
      <c r="D594" s="15">
        <v>46240.550856481481</v>
      </c>
      <c r="E594" s="12" t="s">
        <v>548</v>
      </c>
      <c r="F594" s="12" t="s">
        <v>457</v>
      </c>
      <c r="G594" s="12">
        <v>50</v>
      </c>
      <c r="H594" s="12">
        <v>50</v>
      </c>
      <c r="I594" s="14"/>
      <c r="J594" s="14" t="s">
        <v>61</v>
      </c>
      <c r="K594" s="12" t="s">
        <v>575</v>
      </c>
      <c r="L594" s="15">
        <v>1</v>
      </c>
      <c r="M594" s="12" t="s">
        <v>150</v>
      </c>
      <c r="N594" s="12">
        <v>50</v>
      </c>
      <c r="O594" s="12">
        <v>50</v>
      </c>
      <c r="P594" s="12">
        <v>0</v>
      </c>
      <c r="Q594" s="16">
        <v>130</v>
      </c>
      <c r="R594" s="16">
        <v>0</v>
      </c>
      <c r="S594" s="16"/>
      <c r="T594" s="16" t="e">
        <v>#N/A</v>
      </c>
      <c r="U594" s="16" t="e">
        <v>#N/A</v>
      </c>
    </row>
    <row r="595" spans="1:21" x14ac:dyDescent="0.25">
      <c r="A595" s="12" t="s">
        <v>21</v>
      </c>
      <c r="B595" s="12" t="s">
        <v>576</v>
      </c>
      <c r="C595" s="12" t="s">
        <v>23</v>
      </c>
      <c r="D595" s="15">
        <v>46240.572164351855</v>
      </c>
      <c r="E595" s="12" t="s">
        <v>331</v>
      </c>
      <c r="F595" s="12" t="s">
        <v>320</v>
      </c>
      <c r="G595" s="12">
        <v>200</v>
      </c>
      <c r="H595" s="12">
        <v>200</v>
      </c>
      <c r="I595" s="14"/>
      <c r="J595" s="14" t="s">
        <v>26</v>
      </c>
      <c r="K595" s="12" t="s">
        <v>27</v>
      </c>
      <c r="L595" s="15"/>
      <c r="M595" s="12" t="s">
        <v>28</v>
      </c>
      <c r="N595" s="12"/>
      <c r="O595" s="12"/>
      <c r="P595" s="12"/>
      <c r="Q595" s="16">
        <v>0</v>
      </c>
      <c r="R595" s="16">
        <v>1</v>
      </c>
      <c r="S595" s="16"/>
      <c r="T595" s="16" t="e">
        <v>#N/A</v>
      </c>
      <c r="U595" s="16" t="e">
        <v>#N/A</v>
      </c>
    </row>
    <row r="596" spans="1:21" x14ac:dyDescent="0.25">
      <c r="A596" s="12" t="s">
        <v>21</v>
      </c>
      <c r="B596" s="12" t="s">
        <v>577</v>
      </c>
      <c r="C596" s="12" t="s">
        <v>23</v>
      </c>
      <c r="D596" s="15">
        <v>46240.61173611111</v>
      </c>
      <c r="E596" s="12" t="s">
        <v>24</v>
      </c>
      <c r="F596" s="12" t="s">
        <v>108</v>
      </c>
      <c r="G596" s="12">
        <v>3</v>
      </c>
      <c r="H596" s="12">
        <v>3</v>
      </c>
      <c r="I596" s="14"/>
      <c r="J596" s="14" t="s">
        <v>26</v>
      </c>
      <c r="K596" s="12" t="s">
        <v>578</v>
      </c>
      <c r="L596" s="15">
        <v>1</v>
      </c>
      <c r="M596" s="12" t="s">
        <v>150</v>
      </c>
      <c r="N596" s="12">
        <v>3</v>
      </c>
      <c r="O596" s="12">
        <v>3</v>
      </c>
      <c r="P596" s="12">
        <v>0</v>
      </c>
      <c r="Q596" s="16">
        <v>0</v>
      </c>
      <c r="R596" s="16">
        <v>0</v>
      </c>
      <c r="S596" s="16"/>
      <c r="T596" s="16" t="e">
        <v>#N/A</v>
      </c>
      <c r="U596" s="16" t="e">
        <v>#N/A</v>
      </c>
    </row>
    <row r="597" spans="1:21" x14ac:dyDescent="0.25">
      <c r="A597" s="12" t="s">
        <v>21</v>
      </c>
      <c r="B597" s="12" t="s">
        <v>579</v>
      </c>
      <c r="C597" s="12" t="s">
        <v>23</v>
      </c>
      <c r="D597" s="15">
        <v>46240.613402777781</v>
      </c>
      <c r="E597" s="12" t="s">
        <v>24</v>
      </c>
      <c r="F597" s="12" t="s">
        <v>283</v>
      </c>
      <c r="G597" s="12">
        <v>20</v>
      </c>
      <c r="H597" s="12">
        <v>20</v>
      </c>
      <c r="I597" s="14"/>
      <c r="J597" s="14" t="s">
        <v>26</v>
      </c>
      <c r="K597" s="12" t="s">
        <v>27</v>
      </c>
      <c r="L597" s="15"/>
      <c r="M597" s="12" t="s">
        <v>28</v>
      </c>
      <c r="N597" s="12"/>
      <c r="O597" s="12"/>
      <c r="P597" s="12"/>
      <c r="Q597" s="16">
        <v>0</v>
      </c>
      <c r="R597" s="16">
        <v>0</v>
      </c>
      <c r="S597" s="16">
        <v>5</v>
      </c>
      <c r="T597" s="16" t="e">
        <v>#N/A</v>
      </c>
      <c r="U597" s="16" t="e">
        <v>#N/A</v>
      </c>
    </row>
    <row r="598" spans="1:21" x14ac:dyDescent="0.25">
      <c r="A598" s="12" t="s">
        <v>21</v>
      </c>
      <c r="B598" s="12" t="s">
        <v>579</v>
      </c>
      <c r="C598" s="12" t="s">
        <v>23</v>
      </c>
      <c r="D598" s="15">
        <v>46240.613402777781</v>
      </c>
      <c r="E598" s="12" t="s">
        <v>24</v>
      </c>
      <c r="F598" s="12" t="s">
        <v>201</v>
      </c>
      <c r="G598" s="12">
        <v>20</v>
      </c>
      <c r="H598" s="12">
        <v>20</v>
      </c>
      <c r="I598" s="14"/>
      <c r="J598" s="14" t="s">
        <v>26</v>
      </c>
      <c r="K598" s="12" t="s">
        <v>27</v>
      </c>
      <c r="L598" s="15"/>
      <c r="M598" s="12" t="s">
        <v>28</v>
      </c>
      <c r="N598" s="12"/>
      <c r="O598" s="12"/>
      <c r="P598" s="12"/>
      <c r="Q598" s="16">
        <v>0</v>
      </c>
      <c r="R598" s="16">
        <v>0</v>
      </c>
      <c r="S598" s="16"/>
      <c r="T598" s="16" t="e">
        <v>#N/A</v>
      </c>
      <c r="U598" s="16" t="e">
        <v>#N/A</v>
      </c>
    </row>
    <row r="599" spans="1:21" x14ac:dyDescent="0.25">
      <c r="A599" s="12" t="s">
        <v>21</v>
      </c>
      <c r="B599" s="12" t="s">
        <v>579</v>
      </c>
      <c r="C599" s="12" t="s">
        <v>23</v>
      </c>
      <c r="D599" s="15">
        <v>46240.613402777781</v>
      </c>
      <c r="E599" s="12" t="s">
        <v>24</v>
      </c>
      <c r="F599" s="12" t="s">
        <v>277</v>
      </c>
      <c r="G599" s="12">
        <v>12</v>
      </c>
      <c r="H599" s="12">
        <v>12</v>
      </c>
      <c r="I599" s="14"/>
      <c r="J599" s="14" t="s">
        <v>26</v>
      </c>
      <c r="K599" s="12" t="s">
        <v>27</v>
      </c>
      <c r="L599" s="15"/>
      <c r="M599" s="12" t="s">
        <v>28</v>
      </c>
      <c r="N599" s="12"/>
      <c r="O599" s="12"/>
      <c r="P599" s="12"/>
      <c r="Q599" s="16">
        <v>0</v>
      </c>
      <c r="R599" s="16">
        <v>0</v>
      </c>
      <c r="S599" s="16"/>
      <c r="T599" s="16" t="e">
        <v>#N/A</v>
      </c>
      <c r="U599" s="16" t="e">
        <v>#N/A</v>
      </c>
    </row>
    <row r="600" spans="1:21" x14ac:dyDescent="0.25">
      <c r="A600" s="12" t="s">
        <v>21</v>
      </c>
      <c r="B600" s="12" t="s">
        <v>580</v>
      </c>
      <c r="C600" s="12" t="s">
        <v>23</v>
      </c>
      <c r="D600" s="15">
        <v>46241.427754629629</v>
      </c>
      <c r="E600" s="12" t="s">
        <v>581</v>
      </c>
      <c r="F600" s="12" t="s">
        <v>582</v>
      </c>
      <c r="G600" s="12">
        <v>10</v>
      </c>
      <c r="H600" s="12">
        <v>10</v>
      </c>
      <c r="I600" s="14"/>
      <c r="J600" s="14" t="s">
        <v>26</v>
      </c>
      <c r="K600" s="12" t="s">
        <v>583</v>
      </c>
      <c r="L600" s="15">
        <v>1</v>
      </c>
      <c r="M600" s="12" t="s">
        <v>150</v>
      </c>
      <c r="N600" s="12">
        <v>3</v>
      </c>
      <c r="O600" s="12">
        <v>3</v>
      </c>
      <c r="P600" s="12">
        <v>0</v>
      </c>
      <c r="Q600" s="16">
        <v>0</v>
      </c>
      <c r="R600" s="16">
        <v>0</v>
      </c>
      <c r="S600" s="16">
        <v>7</v>
      </c>
      <c r="T600" s="16" t="e">
        <v>#N/A</v>
      </c>
      <c r="U600" s="16" t="e">
        <v>#N/A</v>
      </c>
    </row>
    <row r="601" spans="1:21" x14ac:dyDescent="0.25">
      <c r="A601" s="12" t="s">
        <v>21</v>
      </c>
      <c r="B601" s="12" t="s">
        <v>584</v>
      </c>
      <c r="C601" s="12" t="s">
        <v>23</v>
      </c>
      <c r="D601" s="15">
        <v>46241.620335648149</v>
      </c>
      <c r="E601" s="12" t="s">
        <v>585</v>
      </c>
      <c r="F601" s="12" t="s">
        <v>320</v>
      </c>
      <c r="G601" s="12">
        <v>200</v>
      </c>
      <c r="H601" s="12">
        <v>200</v>
      </c>
      <c r="I601" s="14"/>
      <c r="J601" s="14" t="s">
        <v>26</v>
      </c>
      <c r="K601" s="12" t="s">
        <v>27</v>
      </c>
      <c r="L601" s="15"/>
      <c r="M601" s="12" t="s">
        <v>28</v>
      </c>
      <c r="N601" s="12"/>
      <c r="O601" s="12"/>
      <c r="P601" s="12"/>
      <c r="Q601" s="16">
        <v>0</v>
      </c>
      <c r="R601" s="16">
        <v>1</v>
      </c>
      <c r="S601" s="16">
        <v>70</v>
      </c>
      <c r="T601" s="16" t="e">
        <v>#N/A</v>
      </c>
      <c r="U601" s="16" t="e">
        <v>#N/A</v>
      </c>
    </row>
    <row r="602" spans="1:21" x14ac:dyDescent="0.25">
      <c r="A602" s="12" t="s">
        <v>21</v>
      </c>
      <c r="B602" s="12" t="s">
        <v>584</v>
      </c>
      <c r="C602" s="12" t="s">
        <v>23</v>
      </c>
      <c r="D602" s="15">
        <v>46241.620335648149</v>
      </c>
      <c r="E602" s="12" t="s">
        <v>585</v>
      </c>
      <c r="F602" s="12" t="s">
        <v>371</v>
      </c>
      <c r="G602" s="12">
        <v>500</v>
      </c>
      <c r="H602" s="12">
        <v>500</v>
      </c>
      <c r="I602" s="14"/>
      <c r="J602" s="14" t="s">
        <v>26</v>
      </c>
      <c r="K602" s="12" t="s">
        <v>27</v>
      </c>
      <c r="L602" s="15"/>
      <c r="M602" s="12" t="s">
        <v>28</v>
      </c>
      <c r="N602" s="12"/>
      <c r="O602" s="12"/>
      <c r="P602" s="12"/>
      <c r="Q602" s="16">
        <v>0</v>
      </c>
      <c r="R602" s="16">
        <v>1</v>
      </c>
      <c r="S602" s="16">
        <v>275</v>
      </c>
      <c r="T602" s="16" t="e">
        <v>#N/A</v>
      </c>
      <c r="U602" s="16" t="e">
        <v>#N/A</v>
      </c>
    </row>
    <row r="603" spans="1:21" x14ac:dyDescent="0.25">
      <c r="A603" s="12" t="s">
        <v>21</v>
      </c>
      <c r="B603" s="12" t="s">
        <v>586</v>
      </c>
      <c r="C603" s="12" t="s">
        <v>23</v>
      </c>
      <c r="D603" s="15">
        <v>46242.449386574073</v>
      </c>
      <c r="E603" s="12" t="s">
        <v>258</v>
      </c>
      <c r="F603" s="12" t="s">
        <v>283</v>
      </c>
      <c r="G603" s="12">
        <v>30</v>
      </c>
      <c r="H603" s="12">
        <v>30</v>
      </c>
      <c r="I603" s="14"/>
      <c r="J603" s="14" t="s">
        <v>26</v>
      </c>
      <c r="K603" s="12" t="s">
        <v>27</v>
      </c>
      <c r="L603" s="15"/>
      <c r="M603" s="12" t="s">
        <v>28</v>
      </c>
      <c r="N603" s="12"/>
      <c r="O603" s="12"/>
      <c r="P603" s="12"/>
      <c r="Q603" s="16">
        <v>0</v>
      </c>
      <c r="R603" s="16">
        <v>0</v>
      </c>
      <c r="S603" s="16"/>
      <c r="T603" s="16" t="e">
        <v>#N/A</v>
      </c>
      <c r="U603" s="16" t="e">
        <v>#N/A</v>
      </c>
    </row>
    <row r="604" spans="1:21" x14ac:dyDescent="0.25">
      <c r="A604" s="12" t="s">
        <v>21</v>
      </c>
      <c r="B604" s="12" t="s">
        <v>586</v>
      </c>
      <c r="C604" s="12" t="s">
        <v>23</v>
      </c>
      <c r="D604" s="15">
        <v>46242.449386574073</v>
      </c>
      <c r="E604" s="12" t="s">
        <v>258</v>
      </c>
      <c r="F604" s="12" t="s">
        <v>401</v>
      </c>
      <c r="G604" s="12">
        <v>1</v>
      </c>
      <c r="H604" s="12">
        <v>1</v>
      </c>
      <c r="I604" s="14"/>
      <c r="J604" s="14" t="s">
        <v>26</v>
      </c>
      <c r="K604" s="12" t="s">
        <v>27</v>
      </c>
      <c r="L604" s="15"/>
      <c r="M604" s="12" t="s">
        <v>28</v>
      </c>
      <c r="N604" s="12"/>
      <c r="O604" s="12"/>
      <c r="P604" s="12"/>
      <c r="Q604" s="16">
        <v>0</v>
      </c>
      <c r="R604" s="16">
        <v>0</v>
      </c>
      <c r="S604" s="16"/>
      <c r="T604" s="16" t="e">
        <v>#N/A</v>
      </c>
      <c r="U604" s="16" t="e">
        <v>#N/A</v>
      </c>
    </row>
    <row r="605" spans="1:21" x14ac:dyDescent="0.25">
      <c r="A605" s="12" t="s">
        <v>21</v>
      </c>
      <c r="B605" s="12" t="s">
        <v>587</v>
      </c>
      <c r="C605" s="12" t="s">
        <v>23</v>
      </c>
      <c r="D605" s="15">
        <v>46242.452847222223</v>
      </c>
      <c r="E605" s="12" t="s">
        <v>345</v>
      </c>
      <c r="F605" s="12" t="s">
        <v>134</v>
      </c>
      <c r="G605" s="12">
        <v>50</v>
      </c>
      <c r="H605" s="12">
        <v>50</v>
      </c>
      <c r="I605" s="14"/>
      <c r="J605" s="14" t="s">
        <v>26</v>
      </c>
      <c r="K605" s="12" t="s">
        <v>27</v>
      </c>
      <c r="L605" s="15"/>
      <c r="M605" s="12" t="s">
        <v>28</v>
      </c>
      <c r="N605" s="12"/>
      <c r="O605" s="12"/>
      <c r="P605" s="12"/>
      <c r="Q605" s="16">
        <v>0</v>
      </c>
      <c r="R605" s="16">
        <v>6</v>
      </c>
      <c r="S605" s="16"/>
      <c r="T605" s="16" t="e">
        <v>#N/A</v>
      </c>
      <c r="U605" s="16" t="e">
        <v>#N/A</v>
      </c>
    </row>
    <row r="606" spans="1:21" x14ac:dyDescent="0.25">
      <c r="A606" s="12" t="s">
        <v>21</v>
      </c>
      <c r="B606" s="12" t="s">
        <v>587</v>
      </c>
      <c r="C606" s="12" t="s">
        <v>23</v>
      </c>
      <c r="D606" s="15">
        <v>46242.452847222223</v>
      </c>
      <c r="E606" s="12" t="s">
        <v>345</v>
      </c>
      <c r="F606" s="12" t="s">
        <v>371</v>
      </c>
      <c r="G606" s="12">
        <v>200</v>
      </c>
      <c r="H606" s="12">
        <v>200</v>
      </c>
      <c r="I606" s="14"/>
      <c r="J606" s="14" t="s">
        <v>26</v>
      </c>
      <c r="K606" s="12" t="s">
        <v>27</v>
      </c>
      <c r="L606" s="15"/>
      <c r="M606" s="12" t="s">
        <v>28</v>
      </c>
      <c r="N606" s="12"/>
      <c r="O606" s="12"/>
      <c r="P606" s="12"/>
      <c r="Q606" s="16">
        <v>0</v>
      </c>
      <c r="R606" s="16">
        <v>1</v>
      </c>
      <c r="S606" s="16"/>
      <c r="T606" s="16" t="e">
        <v>#N/A</v>
      </c>
      <c r="U606" s="16" t="e">
        <v>#N/A</v>
      </c>
    </row>
    <row r="607" spans="1:21" x14ac:dyDescent="0.25">
      <c r="A607" s="12" t="s">
        <v>21</v>
      </c>
      <c r="B607" s="12" t="s">
        <v>588</v>
      </c>
      <c r="C607" s="12" t="s">
        <v>23</v>
      </c>
      <c r="D607" s="15">
        <v>46242.490671296298</v>
      </c>
      <c r="E607" s="12" t="s">
        <v>69</v>
      </c>
      <c r="F607" s="12" t="s">
        <v>320</v>
      </c>
      <c r="G607" s="12">
        <v>200</v>
      </c>
      <c r="H607" s="12">
        <v>200</v>
      </c>
      <c r="I607" s="14">
        <v>-100</v>
      </c>
      <c r="J607" s="14" t="s">
        <v>61</v>
      </c>
      <c r="K607" s="12" t="s">
        <v>27</v>
      </c>
      <c r="L607" s="15"/>
      <c r="M607" s="12" t="s">
        <v>28</v>
      </c>
      <c r="N607" s="12"/>
      <c r="O607" s="12"/>
      <c r="P607" s="12"/>
      <c r="Q607" s="16">
        <v>30</v>
      </c>
      <c r="R607" s="16">
        <v>1</v>
      </c>
      <c r="S607" s="16"/>
      <c r="T607" s="16" t="e">
        <v>#N/A</v>
      </c>
      <c r="U607" s="16" t="e">
        <v>#N/A</v>
      </c>
    </row>
    <row r="608" spans="1:21" x14ac:dyDescent="0.25">
      <c r="A608" s="12" t="s">
        <v>21</v>
      </c>
      <c r="B608" s="12" t="s">
        <v>588</v>
      </c>
      <c r="C608" s="12" t="s">
        <v>23</v>
      </c>
      <c r="D608" s="15">
        <v>46242.490671296298</v>
      </c>
      <c r="E608" s="12" t="s">
        <v>69</v>
      </c>
      <c r="F608" s="12" t="s">
        <v>134</v>
      </c>
      <c r="G608" s="12">
        <v>50</v>
      </c>
      <c r="H608" s="12">
        <v>50</v>
      </c>
      <c r="I608" s="14"/>
      <c r="J608" s="14" t="s">
        <v>26</v>
      </c>
      <c r="K608" s="12" t="s">
        <v>27</v>
      </c>
      <c r="L608" s="15"/>
      <c r="M608" s="12" t="s">
        <v>28</v>
      </c>
      <c r="N608" s="12"/>
      <c r="O608" s="12"/>
      <c r="P608" s="12"/>
      <c r="Q608" s="16">
        <v>0</v>
      </c>
      <c r="R608" s="16">
        <v>6</v>
      </c>
      <c r="S608" s="16"/>
      <c r="T608" s="16" t="e">
        <v>#N/A</v>
      </c>
      <c r="U608" s="16" t="e">
        <v>#N/A</v>
      </c>
    </row>
    <row r="609" spans="1:21" x14ac:dyDescent="0.25">
      <c r="A609" s="12" t="s">
        <v>21</v>
      </c>
      <c r="B609" s="12" t="s">
        <v>588</v>
      </c>
      <c r="C609" s="12" t="s">
        <v>23</v>
      </c>
      <c r="D609" s="15">
        <v>46242.490671296298</v>
      </c>
      <c r="E609" s="12" t="s">
        <v>69</v>
      </c>
      <c r="F609" s="12" t="s">
        <v>371</v>
      </c>
      <c r="G609" s="12">
        <v>300</v>
      </c>
      <c r="H609" s="12">
        <v>300</v>
      </c>
      <c r="I609" s="14"/>
      <c r="J609" s="14" t="s">
        <v>26</v>
      </c>
      <c r="K609" s="12" t="s">
        <v>27</v>
      </c>
      <c r="L609" s="15"/>
      <c r="M609" s="12" t="s">
        <v>28</v>
      </c>
      <c r="N609" s="12"/>
      <c r="O609" s="12"/>
      <c r="P609" s="12"/>
      <c r="Q609" s="16">
        <v>0</v>
      </c>
      <c r="R609" s="16">
        <v>1</v>
      </c>
      <c r="S609" s="16"/>
      <c r="T609" s="16" t="e">
        <v>#N/A</v>
      </c>
      <c r="U609" s="16" t="e">
        <v>#N/A</v>
      </c>
    </row>
    <row r="610" spans="1:21" x14ac:dyDescent="0.25">
      <c r="A610" s="12" t="s">
        <v>21</v>
      </c>
      <c r="B610" s="12" t="s">
        <v>589</v>
      </c>
      <c r="C610" s="12" t="s">
        <v>23</v>
      </c>
      <c r="D610" s="15">
        <v>46244.318136574075</v>
      </c>
      <c r="E610" s="12" t="s">
        <v>266</v>
      </c>
      <c r="F610" s="12" t="s">
        <v>71</v>
      </c>
      <c r="G610" s="12">
        <v>50</v>
      </c>
      <c r="H610" s="12">
        <v>50</v>
      </c>
      <c r="I610" s="14"/>
      <c r="J610" s="14" t="s">
        <v>26</v>
      </c>
      <c r="K610" s="12" t="s">
        <v>27</v>
      </c>
      <c r="L610" s="15"/>
      <c r="M610" s="12" t="s">
        <v>28</v>
      </c>
      <c r="N610" s="12"/>
      <c r="O610" s="12"/>
      <c r="P610" s="12"/>
      <c r="Q610" s="16">
        <v>0</v>
      </c>
      <c r="R610" s="16">
        <v>0</v>
      </c>
      <c r="S610" s="16"/>
      <c r="T610" s="16" t="e">
        <v>#N/A</v>
      </c>
      <c r="U610" s="16" t="e">
        <v>#N/A</v>
      </c>
    </row>
    <row r="611" spans="1:21" x14ac:dyDescent="0.25">
      <c r="A611" s="12" t="s">
        <v>21</v>
      </c>
      <c r="B611" s="12" t="s">
        <v>589</v>
      </c>
      <c r="C611" s="12" t="s">
        <v>23</v>
      </c>
      <c r="D611" s="15">
        <v>46244.318136574075</v>
      </c>
      <c r="E611" s="12" t="s">
        <v>266</v>
      </c>
      <c r="F611" s="12" t="s">
        <v>525</v>
      </c>
      <c r="G611" s="12">
        <v>50</v>
      </c>
      <c r="H611" s="12">
        <v>50</v>
      </c>
      <c r="I611" s="14"/>
      <c r="J611" s="14" t="s">
        <v>26</v>
      </c>
      <c r="K611" s="12" t="s">
        <v>27</v>
      </c>
      <c r="L611" s="15"/>
      <c r="M611" s="12" t="s">
        <v>28</v>
      </c>
      <c r="N611" s="12"/>
      <c r="O611" s="12"/>
      <c r="P611" s="12"/>
      <c r="Q611" s="16">
        <v>0</v>
      </c>
      <c r="R611" s="16">
        <v>0</v>
      </c>
      <c r="S611" s="16"/>
      <c r="T611" s="16" t="e">
        <v>#N/A</v>
      </c>
      <c r="U611" s="16" t="e">
        <v>#N/A</v>
      </c>
    </row>
    <row r="612" spans="1:21" x14ac:dyDescent="0.25">
      <c r="A612" s="12" t="s">
        <v>21</v>
      </c>
      <c r="B612" s="12" t="s">
        <v>589</v>
      </c>
      <c r="C612" s="12" t="s">
        <v>23</v>
      </c>
      <c r="D612" s="15">
        <v>46244.318136574075</v>
      </c>
      <c r="E612" s="12" t="s">
        <v>266</v>
      </c>
      <c r="F612" s="12" t="s">
        <v>268</v>
      </c>
      <c r="G612" s="12">
        <v>10</v>
      </c>
      <c r="H612" s="12">
        <v>10</v>
      </c>
      <c r="I612" s="14"/>
      <c r="J612" s="14" t="s">
        <v>26</v>
      </c>
      <c r="K612" s="12" t="s">
        <v>27</v>
      </c>
      <c r="L612" s="15"/>
      <c r="M612" s="12" t="s">
        <v>28</v>
      </c>
      <c r="N612" s="12"/>
      <c r="O612" s="12"/>
      <c r="P612" s="12"/>
      <c r="Q612" s="16">
        <v>0</v>
      </c>
      <c r="R612" s="16">
        <v>0</v>
      </c>
      <c r="S612" s="16"/>
      <c r="T612" s="16" t="e">
        <v>#N/A</v>
      </c>
      <c r="U612" s="16" t="e">
        <v>#N/A</v>
      </c>
    </row>
    <row r="613" spans="1:21" x14ac:dyDescent="0.25">
      <c r="A613" s="12" t="s">
        <v>21</v>
      </c>
      <c r="B613" s="12" t="s">
        <v>589</v>
      </c>
      <c r="C613" s="12" t="s">
        <v>23</v>
      </c>
      <c r="D613" s="15">
        <v>46244.318136574075</v>
      </c>
      <c r="E613" s="12" t="s">
        <v>266</v>
      </c>
      <c r="F613" s="12" t="s">
        <v>401</v>
      </c>
      <c r="G613" s="12">
        <v>8</v>
      </c>
      <c r="H613" s="12">
        <v>8</v>
      </c>
      <c r="I613" s="14"/>
      <c r="J613" s="14" t="s">
        <v>26</v>
      </c>
      <c r="K613" s="12" t="s">
        <v>27</v>
      </c>
      <c r="L613" s="15"/>
      <c r="M613" s="12" t="s">
        <v>28</v>
      </c>
      <c r="N613" s="12"/>
      <c r="O613" s="12"/>
      <c r="P613" s="12"/>
      <c r="Q613" s="16">
        <v>0</v>
      </c>
      <c r="R613" s="16">
        <v>0</v>
      </c>
      <c r="S613" s="16"/>
      <c r="T613" s="16" t="e">
        <v>#N/A</v>
      </c>
      <c r="U613" s="16" t="e">
        <v>#N/A</v>
      </c>
    </row>
    <row r="614" spans="1:21" x14ac:dyDescent="0.25">
      <c r="A614" s="12" t="s">
        <v>21</v>
      </c>
      <c r="B614" s="12" t="s">
        <v>590</v>
      </c>
      <c r="C614" s="12" t="s">
        <v>23</v>
      </c>
      <c r="D614" s="15">
        <v>46244.374803240738</v>
      </c>
      <c r="E614" s="12" t="s">
        <v>218</v>
      </c>
      <c r="F614" s="12" t="s">
        <v>262</v>
      </c>
      <c r="G614" s="12">
        <v>2000</v>
      </c>
      <c r="H614" s="12">
        <v>2000</v>
      </c>
      <c r="I614" s="14"/>
      <c r="J614" s="14" t="s">
        <v>26</v>
      </c>
      <c r="K614" s="12" t="s">
        <v>27</v>
      </c>
      <c r="L614" s="15"/>
      <c r="M614" s="12" t="s">
        <v>28</v>
      </c>
      <c r="N614" s="12"/>
      <c r="O614" s="12"/>
      <c r="P614" s="12"/>
      <c r="Q614" s="16">
        <v>0</v>
      </c>
      <c r="R614" s="16">
        <v>0</v>
      </c>
      <c r="S614" s="16"/>
      <c r="T614" s="16" t="e">
        <v>#N/A</v>
      </c>
      <c r="U614" s="16" t="e">
        <v>#N/A</v>
      </c>
    </row>
    <row r="615" spans="1:21" x14ac:dyDescent="0.25">
      <c r="A615" s="12" t="s">
        <v>21</v>
      </c>
      <c r="B615" s="12" t="s">
        <v>591</v>
      </c>
      <c r="C615" s="12" t="s">
        <v>23</v>
      </c>
      <c r="D615" s="15">
        <v>46245.453136574077</v>
      </c>
      <c r="E615" s="12" t="s">
        <v>24</v>
      </c>
      <c r="F615" s="12" t="s">
        <v>319</v>
      </c>
      <c r="G615" s="12">
        <v>3</v>
      </c>
      <c r="H615" s="12">
        <v>3</v>
      </c>
      <c r="I615" s="14">
        <v>-2</v>
      </c>
      <c r="J615" s="14" t="s">
        <v>26</v>
      </c>
      <c r="K615" s="12" t="s">
        <v>27</v>
      </c>
      <c r="L615" s="15"/>
      <c r="M615" s="12" t="s">
        <v>28</v>
      </c>
      <c r="N615" s="12"/>
      <c r="O615" s="12"/>
      <c r="P615" s="12"/>
      <c r="Q615" s="16">
        <v>0</v>
      </c>
      <c r="R615" s="16">
        <v>657</v>
      </c>
      <c r="S615" s="16"/>
      <c r="T615" s="16" t="e">
        <v>#N/A</v>
      </c>
      <c r="U615" s="16" t="e">
        <v>#N/A</v>
      </c>
    </row>
    <row r="616" spans="1:21" x14ac:dyDescent="0.25">
      <c r="A616" s="12" t="s">
        <v>21</v>
      </c>
      <c r="B616" s="12" t="s">
        <v>592</v>
      </c>
      <c r="C616" s="12" t="s">
        <v>23</v>
      </c>
      <c r="D616" s="15">
        <v>46245.479155092595</v>
      </c>
      <c r="E616" s="12" t="s">
        <v>258</v>
      </c>
      <c r="F616" s="12" t="s">
        <v>593</v>
      </c>
      <c r="G616" s="12">
        <v>4</v>
      </c>
      <c r="H616" s="12">
        <v>4</v>
      </c>
      <c r="I616" s="14"/>
      <c r="J616" s="14" t="s">
        <v>61</v>
      </c>
      <c r="K616" s="12" t="s">
        <v>27</v>
      </c>
      <c r="L616" s="15"/>
      <c r="M616" s="12" t="s">
        <v>28</v>
      </c>
      <c r="N616" s="12"/>
      <c r="O616" s="12"/>
      <c r="P616" s="12"/>
      <c r="Q616" s="16">
        <v>4</v>
      </c>
      <c r="R616" s="16">
        <v>1</v>
      </c>
      <c r="S616" s="16"/>
      <c r="T616" s="16" t="e">
        <v>#N/A</v>
      </c>
      <c r="U616" s="16" t="e">
        <v>#N/A</v>
      </c>
    </row>
    <row r="617" spans="1:21" x14ac:dyDescent="0.25">
      <c r="A617" s="12" t="s">
        <v>21</v>
      </c>
      <c r="B617" s="12" t="s">
        <v>594</v>
      </c>
      <c r="C617" s="12" t="s">
        <v>23</v>
      </c>
      <c r="D617" s="15">
        <v>46245.579340277778</v>
      </c>
      <c r="E617" s="12" t="s">
        <v>258</v>
      </c>
      <c r="F617" s="12" t="s">
        <v>595</v>
      </c>
      <c r="G617" s="12">
        <v>20</v>
      </c>
      <c r="H617" s="12">
        <v>20</v>
      </c>
      <c r="I617" s="14"/>
      <c r="J617" s="14" t="s">
        <v>26</v>
      </c>
      <c r="K617" s="12" t="s">
        <v>596</v>
      </c>
      <c r="L617" s="15">
        <v>1</v>
      </c>
      <c r="M617" s="12" t="s">
        <v>150</v>
      </c>
      <c r="N617" s="12">
        <v>20</v>
      </c>
      <c r="O617" s="12">
        <v>20</v>
      </c>
      <c r="P617" s="12">
        <v>0</v>
      </c>
      <c r="Q617" s="16">
        <v>0</v>
      </c>
      <c r="R617" s="16">
        <v>10</v>
      </c>
      <c r="S617" s="16"/>
      <c r="T617" s="16" t="e">
        <v>#N/A</v>
      </c>
      <c r="U617" s="16" t="e">
        <v>#N/A</v>
      </c>
    </row>
    <row r="618" spans="1:21" x14ac:dyDescent="0.25">
      <c r="A618" s="12" t="s">
        <v>21</v>
      </c>
      <c r="B618" s="12" t="s">
        <v>597</v>
      </c>
      <c r="C618" s="12" t="s">
        <v>23</v>
      </c>
      <c r="D618" s="15">
        <v>46246.277465277781</v>
      </c>
      <c r="E618" s="12" t="s">
        <v>24</v>
      </c>
      <c r="F618" s="12" t="s">
        <v>559</v>
      </c>
      <c r="G618" s="12">
        <v>120</v>
      </c>
      <c r="H618" s="12">
        <v>4</v>
      </c>
      <c r="I618" s="14"/>
      <c r="J618" s="14" t="s">
        <v>61</v>
      </c>
      <c r="K618" s="12" t="s">
        <v>27</v>
      </c>
      <c r="L618" s="15"/>
      <c r="M618" s="12" t="s">
        <v>28</v>
      </c>
      <c r="N618" s="12"/>
      <c r="O618" s="12"/>
      <c r="P618" s="12"/>
      <c r="Q618" s="16">
        <v>260</v>
      </c>
      <c r="R618" s="16">
        <v>0</v>
      </c>
      <c r="S618" s="16"/>
      <c r="T618" s="16" t="e">
        <v>#N/A</v>
      </c>
      <c r="U618" s="16" t="e">
        <v>#N/A</v>
      </c>
    </row>
    <row r="619" spans="1:21" x14ac:dyDescent="0.25">
      <c r="A619" s="12" t="s">
        <v>21</v>
      </c>
      <c r="B619" s="12" t="s">
        <v>598</v>
      </c>
      <c r="C619" s="12" t="s">
        <v>23</v>
      </c>
      <c r="D619" s="15">
        <v>46246.522766203707</v>
      </c>
      <c r="E619" s="12" t="s">
        <v>599</v>
      </c>
      <c r="F619" s="12" t="s">
        <v>600</v>
      </c>
      <c r="G619" s="12">
        <v>60</v>
      </c>
      <c r="H619" s="12">
        <v>60</v>
      </c>
      <c r="I619" s="14"/>
      <c r="J619" s="14" t="s">
        <v>61</v>
      </c>
      <c r="K619" s="12" t="s">
        <v>601</v>
      </c>
      <c r="L619" s="15">
        <v>1</v>
      </c>
      <c r="M619" s="12" t="s">
        <v>150</v>
      </c>
      <c r="N619" s="12">
        <v>60</v>
      </c>
      <c r="O619" s="12">
        <v>60</v>
      </c>
      <c r="P619" s="12">
        <v>0</v>
      </c>
      <c r="Q619" s="16">
        <v>110</v>
      </c>
      <c r="R619" s="16">
        <v>1</v>
      </c>
      <c r="S619" s="16"/>
      <c r="T619" s="16" t="e">
        <v>#N/A</v>
      </c>
      <c r="U619" s="16" t="e">
        <v>#N/A</v>
      </c>
    </row>
    <row r="620" spans="1:21" x14ac:dyDescent="0.25">
      <c r="A620" s="12" t="s">
        <v>21</v>
      </c>
      <c r="B620" s="12" t="s">
        <v>598</v>
      </c>
      <c r="C620" s="12" t="s">
        <v>23</v>
      </c>
      <c r="D620" s="15">
        <v>46246.522766203707</v>
      </c>
      <c r="E620" s="12" t="s">
        <v>599</v>
      </c>
      <c r="F620" s="12" t="s">
        <v>161</v>
      </c>
      <c r="G620" s="12">
        <v>20</v>
      </c>
      <c r="H620" s="12">
        <v>20</v>
      </c>
      <c r="I620" s="14"/>
      <c r="J620" s="14" t="s">
        <v>61</v>
      </c>
      <c r="K620" s="12" t="s">
        <v>604</v>
      </c>
      <c r="L620" s="15">
        <v>1</v>
      </c>
      <c r="M620" s="12" t="s">
        <v>150</v>
      </c>
      <c r="N620" s="12">
        <v>20</v>
      </c>
      <c r="O620" s="12">
        <v>20</v>
      </c>
      <c r="P620" s="12">
        <v>0</v>
      </c>
      <c r="Q620" s="16">
        <v>40</v>
      </c>
      <c r="R620" s="16">
        <v>7</v>
      </c>
      <c r="S620" s="16"/>
      <c r="T620" s="16" t="e">
        <v>#N/A</v>
      </c>
      <c r="U620" s="16" t="e">
        <v>#N/A</v>
      </c>
    </row>
    <row r="621" spans="1:21" x14ac:dyDescent="0.25">
      <c r="A621" s="12" t="s">
        <v>21</v>
      </c>
      <c r="B621" s="12" t="s">
        <v>598</v>
      </c>
      <c r="C621" s="12" t="s">
        <v>23</v>
      </c>
      <c r="D621" s="15">
        <v>46246.522766203707</v>
      </c>
      <c r="E621" s="12" t="s">
        <v>599</v>
      </c>
      <c r="F621" s="12" t="s">
        <v>602</v>
      </c>
      <c r="G621" s="12">
        <v>20</v>
      </c>
      <c r="H621" s="12">
        <v>20</v>
      </c>
      <c r="I621" s="14"/>
      <c r="J621" s="14" t="s">
        <v>61</v>
      </c>
      <c r="K621" s="12" t="s">
        <v>605</v>
      </c>
      <c r="L621" s="15">
        <v>1</v>
      </c>
      <c r="M621" s="12" t="s">
        <v>150</v>
      </c>
      <c r="N621" s="12">
        <v>20</v>
      </c>
      <c r="O621" s="12">
        <v>20</v>
      </c>
      <c r="P621" s="12">
        <v>0</v>
      </c>
      <c r="Q621" s="16">
        <v>20</v>
      </c>
      <c r="R621" s="16">
        <v>0</v>
      </c>
      <c r="S621" s="16"/>
      <c r="T621" s="16" t="e">
        <v>#N/A</v>
      </c>
      <c r="U621" s="16" t="e">
        <v>#N/A</v>
      </c>
    </row>
    <row r="622" spans="1:21" x14ac:dyDescent="0.25">
      <c r="A622" s="12" t="s">
        <v>21</v>
      </c>
      <c r="B622" s="12" t="s">
        <v>598</v>
      </c>
      <c r="C622" s="12" t="s">
        <v>23</v>
      </c>
      <c r="D622" s="15">
        <v>46246.522766203707</v>
      </c>
      <c r="E622" s="12" t="s">
        <v>599</v>
      </c>
      <c r="F622" s="12" t="s">
        <v>603</v>
      </c>
      <c r="G622" s="12">
        <v>30</v>
      </c>
      <c r="H622" s="12">
        <v>30</v>
      </c>
      <c r="I622" s="14"/>
      <c r="J622" s="14" t="s">
        <v>61</v>
      </c>
      <c r="K622" s="12" t="s">
        <v>606</v>
      </c>
      <c r="L622" s="15">
        <v>1</v>
      </c>
      <c r="M622" s="12" t="s">
        <v>150</v>
      </c>
      <c r="N622" s="12">
        <v>30</v>
      </c>
      <c r="O622" s="12">
        <v>30</v>
      </c>
      <c r="P622" s="12">
        <v>0</v>
      </c>
      <c r="Q622" s="16">
        <v>30</v>
      </c>
      <c r="R622" s="16">
        <v>4</v>
      </c>
      <c r="S622" s="16"/>
      <c r="T622" s="16" t="e">
        <v>#N/A</v>
      </c>
      <c r="U622" s="16" t="e">
        <v>#N/A</v>
      </c>
    </row>
    <row r="623" spans="1:21" x14ac:dyDescent="0.25">
      <c r="A623" s="12" t="s">
        <v>21</v>
      </c>
      <c r="B623" s="12" t="s">
        <v>598</v>
      </c>
      <c r="C623" s="12" t="s">
        <v>23</v>
      </c>
      <c r="D623" s="15">
        <v>46246.522766203707</v>
      </c>
      <c r="E623" s="12" t="s">
        <v>599</v>
      </c>
      <c r="F623" s="12" t="s">
        <v>283</v>
      </c>
      <c r="G623" s="12">
        <v>50</v>
      </c>
      <c r="H623" s="12">
        <v>50</v>
      </c>
      <c r="I623" s="14"/>
      <c r="J623" s="14" t="s">
        <v>61</v>
      </c>
      <c r="K623" s="12" t="s">
        <v>607</v>
      </c>
      <c r="L623" s="15">
        <v>1</v>
      </c>
      <c r="M623" s="12" t="s">
        <v>150</v>
      </c>
      <c r="N623" s="12">
        <v>50</v>
      </c>
      <c r="O623" s="12">
        <v>50</v>
      </c>
      <c r="P623" s="12">
        <v>0</v>
      </c>
      <c r="Q623" s="16">
        <v>150</v>
      </c>
      <c r="R623" s="16">
        <v>0</v>
      </c>
      <c r="S623" s="16"/>
      <c r="T623" s="16" t="e">
        <v>#N/A</v>
      </c>
      <c r="U623" s="16" t="e">
        <v>#N/A</v>
      </c>
    </row>
    <row r="624" spans="1:21" x14ac:dyDescent="0.25">
      <c r="A624" s="12" t="s">
        <v>21</v>
      </c>
      <c r="B624" s="12" t="s">
        <v>598</v>
      </c>
      <c r="C624" s="12" t="s">
        <v>23</v>
      </c>
      <c r="D624" s="15">
        <v>46246.522766203707</v>
      </c>
      <c r="E624" s="12" t="s">
        <v>599</v>
      </c>
      <c r="F624" s="12" t="s">
        <v>389</v>
      </c>
      <c r="G624" s="12">
        <v>10</v>
      </c>
      <c r="H624" s="12">
        <v>10</v>
      </c>
      <c r="I624" s="14"/>
      <c r="J624" s="14" t="s">
        <v>61</v>
      </c>
      <c r="K624" s="12" t="s">
        <v>608</v>
      </c>
      <c r="L624" s="15">
        <v>1</v>
      </c>
      <c r="M624" s="12" t="s">
        <v>150</v>
      </c>
      <c r="N624" s="12">
        <v>10</v>
      </c>
      <c r="O624" s="12">
        <v>10</v>
      </c>
      <c r="P624" s="12">
        <v>0</v>
      </c>
      <c r="Q624" s="16">
        <v>10</v>
      </c>
      <c r="R624" s="16">
        <v>0</v>
      </c>
      <c r="S624" s="16"/>
      <c r="T624" s="16" t="e">
        <v>#N/A</v>
      </c>
      <c r="U624" s="16" t="e">
        <v>#N/A</v>
      </c>
    </row>
    <row r="625" spans="1:21" x14ac:dyDescent="0.25">
      <c r="A625" s="12" t="s">
        <v>21</v>
      </c>
      <c r="B625" s="12" t="s">
        <v>609</v>
      </c>
      <c r="C625" s="12" t="s">
        <v>23</v>
      </c>
      <c r="D625" s="15">
        <v>46246.552789351852</v>
      </c>
      <c r="E625" s="12" t="s">
        <v>24</v>
      </c>
      <c r="F625" s="12" t="s">
        <v>610</v>
      </c>
      <c r="G625" s="12">
        <v>9</v>
      </c>
      <c r="H625" s="12">
        <v>9</v>
      </c>
      <c r="I625" s="14"/>
      <c r="J625" s="14" t="s">
        <v>26</v>
      </c>
      <c r="K625" s="12" t="s">
        <v>613</v>
      </c>
      <c r="L625" s="15">
        <v>1</v>
      </c>
      <c r="M625" s="12" t="s">
        <v>150</v>
      </c>
      <c r="N625" s="12">
        <v>9</v>
      </c>
      <c r="O625" s="12">
        <v>9</v>
      </c>
      <c r="P625" s="12">
        <v>0</v>
      </c>
      <c r="Q625" s="16">
        <v>0</v>
      </c>
      <c r="R625" s="16">
        <v>0</v>
      </c>
      <c r="S625" s="16"/>
      <c r="T625" s="16" t="e">
        <v>#N/A</v>
      </c>
      <c r="U625" s="16" t="e">
        <v>#N/A</v>
      </c>
    </row>
    <row r="626" spans="1:21" x14ac:dyDescent="0.25">
      <c r="A626" s="12" t="s">
        <v>21</v>
      </c>
      <c r="B626" s="12" t="s">
        <v>609</v>
      </c>
      <c r="C626" s="12" t="s">
        <v>23</v>
      </c>
      <c r="D626" s="15">
        <v>46246.552789351852</v>
      </c>
      <c r="E626" s="12" t="s">
        <v>24</v>
      </c>
      <c r="F626" s="12" t="s">
        <v>611</v>
      </c>
      <c r="G626" s="12">
        <v>22</v>
      </c>
      <c r="H626" s="12">
        <v>22</v>
      </c>
      <c r="I626" s="14"/>
      <c r="J626" s="14" t="s">
        <v>61</v>
      </c>
      <c r="K626" s="12" t="s">
        <v>614</v>
      </c>
      <c r="L626" s="15">
        <v>1</v>
      </c>
      <c r="M626" s="12" t="s">
        <v>150</v>
      </c>
      <c r="N626" s="12">
        <v>22</v>
      </c>
      <c r="O626" s="12">
        <v>22</v>
      </c>
      <c r="P626" s="12">
        <v>0</v>
      </c>
      <c r="Q626" s="16">
        <v>22</v>
      </c>
      <c r="R626" s="16">
        <v>0</v>
      </c>
      <c r="S626" s="16"/>
      <c r="T626" s="16" t="e">
        <v>#N/A</v>
      </c>
      <c r="U626" s="16" t="e">
        <v>#N/A</v>
      </c>
    </row>
    <row r="627" spans="1:21" x14ac:dyDescent="0.25">
      <c r="A627" s="12" t="s">
        <v>21</v>
      </c>
      <c r="B627" s="12" t="s">
        <v>609</v>
      </c>
      <c r="C627" s="12" t="s">
        <v>23</v>
      </c>
      <c r="D627" s="15">
        <v>46246.552789351852</v>
      </c>
      <c r="E627" s="12" t="s">
        <v>24</v>
      </c>
      <c r="F627" s="12" t="s">
        <v>612</v>
      </c>
      <c r="G627" s="12">
        <v>120</v>
      </c>
      <c r="H627" s="12">
        <v>120</v>
      </c>
      <c r="I627" s="14"/>
      <c r="J627" s="14" t="s">
        <v>26</v>
      </c>
      <c r="K627" s="12" t="s">
        <v>615</v>
      </c>
      <c r="L627" s="15">
        <v>1</v>
      </c>
      <c r="M627" s="12" t="s">
        <v>150</v>
      </c>
      <c r="N627" s="12">
        <v>120</v>
      </c>
      <c r="O627" s="12">
        <v>120</v>
      </c>
      <c r="P627" s="12">
        <v>0</v>
      </c>
      <c r="Q627" s="16">
        <v>0</v>
      </c>
      <c r="R627" s="16">
        <v>0</v>
      </c>
      <c r="S627" s="16"/>
      <c r="T627" s="16" t="e">
        <v>#N/A</v>
      </c>
      <c r="U627" s="16" t="e">
        <v>#N/A</v>
      </c>
    </row>
    <row r="628" spans="1:21" x14ac:dyDescent="0.25">
      <c r="A628" s="12" t="s">
        <v>21</v>
      </c>
      <c r="B628" s="12" t="s">
        <v>616</v>
      </c>
      <c r="C628" s="12" t="s">
        <v>23</v>
      </c>
      <c r="D628" s="15">
        <v>46246.568078703705</v>
      </c>
      <c r="E628" s="12" t="s">
        <v>24</v>
      </c>
      <c r="F628" s="12" t="s">
        <v>354</v>
      </c>
      <c r="G628" s="12">
        <v>50</v>
      </c>
      <c r="H628" s="12">
        <v>50</v>
      </c>
      <c r="I628" s="14"/>
      <c r="J628" s="14" t="s">
        <v>26</v>
      </c>
      <c r="K628" s="12" t="s">
        <v>27</v>
      </c>
      <c r="L628" s="15"/>
      <c r="M628" s="12" t="s">
        <v>28</v>
      </c>
      <c r="N628" s="12"/>
      <c r="O628" s="12"/>
      <c r="P628" s="12"/>
      <c r="Q628" s="16">
        <v>0</v>
      </c>
      <c r="R628" s="16">
        <v>0</v>
      </c>
      <c r="S628" s="16"/>
      <c r="T628" s="16" t="e">
        <v>#N/A</v>
      </c>
      <c r="U628" s="16" t="e">
        <v>#N/A</v>
      </c>
    </row>
    <row r="629" spans="1:21" x14ac:dyDescent="0.25">
      <c r="A629" s="12" t="s">
        <v>21</v>
      </c>
      <c r="B629" s="12" t="s">
        <v>616</v>
      </c>
      <c r="C629" s="12" t="s">
        <v>23</v>
      </c>
      <c r="D629" s="15">
        <v>46246.568078703705</v>
      </c>
      <c r="E629" s="12" t="s">
        <v>24</v>
      </c>
      <c r="F629" s="12" t="s">
        <v>261</v>
      </c>
      <c r="G629" s="12">
        <v>120</v>
      </c>
      <c r="H629" s="12">
        <v>120</v>
      </c>
      <c r="I629" s="14"/>
      <c r="J629" s="14" t="s">
        <v>26</v>
      </c>
      <c r="K629" s="12" t="s">
        <v>27</v>
      </c>
      <c r="L629" s="15"/>
      <c r="M629" s="12" t="s">
        <v>28</v>
      </c>
      <c r="N629" s="12"/>
      <c r="O629" s="12"/>
      <c r="P629" s="12"/>
      <c r="Q629" s="16">
        <v>0</v>
      </c>
      <c r="R629" s="16">
        <v>0</v>
      </c>
      <c r="S629" s="16"/>
      <c r="T629" s="16" t="e">
        <v>#N/A</v>
      </c>
      <c r="U629" s="16" t="e">
        <v>#N/A</v>
      </c>
    </row>
    <row r="630" spans="1:21" x14ac:dyDescent="0.25">
      <c r="A630" s="12" t="s">
        <v>21</v>
      </c>
      <c r="B630" s="12" t="s">
        <v>616</v>
      </c>
      <c r="C630" s="12" t="s">
        <v>23</v>
      </c>
      <c r="D630" s="15">
        <v>46246.568078703705</v>
      </c>
      <c r="E630" s="12" t="s">
        <v>24</v>
      </c>
      <c r="F630" s="12" t="s">
        <v>617</v>
      </c>
      <c r="G630" s="12">
        <v>100</v>
      </c>
      <c r="H630" s="12">
        <v>70</v>
      </c>
      <c r="I630" s="14"/>
      <c r="J630" s="14" t="s">
        <v>26</v>
      </c>
      <c r="K630" s="12" t="s">
        <v>27</v>
      </c>
      <c r="L630" s="15"/>
      <c r="M630" s="12" t="s">
        <v>28</v>
      </c>
      <c r="N630" s="12"/>
      <c r="O630" s="12"/>
      <c r="P630" s="12"/>
      <c r="Q630" s="16">
        <v>0</v>
      </c>
      <c r="R630" s="16">
        <v>0</v>
      </c>
      <c r="S630" s="16"/>
      <c r="T630" s="16" t="e">
        <v>#N/A</v>
      </c>
      <c r="U630" s="16" t="e">
        <v>#N/A</v>
      </c>
    </row>
    <row r="631" spans="1:21" x14ac:dyDescent="0.25">
      <c r="A631" s="12" t="s">
        <v>21</v>
      </c>
      <c r="B631" s="12" t="s">
        <v>616</v>
      </c>
      <c r="C631" s="12" t="s">
        <v>23</v>
      </c>
      <c r="D631" s="15">
        <v>46246.568078703705</v>
      </c>
      <c r="E631" s="12" t="s">
        <v>24</v>
      </c>
      <c r="F631" s="12" t="s">
        <v>71</v>
      </c>
      <c r="G631" s="12">
        <v>1000</v>
      </c>
      <c r="H631" s="12">
        <v>800</v>
      </c>
      <c r="I631" s="14"/>
      <c r="J631" s="14" t="s">
        <v>26</v>
      </c>
      <c r="K631" s="12" t="s">
        <v>27</v>
      </c>
      <c r="L631" s="15"/>
      <c r="M631" s="12" t="s">
        <v>28</v>
      </c>
      <c r="N631" s="12"/>
      <c r="O631" s="12"/>
      <c r="P631" s="12"/>
      <c r="Q631" s="16">
        <v>0</v>
      </c>
      <c r="R631" s="16">
        <v>0</v>
      </c>
      <c r="S631" s="16"/>
      <c r="T631" s="16" t="e">
        <v>#N/A</v>
      </c>
      <c r="U631" s="16" t="e">
        <v>#N/A</v>
      </c>
    </row>
    <row r="632" spans="1:21" x14ac:dyDescent="0.25">
      <c r="A632" s="12" t="s">
        <v>21</v>
      </c>
      <c r="B632" s="12" t="s">
        <v>616</v>
      </c>
      <c r="C632" s="12" t="s">
        <v>23</v>
      </c>
      <c r="D632" s="15">
        <v>46246.568078703705</v>
      </c>
      <c r="E632" s="12" t="s">
        <v>24</v>
      </c>
      <c r="F632" s="12" t="s">
        <v>283</v>
      </c>
      <c r="G632" s="12">
        <v>100</v>
      </c>
      <c r="H632" s="12">
        <v>100</v>
      </c>
      <c r="I632" s="14"/>
      <c r="J632" s="14" t="s">
        <v>61</v>
      </c>
      <c r="K632" s="12" t="s">
        <v>618</v>
      </c>
      <c r="L632" s="15">
        <v>1</v>
      </c>
      <c r="M632" s="12" t="s">
        <v>150</v>
      </c>
      <c r="N632" s="12">
        <v>100</v>
      </c>
      <c r="O632" s="12">
        <v>100</v>
      </c>
      <c r="P632" s="12">
        <v>0</v>
      </c>
      <c r="Q632" s="16">
        <v>150</v>
      </c>
      <c r="R632" s="16">
        <v>0</v>
      </c>
      <c r="S632" s="16"/>
      <c r="T632" s="16" t="e">
        <v>#N/A</v>
      </c>
      <c r="U632" s="16" t="e">
        <v>#N/A</v>
      </c>
    </row>
    <row r="633" spans="1:21" x14ac:dyDescent="0.25">
      <c r="A633" s="12" t="s">
        <v>21</v>
      </c>
      <c r="B633" s="12" t="s">
        <v>616</v>
      </c>
      <c r="C633" s="12" t="s">
        <v>23</v>
      </c>
      <c r="D633" s="15">
        <v>46246.568078703705</v>
      </c>
      <c r="E633" s="12" t="s">
        <v>24</v>
      </c>
      <c r="F633" s="12" t="s">
        <v>401</v>
      </c>
      <c r="G633" s="12">
        <v>30</v>
      </c>
      <c r="H633" s="12">
        <v>30</v>
      </c>
      <c r="I633" s="14"/>
      <c r="J633" s="14" t="s">
        <v>61</v>
      </c>
      <c r="K633" s="12" t="s">
        <v>619</v>
      </c>
      <c r="L633" s="15">
        <v>1</v>
      </c>
      <c r="M633" s="12" t="s">
        <v>150</v>
      </c>
      <c r="N633" s="12">
        <v>30</v>
      </c>
      <c r="O633" s="12">
        <v>30</v>
      </c>
      <c r="P633" s="12">
        <v>0</v>
      </c>
      <c r="Q633" s="16">
        <v>65</v>
      </c>
      <c r="R633" s="16">
        <v>0</v>
      </c>
      <c r="S633" s="16"/>
      <c r="T633" s="16" t="e">
        <v>#N/A</v>
      </c>
      <c r="U633" s="16" t="e">
        <v>#N/A</v>
      </c>
    </row>
    <row r="634" spans="1:21" x14ac:dyDescent="0.25">
      <c r="A634" s="12" t="s">
        <v>21</v>
      </c>
      <c r="B634" s="12" t="s">
        <v>616</v>
      </c>
      <c r="C634" s="12" t="s">
        <v>23</v>
      </c>
      <c r="D634" s="15">
        <v>46246.568078703705</v>
      </c>
      <c r="E634" s="12" t="s">
        <v>24</v>
      </c>
      <c r="F634" s="12" t="s">
        <v>454</v>
      </c>
      <c r="G634" s="12">
        <v>100</v>
      </c>
      <c r="H634" s="12">
        <v>100</v>
      </c>
      <c r="I634" s="14"/>
      <c r="J634" s="14" t="s">
        <v>61</v>
      </c>
      <c r="K634" s="12" t="s">
        <v>27</v>
      </c>
      <c r="L634" s="15"/>
      <c r="M634" s="12" t="s">
        <v>28</v>
      </c>
      <c r="N634" s="12"/>
      <c r="O634" s="12"/>
      <c r="P634" s="12"/>
      <c r="Q634" s="16">
        <v>100</v>
      </c>
      <c r="R634" s="16">
        <v>0</v>
      </c>
      <c r="S634" s="16"/>
      <c r="T634" s="16" t="e">
        <v>#N/A</v>
      </c>
      <c r="U634" s="16" t="e">
        <v>#N/A</v>
      </c>
    </row>
    <row r="635" spans="1:21" x14ac:dyDescent="0.25">
      <c r="A635" s="12" t="s">
        <v>21</v>
      </c>
      <c r="B635" s="12" t="s">
        <v>616</v>
      </c>
      <c r="C635" s="12" t="s">
        <v>23</v>
      </c>
      <c r="D635" s="15">
        <v>46246.568078703705</v>
      </c>
      <c r="E635" s="12" t="s">
        <v>24</v>
      </c>
      <c r="F635" s="12" t="s">
        <v>134</v>
      </c>
      <c r="G635" s="12">
        <v>300</v>
      </c>
      <c r="H635" s="12">
        <v>300</v>
      </c>
      <c r="I635" s="14"/>
      <c r="J635" s="14" t="s">
        <v>26</v>
      </c>
      <c r="K635" s="12" t="s">
        <v>27</v>
      </c>
      <c r="L635" s="15"/>
      <c r="M635" s="12" t="s">
        <v>28</v>
      </c>
      <c r="N635" s="12"/>
      <c r="O635" s="12"/>
      <c r="P635" s="12"/>
      <c r="Q635" s="16">
        <v>0</v>
      </c>
      <c r="R635" s="16">
        <v>6</v>
      </c>
      <c r="S635" s="16"/>
      <c r="T635" s="16" t="e">
        <v>#N/A</v>
      </c>
      <c r="U635" s="16" t="e">
        <v>#N/A</v>
      </c>
    </row>
    <row r="636" spans="1:21" x14ac:dyDescent="0.25">
      <c r="A636" s="12" t="s">
        <v>21</v>
      </c>
      <c r="B636" s="12" t="s">
        <v>620</v>
      </c>
      <c r="C636" s="12" t="s">
        <v>23</v>
      </c>
      <c r="D636" s="15">
        <v>46246.588969907411</v>
      </c>
      <c r="E636" s="12" t="s">
        <v>195</v>
      </c>
      <c r="F636" s="12" t="s">
        <v>621</v>
      </c>
      <c r="G636" s="12">
        <v>3</v>
      </c>
      <c r="H636" s="12">
        <v>3</v>
      </c>
      <c r="I636" s="14"/>
      <c r="J636" s="14" t="s">
        <v>26</v>
      </c>
      <c r="K636" s="12" t="s">
        <v>27</v>
      </c>
      <c r="L636" s="15"/>
      <c r="M636" s="12" t="s">
        <v>28</v>
      </c>
      <c r="N636" s="12"/>
      <c r="O636" s="12"/>
      <c r="P636" s="12"/>
      <c r="Q636" s="16">
        <v>0</v>
      </c>
      <c r="R636" s="16">
        <v>444</v>
      </c>
      <c r="S636" s="16"/>
      <c r="T636" s="16" t="e">
        <v>#N/A</v>
      </c>
      <c r="U636" s="16" t="e">
        <v>#N/A</v>
      </c>
    </row>
    <row r="637" spans="1:21" x14ac:dyDescent="0.25">
      <c r="A637" s="12" t="s">
        <v>21</v>
      </c>
      <c r="B637" s="12" t="s">
        <v>622</v>
      </c>
      <c r="C637" s="12" t="s">
        <v>23</v>
      </c>
      <c r="D637" s="15">
        <v>46247.387997685182</v>
      </c>
      <c r="E637" s="12" t="s">
        <v>331</v>
      </c>
      <c r="F637" s="12" t="s">
        <v>623</v>
      </c>
      <c r="G637" s="12">
        <v>30</v>
      </c>
      <c r="H637" s="12">
        <v>30</v>
      </c>
      <c r="I637" s="14"/>
      <c r="J637" s="14" t="s">
        <v>61</v>
      </c>
      <c r="K637" s="12" t="s">
        <v>624</v>
      </c>
      <c r="L637" s="15">
        <v>1</v>
      </c>
      <c r="M637" s="12" t="s">
        <v>150</v>
      </c>
      <c r="N637" s="12">
        <v>30</v>
      </c>
      <c r="O637" s="12">
        <v>30</v>
      </c>
      <c r="P637" s="12">
        <v>0</v>
      </c>
      <c r="Q637" s="16">
        <v>30</v>
      </c>
      <c r="R637" s="16">
        <v>0</v>
      </c>
      <c r="S637" s="16"/>
      <c r="T637" s="16" t="e">
        <v>#N/A</v>
      </c>
      <c r="U637" s="16" t="e">
        <v>#N/A</v>
      </c>
    </row>
    <row r="638" spans="1:21" x14ac:dyDescent="0.25">
      <c r="A638" s="12" t="s">
        <v>21</v>
      </c>
      <c r="B638" s="12" t="s">
        <v>625</v>
      </c>
      <c r="C638" s="12" t="s">
        <v>23</v>
      </c>
      <c r="D638" s="15">
        <v>46247.480740740742</v>
      </c>
      <c r="E638" s="12" t="s">
        <v>465</v>
      </c>
      <c r="F638" s="12" t="s">
        <v>70</v>
      </c>
      <c r="G638" s="12">
        <v>30</v>
      </c>
      <c r="H638" s="12">
        <v>30</v>
      </c>
      <c r="I638" s="14"/>
      <c r="J638" s="14" t="s">
        <v>26</v>
      </c>
      <c r="K638" s="12" t="s">
        <v>27</v>
      </c>
      <c r="L638" s="15"/>
      <c r="M638" s="12" t="s">
        <v>28</v>
      </c>
      <c r="N638" s="12"/>
      <c r="O638" s="12"/>
      <c r="P638" s="12"/>
      <c r="Q638" s="16">
        <v>0</v>
      </c>
      <c r="R638" s="16">
        <v>0</v>
      </c>
      <c r="S638" s="16"/>
      <c r="T638" s="16" t="e">
        <v>#N/A</v>
      </c>
      <c r="U638" s="16" t="e">
        <v>#N/A</v>
      </c>
    </row>
    <row r="639" spans="1:21" x14ac:dyDescent="0.25">
      <c r="A639" s="12" t="s">
        <v>21</v>
      </c>
      <c r="B639" s="12" t="s">
        <v>625</v>
      </c>
      <c r="C639" s="12" t="s">
        <v>23</v>
      </c>
      <c r="D639" s="15">
        <v>46247.480740740742</v>
      </c>
      <c r="E639" s="12" t="s">
        <v>465</v>
      </c>
      <c r="F639" s="12" t="s">
        <v>71</v>
      </c>
      <c r="G639" s="12">
        <v>100</v>
      </c>
      <c r="H639" s="12">
        <v>80</v>
      </c>
      <c r="I639" s="14"/>
      <c r="J639" s="14" t="s">
        <v>26</v>
      </c>
      <c r="K639" s="12" t="s">
        <v>27</v>
      </c>
      <c r="L639" s="15"/>
      <c r="M639" s="12" t="s">
        <v>28</v>
      </c>
      <c r="N639" s="12"/>
      <c r="O639" s="12"/>
      <c r="P639" s="12"/>
      <c r="Q639" s="16">
        <v>0</v>
      </c>
      <c r="R639" s="16">
        <v>0</v>
      </c>
      <c r="S639" s="16"/>
      <c r="T639" s="16" t="e">
        <v>#N/A</v>
      </c>
      <c r="U639" s="16" t="e">
        <v>#N/A</v>
      </c>
    </row>
    <row r="640" spans="1:21" x14ac:dyDescent="0.25">
      <c r="A640" s="12" t="s">
        <v>21</v>
      </c>
      <c r="B640" s="12" t="s">
        <v>626</v>
      </c>
      <c r="C640" s="12" t="s">
        <v>23</v>
      </c>
      <c r="D640" s="15">
        <v>46247.53869212963</v>
      </c>
      <c r="E640" s="12" t="s">
        <v>627</v>
      </c>
      <c r="F640" s="12" t="s">
        <v>283</v>
      </c>
      <c r="G640" s="12">
        <v>30</v>
      </c>
      <c r="H640" s="12">
        <v>30</v>
      </c>
      <c r="I640" s="14"/>
      <c r="J640" s="14" t="s">
        <v>26</v>
      </c>
      <c r="K640" s="12" t="s">
        <v>27</v>
      </c>
      <c r="L640" s="15"/>
      <c r="M640" s="12" t="s">
        <v>28</v>
      </c>
      <c r="N640" s="12"/>
      <c r="O640" s="12"/>
      <c r="P640" s="12"/>
      <c r="Q640" s="16">
        <v>0</v>
      </c>
      <c r="R640" s="16">
        <v>0</v>
      </c>
      <c r="S640" s="16"/>
      <c r="T640" s="16" t="e">
        <v>#N/A</v>
      </c>
      <c r="U640" s="16" t="e">
        <v>#N/A</v>
      </c>
    </row>
    <row r="641" spans="1:21" x14ac:dyDescent="0.25">
      <c r="A641" s="12" t="s">
        <v>21</v>
      </c>
      <c r="B641" s="12" t="s">
        <v>626</v>
      </c>
      <c r="C641" s="12" t="s">
        <v>23</v>
      </c>
      <c r="D641" s="15">
        <v>46247.53869212963</v>
      </c>
      <c r="E641" s="12" t="s">
        <v>627</v>
      </c>
      <c r="F641" s="12" t="s">
        <v>525</v>
      </c>
      <c r="G641" s="12">
        <v>20</v>
      </c>
      <c r="H641" s="12">
        <v>20</v>
      </c>
      <c r="I641" s="14"/>
      <c r="J641" s="14" t="s">
        <v>26</v>
      </c>
      <c r="K641" s="12" t="s">
        <v>27</v>
      </c>
      <c r="L641" s="15"/>
      <c r="M641" s="12" t="s">
        <v>28</v>
      </c>
      <c r="N641" s="12"/>
      <c r="O641" s="12"/>
      <c r="P641" s="12"/>
      <c r="Q641" s="16">
        <v>0</v>
      </c>
      <c r="R641" s="16">
        <v>0</v>
      </c>
      <c r="S641" s="16"/>
      <c r="T641" s="16" t="e">
        <v>#N/A</v>
      </c>
      <c r="U641" s="16" t="e">
        <v>#N/A</v>
      </c>
    </row>
    <row r="642" spans="1:21" x14ac:dyDescent="0.25">
      <c r="A642" s="12" t="s">
        <v>21</v>
      </c>
      <c r="B642" s="12" t="s">
        <v>628</v>
      </c>
      <c r="C642" s="12" t="s">
        <v>23</v>
      </c>
      <c r="D642" s="15">
        <v>46247.560312499998</v>
      </c>
      <c r="E642" s="12" t="s">
        <v>258</v>
      </c>
      <c r="F642" s="12" t="s">
        <v>130</v>
      </c>
      <c r="G642" s="12">
        <v>600</v>
      </c>
      <c r="H642" s="12">
        <v>600</v>
      </c>
      <c r="I642" s="14"/>
      <c r="J642" s="14" t="s">
        <v>26</v>
      </c>
      <c r="K642" s="12" t="s">
        <v>27</v>
      </c>
      <c r="L642" s="15"/>
      <c r="M642" s="12" t="s">
        <v>28</v>
      </c>
      <c r="N642" s="12"/>
      <c r="O642" s="12"/>
      <c r="P642" s="12"/>
      <c r="Q642" s="16">
        <v>0</v>
      </c>
      <c r="R642" s="16">
        <v>6</v>
      </c>
      <c r="S642" s="16"/>
      <c r="T642" s="16" t="e">
        <v>#N/A</v>
      </c>
      <c r="U642" s="16" t="e">
        <v>#N/A</v>
      </c>
    </row>
    <row r="643" spans="1:21" x14ac:dyDescent="0.25">
      <c r="A643" s="12" t="s">
        <v>21</v>
      </c>
      <c r="B643" s="12" t="s">
        <v>628</v>
      </c>
      <c r="C643" s="12" t="s">
        <v>23</v>
      </c>
      <c r="D643" s="15">
        <v>46247.560312499998</v>
      </c>
      <c r="E643" s="12" t="s">
        <v>258</v>
      </c>
      <c r="F643" s="12" t="s">
        <v>134</v>
      </c>
      <c r="G643" s="12">
        <v>150</v>
      </c>
      <c r="H643" s="12">
        <v>150</v>
      </c>
      <c r="I643" s="14"/>
      <c r="J643" s="14" t="s">
        <v>26</v>
      </c>
      <c r="K643" s="12" t="s">
        <v>27</v>
      </c>
      <c r="L643" s="15"/>
      <c r="M643" s="12" t="s">
        <v>28</v>
      </c>
      <c r="N643" s="12"/>
      <c r="O643" s="12"/>
      <c r="P643" s="12"/>
      <c r="Q643" s="16">
        <v>0</v>
      </c>
      <c r="R643" s="16">
        <v>6</v>
      </c>
      <c r="S643" s="16"/>
      <c r="T643" s="16" t="e">
        <v>#N/A</v>
      </c>
      <c r="U643" s="16" t="e">
        <v>#N/A</v>
      </c>
    </row>
    <row r="644" spans="1:21" x14ac:dyDescent="0.25">
      <c r="A644" s="12" t="s">
        <v>21</v>
      </c>
      <c r="B644" s="12" t="s">
        <v>629</v>
      </c>
      <c r="C644" s="12" t="s">
        <v>23</v>
      </c>
      <c r="D644" s="15">
        <v>46247.620497685188</v>
      </c>
      <c r="E644" s="12" t="s">
        <v>484</v>
      </c>
      <c r="F644" s="12" t="s">
        <v>70</v>
      </c>
      <c r="G644" s="12">
        <v>40</v>
      </c>
      <c r="H644" s="12">
        <v>40</v>
      </c>
      <c r="I644" s="14"/>
      <c r="J644" s="14" t="s">
        <v>61</v>
      </c>
      <c r="K644" s="12" t="s">
        <v>630</v>
      </c>
      <c r="L644" s="15">
        <v>1</v>
      </c>
      <c r="M644" s="12" t="s">
        <v>150</v>
      </c>
      <c r="N644" s="12">
        <v>40</v>
      </c>
      <c r="O644" s="12">
        <v>40</v>
      </c>
      <c r="P644" s="12">
        <v>0</v>
      </c>
      <c r="Q644" s="16">
        <v>40</v>
      </c>
      <c r="R644" s="16">
        <v>0</v>
      </c>
      <c r="S644" s="16"/>
      <c r="T644" s="16" t="e">
        <v>#N/A</v>
      </c>
      <c r="U644" s="16" t="e">
        <v>#N/A</v>
      </c>
    </row>
    <row r="645" spans="1:21" x14ac:dyDescent="0.25">
      <c r="A645" s="12" t="s">
        <v>21</v>
      </c>
      <c r="B645" s="12" t="s">
        <v>629</v>
      </c>
      <c r="C645" s="12" t="s">
        <v>23</v>
      </c>
      <c r="D645" s="15">
        <v>46247.620497685188</v>
      </c>
      <c r="E645" s="12" t="s">
        <v>484</v>
      </c>
      <c r="F645" s="12" t="s">
        <v>71</v>
      </c>
      <c r="G645" s="12">
        <v>40</v>
      </c>
      <c r="H645" s="12">
        <v>10</v>
      </c>
      <c r="I645" s="14"/>
      <c r="J645" s="14" t="s">
        <v>26</v>
      </c>
      <c r="K645" s="12" t="s">
        <v>27</v>
      </c>
      <c r="L645" s="15"/>
      <c r="M645" s="12" t="s">
        <v>28</v>
      </c>
      <c r="N645" s="12"/>
      <c r="O645" s="12"/>
      <c r="P645" s="12"/>
      <c r="Q645" s="16">
        <v>0</v>
      </c>
      <c r="R645" s="16">
        <v>0</v>
      </c>
      <c r="S645" s="16"/>
      <c r="T645" s="16" t="e">
        <v>#N/A</v>
      </c>
      <c r="U645" s="16" t="e">
        <v>#N/A</v>
      </c>
    </row>
    <row r="646" spans="1:21" x14ac:dyDescent="0.25">
      <c r="A646" s="12" t="s">
        <v>21</v>
      </c>
      <c r="B646" s="12" t="s">
        <v>629</v>
      </c>
      <c r="C646" s="12" t="s">
        <v>23</v>
      </c>
      <c r="D646" s="15">
        <v>46247.620497685188</v>
      </c>
      <c r="E646" s="12" t="s">
        <v>484</v>
      </c>
      <c r="F646" s="12" t="s">
        <v>283</v>
      </c>
      <c r="G646" s="12">
        <v>20</v>
      </c>
      <c r="H646" s="12">
        <v>4</v>
      </c>
      <c r="I646" s="14"/>
      <c r="J646" s="14" t="s">
        <v>61</v>
      </c>
      <c r="K646" s="12" t="s">
        <v>27</v>
      </c>
      <c r="L646" s="15"/>
      <c r="M646" s="12" t="s">
        <v>28</v>
      </c>
      <c r="N646" s="12"/>
      <c r="O646" s="12"/>
      <c r="P646" s="12"/>
      <c r="Q646" s="16">
        <v>30</v>
      </c>
      <c r="R646" s="16">
        <v>0</v>
      </c>
      <c r="S646" s="16"/>
      <c r="T646" s="16" t="e">
        <v>#N/A</v>
      </c>
      <c r="U646" s="16" t="e">
        <v>#N/A</v>
      </c>
    </row>
    <row r="647" spans="1:21" x14ac:dyDescent="0.25">
      <c r="A647" s="12" t="s">
        <v>21</v>
      </c>
      <c r="B647" s="12" t="s">
        <v>629</v>
      </c>
      <c r="C647" s="12" t="s">
        <v>23</v>
      </c>
      <c r="D647" s="15">
        <v>46247.620497685188</v>
      </c>
      <c r="E647" s="12" t="s">
        <v>484</v>
      </c>
      <c r="F647" s="12" t="s">
        <v>401</v>
      </c>
      <c r="G647" s="12">
        <v>10</v>
      </c>
      <c r="H647" s="12">
        <v>10</v>
      </c>
      <c r="I647" s="14"/>
      <c r="J647" s="14" t="s">
        <v>26</v>
      </c>
      <c r="K647" s="12" t="s">
        <v>27</v>
      </c>
      <c r="L647" s="15"/>
      <c r="M647" s="12" t="s">
        <v>28</v>
      </c>
      <c r="N647" s="12"/>
      <c r="O647" s="12"/>
      <c r="P647" s="12"/>
      <c r="Q647" s="16">
        <v>0</v>
      </c>
      <c r="R647" s="16">
        <v>0</v>
      </c>
      <c r="S647" s="16"/>
      <c r="T647" s="16" t="e">
        <v>#N/A</v>
      </c>
      <c r="U647" s="16" t="e">
        <v>#N/A</v>
      </c>
    </row>
    <row r="648" spans="1:21" x14ac:dyDescent="0.25">
      <c r="A648" s="12" t="s">
        <v>21</v>
      </c>
      <c r="B648" s="12" t="s">
        <v>631</v>
      </c>
      <c r="C648" s="12" t="s">
        <v>23</v>
      </c>
      <c r="D648" s="15">
        <v>46248.279374999998</v>
      </c>
      <c r="E648" s="12" t="s">
        <v>266</v>
      </c>
      <c r="F648" s="12" t="s">
        <v>70</v>
      </c>
      <c r="G648" s="12">
        <v>15</v>
      </c>
      <c r="H648" s="12">
        <v>15</v>
      </c>
      <c r="I648" s="14"/>
      <c r="J648" s="14" t="s">
        <v>61</v>
      </c>
      <c r="K648" s="12" t="s">
        <v>27</v>
      </c>
      <c r="L648" s="15"/>
      <c r="M648" s="12" t="s">
        <v>28</v>
      </c>
      <c r="N648" s="12"/>
      <c r="O648" s="12"/>
      <c r="P648" s="12"/>
      <c r="Q648" s="16">
        <v>15</v>
      </c>
      <c r="R648" s="16">
        <v>0</v>
      </c>
      <c r="S648" s="16"/>
      <c r="T648" s="16" t="e">
        <v>#N/A</v>
      </c>
      <c r="U648" s="16" t="e">
        <v>#N/A</v>
      </c>
    </row>
    <row r="649" spans="1:21" x14ac:dyDescent="0.25">
      <c r="A649" s="12" t="s">
        <v>21</v>
      </c>
      <c r="B649" s="12" t="s">
        <v>631</v>
      </c>
      <c r="C649" s="12" t="s">
        <v>23</v>
      </c>
      <c r="D649" s="15">
        <v>46248.279374999998</v>
      </c>
      <c r="E649" s="12" t="s">
        <v>266</v>
      </c>
      <c r="F649" s="12" t="s">
        <v>525</v>
      </c>
      <c r="G649" s="12">
        <v>48</v>
      </c>
      <c r="H649" s="12">
        <v>38</v>
      </c>
      <c r="I649" s="14"/>
      <c r="J649" s="14" t="s">
        <v>61</v>
      </c>
      <c r="K649" s="12" t="s">
        <v>27</v>
      </c>
      <c r="L649" s="15"/>
      <c r="M649" s="12" t="s">
        <v>28</v>
      </c>
      <c r="N649" s="12"/>
      <c r="O649" s="12"/>
      <c r="P649" s="12"/>
      <c r="Q649" s="16">
        <v>40</v>
      </c>
      <c r="R649" s="16">
        <v>0</v>
      </c>
      <c r="S649" s="16"/>
      <c r="T649" s="16" t="e">
        <v>#N/A</v>
      </c>
      <c r="U649" s="16" t="e">
        <v>#N/A</v>
      </c>
    </row>
    <row r="650" spans="1:21" x14ac:dyDescent="0.25">
      <c r="A650" s="12" t="s">
        <v>21</v>
      </c>
      <c r="B650" s="12" t="s">
        <v>632</v>
      </c>
      <c r="C650" s="12" t="s">
        <v>23</v>
      </c>
      <c r="D650" s="15">
        <v>46248.315150462964</v>
      </c>
      <c r="E650" s="12" t="s">
        <v>258</v>
      </c>
      <c r="F650" s="12" t="s">
        <v>600</v>
      </c>
      <c r="G650" s="12">
        <v>15</v>
      </c>
      <c r="H650" s="12">
        <v>15</v>
      </c>
      <c r="I650" s="14"/>
      <c r="J650" s="14" t="s">
        <v>61</v>
      </c>
      <c r="K650" s="12" t="s">
        <v>636</v>
      </c>
      <c r="L650" s="15">
        <v>1</v>
      </c>
      <c r="M650" s="12" t="s">
        <v>150</v>
      </c>
      <c r="N650" s="12">
        <v>15</v>
      </c>
      <c r="O650" s="12">
        <v>15</v>
      </c>
      <c r="P650" s="12">
        <v>0</v>
      </c>
      <c r="Q650" s="16">
        <v>15</v>
      </c>
      <c r="R650" s="16">
        <v>1</v>
      </c>
      <c r="S650" s="16"/>
      <c r="T650" s="16" t="e">
        <v>#N/A</v>
      </c>
      <c r="U650" s="16" t="e">
        <v>#N/A</v>
      </c>
    </row>
    <row r="651" spans="1:21" x14ac:dyDescent="0.25">
      <c r="A651" s="12" t="s">
        <v>21</v>
      </c>
      <c r="B651" s="12" t="s">
        <v>632</v>
      </c>
      <c r="C651" s="12" t="s">
        <v>23</v>
      </c>
      <c r="D651" s="15">
        <v>46248.315150462964</v>
      </c>
      <c r="E651" s="12" t="s">
        <v>258</v>
      </c>
      <c r="F651" s="12" t="s">
        <v>633</v>
      </c>
      <c r="G651" s="12">
        <v>30</v>
      </c>
      <c r="H651" s="12">
        <v>30</v>
      </c>
      <c r="I651" s="14"/>
      <c r="J651" s="14" t="s">
        <v>61</v>
      </c>
      <c r="K651" s="12" t="s">
        <v>637</v>
      </c>
      <c r="L651" s="15">
        <v>1</v>
      </c>
      <c r="M651" s="12" t="s">
        <v>150</v>
      </c>
      <c r="N651" s="12">
        <v>30</v>
      </c>
      <c r="O651" s="12">
        <v>30</v>
      </c>
      <c r="P651" s="12">
        <v>0</v>
      </c>
      <c r="Q651" s="16">
        <v>30</v>
      </c>
      <c r="R651" s="16">
        <v>0</v>
      </c>
      <c r="S651" s="16"/>
      <c r="T651" s="16" t="e">
        <v>#N/A</v>
      </c>
      <c r="U651" s="16" t="e">
        <v>#N/A</v>
      </c>
    </row>
    <row r="652" spans="1:21" x14ac:dyDescent="0.25">
      <c r="A652" s="12" t="s">
        <v>21</v>
      </c>
      <c r="B652" s="12" t="s">
        <v>632</v>
      </c>
      <c r="C652" s="12" t="s">
        <v>23</v>
      </c>
      <c r="D652" s="15">
        <v>46248.315150462964</v>
      </c>
      <c r="E652" s="12" t="s">
        <v>258</v>
      </c>
      <c r="F652" s="12" t="s">
        <v>634</v>
      </c>
      <c r="G652" s="12">
        <v>30</v>
      </c>
      <c r="H652" s="12">
        <v>30</v>
      </c>
      <c r="I652" s="14"/>
      <c r="J652" s="14" t="s">
        <v>61</v>
      </c>
      <c r="K652" s="12" t="s">
        <v>638</v>
      </c>
      <c r="L652" s="15">
        <v>1</v>
      </c>
      <c r="M652" s="12" t="s">
        <v>150</v>
      </c>
      <c r="N652" s="12">
        <v>30</v>
      </c>
      <c r="O652" s="12">
        <v>30</v>
      </c>
      <c r="P652" s="12">
        <v>0</v>
      </c>
      <c r="Q652" s="16">
        <v>30</v>
      </c>
      <c r="R652" s="16">
        <v>0</v>
      </c>
      <c r="S652" s="16"/>
      <c r="T652" s="16" t="e">
        <v>#N/A</v>
      </c>
      <c r="U652" s="16" t="e">
        <v>#N/A</v>
      </c>
    </row>
    <row r="653" spans="1:21" x14ac:dyDescent="0.25">
      <c r="A653" s="12" t="s">
        <v>21</v>
      </c>
      <c r="B653" s="12" t="s">
        <v>632</v>
      </c>
      <c r="C653" s="12" t="s">
        <v>23</v>
      </c>
      <c r="D653" s="15">
        <v>46248.315150462964</v>
      </c>
      <c r="E653" s="12" t="s">
        <v>258</v>
      </c>
      <c r="F653" s="12" t="s">
        <v>635</v>
      </c>
      <c r="G653" s="12">
        <v>50</v>
      </c>
      <c r="H653" s="12">
        <v>50</v>
      </c>
      <c r="I653" s="14"/>
      <c r="J653" s="14" t="s">
        <v>61</v>
      </c>
      <c r="K653" s="12" t="s">
        <v>639</v>
      </c>
      <c r="L653" s="15">
        <v>1</v>
      </c>
      <c r="M653" s="12" t="s">
        <v>150</v>
      </c>
      <c r="N653" s="12">
        <v>50</v>
      </c>
      <c r="O653" s="12">
        <v>50</v>
      </c>
      <c r="P653" s="12">
        <v>0</v>
      </c>
      <c r="Q653" s="16">
        <v>50</v>
      </c>
      <c r="R653" s="16">
        <v>25</v>
      </c>
      <c r="S653" s="16"/>
      <c r="T653" s="16" t="e">
        <v>#N/A</v>
      </c>
      <c r="U653" s="16" t="e">
        <v>#N/A</v>
      </c>
    </row>
    <row r="654" spans="1:21" x14ac:dyDescent="0.25">
      <c r="A654" s="12" t="s">
        <v>21</v>
      </c>
      <c r="B654" s="12" t="s">
        <v>640</v>
      </c>
      <c r="C654" s="12" t="s">
        <v>23</v>
      </c>
      <c r="D654" s="15">
        <v>46248.337627314817</v>
      </c>
      <c r="E654" s="12" t="s">
        <v>502</v>
      </c>
      <c r="F654" s="12" t="s">
        <v>642</v>
      </c>
      <c r="G654" s="12">
        <v>5</v>
      </c>
      <c r="H654" s="12">
        <v>5</v>
      </c>
      <c r="I654" s="14"/>
      <c r="J654" s="14" t="s">
        <v>61</v>
      </c>
      <c r="K654" s="12" t="s">
        <v>643</v>
      </c>
      <c r="L654" s="15">
        <v>1</v>
      </c>
      <c r="M654" s="12" t="s">
        <v>150</v>
      </c>
      <c r="N654" s="12">
        <v>5</v>
      </c>
      <c r="O654" s="12">
        <v>5</v>
      </c>
      <c r="P654" s="12">
        <v>0</v>
      </c>
      <c r="Q654" s="16">
        <v>15</v>
      </c>
      <c r="R654" s="16">
        <v>0</v>
      </c>
      <c r="S654" s="16"/>
      <c r="T654" s="16" t="e">
        <v>#N/A</v>
      </c>
      <c r="U654" s="16" t="e">
        <v>#N/A</v>
      </c>
    </row>
    <row r="655" spans="1:21" x14ac:dyDescent="0.25">
      <c r="A655" s="12" t="s">
        <v>21</v>
      </c>
      <c r="B655" s="12" t="s">
        <v>641</v>
      </c>
      <c r="C655" s="12" t="s">
        <v>23</v>
      </c>
      <c r="D655" s="15">
        <v>46248.354004629633</v>
      </c>
      <c r="E655" s="12" t="s">
        <v>258</v>
      </c>
      <c r="F655" s="12" t="s">
        <v>454</v>
      </c>
      <c r="G655" s="12">
        <v>10</v>
      </c>
      <c r="H655" s="12">
        <v>10</v>
      </c>
      <c r="I655" s="14"/>
      <c r="J655" s="14" t="s">
        <v>61</v>
      </c>
      <c r="K655" s="12" t="s">
        <v>644</v>
      </c>
      <c r="L655" s="15">
        <v>1</v>
      </c>
      <c r="M655" s="12" t="s">
        <v>150</v>
      </c>
      <c r="N655" s="12">
        <v>10</v>
      </c>
      <c r="O655" s="12">
        <v>10</v>
      </c>
      <c r="P655" s="12">
        <v>0</v>
      </c>
      <c r="Q655" s="16">
        <v>10</v>
      </c>
      <c r="R655" s="16">
        <v>0</v>
      </c>
      <c r="S655" s="16"/>
      <c r="T655" s="16" t="e">
        <v>#N/A</v>
      </c>
      <c r="U655" s="16" t="e">
        <v>#N/A</v>
      </c>
    </row>
    <row r="656" spans="1:21" x14ac:dyDescent="0.25">
      <c r="A656" s="12" t="s">
        <v>21</v>
      </c>
      <c r="B656" s="12" t="s">
        <v>645</v>
      </c>
      <c r="C656" s="12" t="s">
        <v>23</v>
      </c>
      <c r="D656" s="15">
        <v>46248.388148148151</v>
      </c>
      <c r="E656" s="12" t="s">
        <v>646</v>
      </c>
      <c r="F656" s="12" t="s">
        <v>283</v>
      </c>
      <c r="G656" s="12">
        <v>5</v>
      </c>
      <c r="H656" s="12">
        <v>5</v>
      </c>
      <c r="I656" s="14"/>
      <c r="J656" s="14" t="s">
        <v>61</v>
      </c>
      <c r="K656" s="12" t="s">
        <v>647</v>
      </c>
      <c r="L656" s="15">
        <v>1</v>
      </c>
      <c r="M656" s="12" t="s">
        <v>150</v>
      </c>
      <c r="N656" s="12">
        <v>5</v>
      </c>
      <c r="O656" s="12">
        <v>5</v>
      </c>
      <c r="P656" s="12">
        <v>0</v>
      </c>
      <c r="Q656" s="16">
        <v>5</v>
      </c>
      <c r="R656" s="16">
        <v>0</v>
      </c>
      <c r="S656" s="16"/>
      <c r="T656" s="16" t="e">
        <v>#N/A</v>
      </c>
      <c r="U656" s="16" t="e">
        <v>#N/A</v>
      </c>
    </row>
    <row r="657" spans="1:21" x14ac:dyDescent="0.25">
      <c r="A657" s="12" t="s">
        <v>21</v>
      </c>
      <c r="B657" s="12" t="s">
        <v>645</v>
      </c>
      <c r="C657" s="12" t="s">
        <v>23</v>
      </c>
      <c r="D657" s="15">
        <v>46248.388148148151</v>
      </c>
      <c r="E657" s="12" t="s">
        <v>646</v>
      </c>
      <c r="F657" s="12" t="s">
        <v>525</v>
      </c>
      <c r="G657" s="12">
        <v>12</v>
      </c>
      <c r="H657" s="12">
        <v>12</v>
      </c>
      <c r="I657" s="14"/>
      <c r="J657" s="14" t="s">
        <v>61</v>
      </c>
      <c r="K657" s="12" t="s">
        <v>648</v>
      </c>
      <c r="L657" s="15">
        <v>1</v>
      </c>
      <c r="M657" s="12" t="s">
        <v>150</v>
      </c>
      <c r="N657" s="12">
        <v>12</v>
      </c>
      <c r="O657" s="12">
        <v>12</v>
      </c>
      <c r="P657" s="12">
        <v>0</v>
      </c>
      <c r="Q657" s="16">
        <v>12</v>
      </c>
      <c r="R657" s="16">
        <v>0</v>
      </c>
      <c r="S657" s="16"/>
      <c r="T657" s="16" t="e">
        <v>#N/A</v>
      </c>
      <c r="U657" s="16" t="e">
        <v>#N/A</v>
      </c>
    </row>
    <row r="658" spans="1:21" x14ac:dyDescent="0.25">
      <c r="A658" s="12" t="s">
        <v>21</v>
      </c>
      <c r="B658" s="12" t="s">
        <v>649</v>
      </c>
      <c r="C658" s="12" t="s">
        <v>23</v>
      </c>
      <c r="D658" s="15">
        <v>46248.412974537037</v>
      </c>
      <c r="E658" s="12" t="s">
        <v>650</v>
      </c>
      <c r="F658" s="12" t="s">
        <v>354</v>
      </c>
      <c r="G658" s="12">
        <v>4</v>
      </c>
      <c r="H658" s="12">
        <v>4</v>
      </c>
      <c r="I658" s="14"/>
      <c r="J658" s="14" t="s">
        <v>61</v>
      </c>
      <c r="K658" s="12" t="s">
        <v>651</v>
      </c>
      <c r="L658" s="15">
        <v>1</v>
      </c>
      <c r="M658" s="12" t="s">
        <v>150</v>
      </c>
      <c r="N658" s="12">
        <v>4</v>
      </c>
      <c r="O658" s="12">
        <v>4</v>
      </c>
      <c r="P658" s="12">
        <v>0</v>
      </c>
      <c r="Q658" s="16">
        <v>4</v>
      </c>
      <c r="R658" s="16">
        <v>0</v>
      </c>
      <c r="S658" s="16"/>
      <c r="T658" s="16" t="e">
        <v>#N/A</v>
      </c>
      <c r="U658" s="16" t="e">
        <v>#N/A</v>
      </c>
    </row>
    <row r="659" spans="1:21" x14ac:dyDescent="0.25">
      <c r="A659" s="12" t="s">
        <v>21</v>
      </c>
      <c r="B659" s="12" t="s">
        <v>649</v>
      </c>
      <c r="C659" s="12" t="s">
        <v>23</v>
      </c>
      <c r="D659" s="15">
        <v>46248.412974537037</v>
      </c>
      <c r="E659" s="12" t="s">
        <v>650</v>
      </c>
      <c r="F659" s="12" t="s">
        <v>70</v>
      </c>
      <c r="G659" s="12">
        <v>10</v>
      </c>
      <c r="H659" s="12">
        <v>10</v>
      </c>
      <c r="I659" s="14"/>
      <c r="J659" s="14" t="s">
        <v>61</v>
      </c>
      <c r="K659" s="12" t="s">
        <v>652</v>
      </c>
      <c r="L659" s="15">
        <v>1</v>
      </c>
      <c r="M659" s="12" t="s">
        <v>150</v>
      </c>
      <c r="N659" s="12">
        <v>10</v>
      </c>
      <c r="O659" s="12">
        <v>10</v>
      </c>
      <c r="P659" s="12">
        <v>0</v>
      </c>
      <c r="Q659" s="16">
        <v>10</v>
      </c>
      <c r="R659" s="16">
        <v>0</v>
      </c>
      <c r="S659" s="16"/>
      <c r="T659" s="16" t="e">
        <v>#N/A</v>
      </c>
      <c r="U659" s="16" t="e">
        <v>#N/A</v>
      </c>
    </row>
    <row r="660" spans="1:21" x14ac:dyDescent="0.25">
      <c r="A660" s="12" t="s">
        <v>21</v>
      </c>
      <c r="B660" s="12" t="s">
        <v>653</v>
      </c>
      <c r="C660" s="12" t="s">
        <v>23</v>
      </c>
      <c r="D660" s="15">
        <v>46248.539456018516</v>
      </c>
      <c r="E660" s="12" t="s">
        <v>502</v>
      </c>
      <c r="F660" s="12" t="s">
        <v>262</v>
      </c>
      <c r="G660" s="12">
        <v>1000</v>
      </c>
      <c r="H660" s="12">
        <v>600</v>
      </c>
      <c r="I660" s="14"/>
      <c r="J660" s="14" t="s">
        <v>26</v>
      </c>
      <c r="K660" s="12" t="s">
        <v>27</v>
      </c>
      <c r="L660" s="15"/>
      <c r="M660" s="12" t="s">
        <v>28</v>
      </c>
      <c r="N660" s="12"/>
      <c r="O660" s="12"/>
      <c r="P660" s="12"/>
      <c r="Q660" s="16">
        <v>0</v>
      </c>
      <c r="R660" s="16">
        <v>0</v>
      </c>
      <c r="S660" s="16"/>
      <c r="T660" s="16" t="e">
        <v>#N/A</v>
      </c>
      <c r="U660" s="16" t="e">
        <v>#N/A</v>
      </c>
    </row>
    <row r="661" spans="1:21" x14ac:dyDescent="0.25">
      <c r="A661" s="12" t="s">
        <v>21</v>
      </c>
      <c r="B661" s="12" t="s">
        <v>654</v>
      </c>
      <c r="C661" s="12" t="s">
        <v>23</v>
      </c>
      <c r="D661" s="15">
        <v>46249.302256944444</v>
      </c>
      <c r="E661" s="12" t="s">
        <v>502</v>
      </c>
      <c r="F661" s="12" t="s">
        <v>70</v>
      </c>
      <c r="G661" s="12">
        <v>30</v>
      </c>
      <c r="H661" s="12">
        <v>30</v>
      </c>
      <c r="I661" s="14"/>
      <c r="J661" s="14" t="s">
        <v>61</v>
      </c>
      <c r="K661" s="12" t="s">
        <v>655</v>
      </c>
      <c r="L661" s="15">
        <v>1</v>
      </c>
      <c r="M661" s="12" t="s">
        <v>150</v>
      </c>
      <c r="N661" s="12">
        <v>30</v>
      </c>
      <c r="O661" s="12">
        <v>30</v>
      </c>
      <c r="P661" s="12">
        <v>0</v>
      </c>
      <c r="Q661" s="16">
        <v>30</v>
      </c>
      <c r="R661" s="16">
        <v>0</v>
      </c>
      <c r="S661" s="16"/>
      <c r="T661" s="16" t="e">
        <v>#N/A</v>
      </c>
      <c r="U661" s="16" t="e">
        <v>#N/A</v>
      </c>
    </row>
    <row r="662" spans="1:21" x14ac:dyDescent="0.25">
      <c r="A662" s="12" t="s">
        <v>21</v>
      </c>
      <c r="B662" s="12" t="s">
        <v>654</v>
      </c>
      <c r="C662" s="12" t="s">
        <v>23</v>
      </c>
      <c r="D662" s="15">
        <v>46249.302256944444</v>
      </c>
      <c r="E662" s="12" t="s">
        <v>502</v>
      </c>
      <c r="F662" s="12" t="s">
        <v>268</v>
      </c>
      <c r="G662" s="12">
        <v>12</v>
      </c>
      <c r="H662" s="12">
        <v>12</v>
      </c>
      <c r="I662" s="14"/>
      <c r="J662" s="14" t="s">
        <v>26</v>
      </c>
      <c r="K662" s="12" t="s">
        <v>27</v>
      </c>
      <c r="L662" s="15"/>
      <c r="M662" s="12" t="s">
        <v>28</v>
      </c>
      <c r="N662" s="12"/>
      <c r="O662" s="12"/>
      <c r="P662" s="12"/>
      <c r="Q662" s="16">
        <v>0</v>
      </c>
      <c r="R662" s="16">
        <v>0</v>
      </c>
      <c r="S662" s="16"/>
      <c r="T662" s="16" t="e">
        <v>#N/A</v>
      </c>
      <c r="U662" s="16" t="e">
        <v>#N/A</v>
      </c>
    </row>
    <row r="663" spans="1:21" x14ac:dyDescent="0.25">
      <c r="A663" s="12" t="s">
        <v>21</v>
      </c>
      <c r="B663" s="12" t="s">
        <v>654</v>
      </c>
      <c r="C663" s="12" t="s">
        <v>23</v>
      </c>
      <c r="D663" s="15">
        <v>46249.302256944444</v>
      </c>
      <c r="E663" s="12" t="s">
        <v>502</v>
      </c>
      <c r="F663" s="12" t="s">
        <v>389</v>
      </c>
      <c r="G663" s="12">
        <v>4</v>
      </c>
      <c r="H663" s="12">
        <v>4</v>
      </c>
      <c r="I663" s="14"/>
      <c r="J663" s="14" t="s">
        <v>26</v>
      </c>
      <c r="K663" s="12" t="s">
        <v>27</v>
      </c>
      <c r="L663" s="15"/>
      <c r="M663" s="12" t="s">
        <v>28</v>
      </c>
      <c r="N663" s="12"/>
      <c r="O663" s="12"/>
      <c r="P663" s="12"/>
      <c r="Q663" s="16">
        <v>0</v>
      </c>
      <c r="R663" s="16">
        <v>0</v>
      </c>
      <c r="S663" s="16"/>
      <c r="T663" s="16" t="e">
        <v>#N/A</v>
      </c>
      <c r="U663" s="16" t="e">
        <v>#N/A</v>
      </c>
    </row>
    <row r="664" spans="1:21" x14ac:dyDescent="0.25">
      <c r="A664" s="12" t="s">
        <v>21</v>
      </c>
      <c r="B664" s="12" t="s">
        <v>654</v>
      </c>
      <c r="C664" s="12" t="s">
        <v>23</v>
      </c>
      <c r="D664" s="15">
        <v>46249.302256944444</v>
      </c>
      <c r="E664" s="12" t="s">
        <v>502</v>
      </c>
      <c r="F664" s="12" t="s">
        <v>401</v>
      </c>
      <c r="G664" s="12">
        <v>12</v>
      </c>
      <c r="H664" s="12">
        <v>12</v>
      </c>
      <c r="I664" s="14"/>
      <c r="J664" s="14" t="s">
        <v>26</v>
      </c>
      <c r="K664" s="12" t="s">
        <v>27</v>
      </c>
      <c r="L664" s="15"/>
      <c r="M664" s="12" t="s">
        <v>28</v>
      </c>
      <c r="N664" s="12"/>
      <c r="O664" s="12"/>
      <c r="P664" s="12"/>
      <c r="Q664" s="16">
        <v>0</v>
      </c>
      <c r="R664" s="16">
        <v>0</v>
      </c>
      <c r="S664" s="16"/>
      <c r="T664" s="16" t="e">
        <v>#N/A</v>
      </c>
      <c r="U664" s="16" t="e">
        <v>#N/A</v>
      </c>
    </row>
    <row r="665" spans="1:21" x14ac:dyDescent="0.25">
      <c r="A665" s="12" t="s">
        <v>21</v>
      </c>
      <c r="B665" s="12" t="s">
        <v>654</v>
      </c>
      <c r="C665" s="12" t="s">
        <v>23</v>
      </c>
      <c r="D665" s="15">
        <v>46249.302256944444</v>
      </c>
      <c r="E665" s="12" t="s">
        <v>502</v>
      </c>
      <c r="F665" s="12" t="s">
        <v>454</v>
      </c>
      <c r="G665" s="12">
        <v>20</v>
      </c>
      <c r="H665" s="12">
        <v>20</v>
      </c>
      <c r="I665" s="14"/>
      <c r="J665" s="14" t="s">
        <v>61</v>
      </c>
      <c r="K665" s="12" t="s">
        <v>656</v>
      </c>
      <c r="L665" s="15">
        <v>1</v>
      </c>
      <c r="M665" s="12" t="s">
        <v>150</v>
      </c>
      <c r="N665" s="12">
        <v>20</v>
      </c>
      <c r="O665" s="12">
        <v>20</v>
      </c>
      <c r="P665" s="12">
        <v>0</v>
      </c>
      <c r="Q665" s="16">
        <v>20</v>
      </c>
      <c r="R665" s="16">
        <v>0</v>
      </c>
      <c r="S665" s="16"/>
      <c r="T665" s="16" t="e">
        <v>#N/A</v>
      </c>
      <c r="U665" s="16" t="e">
        <v>#N/A</v>
      </c>
    </row>
    <row r="666" spans="1:21" x14ac:dyDescent="0.25">
      <c r="A666" s="12" t="s">
        <v>21</v>
      </c>
      <c r="B666" s="12" t="s">
        <v>654</v>
      </c>
      <c r="C666" s="12" t="s">
        <v>23</v>
      </c>
      <c r="D666" s="15">
        <v>46249.302256944444</v>
      </c>
      <c r="E666" s="12" t="s">
        <v>502</v>
      </c>
      <c r="F666" s="12" t="s">
        <v>657</v>
      </c>
      <c r="G666" s="12">
        <v>10</v>
      </c>
      <c r="H666" s="12">
        <v>1</v>
      </c>
      <c r="I666" s="14"/>
      <c r="J666" s="14" t="s">
        <v>26</v>
      </c>
      <c r="K666" s="12" t="s">
        <v>27</v>
      </c>
      <c r="L666" s="15"/>
      <c r="M666" s="12" t="s">
        <v>28</v>
      </c>
      <c r="N666" s="12"/>
      <c r="O666" s="12"/>
      <c r="P666" s="12"/>
      <c r="Q666" s="16">
        <v>0</v>
      </c>
      <c r="R666" s="16">
        <v>0</v>
      </c>
      <c r="S666" s="16"/>
      <c r="T666" s="16" t="e">
        <v>#N/A</v>
      </c>
      <c r="U666" s="16" t="e">
        <v>#N/A</v>
      </c>
    </row>
    <row r="667" spans="1:21" x14ac:dyDescent="0.25">
      <c r="A667" s="12" t="s">
        <v>21</v>
      </c>
      <c r="B667" s="12" t="s">
        <v>654</v>
      </c>
      <c r="C667" s="12" t="s">
        <v>23</v>
      </c>
      <c r="D667" s="15">
        <v>46249.302256944444</v>
      </c>
      <c r="E667" s="12" t="s">
        <v>502</v>
      </c>
      <c r="F667" s="12" t="s">
        <v>623</v>
      </c>
      <c r="G667" s="12">
        <v>10</v>
      </c>
      <c r="H667" s="12">
        <v>10</v>
      </c>
      <c r="I667" s="14"/>
      <c r="J667" s="14" t="s">
        <v>61</v>
      </c>
      <c r="K667" s="12" t="s">
        <v>658</v>
      </c>
      <c r="L667" s="15">
        <v>1</v>
      </c>
      <c r="M667" s="12" t="s">
        <v>150</v>
      </c>
      <c r="N667" s="12">
        <v>10</v>
      </c>
      <c r="O667" s="12">
        <v>10</v>
      </c>
      <c r="P667" s="12">
        <v>0</v>
      </c>
      <c r="Q667" s="16">
        <v>10</v>
      </c>
      <c r="R667" s="16">
        <v>0</v>
      </c>
      <c r="S667" s="16"/>
      <c r="T667" s="16" t="e">
        <v>#N/A</v>
      </c>
      <c r="U667" s="16" t="e">
        <v>#N/A</v>
      </c>
    </row>
    <row r="668" spans="1:21" x14ac:dyDescent="0.25">
      <c r="A668" s="12" t="s">
        <v>21</v>
      </c>
      <c r="B668" s="12" t="s">
        <v>654</v>
      </c>
      <c r="C668" s="12" t="s">
        <v>23</v>
      </c>
      <c r="D668" s="15">
        <v>46249.302256944444</v>
      </c>
      <c r="E668" s="12" t="s">
        <v>502</v>
      </c>
      <c r="F668" s="12" t="s">
        <v>134</v>
      </c>
      <c r="G668" s="12">
        <v>30</v>
      </c>
      <c r="H668" s="12">
        <v>30</v>
      </c>
      <c r="I668" s="14"/>
      <c r="J668" s="14" t="s">
        <v>26</v>
      </c>
      <c r="K668" s="12" t="s">
        <v>27</v>
      </c>
      <c r="L668" s="15"/>
      <c r="M668" s="12" t="s">
        <v>28</v>
      </c>
      <c r="N668" s="12"/>
      <c r="O668" s="12"/>
      <c r="P668" s="12"/>
      <c r="Q668" s="16">
        <v>0</v>
      </c>
      <c r="R668" s="16">
        <v>6</v>
      </c>
      <c r="S668" s="16"/>
      <c r="T668" s="16" t="e">
        <v>#N/A</v>
      </c>
      <c r="U668" s="16" t="e">
        <v>#N/A</v>
      </c>
    </row>
    <row r="669" spans="1:21" x14ac:dyDescent="0.25">
      <c r="A669" s="12" t="s">
        <v>21</v>
      </c>
      <c r="B669" s="12" t="s">
        <v>659</v>
      </c>
      <c r="C669" s="12" t="s">
        <v>23</v>
      </c>
      <c r="D669" s="15">
        <v>46249.311516203707</v>
      </c>
      <c r="E669" s="12" t="s">
        <v>502</v>
      </c>
      <c r="F669" s="12" t="s">
        <v>525</v>
      </c>
      <c r="G669" s="12">
        <v>60</v>
      </c>
      <c r="H669" s="12">
        <v>60</v>
      </c>
      <c r="I669" s="14"/>
      <c r="J669" s="14" t="s">
        <v>26</v>
      </c>
      <c r="K669" s="12" t="s">
        <v>27</v>
      </c>
      <c r="L669" s="15"/>
      <c r="M669" s="12" t="s">
        <v>28</v>
      </c>
      <c r="N669" s="12"/>
      <c r="O669" s="12"/>
      <c r="P669" s="12"/>
      <c r="Q669" s="16">
        <v>0</v>
      </c>
      <c r="R669" s="16">
        <v>0</v>
      </c>
      <c r="S669" s="16"/>
      <c r="T669" s="16" t="e">
        <v>#N/A</v>
      </c>
      <c r="U669" s="16" t="e">
        <v>#N/A</v>
      </c>
    </row>
    <row r="670" spans="1:21" x14ac:dyDescent="0.25">
      <c r="A670" s="12" t="s">
        <v>21</v>
      </c>
      <c r="B670" s="12" t="s">
        <v>660</v>
      </c>
      <c r="C670" s="12" t="s">
        <v>23</v>
      </c>
      <c r="D670" s="15">
        <v>46249.348900462966</v>
      </c>
      <c r="E670" s="12" t="s">
        <v>661</v>
      </c>
      <c r="F670" s="12" t="s">
        <v>70</v>
      </c>
      <c r="G670" s="12">
        <v>40</v>
      </c>
      <c r="H670" s="12">
        <v>20</v>
      </c>
      <c r="I670" s="14"/>
      <c r="J670" s="14" t="s">
        <v>26</v>
      </c>
      <c r="K670" s="12" t="s">
        <v>27</v>
      </c>
      <c r="L670" s="15"/>
      <c r="M670" s="12" t="s">
        <v>28</v>
      </c>
      <c r="N670" s="12"/>
      <c r="O670" s="12"/>
      <c r="P670" s="12"/>
      <c r="Q670" s="16">
        <v>0</v>
      </c>
      <c r="R670" s="16">
        <v>0</v>
      </c>
      <c r="S670" s="16"/>
      <c r="T670" s="16" t="e">
        <v>#N/A</v>
      </c>
      <c r="U670" s="16" t="e">
        <v>#N/A</v>
      </c>
    </row>
    <row r="671" spans="1:21" x14ac:dyDescent="0.25">
      <c r="A671" s="12" t="s">
        <v>21</v>
      </c>
      <c r="B671" s="12" t="s">
        <v>660</v>
      </c>
      <c r="C671" s="12" t="s">
        <v>23</v>
      </c>
      <c r="D671" s="15">
        <v>46249.348900462966</v>
      </c>
      <c r="E671" s="12" t="s">
        <v>661</v>
      </c>
      <c r="F671" s="12" t="s">
        <v>71</v>
      </c>
      <c r="G671" s="12">
        <v>40</v>
      </c>
      <c r="H671" s="12">
        <v>40</v>
      </c>
      <c r="I671" s="14"/>
      <c r="J671" s="14" t="s">
        <v>26</v>
      </c>
      <c r="K671" s="12" t="s">
        <v>27</v>
      </c>
      <c r="L671" s="15"/>
      <c r="M671" s="12" t="s">
        <v>28</v>
      </c>
      <c r="N671" s="12"/>
      <c r="O671" s="12"/>
      <c r="P671" s="12"/>
      <c r="Q671" s="16">
        <v>0</v>
      </c>
      <c r="R671" s="16">
        <v>0</v>
      </c>
      <c r="S671" s="16"/>
      <c r="T671" s="16" t="e">
        <v>#N/A</v>
      </c>
      <c r="U671" s="16" t="e">
        <v>#N/A</v>
      </c>
    </row>
    <row r="672" spans="1:21" x14ac:dyDescent="0.25">
      <c r="A672" s="12" t="s">
        <v>21</v>
      </c>
      <c r="B672" s="12" t="s">
        <v>660</v>
      </c>
      <c r="C672" s="12" t="s">
        <v>23</v>
      </c>
      <c r="D672" s="15">
        <v>46249.348900462966</v>
      </c>
      <c r="E672" s="12" t="s">
        <v>661</v>
      </c>
      <c r="F672" s="12" t="s">
        <v>525</v>
      </c>
      <c r="G672" s="12">
        <v>80</v>
      </c>
      <c r="H672" s="12">
        <v>80</v>
      </c>
      <c r="I672" s="14"/>
      <c r="J672" s="14" t="s">
        <v>26</v>
      </c>
      <c r="K672" s="12" t="s">
        <v>27</v>
      </c>
      <c r="L672" s="15"/>
      <c r="M672" s="12" t="s">
        <v>28</v>
      </c>
      <c r="N672" s="12"/>
      <c r="O672" s="12"/>
      <c r="P672" s="12"/>
      <c r="Q672" s="16">
        <v>0</v>
      </c>
      <c r="R672" s="16">
        <v>0</v>
      </c>
      <c r="S672" s="16"/>
      <c r="T672" s="16" t="e">
        <v>#N/A</v>
      </c>
      <c r="U672" s="16" t="e">
        <v>#N/A</v>
      </c>
    </row>
    <row r="673" spans="1:21" x14ac:dyDescent="0.25">
      <c r="A673" s="12" t="s">
        <v>21</v>
      </c>
      <c r="B673" s="12" t="s">
        <v>660</v>
      </c>
      <c r="C673" s="12" t="s">
        <v>23</v>
      </c>
      <c r="D673" s="15">
        <v>46249.348900462966</v>
      </c>
      <c r="E673" s="12" t="s">
        <v>661</v>
      </c>
      <c r="F673" s="12" t="s">
        <v>268</v>
      </c>
      <c r="G673" s="12">
        <v>10</v>
      </c>
      <c r="H673" s="12">
        <v>10</v>
      </c>
      <c r="I673" s="14"/>
      <c r="J673" s="14" t="s">
        <v>26</v>
      </c>
      <c r="K673" s="12" t="s">
        <v>27</v>
      </c>
      <c r="L673" s="15"/>
      <c r="M673" s="12" t="s">
        <v>28</v>
      </c>
      <c r="N673" s="12"/>
      <c r="O673" s="12"/>
      <c r="P673" s="12"/>
      <c r="Q673" s="16">
        <v>0</v>
      </c>
      <c r="R673" s="16">
        <v>0</v>
      </c>
      <c r="S673" s="16"/>
      <c r="T673" s="16" t="e">
        <v>#N/A</v>
      </c>
      <c r="U673" s="16" t="e">
        <v>#N/A</v>
      </c>
    </row>
    <row r="674" spans="1:21" x14ac:dyDescent="0.25">
      <c r="A674" s="12" t="s">
        <v>21</v>
      </c>
      <c r="B674" s="12" t="s">
        <v>662</v>
      </c>
      <c r="C674" s="12" t="s">
        <v>23</v>
      </c>
      <c r="D674" s="15">
        <v>46249.409236111111</v>
      </c>
      <c r="E674" s="12" t="s">
        <v>393</v>
      </c>
      <c r="F674" s="12" t="s">
        <v>261</v>
      </c>
      <c r="G674" s="12">
        <v>20</v>
      </c>
      <c r="H674" s="12">
        <v>20</v>
      </c>
      <c r="I674" s="14"/>
      <c r="J674" s="14" t="s">
        <v>61</v>
      </c>
      <c r="K674" s="12" t="s">
        <v>663</v>
      </c>
      <c r="L674" s="15">
        <v>1</v>
      </c>
      <c r="M674" s="12" t="s">
        <v>150</v>
      </c>
      <c r="N674" s="12">
        <v>20</v>
      </c>
      <c r="O674" s="12">
        <v>20</v>
      </c>
      <c r="P674" s="12">
        <v>0</v>
      </c>
      <c r="Q674" s="16">
        <v>20</v>
      </c>
      <c r="R674" s="16">
        <v>0</v>
      </c>
      <c r="S674" s="16"/>
      <c r="T674" s="16" t="e">
        <v>#N/A</v>
      </c>
      <c r="U674" s="16" t="e">
        <v>#N/A</v>
      </c>
    </row>
    <row r="675" spans="1:21" x14ac:dyDescent="0.25">
      <c r="A675" s="12" t="s">
        <v>21</v>
      </c>
      <c r="B675" s="12" t="s">
        <v>662</v>
      </c>
      <c r="C675" s="12" t="s">
        <v>23</v>
      </c>
      <c r="D675" s="15">
        <v>46249.409236111111</v>
      </c>
      <c r="E675" s="12" t="s">
        <v>393</v>
      </c>
      <c r="F675" s="12" t="s">
        <v>268</v>
      </c>
      <c r="G675" s="12">
        <v>15</v>
      </c>
      <c r="H675" s="12">
        <v>15</v>
      </c>
      <c r="I675" s="14"/>
      <c r="J675" s="14" t="s">
        <v>61</v>
      </c>
      <c r="K675" s="12" t="s">
        <v>664</v>
      </c>
      <c r="L675" s="15">
        <v>1</v>
      </c>
      <c r="M675" s="12" t="s">
        <v>150</v>
      </c>
      <c r="N675" s="12">
        <v>15</v>
      </c>
      <c r="O675" s="12">
        <v>15</v>
      </c>
      <c r="P675" s="12">
        <v>0</v>
      </c>
      <c r="Q675" s="16">
        <v>15</v>
      </c>
      <c r="R675" s="16">
        <v>0</v>
      </c>
      <c r="S675" s="16"/>
      <c r="T675" s="16" t="e">
        <v>#N/A</v>
      </c>
      <c r="U675" s="16" t="e">
        <v>#N/A</v>
      </c>
    </row>
    <row r="676" spans="1:21" x14ac:dyDescent="0.25">
      <c r="A676" s="12" t="s">
        <v>21</v>
      </c>
      <c r="B676" s="12" t="s">
        <v>662</v>
      </c>
      <c r="C676" s="12" t="s">
        <v>23</v>
      </c>
      <c r="D676" s="15">
        <v>46249.409236111111</v>
      </c>
      <c r="E676" s="12" t="s">
        <v>393</v>
      </c>
      <c r="F676" s="12" t="s">
        <v>130</v>
      </c>
      <c r="G676" s="12">
        <v>100</v>
      </c>
      <c r="H676" s="12">
        <v>100</v>
      </c>
      <c r="I676" s="14"/>
      <c r="J676" s="14" t="s">
        <v>26</v>
      </c>
      <c r="K676" s="12" t="s">
        <v>27</v>
      </c>
      <c r="L676" s="15"/>
      <c r="M676" s="12" t="s">
        <v>28</v>
      </c>
      <c r="N676" s="12"/>
      <c r="O676" s="12"/>
      <c r="P676" s="12"/>
      <c r="Q676" s="16">
        <v>0</v>
      </c>
      <c r="R676" s="16">
        <v>6</v>
      </c>
      <c r="S676" s="16"/>
      <c r="T676" s="16" t="e">
        <v>#N/A</v>
      </c>
      <c r="U676" s="16" t="e">
        <v>#N/A</v>
      </c>
    </row>
    <row r="677" spans="1:21" x14ac:dyDescent="0.25">
      <c r="A677" s="12" t="s">
        <v>21</v>
      </c>
      <c r="B677" s="12" t="s">
        <v>662</v>
      </c>
      <c r="C677" s="12" t="s">
        <v>23</v>
      </c>
      <c r="D677" s="15">
        <v>46249.409236111111</v>
      </c>
      <c r="E677" s="12" t="s">
        <v>393</v>
      </c>
      <c r="F677" s="12" t="s">
        <v>134</v>
      </c>
      <c r="G677" s="12">
        <v>150</v>
      </c>
      <c r="H677" s="12">
        <v>150</v>
      </c>
      <c r="I677" s="14"/>
      <c r="J677" s="14" t="s">
        <v>26</v>
      </c>
      <c r="K677" s="12" t="s">
        <v>27</v>
      </c>
      <c r="L677" s="15"/>
      <c r="M677" s="12" t="s">
        <v>28</v>
      </c>
      <c r="N677" s="12"/>
      <c r="O677" s="12"/>
      <c r="P677" s="12"/>
      <c r="Q677" s="16">
        <v>0</v>
      </c>
      <c r="R677" s="16">
        <v>6</v>
      </c>
      <c r="S677" s="16"/>
      <c r="T677" s="16" t="e">
        <v>#N/A</v>
      </c>
      <c r="U677" s="16" t="e">
        <v>#N/A</v>
      </c>
    </row>
    <row r="678" spans="1:21" x14ac:dyDescent="0.25">
      <c r="A678" s="12" t="s">
        <v>21</v>
      </c>
      <c r="B678" s="12" t="s">
        <v>665</v>
      </c>
      <c r="C678" s="12" t="s">
        <v>23</v>
      </c>
      <c r="D678" s="15">
        <v>46251.422395833331</v>
      </c>
      <c r="E678" s="12" t="s">
        <v>24</v>
      </c>
      <c r="F678" s="12" t="s">
        <v>438</v>
      </c>
      <c r="G678" s="12">
        <v>50</v>
      </c>
      <c r="H678" s="12">
        <v>50</v>
      </c>
      <c r="I678" s="14"/>
      <c r="J678" s="14" t="s">
        <v>26</v>
      </c>
      <c r="K678" s="12" t="s">
        <v>27</v>
      </c>
      <c r="L678" s="15"/>
      <c r="M678" s="12" t="s">
        <v>28</v>
      </c>
      <c r="N678" s="12"/>
      <c r="O678" s="12"/>
      <c r="P678" s="12"/>
      <c r="Q678" s="16">
        <v>0</v>
      </c>
      <c r="R678" s="16">
        <v>0</v>
      </c>
      <c r="S678" s="16"/>
      <c r="T678" s="16" t="e">
        <v>#N/A</v>
      </c>
      <c r="U678" s="16" t="e">
        <v>#N/A</v>
      </c>
    </row>
    <row r="679" spans="1:21" x14ac:dyDescent="0.25">
      <c r="A679" s="12" t="s">
        <v>21</v>
      </c>
      <c r="B679" s="12" t="s">
        <v>666</v>
      </c>
      <c r="C679" s="12" t="s">
        <v>23</v>
      </c>
      <c r="D679" s="15">
        <v>46252.377326388887</v>
      </c>
      <c r="E679" s="12" t="s">
        <v>266</v>
      </c>
      <c r="F679" s="12" t="s">
        <v>283</v>
      </c>
      <c r="G679" s="12">
        <v>2</v>
      </c>
      <c r="H679" s="12">
        <v>2</v>
      </c>
      <c r="I679" s="14"/>
      <c r="J679" s="14" t="s">
        <v>26</v>
      </c>
      <c r="K679" s="12" t="s">
        <v>27</v>
      </c>
      <c r="L679" s="15"/>
      <c r="M679" s="12" t="s">
        <v>28</v>
      </c>
      <c r="N679" s="12"/>
      <c r="O679" s="12"/>
      <c r="P679" s="12"/>
      <c r="Q679" s="16">
        <v>0</v>
      </c>
      <c r="R679" s="16">
        <v>0</v>
      </c>
      <c r="S679" s="16"/>
      <c r="T679" s="16" t="e">
        <v>#N/A</v>
      </c>
      <c r="U679" s="16" t="e">
        <v>#N/A</v>
      </c>
    </row>
    <row r="680" spans="1:21" x14ac:dyDescent="0.25">
      <c r="A680" s="12" t="s">
        <v>21</v>
      </c>
      <c r="B680" s="12" t="s">
        <v>667</v>
      </c>
      <c r="C680" s="12" t="s">
        <v>23</v>
      </c>
      <c r="D680" s="15">
        <v>46252.518969907411</v>
      </c>
      <c r="E680" s="12" t="s">
        <v>522</v>
      </c>
      <c r="F680" s="12" t="s">
        <v>668</v>
      </c>
      <c r="G680" s="12">
        <v>15</v>
      </c>
      <c r="H680" s="12">
        <v>15</v>
      </c>
      <c r="I680" s="14"/>
      <c r="J680" s="14" t="s">
        <v>61</v>
      </c>
      <c r="K680" s="12" t="s">
        <v>672</v>
      </c>
      <c r="L680" s="15">
        <v>1</v>
      </c>
      <c r="M680" s="12" t="s">
        <v>150</v>
      </c>
      <c r="N680" s="12">
        <v>15</v>
      </c>
      <c r="O680" s="12">
        <v>15</v>
      </c>
      <c r="P680" s="12">
        <v>0</v>
      </c>
      <c r="Q680" s="16">
        <v>35</v>
      </c>
      <c r="R680" s="16">
        <v>0</v>
      </c>
      <c r="S680" s="16"/>
      <c r="T680" s="16" t="e">
        <v>#N/A</v>
      </c>
      <c r="U680" s="16" t="e">
        <v>#N/A</v>
      </c>
    </row>
    <row r="681" spans="1:21" x14ac:dyDescent="0.25">
      <c r="A681" s="12" t="s">
        <v>21</v>
      </c>
      <c r="B681" s="12" t="s">
        <v>667</v>
      </c>
      <c r="C681" s="12" t="s">
        <v>23</v>
      </c>
      <c r="D681" s="15">
        <v>46252.518969907411</v>
      </c>
      <c r="E681" s="12" t="s">
        <v>522</v>
      </c>
      <c r="F681" s="12" t="s">
        <v>669</v>
      </c>
      <c r="G681" s="12">
        <v>20</v>
      </c>
      <c r="H681" s="12">
        <v>20</v>
      </c>
      <c r="I681" s="14"/>
      <c r="J681" s="14" t="s">
        <v>61</v>
      </c>
      <c r="K681" s="12" t="s">
        <v>673</v>
      </c>
      <c r="L681" s="15">
        <v>1</v>
      </c>
      <c r="M681" s="12" t="s">
        <v>150</v>
      </c>
      <c r="N681" s="12">
        <v>20</v>
      </c>
      <c r="O681" s="12">
        <v>20</v>
      </c>
      <c r="P681" s="12">
        <v>0</v>
      </c>
      <c r="Q681" s="16">
        <v>60</v>
      </c>
      <c r="R681" s="16">
        <v>0</v>
      </c>
      <c r="S681" s="16"/>
      <c r="T681" s="16" t="e">
        <v>#N/A</v>
      </c>
      <c r="U681" s="16" t="e">
        <v>#N/A</v>
      </c>
    </row>
    <row r="682" spans="1:21" x14ac:dyDescent="0.25">
      <c r="A682" s="12" t="s">
        <v>21</v>
      </c>
      <c r="B682" s="12" t="s">
        <v>667</v>
      </c>
      <c r="C682" s="12" t="s">
        <v>23</v>
      </c>
      <c r="D682" s="15">
        <v>46252.518969907411</v>
      </c>
      <c r="E682" s="12" t="s">
        <v>522</v>
      </c>
      <c r="F682" s="12" t="s">
        <v>670</v>
      </c>
      <c r="G682" s="12">
        <v>20</v>
      </c>
      <c r="H682" s="12">
        <v>20</v>
      </c>
      <c r="I682" s="14"/>
      <c r="J682" s="14" t="s">
        <v>61</v>
      </c>
      <c r="K682" s="12" t="s">
        <v>674</v>
      </c>
      <c r="L682" s="15">
        <v>1</v>
      </c>
      <c r="M682" s="12" t="s">
        <v>150</v>
      </c>
      <c r="N682" s="12">
        <v>20</v>
      </c>
      <c r="O682" s="12">
        <v>20</v>
      </c>
      <c r="P682" s="12">
        <v>0</v>
      </c>
      <c r="Q682" s="16">
        <v>60</v>
      </c>
      <c r="R682" s="16">
        <v>0</v>
      </c>
      <c r="S682" s="16"/>
      <c r="T682" s="16" t="e">
        <v>#N/A</v>
      </c>
      <c r="U682" s="16" t="e">
        <v>#N/A</v>
      </c>
    </row>
    <row r="683" spans="1:21" x14ac:dyDescent="0.25">
      <c r="A683" s="12" t="s">
        <v>21</v>
      </c>
      <c r="B683" s="12" t="s">
        <v>667</v>
      </c>
      <c r="C683" s="12" t="s">
        <v>23</v>
      </c>
      <c r="D683" s="15">
        <v>46252.518969907411</v>
      </c>
      <c r="E683" s="12" t="s">
        <v>522</v>
      </c>
      <c r="F683" s="12" t="s">
        <v>243</v>
      </c>
      <c r="G683" s="12">
        <v>20</v>
      </c>
      <c r="H683" s="12">
        <v>20</v>
      </c>
      <c r="I683" s="14"/>
      <c r="J683" s="14" t="s">
        <v>61</v>
      </c>
      <c r="K683" s="12" t="s">
        <v>675</v>
      </c>
      <c r="L683" s="15">
        <v>1</v>
      </c>
      <c r="M683" s="12" t="s">
        <v>150</v>
      </c>
      <c r="N683" s="12">
        <v>20</v>
      </c>
      <c r="O683" s="12">
        <v>20</v>
      </c>
      <c r="P683" s="12">
        <v>0</v>
      </c>
      <c r="Q683" s="16">
        <v>60</v>
      </c>
      <c r="R683" s="16">
        <v>1</v>
      </c>
      <c r="S683" s="16"/>
      <c r="T683" s="16" t="e">
        <v>#N/A</v>
      </c>
      <c r="U683" s="16" t="e">
        <v>#N/A</v>
      </c>
    </row>
    <row r="684" spans="1:21" x14ac:dyDescent="0.25">
      <c r="A684" s="12" t="s">
        <v>21</v>
      </c>
      <c r="B684" s="12" t="s">
        <v>667</v>
      </c>
      <c r="C684" s="12" t="s">
        <v>23</v>
      </c>
      <c r="D684" s="15">
        <v>46252.518969907411</v>
      </c>
      <c r="E684" s="12" t="s">
        <v>522</v>
      </c>
      <c r="F684" s="12" t="s">
        <v>244</v>
      </c>
      <c r="G684" s="12">
        <v>20</v>
      </c>
      <c r="H684" s="12">
        <v>20</v>
      </c>
      <c r="I684" s="14"/>
      <c r="J684" s="14" t="s">
        <v>61</v>
      </c>
      <c r="K684" s="12" t="s">
        <v>676</v>
      </c>
      <c r="L684" s="15">
        <v>1</v>
      </c>
      <c r="M684" s="12" t="s">
        <v>150</v>
      </c>
      <c r="N684" s="12">
        <v>20</v>
      </c>
      <c r="O684" s="12">
        <v>20</v>
      </c>
      <c r="P684" s="12">
        <v>0</v>
      </c>
      <c r="Q684" s="16">
        <v>35</v>
      </c>
      <c r="R684" s="16">
        <v>0</v>
      </c>
      <c r="S684" s="16"/>
      <c r="T684" s="16" t="e">
        <v>#N/A</v>
      </c>
      <c r="U684" s="16" t="e">
        <v>#N/A</v>
      </c>
    </row>
    <row r="685" spans="1:21" x14ac:dyDescent="0.25">
      <c r="A685" s="12" t="s">
        <v>21</v>
      </c>
      <c r="B685" s="12" t="s">
        <v>667</v>
      </c>
      <c r="C685" s="12" t="s">
        <v>23</v>
      </c>
      <c r="D685" s="15">
        <v>46252.518969907411</v>
      </c>
      <c r="E685" s="12" t="s">
        <v>522</v>
      </c>
      <c r="F685" s="12" t="s">
        <v>671</v>
      </c>
      <c r="G685" s="12">
        <v>30</v>
      </c>
      <c r="H685" s="12">
        <v>30</v>
      </c>
      <c r="I685" s="14"/>
      <c r="J685" s="14" t="s">
        <v>61</v>
      </c>
      <c r="K685" s="12" t="s">
        <v>677</v>
      </c>
      <c r="L685" s="15">
        <v>1</v>
      </c>
      <c r="M685" s="12" t="s">
        <v>150</v>
      </c>
      <c r="N685" s="12">
        <v>30</v>
      </c>
      <c r="O685" s="12">
        <v>30</v>
      </c>
      <c r="P685" s="12">
        <v>0</v>
      </c>
      <c r="Q685" s="16">
        <v>110</v>
      </c>
      <c r="R685" s="16">
        <v>1</v>
      </c>
      <c r="S685" s="16"/>
      <c r="T685" s="16" t="e">
        <v>#N/A</v>
      </c>
      <c r="U685" s="16" t="e">
        <v>#N/A</v>
      </c>
    </row>
    <row r="686" spans="1:21" x14ac:dyDescent="0.25">
      <c r="A686" s="12" t="s">
        <v>21</v>
      </c>
      <c r="B686" s="12" t="s">
        <v>667</v>
      </c>
      <c r="C686" s="12" t="s">
        <v>23</v>
      </c>
      <c r="D686" s="15">
        <v>46252.518969907411</v>
      </c>
      <c r="E686" s="12" t="s">
        <v>522</v>
      </c>
      <c r="F686" s="12" t="s">
        <v>245</v>
      </c>
      <c r="G686" s="12">
        <v>40</v>
      </c>
      <c r="H686" s="12">
        <v>40</v>
      </c>
      <c r="I686" s="14"/>
      <c r="J686" s="14" t="s">
        <v>61</v>
      </c>
      <c r="K686" s="12" t="s">
        <v>678</v>
      </c>
      <c r="L686" s="15">
        <v>1</v>
      </c>
      <c r="M686" s="12" t="s">
        <v>150</v>
      </c>
      <c r="N686" s="12">
        <v>40</v>
      </c>
      <c r="O686" s="12">
        <v>40</v>
      </c>
      <c r="P686" s="12">
        <v>0</v>
      </c>
      <c r="Q686" s="16">
        <v>110</v>
      </c>
      <c r="R686" s="16">
        <v>0</v>
      </c>
      <c r="S686" s="16"/>
      <c r="T686" s="16" t="e">
        <v>#N/A</v>
      </c>
      <c r="U686" s="16" t="e">
        <v>#N/A</v>
      </c>
    </row>
    <row r="687" spans="1:21" x14ac:dyDescent="0.25">
      <c r="A687" s="12" t="s">
        <v>21</v>
      </c>
      <c r="B687" s="12" t="s">
        <v>667</v>
      </c>
      <c r="C687" s="12" t="s">
        <v>23</v>
      </c>
      <c r="D687" s="15">
        <v>46252.518969907411</v>
      </c>
      <c r="E687" s="12" t="s">
        <v>522</v>
      </c>
      <c r="F687" s="12" t="s">
        <v>71</v>
      </c>
      <c r="G687" s="12">
        <v>50</v>
      </c>
      <c r="H687" s="12">
        <v>50</v>
      </c>
      <c r="I687" s="14"/>
      <c r="J687" s="14" t="s">
        <v>26</v>
      </c>
      <c r="K687" s="12" t="s">
        <v>27</v>
      </c>
      <c r="L687" s="15"/>
      <c r="M687" s="12" t="s">
        <v>28</v>
      </c>
      <c r="N687" s="12"/>
      <c r="O687" s="12"/>
      <c r="P687" s="12"/>
      <c r="Q687" s="16">
        <v>0</v>
      </c>
      <c r="R687" s="16">
        <v>0</v>
      </c>
      <c r="S687" s="16"/>
      <c r="T687" s="16" t="e">
        <v>#N/A</v>
      </c>
      <c r="U687" s="16" t="e">
        <v>#N/A</v>
      </c>
    </row>
    <row r="688" spans="1:21" x14ac:dyDescent="0.25">
      <c r="A688" s="12" t="s">
        <v>21</v>
      </c>
      <c r="B688" s="12" t="s">
        <v>667</v>
      </c>
      <c r="C688" s="12" t="s">
        <v>23</v>
      </c>
      <c r="D688" s="15">
        <v>46252.518969907411</v>
      </c>
      <c r="E688" s="12" t="s">
        <v>522</v>
      </c>
      <c r="F688" s="12" t="s">
        <v>525</v>
      </c>
      <c r="G688" s="12">
        <v>50</v>
      </c>
      <c r="H688" s="12">
        <v>50</v>
      </c>
      <c r="I688" s="14"/>
      <c r="J688" s="14" t="s">
        <v>26</v>
      </c>
      <c r="K688" s="12" t="s">
        <v>27</v>
      </c>
      <c r="L688" s="15"/>
      <c r="M688" s="12" t="s">
        <v>28</v>
      </c>
      <c r="N688" s="12"/>
      <c r="O688" s="12"/>
      <c r="P688" s="12"/>
      <c r="Q688" s="16">
        <v>0</v>
      </c>
      <c r="R688" s="16">
        <v>0</v>
      </c>
      <c r="S688" s="16">
        <v>11</v>
      </c>
      <c r="T688" s="16" t="e">
        <v>#N/A</v>
      </c>
      <c r="U688" s="16" t="e">
        <v>#N/A</v>
      </c>
    </row>
    <row r="689" spans="1:21" x14ac:dyDescent="0.25">
      <c r="A689" s="12" t="s">
        <v>21</v>
      </c>
      <c r="B689" s="12" t="s">
        <v>667</v>
      </c>
      <c r="C689" s="12" t="s">
        <v>23</v>
      </c>
      <c r="D689" s="15">
        <v>46252.518969907411</v>
      </c>
      <c r="E689" s="12" t="s">
        <v>522</v>
      </c>
      <c r="F689" s="12" t="s">
        <v>268</v>
      </c>
      <c r="G689" s="12">
        <v>20</v>
      </c>
      <c r="H689" s="12">
        <v>20</v>
      </c>
      <c r="I689" s="14"/>
      <c r="J689" s="14" t="s">
        <v>61</v>
      </c>
      <c r="K689" s="12" t="s">
        <v>679</v>
      </c>
      <c r="L689" s="15">
        <v>1</v>
      </c>
      <c r="M689" s="12" t="s">
        <v>150</v>
      </c>
      <c r="N689" s="12">
        <v>20</v>
      </c>
      <c r="O689" s="12">
        <v>20</v>
      </c>
      <c r="P689" s="12">
        <v>0</v>
      </c>
      <c r="Q689" s="16">
        <v>42</v>
      </c>
      <c r="R689" s="16">
        <v>0</v>
      </c>
      <c r="S689" s="16"/>
      <c r="T689" s="16" t="e">
        <v>#N/A</v>
      </c>
      <c r="U689" s="16" t="e">
        <v>#N/A</v>
      </c>
    </row>
    <row r="690" spans="1:21" x14ac:dyDescent="0.25">
      <c r="A690" s="12" t="s">
        <v>21</v>
      </c>
      <c r="B690" s="12" t="s">
        <v>667</v>
      </c>
      <c r="C690" s="12" t="s">
        <v>23</v>
      </c>
      <c r="D690" s="15">
        <v>46252.518969907411</v>
      </c>
      <c r="E690" s="12" t="s">
        <v>522</v>
      </c>
      <c r="F690" s="12" t="s">
        <v>401</v>
      </c>
      <c r="G690" s="12">
        <v>20</v>
      </c>
      <c r="H690" s="12">
        <v>20</v>
      </c>
      <c r="I690" s="14"/>
      <c r="J690" s="14" t="s">
        <v>61</v>
      </c>
      <c r="K690" s="12" t="s">
        <v>680</v>
      </c>
      <c r="L690" s="15">
        <v>1</v>
      </c>
      <c r="M690" s="12" t="s">
        <v>150</v>
      </c>
      <c r="N690" s="12">
        <v>20</v>
      </c>
      <c r="O690" s="12">
        <v>20</v>
      </c>
      <c r="P690" s="12">
        <v>0</v>
      </c>
      <c r="Q690" s="16">
        <v>30</v>
      </c>
      <c r="R690" s="16">
        <v>0</v>
      </c>
      <c r="S690" s="16"/>
      <c r="T690" s="16" t="e">
        <v>#N/A</v>
      </c>
      <c r="U690" s="16" t="e">
        <v>#N/A</v>
      </c>
    </row>
    <row r="691" spans="1:21" x14ac:dyDescent="0.25">
      <c r="A691" s="12" t="s">
        <v>21</v>
      </c>
      <c r="B691" s="12" t="s">
        <v>667</v>
      </c>
      <c r="C691" s="12" t="s">
        <v>23</v>
      </c>
      <c r="D691" s="15">
        <v>46252.518969907411</v>
      </c>
      <c r="E691" s="12" t="s">
        <v>522</v>
      </c>
      <c r="F691" s="12" t="s">
        <v>681</v>
      </c>
      <c r="G691" s="12">
        <v>40</v>
      </c>
      <c r="H691" s="12">
        <v>40</v>
      </c>
      <c r="I691" s="14"/>
      <c r="J691" s="14" t="s">
        <v>61</v>
      </c>
      <c r="K691" s="12" t="s">
        <v>682</v>
      </c>
      <c r="L691" s="15">
        <v>1</v>
      </c>
      <c r="M691" s="12" t="s">
        <v>150</v>
      </c>
      <c r="N691" s="12">
        <v>40</v>
      </c>
      <c r="O691" s="12">
        <v>40</v>
      </c>
      <c r="P691" s="12">
        <v>0</v>
      </c>
      <c r="Q691" s="16">
        <v>110</v>
      </c>
      <c r="R691" s="16">
        <v>0</v>
      </c>
      <c r="S691" s="16"/>
      <c r="T691" s="16" t="e">
        <v>#N/A</v>
      </c>
      <c r="U691" s="16" t="e">
        <v>#N/A</v>
      </c>
    </row>
    <row r="692" spans="1:21" x14ac:dyDescent="0.25">
      <c r="A692" s="12" t="s">
        <v>21</v>
      </c>
      <c r="B692" s="12" t="s">
        <v>683</v>
      </c>
      <c r="C692" s="12" t="s">
        <v>23</v>
      </c>
      <c r="D692" s="15">
        <v>46252.599120370367</v>
      </c>
      <c r="E692" s="12" t="s">
        <v>24</v>
      </c>
      <c r="F692" s="12" t="s">
        <v>262</v>
      </c>
      <c r="G692" s="12">
        <v>2000</v>
      </c>
      <c r="H692" s="12">
        <v>80</v>
      </c>
      <c r="I692" s="14"/>
      <c r="J692" s="14" t="s">
        <v>26</v>
      </c>
      <c r="K692" s="12" t="s">
        <v>27</v>
      </c>
      <c r="L692" s="15"/>
      <c r="M692" s="12" t="s">
        <v>28</v>
      </c>
      <c r="N692" s="12"/>
      <c r="O692" s="12"/>
      <c r="P692" s="12"/>
      <c r="Q692" s="16">
        <v>0</v>
      </c>
      <c r="R692" s="16">
        <v>0</v>
      </c>
      <c r="S692" s="16"/>
      <c r="T692" s="16" t="e">
        <v>#N/A</v>
      </c>
      <c r="U692" s="16" t="e">
        <v>#N/A</v>
      </c>
    </row>
    <row r="693" spans="1:21" x14ac:dyDescent="0.25">
      <c r="A693" s="12" t="s">
        <v>21</v>
      </c>
      <c r="B693" s="12" t="s">
        <v>684</v>
      </c>
      <c r="C693" s="12" t="s">
        <v>23</v>
      </c>
      <c r="D693" s="15">
        <v>46252.608981481484</v>
      </c>
      <c r="E693" s="12" t="s">
        <v>522</v>
      </c>
      <c r="F693" s="12" t="s">
        <v>320</v>
      </c>
      <c r="G693" s="12">
        <v>40</v>
      </c>
      <c r="H693" s="12">
        <v>20</v>
      </c>
      <c r="I693" s="14"/>
      <c r="J693" s="14" t="s">
        <v>26</v>
      </c>
      <c r="K693" s="12" t="s">
        <v>27</v>
      </c>
      <c r="L693" s="15"/>
      <c r="M693" s="12" t="s">
        <v>28</v>
      </c>
      <c r="N693" s="12"/>
      <c r="O693" s="12"/>
      <c r="P693" s="12"/>
      <c r="Q693" s="16">
        <v>0</v>
      </c>
      <c r="R693" s="16">
        <v>1</v>
      </c>
      <c r="S693" s="16"/>
      <c r="T693" s="16" t="e">
        <v>#N/A</v>
      </c>
      <c r="U693" s="16" t="e">
        <v>#N/A</v>
      </c>
    </row>
    <row r="694" spans="1:21" x14ac:dyDescent="0.25">
      <c r="A694" s="12" t="s">
        <v>21</v>
      </c>
      <c r="B694" s="12" t="s">
        <v>685</v>
      </c>
      <c r="C694" s="12" t="s">
        <v>23</v>
      </c>
      <c r="D694" s="15">
        <v>46253.380104166667</v>
      </c>
      <c r="E694" s="12" t="s">
        <v>686</v>
      </c>
      <c r="F694" s="12" t="s">
        <v>262</v>
      </c>
      <c r="G694" s="12">
        <v>2000</v>
      </c>
      <c r="H694" s="12">
        <v>1600</v>
      </c>
      <c r="I694" s="14"/>
      <c r="J694" s="14" t="s">
        <v>26</v>
      </c>
      <c r="K694" s="12" t="s">
        <v>27</v>
      </c>
      <c r="L694" s="15"/>
      <c r="M694" s="12" t="s">
        <v>28</v>
      </c>
      <c r="N694" s="12"/>
      <c r="O694" s="12"/>
      <c r="P694" s="12"/>
      <c r="Q694" s="16">
        <v>0</v>
      </c>
      <c r="R694" s="16">
        <v>0</v>
      </c>
      <c r="S694" s="16"/>
      <c r="T694" s="16" t="e">
        <v>#N/A</v>
      </c>
      <c r="U694" s="16" t="e">
        <v>#N/A</v>
      </c>
    </row>
    <row r="695" spans="1:21" x14ac:dyDescent="0.25">
      <c r="A695" s="12" t="s">
        <v>21</v>
      </c>
      <c r="B695" s="12" t="s">
        <v>687</v>
      </c>
      <c r="C695" s="12" t="s">
        <v>23</v>
      </c>
      <c r="D695" s="15">
        <v>46253.521597222221</v>
      </c>
      <c r="E695" s="12" t="s">
        <v>688</v>
      </c>
      <c r="F695" s="12" t="s">
        <v>617</v>
      </c>
      <c r="G695" s="12">
        <v>6</v>
      </c>
      <c r="H695" s="12">
        <v>6</v>
      </c>
      <c r="I695" s="14">
        <v>-4</v>
      </c>
      <c r="J695" s="14" t="s">
        <v>61</v>
      </c>
      <c r="K695" s="12" t="s">
        <v>27</v>
      </c>
      <c r="L695" s="15"/>
      <c r="M695" s="12" t="s">
        <v>28</v>
      </c>
      <c r="N695" s="12"/>
      <c r="O695" s="12"/>
      <c r="P695" s="12"/>
      <c r="Q695" s="16">
        <v>8</v>
      </c>
      <c r="R695" s="16">
        <v>0</v>
      </c>
      <c r="S695" s="16"/>
      <c r="T695" s="16" t="e">
        <v>#N/A</v>
      </c>
      <c r="U695" s="16" t="e">
        <v>#N/A</v>
      </c>
    </row>
    <row r="696" spans="1:21" x14ac:dyDescent="0.25">
      <c r="A696" s="12" t="s">
        <v>21</v>
      </c>
      <c r="B696" s="12" t="s">
        <v>687</v>
      </c>
      <c r="C696" s="12" t="s">
        <v>23</v>
      </c>
      <c r="D696" s="15">
        <v>46253.521597222221</v>
      </c>
      <c r="E696" s="12" t="s">
        <v>688</v>
      </c>
      <c r="F696" s="12" t="s">
        <v>525</v>
      </c>
      <c r="G696" s="12">
        <v>40</v>
      </c>
      <c r="H696" s="12">
        <v>40</v>
      </c>
      <c r="I696" s="14"/>
      <c r="J696" s="14" t="s">
        <v>61</v>
      </c>
      <c r="K696" s="12" t="s">
        <v>27</v>
      </c>
      <c r="L696" s="15"/>
      <c r="M696" s="12" t="s">
        <v>28</v>
      </c>
      <c r="N696" s="12"/>
      <c r="O696" s="12"/>
      <c r="P696" s="12"/>
      <c r="Q696" s="16">
        <v>12</v>
      </c>
      <c r="R696" s="16">
        <v>0</v>
      </c>
      <c r="S696" s="16"/>
      <c r="T696" s="16" t="e">
        <v>#N/A</v>
      </c>
      <c r="U696" s="16" t="e">
        <v>#N/A</v>
      </c>
    </row>
    <row r="697" spans="1:21" x14ac:dyDescent="0.25">
      <c r="A697" s="12" t="s">
        <v>21</v>
      </c>
      <c r="B697" s="12" t="s">
        <v>687</v>
      </c>
      <c r="C697" s="12" t="s">
        <v>23</v>
      </c>
      <c r="D697" s="15">
        <v>46253.521597222221</v>
      </c>
      <c r="E697" s="12" t="s">
        <v>688</v>
      </c>
      <c r="F697" s="12" t="s">
        <v>219</v>
      </c>
      <c r="G697" s="12">
        <v>150</v>
      </c>
      <c r="H697" s="12">
        <v>150</v>
      </c>
      <c r="I697" s="14">
        <v>-15</v>
      </c>
      <c r="J697" s="14" t="s">
        <v>26</v>
      </c>
      <c r="K697" s="12" t="s">
        <v>27</v>
      </c>
      <c r="L697" s="15"/>
      <c r="M697" s="12" t="s">
        <v>28</v>
      </c>
      <c r="N697" s="12"/>
      <c r="O697" s="12"/>
      <c r="P697" s="12"/>
      <c r="Q697" s="16">
        <v>0</v>
      </c>
      <c r="R697" s="16">
        <v>637</v>
      </c>
      <c r="S697" s="16">
        <v>135</v>
      </c>
      <c r="T697" s="16" t="e">
        <v>#N/A</v>
      </c>
      <c r="U697" s="16" t="e">
        <v>#N/A</v>
      </c>
    </row>
    <row r="698" spans="1:21" x14ac:dyDescent="0.25">
      <c r="A698" s="12" t="s">
        <v>21</v>
      </c>
      <c r="B698" s="12" t="s">
        <v>689</v>
      </c>
      <c r="C698" s="12" t="s">
        <v>23</v>
      </c>
      <c r="D698" s="15">
        <v>46253.609444444446</v>
      </c>
      <c r="E698" s="12" t="s">
        <v>627</v>
      </c>
      <c r="F698" s="12" t="s">
        <v>690</v>
      </c>
      <c r="G698" s="12">
        <v>20</v>
      </c>
      <c r="H698" s="12">
        <v>1</v>
      </c>
      <c r="I698" s="14"/>
      <c r="J698" s="14" t="s">
        <v>61</v>
      </c>
      <c r="K698" s="12" t="s">
        <v>27</v>
      </c>
      <c r="L698" s="15"/>
      <c r="M698" s="12" t="s">
        <v>28</v>
      </c>
      <c r="N698" s="12"/>
      <c r="O698" s="12"/>
      <c r="P698" s="12"/>
      <c r="Q698" s="16">
        <v>20</v>
      </c>
      <c r="R698" s="16">
        <v>0</v>
      </c>
      <c r="S698" s="16"/>
      <c r="T698" s="16" t="e">
        <v>#N/A</v>
      </c>
      <c r="U698" s="16" t="e">
        <v>#N/A</v>
      </c>
    </row>
    <row r="699" spans="1:21" x14ac:dyDescent="0.25">
      <c r="A699" s="12" t="s">
        <v>21</v>
      </c>
      <c r="B699" s="12" t="s">
        <v>691</v>
      </c>
      <c r="C699" s="12" t="s">
        <v>23</v>
      </c>
      <c r="D699" s="15">
        <v>46253.63385416667</v>
      </c>
      <c r="E699" s="12" t="s">
        <v>423</v>
      </c>
      <c r="F699" s="12" t="s">
        <v>535</v>
      </c>
      <c r="G699" s="12">
        <v>600</v>
      </c>
      <c r="H699" s="12">
        <v>240</v>
      </c>
      <c r="I699" s="14"/>
      <c r="J699" s="14" t="s">
        <v>26</v>
      </c>
      <c r="K699" s="12" t="s">
        <v>27</v>
      </c>
      <c r="L699" s="15"/>
      <c r="M699" s="12" t="s">
        <v>28</v>
      </c>
      <c r="N699" s="12"/>
      <c r="O699" s="12"/>
      <c r="P699" s="12"/>
      <c r="Q699" s="16">
        <v>0</v>
      </c>
      <c r="R699" s="16">
        <v>44</v>
      </c>
      <c r="S699" s="16"/>
      <c r="T699" s="16" t="e">
        <v>#N/A</v>
      </c>
      <c r="U699" s="16" t="e">
        <v>#N/A</v>
      </c>
    </row>
    <row r="700" spans="1:21" x14ac:dyDescent="0.25">
      <c r="A700" s="12" t="s">
        <v>21</v>
      </c>
      <c r="B700" s="12" t="s">
        <v>691</v>
      </c>
      <c r="C700" s="12" t="s">
        <v>23</v>
      </c>
      <c r="D700" s="15">
        <v>46253.63385416667</v>
      </c>
      <c r="E700" s="12" t="s">
        <v>423</v>
      </c>
      <c r="F700" s="12" t="s">
        <v>439</v>
      </c>
      <c r="G700" s="12">
        <v>600</v>
      </c>
      <c r="H700" s="12">
        <v>200</v>
      </c>
      <c r="I700" s="14"/>
      <c r="J700" s="14" t="s">
        <v>26</v>
      </c>
      <c r="K700" s="12" t="s">
        <v>27</v>
      </c>
      <c r="L700" s="15"/>
      <c r="M700" s="12" t="s">
        <v>28</v>
      </c>
      <c r="N700" s="12"/>
      <c r="O700" s="12"/>
      <c r="P700" s="12"/>
      <c r="Q700" s="16">
        <v>0</v>
      </c>
      <c r="R700" s="16">
        <v>0</v>
      </c>
      <c r="S700" s="16"/>
      <c r="T700" s="16" t="e">
        <v>#N/A</v>
      </c>
      <c r="U700" s="16" t="e">
        <v>#N/A</v>
      </c>
    </row>
    <row r="701" spans="1:21" x14ac:dyDescent="0.25">
      <c r="A701" s="12" t="s">
        <v>21</v>
      </c>
      <c r="B701" s="12" t="s">
        <v>692</v>
      </c>
      <c r="C701" s="12" t="s">
        <v>23</v>
      </c>
      <c r="D701" s="15">
        <v>46254.343506944446</v>
      </c>
      <c r="E701" s="12" t="s">
        <v>331</v>
      </c>
      <c r="F701" s="12" t="s">
        <v>130</v>
      </c>
      <c r="G701" s="12">
        <v>1000</v>
      </c>
      <c r="H701" s="12">
        <v>520</v>
      </c>
      <c r="I701" s="14">
        <v>-100</v>
      </c>
      <c r="J701" s="14" t="s">
        <v>26</v>
      </c>
      <c r="K701" s="12" t="s">
        <v>27</v>
      </c>
      <c r="L701" s="15"/>
      <c r="M701" s="12" t="s">
        <v>28</v>
      </c>
      <c r="N701" s="12"/>
      <c r="O701" s="12"/>
      <c r="P701" s="12"/>
      <c r="Q701" s="16">
        <v>0</v>
      </c>
      <c r="R701" s="16">
        <v>6</v>
      </c>
      <c r="S701" s="16"/>
      <c r="T701" s="16" t="e">
        <v>#N/A</v>
      </c>
      <c r="U701" s="16" t="e">
        <v>#N/A</v>
      </c>
    </row>
    <row r="702" spans="1:21" x14ac:dyDescent="0.25">
      <c r="A702" s="12" t="s">
        <v>21</v>
      </c>
      <c r="B702" s="12" t="s">
        <v>692</v>
      </c>
      <c r="C702" s="12" t="s">
        <v>23</v>
      </c>
      <c r="D702" s="15">
        <v>46254.343506944446</v>
      </c>
      <c r="E702" s="12" t="s">
        <v>331</v>
      </c>
      <c r="F702" s="12" t="s">
        <v>134</v>
      </c>
      <c r="G702" s="12">
        <v>150</v>
      </c>
      <c r="H702" s="12">
        <v>150</v>
      </c>
      <c r="I702" s="14"/>
      <c r="J702" s="14" t="s">
        <v>26</v>
      </c>
      <c r="K702" s="12" t="s">
        <v>27</v>
      </c>
      <c r="L702" s="15"/>
      <c r="M702" s="12" t="s">
        <v>28</v>
      </c>
      <c r="N702" s="12"/>
      <c r="O702" s="12"/>
      <c r="P702" s="12"/>
      <c r="Q702" s="16">
        <v>0</v>
      </c>
      <c r="R702" s="16">
        <v>6</v>
      </c>
      <c r="S702" s="16"/>
      <c r="T702" s="16" t="e">
        <v>#N/A</v>
      </c>
      <c r="U702" s="16" t="e">
        <v>#N/A</v>
      </c>
    </row>
    <row r="703" spans="1:21" x14ac:dyDescent="0.25">
      <c r="A703" s="12" t="s">
        <v>21</v>
      </c>
      <c r="B703" s="12" t="s">
        <v>693</v>
      </c>
      <c r="C703" s="12" t="s">
        <v>23</v>
      </c>
      <c r="D703" s="15">
        <v>46254.370798611111</v>
      </c>
      <c r="E703" s="12" t="s">
        <v>24</v>
      </c>
      <c r="F703" s="12" t="s">
        <v>694</v>
      </c>
      <c r="G703" s="12">
        <v>3</v>
      </c>
      <c r="H703" s="12">
        <v>3</v>
      </c>
      <c r="I703" s="14"/>
      <c r="J703" s="14" t="s">
        <v>61</v>
      </c>
      <c r="K703" s="12" t="s">
        <v>696</v>
      </c>
      <c r="L703" s="15">
        <v>1</v>
      </c>
      <c r="M703" s="12" t="s">
        <v>150</v>
      </c>
      <c r="N703" s="12">
        <v>3</v>
      </c>
      <c r="O703" s="12">
        <v>3</v>
      </c>
      <c r="P703" s="12">
        <v>0</v>
      </c>
      <c r="Q703" s="16">
        <v>3</v>
      </c>
      <c r="R703" s="16">
        <v>0</v>
      </c>
      <c r="S703" s="16"/>
      <c r="T703" s="16" t="e">
        <v>#N/A</v>
      </c>
      <c r="U703" s="16" t="e">
        <v>#N/A</v>
      </c>
    </row>
    <row r="704" spans="1:21" x14ac:dyDescent="0.25">
      <c r="A704" s="12" t="s">
        <v>21</v>
      </c>
      <c r="B704" s="12" t="s">
        <v>693</v>
      </c>
      <c r="C704" s="12" t="s">
        <v>23</v>
      </c>
      <c r="D704" s="15">
        <v>46254.370798611111</v>
      </c>
      <c r="E704" s="12" t="s">
        <v>24</v>
      </c>
      <c r="F704" s="12" t="s">
        <v>695</v>
      </c>
      <c r="G704" s="12">
        <v>2</v>
      </c>
      <c r="H704" s="12">
        <v>2</v>
      </c>
      <c r="I704" s="14"/>
      <c r="J704" s="14" t="s">
        <v>61</v>
      </c>
      <c r="K704" s="12" t="s">
        <v>697</v>
      </c>
      <c r="L704" s="15">
        <v>1</v>
      </c>
      <c r="M704" s="12" t="s">
        <v>150</v>
      </c>
      <c r="N704" s="12">
        <v>2</v>
      </c>
      <c r="O704" s="12">
        <v>2</v>
      </c>
      <c r="P704" s="12">
        <v>0</v>
      </c>
      <c r="Q704" s="16">
        <v>2</v>
      </c>
      <c r="R704" s="16">
        <v>0</v>
      </c>
      <c r="S704" s="16"/>
      <c r="T704" s="16" t="e">
        <v>#N/A</v>
      </c>
      <c r="U704" s="16" t="e">
        <v>#N/A</v>
      </c>
    </row>
    <row r="705" spans="1:21" x14ac:dyDescent="0.25">
      <c r="A705" s="12" t="s">
        <v>21</v>
      </c>
      <c r="B705" s="12" t="s">
        <v>698</v>
      </c>
      <c r="C705" s="12" t="s">
        <v>23</v>
      </c>
      <c r="D705" s="15">
        <v>46254.525277777779</v>
      </c>
      <c r="E705" s="12" t="s">
        <v>511</v>
      </c>
      <c r="F705" s="12" t="s">
        <v>699</v>
      </c>
      <c r="G705" s="12">
        <v>10</v>
      </c>
      <c r="H705" s="12">
        <v>10</v>
      </c>
      <c r="I705" s="14"/>
      <c r="J705" s="14" t="s">
        <v>61</v>
      </c>
      <c r="K705" s="12" t="s">
        <v>700</v>
      </c>
      <c r="L705" s="15">
        <v>1</v>
      </c>
      <c r="M705" s="12" t="s">
        <v>150</v>
      </c>
      <c r="N705" s="12">
        <v>10</v>
      </c>
      <c r="O705" s="12">
        <v>10</v>
      </c>
      <c r="P705" s="12">
        <v>0</v>
      </c>
      <c r="Q705" s="16">
        <v>10</v>
      </c>
      <c r="R705" s="16">
        <v>0</v>
      </c>
      <c r="S705" s="16"/>
      <c r="T705" s="16" t="e">
        <v>#N/A</v>
      </c>
      <c r="U705" s="16" t="e">
        <v>#N/A</v>
      </c>
    </row>
    <row r="706" spans="1:21" x14ac:dyDescent="0.25">
      <c r="A706" s="12" t="s">
        <v>21</v>
      </c>
      <c r="B706" s="12" t="s">
        <v>698</v>
      </c>
      <c r="C706" s="12" t="s">
        <v>23</v>
      </c>
      <c r="D706" s="15">
        <v>46254.525277777779</v>
      </c>
      <c r="E706" s="12" t="s">
        <v>511</v>
      </c>
      <c r="F706" s="12" t="s">
        <v>701</v>
      </c>
      <c r="G706" s="12">
        <v>20</v>
      </c>
      <c r="H706" s="12">
        <v>20</v>
      </c>
      <c r="I706" s="14"/>
      <c r="J706" s="14" t="s">
        <v>61</v>
      </c>
      <c r="K706" s="12" t="s">
        <v>702</v>
      </c>
      <c r="L706" s="15">
        <v>1</v>
      </c>
      <c r="M706" s="12" t="s">
        <v>150</v>
      </c>
      <c r="N706" s="12">
        <v>20</v>
      </c>
      <c r="O706" s="12">
        <v>20</v>
      </c>
      <c r="P706" s="12">
        <v>0</v>
      </c>
      <c r="Q706" s="16">
        <v>20</v>
      </c>
      <c r="R706" s="16">
        <v>0</v>
      </c>
      <c r="S706" s="16"/>
      <c r="T706" s="16" t="e">
        <v>#N/A</v>
      </c>
      <c r="U706" s="16" t="e">
        <v>#N/A</v>
      </c>
    </row>
    <row r="707" spans="1:21" x14ac:dyDescent="0.25">
      <c r="A707" s="12" t="s">
        <v>21</v>
      </c>
      <c r="B707" s="12" t="s">
        <v>698</v>
      </c>
      <c r="C707" s="12" t="s">
        <v>23</v>
      </c>
      <c r="D707" s="15">
        <v>46254.525277777779</v>
      </c>
      <c r="E707" s="12" t="s">
        <v>511</v>
      </c>
      <c r="F707" s="12" t="s">
        <v>71</v>
      </c>
      <c r="G707" s="12">
        <v>100</v>
      </c>
      <c r="H707" s="12">
        <v>50</v>
      </c>
      <c r="I707" s="14"/>
      <c r="J707" s="14" t="s">
        <v>26</v>
      </c>
      <c r="K707" s="12" t="s">
        <v>27</v>
      </c>
      <c r="L707" s="15"/>
      <c r="M707" s="12" t="s">
        <v>28</v>
      </c>
      <c r="N707" s="12"/>
      <c r="O707" s="12"/>
      <c r="P707" s="12"/>
      <c r="Q707" s="16">
        <v>0</v>
      </c>
      <c r="R707" s="16">
        <v>0</v>
      </c>
      <c r="S707" s="16">
        <v>20</v>
      </c>
      <c r="T707" s="16" t="e">
        <v>#N/A</v>
      </c>
      <c r="U707" s="16" t="e">
        <v>#N/A</v>
      </c>
    </row>
    <row r="708" spans="1:21" x14ac:dyDescent="0.25">
      <c r="A708" s="12" t="s">
        <v>21</v>
      </c>
      <c r="B708" s="12" t="s">
        <v>698</v>
      </c>
      <c r="C708" s="12" t="s">
        <v>23</v>
      </c>
      <c r="D708" s="15">
        <v>46254.525277777779</v>
      </c>
      <c r="E708" s="12" t="s">
        <v>511</v>
      </c>
      <c r="F708" s="12" t="s">
        <v>560</v>
      </c>
      <c r="G708" s="12">
        <v>10</v>
      </c>
      <c r="H708" s="12">
        <v>10</v>
      </c>
      <c r="I708" s="14"/>
      <c r="J708" s="14" t="s">
        <v>61</v>
      </c>
      <c r="K708" s="12" t="s">
        <v>704</v>
      </c>
      <c r="L708" s="15">
        <v>1</v>
      </c>
      <c r="M708" s="12" t="s">
        <v>150</v>
      </c>
      <c r="N708" s="12">
        <v>10</v>
      </c>
      <c r="O708" s="12">
        <v>10</v>
      </c>
      <c r="P708" s="12">
        <v>0</v>
      </c>
      <c r="Q708" s="16">
        <v>10</v>
      </c>
      <c r="R708" s="16">
        <v>0</v>
      </c>
      <c r="S708" s="16"/>
      <c r="T708" s="16" t="e">
        <v>#N/A</v>
      </c>
      <c r="U708" s="16" t="e">
        <v>#N/A</v>
      </c>
    </row>
    <row r="709" spans="1:21" x14ac:dyDescent="0.25">
      <c r="A709" s="12" t="s">
        <v>21</v>
      </c>
      <c r="B709" s="12" t="s">
        <v>698</v>
      </c>
      <c r="C709" s="12" t="s">
        <v>23</v>
      </c>
      <c r="D709" s="15">
        <v>46254.525277777779</v>
      </c>
      <c r="E709" s="12" t="s">
        <v>511</v>
      </c>
      <c r="F709" s="12" t="s">
        <v>703</v>
      </c>
      <c r="G709" s="12">
        <v>20</v>
      </c>
      <c r="H709" s="12">
        <v>20</v>
      </c>
      <c r="I709" s="14"/>
      <c r="J709" s="14" t="s">
        <v>61</v>
      </c>
      <c r="K709" s="12" t="s">
        <v>705</v>
      </c>
      <c r="L709" s="15">
        <v>1</v>
      </c>
      <c r="M709" s="12" t="s">
        <v>150</v>
      </c>
      <c r="N709" s="12">
        <v>20</v>
      </c>
      <c r="O709" s="12">
        <v>20</v>
      </c>
      <c r="P709" s="12">
        <v>0</v>
      </c>
      <c r="Q709" s="16">
        <v>20</v>
      </c>
      <c r="R709" s="16">
        <v>0</v>
      </c>
      <c r="S709" s="16"/>
      <c r="T709" s="16" t="e">
        <v>#N/A</v>
      </c>
      <c r="U709" s="16" t="e">
        <v>#N/A</v>
      </c>
    </row>
    <row r="710" spans="1:21" x14ac:dyDescent="0.25">
      <c r="A710" s="12" t="s">
        <v>21</v>
      </c>
      <c r="B710" s="12" t="s">
        <v>698</v>
      </c>
      <c r="C710" s="12" t="s">
        <v>23</v>
      </c>
      <c r="D710" s="15">
        <v>46254.525277777779</v>
      </c>
      <c r="E710" s="12" t="s">
        <v>511</v>
      </c>
      <c r="F710" s="12" t="s">
        <v>320</v>
      </c>
      <c r="G710" s="12">
        <v>70</v>
      </c>
      <c r="H710" s="12">
        <v>70</v>
      </c>
      <c r="I710" s="14"/>
      <c r="J710" s="14" t="s">
        <v>26</v>
      </c>
      <c r="K710" s="12" t="s">
        <v>27</v>
      </c>
      <c r="L710" s="15"/>
      <c r="M710" s="12" t="s">
        <v>28</v>
      </c>
      <c r="N710" s="12"/>
      <c r="O710" s="12"/>
      <c r="P710" s="12"/>
      <c r="Q710" s="16">
        <v>0</v>
      </c>
      <c r="R710" s="16">
        <v>1</v>
      </c>
      <c r="S710" s="16"/>
      <c r="T710" s="16" t="e">
        <v>#N/A</v>
      </c>
      <c r="U710" s="16" t="e">
        <v>#N/A</v>
      </c>
    </row>
    <row r="711" spans="1:21" x14ac:dyDescent="0.25">
      <c r="A711" s="12" t="s">
        <v>21</v>
      </c>
      <c r="B711" s="12" t="s">
        <v>706</v>
      </c>
      <c r="C711" s="12" t="s">
        <v>23</v>
      </c>
      <c r="D711" s="15">
        <v>46254.622511574074</v>
      </c>
      <c r="E711" s="12" t="s">
        <v>522</v>
      </c>
      <c r="F711" s="12" t="s">
        <v>442</v>
      </c>
      <c r="G711" s="12">
        <v>30</v>
      </c>
      <c r="H711" s="12">
        <v>30</v>
      </c>
      <c r="I711" s="14"/>
      <c r="J711" s="14" t="s">
        <v>61</v>
      </c>
      <c r="K711" s="12" t="s">
        <v>707</v>
      </c>
      <c r="L711" s="15">
        <v>1</v>
      </c>
      <c r="M711" s="12" t="s">
        <v>150</v>
      </c>
      <c r="N711" s="12">
        <v>30</v>
      </c>
      <c r="O711" s="12">
        <v>30</v>
      </c>
      <c r="P711" s="12">
        <v>0</v>
      </c>
      <c r="Q711" s="16">
        <v>60</v>
      </c>
      <c r="R711" s="16">
        <v>0</v>
      </c>
      <c r="S711" s="16"/>
      <c r="T711" s="16" t="e">
        <v>#N/A</v>
      </c>
      <c r="U711" s="16" t="e">
        <v>#N/A</v>
      </c>
    </row>
    <row r="712" spans="1:21" x14ac:dyDescent="0.25">
      <c r="A712" s="12" t="s">
        <v>21</v>
      </c>
      <c r="B712" s="12" t="s">
        <v>706</v>
      </c>
      <c r="C712" s="12" t="s">
        <v>23</v>
      </c>
      <c r="D712" s="15">
        <v>46254.622511574074</v>
      </c>
      <c r="E712" s="12" t="s">
        <v>522</v>
      </c>
      <c r="F712" s="12" t="s">
        <v>326</v>
      </c>
      <c r="G712" s="12">
        <v>40</v>
      </c>
      <c r="H712" s="12">
        <v>40</v>
      </c>
      <c r="I712" s="14"/>
      <c r="J712" s="14" t="s">
        <v>61</v>
      </c>
      <c r="K712" s="12" t="s">
        <v>708</v>
      </c>
      <c r="L712" s="15">
        <v>1</v>
      </c>
      <c r="M712" s="12" t="s">
        <v>150</v>
      </c>
      <c r="N712" s="12">
        <v>40</v>
      </c>
      <c r="O712" s="12">
        <v>40</v>
      </c>
      <c r="P712" s="12">
        <v>0</v>
      </c>
      <c r="Q712" s="16">
        <v>40</v>
      </c>
      <c r="R712" s="16">
        <v>0</v>
      </c>
      <c r="S712" s="16"/>
      <c r="T712" s="16" t="e">
        <v>#N/A</v>
      </c>
      <c r="U712" s="16" t="e">
        <v>#N/A</v>
      </c>
    </row>
    <row r="713" spans="1:21" x14ac:dyDescent="0.25">
      <c r="A713" s="12" t="s">
        <v>21</v>
      </c>
      <c r="B713" s="12" t="s">
        <v>709</v>
      </c>
      <c r="C713" s="12" t="s">
        <v>23</v>
      </c>
      <c r="D713" s="15">
        <v>46255.317893518521</v>
      </c>
      <c r="E713" s="12" t="s">
        <v>69</v>
      </c>
      <c r="F713" s="12" t="s">
        <v>710</v>
      </c>
      <c r="G713" s="12">
        <v>1</v>
      </c>
      <c r="H713" s="12">
        <v>1</v>
      </c>
      <c r="I713" s="14"/>
      <c r="J713" s="14" t="s">
        <v>26</v>
      </c>
      <c r="K713" s="12" t="s">
        <v>713</v>
      </c>
      <c r="L713" s="15">
        <v>1</v>
      </c>
      <c r="M713" s="12" t="s">
        <v>150</v>
      </c>
      <c r="N713" s="12">
        <v>1</v>
      </c>
      <c r="O713" s="12">
        <v>1</v>
      </c>
      <c r="P713" s="12">
        <v>0</v>
      </c>
      <c r="Q713" s="16">
        <v>0</v>
      </c>
      <c r="R713" s="16">
        <v>0</v>
      </c>
      <c r="S713" s="16"/>
      <c r="T713" s="16" t="e">
        <v>#N/A</v>
      </c>
      <c r="U713" s="16" t="e">
        <v>#N/A</v>
      </c>
    </row>
    <row r="714" spans="1:21" x14ac:dyDescent="0.25">
      <c r="A714" s="12" t="s">
        <v>21</v>
      </c>
      <c r="B714" s="12" t="s">
        <v>709</v>
      </c>
      <c r="C714" s="12" t="s">
        <v>23</v>
      </c>
      <c r="D714" s="15">
        <v>46255.317893518521</v>
      </c>
      <c r="E714" s="12" t="s">
        <v>69</v>
      </c>
      <c r="F714" s="12" t="s">
        <v>711</v>
      </c>
      <c r="G714" s="12">
        <v>1</v>
      </c>
      <c r="H714" s="12">
        <v>1</v>
      </c>
      <c r="I714" s="14"/>
      <c r="J714" s="14" t="s">
        <v>61</v>
      </c>
      <c r="K714" s="12" t="s">
        <v>714</v>
      </c>
      <c r="L714" s="15">
        <v>1</v>
      </c>
      <c r="M714" s="12" t="s">
        <v>150</v>
      </c>
      <c r="N714" s="12">
        <v>1</v>
      </c>
      <c r="O714" s="12">
        <v>1</v>
      </c>
      <c r="P714" s="12">
        <v>0</v>
      </c>
      <c r="Q714" s="16">
        <v>1</v>
      </c>
      <c r="R714" s="16">
        <v>0</v>
      </c>
      <c r="S714" s="16"/>
      <c r="T714" s="16" t="e">
        <v>#N/A</v>
      </c>
      <c r="U714" s="16" t="e">
        <v>#N/A</v>
      </c>
    </row>
    <row r="715" spans="1:21" x14ac:dyDescent="0.25">
      <c r="A715" s="12" t="s">
        <v>21</v>
      </c>
      <c r="B715" s="12" t="s">
        <v>709</v>
      </c>
      <c r="C715" s="12" t="s">
        <v>23</v>
      </c>
      <c r="D715" s="15">
        <v>46255.317893518521</v>
      </c>
      <c r="E715" s="12" t="s">
        <v>69</v>
      </c>
      <c r="F715" s="12" t="s">
        <v>712</v>
      </c>
      <c r="G715" s="12">
        <v>27</v>
      </c>
      <c r="H715" s="12">
        <v>27</v>
      </c>
      <c r="I715" s="14"/>
      <c r="J715" s="14" t="s">
        <v>61</v>
      </c>
      <c r="K715" s="12" t="s">
        <v>715</v>
      </c>
      <c r="L715" s="15">
        <v>1</v>
      </c>
      <c r="M715" s="12" t="s">
        <v>150</v>
      </c>
      <c r="N715" s="12">
        <v>27</v>
      </c>
      <c r="O715" s="12">
        <v>27</v>
      </c>
      <c r="P715" s="12">
        <v>0</v>
      </c>
      <c r="Q715" s="16">
        <v>27</v>
      </c>
      <c r="R715" s="16">
        <v>0</v>
      </c>
      <c r="S715" s="16"/>
      <c r="T715" s="16" t="e">
        <v>#N/A</v>
      </c>
      <c r="U715" s="16" t="e">
        <v>#N/A</v>
      </c>
    </row>
    <row r="716" spans="1:21" x14ac:dyDescent="0.25">
      <c r="A716" s="12" t="s">
        <v>21</v>
      </c>
      <c r="B716" s="12" t="s">
        <v>716</v>
      </c>
      <c r="C716" s="12" t="s">
        <v>23</v>
      </c>
      <c r="D716" s="15">
        <v>46255.331192129626</v>
      </c>
      <c r="E716" s="12" t="s">
        <v>717</v>
      </c>
      <c r="F716" s="12" t="s">
        <v>718</v>
      </c>
      <c r="G716" s="12">
        <v>1</v>
      </c>
      <c r="H716" s="12">
        <v>1</v>
      </c>
      <c r="I716" s="14"/>
      <c r="J716" s="14" t="s">
        <v>61</v>
      </c>
      <c r="K716" s="12" t="s">
        <v>720</v>
      </c>
      <c r="L716" s="15">
        <v>1</v>
      </c>
      <c r="M716" s="12" t="s">
        <v>150</v>
      </c>
      <c r="N716" s="12">
        <v>1</v>
      </c>
      <c r="O716" s="12">
        <v>1</v>
      </c>
      <c r="P716" s="12">
        <v>0</v>
      </c>
      <c r="Q716" s="16">
        <v>1</v>
      </c>
      <c r="R716" s="16">
        <v>0</v>
      </c>
      <c r="S716" s="16"/>
      <c r="T716" s="16" t="e">
        <v>#N/A</v>
      </c>
      <c r="U716" s="16" t="e">
        <v>#N/A</v>
      </c>
    </row>
    <row r="717" spans="1:21" x14ac:dyDescent="0.25">
      <c r="A717" s="12" t="s">
        <v>21</v>
      </c>
      <c r="B717" s="12" t="s">
        <v>716</v>
      </c>
      <c r="C717" s="12" t="s">
        <v>23</v>
      </c>
      <c r="D717" s="15">
        <v>46255.331192129626</v>
      </c>
      <c r="E717" s="12" t="s">
        <v>717</v>
      </c>
      <c r="F717" s="12" t="s">
        <v>719</v>
      </c>
      <c r="G717" s="12">
        <v>1</v>
      </c>
      <c r="H717" s="12">
        <v>1</v>
      </c>
      <c r="I717" s="14"/>
      <c r="J717" s="14" t="s">
        <v>61</v>
      </c>
      <c r="K717" s="12" t="s">
        <v>721</v>
      </c>
      <c r="L717" s="15">
        <v>1</v>
      </c>
      <c r="M717" s="12" t="s">
        <v>150</v>
      </c>
      <c r="N717" s="12">
        <v>1</v>
      </c>
      <c r="O717" s="12">
        <v>1</v>
      </c>
      <c r="P717" s="12">
        <v>0</v>
      </c>
      <c r="Q717" s="16">
        <v>1</v>
      </c>
      <c r="R717" s="16">
        <v>0</v>
      </c>
      <c r="S717" s="16"/>
      <c r="T717" s="16" t="e">
        <v>#N/A</v>
      </c>
      <c r="U717" s="16" t="e">
        <v>#N/A</v>
      </c>
    </row>
    <row r="718" spans="1:21" x14ac:dyDescent="0.25">
      <c r="A718" s="12" t="s">
        <v>21</v>
      </c>
      <c r="B718" s="12" t="s">
        <v>722</v>
      </c>
      <c r="C718" s="12" t="s">
        <v>23</v>
      </c>
      <c r="D718" s="15">
        <v>46255.341967592591</v>
      </c>
      <c r="E718" s="12" t="s">
        <v>522</v>
      </c>
      <c r="F718" s="12" t="s">
        <v>134</v>
      </c>
      <c r="G718" s="12">
        <v>50</v>
      </c>
      <c r="H718" s="12">
        <v>40</v>
      </c>
      <c r="I718" s="14"/>
      <c r="J718" s="14" t="s">
        <v>26</v>
      </c>
      <c r="K718" s="12" t="s">
        <v>27</v>
      </c>
      <c r="L718" s="15"/>
      <c r="M718" s="12" t="s">
        <v>28</v>
      </c>
      <c r="N718" s="12"/>
      <c r="O718" s="12"/>
      <c r="P718" s="12"/>
      <c r="Q718" s="16">
        <v>0</v>
      </c>
      <c r="R718" s="16">
        <v>6</v>
      </c>
      <c r="S718" s="16"/>
      <c r="T718" s="16" t="e">
        <v>#N/A</v>
      </c>
      <c r="U718" s="16" t="e">
        <v>#N/A</v>
      </c>
    </row>
    <row r="719" spans="1:21" x14ac:dyDescent="0.25">
      <c r="A719" s="12" t="s">
        <v>21</v>
      </c>
      <c r="B719" s="12" t="s">
        <v>722</v>
      </c>
      <c r="C719" s="12" t="s">
        <v>23</v>
      </c>
      <c r="D719" s="15">
        <v>46255.341967592591</v>
      </c>
      <c r="E719" s="12" t="s">
        <v>522</v>
      </c>
      <c r="F719" s="12" t="s">
        <v>371</v>
      </c>
      <c r="G719" s="12">
        <v>200</v>
      </c>
      <c r="H719" s="12">
        <v>200</v>
      </c>
      <c r="I719" s="14"/>
      <c r="J719" s="14" t="s">
        <v>26</v>
      </c>
      <c r="K719" s="12" t="s">
        <v>27</v>
      </c>
      <c r="L719" s="15"/>
      <c r="M719" s="12" t="s">
        <v>28</v>
      </c>
      <c r="N719" s="12"/>
      <c r="O719" s="12"/>
      <c r="P719" s="12"/>
      <c r="Q719" s="16">
        <v>0</v>
      </c>
      <c r="R719" s="16">
        <v>1</v>
      </c>
      <c r="S719" s="16"/>
      <c r="T719" s="16" t="e">
        <v>#N/A</v>
      </c>
      <c r="U719" s="16" t="e">
        <v>#N/A</v>
      </c>
    </row>
    <row r="720" spans="1:21" x14ac:dyDescent="0.25">
      <c r="A720" s="12" t="s">
        <v>21</v>
      </c>
      <c r="B720" s="12" t="s">
        <v>723</v>
      </c>
      <c r="C720" s="12" t="s">
        <v>23</v>
      </c>
      <c r="D720" s="15">
        <v>46255.559039351851</v>
      </c>
      <c r="E720" s="12" t="s">
        <v>345</v>
      </c>
      <c r="F720" s="12" t="s">
        <v>320</v>
      </c>
      <c r="G720" s="12">
        <v>20</v>
      </c>
      <c r="H720" s="12">
        <v>20</v>
      </c>
      <c r="I720" s="14"/>
      <c r="J720" s="14" t="s">
        <v>26</v>
      </c>
      <c r="K720" s="12" t="s">
        <v>27</v>
      </c>
      <c r="L720" s="15"/>
      <c r="M720" s="12" t="s">
        <v>28</v>
      </c>
      <c r="N720" s="12"/>
      <c r="O720" s="12"/>
      <c r="P720" s="12"/>
      <c r="Q720" s="16">
        <v>0</v>
      </c>
      <c r="R720" s="16">
        <v>1</v>
      </c>
      <c r="S720" s="16"/>
      <c r="T720" s="16" t="e">
        <v>#N/A</v>
      </c>
      <c r="U720" s="16" t="e">
        <v>#N/A</v>
      </c>
    </row>
    <row r="721" spans="1:21" x14ac:dyDescent="0.25">
      <c r="A721" s="12" t="s">
        <v>21</v>
      </c>
      <c r="B721" s="12" t="s">
        <v>723</v>
      </c>
      <c r="C721" s="12" t="s">
        <v>23</v>
      </c>
      <c r="D721" s="15">
        <v>46255.559039351851</v>
      </c>
      <c r="E721" s="12" t="s">
        <v>345</v>
      </c>
      <c r="F721" s="12" t="s">
        <v>134</v>
      </c>
      <c r="G721" s="12">
        <v>50</v>
      </c>
      <c r="H721" s="12">
        <v>50</v>
      </c>
      <c r="I721" s="14"/>
      <c r="J721" s="14" t="s">
        <v>26</v>
      </c>
      <c r="K721" s="12" t="s">
        <v>27</v>
      </c>
      <c r="L721" s="15"/>
      <c r="M721" s="12" t="s">
        <v>28</v>
      </c>
      <c r="N721" s="12"/>
      <c r="O721" s="12"/>
      <c r="P721" s="12"/>
      <c r="Q721" s="16">
        <v>0</v>
      </c>
      <c r="R721" s="16">
        <v>6</v>
      </c>
      <c r="S721" s="16"/>
      <c r="T721" s="16" t="e">
        <v>#N/A</v>
      </c>
      <c r="U721" s="16" t="e">
        <v>#N/A</v>
      </c>
    </row>
    <row r="722" spans="1:21" x14ac:dyDescent="0.25">
      <c r="A722" s="12" t="s">
        <v>21</v>
      </c>
      <c r="B722" s="12" t="s">
        <v>723</v>
      </c>
      <c r="C722" s="12" t="s">
        <v>23</v>
      </c>
      <c r="D722" s="15">
        <v>46255.559039351851</v>
      </c>
      <c r="E722" s="12" t="s">
        <v>345</v>
      </c>
      <c r="F722" s="12" t="s">
        <v>371</v>
      </c>
      <c r="G722" s="12">
        <v>200</v>
      </c>
      <c r="H722" s="12">
        <v>200</v>
      </c>
      <c r="I722" s="14"/>
      <c r="J722" s="14" t="s">
        <v>26</v>
      </c>
      <c r="K722" s="12" t="s">
        <v>27</v>
      </c>
      <c r="L722" s="15"/>
      <c r="M722" s="12" t="s">
        <v>28</v>
      </c>
      <c r="N722" s="12"/>
      <c r="O722" s="12"/>
      <c r="P722" s="12"/>
      <c r="Q722" s="16">
        <v>0</v>
      </c>
      <c r="R722" s="16">
        <v>1</v>
      </c>
      <c r="S722" s="16">
        <v>50</v>
      </c>
      <c r="T722" s="16" t="e">
        <v>#N/A</v>
      </c>
      <c r="U722" s="16" t="e">
        <v>#N/A</v>
      </c>
    </row>
    <row r="723" spans="1:21" x14ac:dyDescent="0.25">
      <c r="A723" s="12" t="s">
        <v>21</v>
      </c>
      <c r="B723" s="12" t="s">
        <v>724</v>
      </c>
      <c r="C723" s="12" t="s">
        <v>23</v>
      </c>
      <c r="D723" s="15">
        <v>46255.604097222225</v>
      </c>
      <c r="E723" s="12" t="s">
        <v>156</v>
      </c>
      <c r="F723" s="12" t="s">
        <v>725</v>
      </c>
      <c r="G723" s="12">
        <v>2</v>
      </c>
      <c r="H723" s="12">
        <v>2</v>
      </c>
      <c r="I723" s="14"/>
      <c r="J723" s="14" t="s">
        <v>61</v>
      </c>
      <c r="K723" s="12" t="s">
        <v>727</v>
      </c>
      <c r="L723" s="15">
        <v>1</v>
      </c>
      <c r="M723" s="12" t="s">
        <v>150</v>
      </c>
      <c r="N723" s="12">
        <v>2</v>
      </c>
      <c r="O723" s="12">
        <v>2</v>
      </c>
      <c r="P723" s="12">
        <v>0</v>
      </c>
      <c r="Q723" s="16">
        <v>2</v>
      </c>
      <c r="R723" s="16">
        <v>1</v>
      </c>
      <c r="S723" s="16"/>
      <c r="T723" s="16" t="e">
        <v>#N/A</v>
      </c>
      <c r="U723" s="16" t="e">
        <v>#N/A</v>
      </c>
    </row>
    <row r="724" spans="1:21" x14ac:dyDescent="0.25">
      <c r="A724" s="12" t="s">
        <v>21</v>
      </c>
      <c r="B724" s="12" t="s">
        <v>724</v>
      </c>
      <c r="C724" s="12" t="s">
        <v>23</v>
      </c>
      <c r="D724" s="15">
        <v>46255.604097222225</v>
      </c>
      <c r="E724" s="12" t="s">
        <v>156</v>
      </c>
      <c r="F724" s="12" t="s">
        <v>726</v>
      </c>
      <c r="G724" s="12">
        <v>10</v>
      </c>
      <c r="H724" s="12">
        <v>10</v>
      </c>
      <c r="I724" s="14"/>
      <c r="J724" s="14" t="s">
        <v>61</v>
      </c>
      <c r="K724" s="12" t="s">
        <v>728</v>
      </c>
      <c r="L724" s="15">
        <v>1</v>
      </c>
      <c r="M724" s="12" t="s">
        <v>150</v>
      </c>
      <c r="N724" s="12">
        <v>10</v>
      </c>
      <c r="O724" s="12">
        <v>10</v>
      </c>
      <c r="P724" s="12">
        <v>0</v>
      </c>
      <c r="Q724" s="16">
        <v>10</v>
      </c>
      <c r="R724" s="16">
        <v>6</v>
      </c>
      <c r="S724" s="16"/>
      <c r="T724" s="16" t="e">
        <v>#N/A</v>
      </c>
      <c r="U724" s="16" t="e">
        <v>#N/A</v>
      </c>
    </row>
    <row r="725" spans="1:21" x14ac:dyDescent="0.25">
      <c r="A725" s="12" t="s">
        <v>21</v>
      </c>
      <c r="B725" s="12" t="s">
        <v>724</v>
      </c>
      <c r="C725" s="12" t="s">
        <v>23</v>
      </c>
      <c r="D725" s="15">
        <v>46255.604097222225</v>
      </c>
      <c r="E725" s="12" t="s">
        <v>156</v>
      </c>
      <c r="F725" s="12" t="s">
        <v>320</v>
      </c>
      <c r="G725" s="12">
        <v>12</v>
      </c>
      <c r="H725" s="12">
        <v>12</v>
      </c>
      <c r="I725" s="14"/>
      <c r="J725" s="14" t="s">
        <v>26</v>
      </c>
      <c r="K725" s="12" t="s">
        <v>27</v>
      </c>
      <c r="L725" s="15"/>
      <c r="M725" s="12" t="s">
        <v>28</v>
      </c>
      <c r="N725" s="12"/>
      <c r="O725" s="12"/>
      <c r="P725" s="12"/>
      <c r="Q725" s="16">
        <v>0</v>
      </c>
      <c r="R725" s="16">
        <v>1</v>
      </c>
      <c r="S725" s="16"/>
      <c r="T725" s="16" t="e">
        <v>#N/A</v>
      </c>
      <c r="U725" s="16" t="e">
        <v>#N/A</v>
      </c>
    </row>
    <row r="726" spans="1:21" x14ac:dyDescent="0.25">
      <c r="A726" s="12" t="s">
        <v>21</v>
      </c>
      <c r="B726" s="12" t="s">
        <v>724</v>
      </c>
      <c r="C726" s="12" t="s">
        <v>23</v>
      </c>
      <c r="D726" s="15">
        <v>46255.604097222225</v>
      </c>
      <c r="E726" s="12" t="s">
        <v>156</v>
      </c>
      <c r="F726" s="12" t="s">
        <v>262</v>
      </c>
      <c r="G726" s="12">
        <v>80</v>
      </c>
      <c r="H726" s="12">
        <v>80</v>
      </c>
      <c r="I726" s="14"/>
      <c r="J726" s="14" t="s">
        <v>26</v>
      </c>
      <c r="K726" s="12" t="s">
        <v>27</v>
      </c>
      <c r="L726" s="15"/>
      <c r="M726" s="12" t="s">
        <v>28</v>
      </c>
      <c r="N726" s="12"/>
      <c r="O726" s="12"/>
      <c r="P726" s="12"/>
      <c r="Q726" s="16">
        <v>0</v>
      </c>
      <c r="R726" s="16">
        <v>0</v>
      </c>
      <c r="S726" s="16"/>
      <c r="T726" s="16" t="e">
        <v>#N/A</v>
      </c>
      <c r="U726" s="16" t="e">
        <v>#N/A</v>
      </c>
    </row>
    <row r="727" spans="1:21" x14ac:dyDescent="0.25">
      <c r="A727" s="12" t="s">
        <v>21</v>
      </c>
      <c r="B727" s="12" t="s">
        <v>729</v>
      </c>
      <c r="C727" s="12" t="s">
        <v>23</v>
      </c>
      <c r="D727" s="15">
        <v>46256.312662037039</v>
      </c>
      <c r="E727" s="12" t="s">
        <v>730</v>
      </c>
      <c r="F727" s="12" t="s">
        <v>267</v>
      </c>
      <c r="G727" s="12">
        <v>1</v>
      </c>
      <c r="H727" s="12">
        <v>1</v>
      </c>
      <c r="I727" s="14"/>
      <c r="J727" s="14" t="s">
        <v>61</v>
      </c>
      <c r="K727" s="12" t="s">
        <v>27</v>
      </c>
      <c r="L727" s="15"/>
      <c r="M727" s="12" t="s">
        <v>28</v>
      </c>
      <c r="N727" s="12"/>
      <c r="O727" s="12"/>
      <c r="P727" s="12"/>
      <c r="Q727" s="16">
        <v>1</v>
      </c>
      <c r="R727" s="16">
        <v>0</v>
      </c>
      <c r="S727" s="16"/>
      <c r="T727" s="16" t="e">
        <v>#N/A</v>
      </c>
      <c r="U727" s="16" t="e">
        <v>#N/A</v>
      </c>
    </row>
    <row r="728" spans="1:21" x14ac:dyDescent="0.25">
      <c r="A728" s="12" t="s">
        <v>21</v>
      </c>
      <c r="B728" s="12" t="s">
        <v>729</v>
      </c>
      <c r="C728" s="12" t="s">
        <v>23</v>
      </c>
      <c r="D728" s="15">
        <v>46256.312662037039</v>
      </c>
      <c r="E728" s="12" t="s">
        <v>730</v>
      </c>
      <c r="F728" s="12" t="s">
        <v>699</v>
      </c>
      <c r="G728" s="12">
        <v>4</v>
      </c>
      <c r="H728" s="12">
        <v>4</v>
      </c>
      <c r="I728" s="14"/>
      <c r="J728" s="14" t="s">
        <v>61</v>
      </c>
      <c r="K728" s="12" t="s">
        <v>27</v>
      </c>
      <c r="L728" s="15"/>
      <c r="M728" s="12" t="s">
        <v>28</v>
      </c>
      <c r="N728" s="12"/>
      <c r="O728" s="12"/>
      <c r="P728" s="12"/>
      <c r="Q728" s="16">
        <v>4</v>
      </c>
      <c r="R728" s="16">
        <v>0</v>
      </c>
      <c r="S728" s="16"/>
      <c r="T728" s="16" t="e">
        <v>#N/A</v>
      </c>
      <c r="U728" s="16" t="e">
        <v>#N/A</v>
      </c>
    </row>
    <row r="729" spans="1:21" x14ac:dyDescent="0.25">
      <c r="A729" s="12" t="s">
        <v>21</v>
      </c>
      <c r="B729" s="12" t="s">
        <v>729</v>
      </c>
      <c r="C729" s="12" t="s">
        <v>23</v>
      </c>
      <c r="D729" s="15">
        <v>46256.312662037039</v>
      </c>
      <c r="E729" s="12" t="s">
        <v>730</v>
      </c>
      <c r="F729" s="12" t="s">
        <v>560</v>
      </c>
      <c r="G729" s="12">
        <v>16</v>
      </c>
      <c r="H729" s="12">
        <v>16</v>
      </c>
      <c r="I729" s="14"/>
      <c r="J729" s="14" t="s">
        <v>61</v>
      </c>
      <c r="K729" s="12" t="s">
        <v>27</v>
      </c>
      <c r="L729" s="15"/>
      <c r="M729" s="12" t="s">
        <v>28</v>
      </c>
      <c r="N729" s="12"/>
      <c r="O729" s="12"/>
      <c r="P729" s="12"/>
      <c r="Q729" s="16">
        <v>16</v>
      </c>
      <c r="R729" s="16">
        <v>0</v>
      </c>
      <c r="S729" s="16"/>
      <c r="T729" s="16" t="e">
        <v>#N/A</v>
      </c>
      <c r="U729" s="16" t="e">
        <v>#N/A</v>
      </c>
    </row>
    <row r="730" spans="1:21" x14ac:dyDescent="0.25">
      <c r="A730" s="12" t="s">
        <v>21</v>
      </c>
      <c r="B730" s="12" t="s">
        <v>729</v>
      </c>
      <c r="C730" s="12" t="s">
        <v>23</v>
      </c>
      <c r="D730" s="15">
        <v>46256.312662037039</v>
      </c>
      <c r="E730" s="12" t="s">
        <v>730</v>
      </c>
      <c r="F730" s="12" t="s">
        <v>582</v>
      </c>
      <c r="G730" s="12">
        <v>25</v>
      </c>
      <c r="H730" s="12">
        <v>25</v>
      </c>
      <c r="I730" s="14"/>
      <c r="J730" s="14" t="s">
        <v>26</v>
      </c>
      <c r="K730" s="12" t="s">
        <v>27</v>
      </c>
      <c r="L730" s="15"/>
      <c r="M730" s="12" t="s">
        <v>28</v>
      </c>
      <c r="N730" s="12"/>
      <c r="O730" s="12"/>
      <c r="P730" s="12"/>
      <c r="Q730" s="16">
        <v>0</v>
      </c>
      <c r="R730" s="16">
        <v>0</v>
      </c>
      <c r="S730" s="16"/>
      <c r="T730" s="16" t="e">
        <v>#N/A</v>
      </c>
      <c r="U730" s="16" t="e">
        <v>#N/A</v>
      </c>
    </row>
    <row r="731" spans="1:21" x14ac:dyDescent="0.25">
      <c r="A731" s="12" t="s">
        <v>21</v>
      </c>
      <c r="B731" s="12" t="s">
        <v>729</v>
      </c>
      <c r="C731" s="12" t="s">
        <v>23</v>
      </c>
      <c r="D731" s="15">
        <v>46256.312662037039</v>
      </c>
      <c r="E731" s="12" t="s">
        <v>730</v>
      </c>
      <c r="F731" s="12" t="s">
        <v>731</v>
      </c>
      <c r="G731" s="12">
        <v>4</v>
      </c>
      <c r="H731" s="12">
        <v>4</v>
      </c>
      <c r="I731" s="14"/>
      <c r="J731" s="14" t="s">
        <v>61</v>
      </c>
      <c r="K731" s="12" t="s">
        <v>27</v>
      </c>
      <c r="L731" s="15"/>
      <c r="M731" s="12" t="s">
        <v>28</v>
      </c>
      <c r="N731" s="12"/>
      <c r="O731" s="12"/>
      <c r="P731" s="12"/>
      <c r="Q731" s="16">
        <v>4</v>
      </c>
      <c r="R731" s="16">
        <v>0</v>
      </c>
      <c r="S731" s="16"/>
      <c r="T731" s="16" t="e">
        <v>#N/A</v>
      </c>
      <c r="U731" s="16" t="e">
        <v>#N/A</v>
      </c>
    </row>
    <row r="732" spans="1:21" x14ac:dyDescent="0.25">
      <c r="A732" s="12" t="s">
        <v>21</v>
      </c>
      <c r="B732" s="12" t="s">
        <v>729</v>
      </c>
      <c r="C732" s="12" t="s">
        <v>23</v>
      </c>
      <c r="D732" s="15">
        <v>46256.312662037039</v>
      </c>
      <c r="E732" s="12" t="s">
        <v>730</v>
      </c>
      <c r="F732" s="12" t="s">
        <v>252</v>
      </c>
      <c r="G732" s="12">
        <v>32</v>
      </c>
      <c r="H732" s="12">
        <v>32</v>
      </c>
      <c r="I732" s="14"/>
      <c r="J732" s="14" t="s">
        <v>26</v>
      </c>
      <c r="K732" s="12" t="s">
        <v>27</v>
      </c>
      <c r="L732" s="15"/>
      <c r="M732" s="12" t="s">
        <v>28</v>
      </c>
      <c r="N732" s="12"/>
      <c r="O732" s="12"/>
      <c r="P732" s="12"/>
      <c r="Q732" s="16">
        <v>0</v>
      </c>
      <c r="R732" s="16">
        <v>0</v>
      </c>
      <c r="S732" s="16"/>
      <c r="T732" s="16" t="e">
        <v>#N/A</v>
      </c>
      <c r="U732" s="16" t="e">
        <v>#N/A</v>
      </c>
    </row>
    <row r="733" spans="1:21" x14ac:dyDescent="0.25">
      <c r="A733" s="12" t="s">
        <v>21</v>
      </c>
      <c r="B733" s="12" t="s">
        <v>729</v>
      </c>
      <c r="C733" s="12" t="s">
        <v>23</v>
      </c>
      <c r="D733" s="15">
        <v>46256.312662037039</v>
      </c>
      <c r="E733" s="12" t="s">
        <v>730</v>
      </c>
      <c r="F733" s="12" t="s">
        <v>572</v>
      </c>
      <c r="G733" s="12">
        <v>40</v>
      </c>
      <c r="H733" s="12">
        <v>40</v>
      </c>
      <c r="I733" s="14"/>
      <c r="J733" s="14" t="s">
        <v>61</v>
      </c>
      <c r="K733" s="12" t="s">
        <v>27</v>
      </c>
      <c r="L733" s="15"/>
      <c r="M733" s="12" t="s">
        <v>28</v>
      </c>
      <c r="N733" s="12"/>
      <c r="O733" s="12"/>
      <c r="P733" s="12"/>
      <c r="Q733" s="16">
        <v>40</v>
      </c>
      <c r="R733" s="16">
        <v>10</v>
      </c>
      <c r="S733" s="16"/>
      <c r="T733" s="16" t="e">
        <v>#N/A</v>
      </c>
      <c r="U733" s="16" t="e">
        <v>#N/A</v>
      </c>
    </row>
    <row r="734" spans="1:21" x14ac:dyDescent="0.25">
      <c r="A734" s="12" t="s">
        <v>21</v>
      </c>
      <c r="B734" s="12" t="s">
        <v>732</v>
      </c>
      <c r="C734" s="12" t="s">
        <v>23</v>
      </c>
      <c r="D734" s="15">
        <v>46256.374837962961</v>
      </c>
      <c r="E734" s="12" t="s">
        <v>258</v>
      </c>
      <c r="F734" s="12" t="s">
        <v>726</v>
      </c>
      <c r="G734" s="12">
        <v>4</v>
      </c>
      <c r="H734" s="12">
        <v>4</v>
      </c>
      <c r="I734" s="14"/>
      <c r="J734" s="14" t="s">
        <v>61</v>
      </c>
      <c r="K734" s="12" t="s">
        <v>737</v>
      </c>
      <c r="L734" s="15">
        <v>1</v>
      </c>
      <c r="M734" s="12" t="s">
        <v>150</v>
      </c>
      <c r="N734" s="12">
        <v>4</v>
      </c>
      <c r="O734" s="12">
        <v>4</v>
      </c>
      <c r="P734" s="12">
        <v>0</v>
      </c>
      <c r="Q734" s="16">
        <v>4</v>
      </c>
      <c r="R734" s="16">
        <v>6</v>
      </c>
      <c r="S734" s="16"/>
      <c r="T734" s="16" t="e">
        <v>#N/A</v>
      </c>
      <c r="U734" s="16" t="e">
        <v>#N/A</v>
      </c>
    </row>
    <row r="735" spans="1:21" x14ac:dyDescent="0.25">
      <c r="A735" s="12" t="s">
        <v>21</v>
      </c>
      <c r="B735" s="12" t="s">
        <v>732</v>
      </c>
      <c r="C735" s="12" t="s">
        <v>23</v>
      </c>
      <c r="D735" s="15">
        <v>46256.374837962961</v>
      </c>
      <c r="E735" s="12" t="s">
        <v>258</v>
      </c>
      <c r="F735" s="12" t="s">
        <v>699</v>
      </c>
      <c r="G735" s="12">
        <v>3</v>
      </c>
      <c r="H735" s="12">
        <v>3</v>
      </c>
      <c r="I735" s="14"/>
      <c r="J735" s="14" t="s">
        <v>61</v>
      </c>
      <c r="K735" s="12" t="s">
        <v>738</v>
      </c>
      <c r="L735" s="15">
        <v>1</v>
      </c>
      <c r="M735" s="12" t="s">
        <v>150</v>
      </c>
      <c r="N735" s="12">
        <v>3</v>
      </c>
      <c r="O735" s="12">
        <v>3</v>
      </c>
      <c r="P735" s="12">
        <v>0</v>
      </c>
      <c r="Q735" s="16">
        <v>3</v>
      </c>
      <c r="R735" s="16">
        <v>0</v>
      </c>
      <c r="S735" s="16"/>
      <c r="T735" s="16" t="e">
        <v>#N/A</v>
      </c>
      <c r="U735" s="16" t="e">
        <v>#N/A</v>
      </c>
    </row>
    <row r="736" spans="1:21" x14ac:dyDescent="0.25">
      <c r="A736" s="12" t="s">
        <v>21</v>
      </c>
      <c r="B736" s="12" t="s">
        <v>732</v>
      </c>
      <c r="C736" s="12" t="s">
        <v>23</v>
      </c>
      <c r="D736" s="15">
        <v>46256.374837962961</v>
      </c>
      <c r="E736" s="12" t="s">
        <v>258</v>
      </c>
      <c r="F736" s="12" t="s">
        <v>733</v>
      </c>
      <c r="G736" s="12">
        <v>3</v>
      </c>
      <c r="H736" s="12">
        <v>3</v>
      </c>
      <c r="I736" s="14"/>
      <c r="J736" s="14" t="s">
        <v>61</v>
      </c>
      <c r="K736" s="12" t="s">
        <v>739</v>
      </c>
      <c r="L736" s="15">
        <v>1</v>
      </c>
      <c r="M736" s="12" t="s">
        <v>150</v>
      </c>
      <c r="N736" s="12">
        <v>3</v>
      </c>
      <c r="O736" s="12">
        <v>3</v>
      </c>
      <c r="P736" s="12">
        <v>0</v>
      </c>
      <c r="Q736" s="16">
        <v>3</v>
      </c>
      <c r="R736" s="16">
        <v>2</v>
      </c>
      <c r="S736" s="16"/>
      <c r="T736" s="16" t="e">
        <v>#N/A</v>
      </c>
      <c r="U736" s="16" t="e">
        <v>#N/A</v>
      </c>
    </row>
    <row r="737" spans="1:21" x14ac:dyDescent="0.25">
      <c r="A737" s="12" t="s">
        <v>21</v>
      </c>
      <c r="B737" s="12" t="s">
        <v>732</v>
      </c>
      <c r="C737" s="12" t="s">
        <v>23</v>
      </c>
      <c r="D737" s="15">
        <v>46256.374837962961</v>
      </c>
      <c r="E737" s="12" t="s">
        <v>258</v>
      </c>
      <c r="F737" s="12" t="s">
        <v>734</v>
      </c>
      <c r="G737" s="12">
        <v>3</v>
      </c>
      <c r="H737" s="12">
        <v>3</v>
      </c>
      <c r="I737" s="14"/>
      <c r="J737" s="14" t="s">
        <v>61</v>
      </c>
      <c r="K737" s="12" t="s">
        <v>740</v>
      </c>
      <c r="L737" s="15">
        <v>1</v>
      </c>
      <c r="M737" s="12" t="s">
        <v>150</v>
      </c>
      <c r="N737" s="12">
        <v>3</v>
      </c>
      <c r="O737" s="12">
        <v>3</v>
      </c>
      <c r="P737" s="12">
        <v>0</v>
      </c>
      <c r="Q737" s="16">
        <v>3</v>
      </c>
      <c r="R737" s="16">
        <v>0</v>
      </c>
      <c r="S737" s="16"/>
      <c r="T737" s="16" t="e">
        <v>#N/A</v>
      </c>
      <c r="U737" s="16" t="e">
        <v>#N/A</v>
      </c>
    </row>
    <row r="738" spans="1:21" x14ac:dyDescent="0.25">
      <c r="A738" s="12" t="s">
        <v>21</v>
      </c>
      <c r="B738" s="12" t="s">
        <v>732</v>
      </c>
      <c r="C738" s="12" t="s">
        <v>23</v>
      </c>
      <c r="D738" s="15">
        <v>46256.374837962961</v>
      </c>
      <c r="E738" s="12" t="s">
        <v>258</v>
      </c>
      <c r="F738" s="12" t="s">
        <v>735</v>
      </c>
      <c r="G738" s="12">
        <v>1</v>
      </c>
      <c r="H738" s="12">
        <v>1</v>
      </c>
      <c r="I738" s="14"/>
      <c r="J738" s="14" t="s">
        <v>61</v>
      </c>
      <c r="K738" s="12" t="s">
        <v>741</v>
      </c>
      <c r="L738" s="15">
        <v>1</v>
      </c>
      <c r="M738" s="12" t="s">
        <v>150</v>
      </c>
      <c r="N738" s="12">
        <v>1</v>
      </c>
      <c r="O738" s="12">
        <v>1</v>
      </c>
      <c r="P738" s="12">
        <v>0</v>
      </c>
      <c r="Q738" s="16">
        <v>1</v>
      </c>
      <c r="R738" s="16">
        <v>0</v>
      </c>
      <c r="S738" s="16"/>
      <c r="T738" s="16" t="e">
        <v>#N/A</v>
      </c>
      <c r="U738" s="16" t="e">
        <v>#N/A</v>
      </c>
    </row>
    <row r="739" spans="1:21" x14ac:dyDescent="0.25">
      <c r="A739" s="12" t="s">
        <v>21</v>
      </c>
      <c r="B739" s="12" t="s">
        <v>732</v>
      </c>
      <c r="C739" s="12" t="s">
        <v>23</v>
      </c>
      <c r="D739" s="15">
        <v>46256.374837962961</v>
      </c>
      <c r="E739" s="12" t="s">
        <v>258</v>
      </c>
      <c r="F739" s="12" t="s">
        <v>736</v>
      </c>
      <c r="G739" s="12">
        <v>20</v>
      </c>
      <c r="H739" s="12">
        <v>20</v>
      </c>
      <c r="I739" s="14"/>
      <c r="J739" s="14" t="s">
        <v>61</v>
      </c>
      <c r="K739" s="12" t="s">
        <v>742</v>
      </c>
      <c r="L739" s="15">
        <v>1</v>
      </c>
      <c r="M739" s="12" t="s">
        <v>150</v>
      </c>
      <c r="N739" s="12">
        <v>20</v>
      </c>
      <c r="O739" s="12">
        <v>20</v>
      </c>
      <c r="P739" s="12">
        <v>0</v>
      </c>
      <c r="Q739" s="16">
        <v>20</v>
      </c>
      <c r="R739" s="16">
        <v>0</v>
      </c>
      <c r="S739" s="16"/>
      <c r="T739" s="16" t="e">
        <v>#N/A</v>
      </c>
      <c r="U739" s="16" t="e">
        <v>#N/A</v>
      </c>
    </row>
    <row r="740" spans="1:21" x14ac:dyDescent="0.25">
      <c r="A740" s="12" t="s">
        <v>21</v>
      </c>
      <c r="B740" s="12" t="s">
        <v>732</v>
      </c>
      <c r="C740" s="12" t="s">
        <v>23</v>
      </c>
      <c r="D740" s="15">
        <v>46256.374837962961</v>
      </c>
      <c r="E740" s="12" t="s">
        <v>258</v>
      </c>
      <c r="F740" s="12" t="s">
        <v>703</v>
      </c>
      <c r="G740" s="12">
        <v>9</v>
      </c>
      <c r="H740" s="12">
        <v>9</v>
      </c>
      <c r="I740" s="14"/>
      <c r="J740" s="14" t="s">
        <v>61</v>
      </c>
      <c r="K740" s="12" t="s">
        <v>743</v>
      </c>
      <c r="L740" s="15">
        <v>1</v>
      </c>
      <c r="M740" s="12" t="s">
        <v>150</v>
      </c>
      <c r="N740" s="12">
        <v>9</v>
      </c>
      <c r="O740" s="12">
        <v>9</v>
      </c>
      <c r="P740" s="12">
        <v>0</v>
      </c>
      <c r="Q740" s="16">
        <v>9</v>
      </c>
      <c r="R740" s="16">
        <v>0</v>
      </c>
      <c r="S740" s="16"/>
      <c r="T740" s="16" t="e">
        <v>#N/A</v>
      </c>
      <c r="U740" s="16" t="e">
        <v>#N/A</v>
      </c>
    </row>
    <row r="741" spans="1:21" x14ac:dyDescent="0.25">
      <c r="A741" s="12" t="s">
        <v>21</v>
      </c>
      <c r="B741" s="12" t="s">
        <v>744</v>
      </c>
      <c r="C741" s="12" t="s">
        <v>23</v>
      </c>
      <c r="D741" s="15">
        <v>46256.424629629626</v>
      </c>
      <c r="E741" s="12" t="s">
        <v>258</v>
      </c>
      <c r="F741" s="12" t="s">
        <v>105</v>
      </c>
      <c r="G741" s="12">
        <v>3</v>
      </c>
      <c r="H741" s="12">
        <v>3</v>
      </c>
      <c r="I741" s="14"/>
      <c r="J741" s="14" t="s">
        <v>61</v>
      </c>
      <c r="K741" s="12" t="s">
        <v>745</v>
      </c>
      <c r="L741" s="15">
        <v>1</v>
      </c>
      <c r="M741" s="12" t="s">
        <v>150</v>
      </c>
      <c r="N741" s="12">
        <v>3</v>
      </c>
      <c r="O741" s="12">
        <v>3</v>
      </c>
      <c r="P741" s="12">
        <v>0</v>
      </c>
      <c r="Q741" s="16">
        <v>3</v>
      </c>
      <c r="R741" s="16">
        <v>0</v>
      </c>
      <c r="S741" s="16"/>
      <c r="T741" s="16" t="e">
        <v>#N/A</v>
      </c>
      <c r="U741" s="16" t="e">
        <v>#N/A</v>
      </c>
    </row>
    <row r="742" spans="1:21" x14ac:dyDescent="0.25">
      <c r="A742" s="12" t="s">
        <v>21</v>
      </c>
      <c r="B742" s="12" t="s">
        <v>744</v>
      </c>
      <c r="C742" s="12" t="s">
        <v>23</v>
      </c>
      <c r="D742" s="15">
        <v>46256.424629629626</v>
      </c>
      <c r="E742" s="12" t="s">
        <v>258</v>
      </c>
      <c r="F742" s="12" t="s">
        <v>106</v>
      </c>
      <c r="G742" s="12">
        <v>17</v>
      </c>
      <c r="H742" s="12">
        <v>17</v>
      </c>
      <c r="I742" s="14"/>
      <c r="J742" s="14" t="s">
        <v>61</v>
      </c>
      <c r="K742" s="12" t="s">
        <v>746</v>
      </c>
      <c r="L742" s="15">
        <v>1</v>
      </c>
      <c r="M742" s="12" t="s">
        <v>150</v>
      </c>
      <c r="N742" s="12">
        <v>17</v>
      </c>
      <c r="O742" s="12">
        <v>17</v>
      </c>
      <c r="P742" s="12">
        <v>0</v>
      </c>
      <c r="Q742" s="16">
        <v>17</v>
      </c>
      <c r="R742" s="16">
        <v>0</v>
      </c>
      <c r="S742" s="16"/>
      <c r="T742" s="16" t="e">
        <v>#N/A</v>
      </c>
      <c r="U742" s="16" t="e">
        <v>#N/A</v>
      </c>
    </row>
    <row r="743" spans="1:21" x14ac:dyDescent="0.25">
      <c r="A743" s="12" t="s">
        <v>21</v>
      </c>
      <c r="B743" s="12" t="s">
        <v>744</v>
      </c>
      <c r="C743" s="12" t="s">
        <v>23</v>
      </c>
      <c r="D743" s="15">
        <v>46256.424629629626</v>
      </c>
      <c r="E743" s="12" t="s">
        <v>258</v>
      </c>
      <c r="F743" s="12" t="s">
        <v>107</v>
      </c>
      <c r="G743" s="12">
        <v>17</v>
      </c>
      <c r="H743" s="12">
        <v>17</v>
      </c>
      <c r="I743" s="14"/>
      <c r="J743" s="14" t="s">
        <v>61</v>
      </c>
      <c r="K743" s="12" t="s">
        <v>747</v>
      </c>
      <c r="L743" s="15">
        <v>1</v>
      </c>
      <c r="M743" s="12" t="s">
        <v>150</v>
      </c>
      <c r="N743" s="12">
        <v>17</v>
      </c>
      <c r="O743" s="12">
        <v>17</v>
      </c>
      <c r="P743" s="12">
        <v>0</v>
      </c>
      <c r="Q743" s="16">
        <v>17</v>
      </c>
      <c r="R743" s="16">
        <v>0</v>
      </c>
      <c r="S743" s="16"/>
      <c r="T743" s="16" t="e">
        <v>#N/A</v>
      </c>
      <c r="U743" s="16" t="e">
        <v>#N/A</v>
      </c>
    </row>
    <row r="744" spans="1:21" x14ac:dyDescent="0.25">
      <c r="A744" s="12" t="s">
        <v>21</v>
      </c>
      <c r="B744" s="12" t="s">
        <v>744</v>
      </c>
      <c r="C744" s="12" t="s">
        <v>23</v>
      </c>
      <c r="D744" s="15">
        <v>46256.424629629626</v>
      </c>
      <c r="E744" s="12" t="s">
        <v>258</v>
      </c>
      <c r="F744" s="12" t="s">
        <v>122</v>
      </c>
      <c r="G744" s="12">
        <v>10</v>
      </c>
      <c r="H744" s="12">
        <v>10</v>
      </c>
      <c r="I744" s="14"/>
      <c r="J744" s="14" t="s">
        <v>61</v>
      </c>
      <c r="K744" s="12" t="s">
        <v>748</v>
      </c>
      <c r="L744" s="15">
        <v>1</v>
      </c>
      <c r="M744" s="12" t="s">
        <v>150</v>
      </c>
      <c r="N744" s="12">
        <v>10</v>
      </c>
      <c r="O744" s="12">
        <v>10</v>
      </c>
      <c r="P744" s="12">
        <v>0</v>
      </c>
      <c r="Q744" s="16">
        <v>10</v>
      </c>
      <c r="R744" s="16">
        <v>0</v>
      </c>
      <c r="S744" s="16"/>
      <c r="T744" s="16" t="e">
        <v>#N/A</v>
      </c>
      <c r="U744" s="16" t="e">
        <v>#N/A</v>
      </c>
    </row>
    <row r="745" spans="1:21" x14ac:dyDescent="0.25">
      <c r="A745" s="12" t="s">
        <v>21</v>
      </c>
      <c r="B745" s="12" t="s">
        <v>744</v>
      </c>
      <c r="C745" s="12" t="s">
        <v>23</v>
      </c>
      <c r="D745" s="15">
        <v>46256.424629629626</v>
      </c>
      <c r="E745" s="12" t="s">
        <v>258</v>
      </c>
      <c r="F745" s="12" t="s">
        <v>123</v>
      </c>
      <c r="G745" s="12">
        <v>30</v>
      </c>
      <c r="H745" s="12">
        <v>30</v>
      </c>
      <c r="I745" s="14"/>
      <c r="J745" s="14" t="s">
        <v>61</v>
      </c>
      <c r="K745" s="12" t="s">
        <v>749</v>
      </c>
      <c r="L745" s="15">
        <v>1</v>
      </c>
      <c r="M745" s="12" t="s">
        <v>150</v>
      </c>
      <c r="N745" s="12">
        <v>30</v>
      </c>
      <c r="O745" s="12">
        <v>30</v>
      </c>
      <c r="P745" s="12">
        <v>0</v>
      </c>
      <c r="Q745" s="16">
        <v>30</v>
      </c>
      <c r="R745" s="16">
        <v>0</v>
      </c>
      <c r="S745" s="16"/>
      <c r="T745" s="16" t="e">
        <v>#N/A</v>
      </c>
      <c r="U745" s="16" t="e">
        <v>#N/A</v>
      </c>
    </row>
    <row r="746" spans="1:21" x14ac:dyDescent="0.25">
      <c r="A746" s="12" t="s">
        <v>21</v>
      </c>
      <c r="B746" s="12" t="s">
        <v>750</v>
      </c>
      <c r="C746" s="12" t="s">
        <v>23</v>
      </c>
      <c r="D746" s="15">
        <v>46256.457442129627</v>
      </c>
      <c r="E746" s="12" t="s">
        <v>751</v>
      </c>
      <c r="F746" s="12" t="s">
        <v>442</v>
      </c>
      <c r="G746" s="12">
        <v>50</v>
      </c>
      <c r="H746" s="12">
        <v>50</v>
      </c>
      <c r="I746" s="14"/>
      <c r="J746" s="14" t="s">
        <v>61</v>
      </c>
      <c r="K746" s="12" t="s">
        <v>752</v>
      </c>
      <c r="L746" s="15">
        <v>1</v>
      </c>
      <c r="M746" s="12" t="s">
        <v>150</v>
      </c>
      <c r="N746" s="12">
        <v>50</v>
      </c>
      <c r="O746" s="12">
        <v>50</v>
      </c>
      <c r="P746" s="12">
        <v>0</v>
      </c>
      <c r="Q746" s="16">
        <v>100</v>
      </c>
      <c r="R746" s="16">
        <v>0</v>
      </c>
      <c r="S746" s="16"/>
      <c r="T746" s="16" t="e">
        <v>#N/A</v>
      </c>
      <c r="U746" s="16" t="e">
        <v>#N/A</v>
      </c>
    </row>
    <row r="747" spans="1:21" x14ac:dyDescent="0.25">
      <c r="A747" s="12" t="s">
        <v>21</v>
      </c>
      <c r="B747" s="12" t="s">
        <v>750</v>
      </c>
      <c r="C747" s="12" t="s">
        <v>23</v>
      </c>
      <c r="D747" s="15">
        <v>46256.457442129627</v>
      </c>
      <c r="E747" s="12" t="s">
        <v>751</v>
      </c>
      <c r="F747" s="12" t="s">
        <v>326</v>
      </c>
      <c r="G747" s="12">
        <v>20</v>
      </c>
      <c r="H747" s="12">
        <v>20</v>
      </c>
      <c r="I747" s="14"/>
      <c r="J747" s="14" t="s">
        <v>61</v>
      </c>
      <c r="K747" s="12" t="s">
        <v>753</v>
      </c>
      <c r="L747" s="15">
        <v>1</v>
      </c>
      <c r="M747" s="12" t="s">
        <v>150</v>
      </c>
      <c r="N747" s="12">
        <v>20</v>
      </c>
      <c r="O747" s="12">
        <v>20</v>
      </c>
      <c r="P747" s="12">
        <v>0</v>
      </c>
      <c r="Q747" s="16">
        <v>40</v>
      </c>
      <c r="R747" s="16">
        <v>0</v>
      </c>
      <c r="S747" s="16"/>
      <c r="T747" s="16" t="e">
        <v>#N/A</v>
      </c>
      <c r="U747" s="16" t="e">
        <v>#N/A</v>
      </c>
    </row>
    <row r="748" spans="1:21" x14ac:dyDescent="0.25">
      <c r="A748" s="12" t="s">
        <v>21</v>
      </c>
      <c r="B748" s="12" t="s">
        <v>750</v>
      </c>
      <c r="C748" s="12" t="s">
        <v>23</v>
      </c>
      <c r="D748" s="15">
        <v>46256.457442129627</v>
      </c>
      <c r="E748" s="12" t="s">
        <v>751</v>
      </c>
      <c r="F748" s="12" t="s">
        <v>247</v>
      </c>
      <c r="G748" s="12">
        <v>20</v>
      </c>
      <c r="H748" s="12">
        <v>20</v>
      </c>
      <c r="I748" s="14"/>
      <c r="J748" s="14" t="s">
        <v>61</v>
      </c>
      <c r="K748" s="12" t="s">
        <v>754</v>
      </c>
      <c r="L748" s="15">
        <v>1</v>
      </c>
      <c r="M748" s="12" t="s">
        <v>150</v>
      </c>
      <c r="N748" s="12">
        <v>20</v>
      </c>
      <c r="O748" s="12">
        <v>20</v>
      </c>
      <c r="P748" s="12">
        <v>0</v>
      </c>
      <c r="Q748" s="16">
        <v>20</v>
      </c>
      <c r="R748" s="16">
        <v>0</v>
      </c>
      <c r="S748" s="16"/>
      <c r="T748" s="16" t="e">
        <v>#N/A</v>
      </c>
      <c r="U748" s="16" t="e">
        <v>#N/A</v>
      </c>
    </row>
    <row r="749" spans="1:21" x14ac:dyDescent="0.25">
      <c r="A749" s="12" t="s">
        <v>21</v>
      </c>
      <c r="B749" s="12" t="s">
        <v>750</v>
      </c>
      <c r="C749" s="12" t="s">
        <v>23</v>
      </c>
      <c r="D749" s="15">
        <v>46256.457442129627</v>
      </c>
      <c r="E749" s="12" t="s">
        <v>751</v>
      </c>
      <c r="F749" s="12" t="s">
        <v>67</v>
      </c>
      <c r="G749" s="12">
        <v>20</v>
      </c>
      <c r="H749" s="12">
        <v>20</v>
      </c>
      <c r="I749" s="14"/>
      <c r="J749" s="14" t="s">
        <v>61</v>
      </c>
      <c r="K749" s="12" t="s">
        <v>755</v>
      </c>
      <c r="L749" s="15">
        <v>1</v>
      </c>
      <c r="M749" s="12" t="s">
        <v>150</v>
      </c>
      <c r="N749" s="12">
        <v>20</v>
      </c>
      <c r="O749" s="12">
        <v>20</v>
      </c>
      <c r="P749" s="12">
        <v>0</v>
      </c>
      <c r="Q749" s="16">
        <v>50</v>
      </c>
      <c r="R749" s="16">
        <v>0</v>
      </c>
      <c r="S749" s="16"/>
      <c r="T749" s="16" t="e">
        <v>#N/A</v>
      </c>
      <c r="U749" s="16" t="e">
        <v>#N/A</v>
      </c>
    </row>
    <row r="750" spans="1:21" x14ac:dyDescent="0.25">
      <c r="A750" s="12" t="s">
        <v>21</v>
      </c>
      <c r="B750" s="12" t="s">
        <v>756</v>
      </c>
      <c r="C750" s="12" t="s">
        <v>23</v>
      </c>
      <c r="D750" s="15">
        <v>46256.465150462966</v>
      </c>
      <c r="E750" s="12" t="s">
        <v>686</v>
      </c>
      <c r="F750" s="12" t="s">
        <v>757</v>
      </c>
      <c r="G750" s="12">
        <v>2</v>
      </c>
      <c r="H750" s="12">
        <v>2</v>
      </c>
      <c r="I750" s="14"/>
      <c r="J750" s="14" t="s">
        <v>26</v>
      </c>
      <c r="K750" s="12" t="s">
        <v>27</v>
      </c>
      <c r="L750" s="15"/>
      <c r="M750" s="12" t="s">
        <v>28</v>
      </c>
      <c r="N750" s="12"/>
      <c r="O750" s="12"/>
      <c r="P750" s="12"/>
      <c r="Q750" s="16">
        <v>0</v>
      </c>
      <c r="R750" s="16">
        <v>0</v>
      </c>
      <c r="S750" s="16"/>
      <c r="T750" s="16" t="e">
        <v>#N/A</v>
      </c>
      <c r="U750" s="16" t="e">
        <v>#N/A</v>
      </c>
    </row>
    <row r="751" spans="1:21" x14ac:dyDescent="0.25">
      <c r="A751" s="12" t="s">
        <v>21</v>
      </c>
      <c r="B751" s="12" t="s">
        <v>758</v>
      </c>
      <c r="C751" s="12" t="s">
        <v>23</v>
      </c>
      <c r="D751" s="15">
        <v>46258.403113425928</v>
      </c>
      <c r="E751" s="12" t="s">
        <v>759</v>
      </c>
      <c r="F751" s="12" t="s">
        <v>760</v>
      </c>
      <c r="G751" s="12">
        <v>24</v>
      </c>
      <c r="H751" s="12">
        <v>24</v>
      </c>
      <c r="I751" s="14"/>
      <c r="J751" s="14" t="s">
        <v>61</v>
      </c>
      <c r="K751" s="12" t="s">
        <v>761</v>
      </c>
      <c r="L751" s="15">
        <v>1</v>
      </c>
      <c r="M751" s="12" t="s">
        <v>150</v>
      </c>
      <c r="N751" s="12">
        <v>24</v>
      </c>
      <c r="O751" s="12">
        <v>24</v>
      </c>
      <c r="P751" s="12">
        <v>0</v>
      </c>
      <c r="Q751" s="16">
        <v>48</v>
      </c>
      <c r="R751" s="16">
        <v>0</v>
      </c>
      <c r="S751" s="16"/>
      <c r="T751" s="16" t="e">
        <v>#N/A</v>
      </c>
      <c r="U751" s="16" t="e">
        <v>#N/A</v>
      </c>
    </row>
    <row r="752" spans="1:21" x14ac:dyDescent="0.25">
      <c r="A752" s="12" t="s">
        <v>21</v>
      </c>
      <c r="B752" s="12" t="s">
        <v>758</v>
      </c>
      <c r="C752" s="12" t="s">
        <v>23</v>
      </c>
      <c r="D752" s="15">
        <v>46258.403113425928</v>
      </c>
      <c r="E752" s="12" t="s">
        <v>759</v>
      </c>
      <c r="F752" s="12" t="s">
        <v>553</v>
      </c>
      <c r="G752" s="12">
        <v>24</v>
      </c>
      <c r="H752" s="12">
        <v>24</v>
      </c>
      <c r="I752" s="14"/>
      <c r="J752" s="14" t="s">
        <v>61</v>
      </c>
      <c r="K752" s="12" t="s">
        <v>763</v>
      </c>
      <c r="L752" s="15">
        <v>1</v>
      </c>
      <c r="M752" s="12" t="s">
        <v>150</v>
      </c>
      <c r="N752" s="12">
        <v>24</v>
      </c>
      <c r="O752" s="12">
        <v>24</v>
      </c>
      <c r="P752" s="12">
        <v>0</v>
      </c>
      <c r="Q752" s="16">
        <v>48</v>
      </c>
      <c r="R752" s="16">
        <v>2</v>
      </c>
      <c r="S752" s="16"/>
      <c r="T752" s="16" t="e">
        <v>#N/A</v>
      </c>
      <c r="U752" s="16" t="e">
        <v>#N/A</v>
      </c>
    </row>
    <row r="753" spans="1:21" x14ac:dyDescent="0.25">
      <c r="A753" s="12" t="s">
        <v>21</v>
      </c>
      <c r="B753" s="12" t="s">
        <v>758</v>
      </c>
      <c r="C753" s="12" t="s">
        <v>23</v>
      </c>
      <c r="D753" s="15">
        <v>46258.403113425928</v>
      </c>
      <c r="E753" s="12" t="s">
        <v>759</v>
      </c>
      <c r="F753" s="12" t="s">
        <v>762</v>
      </c>
      <c r="G753" s="12">
        <v>8</v>
      </c>
      <c r="H753" s="12">
        <v>8</v>
      </c>
      <c r="I753" s="14"/>
      <c r="J753" s="14" t="s">
        <v>61</v>
      </c>
      <c r="K753" s="12" t="s">
        <v>764</v>
      </c>
      <c r="L753" s="15">
        <v>1</v>
      </c>
      <c r="M753" s="12" t="s">
        <v>150</v>
      </c>
      <c r="N753" s="12">
        <v>8</v>
      </c>
      <c r="O753" s="12">
        <v>8</v>
      </c>
      <c r="P753" s="12">
        <v>0</v>
      </c>
      <c r="Q753" s="16">
        <v>8</v>
      </c>
      <c r="R753" s="16">
        <v>0</v>
      </c>
      <c r="S753" s="16"/>
      <c r="T753" s="16" t="e">
        <v>#N/A</v>
      </c>
      <c r="U753" s="16" t="e">
        <v>#N/A</v>
      </c>
    </row>
    <row r="754" spans="1:21" x14ac:dyDescent="0.25">
      <c r="A754" s="12" t="s">
        <v>21</v>
      </c>
      <c r="B754" s="12" t="s">
        <v>758</v>
      </c>
      <c r="C754" s="12" t="s">
        <v>23</v>
      </c>
      <c r="D754" s="15">
        <v>46258.403113425928</v>
      </c>
      <c r="E754" s="12" t="s">
        <v>759</v>
      </c>
      <c r="F754" s="12" t="s">
        <v>701</v>
      </c>
      <c r="G754" s="12">
        <v>8</v>
      </c>
      <c r="H754" s="12">
        <v>8</v>
      </c>
      <c r="I754" s="14"/>
      <c r="J754" s="14" t="s">
        <v>61</v>
      </c>
      <c r="K754" s="12" t="s">
        <v>765</v>
      </c>
      <c r="L754" s="15">
        <v>1</v>
      </c>
      <c r="M754" s="12" t="s">
        <v>150</v>
      </c>
      <c r="N754" s="12">
        <v>8</v>
      </c>
      <c r="O754" s="12">
        <v>8</v>
      </c>
      <c r="P754" s="12">
        <v>0</v>
      </c>
      <c r="Q754" s="16">
        <v>8</v>
      </c>
      <c r="R754" s="16">
        <v>0</v>
      </c>
      <c r="S754" s="16"/>
      <c r="T754" s="16" t="e">
        <v>#N/A</v>
      </c>
      <c r="U754" s="16" t="e">
        <v>#N/A</v>
      </c>
    </row>
    <row r="755" spans="1:21" x14ac:dyDescent="0.25">
      <c r="A755" s="12" t="s">
        <v>21</v>
      </c>
      <c r="B755" s="12" t="s">
        <v>758</v>
      </c>
      <c r="C755" s="12" t="s">
        <v>23</v>
      </c>
      <c r="D755" s="15">
        <v>46258.403113425928</v>
      </c>
      <c r="E755" s="12" t="s">
        <v>759</v>
      </c>
      <c r="F755" s="12" t="s">
        <v>560</v>
      </c>
      <c r="G755" s="12">
        <v>24</v>
      </c>
      <c r="H755" s="12">
        <v>24</v>
      </c>
      <c r="I755" s="14"/>
      <c r="J755" s="14" t="s">
        <v>61</v>
      </c>
      <c r="K755" s="12" t="s">
        <v>766</v>
      </c>
      <c r="L755" s="15">
        <v>1</v>
      </c>
      <c r="M755" s="12" t="s">
        <v>150</v>
      </c>
      <c r="N755" s="12">
        <v>24</v>
      </c>
      <c r="O755" s="12">
        <v>24</v>
      </c>
      <c r="P755" s="12">
        <v>0</v>
      </c>
      <c r="Q755" s="16">
        <v>24</v>
      </c>
      <c r="R755" s="16">
        <v>0</v>
      </c>
      <c r="S755" s="16"/>
      <c r="T755" s="16" t="e">
        <v>#N/A</v>
      </c>
      <c r="U755" s="16" t="e">
        <v>#N/A</v>
      </c>
    </row>
    <row r="756" spans="1:21" x14ac:dyDescent="0.25">
      <c r="A756" s="12" t="s">
        <v>21</v>
      </c>
      <c r="B756" s="12" t="s">
        <v>758</v>
      </c>
      <c r="C756" s="12" t="s">
        <v>23</v>
      </c>
      <c r="D756" s="15">
        <v>46258.403113425928</v>
      </c>
      <c r="E756" s="12" t="s">
        <v>759</v>
      </c>
      <c r="F756" s="12" t="s">
        <v>326</v>
      </c>
      <c r="G756" s="12">
        <v>24</v>
      </c>
      <c r="H756" s="12">
        <v>24</v>
      </c>
      <c r="I756" s="14"/>
      <c r="J756" s="14" t="s">
        <v>61</v>
      </c>
      <c r="K756" s="12" t="s">
        <v>768</v>
      </c>
      <c r="L756" s="15">
        <v>1</v>
      </c>
      <c r="M756" s="12" t="s">
        <v>150</v>
      </c>
      <c r="N756" s="12">
        <v>24</v>
      </c>
      <c r="O756" s="12">
        <v>24</v>
      </c>
      <c r="P756" s="12">
        <v>0</v>
      </c>
      <c r="Q756" s="16">
        <v>24</v>
      </c>
      <c r="R756" s="16">
        <v>0</v>
      </c>
      <c r="S756" s="16"/>
      <c r="T756" s="16" t="e">
        <v>#N/A</v>
      </c>
      <c r="U756" s="16" t="e">
        <v>#N/A</v>
      </c>
    </row>
    <row r="757" spans="1:21" x14ac:dyDescent="0.25">
      <c r="A757" s="12" t="s">
        <v>21</v>
      </c>
      <c r="B757" s="12" t="s">
        <v>758</v>
      </c>
      <c r="C757" s="12" t="s">
        <v>23</v>
      </c>
      <c r="D757" s="15">
        <v>46258.403113425928</v>
      </c>
      <c r="E757" s="12" t="s">
        <v>759</v>
      </c>
      <c r="F757" s="12" t="s">
        <v>767</v>
      </c>
      <c r="G757" s="12">
        <v>24</v>
      </c>
      <c r="H757" s="12">
        <v>24</v>
      </c>
      <c r="I757" s="14"/>
      <c r="J757" s="14" t="s">
        <v>61</v>
      </c>
      <c r="K757" s="12" t="s">
        <v>769</v>
      </c>
      <c r="L757" s="15">
        <v>1</v>
      </c>
      <c r="M757" s="12" t="s">
        <v>150</v>
      </c>
      <c r="N757" s="12">
        <v>24</v>
      </c>
      <c r="O757" s="12">
        <v>24</v>
      </c>
      <c r="P757" s="12">
        <v>0</v>
      </c>
      <c r="Q757" s="16">
        <v>24</v>
      </c>
      <c r="R757" s="16">
        <v>0</v>
      </c>
      <c r="S757" s="16"/>
      <c r="T757" s="16" t="e">
        <v>#N/A</v>
      </c>
      <c r="U757" s="16" t="e">
        <v>#N/A</v>
      </c>
    </row>
    <row r="758" spans="1:21" x14ac:dyDescent="0.25">
      <c r="A758" s="12" t="s">
        <v>21</v>
      </c>
      <c r="B758" s="12" t="s">
        <v>758</v>
      </c>
      <c r="C758" s="12" t="s">
        <v>23</v>
      </c>
      <c r="D758" s="15">
        <v>46258.403113425928</v>
      </c>
      <c r="E758" s="12" t="s">
        <v>759</v>
      </c>
      <c r="F758" s="12" t="s">
        <v>437</v>
      </c>
      <c r="G758" s="12">
        <v>200</v>
      </c>
      <c r="H758" s="12">
        <v>200</v>
      </c>
      <c r="I758" s="14"/>
      <c r="J758" s="14" t="s">
        <v>26</v>
      </c>
      <c r="K758" s="12" t="s">
        <v>27</v>
      </c>
      <c r="L758" s="15"/>
      <c r="M758" s="12" t="s">
        <v>28</v>
      </c>
      <c r="N758" s="12"/>
      <c r="O758" s="12"/>
      <c r="P758" s="12"/>
      <c r="Q758" s="16">
        <v>0</v>
      </c>
      <c r="R758" s="16">
        <v>0</v>
      </c>
      <c r="S758" s="16"/>
      <c r="T758" s="16" t="e">
        <v>#N/A</v>
      </c>
      <c r="U758" s="16" t="e">
        <v>#N/A</v>
      </c>
    </row>
    <row r="759" spans="1:21" x14ac:dyDescent="0.25">
      <c r="A759" s="12" t="s">
        <v>21</v>
      </c>
      <c r="B759" s="12" t="s">
        <v>758</v>
      </c>
      <c r="C759" s="12" t="s">
        <v>23</v>
      </c>
      <c r="D759" s="15">
        <v>46258.403113425928</v>
      </c>
      <c r="E759" s="12" t="s">
        <v>759</v>
      </c>
      <c r="F759" s="12" t="s">
        <v>262</v>
      </c>
      <c r="G759" s="12">
        <v>200</v>
      </c>
      <c r="H759" s="12">
        <v>200</v>
      </c>
      <c r="I759" s="14"/>
      <c r="J759" s="14" t="s">
        <v>26</v>
      </c>
      <c r="K759" s="12" t="s">
        <v>27</v>
      </c>
      <c r="L759" s="15"/>
      <c r="M759" s="12" t="s">
        <v>28</v>
      </c>
      <c r="N759" s="12"/>
      <c r="O759" s="12"/>
      <c r="P759" s="12"/>
      <c r="Q759" s="16">
        <v>0</v>
      </c>
      <c r="R759" s="16">
        <v>0</v>
      </c>
      <c r="S759" s="16"/>
      <c r="T759" s="16" t="e">
        <v>#N/A</v>
      </c>
      <c r="U759" s="16" t="e">
        <v>#N/A</v>
      </c>
    </row>
    <row r="760" spans="1:21" x14ac:dyDescent="0.25">
      <c r="A760" s="12" t="s">
        <v>21</v>
      </c>
      <c r="B760" s="12" t="s">
        <v>758</v>
      </c>
      <c r="C760" s="12" t="s">
        <v>23</v>
      </c>
      <c r="D760" s="15">
        <v>46258.403113425928</v>
      </c>
      <c r="E760" s="12" t="s">
        <v>759</v>
      </c>
      <c r="F760" s="12" t="s">
        <v>572</v>
      </c>
      <c r="G760" s="12">
        <v>10</v>
      </c>
      <c r="H760" s="12">
        <v>10</v>
      </c>
      <c r="I760" s="14"/>
      <c r="J760" s="14" t="s">
        <v>61</v>
      </c>
      <c r="K760" s="12" t="s">
        <v>770</v>
      </c>
      <c r="L760" s="15">
        <v>1</v>
      </c>
      <c r="M760" s="12" t="s">
        <v>150</v>
      </c>
      <c r="N760" s="12">
        <v>10</v>
      </c>
      <c r="O760" s="12">
        <v>10</v>
      </c>
      <c r="P760" s="12">
        <v>0</v>
      </c>
      <c r="Q760" s="16">
        <v>20</v>
      </c>
      <c r="R760" s="16">
        <v>10</v>
      </c>
      <c r="S760" s="16"/>
      <c r="T760" s="16" t="e">
        <v>#N/A</v>
      </c>
      <c r="U760" s="16" t="e">
        <v>#N/A</v>
      </c>
    </row>
    <row r="761" spans="1:21" x14ac:dyDescent="0.25">
      <c r="A761" s="12" t="s">
        <v>21</v>
      </c>
      <c r="B761" s="12" t="s">
        <v>771</v>
      </c>
      <c r="C761" s="12" t="s">
        <v>23</v>
      </c>
      <c r="D761" s="15">
        <v>46258.438125000001</v>
      </c>
      <c r="E761" s="12" t="s">
        <v>522</v>
      </c>
      <c r="F761" s="12" t="s">
        <v>437</v>
      </c>
      <c r="G761" s="12">
        <v>600</v>
      </c>
      <c r="H761" s="12">
        <v>600</v>
      </c>
      <c r="I761" s="14"/>
      <c r="J761" s="14" t="s">
        <v>26</v>
      </c>
      <c r="K761" s="12" t="s">
        <v>27</v>
      </c>
      <c r="L761" s="15"/>
      <c r="M761" s="12" t="s">
        <v>28</v>
      </c>
      <c r="N761" s="12"/>
      <c r="O761" s="12"/>
      <c r="P761" s="12"/>
      <c r="Q761" s="16">
        <v>0</v>
      </c>
      <c r="R761" s="16">
        <v>90</v>
      </c>
      <c r="S761" s="16"/>
      <c r="T761" s="16" t="e">
        <v>#N/A</v>
      </c>
      <c r="U761" s="16" t="e">
        <v>#N/A</v>
      </c>
    </row>
    <row r="762" spans="1:21" x14ac:dyDescent="0.25">
      <c r="A762" s="12" t="s">
        <v>21</v>
      </c>
      <c r="B762" s="12" t="s">
        <v>771</v>
      </c>
      <c r="C762" s="12" t="s">
        <v>23</v>
      </c>
      <c r="D762" s="15">
        <v>46258.438125000001</v>
      </c>
      <c r="E762" s="12" t="s">
        <v>522</v>
      </c>
      <c r="F762" s="12" t="s">
        <v>262</v>
      </c>
      <c r="G762" s="12">
        <v>2000</v>
      </c>
      <c r="H762" s="12">
        <v>1000</v>
      </c>
      <c r="I762" s="14"/>
      <c r="J762" s="14" t="s">
        <v>26</v>
      </c>
      <c r="K762" s="12" t="s">
        <v>27</v>
      </c>
      <c r="L762" s="15"/>
      <c r="M762" s="12" t="s">
        <v>28</v>
      </c>
      <c r="N762" s="12"/>
      <c r="O762" s="12"/>
      <c r="P762" s="12"/>
      <c r="Q762" s="16">
        <v>0</v>
      </c>
      <c r="R762" s="16">
        <v>0</v>
      </c>
      <c r="S762" s="16"/>
      <c r="T762" s="16" t="e">
        <v>#N/A</v>
      </c>
      <c r="U762" s="16" t="e">
        <v>#N/A</v>
      </c>
    </row>
    <row r="763" spans="1:21" x14ac:dyDescent="0.25">
      <c r="A763" s="12" t="s">
        <v>21</v>
      </c>
      <c r="B763" s="12" t="s">
        <v>772</v>
      </c>
      <c r="C763" s="12" t="s">
        <v>23</v>
      </c>
      <c r="D763" s="15">
        <v>46258.508391203701</v>
      </c>
      <c r="E763" s="12" t="s">
        <v>773</v>
      </c>
      <c r="F763" s="12" t="s">
        <v>699</v>
      </c>
      <c r="G763" s="12">
        <v>1</v>
      </c>
      <c r="H763" s="12">
        <v>1</v>
      </c>
      <c r="I763" s="14"/>
      <c r="J763" s="14" t="s">
        <v>61</v>
      </c>
      <c r="K763" s="12" t="s">
        <v>774</v>
      </c>
      <c r="L763" s="15">
        <v>1</v>
      </c>
      <c r="M763" s="12" t="s">
        <v>150</v>
      </c>
      <c r="N763" s="12">
        <v>1</v>
      </c>
      <c r="O763" s="12">
        <v>1</v>
      </c>
      <c r="P763" s="12">
        <v>0</v>
      </c>
      <c r="Q763" s="16">
        <v>1</v>
      </c>
      <c r="R763" s="16">
        <v>0</v>
      </c>
      <c r="S763" s="16"/>
      <c r="T763" s="16" t="e">
        <v>#N/A</v>
      </c>
      <c r="U763" s="16" t="e">
        <v>#N/A</v>
      </c>
    </row>
    <row r="764" spans="1:21" x14ac:dyDescent="0.25">
      <c r="A764" s="12" t="s">
        <v>21</v>
      </c>
      <c r="B764" s="12" t="s">
        <v>772</v>
      </c>
      <c r="C764" s="12" t="s">
        <v>23</v>
      </c>
      <c r="D764" s="15">
        <v>46258.508391203701</v>
      </c>
      <c r="E764" s="12" t="s">
        <v>773</v>
      </c>
      <c r="F764" s="12" t="s">
        <v>67</v>
      </c>
      <c r="G764" s="12">
        <v>7</v>
      </c>
      <c r="H764" s="12">
        <v>7</v>
      </c>
      <c r="I764" s="14"/>
      <c r="J764" s="14" t="s">
        <v>61</v>
      </c>
      <c r="K764" s="12" t="s">
        <v>775</v>
      </c>
      <c r="L764" s="15">
        <v>1</v>
      </c>
      <c r="M764" s="12" t="s">
        <v>150</v>
      </c>
      <c r="N764" s="12">
        <v>7</v>
      </c>
      <c r="O764" s="12">
        <v>7</v>
      </c>
      <c r="P764" s="12">
        <v>0</v>
      </c>
      <c r="Q764" s="16">
        <v>7</v>
      </c>
      <c r="R764" s="16">
        <v>0</v>
      </c>
      <c r="S764" s="16"/>
      <c r="T764" s="16" t="e">
        <v>#N/A</v>
      </c>
      <c r="U764" s="16" t="e">
        <v>#N/A</v>
      </c>
    </row>
    <row r="765" spans="1:21" x14ac:dyDescent="0.25">
      <c r="A765" s="12" t="s">
        <v>21</v>
      </c>
      <c r="B765" s="12" t="s">
        <v>772</v>
      </c>
      <c r="C765" s="12" t="s">
        <v>23</v>
      </c>
      <c r="D765" s="15">
        <v>46258.508391203701</v>
      </c>
      <c r="E765" s="12" t="s">
        <v>773</v>
      </c>
      <c r="F765" s="12" t="s">
        <v>703</v>
      </c>
      <c r="G765" s="12">
        <v>4</v>
      </c>
      <c r="H765" s="12">
        <v>4</v>
      </c>
      <c r="I765" s="14"/>
      <c r="J765" s="14" t="s">
        <v>61</v>
      </c>
      <c r="K765" s="12" t="s">
        <v>776</v>
      </c>
      <c r="L765" s="15">
        <v>1</v>
      </c>
      <c r="M765" s="12" t="s">
        <v>150</v>
      </c>
      <c r="N765" s="12">
        <v>4</v>
      </c>
      <c r="O765" s="12">
        <v>4</v>
      </c>
      <c r="P765" s="12">
        <v>0</v>
      </c>
      <c r="Q765" s="16">
        <v>4</v>
      </c>
      <c r="R765" s="16">
        <v>0</v>
      </c>
      <c r="S765" s="16"/>
      <c r="T765" s="16" t="e">
        <v>#N/A</v>
      </c>
      <c r="U765" s="16" t="e">
        <v>#N/A</v>
      </c>
    </row>
    <row r="766" spans="1:21" x14ac:dyDescent="0.25">
      <c r="A766" s="12" t="s">
        <v>21</v>
      </c>
      <c r="B766" s="12" t="s">
        <v>777</v>
      </c>
      <c r="C766" s="12" t="s">
        <v>23</v>
      </c>
      <c r="D766" s="15">
        <v>46258.578530092593</v>
      </c>
      <c r="E766" s="12" t="s">
        <v>778</v>
      </c>
      <c r="F766" s="12" t="s">
        <v>267</v>
      </c>
      <c r="G766" s="12">
        <v>6</v>
      </c>
      <c r="H766" s="12">
        <v>6</v>
      </c>
      <c r="I766" s="14"/>
      <c r="J766" s="14" t="s">
        <v>61</v>
      </c>
      <c r="K766" s="12" t="s">
        <v>779</v>
      </c>
      <c r="L766" s="15">
        <v>1</v>
      </c>
      <c r="M766" s="12" t="s">
        <v>150</v>
      </c>
      <c r="N766" s="12">
        <v>6</v>
      </c>
      <c r="O766" s="12">
        <v>6</v>
      </c>
      <c r="P766" s="12">
        <v>0</v>
      </c>
      <c r="Q766" s="16">
        <v>6</v>
      </c>
      <c r="R766" s="16">
        <v>0</v>
      </c>
      <c r="S766" s="16"/>
      <c r="T766" s="16" t="e">
        <v>#N/A</v>
      </c>
      <c r="U766" s="16" t="e">
        <v>#N/A</v>
      </c>
    </row>
    <row r="767" spans="1:21" x14ac:dyDescent="0.25">
      <c r="A767" s="12" t="s">
        <v>21</v>
      </c>
      <c r="B767" s="12" t="s">
        <v>777</v>
      </c>
      <c r="C767" s="12" t="s">
        <v>23</v>
      </c>
      <c r="D767" s="15">
        <v>46258.578530092593</v>
      </c>
      <c r="E767" s="12" t="s">
        <v>778</v>
      </c>
      <c r="F767" s="12" t="s">
        <v>699</v>
      </c>
      <c r="G767" s="12">
        <v>10</v>
      </c>
      <c r="H767" s="12">
        <v>10</v>
      </c>
      <c r="I767" s="14"/>
      <c r="J767" s="14" t="s">
        <v>61</v>
      </c>
      <c r="K767" s="12" t="s">
        <v>780</v>
      </c>
      <c r="L767" s="15">
        <v>1</v>
      </c>
      <c r="M767" s="12" t="s">
        <v>150</v>
      </c>
      <c r="N767" s="12">
        <v>10</v>
      </c>
      <c r="O767" s="12">
        <v>10</v>
      </c>
      <c r="P767" s="12">
        <v>0</v>
      </c>
      <c r="Q767" s="16">
        <v>10</v>
      </c>
      <c r="R767" s="16">
        <v>0</v>
      </c>
      <c r="S767" s="16"/>
      <c r="T767" s="16" t="e">
        <v>#N/A</v>
      </c>
      <c r="U767" s="16" t="e">
        <v>#N/A</v>
      </c>
    </row>
    <row r="768" spans="1:21" x14ac:dyDescent="0.25">
      <c r="A768" s="12" t="s">
        <v>21</v>
      </c>
      <c r="B768" s="12" t="s">
        <v>777</v>
      </c>
      <c r="C768" s="12" t="s">
        <v>23</v>
      </c>
      <c r="D768" s="15">
        <v>46258.578530092593</v>
      </c>
      <c r="E768" s="12" t="s">
        <v>778</v>
      </c>
      <c r="F768" s="12" t="s">
        <v>553</v>
      </c>
      <c r="G768" s="12">
        <v>20</v>
      </c>
      <c r="H768" s="12">
        <v>20</v>
      </c>
      <c r="I768" s="14"/>
      <c r="J768" s="14" t="s">
        <v>61</v>
      </c>
      <c r="K768" s="12" t="s">
        <v>781</v>
      </c>
      <c r="L768" s="15">
        <v>1</v>
      </c>
      <c r="M768" s="12" t="s">
        <v>150</v>
      </c>
      <c r="N768" s="12">
        <v>20</v>
      </c>
      <c r="O768" s="12">
        <v>20</v>
      </c>
      <c r="P768" s="12">
        <v>0</v>
      </c>
      <c r="Q768" s="16">
        <v>20</v>
      </c>
      <c r="R768" s="16">
        <v>2</v>
      </c>
      <c r="S768" s="16"/>
      <c r="T768" s="16" t="e">
        <v>#N/A</v>
      </c>
      <c r="U768" s="16" t="e">
        <v>#N/A</v>
      </c>
    </row>
    <row r="769" spans="1:21" x14ac:dyDescent="0.25">
      <c r="A769" s="12" t="s">
        <v>21</v>
      </c>
      <c r="B769" s="12" t="s">
        <v>777</v>
      </c>
      <c r="C769" s="12" t="s">
        <v>23</v>
      </c>
      <c r="D769" s="15">
        <v>46258.578530092593</v>
      </c>
      <c r="E769" s="12" t="s">
        <v>778</v>
      </c>
      <c r="F769" s="12" t="s">
        <v>326</v>
      </c>
      <c r="G769" s="12">
        <v>20</v>
      </c>
      <c r="H769" s="12">
        <v>20</v>
      </c>
      <c r="I769" s="14"/>
      <c r="J769" s="14" t="s">
        <v>61</v>
      </c>
      <c r="K769" s="12" t="s">
        <v>782</v>
      </c>
      <c r="L769" s="15">
        <v>1</v>
      </c>
      <c r="M769" s="12" t="s">
        <v>150</v>
      </c>
      <c r="N769" s="12">
        <v>20</v>
      </c>
      <c r="O769" s="12">
        <v>20</v>
      </c>
      <c r="P769" s="12">
        <v>0</v>
      </c>
      <c r="Q769" s="16">
        <v>20</v>
      </c>
      <c r="R769" s="16">
        <v>0</v>
      </c>
      <c r="S769" s="16"/>
      <c r="T769" s="16" t="e">
        <v>#N/A</v>
      </c>
      <c r="U769" s="16" t="e">
        <v>#N/A</v>
      </c>
    </row>
    <row r="770" spans="1:21" x14ac:dyDescent="0.25">
      <c r="A770" s="12" t="s">
        <v>21</v>
      </c>
      <c r="B770" s="12" t="s">
        <v>777</v>
      </c>
      <c r="C770" s="12" t="s">
        <v>23</v>
      </c>
      <c r="D770" s="15">
        <v>46258.578530092593</v>
      </c>
      <c r="E770" s="12" t="s">
        <v>778</v>
      </c>
      <c r="F770" s="12" t="s">
        <v>735</v>
      </c>
      <c r="G770" s="12">
        <v>6</v>
      </c>
      <c r="H770" s="12">
        <v>6</v>
      </c>
      <c r="I770" s="14"/>
      <c r="J770" s="14" t="s">
        <v>61</v>
      </c>
      <c r="K770" s="12" t="s">
        <v>783</v>
      </c>
      <c r="L770" s="15">
        <v>1</v>
      </c>
      <c r="M770" s="12" t="s">
        <v>150</v>
      </c>
      <c r="N770" s="12">
        <v>6</v>
      </c>
      <c r="O770" s="12">
        <v>6</v>
      </c>
      <c r="P770" s="12">
        <v>0</v>
      </c>
      <c r="Q770" s="16">
        <v>6</v>
      </c>
      <c r="R770" s="16">
        <v>0</v>
      </c>
      <c r="S770" s="16"/>
      <c r="T770" s="16" t="e">
        <v>#N/A</v>
      </c>
      <c r="U770" s="16" t="e">
        <v>#N/A</v>
      </c>
    </row>
    <row r="771" spans="1:21" x14ac:dyDescent="0.25">
      <c r="A771" s="12" t="s">
        <v>21</v>
      </c>
      <c r="B771" s="12" t="s">
        <v>784</v>
      </c>
      <c r="C771" s="12" t="s">
        <v>23</v>
      </c>
      <c r="D771" s="15">
        <v>46259.434999999998</v>
      </c>
      <c r="E771" s="12" t="s">
        <v>785</v>
      </c>
      <c r="F771" s="12" t="s">
        <v>106</v>
      </c>
      <c r="G771" s="12">
        <v>9</v>
      </c>
      <c r="H771" s="12">
        <v>9</v>
      </c>
      <c r="I771" s="14"/>
      <c r="J771" s="14" t="s">
        <v>61</v>
      </c>
      <c r="K771" s="12" t="s">
        <v>786</v>
      </c>
      <c r="L771" s="15">
        <v>1</v>
      </c>
      <c r="M771" s="12" t="s">
        <v>150</v>
      </c>
      <c r="N771" s="12">
        <v>9</v>
      </c>
      <c r="O771" s="12">
        <v>9</v>
      </c>
      <c r="P771" s="12">
        <v>0</v>
      </c>
      <c r="Q771" s="16">
        <v>9</v>
      </c>
      <c r="R771" s="16">
        <v>0</v>
      </c>
      <c r="S771" s="16"/>
      <c r="T771" s="16" t="e">
        <v>#N/A</v>
      </c>
      <c r="U771" s="16" t="e">
        <v>#N/A</v>
      </c>
    </row>
    <row r="772" spans="1:21" x14ac:dyDescent="0.25">
      <c r="A772" s="12" t="s">
        <v>21</v>
      </c>
      <c r="B772" s="12" t="s">
        <v>784</v>
      </c>
      <c r="C772" s="12" t="s">
        <v>23</v>
      </c>
      <c r="D772" s="15">
        <v>46259.434999999998</v>
      </c>
      <c r="E772" s="12" t="s">
        <v>785</v>
      </c>
      <c r="F772" s="12" t="s">
        <v>718</v>
      </c>
      <c r="G772" s="12">
        <v>10</v>
      </c>
      <c r="H772" s="12">
        <v>10</v>
      </c>
      <c r="I772" s="14"/>
      <c r="J772" s="14" t="s">
        <v>61</v>
      </c>
      <c r="K772" s="12" t="s">
        <v>787</v>
      </c>
      <c r="L772" s="15">
        <v>1</v>
      </c>
      <c r="M772" s="12" t="s">
        <v>150</v>
      </c>
      <c r="N772" s="12">
        <v>10</v>
      </c>
      <c r="O772" s="12">
        <v>10</v>
      </c>
      <c r="P772" s="12">
        <v>0</v>
      </c>
      <c r="Q772" s="16">
        <v>10</v>
      </c>
      <c r="R772" s="16">
        <v>0</v>
      </c>
      <c r="S772" s="16"/>
      <c r="T772" s="16" t="e">
        <v>#N/A</v>
      </c>
      <c r="U772" s="16" t="e">
        <v>#N/A</v>
      </c>
    </row>
    <row r="773" spans="1:21" x14ac:dyDescent="0.25">
      <c r="A773" s="12" t="s">
        <v>21</v>
      </c>
      <c r="B773" s="12" t="s">
        <v>784</v>
      </c>
      <c r="C773" s="12" t="s">
        <v>23</v>
      </c>
      <c r="D773" s="15">
        <v>46259.434999999998</v>
      </c>
      <c r="E773" s="12" t="s">
        <v>785</v>
      </c>
      <c r="F773" s="12" t="s">
        <v>107</v>
      </c>
      <c r="G773" s="12">
        <v>10</v>
      </c>
      <c r="H773" s="12">
        <v>10</v>
      </c>
      <c r="I773" s="14"/>
      <c r="J773" s="14" t="s">
        <v>61</v>
      </c>
      <c r="K773" s="12" t="s">
        <v>788</v>
      </c>
      <c r="L773" s="15">
        <v>1</v>
      </c>
      <c r="M773" s="12" t="s">
        <v>150</v>
      </c>
      <c r="N773" s="12">
        <v>10</v>
      </c>
      <c r="O773" s="12">
        <v>10</v>
      </c>
      <c r="P773" s="12">
        <v>0</v>
      </c>
      <c r="Q773" s="16">
        <v>10</v>
      </c>
      <c r="R773" s="16">
        <v>0</v>
      </c>
      <c r="S773" s="16"/>
      <c r="T773" s="16" t="e">
        <v>#N/A</v>
      </c>
      <c r="U773" s="16" t="e">
        <v>#N/A</v>
      </c>
    </row>
    <row r="774" spans="1:21" x14ac:dyDescent="0.25">
      <c r="A774" s="12" t="s">
        <v>21</v>
      </c>
      <c r="B774" s="12" t="s">
        <v>784</v>
      </c>
      <c r="C774" s="12" t="s">
        <v>23</v>
      </c>
      <c r="D774" s="15">
        <v>46259.434999999998</v>
      </c>
      <c r="E774" s="12" t="s">
        <v>785</v>
      </c>
      <c r="F774" s="12" t="s">
        <v>789</v>
      </c>
      <c r="G774" s="12">
        <v>17</v>
      </c>
      <c r="H774" s="12">
        <v>17</v>
      </c>
      <c r="I774" s="14"/>
      <c r="J774" s="14" t="s">
        <v>61</v>
      </c>
      <c r="K774" s="12" t="s">
        <v>790</v>
      </c>
      <c r="L774" s="15">
        <v>1</v>
      </c>
      <c r="M774" s="12" t="s">
        <v>150</v>
      </c>
      <c r="N774" s="12">
        <v>17</v>
      </c>
      <c r="O774" s="12">
        <v>17</v>
      </c>
      <c r="P774" s="12">
        <v>0</v>
      </c>
      <c r="Q774" s="16">
        <v>17</v>
      </c>
      <c r="R774" s="16">
        <v>0</v>
      </c>
      <c r="S774" s="16"/>
      <c r="T774" s="16" t="e">
        <v>#N/A</v>
      </c>
      <c r="U774" s="16" t="e">
        <v>#N/A</v>
      </c>
    </row>
    <row r="775" spans="1:21" x14ac:dyDescent="0.25">
      <c r="A775" s="12" t="s">
        <v>21</v>
      </c>
      <c r="B775" s="12" t="s">
        <v>784</v>
      </c>
      <c r="C775" s="12" t="s">
        <v>23</v>
      </c>
      <c r="D775" s="15">
        <v>46259.434999999998</v>
      </c>
      <c r="E775" s="12" t="s">
        <v>785</v>
      </c>
      <c r="F775" s="12" t="s">
        <v>125</v>
      </c>
      <c r="G775" s="12">
        <v>6</v>
      </c>
      <c r="H775" s="12">
        <v>6</v>
      </c>
      <c r="I775" s="14"/>
      <c r="J775" s="14" t="s">
        <v>61</v>
      </c>
      <c r="K775" s="12" t="s">
        <v>791</v>
      </c>
      <c r="L775" s="15">
        <v>1</v>
      </c>
      <c r="M775" s="12" t="s">
        <v>150</v>
      </c>
      <c r="N775" s="12">
        <v>6</v>
      </c>
      <c r="O775" s="12">
        <v>6</v>
      </c>
      <c r="P775" s="12">
        <v>0</v>
      </c>
      <c r="Q775" s="16">
        <v>6</v>
      </c>
      <c r="R775" s="16">
        <v>0</v>
      </c>
      <c r="S775" s="16"/>
      <c r="T775" s="16" t="e">
        <v>#N/A</v>
      </c>
      <c r="U775" s="16" t="e">
        <v>#N/A</v>
      </c>
    </row>
    <row r="776" spans="1:21" x14ac:dyDescent="0.25">
      <c r="A776" s="12" t="s">
        <v>21</v>
      </c>
      <c r="B776" s="12" t="s">
        <v>792</v>
      </c>
      <c r="C776" s="12" t="s">
        <v>23</v>
      </c>
      <c r="D776" s="15">
        <v>46260.398888888885</v>
      </c>
      <c r="E776" s="12" t="s">
        <v>24</v>
      </c>
      <c r="F776" s="12" t="s">
        <v>59</v>
      </c>
      <c r="G776" s="12">
        <v>18</v>
      </c>
      <c r="H776" s="12">
        <v>18</v>
      </c>
      <c r="I776" s="14"/>
      <c r="J776" s="14" t="s">
        <v>26</v>
      </c>
      <c r="K776" s="12" t="s">
        <v>27</v>
      </c>
      <c r="L776" s="15"/>
      <c r="M776" s="12" t="s">
        <v>28</v>
      </c>
      <c r="N776" s="12"/>
      <c r="O776" s="12"/>
      <c r="P776" s="12"/>
      <c r="Q776" s="16">
        <v>0</v>
      </c>
      <c r="R776" s="16">
        <v>0</v>
      </c>
      <c r="S776" s="16">
        <v>4</v>
      </c>
      <c r="T776" s="16" t="e">
        <v>#N/A</v>
      </c>
      <c r="U776" s="16" t="e">
        <v>#N/A</v>
      </c>
    </row>
    <row r="777" spans="1:21" x14ac:dyDescent="0.25">
      <c r="A777" s="12" t="s">
        <v>21</v>
      </c>
      <c r="B777" s="12" t="s">
        <v>792</v>
      </c>
      <c r="C777" s="12" t="s">
        <v>23</v>
      </c>
      <c r="D777" s="15">
        <v>46260.398888888885</v>
      </c>
      <c r="E777" s="12" t="s">
        <v>24</v>
      </c>
      <c r="F777" s="12" t="s">
        <v>793</v>
      </c>
      <c r="G777" s="12">
        <v>7</v>
      </c>
      <c r="H777" s="12">
        <v>7</v>
      </c>
      <c r="I777" s="14"/>
      <c r="J777" s="14" t="s">
        <v>26</v>
      </c>
      <c r="K777" s="12" t="s">
        <v>794</v>
      </c>
      <c r="L777" s="15">
        <v>1</v>
      </c>
      <c r="M777" s="12" t="s">
        <v>150</v>
      </c>
      <c r="N777" s="12">
        <v>7</v>
      </c>
      <c r="O777" s="12">
        <v>7</v>
      </c>
      <c r="P777" s="12">
        <v>0</v>
      </c>
      <c r="Q777" s="16">
        <v>0</v>
      </c>
      <c r="R777" s="16">
        <v>0</v>
      </c>
      <c r="S777" s="16"/>
      <c r="T777" s="16" t="e">
        <v>#N/A</v>
      </c>
      <c r="U777" s="16" t="e">
        <v>#N/A</v>
      </c>
    </row>
    <row r="778" spans="1:21" x14ac:dyDescent="0.25">
      <c r="A778" s="12" t="s">
        <v>21</v>
      </c>
      <c r="B778" s="12" t="s">
        <v>792</v>
      </c>
      <c r="C778" s="12" t="s">
        <v>23</v>
      </c>
      <c r="D778" s="15">
        <v>46260.398888888885</v>
      </c>
      <c r="E778" s="12" t="s">
        <v>24</v>
      </c>
      <c r="F778" s="12" t="s">
        <v>795</v>
      </c>
      <c r="G778" s="12">
        <v>3</v>
      </c>
      <c r="H778" s="12">
        <v>3</v>
      </c>
      <c r="I778" s="14"/>
      <c r="J778" s="14" t="s">
        <v>61</v>
      </c>
      <c r="K778" s="12" t="s">
        <v>801</v>
      </c>
      <c r="L778" s="15">
        <v>1</v>
      </c>
      <c r="M778" s="12" t="s">
        <v>150</v>
      </c>
      <c r="N778" s="12">
        <v>3</v>
      </c>
      <c r="O778" s="12">
        <v>3</v>
      </c>
      <c r="P778" s="12">
        <v>0</v>
      </c>
      <c r="Q778" s="16">
        <v>3</v>
      </c>
      <c r="R778" s="16">
        <v>0</v>
      </c>
      <c r="S778" s="16"/>
      <c r="T778" s="16" t="e">
        <v>#N/A</v>
      </c>
      <c r="U778" s="16" t="e">
        <v>#N/A</v>
      </c>
    </row>
    <row r="779" spans="1:21" x14ac:dyDescent="0.25">
      <c r="A779" s="12" t="s">
        <v>21</v>
      </c>
      <c r="B779" s="12" t="s">
        <v>792</v>
      </c>
      <c r="C779" s="12" t="s">
        <v>23</v>
      </c>
      <c r="D779" s="15">
        <v>46260.398888888885</v>
      </c>
      <c r="E779" s="12" t="s">
        <v>24</v>
      </c>
      <c r="F779" s="12" t="s">
        <v>796</v>
      </c>
      <c r="G779" s="12">
        <v>21</v>
      </c>
      <c r="H779" s="12">
        <v>21</v>
      </c>
      <c r="I779" s="14"/>
      <c r="J779" s="14" t="s">
        <v>61</v>
      </c>
      <c r="K779" s="12" t="s">
        <v>802</v>
      </c>
      <c r="L779" s="15">
        <v>1</v>
      </c>
      <c r="M779" s="12" t="s">
        <v>150</v>
      </c>
      <c r="N779" s="12">
        <v>21</v>
      </c>
      <c r="O779" s="12">
        <v>21</v>
      </c>
      <c r="P779" s="12">
        <v>0</v>
      </c>
      <c r="Q779" s="16">
        <v>21</v>
      </c>
      <c r="R779" s="16">
        <v>0</v>
      </c>
      <c r="S779" s="16"/>
      <c r="T779" s="16" t="e">
        <v>#N/A</v>
      </c>
      <c r="U779" s="16" t="e">
        <v>#N/A</v>
      </c>
    </row>
    <row r="780" spans="1:21" x14ac:dyDescent="0.25">
      <c r="A780" s="12" t="s">
        <v>21</v>
      </c>
      <c r="B780" s="12" t="s">
        <v>792</v>
      </c>
      <c r="C780" s="12" t="s">
        <v>23</v>
      </c>
      <c r="D780" s="15">
        <v>46260.398888888885</v>
      </c>
      <c r="E780" s="12" t="s">
        <v>24</v>
      </c>
      <c r="F780" s="12" t="s">
        <v>797</v>
      </c>
      <c r="G780" s="12">
        <v>8</v>
      </c>
      <c r="H780" s="12">
        <v>8</v>
      </c>
      <c r="I780" s="14"/>
      <c r="J780" s="14" t="s">
        <v>61</v>
      </c>
      <c r="K780" s="12" t="s">
        <v>803</v>
      </c>
      <c r="L780" s="15">
        <v>1</v>
      </c>
      <c r="M780" s="12" t="s">
        <v>150</v>
      </c>
      <c r="N780" s="12">
        <v>8</v>
      </c>
      <c r="O780" s="12">
        <v>8</v>
      </c>
      <c r="P780" s="12">
        <v>0</v>
      </c>
      <c r="Q780" s="16">
        <v>8</v>
      </c>
      <c r="R780" s="16">
        <v>0</v>
      </c>
      <c r="S780" s="16"/>
      <c r="T780" s="16" t="e">
        <v>#N/A</v>
      </c>
      <c r="U780" s="16" t="e">
        <v>#N/A</v>
      </c>
    </row>
    <row r="781" spans="1:21" x14ac:dyDescent="0.25">
      <c r="A781" s="12" t="s">
        <v>21</v>
      </c>
      <c r="B781" s="12" t="s">
        <v>792</v>
      </c>
      <c r="C781" s="12" t="s">
        <v>23</v>
      </c>
      <c r="D781" s="15">
        <v>46260.398888888885</v>
      </c>
      <c r="E781" s="12" t="s">
        <v>24</v>
      </c>
      <c r="F781" s="12" t="s">
        <v>798</v>
      </c>
      <c r="G781" s="12">
        <v>8</v>
      </c>
      <c r="H781" s="12">
        <v>8</v>
      </c>
      <c r="I781" s="14"/>
      <c r="J781" s="14" t="s">
        <v>61</v>
      </c>
      <c r="K781" s="12" t="s">
        <v>804</v>
      </c>
      <c r="L781" s="15">
        <v>1</v>
      </c>
      <c r="M781" s="12" t="s">
        <v>150</v>
      </c>
      <c r="N781" s="12">
        <v>8</v>
      </c>
      <c r="O781" s="12">
        <v>8</v>
      </c>
      <c r="P781" s="12">
        <v>0</v>
      </c>
      <c r="Q781" s="16">
        <v>8</v>
      </c>
      <c r="R781" s="16">
        <v>0</v>
      </c>
      <c r="S781" s="16"/>
      <c r="T781" s="16" t="e">
        <v>#N/A</v>
      </c>
      <c r="U781" s="16" t="e">
        <v>#N/A</v>
      </c>
    </row>
    <row r="782" spans="1:21" x14ac:dyDescent="0.25">
      <c r="A782" s="12" t="s">
        <v>21</v>
      </c>
      <c r="B782" s="12" t="s">
        <v>792</v>
      </c>
      <c r="C782" s="12" t="s">
        <v>23</v>
      </c>
      <c r="D782" s="15">
        <v>46260.398888888885</v>
      </c>
      <c r="E782" s="12" t="s">
        <v>24</v>
      </c>
      <c r="F782" s="12" t="s">
        <v>799</v>
      </c>
      <c r="G782" s="12">
        <v>1</v>
      </c>
      <c r="H782" s="12">
        <v>1</v>
      </c>
      <c r="I782" s="14"/>
      <c r="J782" s="14" t="s">
        <v>61</v>
      </c>
      <c r="K782" s="12" t="s">
        <v>805</v>
      </c>
      <c r="L782" s="15">
        <v>1</v>
      </c>
      <c r="M782" s="12" t="s">
        <v>150</v>
      </c>
      <c r="N782" s="12">
        <v>1</v>
      </c>
      <c r="O782" s="12">
        <v>1</v>
      </c>
      <c r="P782" s="12">
        <v>0</v>
      </c>
      <c r="Q782" s="16">
        <v>1</v>
      </c>
      <c r="R782" s="16">
        <v>0</v>
      </c>
      <c r="S782" s="16"/>
      <c r="T782" s="16" t="e">
        <v>#N/A</v>
      </c>
      <c r="U782" s="16" t="e">
        <v>#N/A</v>
      </c>
    </row>
    <row r="783" spans="1:21" x14ac:dyDescent="0.25">
      <c r="A783" s="12" t="s">
        <v>21</v>
      </c>
      <c r="B783" s="12" t="s">
        <v>792</v>
      </c>
      <c r="C783" s="12" t="s">
        <v>23</v>
      </c>
      <c r="D783" s="15">
        <v>46260.398888888885</v>
      </c>
      <c r="E783" s="12" t="s">
        <v>24</v>
      </c>
      <c r="F783" s="12" t="s">
        <v>800</v>
      </c>
      <c r="G783" s="12">
        <v>36</v>
      </c>
      <c r="H783" s="12">
        <v>36</v>
      </c>
      <c r="I783" s="14"/>
      <c r="J783" s="14" t="s">
        <v>61</v>
      </c>
      <c r="K783" s="12" t="s">
        <v>806</v>
      </c>
      <c r="L783" s="15">
        <v>1</v>
      </c>
      <c r="M783" s="12" t="s">
        <v>150</v>
      </c>
      <c r="N783" s="12">
        <v>36</v>
      </c>
      <c r="O783" s="12">
        <v>36</v>
      </c>
      <c r="P783" s="12">
        <v>0</v>
      </c>
      <c r="Q783" s="16">
        <v>36</v>
      </c>
      <c r="R783" s="16">
        <v>0</v>
      </c>
      <c r="S783" s="16"/>
      <c r="T783" s="16" t="e">
        <v>#N/A</v>
      </c>
      <c r="U783" s="16" t="e">
        <v>#N/A</v>
      </c>
    </row>
    <row r="784" spans="1:21" x14ac:dyDescent="0.25">
      <c r="A784" s="12" t="s">
        <v>21</v>
      </c>
      <c r="B784" s="12" t="s">
        <v>792</v>
      </c>
      <c r="C784" s="12" t="s">
        <v>23</v>
      </c>
      <c r="D784" s="15">
        <v>46260.398888888885</v>
      </c>
      <c r="E784" s="12" t="s">
        <v>24</v>
      </c>
      <c r="F784" s="12" t="s">
        <v>807</v>
      </c>
      <c r="G784" s="12">
        <v>12</v>
      </c>
      <c r="H784" s="12">
        <v>12</v>
      </c>
      <c r="I784" s="14"/>
      <c r="J784" s="14" t="s">
        <v>61</v>
      </c>
      <c r="K784" s="12" t="s">
        <v>818</v>
      </c>
      <c r="L784" s="15">
        <v>1</v>
      </c>
      <c r="M784" s="12" t="s">
        <v>150</v>
      </c>
      <c r="N784" s="12">
        <v>12</v>
      </c>
      <c r="O784" s="12">
        <v>12</v>
      </c>
      <c r="P784" s="12">
        <v>0</v>
      </c>
      <c r="Q784" s="16">
        <v>12</v>
      </c>
      <c r="R784" s="16">
        <v>1</v>
      </c>
      <c r="S784" s="16"/>
      <c r="T784" s="16" t="e">
        <v>#N/A</v>
      </c>
      <c r="U784" s="16" t="e">
        <v>#N/A</v>
      </c>
    </row>
    <row r="785" spans="1:21" x14ac:dyDescent="0.25">
      <c r="A785" s="12" t="s">
        <v>21</v>
      </c>
      <c r="B785" s="12" t="s">
        <v>792</v>
      </c>
      <c r="C785" s="12" t="s">
        <v>23</v>
      </c>
      <c r="D785" s="15">
        <v>46260.398888888885</v>
      </c>
      <c r="E785" s="12" t="s">
        <v>24</v>
      </c>
      <c r="F785" s="12" t="s">
        <v>808</v>
      </c>
      <c r="G785" s="12">
        <v>1</v>
      </c>
      <c r="H785" s="12">
        <v>1</v>
      </c>
      <c r="I785" s="14"/>
      <c r="J785" s="14" t="s">
        <v>61</v>
      </c>
      <c r="K785" s="12" t="s">
        <v>819</v>
      </c>
      <c r="L785" s="15">
        <v>1</v>
      </c>
      <c r="M785" s="12" t="s">
        <v>150</v>
      </c>
      <c r="N785" s="12">
        <v>1</v>
      </c>
      <c r="O785" s="12">
        <v>1</v>
      </c>
      <c r="P785" s="12">
        <v>0</v>
      </c>
      <c r="Q785" s="16">
        <v>1</v>
      </c>
      <c r="R785" s="16">
        <v>0</v>
      </c>
      <c r="S785" s="16"/>
      <c r="T785" s="16" t="e">
        <v>#N/A</v>
      </c>
      <c r="U785" s="16" t="e">
        <v>#N/A</v>
      </c>
    </row>
    <row r="786" spans="1:21" x14ac:dyDescent="0.25">
      <c r="A786" s="12" t="s">
        <v>21</v>
      </c>
      <c r="B786" s="12" t="s">
        <v>792</v>
      </c>
      <c r="C786" s="12" t="s">
        <v>23</v>
      </c>
      <c r="D786" s="15">
        <v>46260.398888888885</v>
      </c>
      <c r="E786" s="12" t="s">
        <v>24</v>
      </c>
      <c r="F786" s="12" t="s">
        <v>809</v>
      </c>
      <c r="G786" s="12">
        <v>1</v>
      </c>
      <c r="H786" s="12">
        <v>1</v>
      </c>
      <c r="I786" s="14"/>
      <c r="J786" s="14" t="s">
        <v>61</v>
      </c>
      <c r="K786" s="12" t="s">
        <v>820</v>
      </c>
      <c r="L786" s="15">
        <v>1</v>
      </c>
      <c r="M786" s="12" t="s">
        <v>150</v>
      </c>
      <c r="N786" s="12">
        <v>1</v>
      </c>
      <c r="O786" s="12">
        <v>1</v>
      </c>
      <c r="P786" s="12">
        <v>0</v>
      </c>
      <c r="Q786" s="16">
        <v>1</v>
      </c>
      <c r="R786" s="16">
        <v>0</v>
      </c>
      <c r="S786" s="16"/>
      <c r="T786" s="16" t="e">
        <v>#N/A</v>
      </c>
      <c r="U786" s="16" t="e">
        <v>#N/A</v>
      </c>
    </row>
    <row r="787" spans="1:21" x14ac:dyDescent="0.25">
      <c r="A787" s="12" t="s">
        <v>21</v>
      </c>
      <c r="B787" s="12" t="s">
        <v>792</v>
      </c>
      <c r="C787" s="12" t="s">
        <v>23</v>
      </c>
      <c r="D787" s="15">
        <v>46260.398888888885</v>
      </c>
      <c r="E787" s="12" t="s">
        <v>24</v>
      </c>
      <c r="F787" s="12" t="s">
        <v>810</v>
      </c>
      <c r="G787" s="12">
        <v>3</v>
      </c>
      <c r="H787" s="12">
        <v>3</v>
      </c>
      <c r="I787" s="14"/>
      <c r="J787" s="14" t="s">
        <v>61</v>
      </c>
      <c r="K787" s="12" t="s">
        <v>821</v>
      </c>
      <c r="L787" s="15">
        <v>1</v>
      </c>
      <c r="M787" s="12" t="s">
        <v>150</v>
      </c>
      <c r="N787" s="12">
        <v>3</v>
      </c>
      <c r="O787" s="12">
        <v>3</v>
      </c>
      <c r="P787" s="12">
        <v>0</v>
      </c>
      <c r="Q787" s="16">
        <v>3</v>
      </c>
      <c r="R787" s="16">
        <v>0</v>
      </c>
      <c r="S787" s="16"/>
      <c r="T787" s="16" t="e">
        <v>#N/A</v>
      </c>
      <c r="U787" s="16" t="e">
        <v>#N/A</v>
      </c>
    </row>
    <row r="788" spans="1:21" x14ac:dyDescent="0.25">
      <c r="A788" s="12" t="s">
        <v>21</v>
      </c>
      <c r="B788" s="12" t="s">
        <v>792</v>
      </c>
      <c r="C788" s="12" t="s">
        <v>23</v>
      </c>
      <c r="D788" s="15">
        <v>46260.398888888885</v>
      </c>
      <c r="E788" s="12" t="s">
        <v>24</v>
      </c>
      <c r="F788" s="12" t="s">
        <v>811</v>
      </c>
      <c r="G788" s="12">
        <v>2</v>
      </c>
      <c r="H788" s="12">
        <v>2</v>
      </c>
      <c r="I788" s="14"/>
      <c r="J788" s="14" t="s">
        <v>61</v>
      </c>
      <c r="K788" s="12" t="s">
        <v>822</v>
      </c>
      <c r="L788" s="15">
        <v>1</v>
      </c>
      <c r="M788" s="12" t="s">
        <v>150</v>
      </c>
      <c r="N788" s="12">
        <v>2</v>
      </c>
      <c r="O788" s="12">
        <v>2</v>
      </c>
      <c r="P788" s="12">
        <v>0</v>
      </c>
      <c r="Q788" s="16">
        <v>2</v>
      </c>
      <c r="R788" s="16">
        <v>0</v>
      </c>
      <c r="S788" s="16"/>
      <c r="T788" s="16" t="e">
        <v>#N/A</v>
      </c>
      <c r="U788" s="16" t="e">
        <v>#N/A</v>
      </c>
    </row>
    <row r="789" spans="1:21" x14ac:dyDescent="0.25">
      <c r="A789" s="12" t="s">
        <v>21</v>
      </c>
      <c r="B789" s="12" t="s">
        <v>792</v>
      </c>
      <c r="C789" s="12" t="s">
        <v>23</v>
      </c>
      <c r="D789" s="15">
        <v>46260.398888888885</v>
      </c>
      <c r="E789" s="12" t="s">
        <v>24</v>
      </c>
      <c r="F789" s="12" t="s">
        <v>812</v>
      </c>
      <c r="G789" s="12">
        <v>23</v>
      </c>
      <c r="H789" s="12">
        <v>23</v>
      </c>
      <c r="I789" s="14"/>
      <c r="J789" s="14" t="s">
        <v>61</v>
      </c>
      <c r="K789" s="12" t="s">
        <v>823</v>
      </c>
      <c r="L789" s="15">
        <v>1</v>
      </c>
      <c r="M789" s="12" t="s">
        <v>150</v>
      </c>
      <c r="N789" s="12">
        <v>23</v>
      </c>
      <c r="O789" s="12">
        <v>23</v>
      </c>
      <c r="P789" s="12">
        <v>0</v>
      </c>
      <c r="Q789" s="16">
        <v>23</v>
      </c>
      <c r="R789" s="16">
        <v>0</v>
      </c>
      <c r="S789" s="16"/>
      <c r="T789" s="16" t="e">
        <v>#N/A</v>
      </c>
      <c r="U789" s="16" t="e">
        <v>#N/A</v>
      </c>
    </row>
    <row r="790" spans="1:21" x14ac:dyDescent="0.25">
      <c r="A790" s="12" t="s">
        <v>21</v>
      </c>
      <c r="B790" s="12" t="s">
        <v>792</v>
      </c>
      <c r="C790" s="12" t="s">
        <v>23</v>
      </c>
      <c r="D790" s="15">
        <v>46260.398888888885</v>
      </c>
      <c r="E790" s="12" t="s">
        <v>24</v>
      </c>
      <c r="F790" s="12" t="s">
        <v>813</v>
      </c>
      <c r="G790" s="12">
        <v>1</v>
      </c>
      <c r="H790" s="12">
        <v>1</v>
      </c>
      <c r="I790" s="14"/>
      <c r="J790" s="14" t="s">
        <v>61</v>
      </c>
      <c r="K790" s="12" t="s">
        <v>824</v>
      </c>
      <c r="L790" s="15">
        <v>1</v>
      </c>
      <c r="M790" s="12" t="s">
        <v>150</v>
      </c>
      <c r="N790" s="12">
        <v>1</v>
      </c>
      <c r="O790" s="12">
        <v>1</v>
      </c>
      <c r="P790" s="12">
        <v>0</v>
      </c>
      <c r="Q790" s="16">
        <v>1</v>
      </c>
      <c r="R790" s="16">
        <v>1</v>
      </c>
      <c r="S790" s="16"/>
      <c r="T790" s="16" t="e">
        <v>#N/A</v>
      </c>
      <c r="U790" s="16" t="e">
        <v>#N/A</v>
      </c>
    </row>
    <row r="791" spans="1:21" x14ac:dyDescent="0.25">
      <c r="A791" s="12" t="s">
        <v>21</v>
      </c>
      <c r="B791" s="12" t="s">
        <v>792</v>
      </c>
      <c r="C791" s="12" t="s">
        <v>23</v>
      </c>
      <c r="D791" s="15">
        <v>46260.398888888885</v>
      </c>
      <c r="E791" s="12" t="s">
        <v>24</v>
      </c>
      <c r="F791" s="12" t="s">
        <v>814</v>
      </c>
      <c r="G791" s="12">
        <v>1</v>
      </c>
      <c r="H791" s="12">
        <v>1</v>
      </c>
      <c r="I791" s="14"/>
      <c r="J791" s="14" t="s">
        <v>61</v>
      </c>
      <c r="K791" s="12" t="s">
        <v>825</v>
      </c>
      <c r="L791" s="15">
        <v>1</v>
      </c>
      <c r="M791" s="12" t="s">
        <v>150</v>
      </c>
      <c r="N791" s="12">
        <v>1</v>
      </c>
      <c r="O791" s="12">
        <v>1</v>
      </c>
      <c r="P791" s="12">
        <v>0</v>
      </c>
      <c r="Q791" s="16">
        <v>1</v>
      </c>
      <c r="R791" s="16">
        <v>0</v>
      </c>
      <c r="S791" s="16"/>
      <c r="T791" s="16" t="e">
        <v>#N/A</v>
      </c>
      <c r="U791" s="16" t="e">
        <v>#N/A</v>
      </c>
    </row>
    <row r="792" spans="1:21" x14ac:dyDescent="0.25">
      <c r="A792" s="12" t="s">
        <v>21</v>
      </c>
      <c r="B792" s="12" t="s">
        <v>792</v>
      </c>
      <c r="C792" s="12" t="s">
        <v>23</v>
      </c>
      <c r="D792" s="15">
        <v>46260.398888888885</v>
      </c>
      <c r="E792" s="12" t="s">
        <v>24</v>
      </c>
      <c r="F792" s="12" t="s">
        <v>815</v>
      </c>
      <c r="G792" s="12">
        <v>17</v>
      </c>
      <c r="H792" s="12">
        <v>17</v>
      </c>
      <c r="I792" s="14"/>
      <c r="J792" s="14" t="s">
        <v>61</v>
      </c>
      <c r="K792" s="12" t="s">
        <v>826</v>
      </c>
      <c r="L792" s="15">
        <v>1</v>
      </c>
      <c r="M792" s="12" t="s">
        <v>150</v>
      </c>
      <c r="N792" s="12">
        <v>17</v>
      </c>
      <c r="O792" s="12">
        <v>17</v>
      </c>
      <c r="P792" s="12">
        <v>0</v>
      </c>
      <c r="Q792" s="16">
        <v>17</v>
      </c>
      <c r="R792" s="16">
        <v>0</v>
      </c>
      <c r="S792" s="16"/>
      <c r="T792" s="16" t="e">
        <v>#N/A</v>
      </c>
      <c r="U792" s="16" t="e">
        <v>#N/A</v>
      </c>
    </row>
    <row r="793" spans="1:21" x14ac:dyDescent="0.25">
      <c r="A793" s="12" t="s">
        <v>21</v>
      </c>
      <c r="B793" s="12" t="s">
        <v>792</v>
      </c>
      <c r="C793" s="12" t="s">
        <v>23</v>
      </c>
      <c r="D793" s="15">
        <v>46260.398888888885</v>
      </c>
      <c r="E793" s="12" t="s">
        <v>24</v>
      </c>
      <c r="F793" s="12" t="s">
        <v>816</v>
      </c>
      <c r="G793" s="12">
        <v>8</v>
      </c>
      <c r="H793" s="12">
        <v>8</v>
      </c>
      <c r="I793" s="14"/>
      <c r="J793" s="14" t="s">
        <v>61</v>
      </c>
      <c r="K793" s="12" t="s">
        <v>827</v>
      </c>
      <c r="L793" s="15">
        <v>1</v>
      </c>
      <c r="M793" s="12" t="s">
        <v>150</v>
      </c>
      <c r="N793" s="12">
        <v>8</v>
      </c>
      <c r="O793" s="12">
        <v>8</v>
      </c>
      <c r="P793" s="12">
        <v>0</v>
      </c>
      <c r="Q793" s="16">
        <v>8</v>
      </c>
      <c r="R793" s="16">
        <v>0</v>
      </c>
      <c r="S793" s="16"/>
      <c r="T793" s="16" t="e">
        <v>#N/A</v>
      </c>
      <c r="U793" s="16" t="e">
        <v>#N/A</v>
      </c>
    </row>
    <row r="794" spans="1:21" x14ac:dyDescent="0.25">
      <c r="A794" s="12" t="s">
        <v>21</v>
      </c>
      <c r="B794" s="12" t="s">
        <v>792</v>
      </c>
      <c r="C794" s="12" t="s">
        <v>23</v>
      </c>
      <c r="D794" s="15">
        <v>46260.398888888885</v>
      </c>
      <c r="E794" s="12" t="s">
        <v>24</v>
      </c>
      <c r="F794" s="12" t="s">
        <v>817</v>
      </c>
      <c r="G794" s="12">
        <v>10</v>
      </c>
      <c r="H794" s="12">
        <v>10</v>
      </c>
      <c r="I794" s="14"/>
      <c r="J794" s="14" t="s">
        <v>61</v>
      </c>
      <c r="K794" s="12" t="s">
        <v>828</v>
      </c>
      <c r="L794" s="15">
        <v>1</v>
      </c>
      <c r="M794" s="12" t="s">
        <v>150</v>
      </c>
      <c r="N794" s="12">
        <v>10</v>
      </c>
      <c r="O794" s="12">
        <v>10</v>
      </c>
      <c r="P794" s="12">
        <v>0</v>
      </c>
      <c r="Q794" s="16">
        <v>10</v>
      </c>
      <c r="R794" s="16">
        <v>0</v>
      </c>
      <c r="S794" s="16"/>
      <c r="T794" s="16" t="e">
        <v>#N/A</v>
      </c>
      <c r="U794" s="16" t="e">
        <v>#N/A</v>
      </c>
    </row>
    <row r="795" spans="1:21" x14ac:dyDescent="0.25">
      <c r="A795" s="12" t="s">
        <v>21</v>
      </c>
      <c r="B795" s="12" t="s">
        <v>792</v>
      </c>
      <c r="C795" s="12" t="s">
        <v>23</v>
      </c>
      <c r="D795" s="15">
        <v>46260.398888888885</v>
      </c>
      <c r="E795" s="12" t="s">
        <v>24</v>
      </c>
      <c r="F795" s="12" t="s">
        <v>829</v>
      </c>
      <c r="G795" s="12">
        <v>17</v>
      </c>
      <c r="H795" s="12">
        <v>17</v>
      </c>
      <c r="I795" s="14"/>
      <c r="J795" s="14" t="s">
        <v>61</v>
      </c>
      <c r="K795" s="12" t="s">
        <v>830</v>
      </c>
      <c r="L795" s="15">
        <v>1</v>
      </c>
      <c r="M795" s="12" t="s">
        <v>150</v>
      </c>
      <c r="N795" s="12">
        <v>17</v>
      </c>
      <c r="O795" s="12">
        <v>17</v>
      </c>
      <c r="P795" s="12">
        <v>0</v>
      </c>
      <c r="Q795" s="16">
        <v>17</v>
      </c>
      <c r="R795" s="16">
        <v>0</v>
      </c>
      <c r="S795" s="16"/>
      <c r="T795" s="16" t="e">
        <v>#N/A</v>
      </c>
      <c r="U795" s="16" t="e">
        <v>#N/A</v>
      </c>
    </row>
    <row r="796" spans="1:21" x14ac:dyDescent="0.25">
      <c r="A796" s="12" t="s">
        <v>21</v>
      </c>
      <c r="B796" s="12" t="s">
        <v>831</v>
      </c>
      <c r="C796" s="12" t="s">
        <v>23</v>
      </c>
      <c r="D796" s="15">
        <v>46260.417627314811</v>
      </c>
      <c r="E796" s="12" t="s">
        <v>832</v>
      </c>
      <c r="F796" s="12" t="s">
        <v>833</v>
      </c>
      <c r="G796" s="12">
        <v>4</v>
      </c>
      <c r="H796" s="12">
        <v>4</v>
      </c>
      <c r="I796" s="14"/>
      <c r="J796" s="14" t="s">
        <v>61</v>
      </c>
      <c r="K796" s="12" t="s">
        <v>835</v>
      </c>
      <c r="L796" s="15">
        <v>1</v>
      </c>
      <c r="M796" s="12" t="s">
        <v>150</v>
      </c>
      <c r="N796" s="12">
        <v>4</v>
      </c>
      <c r="O796" s="12">
        <v>4</v>
      </c>
      <c r="P796" s="12">
        <v>0</v>
      </c>
      <c r="Q796" s="16">
        <v>4</v>
      </c>
      <c r="R796" s="16">
        <v>0</v>
      </c>
      <c r="S796" s="16"/>
      <c r="T796" s="16" t="e">
        <v>#N/A</v>
      </c>
      <c r="U796" s="16" t="e">
        <v>#N/A</v>
      </c>
    </row>
    <row r="797" spans="1:21" x14ac:dyDescent="0.25">
      <c r="A797" s="12" t="s">
        <v>21</v>
      </c>
      <c r="B797" s="12" t="s">
        <v>831</v>
      </c>
      <c r="C797" s="12" t="s">
        <v>23</v>
      </c>
      <c r="D797" s="15">
        <v>46260.417627314811</v>
      </c>
      <c r="E797" s="12" t="s">
        <v>832</v>
      </c>
      <c r="F797" s="12" t="s">
        <v>834</v>
      </c>
      <c r="G797" s="12">
        <v>2</v>
      </c>
      <c r="H797" s="12">
        <v>1</v>
      </c>
      <c r="I797" s="14"/>
      <c r="J797" s="14" t="s">
        <v>61</v>
      </c>
      <c r="K797" s="12" t="s">
        <v>836</v>
      </c>
      <c r="L797" s="15">
        <v>1</v>
      </c>
      <c r="M797" s="12" t="s">
        <v>150</v>
      </c>
      <c r="N797" s="12">
        <v>1</v>
      </c>
      <c r="O797" s="12">
        <v>1</v>
      </c>
      <c r="P797" s="12">
        <v>0</v>
      </c>
      <c r="Q797" s="16">
        <v>2</v>
      </c>
      <c r="R797" s="16">
        <v>0</v>
      </c>
      <c r="S797" s="16"/>
      <c r="T797" s="16" t="e">
        <v>#N/A</v>
      </c>
      <c r="U797" s="16" t="e">
        <v>#N/A</v>
      </c>
    </row>
    <row r="798" spans="1:21" x14ac:dyDescent="0.25">
      <c r="A798" s="12" t="s">
        <v>21</v>
      </c>
      <c r="B798" s="12" t="s">
        <v>837</v>
      </c>
      <c r="C798" s="12" t="s">
        <v>23</v>
      </c>
      <c r="D798" s="15">
        <v>46260.566678240742</v>
      </c>
      <c r="E798" s="12" t="s">
        <v>522</v>
      </c>
      <c r="F798" s="12" t="s">
        <v>326</v>
      </c>
      <c r="G798" s="12">
        <v>20</v>
      </c>
      <c r="H798" s="12">
        <v>20</v>
      </c>
      <c r="I798" s="14"/>
      <c r="J798" s="14" t="s">
        <v>61</v>
      </c>
      <c r="K798" s="12" t="s">
        <v>839</v>
      </c>
      <c r="L798" s="15">
        <v>1</v>
      </c>
      <c r="M798" s="12" t="s">
        <v>150</v>
      </c>
      <c r="N798" s="12">
        <v>20</v>
      </c>
      <c r="O798" s="12">
        <v>20</v>
      </c>
      <c r="P798" s="12">
        <v>0</v>
      </c>
      <c r="Q798" s="16">
        <v>20</v>
      </c>
      <c r="R798" s="16">
        <v>0</v>
      </c>
      <c r="S798" s="16"/>
      <c r="T798" s="16" t="e">
        <v>#N/A</v>
      </c>
      <c r="U798" s="16" t="e">
        <v>#N/A</v>
      </c>
    </row>
    <row r="799" spans="1:21" x14ac:dyDescent="0.25">
      <c r="A799" s="12" t="s">
        <v>21</v>
      </c>
      <c r="B799" s="12" t="s">
        <v>837</v>
      </c>
      <c r="C799" s="12" t="s">
        <v>23</v>
      </c>
      <c r="D799" s="15">
        <v>46260.566678240742</v>
      </c>
      <c r="E799" s="12" t="s">
        <v>522</v>
      </c>
      <c r="F799" s="12" t="s">
        <v>67</v>
      </c>
      <c r="G799" s="12">
        <v>100</v>
      </c>
      <c r="H799" s="12">
        <v>100</v>
      </c>
      <c r="I799" s="14"/>
      <c r="J799" s="14" t="s">
        <v>61</v>
      </c>
      <c r="K799" s="12" t="s">
        <v>840</v>
      </c>
      <c r="L799" s="15">
        <v>1</v>
      </c>
      <c r="M799" s="12" t="s">
        <v>150</v>
      </c>
      <c r="N799" s="12">
        <v>100</v>
      </c>
      <c r="O799" s="12">
        <v>100</v>
      </c>
      <c r="P799" s="12">
        <v>0</v>
      </c>
      <c r="Q799" s="16">
        <v>100</v>
      </c>
      <c r="R799" s="16">
        <v>0</v>
      </c>
      <c r="S799" s="16"/>
      <c r="T799" s="16" t="e">
        <v>#N/A</v>
      </c>
      <c r="U799" s="16" t="e">
        <v>#N/A</v>
      </c>
    </row>
    <row r="800" spans="1:21" x14ac:dyDescent="0.25">
      <c r="A800" s="12" t="s">
        <v>21</v>
      </c>
      <c r="B800" s="12" t="s">
        <v>837</v>
      </c>
      <c r="C800" s="12" t="s">
        <v>23</v>
      </c>
      <c r="D800" s="15">
        <v>46260.566678240742</v>
      </c>
      <c r="E800" s="12" t="s">
        <v>522</v>
      </c>
      <c r="F800" s="12" t="s">
        <v>735</v>
      </c>
      <c r="G800" s="12">
        <v>8</v>
      </c>
      <c r="H800" s="12">
        <v>8</v>
      </c>
      <c r="I800" s="14"/>
      <c r="J800" s="14" t="s">
        <v>61</v>
      </c>
      <c r="K800" s="12" t="s">
        <v>841</v>
      </c>
      <c r="L800" s="15">
        <v>1</v>
      </c>
      <c r="M800" s="12" t="s">
        <v>150</v>
      </c>
      <c r="N800" s="12">
        <v>8</v>
      </c>
      <c r="O800" s="12">
        <v>8</v>
      </c>
      <c r="P800" s="12">
        <v>0</v>
      </c>
      <c r="Q800" s="16">
        <v>8</v>
      </c>
      <c r="R800" s="16">
        <v>0</v>
      </c>
      <c r="S800" s="16"/>
      <c r="T800" s="16" t="e">
        <v>#N/A</v>
      </c>
      <c r="U800" s="16" t="e">
        <v>#N/A</v>
      </c>
    </row>
    <row r="801" spans="1:21" x14ac:dyDescent="0.25">
      <c r="A801" s="12" t="s">
        <v>21</v>
      </c>
      <c r="B801" s="12" t="s">
        <v>837</v>
      </c>
      <c r="C801" s="12" t="s">
        <v>23</v>
      </c>
      <c r="D801" s="15">
        <v>46260.566678240742</v>
      </c>
      <c r="E801" s="12" t="s">
        <v>522</v>
      </c>
      <c r="F801" s="12" t="s">
        <v>838</v>
      </c>
      <c r="G801" s="12">
        <v>50</v>
      </c>
      <c r="H801" s="12">
        <v>50</v>
      </c>
      <c r="I801" s="14"/>
      <c r="J801" s="14" t="s">
        <v>61</v>
      </c>
      <c r="K801" s="12" t="s">
        <v>842</v>
      </c>
      <c r="L801" s="15">
        <v>1</v>
      </c>
      <c r="M801" s="12" t="s">
        <v>150</v>
      </c>
      <c r="N801" s="12">
        <v>50</v>
      </c>
      <c r="O801" s="12">
        <v>50</v>
      </c>
      <c r="P801" s="12">
        <v>0</v>
      </c>
      <c r="Q801" s="16">
        <v>50</v>
      </c>
      <c r="R801" s="16">
        <v>0</v>
      </c>
      <c r="S801" s="16"/>
      <c r="T801" s="16" t="e">
        <v>#N/A</v>
      </c>
      <c r="U801" s="16" t="e">
        <v>#N/A</v>
      </c>
    </row>
    <row r="802" spans="1:21" x14ac:dyDescent="0.25">
      <c r="A802" s="12" t="s">
        <v>21</v>
      </c>
      <c r="B802" s="12" t="s">
        <v>843</v>
      </c>
      <c r="C802" s="12" t="s">
        <v>23</v>
      </c>
      <c r="D802" s="15">
        <v>46261.381307870368</v>
      </c>
      <c r="E802" s="12" t="s">
        <v>398</v>
      </c>
      <c r="F802" s="12" t="s">
        <v>332</v>
      </c>
      <c r="G802" s="12">
        <v>10</v>
      </c>
      <c r="H802" s="12">
        <v>10</v>
      </c>
      <c r="I802" s="14"/>
      <c r="J802" s="14" t="s">
        <v>26</v>
      </c>
      <c r="K802" s="12" t="s">
        <v>848</v>
      </c>
      <c r="L802" s="15">
        <v>1</v>
      </c>
      <c r="M802" s="12" t="s">
        <v>150</v>
      </c>
      <c r="N802" s="12">
        <v>10</v>
      </c>
      <c r="O802" s="12">
        <v>10</v>
      </c>
      <c r="P802" s="12">
        <v>0</v>
      </c>
      <c r="Q802" s="16">
        <v>0</v>
      </c>
      <c r="R802" s="16">
        <v>0</v>
      </c>
      <c r="S802" s="16"/>
      <c r="T802" s="16" t="e">
        <v>#N/A</v>
      </c>
      <c r="U802" s="16" t="e">
        <v>#N/A</v>
      </c>
    </row>
    <row r="803" spans="1:21" x14ac:dyDescent="0.25">
      <c r="A803" s="12" t="s">
        <v>21</v>
      </c>
      <c r="B803" s="12" t="s">
        <v>843</v>
      </c>
      <c r="C803" s="12" t="s">
        <v>23</v>
      </c>
      <c r="D803" s="15">
        <v>46261.381307870368</v>
      </c>
      <c r="E803" s="12" t="s">
        <v>398</v>
      </c>
      <c r="F803" s="12" t="s">
        <v>489</v>
      </c>
      <c r="G803" s="12">
        <v>10</v>
      </c>
      <c r="H803" s="12">
        <v>10</v>
      </c>
      <c r="I803" s="14"/>
      <c r="J803" s="14" t="s">
        <v>26</v>
      </c>
      <c r="K803" s="12" t="s">
        <v>27</v>
      </c>
      <c r="L803" s="15"/>
      <c r="M803" s="12" t="s">
        <v>28</v>
      </c>
      <c r="N803" s="12"/>
      <c r="O803" s="12"/>
      <c r="P803" s="12"/>
      <c r="Q803" s="16">
        <v>0</v>
      </c>
      <c r="R803" s="16">
        <v>0</v>
      </c>
      <c r="S803" s="16"/>
      <c r="T803" s="16" t="e">
        <v>#N/A</v>
      </c>
      <c r="U803" s="16" t="e">
        <v>#N/A</v>
      </c>
    </row>
    <row r="804" spans="1:21" x14ac:dyDescent="0.25">
      <c r="A804" s="12" t="s">
        <v>21</v>
      </c>
      <c r="B804" s="12" t="s">
        <v>843</v>
      </c>
      <c r="C804" s="12" t="s">
        <v>23</v>
      </c>
      <c r="D804" s="15">
        <v>46261.381307870368</v>
      </c>
      <c r="E804" s="12" t="s">
        <v>398</v>
      </c>
      <c r="F804" s="12" t="s">
        <v>530</v>
      </c>
      <c r="G804" s="12">
        <v>10</v>
      </c>
      <c r="H804" s="12">
        <v>10</v>
      </c>
      <c r="I804" s="14"/>
      <c r="J804" s="14" t="s">
        <v>61</v>
      </c>
      <c r="K804" s="12" t="s">
        <v>849</v>
      </c>
      <c r="L804" s="15">
        <v>1</v>
      </c>
      <c r="M804" s="12" t="s">
        <v>150</v>
      </c>
      <c r="N804" s="12">
        <v>10</v>
      </c>
      <c r="O804" s="12">
        <v>10</v>
      </c>
      <c r="P804" s="12">
        <v>0</v>
      </c>
      <c r="Q804" s="16">
        <v>10</v>
      </c>
      <c r="R804" s="16">
        <v>0</v>
      </c>
      <c r="S804" s="16"/>
      <c r="T804" s="16" t="e">
        <v>#N/A</v>
      </c>
      <c r="U804" s="16" t="e">
        <v>#N/A</v>
      </c>
    </row>
    <row r="805" spans="1:21" x14ac:dyDescent="0.25">
      <c r="A805" s="12" t="s">
        <v>21</v>
      </c>
      <c r="B805" s="12" t="s">
        <v>843</v>
      </c>
      <c r="C805" s="12" t="s">
        <v>23</v>
      </c>
      <c r="D805" s="15">
        <v>46261.381307870368</v>
      </c>
      <c r="E805" s="12" t="s">
        <v>398</v>
      </c>
      <c r="F805" s="12" t="s">
        <v>844</v>
      </c>
      <c r="G805" s="12">
        <v>18</v>
      </c>
      <c r="H805" s="12">
        <v>18</v>
      </c>
      <c r="I805" s="14"/>
      <c r="J805" s="14" t="s">
        <v>61</v>
      </c>
      <c r="K805" s="12" t="s">
        <v>850</v>
      </c>
      <c r="L805" s="15">
        <v>1</v>
      </c>
      <c r="M805" s="12" t="s">
        <v>150</v>
      </c>
      <c r="N805" s="12">
        <v>18</v>
      </c>
      <c r="O805" s="12">
        <v>18</v>
      </c>
      <c r="P805" s="12">
        <v>0</v>
      </c>
      <c r="Q805" s="16">
        <v>18</v>
      </c>
      <c r="R805" s="16">
        <v>0</v>
      </c>
      <c r="S805" s="16"/>
      <c r="T805" s="16" t="e">
        <v>#N/A</v>
      </c>
      <c r="U805" s="16" t="e">
        <v>#N/A</v>
      </c>
    </row>
    <row r="806" spans="1:21" x14ac:dyDescent="0.25">
      <c r="A806" s="12" t="s">
        <v>21</v>
      </c>
      <c r="B806" s="12" t="s">
        <v>843</v>
      </c>
      <c r="C806" s="12" t="s">
        <v>23</v>
      </c>
      <c r="D806" s="15">
        <v>46261.381307870368</v>
      </c>
      <c r="E806" s="12" t="s">
        <v>398</v>
      </c>
      <c r="F806" s="12" t="s">
        <v>531</v>
      </c>
      <c r="G806" s="12">
        <v>16</v>
      </c>
      <c r="H806" s="12">
        <v>16</v>
      </c>
      <c r="I806" s="14"/>
      <c r="J806" s="14" t="s">
        <v>61</v>
      </c>
      <c r="K806" s="12" t="s">
        <v>851</v>
      </c>
      <c r="L806" s="15">
        <v>1</v>
      </c>
      <c r="M806" s="12" t="s">
        <v>150</v>
      </c>
      <c r="N806" s="12">
        <v>16</v>
      </c>
      <c r="O806" s="12">
        <v>16</v>
      </c>
      <c r="P806" s="12">
        <v>0</v>
      </c>
      <c r="Q806" s="16">
        <v>16</v>
      </c>
      <c r="R806" s="16">
        <v>0</v>
      </c>
      <c r="S806" s="16"/>
      <c r="T806" s="16" t="e">
        <v>#N/A</v>
      </c>
      <c r="U806" s="16" t="e">
        <v>#N/A</v>
      </c>
    </row>
    <row r="807" spans="1:21" x14ac:dyDescent="0.25">
      <c r="A807" s="12" t="s">
        <v>21</v>
      </c>
      <c r="B807" s="12" t="s">
        <v>843</v>
      </c>
      <c r="C807" s="12" t="s">
        <v>23</v>
      </c>
      <c r="D807" s="15">
        <v>46261.381307870368</v>
      </c>
      <c r="E807" s="12" t="s">
        <v>398</v>
      </c>
      <c r="F807" s="12" t="s">
        <v>845</v>
      </c>
      <c r="G807" s="12">
        <v>10</v>
      </c>
      <c r="H807" s="12">
        <v>10</v>
      </c>
      <c r="I807" s="14"/>
      <c r="J807" s="14" t="s">
        <v>61</v>
      </c>
      <c r="K807" s="12" t="s">
        <v>852</v>
      </c>
      <c r="L807" s="15">
        <v>1</v>
      </c>
      <c r="M807" s="12" t="s">
        <v>150</v>
      </c>
      <c r="N807" s="12">
        <v>10</v>
      </c>
      <c r="O807" s="12">
        <v>10</v>
      </c>
      <c r="P807" s="12">
        <v>0</v>
      </c>
      <c r="Q807" s="16">
        <v>10</v>
      </c>
      <c r="R807" s="16">
        <v>0</v>
      </c>
      <c r="S807" s="16"/>
      <c r="T807" s="16" t="e">
        <v>#N/A</v>
      </c>
      <c r="U807" s="16" t="e">
        <v>#N/A</v>
      </c>
    </row>
    <row r="808" spans="1:21" x14ac:dyDescent="0.25">
      <c r="A808" s="12" t="s">
        <v>21</v>
      </c>
      <c r="B808" s="12" t="s">
        <v>843</v>
      </c>
      <c r="C808" s="12" t="s">
        <v>23</v>
      </c>
      <c r="D808" s="15">
        <v>46261.381307870368</v>
      </c>
      <c r="E808" s="12" t="s">
        <v>398</v>
      </c>
      <c r="F808" s="12" t="s">
        <v>846</v>
      </c>
      <c r="G808" s="12">
        <v>2</v>
      </c>
      <c r="H808" s="12">
        <v>2</v>
      </c>
      <c r="I808" s="14"/>
      <c r="J808" s="14" t="s">
        <v>61</v>
      </c>
      <c r="K808" s="12" t="s">
        <v>853</v>
      </c>
      <c r="L808" s="15">
        <v>1</v>
      </c>
      <c r="M808" s="12" t="s">
        <v>150</v>
      </c>
      <c r="N808" s="12">
        <v>2</v>
      </c>
      <c r="O808" s="12">
        <v>2</v>
      </c>
      <c r="P808" s="12">
        <v>0</v>
      </c>
      <c r="Q808" s="16">
        <v>2</v>
      </c>
      <c r="R808" s="16">
        <v>0</v>
      </c>
      <c r="S808" s="16"/>
      <c r="T808" s="16" t="e">
        <v>#N/A</v>
      </c>
      <c r="U808" s="16" t="e">
        <v>#N/A</v>
      </c>
    </row>
    <row r="809" spans="1:21" x14ac:dyDescent="0.25">
      <c r="A809" s="12" t="s">
        <v>21</v>
      </c>
      <c r="B809" s="12" t="s">
        <v>843</v>
      </c>
      <c r="C809" s="12" t="s">
        <v>23</v>
      </c>
      <c r="D809" s="15">
        <v>46261.381307870368</v>
      </c>
      <c r="E809" s="12" t="s">
        <v>398</v>
      </c>
      <c r="F809" s="12" t="s">
        <v>847</v>
      </c>
      <c r="G809" s="12">
        <v>20</v>
      </c>
      <c r="H809" s="12">
        <v>20</v>
      </c>
      <c r="I809" s="14"/>
      <c r="J809" s="14" t="s">
        <v>61</v>
      </c>
      <c r="K809" s="12" t="s">
        <v>854</v>
      </c>
      <c r="L809" s="15">
        <v>1</v>
      </c>
      <c r="M809" s="12" t="s">
        <v>150</v>
      </c>
      <c r="N809" s="12">
        <v>20</v>
      </c>
      <c r="O809" s="12">
        <v>20</v>
      </c>
      <c r="P809" s="12">
        <v>0</v>
      </c>
      <c r="Q809" s="16">
        <v>20</v>
      </c>
      <c r="R809" s="16">
        <v>0</v>
      </c>
      <c r="S809" s="16"/>
      <c r="T809" s="16" t="e">
        <v>#N/A</v>
      </c>
      <c r="U809" s="16" t="e">
        <v>#N/A</v>
      </c>
    </row>
    <row r="810" spans="1:21" x14ac:dyDescent="0.25">
      <c r="A810" s="12" t="s">
        <v>21</v>
      </c>
      <c r="B810" s="12" t="s">
        <v>855</v>
      </c>
      <c r="C810" s="12" t="s">
        <v>23</v>
      </c>
      <c r="D810" s="15">
        <v>46261.431909722225</v>
      </c>
      <c r="E810" s="12" t="s">
        <v>856</v>
      </c>
      <c r="F810" s="12" t="s">
        <v>857</v>
      </c>
      <c r="G810" s="12">
        <v>1</v>
      </c>
      <c r="H810" s="12">
        <v>1</v>
      </c>
      <c r="I810" s="14"/>
      <c r="J810" s="14" t="s">
        <v>61</v>
      </c>
      <c r="K810" s="12" t="s">
        <v>860</v>
      </c>
      <c r="L810" s="15">
        <v>1</v>
      </c>
      <c r="M810" s="12" t="s">
        <v>150</v>
      </c>
      <c r="N810" s="12">
        <v>1</v>
      </c>
      <c r="O810" s="12">
        <v>1</v>
      </c>
      <c r="P810" s="12">
        <v>0</v>
      </c>
      <c r="Q810" s="16">
        <v>1</v>
      </c>
      <c r="R810" s="16">
        <v>0</v>
      </c>
      <c r="S810" s="16"/>
      <c r="T810" s="16" t="e">
        <v>#N/A</v>
      </c>
      <c r="U810" s="16" t="e">
        <v>#N/A</v>
      </c>
    </row>
    <row r="811" spans="1:21" x14ac:dyDescent="0.25">
      <c r="A811" s="12" t="s">
        <v>21</v>
      </c>
      <c r="B811" s="12" t="s">
        <v>855</v>
      </c>
      <c r="C811" s="12" t="s">
        <v>23</v>
      </c>
      <c r="D811" s="15">
        <v>46261.431909722225</v>
      </c>
      <c r="E811" s="12" t="s">
        <v>856</v>
      </c>
      <c r="F811" s="12" t="s">
        <v>858</v>
      </c>
      <c r="G811" s="12">
        <v>2</v>
      </c>
      <c r="H811" s="12">
        <v>2</v>
      </c>
      <c r="I811" s="14"/>
      <c r="J811" s="14" t="s">
        <v>61</v>
      </c>
      <c r="K811" s="12" t="s">
        <v>861</v>
      </c>
      <c r="L811" s="15">
        <v>1</v>
      </c>
      <c r="M811" s="12" t="s">
        <v>150</v>
      </c>
      <c r="N811" s="12">
        <v>2</v>
      </c>
      <c r="O811" s="12">
        <v>2</v>
      </c>
      <c r="P811" s="12">
        <v>0</v>
      </c>
      <c r="Q811" s="16">
        <v>2</v>
      </c>
      <c r="R811" s="16">
        <v>0</v>
      </c>
      <c r="S811" s="16"/>
      <c r="T811" s="16" t="e">
        <v>#N/A</v>
      </c>
      <c r="U811" s="16" t="e">
        <v>#N/A</v>
      </c>
    </row>
    <row r="812" spans="1:21" x14ac:dyDescent="0.25">
      <c r="A812" s="12" t="s">
        <v>21</v>
      </c>
      <c r="B812" s="12" t="s">
        <v>855</v>
      </c>
      <c r="C812" s="12" t="s">
        <v>23</v>
      </c>
      <c r="D812" s="15">
        <v>46261.431909722225</v>
      </c>
      <c r="E812" s="12" t="s">
        <v>856</v>
      </c>
      <c r="F812" s="12" t="s">
        <v>859</v>
      </c>
      <c r="G812" s="12">
        <v>2</v>
      </c>
      <c r="H812" s="12">
        <v>2</v>
      </c>
      <c r="I812" s="14"/>
      <c r="J812" s="14" t="s">
        <v>61</v>
      </c>
      <c r="K812" s="12" t="s">
        <v>862</v>
      </c>
      <c r="L812" s="15">
        <v>1</v>
      </c>
      <c r="M812" s="12" t="s">
        <v>150</v>
      </c>
      <c r="N812" s="12">
        <v>2</v>
      </c>
      <c r="O812" s="12">
        <v>2</v>
      </c>
      <c r="P812" s="12">
        <v>0</v>
      </c>
      <c r="Q812" s="16">
        <v>2</v>
      </c>
      <c r="R812" s="16">
        <v>0</v>
      </c>
      <c r="S812" s="16"/>
      <c r="T812" s="16" t="e">
        <v>#N/A</v>
      </c>
      <c r="U812" s="16" t="e">
        <v>#N/A</v>
      </c>
    </row>
    <row r="813" spans="1:21" x14ac:dyDescent="0.25">
      <c r="A813" s="12" t="s">
        <v>21</v>
      </c>
      <c r="B813" s="12" t="s">
        <v>855</v>
      </c>
      <c r="C813" s="12" t="s">
        <v>23</v>
      </c>
      <c r="D813" s="15">
        <v>46261.431909722225</v>
      </c>
      <c r="E813" s="12" t="s">
        <v>856</v>
      </c>
      <c r="F813" s="12" t="s">
        <v>863</v>
      </c>
      <c r="G813" s="12">
        <v>4</v>
      </c>
      <c r="H813" s="12">
        <v>4</v>
      </c>
      <c r="I813" s="14"/>
      <c r="J813" s="14" t="s">
        <v>61</v>
      </c>
      <c r="K813" s="12" t="s">
        <v>865</v>
      </c>
      <c r="L813" s="15">
        <v>1</v>
      </c>
      <c r="M813" s="12" t="s">
        <v>150</v>
      </c>
      <c r="N813" s="12">
        <v>4</v>
      </c>
      <c r="O813" s="12">
        <v>4</v>
      </c>
      <c r="P813" s="12">
        <v>0</v>
      </c>
      <c r="Q813" s="16">
        <v>4</v>
      </c>
      <c r="R813" s="16">
        <v>3</v>
      </c>
      <c r="S813" s="16"/>
      <c r="T813" s="16" t="e">
        <v>#N/A</v>
      </c>
      <c r="U813" s="16" t="e">
        <v>#N/A</v>
      </c>
    </row>
    <row r="814" spans="1:21" x14ac:dyDescent="0.25">
      <c r="A814" s="12" t="s">
        <v>21</v>
      </c>
      <c r="B814" s="12" t="s">
        <v>855</v>
      </c>
      <c r="C814" s="12" t="s">
        <v>23</v>
      </c>
      <c r="D814" s="15">
        <v>46261.431909722225</v>
      </c>
      <c r="E814" s="12" t="s">
        <v>856</v>
      </c>
      <c r="F814" s="12" t="s">
        <v>864</v>
      </c>
      <c r="G814" s="12">
        <v>4</v>
      </c>
      <c r="H814" s="12">
        <v>4</v>
      </c>
      <c r="I814" s="14"/>
      <c r="J814" s="14" t="s">
        <v>61</v>
      </c>
      <c r="K814" s="12" t="s">
        <v>866</v>
      </c>
      <c r="L814" s="15">
        <v>1</v>
      </c>
      <c r="M814" s="12" t="s">
        <v>150</v>
      </c>
      <c r="N814" s="12">
        <v>4</v>
      </c>
      <c r="O814" s="12">
        <v>4</v>
      </c>
      <c r="P814" s="12">
        <v>0</v>
      </c>
      <c r="Q814" s="16">
        <v>4</v>
      </c>
      <c r="R814" s="16">
        <v>0</v>
      </c>
      <c r="S814" s="16"/>
      <c r="T814" s="16" t="e">
        <v>#N/A</v>
      </c>
      <c r="U814" s="16" t="e">
        <v>#N/A</v>
      </c>
    </row>
    <row r="815" spans="1:21" x14ac:dyDescent="0.25">
      <c r="A815" s="12" t="s">
        <v>21</v>
      </c>
      <c r="B815" s="12" t="s">
        <v>855</v>
      </c>
      <c r="C815" s="12" t="s">
        <v>23</v>
      </c>
      <c r="D815" s="15">
        <v>46261.431909722225</v>
      </c>
      <c r="E815" s="12" t="s">
        <v>856</v>
      </c>
      <c r="F815" s="12" t="s">
        <v>43</v>
      </c>
      <c r="G815" s="12">
        <v>54</v>
      </c>
      <c r="H815" s="12">
        <v>54</v>
      </c>
      <c r="I815" s="14"/>
      <c r="J815" s="14" t="s">
        <v>26</v>
      </c>
      <c r="K815" s="12" t="s">
        <v>27</v>
      </c>
      <c r="L815" s="15"/>
      <c r="M815" s="12" t="s">
        <v>28</v>
      </c>
      <c r="N815" s="12"/>
      <c r="O815" s="12"/>
      <c r="P815" s="12"/>
      <c r="Q815" s="16">
        <v>0</v>
      </c>
      <c r="R815" s="16">
        <v>0</v>
      </c>
      <c r="S815" s="16"/>
      <c r="T815" s="16" t="e">
        <v>#N/A</v>
      </c>
      <c r="U815" s="16" t="e">
        <v>#N/A</v>
      </c>
    </row>
    <row r="816" spans="1:21" x14ac:dyDescent="0.25">
      <c r="A816" s="12" t="s">
        <v>21</v>
      </c>
      <c r="B816" s="12" t="s">
        <v>855</v>
      </c>
      <c r="C816" s="12" t="s">
        <v>23</v>
      </c>
      <c r="D816" s="15">
        <v>46261.431909722225</v>
      </c>
      <c r="E816" s="12" t="s">
        <v>856</v>
      </c>
      <c r="F816" s="12" t="s">
        <v>43</v>
      </c>
      <c r="G816" s="12">
        <v>80</v>
      </c>
      <c r="H816" s="12">
        <v>80</v>
      </c>
      <c r="I816" s="14"/>
      <c r="J816" s="14" t="s">
        <v>26</v>
      </c>
      <c r="K816" s="12" t="s">
        <v>27</v>
      </c>
      <c r="L816" s="15"/>
      <c r="M816" s="12" t="s">
        <v>28</v>
      </c>
      <c r="N816" s="12"/>
      <c r="O816" s="12"/>
      <c r="P816" s="12"/>
      <c r="Q816" s="16">
        <v>0</v>
      </c>
      <c r="R816" s="16">
        <v>0</v>
      </c>
      <c r="S816" s="16"/>
      <c r="T816" s="16" t="e">
        <v>#N/A</v>
      </c>
      <c r="U816" s="16" t="e">
        <v>#N/A</v>
      </c>
    </row>
    <row r="817" spans="1:21" x14ac:dyDescent="0.25">
      <c r="A817" s="12" t="s">
        <v>21</v>
      </c>
      <c r="B817" s="12" t="s">
        <v>855</v>
      </c>
      <c r="C817" s="12" t="s">
        <v>23</v>
      </c>
      <c r="D817" s="15">
        <v>46261.431909722225</v>
      </c>
      <c r="E817" s="12" t="s">
        <v>856</v>
      </c>
      <c r="F817" s="12" t="s">
        <v>406</v>
      </c>
      <c r="G817" s="12">
        <v>8</v>
      </c>
      <c r="H817" s="12">
        <v>8</v>
      </c>
      <c r="I817" s="14"/>
      <c r="J817" s="14" t="s">
        <v>26</v>
      </c>
      <c r="K817" s="12" t="s">
        <v>27</v>
      </c>
      <c r="L817" s="15"/>
      <c r="M817" s="12" t="s">
        <v>28</v>
      </c>
      <c r="N817" s="12"/>
      <c r="O817" s="12"/>
      <c r="P817" s="12"/>
      <c r="Q817" s="16">
        <v>0</v>
      </c>
      <c r="R817" s="16">
        <v>0</v>
      </c>
      <c r="S817" s="16"/>
      <c r="T817" s="16" t="e">
        <v>#N/A</v>
      </c>
      <c r="U817" s="16" t="e">
        <v>#N/A</v>
      </c>
    </row>
    <row r="818" spans="1:21" x14ac:dyDescent="0.25">
      <c r="A818" s="12" t="s">
        <v>21</v>
      </c>
      <c r="B818" s="12" t="s">
        <v>855</v>
      </c>
      <c r="C818" s="12" t="s">
        <v>23</v>
      </c>
      <c r="D818" s="15">
        <v>46261.431909722225</v>
      </c>
      <c r="E818" s="12" t="s">
        <v>856</v>
      </c>
      <c r="F818" s="12" t="s">
        <v>406</v>
      </c>
      <c r="G818" s="12">
        <v>8</v>
      </c>
      <c r="H818" s="12">
        <v>8</v>
      </c>
      <c r="I818" s="14"/>
      <c r="J818" s="14" t="s">
        <v>26</v>
      </c>
      <c r="K818" s="12" t="s">
        <v>27</v>
      </c>
      <c r="L818" s="15"/>
      <c r="M818" s="12" t="s">
        <v>28</v>
      </c>
      <c r="N818" s="12"/>
      <c r="O818" s="12"/>
      <c r="P818" s="12"/>
      <c r="Q818" s="16">
        <v>0</v>
      </c>
      <c r="R818" s="16">
        <v>0</v>
      </c>
      <c r="S818" s="16"/>
      <c r="T818" s="16" t="e">
        <v>#N/A</v>
      </c>
      <c r="U818" s="16" t="e">
        <v>#N/A</v>
      </c>
    </row>
    <row r="819" spans="1:21" x14ac:dyDescent="0.25">
      <c r="A819" s="12" t="s">
        <v>21</v>
      </c>
      <c r="B819" s="12" t="s">
        <v>855</v>
      </c>
      <c r="C819" s="12" t="s">
        <v>23</v>
      </c>
      <c r="D819" s="15">
        <v>46261.431909722225</v>
      </c>
      <c r="E819" s="12" t="s">
        <v>856</v>
      </c>
      <c r="F819" s="12" t="s">
        <v>867</v>
      </c>
      <c r="G819" s="12">
        <v>16</v>
      </c>
      <c r="H819" s="12">
        <v>16</v>
      </c>
      <c r="I819" s="14"/>
      <c r="J819" s="14" t="s">
        <v>61</v>
      </c>
      <c r="K819" s="12" t="s">
        <v>868</v>
      </c>
      <c r="L819" s="15">
        <v>1</v>
      </c>
      <c r="M819" s="12" t="s">
        <v>150</v>
      </c>
      <c r="N819" s="12">
        <v>16</v>
      </c>
      <c r="O819" s="12">
        <v>16</v>
      </c>
      <c r="P819" s="12">
        <v>0</v>
      </c>
      <c r="Q819" s="16">
        <v>16</v>
      </c>
      <c r="R819" s="16">
        <v>0</v>
      </c>
      <c r="S819" s="16"/>
      <c r="T819" s="16" t="e">
        <v>#N/A</v>
      </c>
      <c r="U819" s="16" t="e">
        <v>#N/A</v>
      </c>
    </row>
    <row r="820" spans="1:21" x14ac:dyDescent="0.25">
      <c r="A820" s="12" t="s">
        <v>21</v>
      </c>
      <c r="B820" s="12" t="s">
        <v>855</v>
      </c>
      <c r="C820" s="12" t="s">
        <v>23</v>
      </c>
      <c r="D820" s="15">
        <v>46261.431909722225</v>
      </c>
      <c r="E820" s="12" t="s">
        <v>856</v>
      </c>
      <c r="F820" s="12" t="s">
        <v>869</v>
      </c>
      <c r="G820" s="12">
        <v>2</v>
      </c>
      <c r="H820" s="12">
        <v>2</v>
      </c>
      <c r="I820" s="14"/>
      <c r="J820" s="14" t="s">
        <v>61</v>
      </c>
      <c r="K820" s="12" t="s">
        <v>872</v>
      </c>
      <c r="L820" s="15">
        <v>1</v>
      </c>
      <c r="M820" s="12" t="s">
        <v>150</v>
      </c>
      <c r="N820" s="12">
        <v>2</v>
      </c>
      <c r="O820" s="12">
        <v>2</v>
      </c>
      <c r="P820" s="12">
        <v>0</v>
      </c>
      <c r="Q820" s="16">
        <v>2</v>
      </c>
      <c r="R820" s="16">
        <v>0</v>
      </c>
      <c r="S820" s="16"/>
      <c r="T820" s="16" t="e">
        <v>#N/A</v>
      </c>
      <c r="U820" s="16" t="e">
        <v>#N/A</v>
      </c>
    </row>
    <row r="821" spans="1:21" x14ac:dyDescent="0.25">
      <c r="A821" s="12" t="s">
        <v>21</v>
      </c>
      <c r="B821" s="12" t="s">
        <v>855</v>
      </c>
      <c r="C821" s="12" t="s">
        <v>23</v>
      </c>
      <c r="D821" s="15">
        <v>46261.431909722225</v>
      </c>
      <c r="E821" s="12" t="s">
        <v>856</v>
      </c>
      <c r="F821" s="12" t="s">
        <v>870</v>
      </c>
      <c r="G821" s="12">
        <v>1</v>
      </c>
      <c r="H821" s="12">
        <v>1</v>
      </c>
      <c r="I821" s="14"/>
      <c r="J821" s="14" t="s">
        <v>61</v>
      </c>
      <c r="K821" s="12" t="s">
        <v>873</v>
      </c>
      <c r="L821" s="15">
        <v>1</v>
      </c>
      <c r="M821" s="12" t="s">
        <v>150</v>
      </c>
      <c r="N821" s="12">
        <v>1</v>
      </c>
      <c r="O821" s="12">
        <v>1</v>
      </c>
      <c r="P821" s="12">
        <v>0</v>
      </c>
      <c r="Q821" s="16">
        <v>1</v>
      </c>
      <c r="R821" s="16">
        <v>0</v>
      </c>
      <c r="S821" s="16"/>
      <c r="T821" s="16" t="e">
        <v>#N/A</v>
      </c>
      <c r="U821" s="16" t="e">
        <v>#N/A</v>
      </c>
    </row>
    <row r="822" spans="1:21" x14ac:dyDescent="0.25">
      <c r="A822" s="12" t="s">
        <v>21</v>
      </c>
      <c r="B822" s="12" t="s">
        <v>855</v>
      </c>
      <c r="C822" s="12" t="s">
        <v>23</v>
      </c>
      <c r="D822" s="15">
        <v>46261.431909722225</v>
      </c>
      <c r="E822" s="12" t="s">
        <v>856</v>
      </c>
      <c r="F822" s="12" t="s">
        <v>871</v>
      </c>
      <c r="G822" s="12">
        <v>2</v>
      </c>
      <c r="H822" s="12">
        <v>2</v>
      </c>
      <c r="I822" s="14"/>
      <c r="J822" s="14" t="s">
        <v>61</v>
      </c>
      <c r="K822" s="12" t="s">
        <v>874</v>
      </c>
      <c r="L822" s="15">
        <v>1</v>
      </c>
      <c r="M822" s="12" t="s">
        <v>150</v>
      </c>
      <c r="N822" s="12">
        <v>2</v>
      </c>
      <c r="O822" s="12">
        <v>2</v>
      </c>
      <c r="P822" s="12">
        <v>0</v>
      </c>
      <c r="Q822" s="16">
        <v>2</v>
      </c>
      <c r="R822" s="16">
        <v>0</v>
      </c>
      <c r="S822" s="16"/>
      <c r="T822" s="16" t="e">
        <v>#N/A</v>
      </c>
      <c r="U822" s="16" t="e">
        <v>#N/A</v>
      </c>
    </row>
    <row r="823" spans="1:21" x14ac:dyDescent="0.25">
      <c r="A823" s="12" t="s">
        <v>21</v>
      </c>
      <c r="B823" s="12" t="s">
        <v>855</v>
      </c>
      <c r="C823" s="12" t="s">
        <v>23</v>
      </c>
      <c r="D823" s="15">
        <v>46261.431909722225</v>
      </c>
      <c r="E823" s="12" t="s">
        <v>856</v>
      </c>
      <c r="F823" s="12" t="s">
        <v>875</v>
      </c>
      <c r="G823" s="12">
        <v>2</v>
      </c>
      <c r="H823" s="12">
        <v>2</v>
      </c>
      <c r="I823" s="14"/>
      <c r="J823" s="14" t="s">
        <v>61</v>
      </c>
      <c r="K823" s="12" t="s">
        <v>878</v>
      </c>
      <c r="L823" s="15">
        <v>1</v>
      </c>
      <c r="M823" s="12" t="s">
        <v>150</v>
      </c>
      <c r="N823" s="12">
        <v>2</v>
      </c>
      <c r="O823" s="12">
        <v>2</v>
      </c>
      <c r="P823" s="12">
        <v>0</v>
      </c>
      <c r="Q823" s="16">
        <v>2</v>
      </c>
      <c r="R823" s="16">
        <v>0</v>
      </c>
      <c r="S823" s="16"/>
      <c r="T823" s="16" t="e">
        <v>#N/A</v>
      </c>
      <c r="U823" s="16" t="e">
        <v>#N/A</v>
      </c>
    </row>
    <row r="824" spans="1:21" x14ac:dyDescent="0.25">
      <c r="A824" s="12" t="s">
        <v>21</v>
      </c>
      <c r="B824" s="12" t="s">
        <v>855</v>
      </c>
      <c r="C824" s="12" t="s">
        <v>23</v>
      </c>
      <c r="D824" s="15">
        <v>46261.431909722225</v>
      </c>
      <c r="E824" s="12" t="s">
        <v>856</v>
      </c>
      <c r="F824" s="12" t="s">
        <v>876</v>
      </c>
      <c r="G824" s="12">
        <v>1</v>
      </c>
      <c r="H824" s="12">
        <v>1</v>
      </c>
      <c r="I824" s="14"/>
      <c r="J824" s="14" t="s">
        <v>61</v>
      </c>
      <c r="K824" s="12" t="s">
        <v>879</v>
      </c>
      <c r="L824" s="15">
        <v>1</v>
      </c>
      <c r="M824" s="12" t="s">
        <v>150</v>
      </c>
      <c r="N824" s="12">
        <v>1</v>
      </c>
      <c r="O824" s="12">
        <v>1</v>
      </c>
      <c r="P824" s="12">
        <v>0</v>
      </c>
      <c r="Q824" s="16">
        <v>1</v>
      </c>
      <c r="R824" s="16">
        <v>0</v>
      </c>
      <c r="S824" s="16"/>
      <c r="T824" s="16" t="e">
        <v>#N/A</v>
      </c>
      <c r="U824" s="16" t="e">
        <v>#N/A</v>
      </c>
    </row>
    <row r="825" spans="1:21" x14ac:dyDescent="0.25">
      <c r="A825" s="12" t="s">
        <v>21</v>
      </c>
      <c r="B825" s="12" t="s">
        <v>855</v>
      </c>
      <c r="C825" s="12" t="s">
        <v>23</v>
      </c>
      <c r="D825" s="15">
        <v>46261.431909722225</v>
      </c>
      <c r="E825" s="12" t="s">
        <v>856</v>
      </c>
      <c r="F825" s="12" t="s">
        <v>877</v>
      </c>
      <c r="G825" s="12">
        <v>1</v>
      </c>
      <c r="H825" s="12">
        <v>1</v>
      </c>
      <c r="I825" s="14"/>
      <c r="J825" s="14" t="s">
        <v>61</v>
      </c>
      <c r="K825" s="12" t="s">
        <v>880</v>
      </c>
      <c r="L825" s="15">
        <v>1</v>
      </c>
      <c r="M825" s="12" t="s">
        <v>150</v>
      </c>
      <c r="N825" s="12">
        <v>1</v>
      </c>
      <c r="O825" s="12">
        <v>1</v>
      </c>
      <c r="P825" s="12">
        <v>0</v>
      </c>
      <c r="Q825" s="16">
        <v>1</v>
      </c>
      <c r="R825" s="16">
        <v>0</v>
      </c>
      <c r="S825" s="16"/>
      <c r="T825" s="16" t="e">
        <v>#N/A</v>
      </c>
      <c r="U825" s="16" t="e">
        <v>#N/A</v>
      </c>
    </row>
    <row r="826" spans="1:21" x14ac:dyDescent="0.25">
      <c r="A826" s="12" t="s">
        <v>21</v>
      </c>
      <c r="B826" s="12" t="s">
        <v>855</v>
      </c>
      <c r="C826" s="12" t="s">
        <v>23</v>
      </c>
      <c r="D826" s="15">
        <v>46261.431909722225</v>
      </c>
      <c r="E826" s="12" t="s">
        <v>856</v>
      </c>
      <c r="F826" s="12" t="s">
        <v>881</v>
      </c>
      <c r="G826" s="12">
        <v>2</v>
      </c>
      <c r="H826" s="12">
        <v>2</v>
      </c>
      <c r="I826" s="14"/>
      <c r="J826" s="14" t="s">
        <v>61</v>
      </c>
      <c r="K826" s="12" t="s">
        <v>884</v>
      </c>
      <c r="L826" s="15">
        <v>1</v>
      </c>
      <c r="M826" s="12" t="s">
        <v>150</v>
      </c>
      <c r="N826" s="12">
        <v>2</v>
      </c>
      <c r="O826" s="12">
        <v>2</v>
      </c>
      <c r="P826" s="12">
        <v>0</v>
      </c>
      <c r="Q826" s="16">
        <v>6</v>
      </c>
      <c r="R826" s="16">
        <v>0</v>
      </c>
      <c r="S826" s="16"/>
      <c r="T826" s="16" t="e">
        <v>#N/A</v>
      </c>
      <c r="U826" s="16" t="e">
        <v>#N/A</v>
      </c>
    </row>
    <row r="827" spans="1:21" x14ac:dyDescent="0.25">
      <c r="A827" s="12" t="s">
        <v>21</v>
      </c>
      <c r="B827" s="12" t="s">
        <v>855</v>
      </c>
      <c r="C827" s="12" t="s">
        <v>23</v>
      </c>
      <c r="D827" s="15">
        <v>46261.431909722225</v>
      </c>
      <c r="E827" s="12" t="s">
        <v>856</v>
      </c>
      <c r="F827" s="12" t="s">
        <v>881</v>
      </c>
      <c r="G827" s="12">
        <v>4</v>
      </c>
      <c r="H827" s="12">
        <v>4</v>
      </c>
      <c r="I827" s="14"/>
      <c r="J827" s="14" t="s">
        <v>61</v>
      </c>
      <c r="K827" s="12" t="s">
        <v>885</v>
      </c>
      <c r="L827" s="15">
        <v>1</v>
      </c>
      <c r="M827" s="12" t="s">
        <v>150</v>
      </c>
      <c r="N827" s="12">
        <v>4</v>
      </c>
      <c r="O827" s="12">
        <v>4</v>
      </c>
      <c r="P827" s="12">
        <v>0</v>
      </c>
      <c r="Q827" s="16">
        <v>6</v>
      </c>
      <c r="R827" s="16">
        <v>0</v>
      </c>
      <c r="S827" s="16"/>
      <c r="T827" s="16" t="e">
        <v>#N/A</v>
      </c>
      <c r="U827" s="16" t="e">
        <v>#N/A</v>
      </c>
    </row>
    <row r="828" spans="1:21" x14ac:dyDescent="0.25">
      <c r="A828" s="12" t="s">
        <v>21</v>
      </c>
      <c r="B828" s="12" t="s">
        <v>855</v>
      </c>
      <c r="C828" s="12" t="s">
        <v>23</v>
      </c>
      <c r="D828" s="15">
        <v>46261.431909722225</v>
      </c>
      <c r="E828" s="12" t="s">
        <v>856</v>
      </c>
      <c r="F828" s="12" t="s">
        <v>882</v>
      </c>
      <c r="G828" s="12">
        <v>2</v>
      </c>
      <c r="H828" s="12">
        <v>2</v>
      </c>
      <c r="I828" s="14"/>
      <c r="J828" s="14" t="s">
        <v>61</v>
      </c>
      <c r="K828" s="12" t="s">
        <v>886</v>
      </c>
      <c r="L828" s="15">
        <v>1</v>
      </c>
      <c r="M828" s="12" t="s">
        <v>150</v>
      </c>
      <c r="N828" s="12">
        <v>2</v>
      </c>
      <c r="O828" s="12">
        <v>2</v>
      </c>
      <c r="P828" s="12">
        <v>0</v>
      </c>
      <c r="Q828" s="16">
        <v>2</v>
      </c>
      <c r="R828" s="16">
        <v>0</v>
      </c>
      <c r="S828" s="16"/>
      <c r="T828" s="16" t="e">
        <v>#N/A</v>
      </c>
      <c r="U828" s="16" t="e">
        <v>#N/A</v>
      </c>
    </row>
    <row r="829" spans="1:21" x14ac:dyDescent="0.25">
      <c r="A829" s="12" t="s">
        <v>21</v>
      </c>
      <c r="B829" s="12" t="s">
        <v>855</v>
      </c>
      <c r="C829" s="12" t="s">
        <v>23</v>
      </c>
      <c r="D829" s="15">
        <v>46261.431909722225</v>
      </c>
      <c r="E829" s="12" t="s">
        <v>856</v>
      </c>
      <c r="F829" s="12" t="s">
        <v>883</v>
      </c>
      <c r="G829" s="12">
        <v>2</v>
      </c>
      <c r="H829" s="12">
        <v>2</v>
      </c>
      <c r="I829" s="14"/>
      <c r="J829" s="14" t="s">
        <v>61</v>
      </c>
      <c r="K829" s="12" t="s">
        <v>887</v>
      </c>
      <c r="L829" s="15">
        <v>1</v>
      </c>
      <c r="M829" s="12" t="s">
        <v>150</v>
      </c>
      <c r="N829" s="12">
        <v>2</v>
      </c>
      <c r="O829" s="12">
        <v>2</v>
      </c>
      <c r="P829" s="12">
        <v>0</v>
      </c>
      <c r="Q829" s="16">
        <v>2</v>
      </c>
      <c r="R829" s="16">
        <v>0</v>
      </c>
      <c r="S829" s="16"/>
      <c r="T829" s="16" t="e">
        <v>#N/A</v>
      </c>
      <c r="U829" s="16" t="e">
        <v>#N/A</v>
      </c>
    </row>
    <row r="830" spans="1:21" x14ac:dyDescent="0.25">
      <c r="A830" s="12" t="s">
        <v>21</v>
      </c>
      <c r="B830" s="12" t="s">
        <v>888</v>
      </c>
      <c r="C830" s="12" t="s">
        <v>23</v>
      </c>
      <c r="D830" s="15">
        <v>46261.508750000001</v>
      </c>
      <c r="E830" s="12" t="s">
        <v>502</v>
      </c>
      <c r="F830" s="12" t="s">
        <v>600</v>
      </c>
      <c r="G830" s="12">
        <v>2</v>
      </c>
      <c r="H830" s="12">
        <v>2</v>
      </c>
      <c r="I830" s="14"/>
      <c r="J830" s="14" t="s">
        <v>61</v>
      </c>
      <c r="K830" s="12" t="s">
        <v>889</v>
      </c>
      <c r="L830" s="15">
        <v>1</v>
      </c>
      <c r="M830" s="12" t="s">
        <v>150</v>
      </c>
      <c r="N830" s="12">
        <v>2</v>
      </c>
      <c r="O830" s="12">
        <v>2</v>
      </c>
      <c r="P830" s="12">
        <v>0</v>
      </c>
      <c r="Q830" s="16">
        <v>2</v>
      </c>
      <c r="R830" s="16">
        <v>1</v>
      </c>
      <c r="S830" s="16"/>
      <c r="T830" s="16" t="e">
        <v>#N/A</v>
      </c>
      <c r="U830" s="16" t="e">
        <v>#N/A</v>
      </c>
    </row>
    <row r="831" spans="1:21" x14ac:dyDescent="0.25">
      <c r="A831" s="12" t="s">
        <v>21</v>
      </c>
      <c r="B831" s="12" t="s">
        <v>888</v>
      </c>
      <c r="C831" s="12" t="s">
        <v>23</v>
      </c>
      <c r="D831" s="15">
        <v>46261.508750000001</v>
      </c>
      <c r="E831" s="12" t="s">
        <v>502</v>
      </c>
      <c r="F831" s="12" t="s">
        <v>633</v>
      </c>
      <c r="G831" s="12">
        <v>12</v>
      </c>
      <c r="H831" s="12">
        <v>12</v>
      </c>
      <c r="I831" s="14"/>
      <c r="J831" s="14" t="s">
        <v>61</v>
      </c>
      <c r="K831" s="12" t="s">
        <v>890</v>
      </c>
      <c r="L831" s="15">
        <v>1</v>
      </c>
      <c r="M831" s="12" t="s">
        <v>150</v>
      </c>
      <c r="N831" s="12">
        <v>12</v>
      </c>
      <c r="O831" s="12">
        <v>12</v>
      </c>
      <c r="P831" s="12">
        <v>0</v>
      </c>
      <c r="Q831" s="16">
        <v>12</v>
      </c>
      <c r="R831" s="16">
        <v>0</v>
      </c>
      <c r="S831" s="16"/>
      <c r="T831" s="16" t="e">
        <v>#N/A</v>
      </c>
      <c r="U831" s="16" t="e">
        <v>#N/A</v>
      </c>
    </row>
    <row r="832" spans="1:21" x14ac:dyDescent="0.25">
      <c r="A832" s="12" t="s">
        <v>21</v>
      </c>
      <c r="B832" s="12" t="s">
        <v>888</v>
      </c>
      <c r="C832" s="12" t="s">
        <v>23</v>
      </c>
      <c r="D832" s="15">
        <v>46261.508750000001</v>
      </c>
      <c r="E832" s="12" t="s">
        <v>502</v>
      </c>
      <c r="F832" s="12" t="s">
        <v>634</v>
      </c>
      <c r="G832" s="12">
        <v>12</v>
      </c>
      <c r="H832" s="12">
        <v>12</v>
      </c>
      <c r="I832" s="14"/>
      <c r="J832" s="14" t="s">
        <v>61</v>
      </c>
      <c r="K832" s="12" t="s">
        <v>891</v>
      </c>
      <c r="L832" s="15">
        <v>1</v>
      </c>
      <c r="M832" s="12" t="s">
        <v>150</v>
      </c>
      <c r="N832" s="12">
        <v>12</v>
      </c>
      <c r="O832" s="12">
        <v>12</v>
      </c>
      <c r="P832" s="12">
        <v>0</v>
      </c>
      <c r="Q832" s="16">
        <v>12</v>
      </c>
      <c r="R832" s="16">
        <v>0</v>
      </c>
      <c r="S832" s="16"/>
      <c r="T832" s="16" t="e">
        <v>#N/A</v>
      </c>
      <c r="U832" s="16" t="e">
        <v>#N/A</v>
      </c>
    </row>
    <row r="833" spans="1:21" x14ac:dyDescent="0.25">
      <c r="A833" s="12" t="s">
        <v>21</v>
      </c>
      <c r="B833" s="12" t="s">
        <v>888</v>
      </c>
      <c r="C833" s="12" t="s">
        <v>23</v>
      </c>
      <c r="D833" s="15">
        <v>46261.508750000001</v>
      </c>
      <c r="E833" s="12" t="s">
        <v>502</v>
      </c>
      <c r="F833" s="12" t="s">
        <v>602</v>
      </c>
      <c r="G833" s="12">
        <v>4</v>
      </c>
      <c r="H833" s="12">
        <v>4</v>
      </c>
      <c r="I833" s="14"/>
      <c r="J833" s="14" t="s">
        <v>61</v>
      </c>
      <c r="K833" s="12" t="s">
        <v>897</v>
      </c>
      <c r="L833" s="15">
        <v>1</v>
      </c>
      <c r="M833" s="12" t="s">
        <v>150</v>
      </c>
      <c r="N833" s="12">
        <v>4</v>
      </c>
      <c r="O833" s="12">
        <v>4</v>
      </c>
      <c r="P833" s="12">
        <v>0</v>
      </c>
      <c r="Q833" s="16">
        <v>4</v>
      </c>
      <c r="R833" s="16">
        <v>0</v>
      </c>
      <c r="S833" s="16"/>
      <c r="T833" s="16" t="e">
        <v>#N/A</v>
      </c>
      <c r="U833" s="16" t="e">
        <v>#N/A</v>
      </c>
    </row>
    <row r="834" spans="1:21" x14ac:dyDescent="0.25">
      <c r="A834" s="12" t="s">
        <v>21</v>
      </c>
      <c r="B834" s="12" t="s">
        <v>888</v>
      </c>
      <c r="C834" s="12" t="s">
        <v>23</v>
      </c>
      <c r="D834" s="15">
        <v>46261.508750000001</v>
      </c>
      <c r="E834" s="12" t="s">
        <v>502</v>
      </c>
      <c r="F834" s="12" t="s">
        <v>892</v>
      </c>
      <c r="G834" s="12">
        <v>4</v>
      </c>
      <c r="H834" s="12">
        <v>4</v>
      </c>
      <c r="I834" s="14"/>
      <c r="J834" s="14" t="s">
        <v>61</v>
      </c>
      <c r="K834" s="12" t="s">
        <v>898</v>
      </c>
      <c r="L834" s="15">
        <v>1</v>
      </c>
      <c r="M834" s="12" t="s">
        <v>150</v>
      </c>
      <c r="N834" s="12">
        <v>4</v>
      </c>
      <c r="O834" s="12">
        <v>4</v>
      </c>
      <c r="P834" s="12">
        <v>0</v>
      </c>
      <c r="Q834" s="16">
        <v>4</v>
      </c>
      <c r="R834" s="16">
        <v>0</v>
      </c>
      <c r="S834" s="16"/>
      <c r="T834" s="16" t="e">
        <v>#N/A</v>
      </c>
      <c r="U834" s="16" t="e">
        <v>#N/A</v>
      </c>
    </row>
    <row r="835" spans="1:21" x14ac:dyDescent="0.25">
      <c r="A835" s="12" t="s">
        <v>21</v>
      </c>
      <c r="B835" s="12" t="s">
        <v>888</v>
      </c>
      <c r="C835" s="12" t="s">
        <v>23</v>
      </c>
      <c r="D835" s="15">
        <v>46261.508750000001</v>
      </c>
      <c r="E835" s="12" t="s">
        <v>502</v>
      </c>
      <c r="F835" s="12" t="s">
        <v>893</v>
      </c>
      <c r="G835" s="12">
        <v>8</v>
      </c>
      <c r="H835" s="12">
        <v>8</v>
      </c>
      <c r="I835" s="14"/>
      <c r="J835" s="14" t="s">
        <v>61</v>
      </c>
      <c r="K835" s="12" t="s">
        <v>899</v>
      </c>
      <c r="L835" s="15">
        <v>1</v>
      </c>
      <c r="M835" s="12" t="s">
        <v>150</v>
      </c>
      <c r="N835" s="12">
        <v>8</v>
      </c>
      <c r="O835" s="12">
        <v>8</v>
      </c>
      <c r="P835" s="12">
        <v>0</v>
      </c>
      <c r="Q835" s="16">
        <v>8</v>
      </c>
      <c r="R835" s="16">
        <v>0</v>
      </c>
      <c r="S835" s="16"/>
      <c r="T835" s="16" t="e">
        <v>#N/A</v>
      </c>
      <c r="U835" s="16" t="e">
        <v>#N/A</v>
      </c>
    </row>
    <row r="836" spans="1:21" x14ac:dyDescent="0.25">
      <c r="A836" s="12" t="s">
        <v>21</v>
      </c>
      <c r="B836" s="12" t="s">
        <v>888</v>
      </c>
      <c r="C836" s="12" t="s">
        <v>23</v>
      </c>
      <c r="D836" s="15">
        <v>46261.508750000001</v>
      </c>
      <c r="E836" s="12" t="s">
        <v>502</v>
      </c>
      <c r="F836" s="12" t="s">
        <v>894</v>
      </c>
      <c r="G836" s="12">
        <v>4</v>
      </c>
      <c r="H836" s="12">
        <v>4</v>
      </c>
      <c r="I836" s="14"/>
      <c r="J836" s="14" t="s">
        <v>61</v>
      </c>
      <c r="K836" s="12" t="s">
        <v>900</v>
      </c>
      <c r="L836" s="15">
        <v>1</v>
      </c>
      <c r="M836" s="12" t="s">
        <v>150</v>
      </c>
      <c r="N836" s="12">
        <v>4</v>
      </c>
      <c r="O836" s="12">
        <v>4</v>
      </c>
      <c r="P836" s="12">
        <v>0</v>
      </c>
      <c r="Q836" s="16">
        <v>4</v>
      </c>
      <c r="R836" s="16">
        <v>2</v>
      </c>
      <c r="S836" s="16"/>
      <c r="T836" s="16" t="e">
        <v>#N/A</v>
      </c>
      <c r="U836" s="16" t="e">
        <v>#N/A</v>
      </c>
    </row>
    <row r="837" spans="1:21" x14ac:dyDescent="0.25">
      <c r="A837" s="12" t="s">
        <v>21</v>
      </c>
      <c r="B837" s="12" t="s">
        <v>888</v>
      </c>
      <c r="C837" s="12" t="s">
        <v>23</v>
      </c>
      <c r="D837" s="15">
        <v>46261.508750000001</v>
      </c>
      <c r="E837" s="12" t="s">
        <v>502</v>
      </c>
      <c r="F837" s="12" t="s">
        <v>895</v>
      </c>
      <c r="G837" s="12">
        <v>10</v>
      </c>
      <c r="H837" s="12">
        <v>10</v>
      </c>
      <c r="I837" s="14"/>
      <c r="J837" s="14" t="s">
        <v>61</v>
      </c>
      <c r="K837" s="12" t="s">
        <v>901</v>
      </c>
      <c r="L837" s="15">
        <v>1</v>
      </c>
      <c r="M837" s="12" t="s">
        <v>150</v>
      </c>
      <c r="N837" s="12">
        <v>10</v>
      </c>
      <c r="O837" s="12">
        <v>10</v>
      </c>
      <c r="P837" s="12">
        <v>0</v>
      </c>
      <c r="Q837" s="16">
        <v>10</v>
      </c>
      <c r="R837" s="16">
        <v>4</v>
      </c>
      <c r="S837" s="16"/>
      <c r="T837" s="16" t="e">
        <v>#N/A</v>
      </c>
      <c r="U837" s="16" t="e">
        <v>#N/A</v>
      </c>
    </row>
    <row r="838" spans="1:21" x14ac:dyDescent="0.25">
      <c r="A838" s="12" t="s">
        <v>21</v>
      </c>
      <c r="B838" s="12" t="s">
        <v>888</v>
      </c>
      <c r="C838" s="12" t="s">
        <v>23</v>
      </c>
      <c r="D838" s="15">
        <v>46261.508750000001</v>
      </c>
      <c r="E838" s="12" t="s">
        <v>502</v>
      </c>
      <c r="F838" s="12" t="s">
        <v>694</v>
      </c>
      <c r="G838" s="12">
        <v>4</v>
      </c>
      <c r="H838" s="12">
        <v>4</v>
      </c>
      <c r="I838" s="14"/>
      <c r="J838" s="14" t="s">
        <v>61</v>
      </c>
      <c r="K838" s="12" t="s">
        <v>902</v>
      </c>
      <c r="L838" s="15">
        <v>1</v>
      </c>
      <c r="M838" s="12" t="s">
        <v>150</v>
      </c>
      <c r="N838" s="12">
        <v>4</v>
      </c>
      <c r="O838" s="12">
        <v>4</v>
      </c>
      <c r="P838" s="12">
        <v>0</v>
      </c>
      <c r="Q838" s="16">
        <v>4</v>
      </c>
      <c r="R838" s="16">
        <v>0</v>
      </c>
      <c r="S838" s="16"/>
      <c r="T838" s="16" t="e">
        <v>#N/A</v>
      </c>
      <c r="U838" s="16" t="e">
        <v>#N/A</v>
      </c>
    </row>
    <row r="839" spans="1:21" x14ac:dyDescent="0.25">
      <c r="A839" s="12" t="s">
        <v>21</v>
      </c>
      <c r="B839" s="12" t="s">
        <v>888</v>
      </c>
      <c r="C839" s="12" t="s">
        <v>23</v>
      </c>
      <c r="D839" s="15">
        <v>46261.508750000001</v>
      </c>
      <c r="E839" s="12" t="s">
        <v>502</v>
      </c>
      <c r="F839" s="12" t="s">
        <v>896</v>
      </c>
      <c r="G839" s="12">
        <v>2</v>
      </c>
      <c r="H839" s="12">
        <v>2</v>
      </c>
      <c r="I839" s="14"/>
      <c r="J839" s="14" t="s">
        <v>61</v>
      </c>
      <c r="K839" s="12" t="s">
        <v>903</v>
      </c>
      <c r="L839" s="15">
        <v>1</v>
      </c>
      <c r="M839" s="12" t="s">
        <v>150</v>
      </c>
      <c r="N839" s="12">
        <v>2</v>
      </c>
      <c r="O839" s="12">
        <v>2</v>
      </c>
      <c r="P839" s="12">
        <v>0</v>
      </c>
      <c r="Q839" s="16">
        <v>2</v>
      </c>
      <c r="R839" s="16">
        <v>2</v>
      </c>
      <c r="S839" s="16"/>
      <c r="T839" s="16" t="e">
        <v>#N/A</v>
      </c>
      <c r="U839" s="16" t="e">
        <v>#N/A</v>
      </c>
    </row>
    <row r="840" spans="1:21" x14ac:dyDescent="0.25">
      <c r="A840" s="12" t="s">
        <v>21</v>
      </c>
      <c r="B840" s="12" t="s">
        <v>888</v>
      </c>
      <c r="C840" s="12" t="s">
        <v>23</v>
      </c>
      <c r="D840" s="15">
        <v>46261.508750000001</v>
      </c>
      <c r="E840" s="12" t="s">
        <v>502</v>
      </c>
      <c r="F840" s="12" t="s">
        <v>904</v>
      </c>
      <c r="G840" s="12">
        <v>10</v>
      </c>
      <c r="H840" s="12">
        <v>10</v>
      </c>
      <c r="I840" s="14"/>
      <c r="J840" s="14" t="s">
        <v>61</v>
      </c>
      <c r="K840" s="12" t="s">
        <v>908</v>
      </c>
      <c r="L840" s="15">
        <v>1</v>
      </c>
      <c r="M840" s="12" t="s">
        <v>150</v>
      </c>
      <c r="N840" s="12">
        <v>10</v>
      </c>
      <c r="O840" s="12">
        <v>10</v>
      </c>
      <c r="P840" s="12">
        <v>0</v>
      </c>
      <c r="Q840" s="16">
        <v>10</v>
      </c>
      <c r="R840" s="16">
        <v>1</v>
      </c>
      <c r="S840" s="16"/>
      <c r="T840" s="16" t="e">
        <v>#N/A</v>
      </c>
      <c r="U840" s="16" t="e">
        <v>#N/A</v>
      </c>
    </row>
    <row r="841" spans="1:21" x14ac:dyDescent="0.25">
      <c r="A841" s="12" t="s">
        <v>21</v>
      </c>
      <c r="B841" s="12" t="s">
        <v>888</v>
      </c>
      <c r="C841" s="12" t="s">
        <v>23</v>
      </c>
      <c r="D841" s="15">
        <v>46261.508750000001</v>
      </c>
      <c r="E841" s="12" t="s">
        <v>502</v>
      </c>
      <c r="F841" s="12" t="s">
        <v>905</v>
      </c>
      <c r="G841" s="12">
        <v>4</v>
      </c>
      <c r="H841" s="12">
        <v>4</v>
      </c>
      <c r="I841" s="14"/>
      <c r="J841" s="14" t="s">
        <v>61</v>
      </c>
      <c r="K841" s="12" t="s">
        <v>909</v>
      </c>
      <c r="L841" s="15">
        <v>1</v>
      </c>
      <c r="M841" s="12" t="s">
        <v>150</v>
      </c>
      <c r="N841" s="12">
        <v>4</v>
      </c>
      <c r="O841" s="12">
        <v>4</v>
      </c>
      <c r="P841" s="12">
        <v>0</v>
      </c>
      <c r="Q841" s="16">
        <v>4</v>
      </c>
      <c r="R841" s="16">
        <v>0</v>
      </c>
      <c r="S841" s="16"/>
      <c r="T841" s="16" t="e">
        <v>#N/A</v>
      </c>
      <c r="U841" s="16" t="e">
        <v>#N/A</v>
      </c>
    </row>
    <row r="842" spans="1:21" x14ac:dyDescent="0.25">
      <c r="A842" s="12" t="s">
        <v>21</v>
      </c>
      <c r="B842" s="12" t="s">
        <v>888</v>
      </c>
      <c r="C842" s="12" t="s">
        <v>23</v>
      </c>
      <c r="D842" s="15">
        <v>46261.508750000001</v>
      </c>
      <c r="E842" s="12" t="s">
        <v>502</v>
      </c>
      <c r="F842" s="12" t="s">
        <v>695</v>
      </c>
      <c r="G842" s="12">
        <v>4</v>
      </c>
      <c r="H842" s="12">
        <v>4</v>
      </c>
      <c r="I842" s="14"/>
      <c r="J842" s="14" t="s">
        <v>61</v>
      </c>
      <c r="K842" s="12" t="s">
        <v>910</v>
      </c>
      <c r="L842" s="15">
        <v>1</v>
      </c>
      <c r="M842" s="12" t="s">
        <v>150</v>
      </c>
      <c r="N842" s="12">
        <v>4</v>
      </c>
      <c r="O842" s="12">
        <v>4</v>
      </c>
      <c r="P842" s="12">
        <v>0</v>
      </c>
      <c r="Q842" s="16">
        <v>4</v>
      </c>
      <c r="R842" s="16">
        <v>0</v>
      </c>
      <c r="S842" s="16"/>
      <c r="T842" s="16" t="e">
        <v>#N/A</v>
      </c>
      <c r="U842" s="16" t="e">
        <v>#N/A</v>
      </c>
    </row>
    <row r="843" spans="1:21" x14ac:dyDescent="0.25">
      <c r="A843" s="12" t="s">
        <v>21</v>
      </c>
      <c r="B843" s="12" t="s">
        <v>888</v>
      </c>
      <c r="C843" s="12" t="s">
        <v>23</v>
      </c>
      <c r="D843" s="15">
        <v>46261.508750000001</v>
      </c>
      <c r="E843" s="12" t="s">
        <v>502</v>
      </c>
      <c r="F843" s="12" t="s">
        <v>906</v>
      </c>
      <c r="G843" s="12">
        <v>10</v>
      </c>
      <c r="H843" s="12">
        <v>10</v>
      </c>
      <c r="I843" s="14"/>
      <c r="J843" s="14" t="s">
        <v>61</v>
      </c>
      <c r="K843" s="12" t="s">
        <v>911</v>
      </c>
      <c r="L843" s="15">
        <v>1</v>
      </c>
      <c r="M843" s="12" t="s">
        <v>150</v>
      </c>
      <c r="N843" s="12">
        <v>10</v>
      </c>
      <c r="O843" s="12">
        <v>10</v>
      </c>
      <c r="P843" s="12">
        <v>0</v>
      </c>
      <c r="Q843" s="16">
        <v>10</v>
      </c>
      <c r="R843" s="16">
        <v>5</v>
      </c>
      <c r="S843" s="16"/>
      <c r="T843" s="16" t="e">
        <v>#N/A</v>
      </c>
      <c r="U843" s="16" t="e">
        <v>#N/A</v>
      </c>
    </row>
    <row r="844" spans="1:21" x14ac:dyDescent="0.25">
      <c r="A844" s="12" t="s">
        <v>21</v>
      </c>
      <c r="B844" s="12" t="s">
        <v>888</v>
      </c>
      <c r="C844" s="12" t="s">
        <v>23</v>
      </c>
      <c r="D844" s="15">
        <v>46261.508750000001</v>
      </c>
      <c r="E844" s="12" t="s">
        <v>502</v>
      </c>
      <c r="F844" s="12" t="s">
        <v>907</v>
      </c>
      <c r="G844" s="12">
        <v>8</v>
      </c>
      <c r="H844" s="12">
        <v>8</v>
      </c>
      <c r="I844" s="14"/>
      <c r="J844" s="14" t="s">
        <v>61</v>
      </c>
      <c r="K844" s="12" t="s">
        <v>912</v>
      </c>
      <c r="L844" s="15">
        <v>1</v>
      </c>
      <c r="M844" s="12" t="s">
        <v>150</v>
      </c>
      <c r="N844" s="12">
        <v>8</v>
      </c>
      <c r="O844" s="12">
        <v>8</v>
      </c>
      <c r="P844" s="12">
        <v>0</v>
      </c>
      <c r="Q844" s="16">
        <v>8</v>
      </c>
      <c r="R844" s="16">
        <v>0</v>
      </c>
      <c r="S844" s="16"/>
      <c r="T844" s="16" t="e">
        <v>#N/A</v>
      </c>
      <c r="U844" s="16" t="e">
        <v>#N/A</v>
      </c>
    </row>
    <row r="845" spans="1:21" x14ac:dyDescent="0.25">
      <c r="A845" s="12" t="s">
        <v>21</v>
      </c>
      <c r="B845" s="12" t="s">
        <v>913</v>
      </c>
      <c r="C845" s="12" t="s">
        <v>23</v>
      </c>
      <c r="D845" s="15">
        <v>46262.275011574071</v>
      </c>
      <c r="E845" s="12" t="s">
        <v>491</v>
      </c>
      <c r="F845" s="12" t="s">
        <v>437</v>
      </c>
      <c r="G845" s="12">
        <v>2000</v>
      </c>
      <c r="H845" s="12">
        <v>2000</v>
      </c>
      <c r="I845" s="14"/>
      <c r="J845" s="14" t="s">
        <v>26</v>
      </c>
      <c r="K845" s="12" t="s">
        <v>27</v>
      </c>
      <c r="L845" s="15"/>
      <c r="M845" s="12" t="s">
        <v>28</v>
      </c>
      <c r="N845" s="12"/>
      <c r="O845" s="12"/>
      <c r="P845" s="12"/>
      <c r="Q845" s="16">
        <v>0</v>
      </c>
      <c r="R845" s="16">
        <v>90</v>
      </c>
      <c r="S845" s="16"/>
      <c r="T845" s="16" t="e">
        <v>#N/A</v>
      </c>
      <c r="U845" s="16" t="e">
        <v>#N/A</v>
      </c>
    </row>
    <row r="846" spans="1:21" x14ac:dyDescent="0.25">
      <c r="A846" s="12" t="s">
        <v>21</v>
      </c>
      <c r="B846" s="12" t="s">
        <v>913</v>
      </c>
      <c r="C846" s="12" t="s">
        <v>23</v>
      </c>
      <c r="D846" s="15">
        <v>46262.275011574071</v>
      </c>
      <c r="E846" s="12" t="s">
        <v>491</v>
      </c>
      <c r="F846" s="12" t="s">
        <v>262</v>
      </c>
      <c r="G846" s="12">
        <v>12000</v>
      </c>
      <c r="H846" s="12">
        <v>7680</v>
      </c>
      <c r="I846" s="14"/>
      <c r="J846" s="14" t="s">
        <v>26</v>
      </c>
      <c r="K846" s="12" t="s">
        <v>27</v>
      </c>
      <c r="L846" s="15"/>
      <c r="M846" s="12" t="s">
        <v>28</v>
      </c>
      <c r="N846" s="12"/>
      <c r="O846" s="12"/>
      <c r="P846" s="12"/>
      <c r="Q846" s="16">
        <v>0</v>
      </c>
      <c r="R846" s="16">
        <v>0</v>
      </c>
      <c r="S846" s="16"/>
      <c r="T846" s="16" t="e">
        <v>#N/A</v>
      </c>
      <c r="U846" s="16" t="e">
        <v>#N/A</v>
      </c>
    </row>
    <row r="847" spans="1:21" x14ac:dyDescent="0.25">
      <c r="A847" s="12" t="s">
        <v>21</v>
      </c>
      <c r="B847" s="12" t="s">
        <v>913</v>
      </c>
      <c r="C847" s="12" t="s">
        <v>23</v>
      </c>
      <c r="D847" s="15">
        <v>46262.275011574071</v>
      </c>
      <c r="E847" s="12" t="s">
        <v>491</v>
      </c>
      <c r="F847" s="12" t="s">
        <v>535</v>
      </c>
      <c r="G847" s="12">
        <v>1000</v>
      </c>
      <c r="H847" s="12">
        <v>1000</v>
      </c>
      <c r="I847" s="14"/>
      <c r="J847" s="14" t="s">
        <v>26</v>
      </c>
      <c r="K847" s="12" t="s">
        <v>27</v>
      </c>
      <c r="L847" s="15"/>
      <c r="M847" s="12" t="s">
        <v>28</v>
      </c>
      <c r="N847" s="12"/>
      <c r="O847" s="12"/>
      <c r="P847" s="12"/>
      <c r="Q847" s="16">
        <v>0</v>
      </c>
      <c r="R847" s="16">
        <v>0</v>
      </c>
      <c r="S847" s="16"/>
      <c r="T847" s="16" t="e">
        <v>#N/A</v>
      </c>
      <c r="U847" s="16" t="e">
        <v>#N/A</v>
      </c>
    </row>
    <row r="848" spans="1:21" x14ac:dyDescent="0.25">
      <c r="A848" s="12" t="s">
        <v>21</v>
      </c>
      <c r="B848" s="12" t="s">
        <v>913</v>
      </c>
      <c r="C848" s="12" t="s">
        <v>23</v>
      </c>
      <c r="D848" s="15">
        <v>46262.275011574071</v>
      </c>
      <c r="E848" s="12" t="s">
        <v>491</v>
      </c>
      <c r="F848" s="12" t="s">
        <v>439</v>
      </c>
      <c r="G848" s="12">
        <v>2000</v>
      </c>
      <c r="H848" s="12">
        <v>2000</v>
      </c>
      <c r="I848" s="14"/>
      <c r="J848" s="14" t="s">
        <v>26</v>
      </c>
      <c r="K848" s="12" t="s">
        <v>27</v>
      </c>
      <c r="L848" s="15"/>
      <c r="M848" s="12" t="s">
        <v>28</v>
      </c>
      <c r="N848" s="12"/>
      <c r="O848" s="12"/>
      <c r="P848" s="12"/>
      <c r="Q848" s="16">
        <v>0</v>
      </c>
      <c r="R848" s="16">
        <v>0</v>
      </c>
      <c r="S848" s="16"/>
      <c r="T848" s="16" t="e">
        <v>#N/A</v>
      </c>
      <c r="U848" s="16" t="e">
        <v>#N/A</v>
      </c>
    </row>
    <row r="849" spans="1:21" x14ac:dyDescent="0.25">
      <c r="A849" s="12" t="s">
        <v>21</v>
      </c>
      <c r="B849" s="12" t="s">
        <v>914</v>
      </c>
      <c r="C849" s="12" t="s">
        <v>23</v>
      </c>
      <c r="D849" s="15">
        <v>46262.275995370372</v>
      </c>
      <c r="E849" s="12" t="s">
        <v>491</v>
      </c>
      <c r="F849" s="12" t="s">
        <v>437</v>
      </c>
      <c r="G849" s="12">
        <v>1500</v>
      </c>
      <c r="H849" s="12">
        <v>1500</v>
      </c>
      <c r="I849" s="14"/>
      <c r="J849" s="14" t="s">
        <v>26</v>
      </c>
      <c r="K849" s="12" t="s">
        <v>27</v>
      </c>
      <c r="L849" s="15"/>
      <c r="M849" s="12" t="s">
        <v>28</v>
      </c>
      <c r="N849" s="12"/>
      <c r="O849" s="12"/>
      <c r="P849" s="12"/>
      <c r="Q849" s="16">
        <v>0</v>
      </c>
      <c r="R849" s="16">
        <v>90</v>
      </c>
      <c r="S849" s="16"/>
      <c r="T849" s="16" t="e">
        <v>#N/A</v>
      </c>
      <c r="U849" s="16" t="e">
        <v>#N/A</v>
      </c>
    </row>
    <row r="850" spans="1:21" x14ac:dyDescent="0.25">
      <c r="A850" s="12" t="s">
        <v>21</v>
      </c>
      <c r="B850" s="12" t="s">
        <v>914</v>
      </c>
      <c r="C850" s="12" t="s">
        <v>23</v>
      </c>
      <c r="D850" s="15">
        <v>46262.275995370372</v>
      </c>
      <c r="E850" s="12" t="s">
        <v>491</v>
      </c>
      <c r="F850" s="12" t="s">
        <v>262</v>
      </c>
      <c r="G850" s="12">
        <v>7000</v>
      </c>
      <c r="H850" s="12">
        <v>1000</v>
      </c>
      <c r="I850" s="14"/>
      <c r="J850" s="14" t="s">
        <v>26</v>
      </c>
      <c r="K850" s="12" t="s">
        <v>27</v>
      </c>
      <c r="L850" s="15"/>
      <c r="M850" s="12" t="s">
        <v>28</v>
      </c>
      <c r="N850" s="12"/>
      <c r="O850" s="12"/>
      <c r="P850" s="12"/>
      <c r="Q850" s="16">
        <v>0</v>
      </c>
      <c r="R850" s="16">
        <v>0</v>
      </c>
      <c r="S850" s="16"/>
      <c r="T850" s="16" t="e">
        <v>#N/A</v>
      </c>
      <c r="U850" s="16" t="e">
        <v>#N/A</v>
      </c>
    </row>
    <row r="851" spans="1:21" x14ac:dyDescent="0.25">
      <c r="A851" s="12" t="s">
        <v>21</v>
      </c>
      <c r="B851" s="12" t="s">
        <v>914</v>
      </c>
      <c r="C851" s="12" t="s">
        <v>23</v>
      </c>
      <c r="D851" s="15">
        <v>46262.275995370372</v>
      </c>
      <c r="E851" s="12" t="s">
        <v>491</v>
      </c>
      <c r="F851" s="12" t="s">
        <v>535</v>
      </c>
      <c r="G851" s="12">
        <v>600</v>
      </c>
      <c r="H851" s="12">
        <v>600</v>
      </c>
      <c r="I851" s="14"/>
      <c r="J851" s="14" t="s">
        <v>26</v>
      </c>
      <c r="K851" s="12" t="s">
        <v>27</v>
      </c>
      <c r="L851" s="15"/>
      <c r="M851" s="12" t="s">
        <v>28</v>
      </c>
      <c r="N851" s="12"/>
      <c r="O851" s="12"/>
      <c r="P851" s="12"/>
      <c r="Q851" s="16">
        <v>0</v>
      </c>
      <c r="R851" s="16">
        <v>0</v>
      </c>
      <c r="S851" s="16"/>
      <c r="T851" s="16" t="e">
        <v>#N/A</v>
      </c>
      <c r="U851" s="16" t="e">
        <v>#N/A</v>
      </c>
    </row>
    <row r="852" spans="1:21" x14ac:dyDescent="0.25">
      <c r="A852" s="12" t="s">
        <v>21</v>
      </c>
      <c r="B852" s="12" t="s">
        <v>914</v>
      </c>
      <c r="C852" s="12" t="s">
        <v>23</v>
      </c>
      <c r="D852" s="15">
        <v>46262.275995370372</v>
      </c>
      <c r="E852" s="12" t="s">
        <v>491</v>
      </c>
      <c r="F852" s="12" t="s">
        <v>915</v>
      </c>
      <c r="G852" s="12">
        <v>400</v>
      </c>
      <c r="H852" s="12">
        <v>400</v>
      </c>
      <c r="I852" s="14"/>
      <c r="J852" s="14" t="s">
        <v>26</v>
      </c>
      <c r="K852" s="12" t="s">
        <v>27</v>
      </c>
      <c r="L852" s="15"/>
      <c r="M852" s="12" t="s">
        <v>28</v>
      </c>
      <c r="N852" s="12"/>
      <c r="O852" s="12"/>
      <c r="P852" s="12"/>
      <c r="Q852" s="16">
        <v>0</v>
      </c>
      <c r="R852" s="16">
        <v>0</v>
      </c>
      <c r="S852" s="16"/>
      <c r="T852" s="16" t="e">
        <v>#N/A</v>
      </c>
      <c r="U852" s="16" t="e">
        <v>#N/A</v>
      </c>
    </row>
    <row r="853" spans="1:21" x14ac:dyDescent="0.25">
      <c r="A853" s="12" t="s">
        <v>21</v>
      </c>
      <c r="B853" s="12" t="s">
        <v>916</v>
      </c>
      <c r="C853" s="12" t="s">
        <v>23</v>
      </c>
      <c r="D853" s="15">
        <v>46262.429675925923</v>
      </c>
      <c r="E853" s="12" t="s">
        <v>258</v>
      </c>
      <c r="F853" s="12" t="s">
        <v>917</v>
      </c>
      <c r="G853" s="12">
        <v>1</v>
      </c>
      <c r="H853" s="12">
        <v>1</v>
      </c>
      <c r="I853" s="14"/>
      <c r="J853" s="14" t="s">
        <v>26</v>
      </c>
      <c r="K853" s="12" t="s">
        <v>27</v>
      </c>
      <c r="L853" s="15"/>
      <c r="M853" s="12" t="s">
        <v>28</v>
      </c>
      <c r="N853" s="12"/>
      <c r="O853" s="12"/>
      <c r="P853" s="12"/>
      <c r="Q853" s="16">
        <v>0</v>
      </c>
      <c r="R853" s="16"/>
      <c r="S853" s="16"/>
      <c r="T853" s="16" t="e">
        <v>#N/A</v>
      </c>
      <c r="U853" s="16" t="e">
        <v>#N/A</v>
      </c>
    </row>
    <row r="854" spans="1:21" x14ac:dyDescent="0.25">
      <c r="A854" s="12" t="s">
        <v>21</v>
      </c>
      <c r="B854" s="12" t="s">
        <v>916</v>
      </c>
      <c r="C854" s="12" t="s">
        <v>23</v>
      </c>
      <c r="D854" s="15">
        <v>46262.429675925923</v>
      </c>
      <c r="E854" s="12" t="s">
        <v>258</v>
      </c>
      <c r="F854" s="12" t="s">
        <v>918</v>
      </c>
      <c r="G854" s="12">
        <v>4</v>
      </c>
      <c r="H854" s="12">
        <v>4</v>
      </c>
      <c r="I854" s="14"/>
      <c r="J854" s="14" t="s">
        <v>26</v>
      </c>
      <c r="K854" s="12" t="s">
        <v>27</v>
      </c>
      <c r="L854" s="15"/>
      <c r="M854" s="12" t="s">
        <v>28</v>
      </c>
      <c r="N854" s="12"/>
      <c r="O854" s="12"/>
      <c r="P854" s="12"/>
      <c r="Q854" s="16">
        <v>0</v>
      </c>
      <c r="R854" s="16">
        <v>0</v>
      </c>
      <c r="S854" s="16"/>
      <c r="T854" s="16" t="e">
        <v>#N/A</v>
      </c>
      <c r="U854" s="16" t="e">
        <v>#N/A</v>
      </c>
    </row>
    <row r="855" spans="1:21" x14ac:dyDescent="0.25">
      <c r="A855" s="12" t="s">
        <v>21</v>
      </c>
      <c r="B855" s="12" t="s">
        <v>919</v>
      </c>
      <c r="C855" s="12" t="s">
        <v>23</v>
      </c>
      <c r="D855" s="15">
        <v>46262.462083333332</v>
      </c>
      <c r="E855" s="12" t="s">
        <v>398</v>
      </c>
      <c r="F855" s="12" t="s">
        <v>712</v>
      </c>
      <c r="G855" s="12">
        <v>60</v>
      </c>
      <c r="H855" s="12">
        <v>60</v>
      </c>
      <c r="I855" s="14"/>
      <c r="J855" s="14" t="s">
        <v>61</v>
      </c>
      <c r="K855" s="12" t="s">
        <v>920</v>
      </c>
      <c r="L855" s="15">
        <v>1</v>
      </c>
      <c r="M855" s="12" t="s">
        <v>150</v>
      </c>
      <c r="N855" s="12">
        <v>60</v>
      </c>
      <c r="O855" s="12">
        <v>60</v>
      </c>
      <c r="P855" s="12">
        <v>0</v>
      </c>
      <c r="Q855" s="16">
        <v>60</v>
      </c>
      <c r="R855" s="16">
        <v>0</v>
      </c>
      <c r="S855" s="16"/>
      <c r="T855" s="16" t="e">
        <v>#N/A</v>
      </c>
      <c r="U855" s="16" t="e">
        <v>#N/A</v>
      </c>
    </row>
    <row r="856" spans="1:21" x14ac:dyDescent="0.25">
      <c r="A856" s="12" t="s">
        <v>21</v>
      </c>
      <c r="B856" s="12" t="s">
        <v>921</v>
      </c>
      <c r="C856" s="12" t="s">
        <v>23</v>
      </c>
      <c r="D856" s="15">
        <v>46262.541180555556</v>
      </c>
      <c r="E856" s="12" t="s">
        <v>502</v>
      </c>
      <c r="F856" s="12" t="s">
        <v>273</v>
      </c>
      <c r="G856" s="12">
        <v>4</v>
      </c>
      <c r="H856" s="12">
        <v>4</v>
      </c>
      <c r="I856" s="14"/>
      <c r="J856" s="14" t="s">
        <v>61</v>
      </c>
      <c r="K856" s="12" t="s">
        <v>922</v>
      </c>
      <c r="L856" s="15">
        <v>1</v>
      </c>
      <c r="M856" s="12" t="s">
        <v>150</v>
      </c>
      <c r="N856" s="12">
        <v>4</v>
      </c>
      <c r="O856" s="12">
        <v>4</v>
      </c>
      <c r="P856" s="12">
        <v>0</v>
      </c>
      <c r="Q856" s="16">
        <v>4</v>
      </c>
      <c r="R856" s="16">
        <v>0</v>
      </c>
      <c r="S856" s="16"/>
      <c r="T856" s="16" t="e">
        <v>#N/A</v>
      </c>
      <c r="U856" s="16" t="e">
        <v>#N/A</v>
      </c>
    </row>
    <row r="857" spans="1:21" x14ac:dyDescent="0.25">
      <c r="A857" s="12" t="s">
        <v>21</v>
      </c>
      <c r="B857" s="12" t="s">
        <v>923</v>
      </c>
      <c r="C857" s="12" t="s">
        <v>23</v>
      </c>
      <c r="D857" s="15">
        <v>46262.577372685184</v>
      </c>
      <c r="E857" s="12" t="s">
        <v>511</v>
      </c>
      <c r="F857" s="12" t="s">
        <v>442</v>
      </c>
      <c r="G857" s="12">
        <v>20</v>
      </c>
      <c r="H857" s="12">
        <v>20</v>
      </c>
      <c r="I857" s="14"/>
      <c r="J857" s="14" t="s">
        <v>61</v>
      </c>
      <c r="K857" s="12" t="s">
        <v>925</v>
      </c>
      <c r="L857" s="15">
        <v>1</v>
      </c>
      <c r="M857" s="12" t="s">
        <v>150</v>
      </c>
      <c r="N857" s="12">
        <v>20</v>
      </c>
      <c r="O857" s="12">
        <v>20</v>
      </c>
      <c r="P857" s="12">
        <v>0</v>
      </c>
      <c r="Q857" s="16">
        <v>20</v>
      </c>
      <c r="R857" s="16">
        <v>0</v>
      </c>
      <c r="S857" s="16"/>
      <c r="T857" s="16" t="e">
        <v>#N/A</v>
      </c>
      <c r="U857" s="16" t="e">
        <v>#N/A</v>
      </c>
    </row>
    <row r="858" spans="1:21" x14ac:dyDescent="0.25">
      <c r="A858" s="12" t="s">
        <v>21</v>
      </c>
      <c r="B858" s="12" t="s">
        <v>923</v>
      </c>
      <c r="C858" s="12" t="s">
        <v>23</v>
      </c>
      <c r="D858" s="15">
        <v>46262.577372685184</v>
      </c>
      <c r="E858" s="12" t="s">
        <v>511</v>
      </c>
      <c r="F858" s="12" t="s">
        <v>924</v>
      </c>
      <c r="G858" s="12">
        <v>50</v>
      </c>
      <c r="H858" s="12">
        <v>50</v>
      </c>
      <c r="I858" s="14"/>
      <c r="J858" s="14" t="s">
        <v>26</v>
      </c>
      <c r="K858" s="12" t="s">
        <v>27</v>
      </c>
      <c r="L858" s="15"/>
      <c r="M858" s="12" t="s">
        <v>28</v>
      </c>
      <c r="N858" s="12"/>
      <c r="O858" s="12"/>
      <c r="P858" s="12"/>
      <c r="Q858" s="16">
        <v>0</v>
      </c>
      <c r="R858" s="16">
        <v>0</v>
      </c>
      <c r="S858" s="16"/>
      <c r="T858" s="16" t="e">
        <v>#N/A</v>
      </c>
      <c r="U858" s="16" t="e">
        <v>#N/A</v>
      </c>
    </row>
    <row r="859" spans="1:21" x14ac:dyDescent="0.25">
      <c r="A859" s="12" t="s">
        <v>21</v>
      </c>
      <c r="B859" s="12" t="s">
        <v>923</v>
      </c>
      <c r="C859" s="12" t="s">
        <v>23</v>
      </c>
      <c r="D859" s="15">
        <v>46262.577372685184</v>
      </c>
      <c r="E859" s="12" t="s">
        <v>511</v>
      </c>
      <c r="F859" s="12" t="s">
        <v>443</v>
      </c>
      <c r="G859" s="12">
        <v>30</v>
      </c>
      <c r="H859" s="12">
        <v>30</v>
      </c>
      <c r="I859" s="14"/>
      <c r="J859" s="14" t="s">
        <v>26</v>
      </c>
      <c r="K859" s="12" t="s">
        <v>27</v>
      </c>
      <c r="L859" s="15"/>
      <c r="M859" s="12" t="s">
        <v>28</v>
      </c>
      <c r="N859" s="12"/>
      <c r="O859" s="12"/>
      <c r="P859" s="12"/>
      <c r="Q859" s="16">
        <v>0</v>
      </c>
      <c r="R859" s="16">
        <v>0</v>
      </c>
      <c r="S859" s="16"/>
      <c r="T859" s="16" t="e">
        <v>#N/A</v>
      </c>
      <c r="U859" s="16" t="e">
        <v>#N/A</v>
      </c>
    </row>
    <row r="860" spans="1:21" x14ac:dyDescent="0.25">
      <c r="A860" s="12" t="s">
        <v>21</v>
      </c>
      <c r="B860" s="12" t="s">
        <v>926</v>
      </c>
      <c r="C860" s="12" t="s">
        <v>23</v>
      </c>
      <c r="D860" s="15">
        <v>46263.292673611111</v>
      </c>
      <c r="E860" s="12" t="s">
        <v>198</v>
      </c>
      <c r="F860" s="12" t="s">
        <v>59</v>
      </c>
      <c r="G860" s="12">
        <v>15</v>
      </c>
      <c r="H860" s="12">
        <v>15</v>
      </c>
      <c r="I860" s="14"/>
      <c r="J860" s="14" t="s">
        <v>26</v>
      </c>
      <c r="K860" s="12" t="s">
        <v>27</v>
      </c>
      <c r="L860" s="15"/>
      <c r="M860" s="12" t="s">
        <v>28</v>
      </c>
      <c r="N860" s="12"/>
      <c r="O860" s="12"/>
      <c r="P860" s="12"/>
      <c r="Q860" s="16">
        <v>0</v>
      </c>
      <c r="R860" s="16">
        <v>0</v>
      </c>
      <c r="S860" s="16"/>
      <c r="T860" s="16" t="e">
        <v>#N/A</v>
      </c>
      <c r="U860" s="16" t="e">
        <v>#N/A</v>
      </c>
    </row>
    <row r="861" spans="1:21" x14ac:dyDescent="0.25">
      <c r="A861" s="12" t="s">
        <v>21</v>
      </c>
      <c r="B861" s="12" t="s">
        <v>926</v>
      </c>
      <c r="C861" s="12" t="s">
        <v>23</v>
      </c>
      <c r="D861" s="15">
        <v>46263.292673611111</v>
      </c>
      <c r="E861" s="12" t="s">
        <v>198</v>
      </c>
      <c r="F861" s="12" t="s">
        <v>927</v>
      </c>
      <c r="G861" s="12">
        <v>1</v>
      </c>
      <c r="H861" s="12">
        <v>1</v>
      </c>
      <c r="I861" s="14"/>
      <c r="J861" s="14" t="s">
        <v>26</v>
      </c>
      <c r="K861" s="12" t="s">
        <v>27</v>
      </c>
      <c r="L861" s="15"/>
      <c r="M861" s="12" t="s">
        <v>28</v>
      </c>
      <c r="N861" s="12"/>
      <c r="O861" s="12"/>
      <c r="P861" s="12"/>
      <c r="Q861" s="16">
        <v>0</v>
      </c>
      <c r="R861" s="16">
        <v>0</v>
      </c>
      <c r="S861" s="16"/>
      <c r="T861" s="16" t="e">
        <v>#N/A</v>
      </c>
      <c r="U861" s="16" t="e">
        <v>#N/A</v>
      </c>
    </row>
    <row r="862" spans="1:21" x14ac:dyDescent="0.25">
      <c r="A862" s="12" t="s">
        <v>21</v>
      </c>
      <c r="B862" s="12" t="s">
        <v>926</v>
      </c>
      <c r="C862" s="12" t="s">
        <v>23</v>
      </c>
      <c r="D862" s="15">
        <v>46263.292673611111</v>
      </c>
      <c r="E862" s="12" t="s">
        <v>198</v>
      </c>
      <c r="F862" s="12" t="s">
        <v>103</v>
      </c>
      <c r="G862" s="12">
        <v>6</v>
      </c>
      <c r="H862" s="12">
        <v>6</v>
      </c>
      <c r="I862" s="14"/>
      <c r="J862" s="14" t="s">
        <v>26</v>
      </c>
      <c r="K862" s="12" t="s">
        <v>27</v>
      </c>
      <c r="L862" s="15"/>
      <c r="M862" s="12" t="s">
        <v>28</v>
      </c>
      <c r="N862" s="12"/>
      <c r="O862" s="12"/>
      <c r="P862" s="12"/>
      <c r="Q862" s="16">
        <v>0</v>
      </c>
      <c r="R862" s="16">
        <v>100</v>
      </c>
      <c r="S862" s="16"/>
      <c r="T862" s="16" t="e">
        <v>#N/A</v>
      </c>
      <c r="U862" s="16" t="e">
        <v>#N/A</v>
      </c>
    </row>
    <row r="863" spans="1:21" x14ac:dyDescent="0.25">
      <c r="A863" s="12" t="s">
        <v>21</v>
      </c>
      <c r="B863" s="12" t="s">
        <v>926</v>
      </c>
      <c r="C863" s="12" t="s">
        <v>23</v>
      </c>
      <c r="D863" s="15">
        <v>46263.292673611111</v>
      </c>
      <c r="E863" s="12" t="s">
        <v>198</v>
      </c>
      <c r="F863" s="12" t="s">
        <v>928</v>
      </c>
      <c r="G863" s="12">
        <v>1</v>
      </c>
      <c r="H863" s="12">
        <v>1</v>
      </c>
      <c r="I863" s="14"/>
      <c r="J863" s="14" t="s">
        <v>26</v>
      </c>
      <c r="K863" s="12" t="s">
        <v>27</v>
      </c>
      <c r="L863" s="15"/>
      <c r="M863" s="12" t="s">
        <v>28</v>
      </c>
      <c r="N863" s="12"/>
      <c r="O863" s="12"/>
      <c r="P863" s="12"/>
      <c r="Q863" s="16">
        <v>0</v>
      </c>
      <c r="R863" s="16">
        <v>0</v>
      </c>
      <c r="S863" s="16"/>
      <c r="T863" s="16" t="e">
        <v>#N/A</v>
      </c>
      <c r="U863" s="16" t="e">
        <v>#N/A</v>
      </c>
    </row>
    <row r="864" spans="1:21" x14ac:dyDescent="0.25">
      <c r="A864" s="12" t="s">
        <v>21</v>
      </c>
      <c r="B864" s="12" t="s">
        <v>926</v>
      </c>
      <c r="C864" s="12" t="s">
        <v>23</v>
      </c>
      <c r="D864" s="15">
        <v>46263.292673611111</v>
      </c>
      <c r="E864" s="12" t="s">
        <v>198</v>
      </c>
      <c r="F864" s="12" t="s">
        <v>929</v>
      </c>
      <c r="G864" s="12">
        <v>3</v>
      </c>
      <c r="H864" s="12">
        <v>3</v>
      </c>
      <c r="I864" s="14"/>
      <c r="J864" s="14" t="s">
        <v>26</v>
      </c>
      <c r="K864" s="12" t="s">
        <v>27</v>
      </c>
      <c r="L864" s="15"/>
      <c r="M864" s="12" t="s">
        <v>28</v>
      </c>
      <c r="N864" s="12"/>
      <c r="O864" s="12"/>
      <c r="P864" s="12"/>
      <c r="Q864" s="16">
        <v>0</v>
      </c>
      <c r="R864" s="16">
        <v>31</v>
      </c>
      <c r="S864" s="16"/>
      <c r="T864" s="16" t="e">
        <v>#N/A</v>
      </c>
      <c r="U864" s="16" t="e">
        <v>#N/A</v>
      </c>
    </row>
    <row r="865" spans="1:21" x14ac:dyDescent="0.25">
      <c r="A865" s="12" t="s">
        <v>21</v>
      </c>
      <c r="B865" s="12" t="s">
        <v>926</v>
      </c>
      <c r="C865" s="12" t="s">
        <v>23</v>
      </c>
      <c r="D865" s="15">
        <v>46263.292673611111</v>
      </c>
      <c r="E865" s="12" t="s">
        <v>198</v>
      </c>
      <c r="F865" s="12" t="s">
        <v>532</v>
      </c>
      <c r="G865" s="12">
        <v>2</v>
      </c>
      <c r="H865" s="12">
        <v>2</v>
      </c>
      <c r="I865" s="14"/>
      <c r="J865" s="14" t="s">
        <v>26</v>
      </c>
      <c r="K865" s="12" t="s">
        <v>27</v>
      </c>
      <c r="L865" s="15"/>
      <c r="M865" s="12" t="s">
        <v>28</v>
      </c>
      <c r="N865" s="12"/>
      <c r="O865" s="12"/>
      <c r="P865" s="12"/>
      <c r="Q865" s="16">
        <v>0</v>
      </c>
      <c r="R865" s="16">
        <v>0</v>
      </c>
      <c r="S865" s="16"/>
      <c r="T865" s="16" t="e">
        <v>#N/A</v>
      </c>
      <c r="U865" s="16" t="e">
        <v>#N/A</v>
      </c>
    </row>
    <row r="866" spans="1:21" x14ac:dyDescent="0.25">
      <c r="A866" s="12" t="s">
        <v>21</v>
      </c>
      <c r="B866" s="12" t="s">
        <v>930</v>
      </c>
      <c r="C866" s="12" t="s">
        <v>23</v>
      </c>
      <c r="D866" s="15">
        <v>46263.373611111114</v>
      </c>
      <c r="E866" s="12" t="s">
        <v>24</v>
      </c>
      <c r="F866" s="12" t="s">
        <v>262</v>
      </c>
      <c r="G866" s="12">
        <v>200</v>
      </c>
      <c r="H866" s="12">
        <v>200</v>
      </c>
      <c r="I866" s="14"/>
      <c r="J866" s="14" t="s">
        <v>26</v>
      </c>
      <c r="K866" s="12" t="s">
        <v>27</v>
      </c>
      <c r="L866" s="15"/>
      <c r="M866" s="12" t="s">
        <v>28</v>
      </c>
      <c r="N866" s="12"/>
      <c r="O866" s="12"/>
      <c r="P866" s="12"/>
      <c r="Q866" s="16">
        <v>0</v>
      </c>
      <c r="R866" s="16">
        <v>0</v>
      </c>
      <c r="S866" s="16"/>
      <c r="T866" s="16" t="e">
        <v>#N/A</v>
      </c>
      <c r="U866" s="16" t="e">
        <v>#N/A</v>
      </c>
    </row>
    <row r="867" spans="1:21" x14ac:dyDescent="0.25">
      <c r="A867" s="12" t="s">
        <v>21</v>
      </c>
      <c r="B867" s="12" t="s">
        <v>930</v>
      </c>
      <c r="C867" s="12" t="s">
        <v>23</v>
      </c>
      <c r="D867" s="15">
        <v>46263.373611111114</v>
      </c>
      <c r="E867" s="12" t="s">
        <v>24</v>
      </c>
      <c r="F867" s="12" t="s">
        <v>535</v>
      </c>
      <c r="G867" s="12">
        <v>400</v>
      </c>
      <c r="H867" s="12">
        <v>400</v>
      </c>
      <c r="I867" s="14"/>
      <c r="J867" s="14" t="s">
        <v>26</v>
      </c>
      <c r="K867" s="12" t="s">
        <v>27</v>
      </c>
      <c r="L867" s="15"/>
      <c r="M867" s="12" t="s">
        <v>28</v>
      </c>
      <c r="N867" s="12"/>
      <c r="O867" s="12"/>
      <c r="P867" s="12"/>
      <c r="Q867" s="16">
        <v>0</v>
      </c>
      <c r="R867" s="16">
        <v>0</v>
      </c>
      <c r="S867" s="16"/>
      <c r="T867" s="16" t="e">
        <v>#N/A</v>
      </c>
      <c r="U867" s="16" t="e">
        <v>#N/A</v>
      </c>
    </row>
    <row r="868" spans="1:21" x14ac:dyDescent="0.25">
      <c r="A868" s="12" t="s">
        <v>21</v>
      </c>
      <c r="B868" s="12" t="s">
        <v>930</v>
      </c>
      <c r="C868" s="12" t="s">
        <v>23</v>
      </c>
      <c r="D868" s="15">
        <v>46263.373611111114</v>
      </c>
      <c r="E868" s="12" t="s">
        <v>24</v>
      </c>
      <c r="F868" s="12" t="s">
        <v>439</v>
      </c>
      <c r="G868" s="12">
        <v>400</v>
      </c>
      <c r="H868" s="12">
        <v>400</v>
      </c>
      <c r="I868" s="14"/>
      <c r="J868" s="14" t="s">
        <v>26</v>
      </c>
      <c r="K868" s="12" t="s">
        <v>27</v>
      </c>
      <c r="L868" s="15"/>
      <c r="M868" s="12" t="s">
        <v>28</v>
      </c>
      <c r="N868" s="12"/>
      <c r="O868" s="12"/>
      <c r="P868" s="12"/>
      <c r="Q868" s="16">
        <v>0</v>
      </c>
      <c r="R868" s="16">
        <v>0</v>
      </c>
      <c r="S868" s="16"/>
      <c r="T868" s="16" t="e">
        <v>#N/A</v>
      </c>
      <c r="U868" s="16" t="e">
        <v>#N/A</v>
      </c>
    </row>
    <row r="869" spans="1:21" x14ac:dyDescent="0.25">
      <c r="A869" s="12" t="s">
        <v>21</v>
      </c>
      <c r="B869" s="12" t="s">
        <v>931</v>
      </c>
      <c r="C869" s="12" t="s">
        <v>23</v>
      </c>
      <c r="D869" s="15">
        <v>46263.380335648151</v>
      </c>
      <c r="E869" s="12" t="s">
        <v>423</v>
      </c>
      <c r="F869" s="12" t="s">
        <v>932</v>
      </c>
      <c r="G869" s="12">
        <v>40</v>
      </c>
      <c r="H869" s="12">
        <v>40</v>
      </c>
      <c r="I869" s="14"/>
      <c r="J869" s="14" t="s">
        <v>61</v>
      </c>
      <c r="K869" s="12" t="s">
        <v>934</v>
      </c>
      <c r="L869" s="15">
        <v>1</v>
      </c>
      <c r="M869" s="12" t="s">
        <v>150</v>
      </c>
      <c r="N869" s="12">
        <v>40</v>
      </c>
      <c r="O869" s="12">
        <v>40</v>
      </c>
      <c r="P869" s="12">
        <v>0</v>
      </c>
      <c r="Q869" s="16">
        <v>90</v>
      </c>
      <c r="R869" s="16">
        <v>0</v>
      </c>
      <c r="S869" s="16"/>
      <c r="T869" s="16" t="e">
        <v>#N/A</v>
      </c>
      <c r="U869" s="16" t="e">
        <v>#N/A</v>
      </c>
    </row>
    <row r="870" spans="1:21" x14ac:dyDescent="0.25">
      <c r="A870" s="12" t="s">
        <v>21</v>
      </c>
      <c r="B870" s="12" t="s">
        <v>931</v>
      </c>
      <c r="C870" s="12" t="s">
        <v>23</v>
      </c>
      <c r="D870" s="15">
        <v>46263.380335648151</v>
      </c>
      <c r="E870" s="12" t="s">
        <v>423</v>
      </c>
      <c r="F870" s="12" t="s">
        <v>933</v>
      </c>
      <c r="G870" s="12">
        <v>60</v>
      </c>
      <c r="H870" s="12">
        <v>60</v>
      </c>
      <c r="I870" s="14"/>
      <c r="J870" s="14" t="s">
        <v>61</v>
      </c>
      <c r="K870" s="12" t="s">
        <v>935</v>
      </c>
      <c r="L870" s="15">
        <v>1</v>
      </c>
      <c r="M870" s="12" t="s">
        <v>150</v>
      </c>
      <c r="N870" s="12">
        <v>60</v>
      </c>
      <c r="O870" s="12">
        <v>60</v>
      </c>
      <c r="P870" s="12">
        <v>0</v>
      </c>
      <c r="Q870" s="16">
        <v>60</v>
      </c>
      <c r="R870" s="16">
        <v>0</v>
      </c>
      <c r="S870" s="16"/>
      <c r="T870" s="16" t="e">
        <v>#N/A</v>
      </c>
      <c r="U870" s="16" t="e">
        <v>#N/A</v>
      </c>
    </row>
    <row r="871" spans="1:21" x14ac:dyDescent="0.25">
      <c r="A871" s="12" t="s">
        <v>21</v>
      </c>
      <c r="B871" s="12" t="s">
        <v>931</v>
      </c>
      <c r="C871" s="12" t="s">
        <v>23</v>
      </c>
      <c r="D871" s="15">
        <v>46263.380335648151</v>
      </c>
      <c r="E871" s="12" t="s">
        <v>423</v>
      </c>
      <c r="F871" s="12" t="s">
        <v>936</v>
      </c>
      <c r="G871" s="12">
        <v>50</v>
      </c>
      <c r="H871" s="12">
        <v>50</v>
      </c>
      <c r="I871" s="14"/>
      <c r="J871" s="14" t="s">
        <v>61</v>
      </c>
      <c r="K871" s="12" t="s">
        <v>937</v>
      </c>
      <c r="L871" s="15">
        <v>1</v>
      </c>
      <c r="M871" s="12" t="s">
        <v>150</v>
      </c>
      <c r="N871" s="12">
        <v>50</v>
      </c>
      <c r="O871" s="12">
        <v>50</v>
      </c>
      <c r="P871" s="12">
        <v>0</v>
      </c>
      <c r="Q871" s="16">
        <v>90</v>
      </c>
      <c r="R871" s="16">
        <v>0</v>
      </c>
      <c r="S871" s="16"/>
      <c r="T871" s="16" t="e">
        <v>#N/A</v>
      </c>
      <c r="U871" s="16" t="e">
        <v>#N/A</v>
      </c>
    </row>
    <row r="872" spans="1:21" x14ac:dyDescent="0.25">
      <c r="A872" s="12" t="s">
        <v>21</v>
      </c>
      <c r="B872" s="12" t="s">
        <v>931</v>
      </c>
      <c r="C872" s="12" t="s">
        <v>23</v>
      </c>
      <c r="D872" s="15">
        <v>46263.380335648151</v>
      </c>
      <c r="E872" s="12" t="s">
        <v>423</v>
      </c>
      <c r="F872" s="12" t="s">
        <v>70</v>
      </c>
      <c r="G872" s="12">
        <v>81</v>
      </c>
      <c r="H872" s="12">
        <v>81</v>
      </c>
      <c r="I872" s="14"/>
      <c r="J872" s="14" t="s">
        <v>61</v>
      </c>
      <c r="K872" s="12" t="s">
        <v>938</v>
      </c>
      <c r="L872" s="15">
        <v>1</v>
      </c>
      <c r="M872" s="12" t="s">
        <v>150</v>
      </c>
      <c r="N872" s="12">
        <v>81</v>
      </c>
      <c r="O872" s="12">
        <v>81</v>
      </c>
      <c r="P872" s="12">
        <v>0</v>
      </c>
      <c r="Q872" s="16">
        <v>81</v>
      </c>
      <c r="R872" s="16">
        <v>0</v>
      </c>
      <c r="S872" s="16"/>
      <c r="T872" s="16" t="e">
        <v>#N/A</v>
      </c>
      <c r="U872" s="16" t="e">
        <v>#N/A</v>
      </c>
    </row>
    <row r="873" spans="1:21" x14ac:dyDescent="0.25">
      <c r="A873" s="12" t="s">
        <v>21</v>
      </c>
      <c r="B873" s="12" t="s">
        <v>931</v>
      </c>
      <c r="C873" s="12" t="s">
        <v>23</v>
      </c>
      <c r="D873" s="15">
        <v>46263.380335648151</v>
      </c>
      <c r="E873" s="12" t="s">
        <v>423</v>
      </c>
      <c r="F873" s="12" t="s">
        <v>924</v>
      </c>
      <c r="G873" s="12">
        <v>100</v>
      </c>
      <c r="H873" s="12">
        <v>100</v>
      </c>
      <c r="I873" s="14"/>
      <c r="J873" s="14" t="s">
        <v>61</v>
      </c>
      <c r="K873" s="12" t="s">
        <v>939</v>
      </c>
      <c r="L873" s="15">
        <v>1</v>
      </c>
      <c r="M873" s="12" t="s">
        <v>150</v>
      </c>
      <c r="N873" s="12">
        <v>100</v>
      </c>
      <c r="O873" s="12">
        <v>100</v>
      </c>
      <c r="P873" s="12">
        <v>0</v>
      </c>
      <c r="Q873" s="16">
        <v>100</v>
      </c>
      <c r="R873" s="16">
        <v>0</v>
      </c>
      <c r="S873" s="16"/>
      <c r="T873" s="16" t="e">
        <v>#N/A</v>
      </c>
      <c r="U873" s="16" t="e">
        <v>#N/A</v>
      </c>
    </row>
    <row r="874" spans="1:21" x14ac:dyDescent="0.25">
      <c r="A874" s="12" t="s">
        <v>21</v>
      </c>
      <c r="B874" s="12" t="s">
        <v>931</v>
      </c>
      <c r="C874" s="12" t="s">
        <v>23</v>
      </c>
      <c r="D874" s="15">
        <v>46263.380335648151</v>
      </c>
      <c r="E874" s="12" t="s">
        <v>423</v>
      </c>
      <c r="F874" s="12" t="s">
        <v>525</v>
      </c>
      <c r="G874" s="12">
        <v>100</v>
      </c>
      <c r="H874" s="12">
        <v>100</v>
      </c>
      <c r="I874" s="14"/>
      <c r="J874" s="14" t="s">
        <v>61</v>
      </c>
      <c r="K874" s="12" t="s">
        <v>942</v>
      </c>
      <c r="L874" s="15">
        <v>1</v>
      </c>
      <c r="M874" s="12" t="s">
        <v>150</v>
      </c>
      <c r="N874" s="12">
        <v>100</v>
      </c>
      <c r="O874" s="12">
        <v>100</v>
      </c>
      <c r="P874" s="12">
        <v>0</v>
      </c>
      <c r="Q874" s="16">
        <v>100</v>
      </c>
      <c r="R874" s="16">
        <v>0</v>
      </c>
      <c r="S874" s="16"/>
      <c r="T874" s="16" t="e">
        <v>#N/A</v>
      </c>
      <c r="U874" s="16" t="e">
        <v>#N/A</v>
      </c>
    </row>
    <row r="875" spans="1:21" x14ac:dyDescent="0.25">
      <c r="A875" s="12" t="s">
        <v>21</v>
      </c>
      <c r="B875" s="12" t="s">
        <v>931</v>
      </c>
      <c r="C875" s="12" t="s">
        <v>23</v>
      </c>
      <c r="D875" s="15">
        <v>46263.380335648151</v>
      </c>
      <c r="E875" s="12" t="s">
        <v>423</v>
      </c>
      <c r="F875" s="12" t="s">
        <v>767</v>
      </c>
      <c r="G875" s="12">
        <v>20</v>
      </c>
      <c r="H875" s="12">
        <v>20</v>
      </c>
      <c r="I875" s="14"/>
      <c r="J875" s="14" t="s">
        <v>61</v>
      </c>
      <c r="K875" s="12" t="s">
        <v>943</v>
      </c>
      <c r="L875" s="15">
        <v>1</v>
      </c>
      <c r="M875" s="12" t="s">
        <v>150</v>
      </c>
      <c r="N875" s="12">
        <v>20</v>
      </c>
      <c r="O875" s="12">
        <v>20</v>
      </c>
      <c r="P875" s="12">
        <v>0</v>
      </c>
      <c r="Q875" s="16">
        <v>20</v>
      </c>
      <c r="R875" s="16">
        <v>0</v>
      </c>
      <c r="S875" s="16"/>
      <c r="T875" s="16" t="e">
        <v>#N/A</v>
      </c>
      <c r="U875" s="16" t="e">
        <v>#N/A</v>
      </c>
    </row>
    <row r="876" spans="1:21" x14ac:dyDescent="0.25">
      <c r="A876" s="12" t="s">
        <v>21</v>
      </c>
      <c r="B876" s="12" t="s">
        <v>940</v>
      </c>
      <c r="C876" s="12" t="s">
        <v>23</v>
      </c>
      <c r="D876" s="15">
        <v>46263.399872685186</v>
      </c>
      <c r="E876" s="12" t="s">
        <v>24</v>
      </c>
      <c r="F876" s="12" t="s">
        <v>941</v>
      </c>
      <c r="G876" s="12">
        <v>2</v>
      </c>
      <c r="H876" s="12">
        <v>2</v>
      </c>
      <c r="I876" s="14"/>
      <c r="J876" s="14" t="s">
        <v>61</v>
      </c>
      <c r="K876" s="12" t="s">
        <v>944</v>
      </c>
      <c r="L876" s="15">
        <v>1</v>
      </c>
      <c r="M876" s="12" t="s">
        <v>150</v>
      </c>
      <c r="N876" s="12">
        <v>2</v>
      </c>
      <c r="O876" s="12">
        <v>2</v>
      </c>
      <c r="P876" s="12">
        <v>0</v>
      </c>
      <c r="Q876" s="16">
        <v>2</v>
      </c>
      <c r="R876" s="16">
        <v>0</v>
      </c>
      <c r="S876" s="16"/>
      <c r="T876" s="16" t="e">
        <v>#N/A</v>
      </c>
      <c r="U876" s="16" t="e">
        <v>#N/A</v>
      </c>
    </row>
    <row r="877" spans="1:21" x14ac:dyDescent="0.25">
      <c r="A877" s="12" t="s">
        <v>21</v>
      </c>
      <c r="B877" s="12" t="s">
        <v>940</v>
      </c>
      <c r="C877" s="12" t="s">
        <v>23</v>
      </c>
      <c r="D877" s="15">
        <v>46263.399872685186</v>
      </c>
      <c r="E877" s="12" t="s">
        <v>24</v>
      </c>
      <c r="F877" s="12" t="s">
        <v>242</v>
      </c>
      <c r="G877" s="12">
        <v>3</v>
      </c>
      <c r="H877" s="12">
        <v>3</v>
      </c>
      <c r="I877" s="14"/>
      <c r="J877" s="14" t="s">
        <v>61</v>
      </c>
      <c r="K877" s="12" t="s">
        <v>945</v>
      </c>
      <c r="L877" s="15">
        <v>1</v>
      </c>
      <c r="M877" s="12" t="s">
        <v>150</v>
      </c>
      <c r="N877" s="12">
        <v>3</v>
      </c>
      <c r="O877" s="12">
        <v>3</v>
      </c>
      <c r="P877" s="12">
        <v>0</v>
      </c>
      <c r="Q877" s="16">
        <v>3</v>
      </c>
      <c r="R877" s="16">
        <v>0</v>
      </c>
      <c r="S877" s="16"/>
      <c r="T877" s="16" t="e">
        <v>#N/A</v>
      </c>
      <c r="U877" s="16" t="e">
        <v>#N/A</v>
      </c>
    </row>
    <row r="878" spans="1:21" x14ac:dyDescent="0.25">
      <c r="A878" s="12" t="s">
        <v>21</v>
      </c>
      <c r="B878" s="12" t="s">
        <v>940</v>
      </c>
      <c r="C878" s="12" t="s">
        <v>23</v>
      </c>
      <c r="D878" s="15">
        <v>46263.399872685186</v>
      </c>
      <c r="E878" s="12" t="s">
        <v>24</v>
      </c>
      <c r="F878" s="12" t="s">
        <v>243</v>
      </c>
      <c r="G878" s="12">
        <v>8</v>
      </c>
      <c r="H878" s="12">
        <v>8</v>
      </c>
      <c r="I878" s="14"/>
      <c r="J878" s="14" t="s">
        <v>61</v>
      </c>
      <c r="K878" s="12" t="s">
        <v>946</v>
      </c>
      <c r="L878" s="15">
        <v>1</v>
      </c>
      <c r="M878" s="12" t="s">
        <v>150</v>
      </c>
      <c r="N878" s="12">
        <v>8</v>
      </c>
      <c r="O878" s="12">
        <v>8</v>
      </c>
      <c r="P878" s="12">
        <v>0</v>
      </c>
      <c r="Q878" s="16">
        <v>8</v>
      </c>
      <c r="R878" s="16">
        <v>1</v>
      </c>
      <c r="S878" s="16"/>
      <c r="T878" s="16" t="e">
        <v>#N/A</v>
      </c>
      <c r="U878" s="16" t="e">
        <v>#N/A</v>
      </c>
    </row>
    <row r="879" spans="1:21" x14ac:dyDescent="0.25">
      <c r="A879" s="12" t="s">
        <v>21</v>
      </c>
      <c r="B879" s="12" t="s">
        <v>940</v>
      </c>
      <c r="C879" s="12" t="s">
        <v>23</v>
      </c>
      <c r="D879" s="15">
        <v>46263.399872685186</v>
      </c>
      <c r="E879" s="12" t="s">
        <v>24</v>
      </c>
      <c r="F879" s="12" t="s">
        <v>245</v>
      </c>
      <c r="G879" s="12">
        <v>30</v>
      </c>
      <c r="H879" s="12">
        <v>30</v>
      </c>
      <c r="I879" s="14"/>
      <c r="J879" s="14" t="s">
        <v>61</v>
      </c>
      <c r="K879" s="12" t="s">
        <v>947</v>
      </c>
      <c r="L879" s="15">
        <v>1</v>
      </c>
      <c r="M879" s="12" t="s">
        <v>150</v>
      </c>
      <c r="N879" s="12">
        <v>30</v>
      </c>
      <c r="O879" s="12">
        <v>30</v>
      </c>
      <c r="P879" s="12">
        <v>0</v>
      </c>
      <c r="Q879" s="16">
        <v>30</v>
      </c>
      <c r="R879" s="16">
        <v>0</v>
      </c>
      <c r="S879" s="16"/>
      <c r="T879" s="16" t="e">
        <v>#N/A</v>
      </c>
      <c r="U879" s="16" t="e">
        <v>#N/A</v>
      </c>
    </row>
    <row r="880" spans="1:21" x14ac:dyDescent="0.25">
      <c r="A880" s="12" t="s">
        <v>21</v>
      </c>
      <c r="B880" s="12" t="s">
        <v>940</v>
      </c>
      <c r="C880" s="12" t="s">
        <v>23</v>
      </c>
      <c r="D880" s="15">
        <v>46263.399872685186</v>
      </c>
      <c r="E880" s="12" t="s">
        <v>24</v>
      </c>
      <c r="F880" s="12" t="s">
        <v>67</v>
      </c>
      <c r="G880" s="12">
        <v>4</v>
      </c>
      <c r="H880" s="12">
        <v>4</v>
      </c>
      <c r="I880" s="14"/>
      <c r="J880" s="14" t="s">
        <v>61</v>
      </c>
      <c r="K880" s="12" t="s">
        <v>948</v>
      </c>
      <c r="L880" s="15">
        <v>1</v>
      </c>
      <c r="M880" s="12" t="s">
        <v>150</v>
      </c>
      <c r="N880" s="12">
        <v>4</v>
      </c>
      <c r="O880" s="12">
        <v>4</v>
      </c>
      <c r="P880" s="12">
        <v>0</v>
      </c>
      <c r="Q880" s="16">
        <v>4</v>
      </c>
      <c r="R880" s="16">
        <v>0</v>
      </c>
      <c r="S880" s="16"/>
      <c r="T880" s="16" t="e">
        <v>#N/A</v>
      </c>
      <c r="U880" s="16" t="e">
        <v>#N/A</v>
      </c>
    </row>
    <row r="881" spans="1:21" x14ac:dyDescent="0.25">
      <c r="A881" s="12" t="s">
        <v>21</v>
      </c>
      <c r="B881" s="12" t="s">
        <v>940</v>
      </c>
      <c r="C881" s="12" t="s">
        <v>23</v>
      </c>
      <c r="D881" s="15">
        <v>46263.399872685186</v>
      </c>
      <c r="E881" s="12" t="s">
        <v>24</v>
      </c>
      <c r="F881" s="12" t="s">
        <v>731</v>
      </c>
      <c r="G881" s="12">
        <v>1</v>
      </c>
      <c r="H881" s="12">
        <v>1</v>
      </c>
      <c r="I881" s="14"/>
      <c r="J881" s="14" t="s">
        <v>61</v>
      </c>
      <c r="K881" s="12" t="s">
        <v>949</v>
      </c>
      <c r="L881" s="15">
        <v>1</v>
      </c>
      <c r="M881" s="12" t="s">
        <v>150</v>
      </c>
      <c r="N881" s="12">
        <v>1</v>
      </c>
      <c r="O881" s="12">
        <v>1</v>
      </c>
      <c r="P881" s="12">
        <v>0</v>
      </c>
      <c r="Q881" s="16">
        <v>1</v>
      </c>
      <c r="R881" s="16">
        <v>0</v>
      </c>
      <c r="S881" s="16"/>
      <c r="T881" s="16" t="e">
        <v>#N/A</v>
      </c>
      <c r="U881" s="16" t="e">
        <v>#N/A</v>
      </c>
    </row>
    <row r="882" spans="1:21" x14ac:dyDescent="0.25">
      <c r="A882" s="12" t="s">
        <v>21</v>
      </c>
      <c r="B882" s="12" t="s">
        <v>940</v>
      </c>
      <c r="C882" s="12" t="s">
        <v>23</v>
      </c>
      <c r="D882" s="15">
        <v>46263.399872685186</v>
      </c>
      <c r="E882" s="12" t="s">
        <v>24</v>
      </c>
      <c r="F882" s="12" t="s">
        <v>253</v>
      </c>
      <c r="G882" s="12">
        <v>10</v>
      </c>
      <c r="H882" s="12">
        <v>10</v>
      </c>
      <c r="I882" s="14"/>
      <c r="J882" s="14" t="s">
        <v>61</v>
      </c>
      <c r="K882" s="12" t="s">
        <v>950</v>
      </c>
      <c r="L882" s="15">
        <v>1</v>
      </c>
      <c r="M882" s="12" t="s">
        <v>150</v>
      </c>
      <c r="N882" s="12">
        <v>10</v>
      </c>
      <c r="O882" s="12">
        <v>10</v>
      </c>
      <c r="P882" s="12">
        <v>0</v>
      </c>
      <c r="Q882" s="16">
        <v>10</v>
      </c>
      <c r="R882" s="16">
        <v>0</v>
      </c>
      <c r="S882" s="16"/>
      <c r="T882" s="16" t="e">
        <v>#N/A</v>
      </c>
      <c r="U882" s="16" t="e">
        <v>#N/A</v>
      </c>
    </row>
    <row r="883" spans="1:21" x14ac:dyDescent="0.25">
      <c r="A883" s="12" t="s">
        <v>21</v>
      </c>
      <c r="B883" s="12" t="s">
        <v>940</v>
      </c>
      <c r="C883" s="12" t="s">
        <v>23</v>
      </c>
      <c r="D883" s="15">
        <v>46263.399872685186</v>
      </c>
      <c r="E883" s="12" t="s">
        <v>24</v>
      </c>
      <c r="F883" s="12" t="s">
        <v>703</v>
      </c>
      <c r="G883" s="12">
        <v>6</v>
      </c>
      <c r="H883" s="12">
        <v>6</v>
      </c>
      <c r="I883" s="14"/>
      <c r="J883" s="14" t="s">
        <v>61</v>
      </c>
      <c r="K883" s="12" t="s">
        <v>951</v>
      </c>
      <c r="L883" s="15">
        <v>1</v>
      </c>
      <c r="M883" s="12" t="s">
        <v>150</v>
      </c>
      <c r="N883" s="12">
        <v>6</v>
      </c>
      <c r="O883" s="12">
        <v>6</v>
      </c>
      <c r="P883" s="12">
        <v>0</v>
      </c>
      <c r="Q883" s="16">
        <v>6</v>
      </c>
      <c r="R883" s="16">
        <v>0</v>
      </c>
      <c r="S883" s="16"/>
      <c r="T883" s="16" t="e">
        <v>#N/A</v>
      </c>
      <c r="U883" s="16" t="e">
        <v>#N/A</v>
      </c>
    </row>
    <row r="884" spans="1:21" x14ac:dyDescent="0.25">
      <c r="A884" s="12" t="s">
        <v>21</v>
      </c>
      <c r="B884" s="12" t="s">
        <v>952</v>
      </c>
      <c r="C884" s="12" t="s">
        <v>23</v>
      </c>
      <c r="D884" s="15">
        <v>46263.424432870372</v>
      </c>
      <c r="E884" s="12" t="s">
        <v>335</v>
      </c>
      <c r="F884" s="12" t="s">
        <v>320</v>
      </c>
      <c r="G884" s="12">
        <v>50</v>
      </c>
      <c r="H884" s="12">
        <v>50</v>
      </c>
      <c r="I884" s="14"/>
      <c r="J884" s="14" t="s">
        <v>26</v>
      </c>
      <c r="K884" s="12" t="s">
        <v>27</v>
      </c>
      <c r="L884" s="15"/>
      <c r="M884" s="12" t="s">
        <v>28</v>
      </c>
      <c r="N884" s="12"/>
      <c r="O884" s="12"/>
      <c r="P884" s="12"/>
      <c r="Q884" s="16">
        <v>0</v>
      </c>
      <c r="R884" s="16">
        <v>1</v>
      </c>
      <c r="S884" s="16"/>
      <c r="T884" s="16" t="e">
        <v>#N/A</v>
      </c>
      <c r="U884" s="16" t="e">
        <v>#N/A</v>
      </c>
    </row>
    <row r="885" spans="1:21" x14ac:dyDescent="0.25">
      <c r="A885" s="12" t="s">
        <v>21</v>
      </c>
      <c r="B885" s="12" t="s">
        <v>953</v>
      </c>
      <c r="C885" s="12" t="s">
        <v>23</v>
      </c>
      <c r="D885" s="15">
        <v>46263.483680555553</v>
      </c>
      <c r="E885" s="12" t="s">
        <v>423</v>
      </c>
      <c r="F885" s="12" t="s">
        <v>552</v>
      </c>
      <c r="G885" s="12">
        <v>150</v>
      </c>
      <c r="H885" s="12">
        <v>150</v>
      </c>
      <c r="I885" s="14"/>
      <c r="J885" s="14" t="s">
        <v>61</v>
      </c>
      <c r="K885" s="12" t="s">
        <v>957</v>
      </c>
      <c r="L885" s="15">
        <v>1</v>
      </c>
      <c r="M885" s="12" t="s">
        <v>150</v>
      </c>
      <c r="N885" s="12">
        <v>150</v>
      </c>
      <c r="O885" s="12">
        <v>150</v>
      </c>
      <c r="P885" s="12">
        <v>0</v>
      </c>
      <c r="Q885" s="16">
        <v>150</v>
      </c>
      <c r="R885" s="16">
        <v>0</v>
      </c>
      <c r="S885" s="16"/>
      <c r="T885" s="16" t="e">
        <v>#N/A</v>
      </c>
      <c r="U885" s="16" t="e">
        <v>#N/A</v>
      </c>
    </row>
    <row r="886" spans="1:21" x14ac:dyDescent="0.25">
      <c r="A886" s="12" t="s">
        <v>21</v>
      </c>
      <c r="B886" s="12" t="s">
        <v>953</v>
      </c>
      <c r="C886" s="12" t="s">
        <v>23</v>
      </c>
      <c r="D886" s="15">
        <v>46263.483680555553</v>
      </c>
      <c r="E886" s="12" t="s">
        <v>423</v>
      </c>
      <c r="F886" s="12" t="s">
        <v>472</v>
      </c>
      <c r="G886" s="12">
        <v>100</v>
      </c>
      <c r="H886" s="12">
        <v>100</v>
      </c>
      <c r="I886" s="14"/>
      <c r="J886" s="14" t="s">
        <v>61</v>
      </c>
      <c r="K886" s="12" t="s">
        <v>958</v>
      </c>
      <c r="L886" s="15">
        <v>1</v>
      </c>
      <c r="M886" s="12" t="s">
        <v>150</v>
      </c>
      <c r="N886" s="12">
        <v>100</v>
      </c>
      <c r="O886" s="12">
        <v>100</v>
      </c>
      <c r="P886" s="12">
        <v>0</v>
      </c>
      <c r="Q886" s="16">
        <v>100</v>
      </c>
      <c r="R886" s="16">
        <v>0</v>
      </c>
      <c r="S886" s="16"/>
      <c r="T886" s="16" t="e">
        <v>#N/A</v>
      </c>
      <c r="U886" s="16" t="e">
        <v>#N/A</v>
      </c>
    </row>
    <row r="887" spans="1:21" x14ac:dyDescent="0.25">
      <c r="A887" s="12" t="s">
        <v>21</v>
      </c>
      <c r="B887" s="12" t="s">
        <v>953</v>
      </c>
      <c r="C887" s="12" t="s">
        <v>23</v>
      </c>
      <c r="D887" s="15">
        <v>46263.483680555553</v>
      </c>
      <c r="E887" s="12" t="s">
        <v>423</v>
      </c>
      <c r="F887" s="12" t="s">
        <v>557</v>
      </c>
      <c r="G887" s="12">
        <v>70</v>
      </c>
      <c r="H887" s="12">
        <v>70</v>
      </c>
      <c r="I887" s="14"/>
      <c r="J887" s="14" t="s">
        <v>61</v>
      </c>
      <c r="K887" s="12" t="s">
        <v>959</v>
      </c>
      <c r="L887" s="15">
        <v>1</v>
      </c>
      <c r="M887" s="12" t="s">
        <v>150</v>
      </c>
      <c r="N887" s="12">
        <v>70</v>
      </c>
      <c r="O887" s="12">
        <v>70</v>
      </c>
      <c r="P887" s="12">
        <v>0</v>
      </c>
      <c r="Q887" s="16">
        <v>70</v>
      </c>
      <c r="R887" s="16">
        <v>0</v>
      </c>
      <c r="S887" s="16"/>
      <c r="T887" s="16" t="e">
        <v>#N/A</v>
      </c>
      <c r="U887" s="16" t="e">
        <v>#N/A</v>
      </c>
    </row>
    <row r="888" spans="1:21" x14ac:dyDescent="0.25">
      <c r="A888" s="12" t="s">
        <v>21</v>
      </c>
      <c r="B888" s="12" t="s">
        <v>953</v>
      </c>
      <c r="C888" s="12" t="s">
        <v>23</v>
      </c>
      <c r="D888" s="15">
        <v>46263.483680555553</v>
      </c>
      <c r="E888" s="12" t="s">
        <v>423</v>
      </c>
      <c r="F888" s="12" t="s">
        <v>559</v>
      </c>
      <c r="G888" s="12">
        <v>100</v>
      </c>
      <c r="H888" s="12">
        <v>100</v>
      </c>
      <c r="I888" s="14"/>
      <c r="J888" s="14" t="s">
        <v>61</v>
      </c>
      <c r="K888" s="12" t="s">
        <v>960</v>
      </c>
      <c r="L888" s="15">
        <v>1</v>
      </c>
      <c r="M888" s="12" t="s">
        <v>150</v>
      </c>
      <c r="N888" s="12">
        <v>100</v>
      </c>
      <c r="O888" s="12">
        <v>100</v>
      </c>
      <c r="P888" s="12">
        <v>0</v>
      </c>
      <c r="Q888" s="16">
        <v>100</v>
      </c>
      <c r="R888" s="16">
        <v>0</v>
      </c>
      <c r="S888" s="16"/>
      <c r="T888" s="16" t="e">
        <v>#N/A</v>
      </c>
      <c r="U888" s="16" t="e">
        <v>#N/A</v>
      </c>
    </row>
    <row r="889" spans="1:21" x14ac:dyDescent="0.25">
      <c r="A889" s="12" t="s">
        <v>21</v>
      </c>
      <c r="B889" s="12" t="s">
        <v>953</v>
      </c>
      <c r="C889" s="12" t="s">
        <v>23</v>
      </c>
      <c r="D889" s="15">
        <v>46263.483680555553</v>
      </c>
      <c r="E889" s="12" t="s">
        <v>423</v>
      </c>
      <c r="F889" s="12" t="s">
        <v>955</v>
      </c>
      <c r="G889" s="12">
        <v>40</v>
      </c>
      <c r="H889" s="12">
        <v>40</v>
      </c>
      <c r="I889" s="14"/>
      <c r="J889" s="14" t="s">
        <v>61</v>
      </c>
      <c r="K889" s="12" t="s">
        <v>961</v>
      </c>
      <c r="L889" s="15">
        <v>1</v>
      </c>
      <c r="M889" s="12" t="s">
        <v>150</v>
      </c>
      <c r="N889" s="12">
        <v>40</v>
      </c>
      <c r="O889" s="12">
        <v>40</v>
      </c>
      <c r="P889" s="12">
        <v>0</v>
      </c>
      <c r="Q889" s="16">
        <v>40</v>
      </c>
      <c r="R889" s="16">
        <v>0</v>
      </c>
      <c r="S889" s="16"/>
      <c r="T889" s="16" t="e">
        <v>#N/A</v>
      </c>
      <c r="U889" s="16" t="e">
        <v>#N/A</v>
      </c>
    </row>
    <row r="890" spans="1:21" x14ac:dyDescent="0.25">
      <c r="A890" s="12" t="s">
        <v>21</v>
      </c>
      <c r="B890" s="12" t="s">
        <v>954</v>
      </c>
      <c r="C890" s="12" t="s">
        <v>23</v>
      </c>
      <c r="D890" s="15">
        <v>46263.489895833336</v>
      </c>
      <c r="E890" s="12" t="s">
        <v>258</v>
      </c>
      <c r="F890" s="12" t="s">
        <v>956</v>
      </c>
      <c r="G890" s="12">
        <v>3</v>
      </c>
      <c r="H890" s="12">
        <v>3</v>
      </c>
      <c r="I890" s="14"/>
      <c r="J890" s="14" t="s">
        <v>61</v>
      </c>
      <c r="K890" s="12" t="s">
        <v>962</v>
      </c>
      <c r="L890" s="15">
        <v>1</v>
      </c>
      <c r="M890" s="12" t="s">
        <v>150</v>
      </c>
      <c r="N890" s="12">
        <v>3</v>
      </c>
      <c r="O890" s="12">
        <v>3</v>
      </c>
      <c r="P890" s="12">
        <v>0</v>
      </c>
      <c r="Q890" s="16">
        <v>3</v>
      </c>
      <c r="R890" s="16">
        <v>2</v>
      </c>
      <c r="S890" s="16"/>
      <c r="T890" s="16" t="e">
        <v>#N/A</v>
      </c>
      <c r="U890" s="16" t="e">
        <v>#N/A</v>
      </c>
    </row>
    <row r="891" spans="1:21" x14ac:dyDescent="0.25">
      <c r="A891" s="12" t="s">
        <v>21</v>
      </c>
      <c r="B891" s="12" t="s">
        <v>963</v>
      </c>
      <c r="C891" s="12" t="s">
        <v>23</v>
      </c>
      <c r="D891" s="15">
        <v>46265.30091435185</v>
      </c>
      <c r="E891" s="12" t="s">
        <v>484</v>
      </c>
      <c r="F891" s="12" t="s">
        <v>964</v>
      </c>
      <c r="G891" s="12">
        <v>2</v>
      </c>
      <c r="H891" s="12">
        <v>2</v>
      </c>
      <c r="I891" s="14"/>
      <c r="J891" s="14" t="s">
        <v>26</v>
      </c>
      <c r="K891" s="12" t="s">
        <v>969</v>
      </c>
      <c r="L891" s="15">
        <v>1</v>
      </c>
      <c r="M891" s="12" t="s">
        <v>150</v>
      </c>
      <c r="N891" s="12">
        <v>2</v>
      </c>
      <c r="O891" s="12">
        <v>2</v>
      </c>
      <c r="P891" s="12">
        <v>0</v>
      </c>
      <c r="Q891" s="16">
        <v>0</v>
      </c>
      <c r="R891" s="16">
        <v>0</v>
      </c>
      <c r="S891" s="16"/>
      <c r="T891" s="16" t="e">
        <v>#N/A</v>
      </c>
      <c r="U891" s="16" t="e">
        <v>#N/A</v>
      </c>
    </row>
    <row r="892" spans="1:21" x14ac:dyDescent="0.25">
      <c r="A892" s="12" t="s">
        <v>21</v>
      </c>
      <c r="B892" s="12" t="s">
        <v>963</v>
      </c>
      <c r="C892" s="12" t="s">
        <v>23</v>
      </c>
      <c r="D892" s="15">
        <v>46265.30091435185</v>
      </c>
      <c r="E892" s="12" t="s">
        <v>484</v>
      </c>
      <c r="F892" s="12" t="s">
        <v>965</v>
      </c>
      <c r="G892" s="12">
        <v>2</v>
      </c>
      <c r="H892" s="12">
        <v>2</v>
      </c>
      <c r="I892" s="14"/>
      <c r="J892" s="14" t="s">
        <v>26</v>
      </c>
      <c r="K892" s="12" t="s">
        <v>970</v>
      </c>
      <c r="L892" s="15">
        <v>1</v>
      </c>
      <c r="M892" s="12" t="s">
        <v>150</v>
      </c>
      <c r="N892" s="12">
        <v>2</v>
      </c>
      <c r="O892" s="12">
        <v>2</v>
      </c>
      <c r="P892" s="12">
        <v>0</v>
      </c>
      <c r="Q892" s="16">
        <v>0</v>
      </c>
      <c r="R892" s="16">
        <v>0</v>
      </c>
      <c r="S892" s="16"/>
      <c r="T892" s="16" t="e">
        <v>#N/A</v>
      </c>
      <c r="U892" s="16" t="e">
        <v>#N/A</v>
      </c>
    </row>
    <row r="893" spans="1:21" x14ac:dyDescent="0.25">
      <c r="A893" s="12" t="s">
        <v>21</v>
      </c>
      <c r="B893" s="12" t="s">
        <v>963</v>
      </c>
      <c r="C893" s="12" t="s">
        <v>23</v>
      </c>
      <c r="D893" s="15">
        <v>46265.30091435185</v>
      </c>
      <c r="E893" s="12" t="s">
        <v>484</v>
      </c>
      <c r="F893" s="12" t="s">
        <v>966</v>
      </c>
      <c r="G893" s="12">
        <v>1</v>
      </c>
      <c r="H893" s="12">
        <v>1</v>
      </c>
      <c r="I893" s="14"/>
      <c r="J893" s="14" t="s">
        <v>61</v>
      </c>
      <c r="K893" s="12" t="s">
        <v>971</v>
      </c>
      <c r="L893" s="15">
        <v>1</v>
      </c>
      <c r="M893" s="12" t="s">
        <v>150</v>
      </c>
      <c r="N893" s="12">
        <v>1</v>
      </c>
      <c r="O893" s="12">
        <v>1</v>
      </c>
      <c r="P893" s="12">
        <v>0</v>
      </c>
      <c r="Q893" s="16">
        <v>1</v>
      </c>
      <c r="R893" s="16">
        <v>0</v>
      </c>
      <c r="S893" s="16"/>
      <c r="T893" s="16" t="e">
        <v>#N/A</v>
      </c>
      <c r="U893" s="16" t="e">
        <v>#N/A</v>
      </c>
    </row>
    <row r="894" spans="1:21" x14ac:dyDescent="0.25">
      <c r="A894" s="12" t="s">
        <v>21</v>
      </c>
      <c r="B894" s="12" t="s">
        <v>963</v>
      </c>
      <c r="C894" s="12" t="s">
        <v>23</v>
      </c>
      <c r="D894" s="15">
        <v>46265.30091435185</v>
      </c>
      <c r="E894" s="12" t="s">
        <v>484</v>
      </c>
      <c r="F894" s="12" t="s">
        <v>531</v>
      </c>
      <c r="G894" s="12">
        <v>8</v>
      </c>
      <c r="H894" s="12">
        <v>8</v>
      </c>
      <c r="I894" s="14"/>
      <c r="J894" s="14" t="s">
        <v>61</v>
      </c>
      <c r="K894" s="12" t="s">
        <v>972</v>
      </c>
      <c r="L894" s="15">
        <v>1</v>
      </c>
      <c r="M894" s="12" t="s">
        <v>150</v>
      </c>
      <c r="N894" s="12">
        <v>8</v>
      </c>
      <c r="O894" s="12">
        <v>8</v>
      </c>
      <c r="P894" s="12">
        <v>0</v>
      </c>
      <c r="Q894" s="16">
        <v>8</v>
      </c>
      <c r="R894" s="16">
        <v>0</v>
      </c>
      <c r="S894" s="16"/>
      <c r="T894" s="16" t="e">
        <v>#N/A</v>
      </c>
      <c r="U894" s="16" t="e">
        <v>#N/A</v>
      </c>
    </row>
    <row r="895" spans="1:21" x14ac:dyDescent="0.25">
      <c r="A895" s="12" t="s">
        <v>21</v>
      </c>
      <c r="B895" s="12" t="s">
        <v>963</v>
      </c>
      <c r="C895" s="12" t="s">
        <v>23</v>
      </c>
      <c r="D895" s="15">
        <v>46265.30091435185</v>
      </c>
      <c r="E895" s="12" t="s">
        <v>484</v>
      </c>
      <c r="F895" s="12" t="s">
        <v>967</v>
      </c>
      <c r="G895" s="12">
        <v>1</v>
      </c>
      <c r="H895" s="12">
        <v>1</v>
      </c>
      <c r="I895" s="14"/>
      <c r="J895" s="14" t="s">
        <v>61</v>
      </c>
      <c r="K895" s="12" t="s">
        <v>973</v>
      </c>
      <c r="L895" s="15">
        <v>1</v>
      </c>
      <c r="M895" s="12" t="s">
        <v>150</v>
      </c>
      <c r="N895" s="12">
        <v>1</v>
      </c>
      <c r="O895" s="12">
        <v>1</v>
      </c>
      <c r="P895" s="12">
        <v>0</v>
      </c>
      <c r="Q895" s="16">
        <v>1</v>
      </c>
      <c r="R895" s="16">
        <v>0</v>
      </c>
      <c r="S895" s="16"/>
      <c r="T895" s="16" t="e">
        <v>#N/A</v>
      </c>
      <c r="U895" s="16" t="e">
        <v>#N/A</v>
      </c>
    </row>
    <row r="896" spans="1:21" x14ac:dyDescent="0.25">
      <c r="A896" s="12" t="s">
        <v>21</v>
      </c>
      <c r="B896" s="12" t="s">
        <v>963</v>
      </c>
      <c r="C896" s="12" t="s">
        <v>23</v>
      </c>
      <c r="D896" s="15">
        <v>46265.30091435185</v>
      </c>
      <c r="E896" s="12" t="s">
        <v>484</v>
      </c>
      <c r="F896" s="12" t="s">
        <v>968</v>
      </c>
      <c r="G896" s="12">
        <v>2</v>
      </c>
      <c r="H896" s="12">
        <v>2</v>
      </c>
      <c r="I896" s="14"/>
      <c r="J896" s="14" t="s">
        <v>61</v>
      </c>
      <c r="K896" s="12" t="s">
        <v>974</v>
      </c>
      <c r="L896" s="15">
        <v>1</v>
      </c>
      <c r="M896" s="12" t="s">
        <v>150</v>
      </c>
      <c r="N896" s="12">
        <v>2</v>
      </c>
      <c r="O896" s="12">
        <v>2</v>
      </c>
      <c r="P896" s="12">
        <v>0</v>
      </c>
      <c r="Q896" s="16">
        <v>2</v>
      </c>
      <c r="R896" s="16">
        <v>0</v>
      </c>
      <c r="S896" s="16"/>
      <c r="T896" s="16" t="e">
        <v>#N/A</v>
      </c>
      <c r="U896" s="16" t="e">
        <v>#N/A</v>
      </c>
    </row>
    <row r="897" spans="1:21" x14ac:dyDescent="0.25">
      <c r="A897" s="12" t="s">
        <v>21</v>
      </c>
      <c r="B897" s="12" t="s">
        <v>975</v>
      </c>
      <c r="C897" s="12" t="s">
        <v>23</v>
      </c>
      <c r="D897" s="15">
        <v>46265.412523148145</v>
      </c>
      <c r="E897" s="12" t="s">
        <v>646</v>
      </c>
      <c r="F897" s="12" t="s">
        <v>525</v>
      </c>
      <c r="G897" s="12">
        <v>8</v>
      </c>
      <c r="H897" s="12">
        <v>8</v>
      </c>
      <c r="I897" s="14"/>
      <c r="J897" s="14" t="s">
        <v>26</v>
      </c>
      <c r="K897" s="12" t="s">
        <v>27</v>
      </c>
      <c r="L897" s="15"/>
      <c r="M897" s="12" t="s">
        <v>28</v>
      </c>
      <c r="N897" s="12"/>
      <c r="O897" s="12"/>
      <c r="P897" s="12"/>
      <c r="Q897" s="16">
        <v>0</v>
      </c>
      <c r="R897" s="16">
        <v>0</v>
      </c>
      <c r="S897" s="16"/>
      <c r="T897" s="16" t="e">
        <v>#N/A</v>
      </c>
      <c r="U897" s="16" t="e">
        <v>#N/A</v>
      </c>
    </row>
    <row r="898" spans="1:21" x14ac:dyDescent="0.25">
      <c r="A898" s="12" t="s">
        <v>21</v>
      </c>
      <c r="B898" s="12" t="s">
        <v>975</v>
      </c>
      <c r="C898" s="12" t="s">
        <v>23</v>
      </c>
      <c r="D898" s="15">
        <v>46265.412523148145</v>
      </c>
      <c r="E898" s="12" t="s">
        <v>646</v>
      </c>
      <c r="F898" s="12" t="s">
        <v>320</v>
      </c>
      <c r="G898" s="12">
        <v>10</v>
      </c>
      <c r="H898" s="12">
        <v>10</v>
      </c>
      <c r="I898" s="14"/>
      <c r="J898" s="14" t="s">
        <v>26</v>
      </c>
      <c r="K898" s="12" t="s">
        <v>27</v>
      </c>
      <c r="L898" s="15"/>
      <c r="M898" s="12" t="s">
        <v>28</v>
      </c>
      <c r="N898" s="12"/>
      <c r="O898" s="12"/>
      <c r="P898" s="12"/>
      <c r="Q898" s="16">
        <v>0</v>
      </c>
      <c r="R898" s="16">
        <v>1</v>
      </c>
      <c r="S898" s="16"/>
      <c r="T898" s="16" t="e">
        <v>#N/A</v>
      </c>
      <c r="U898" s="16" t="e">
        <v>#N/A</v>
      </c>
    </row>
    <row r="899" spans="1:21" x14ac:dyDescent="0.25">
      <c r="A899" s="12" t="s">
        <v>21</v>
      </c>
      <c r="B899" s="12" t="s">
        <v>976</v>
      </c>
      <c r="C899" s="12" t="s">
        <v>23</v>
      </c>
      <c r="D899" s="15">
        <v>46265.444305555553</v>
      </c>
      <c r="E899" s="12" t="s">
        <v>24</v>
      </c>
      <c r="F899" s="12" t="s">
        <v>977</v>
      </c>
      <c r="G899" s="12">
        <v>3</v>
      </c>
      <c r="H899" s="12">
        <v>3</v>
      </c>
      <c r="I899" s="14"/>
      <c r="J899" s="14" t="s">
        <v>26</v>
      </c>
      <c r="K899" s="12" t="s">
        <v>980</v>
      </c>
      <c r="L899" s="15">
        <v>1</v>
      </c>
      <c r="M899" s="12" t="s">
        <v>150</v>
      </c>
      <c r="N899" s="12">
        <v>3</v>
      </c>
      <c r="O899" s="12">
        <v>3</v>
      </c>
      <c r="P899" s="12">
        <v>0</v>
      </c>
      <c r="Q899" s="16">
        <v>0</v>
      </c>
      <c r="R899" s="16">
        <v>0</v>
      </c>
      <c r="S899" s="16"/>
      <c r="T899" s="16" t="e">
        <v>#N/A</v>
      </c>
      <c r="U899" s="16" t="e">
        <v>#N/A</v>
      </c>
    </row>
    <row r="900" spans="1:21" x14ac:dyDescent="0.25">
      <c r="A900" s="12" t="s">
        <v>21</v>
      </c>
      <c r="B900" s="12" t="s">
        <v>976</v>
      </c>
      <c r="C900" s="12" t="s">
        <v>23</v>
      </c>
      <c r="D900" s="15">
        <v>46265.444305555553</v>
      </c>
      <c r="E900" s="12" t="s">
        <v>24</v>
      </c>
      <c r="F900" s="12" t="s">
        <v>978</v>
      </c>
      <c r="G900" s="12">
        <v>2</v>
      </c>
      <c r="H900" s="12">
        <v>2</v>
      </c>
      <c r="I900" s="14"/>
      <c r="J900" s="14" t="s">
        <v>26</v>
      </c>
      <c r="K900" s="12" t="s">
        <v>981</v>
      </c>
      <c r="L900" s="15">
        <v>1</v>
      </c>
      <c r="M900" s="12" t="s">
        <v>150</v>
      </c>
      <c r="N900" s="12">
        <v>2</v>
      </c>
      <c r="O900" s="12">
        <v>2</v>
      </c>
      <c r="P900" s="12">
        <v>0</v>
      </c>
      <c r="Q900" s="16">
        <v>0</v>
      </c>
      <c r="R900" s="16">
        <v>0</v>
      </c>
      <c r="S900" s="16"/>
      <c r="T900" s="16" t="e">
        <v>#N/A</v>
      </c>
      <c r="U900" s="16" t="e">
        <v>#N/A</v>
      </c>
    </row>
    <row r="901" spans="1:21" x14ac:dyDescent="0.25">
      <c r="A901" s="12" t="s">
        <v>21</v>
      </c>
      <c r="B901" s="12" t="s">
        <v>976</v>
      </c>
      <c r="C901" s="12" t="s">
        <v>23</v>
      </c>
      <c r="D901" s="15">
        <v>46265.444305555553</v>
      </c>
      <c r="E901" s="12" t="s">
        <v>24</v>
      </c>
      <c r="F901" s="12" t="s">
        <v>979</v>
      </c>
      <c r="G901" s="12">
        <v>4</v>
      </c>
      <c r="H901" s="12">
        <v>4</v>
      </c>
      <c r="I901" s="14"/>
      <c r="J901" s="14" t="s">
        <v>26</v>
      </c>
      <c r="K901" s="12" t="s">
        <v>982</v>
      </c>
      <c r="L901" s="15">
        <v>1</v>
      </c>
      <c r="M901" s="12" t="s">
        <v>150</v>
      </c>
      <c r="N901" s="12">
        <v>4</v>
      </c>
      <c r="O901" s="12">
        <v>4</v>
      </c>
      <c r="P901" s="12">
        <v>0</v>
      </c>
      <c r="Q901" s="16">
        <v>0</v>
      </c>
      <c r="R901" s="16">
        <v>0</v>
      </c>
      <c r="S901" s="16"/>
      <c r="T901" s="16" t="e">
        <v>#N/A</v>
      </c>
      <c r="U901" s="16" t="e">
        <v>#N/A</v>
      </c>
    </row>
    <row r="902" spans="1:21" x14ac:dyDescent="0.25">
      <c r="A902" s="12" t="s">
        <v>21</v>
      </c>
      <c r="B902" s="12" t="s">
        <v>983</v>
      </c>
      <c r="C902" s="12" t="s">
        <v>23</v>
      </c>
      <c r="D902" s="15">
        <v>46265.499872685185</v>
      </c>
      <c r="E902" s="12" t="s">
        <v>986</v>
      </c>
      <c r="F902" s="12" t="s">
        <v>987</v>
      </c>
      <c r="G902" s="12">
        <v>12</v>
      </c>
      <c r="H902" s="12">
        <v>12</v>
      </c>
      <c r="I902" s="14"/>
      <c r="J902" s="14" t="s">
        <v>61</v>
      </c>
      <c r="K902" s="12" t="s">
        <v>989</v>
      </c>
      <c r="L902" s="15">
        <v>1</v>
      </c>
      <c r="M902" s="12" t="s">
        <v>150</v>
      </c>
      <c r="N902" s="12">
        <v>12</v>
      </c>
      <c r="O902" s="12">
        <v>12</v>
      </c>
      <c r="P902" s="12">
        <v>0</v>
      </c>
      <c r="Q902" s="16">
        <v>12</v>
      </c>
      <c r="R902" s="16">
        <v>0</v>
      </c>
      <c r="S902" s="16"/>
      <c r="T902" s="16" t="e">
        <v>#N/A</v>
      </c>
      <c r="U902" s="16" t="e">
        <v>#N/A</v>
      </c>
    </row>
    <row r="903" spans="1:21" x14ac:dyDescent="0.25">
      <c r="A903" s="12" t="s">
        <v>21</v>
      </c>
      <c r="B903" s="12" t="s">
        <v>983</v>
      </c>
      <c r="C903" s="12" t="s">
        <v>23</v>
      </c>
      <c r="D903" s="15">
        <v>46265.499872685185</v>
      </c>
      <c r="E903" s="12" t="s">
        <v>986</v>
      </c>
      <c r="F903" s="12" t="s">
        <v>552</v>
      </c>
      <c r="G903" s="12">
        <v>100</v>
      </c>
      <c r="H903" s="12">
        <v>100</v>
      </c>
      <c r="I903" s="14"/>
      <c r="J903" s="14" t="s">
        <v>61</v>
      </c>
      <c r="K903" s="12" t="s">
        <v>27</v>
      </c>
      <c r="L903" s="15"/>
      <c r="M903" s="12" t="s">
        <v>28</v>
      </c>
      <c r="N903" s="12"/>
      <c r="O903" s="12"/>
      <c r="P903" s="12"/>
      <c r="Q903" s="16">
        <v>200</v>
      </c>
      <c r="R903" s="16">
        <v>0</v>
      </c>
      <c r="S903" s="16"/>
      <c r="T903" s="16" t="e">
        <v>#N/A</v>
      </c>
      <c r="U903" s="16" t="e">
        <v>#N/A</v>
      </c>
    </row>
    <row r="904" spans="1:21" x14ac:dyDescent="0.25">
      <c r="A904" s="12" t="s">
        <v>21</v>
      </c>
      <c r="B904" s="12" t="s">
        <v>983</v>
      </c>
      <c r="C904" s="12" t="s">
        <v>23</v>
      </c>
      <c r="D904" s="15">
        <v>46265.499872685185</v>
      </c>
      <c r="E904" s="12" t="s">
        <v>986</v>
      </c>
      <c r="F904" s="12" t="s">
        <v>472</v>
      </c>
      <c r="G904" s="12">
        <v>100</v>
      </c>
      <c r="H904" s="12">
        <v>100</v>
      </c>
      <c r="I904" s="14"/>
      <c r="J904" s="14" t="s">
        <v>61</v>
      </c>
      <c r="K904" s="12" t="s">
        <v>990</v>
      </c>
      <c r="L904" s="15">
        <v>1</v>
      </c>
      <c r="M904" s="12" t="s">
        <v>150</v>
      </c>
      <c r="N904" s="12">
        <v>100</v>
      </c>
      <c r="O904" s="12">
        <v>100</v>
      </c>
      <c r="P904" s="12">
        <v>0</v>
      </c>
      <c r="Q904" s="16">
        <v>100</v>
      </c>
      <c r="R904" s="16">
        <v>0</v>
      </c>
      <c r="S904" s="16"/>
      <c r="T904" s="16" t="e">
        <v>#N/A</v>
      </c>
      <c r="U904" s="16" t="e">
        <v>#N/A</v>
      </c>
    </row>
    <row r="905" spans="1:21" x14ac:dyDescent="0.25">
      <c r="A905" s="12" t="s">
        <v>21</v>
      </c>
      <c r="B905" s="12" t="s">
        <v>983</v>
      </c>
      <c r="C905" s="12" t="s">
        <v>23</v>
      </c>
      <c r="D905" s="15">
        <v>46265.499872685185</v>
      </c>
      <c r="E905" s="12" t="s">
        <v>986</v>
      </c>
      <c r="F905" s="12" t="s">
        <v>557</v>
      </c>
      <c r="G905" s="12">
        <v>40</v>
      </c>
      <c r="H905" s="12">
        <v>40</v>
      </c>
      <c r="I905" s="14"/>
      <c r="J905" s="14" t="s">
        <v>61</v>
      </c>
      <c r="K905" s="12" t="s">
        <v>991</v>
      </c>
      <c r="L905" s="15">
        <v>1</v>
      </c>
      <c r="M905" s="12" t="s">
        <v>150</v>
      </c>
      <c r="N905" s="12">
        <v>40</v>
      </c>
      <c r="O905" s="12">
        <v>40</v>
      </c>
      <c r="P905" s="12">
        <v>0</v>
      </c>
      <c r="Q905" s="16">
        <v>40</v>
      </c>
      <c r="R905" s="16">
        <v>0</v>
      </c>
      <c r="S905" s="16"/>
      <c r="T905" s="16" t="e">
        <v>#N/A</v>
      </c>
      <c r="U905" s="16" t="e">
        <v>#N/A</v>
      </c>
    </row>
    <row r="906" spans="1:21" x14ac:dyDescent="0.25">
      <c r="A906" s="12" t="s">
        <v>21</v>
      </c>
      <c r="B906" s="12" t="s">
        <v>983</v>
      </c>
      <c r="C906" s="12" t="s">
        <v>23</v>
      </c>
      <c r="D906" s="15">
        <v>46265.499872685185</v>
      </c>
      <c r="E906" s="12" t="s">
        <v>986</v>
      </c>
      <c r="F906" s="12" t="s">
        <v>559</v>
      </c>
      <c r="G906" s="12">
        <v>60</v>
      </c>
      <c r="H906" s="12">
        <v>60</v>
      </c>
      <c r="I906" s="14"/>
      <c r="J906" s="14" t="s">
        <v>61</v>
      </c>
      <c r="K906" s="12" t="s">
        <v>992</v>
      </c>
      <c r="L906" s="15">
        <v>1</v>
      </c>
      <c r="M906" s="12" t="s">
        <v>150</v>
      </c>
      <c r="N906" s="12">
        <v>60</v>
      </c>
      <c r="O906" s="12">
        <v>60</v>
      </c>
      <c r="P906" s="12">
        <v>0</v>
      </c>
      <c r="Q906" s="16">
        <v>60</v>
      </c>
      <c r="R906" s="16">
        <v>0</v>
      </c>
      <c r="S906" s="16"/>
      <c r="T906" s="16" t="e">
        <v>#N/A</v>
      </c>
      <c r="U906" s="16" t="e">
        <v>#N/A</v>
      </c>
    </row>
    <row r="907" spans="1:21" x14ac:dyDescent="0.25">
      <c r="A907" s="12" t="s">
        <v>21</v>
      </c>
      <c r="B907" s="12" t="s">
        <v>983</v>
      </c>
      <c r="C907" s="12" t="s">
        <v>23</v>
      </c>
      <c r="D907" s="15">
        <v>46265.499872685185</v>
      </c>
      <c r="E907" s="12" t="s">
        <v>986</v>
      </c>
      <c r="F907" s="12" t="s">
        <v>346</v>
      </c>
      <c r="G907" s="12">
        <v>20</v>
      </c>
      <c r="H907" s="12">
        <v>20</v>
      </c>
      <c r="I907" s="14"/>
      <c r="J907" s="14" t="s">
        <v>61</v>
      </c>
      <c r="K907" s="12" t="s">
        <v>993</v>
      </c>
      <c r="L907" s="15">
        <v>1</v>
      </c>
      <c r="M907" s="12" t="s">
        <v>150</v>
      </c>
      <c r="N907" s="12">
        <v>20</v>
      </c>
      <c r="O907" s="12">
        <v>20</v>
      </c>
      <c r="P907" s="12">
        <v>0</v>
      </c>
      <c r="Q907" s="16">
        <v>20</v>
      </c>
      <c r="R907" s="16">
        <v>0</v>
      </c>
      <c r="S907" s="16"/>
      <c r="T907" s="16" t="e">
        <v>#N/A</v>
      </c>
      <c r="U907" s="16" t="e">
        <v>#N/A</v>
      </c>
    </row>
    <row r="908" spans="1:21" x14ac:dyDescent="0.25">
      <c r="A908" s="12" t="s">
        <v>21</v>
      </c>
      <c r="B908" s="12" t="s">
        <v>983</v>
      </c>
      <c r="C908" s="12" t="s">
        <v>23</v>
      </c>
      <c r="D908" s="15">
        <v>46265.499872685185</v>
      </c>
      <c r="E908" s="12" t="s">
        <v>986</v>
      </c>
      <c r="F908" s="12" t="s">
        <v>567</v>
      </c>
      <c r="G908" s="12">
        <v>30</v>
      </c>
      <c r="H908" s="12">
        <v>30</v>
      </c>
      <c r="I908" s="14"/>
      <c r="J908" s="14" t="s">
        <v>61</v>
      </c>
      <c r="K908" s="12" t="s">
        <v>994</v>
      </c>
      <c r="L908" s="15">
        <v>1</v>
      </c>
      <c r="M908" s="12" t="s">
        <v>150</v>
      </c>
      <c r="N908" s="12">
        <v>30</v>
      </c>
      <c r="O908" s="12">
        <v>30</v>
      </c>
      <c r="P908" s="12">
        <v>0</v>
      </c>
      <c r="Q908" s="16">
        <v>30</v>
      </c>
      <c r="R908" s="16">
        <v>0</v>
      </c>
      <c r="S908" s="16"/>
      <c r="T908" s="16" t="e">
        <v>#N/A</v>
      </c>
      <c r="U908" s="16" t="e">
        <v>#N/A</v>
      </c>
    </row>
    <row r="909" spans="1:21" x14ac:dyDescent="0.25">
      <c r="A909" s="12" t="s">
        <v>21</v>
      </c>
      <c r="B909" s="12" t="s">
        <v>983</v>
      </c>
      <c r="C909" s="12" t="s">
        <v>23</v>
      </c>
      <c r="D909" s="15">
        <v>46265.499872685185</v>
      </c>
      <c r="E909" s="12" t="s">
        <v>986</v>
      </c>
      <c r="F909" s="12" t="s">
        <v>955</v>
      </c>
      <c r="G909" s="12">
        <v>40</v>
      </c>
      <c r="H909" s="12">
        <v>40</v>
      </c>
      <c r="I909" s="14"/>
      <c r="J909" s="14" t="s">
        <v>61</v>
      </c>
      <c r="K909" s="12" t="s">
        <v>995</v>
      </c>
      <c r="L909" s="15">
        <v>1</v>
      </c>
      <c r="M909" s="12" t="s">
        <v>150</v>
      </c>
      <c r="N909" s="12">
        <v>40</v>
      </c>
      <c r="O909" s="12">
        <v>40</v>
      </c>
      <c r="P909" s="12">
        <v>0</v>
      </c>
      <c r="Q909" s="16">
        <v>40</v>
      </c>
      <c r="R909" s="16">
        <v>0</v>
      </c>
      <c r="S909" s="16"/>
      <c r="T909" s="16" t="e">
        <v>#N/A</v>
      </c>
      <c r="U909" s="16" t="e">
        <v>#N/A</v>
      </c>
    </row>
    <row r="910" spans="1:21" x14ac:dyDescent="0.25">
      <c r="A910" s="12" t="s">
        <v>21</v>
      </c>
      <c r="B910" s="12" t="s">
        <v>983</v>
      </c>
      <c r="C910" s="12" t="s">
        <v>23</v>
      </c>
      <c r="D910" s="15">
        <v>46265.499872685185</v>
      </c>
      <c r="E910" s="12" t="s">
        <v>986</v>
      </c>
      <c r="F910" s="12" t="s">
        <v>457</v>
      </c>
      <c r="G910" s="12">
        <v>20</v>
      </c>
      <c r="H910" s="12">
        <v>20</v>
      </c>
      <c r="I910" s="14"/>
      <c r="J910" s="14" t="s">
        <v>61</v>
      </c>
      <c r="K910" s="12" t="s">
        <v>996</v>
      </c>
      <c r="L910" s="15">
        <v>1</v>
      </c>
      <c r="M910" s="12" t="s">
        <v>150</v>
      </c>
      <c r="N910" s="12">
        <v>20</v>
      </c>
      <c r="O910" s="12">
        <v>20</v>
      </c>
      <c r="P910" s="12">
        <v>0</v>
      </c>
      <c r="Q910" s="16">
        <v>20</v>
      </c>
      <c r="R910" s="16">
        <v>0</v>
      </c>
      <c r="S910" s="16"/>
      <c r="T910" s="16" t="e">
        <v>#N/A</v>
      </c>
      <c r="U910" s="16" t="e">
        <v>#N/A</v>
      </c>
    </row>
    <row r="911" spans="1:21" x14ac:dyDescent="0.25">
      <c r="A911" s="12" t="s">
        <v>21</v>
      </c>
      <c r="B911" s="12" t="s">
        <v>984</v>
      </c>
      <c r="C911" s="12" t="s">
        <v>23</v>
      </c>
      <c r="D911" s="15">
        <v>46265.500104166669</v>
      </c>
      <c r="E911" s="12" t="s">
        <v>986</v>
      </c>
      <c r="F911" s="12" t="s">
        <v>496</v>
      </c>
      <c r="G911" s="12">
        <v>50</v>
      </c>
      <c r="H911" s="12">
        <v>50</v>
      </c>
      <c r="I911" s="14"/>
      <c r="J911" s="14" t="s">
        <v>61</v>
      </c>
      <c r="K911" s="12" t="s">
        <v>997</v>
      </c>
      <c r="L911" s="15">
        <v>1</v>
      </c>
      <c r="M911" s="12" t="s">
        <v>150</v>
      </c>
      <c r="N911" s="12">
        <v>50</v>
      </c>
      <c r="O911" s="12">
        <v>50</v>
      </c>
      <c r="P911" s="12">
        <v>0</v>
      </c>
      <c r="Q911" s="16">
        <v>50</v>
      </c>
      <c r="R911" s="16">
        <v>0</v>
      </c>
      <c r="S911" s="16"/>
      <c r="T911" s="16" t="e">
        <v>#N/A</v>
      </c>
      <c r="U911" s="16" t="e">
        <v>#N/A</v>
      </c>
    </row>
    <row r="912" spans="1:21" x14ac:dyDescent="0.25">
      <c r="A912" s="12" t="s">
        <v>21</v>
      </c>
      <c r="B912" s="12" t="s">
        <v>984</v>
      </c>
      <c r="C912" s="12" t="s">
        <v>23</v>
      </c>
      <c r="D912" s="15">
        <v>46265.500104166669</v>
      </c>
      <c r="E912" s="12" t="s">
        <v>986</v>
      </c>
      <c r="F912" s="12" t="s">
        <v>988</v>
      </c>
      <c r="G912" s="12">
        <v>4</v>
      </c>
      <c r="H912" s="12">
        <v>4</v>
      </c>
      <c r="I912" s="14"/>
      <c r="J912" s="14" t="s">
        <v>61</v>
      </c>
      <c r="K912" s="12" t="s">
        <v>998</v>
      </c>
      <c r="L912" s="15">
        <v>1</v>
      </c>
      <c r="M912" s="12" t="s">
        <v>150</v>
      </c>
      <c r="N912" s="12">
        <v>4</v>
      </c>
      <c r="O912" s="12">
        <v>4</v>
      </c>
      <c r="P912" s="12">
        <v>0</v>
      </c>
      <c r="Q912" s="16">
        <v>4</v>
      </c>
      <c r="R912" s="16">
        <v>0</v>
      </c>
      <c r="S912" s="16"/>
      <c r="T912" s="16" t="e">
        <v>#N/A</v>
      </c>
      <c r="U912" s="16" t="e">
        <v>#N/A</v>
      </c>
    </row>
    <row r="913" spans="1:21" x14ac:dyDescent="0.25">
      <c r="A913" s="12" t="s">
        <v>21</v>
      </c>
      <c r="B913" s="12" t="s">
        <v>984</v>
      </c>
      <c r="C913" s="12" t="s">
        <v>23</v>
      </c>
      <c r="D913" s="15">
        <v>46265.500104166669</v>
      </c>
      <c r="E913" s="12" t="s">
        <v>986</v>
      </c>
      <c r="F913" s="12" t="s">
        <v>273</v>
      </c>
      <c r="G913" s="12">
        <v>30</v>
      </c>
      <c r="H913" s="12">
        <v>30</v>
      </c>
      <c r="I913" s="14"/>
      <c r="J913" s="14" t="s">
        <v>61</v>
      </c>
      <c r="K913" s="12" t="s">
        <v>999</v>
      </c>
      <c r="L913" s="15">
        <v>1</v>
      </c>
      <c r="M913" s="12" t="s">
        <v>150</v>
      </c>
      <c r="N913" s="12">
        <v>30</v>
      </c>
      <c r="O913" s="12">
        <v>30</v>
      </c>
      <c r="P913" s="12">
        <v>0</v>
      </c>
      <c r="Q913" s="16">
        <v>30</v>
      </c>
      <c r="R913" s="16">
        <v>0</v>
      </c>
      <c r="S913" s="16"/>
      <c r="T913" s="16" t="e">
        <v>#N/A</v>
      </c>
      <c r="U913" s="16" t="e">
        <v>#N/A</v>
      </c>
    </row>
    <row r="914" spans="1:21" x14ac:dyDescent="0.25">
      <c r="A914" s="12" t="s">
        <v>21</v>
      </c>
      <c r="B914" s="12" t="s">
        <v>984</v>
      </c>
      <c r="C914" s="12" t="s">
        <v>23</v>
      </c>
      <c r="D914" s="15">
        <v>46265.500104166669</v>
      </c>
      <c r="E914" s="12" t="s">
        <v>986</v>
      </c>
      <c r="F914" s="12" t="s">
        <v>274</v>
      </c>
      <c r="G914" s="12">
        <v>20</v>
      </c>
      <c r="H914" s="12">
        <v>20</v>
      </c>
      <c r="I914" s="14"/>
      <c r="J914" s="14" t="s">
        <v>61</v>
      </c>
      <c r="K914" s="12" t="s">
        <v>1000</v>
      </c>
      <c r="L914" s="15">
        <v>1</v>
      </c>
      <c r="M914" s="12" t="s">
        <v>150</v>
      </c>
      <c r="N914" s="12">
        <v>20</v>
      </c>
      <c r="O914" s="12">
        <v>20</v>
      </c>
      <c r="P914" s="12">
        <v>0</v>
      </c>
      <c r="Q914" s="16">
        <v>20</v>
      </c>
      <c r="R914" s="16">
        <v>0</v>
      </c>
      <c r="S914" s="16"/>
      <c r="T914" s="16" t="e">
        <v>#N/A</v>
      </c>
      <c r="U914" s="16" t="e">
        <v>#N/A</v>
      </c>
    </row>
    <row r="915" spans="1:21" x14ac:dyDescent="0.25">
      <c r="A915" s="12" t="s">
        <v>21</v>
      </c>
      <c r="B915" s="12" t="s">
        <v>984</v>
      </c>
      <c r="C915" s="12" t="s">
        <v>23</v>
      </c>
      <c r="D915" s="15">
        <v>46265.500104166669</v>
      </c>
      <c r="E915" s="12" t="s">
        <v>986</v>
      </c>
      <c r="F915" s="12" t="s">
        <v>558</v>
      </c>
      <c r="G915" s="12">
        <v>40</v>
      </c>
      <c r="H915" s="12">
        <v>40</v>
      </c>
      <c r="I915" s="14"/>
      <c r="J915" s="14" t="s">
        <v>61</v>
      </c>
      <c r="K915" s="12" t="s">
        <v>1001</v>
      </c>
      <c r="L915" s="15">
        <v>1</v>
      </c>
      <c r="M915" s="12" t="s">
        <v>150</v>
      </c>
      <c r="N915" s="12">
        <v>40</v>
      </c>
      <c r="O915" s="12">
        <v>40</v>
      </c>
      <c r="P915" s="12">
        <v>0</v>
      </c>
      <c r="Q915" s="16">
        <v>40</v>
      </c>
      <c r="R915" s="16">
        <v>0</v>
      </c>
      <c r="S915" s="16"/>
      <c r="T915" s="16" t="e">
        <v>#N/A</v>
      </c>
      <c r="U915" s="16" t="e">
        <v>#N/A</v>
      </c>
    </row>
    <row r="916" spans="1:21" x14ac:dyDescent="0.25">
      <c r="A916" s="12" t="s">
        <v>21</v>
      </c>
      <c r="B916" s="12" t="s">
        <v>984</v>
      </c>
      <c r="C916" s="12" t="s">
        <v>23</v>
      </c>
      <c r="D916" s="15">
        <v>46265.500104166669</v>
      </c>
      <c r="E916" s="12" t="s">
        <v>986</v>
      </c>
      <c r="F916" s="12" t="s">
        <v>424</v>
      </c>
      <c r="G916" s="12">
        <v>8</v>
      </c>
      <c r="H916" s="12">
        <v>8</v>
      </c>
      <c r="I916" s="14"/>
      <c r="J916" s="14" t="s">
        <v>61</v>
      </c>
      <c r="K916" s="12" t="s">
        <v>1002</v>
      </c>
      <c r="L916" s="15">
        <v>1</v>
      </c>
      <c r="M916" s="12" t="s">
        <v>150</v>
      </c>
      <c r="N916" s="12">
        <v>8</v>
      </c>
      <c r="O916" s="12">
        <v>8</v>
      </c>
      <c r="P916" s="12">
        <v>0</v>
      </c>
      <c r="Q916" s="16">
        <v>8</v>
      </c>
      <c r="R916" s="16">
        <v>0</v>
      </c>
      <c r="S916" s="16"/>
      <c r="T916" s="16" t="e">
        <v>#N/A</v>
      </c>
      <c r="U916" s="16" t="e">
        <v>#N/A</v>
      </c>
    </row>
    <row r="917" spans="1:21" x14ac:dyDescent="0.25">
      <c r="A917" s="12" t="s">
        <v>21</v>
      </c>
      <c r="B917" s="12" t="s">
        <v>985</v>
      </c>
      <c r="C917" s="12" t="s">
        <v>23</v>
      </c>
      <c r="D917" s="15">
        <v>46265.519386574073</v>
      </c>
      <c r="E917" s="12" t="s">
        <v>627</v>
      </c>
      <c r="F917" s="12" t="s">
        <v>496</v>
      </c>
      <c r="G917" s="12">
        <v>25</v>
      </c>
      <c r="H917" s="12">
        <v>25</v>
      </c>
      <c r="I917" s="14"/>
      <c r="J917" s="14" t="s">
        <v>61</v>
      </c>
      <c r="K917" s="12" t="s">
        <v>1003</v>
      </c>
      <c r="L917" s="15">
        <v>1</v>
      </c>
      <c r="M917" s="12" t="s">
        <v>150</v>
      </c>
      <c r="N917" s="12">
        <v>25</v>
      </c>
      <c r="O917" s="12">
        <v>25</v>
      </c>
      <c r="P917" s="12">
        <v>0</v>
      </c>
      <c r="Q917" s="16">
        <v>25</v>
      </c>
      <c r="R917" s="16">
        <v>0</v>
      </c>
      <c r="S917" s="16"/>
      <c r="T917" s="16" t="e">
        <v>#N/A</v>
      </c>
      <c r="U917" s="16" t="e">
        <v>#N/A</v>
      </c>
    </row>
    <row r="918" spans="1:21" x14ac:dyDescent="0.25">
      <c r="A918" s="12" t="s">
        <v>21</v>
      </c>
      <c r="B918" s="12" t="s">
        <v>985</v>
      </c>
      <c r="C918" s="12" t="s">
        <v>23</v>
      </c>
      <c r="D918" s="15">
        <v>46265.519386574073</v>
      </c>
      <c r="E918" s="12" t="s">
        <v>627</v>
      </c>
      <c r="F918" s="12" t="s">
        <v>273</v>
      </c>
      <c r="G918" s="12">
        <v>10</v>
      </c>
      <c r="H918" s="12">
        <v>10</v>
      </c>
      <c r="I918" s="14"/>
      <c r="J918" s="14" t="s">
        <v>61</v>
      </c>
      <c r="K918" s="12" t="s">
        <v>1006</v>
      </c>
      <c r="L918" s="15">
        <v>1</v>
      </c>
      <c r="M918" s="12" t="s">
        <v>150</v>
      </c>
      <c r="N918" s="12">
        <v>10</v>
      </c>
      <c r="O918" s="12">
        <v>10</v>
      </c>
      <c r="P918" s="12">
        <v>0</v>
      </c>
      <c r="Q918" s="16">
        <v>10</v>
      </c>
      <c r="R918" s="16">
        <v>0</v>
      </c>
      <c r="S918" s="16"/>
      <c r="T918" s="16" t="e">
        <v>#N/A</v>
      </c>
      <c r="U918" s="16" t="e">
        <v>#N/A</v>
      </c>
    </row>
    <row r="919" spans="1:21" x14ac:dyDescent="0.25">
      <c r="A919" s="12" t="s">
        <v>21</v>
      </c>
      <c r="B919" s="12" t="s">
        <v>985</v>
      </c>
      <c r="C919" s="12" t="s">
        <v>23</v>
      </c>
      <c r="D919" s="15">
        <v>46265.519386574073</v>
      </c>
      <c r="E919" s="12" t="s">
        <v>627</v>
      </c>
      <c r="F919" s="12" t="s">
        <v>1004</v>
      </c>
      <c r="G919" s="12">
        <v>10</v>
      </c>
      <c r="H919" s="12">
        <v>10</v>
      </c>
      <c r="I919" s="14"/>
      <c r="J919" s="14" t="s">
        <v>61</v>
      </c>
      <c r="K919" s="12" t="s">
        <v>1007</v>
      </c>
      <c r="L919" s="15">
        <v>1</v>
      </c>
      <c r="M919" s="12" t="s">
        <v>150</v>
      </c>
      <c r="N919" s="12">
        <v>10</v>
      </c>
      <c r="O919" s="12">
        <v>10</v>
      </c>
      <c r="P919" s="12">
        <v>0</v>
      </c>
      <c r="Q919" s="16">
        <v>10</v>
      </c>
      <c r="R919" s="16">
        <v>57</v>
      </c>
      <c r="S919" s="16"/>
      <c r="T919" s="16" t="e">
        <v>#N/A</v>
      </c>
      <c r="U919" s="16" t="e">
        <v>#N/A</v>
      </c>
    </row>
    <row r="920" spans="1:21" x14ac:dyDescent="0.25">
      <c r="A920" s="12" t="s">
        <v>21</v>
      </c>
      <c r="B920" s="12" t="s">
        <v>985</v>
      </c>
      <c r="C920" s="12" t="s">
        <v>23</v>
      </c>
      <c r="D920" s="15">
        <v>46265.519386574073</v>
      </c>
      <c r="E920" s="12" t="s">
        <v>627</v>
      </c>
      <c r="F920" s="12" t="s">
        <v>71</v>
      </c>
      <c r="G920" s="12">
        <v>50</v>
      </c>
      <c r="H920" s="12">
        <v>50</v>
      </c>
      <c r="I920" s="14"/>
      <c r="J920" s="14" t="s">
        <v>26</v>
      </c>
      <c r="K920" s="12" t="s">
        <v>27</v>
      </c>
      <c r="L920" s="15"/>
      <c r="M920" s="12" t="s">
        <v>28</v>
      </c>
      <c r="N920" s="12"/>
      <c r="O920" s="12"/>
      <c r="P920" s="12"/>
      <c r="Q920" s="16">
        <v>0</v>
      </c>
      <c r="R920" s="16">
        <v>0</v>
      </c>
      <c r="S920" s="16"/>
      <c r="T920" s="16" t="e">
        <v>#N/A</v>
      </c>
      <c r="U920" s="16" t="e">
        <v>#N/A</v>
      </c>
    </row>
    <row r="921" spans="1:21" x14ac:dyDescent="0.25">
      <c r="A921" s="12" t="s">
        <v>21</v>
      </c>
      <c r="B921" s="12" t="s">
        <v>985</v>
      </c>
      <c r="C921" s="12" t="s">
        <v>23</v>
      </c>
      <c r="D921" s="15">
        <v>46265.519386574073</v>
      </c>
      <c r="E921" s="12" t="s">
        <v>627</v>
      </c>
      <c r="F921" s="12" t="s">
        <v>283</v>
      </c>
      <c r="G921" s="12">
        <v>30</v>
      </c>
      <c r="H921" s="12">
        <v>30</v>
      </c>
      <c r="I921" s="14"/>
      <c r="J921" s="14" t="s">
        <v>26</v>
      </c>
      <c r="K921" s="12" t="s">
        <v>27</v>
      </c>
      <c r="L921" s="15"/>
      <c r="M921" s="12" t="s">
        <v>28</v>
      </c>
      <c r="N921" s="12"/>
      <c r="O921" s="12"/>
      <c r="P921" s="12"/>
      <c r="Q921" s="16">
        <v>0</v>
      </c>
      <c r="R921" s="16">
        <v>0</v>
      </c>
      <c r="S921" s="16"/>
      <c r="T921" s="16" t="e">
        <v>#N/A</v>
      </c>
      <c r="U921" s="16" t="e">
        <v>#N/A</v>
      </c>
    </row>
    <row r="922" spans="1:21" x14ac:dyDescent="0.25">
      <c r="A922" s="12" t="s">
        <v>21</v>
      </c>
      <c r="B922" s="12" t="s">
        <v>985</v>
      </c>
      <c r="C922" s="12" t="s">
        <v>23</v>
      </c>
      <c r="D922" s="15">
        <v>46265.519386574073</v>
      </c>
      <c r="E922" s="12" t="s">
        <v>627</v>
      </c>
      <c r="F922" s="12" t="s">
        <v>924</v>
      </c>
      <c r="G922" s="12">
        <v>8</v>
      </c>
      <c r="H922" s="12">
        <v>8</v>
      </c>
      <c r="I922" s="14"/>
      <c r="J922" s="14" t="s">
        <v>26</v>
      </c>
      <c r="K922" s="12" t="s">
        <v>27</v>
      </c>
      <c r="L922" s="15"/>
      <c r="M922" s="12" t="s">
        <v>28</v>
      </c>
      <c r="N922" s="12"/>
      <c r="O922" s="12"/>
      <c r="P922" s="12"/>
      <c r="Q922" s="16">
        <v>0</v>
      </c>
      <c r="R922" s="16">
        <v>0</v>
      </c>
      <c r="S922" s="16"/>
      <c r="T922" s="16" t="e">
        <v>#N/A</v>
      </c>
      <c r="U922" s="16" t="e">
        <v>#N/A</v>
      </c>
    </row>
    <row r="923" spans="1:21" x14ac:dyDescent="0.25">
      <c r="A923" s="12" t="s">
        <v>21</v>
      </c>
      <c r="B923" s="12" t="s">
        <v>985</v>
      </c>
      <c r="C923" s="12" t="s">
        <v>23</v>
      </c>
      <c r="D923" s="15">
        <v>46265.519386574073</v>
      </c>
      <c r="E923" s="12" t="s">
        <v>627</v>
      </c>
      <c r="F923" s="12" t="s">
        <v>525</v>
      </c>
      <c r="G923" s="12">
        <v>28</v>
      </c>
      <c r="H923" s="12">
        <v>28</v>
      </c>
      <c r="I923" s="14"/>
      <c r="J923" s="14" t="s">
        <v>61</v>
      </c>
      <c r="K923" s="12" t="s">
        <v>27</v>
      </c>
      <c r="L923" s="15"/>
      <c r="M923" s="12" t="s">
        <v>28</v>
      </c>
      <c r="N923" s="12"/>
      <c r="O923" s="12"/>
      <c r="P923" s="12"/>
      <c r="Q923" s="16">
        <v>10</v>
      </c>
      <c r="R923" s="16">
        <v>0</v>
      </c>
      <c r="S923" s="16"/>
      <c r="T923" s="16" t="e">
        <v>#N/A</v>
      </c>
      <c r="U923" s="16" t="e">
        <v>#N/A</v>
      </c>
    </row>
    <row r="924" spans="1:21" x14ac:dyDescent="0.25">
      <c r="A924" s="12" t="s">
        <v>21</v>
      </c>
      <c r="B924" s="12" t="s">
        <v>985</v>
      </c>
      <c r="C924" s="12" t="s">
        <v>23</v>
      </c>
      <c r="D924" s="15">
        <v>46265.519386574073</v>
      </c>
      <c r="E924" s="12" t="s">
        <v>627</v>
      </c>
      <c r="F924" s="12" t="s">
        <v>1005</v>
      </c>
      <c r="G924" s="12">
        <v>5</v>
      </c>
      <c r="H924" s="12">
        <v>5</v>
      </c>
      <c r="I924" s="14"/>
      <c r="J924" s="14" t="s">
        <v>61</v>
      </c>
      <c r="K924" s="12" t="s">
        <v>1008</v>
      </c>
      <c r="L924" s="15">
        <v>1</v>
      </c>
      <c r="M924" s="12" t="s">
        <v>150</v>
      </c>
      <c r="N924" s="12">
        <v>5</v>
      </c>
      <c r="O924" s="12">
        <v>5</v>
      </c>
      <c r="P924" s="12">
        <v>0</v>
      </c>
      <c r="Q924" s="16">
        <v>5</v>
      </c>
      <c r="R924" s="16">
        <v>0</v>
      </c>
      <c r="S924" s="16"/>
      <c r="T924" s="16" t="e">
        <v>#N/A</v>
      </c>
      <c r="U924" s="16" t="e">
        <v>#N/A</v>
      </c>
    </row>
    <row r="925" spans="1:21" x14ac:dyDescent="0.25">
      <c r="A925" s="12" t="s">
        <v>21</v>
      </c>
      <c r="B925" s="12" t="s">
        <v>985</v>
      </c>
      <c r="C925" s="12" t="s">
        <v>23</v>
      </c>
      <c r="D925" s="15">
        <v>46265.519386574073</v>
      </c>
      <c r="E925" s="12" t="s">
        <v>627</v>
      </c>
      <c r="F925" s="12" t="s">
        <v>201</v>
      </c>
      <c r="G925" s="12">
        <v>28</v>
      </c>
      <c r="H925" s="12">
        <v>28</v>
      </c>
      <c r="I925" s="14"/>
      <c r="J925" s="14" t="s">
        <v>26</v>
      </c>
      <c r="K925" s="12" t="s">
        <v>27</v>
      </c>
      <c r="L925" s="15"/>
      <c r="M925" s="12" t="s">
        <v>28</v>
      </c>
      <c r="N925" s="12"/>
      <c r="O925" s="12"/>
      <c r="P925" s="12"/>
      <c r="Q925" s="16">
        <v>0</v>
      </c>
      <c r="R925" s="16">
        <v>0</v>
      </c>
      <c r="S925" s="16"/>
      <c r="T925" s="16" t="e">
        <v>#N/A</v>
      </c>
      <c r="U925" s="16" t="e">
        <v>#N/A</v>
      </c>
    </row>
    <row r="926" spans="1:21" x14ac:dyDescent="0.25">
      <c r="A926" s="12" t="s">
        <v>21</v>
      </c>
      <c r="B926" s="12" t="s">
        <v>985</v>
      </c>
      <c r="C926" s="12" t="s">
        <v>23</v>
      </c>
      <c r="D926" s="15">
        <v>46265.519386574073</v>
      </c>
      <c r="E926" s="12" t="s">
        <v>627</v>
      </c>
      <c r="F926" s="12" t="s">
        <v>443</v>
      </c>
      <c r="G926" s="12">
        <v>8</v>
      </c>
      <c r="H926" s="12">
        <v>8</v>
      </c>
      <c r="I926" s="14"/>
      <c r="J926" s="14" t="s">
        <v>26</v>
      </c>
      <c r="K926" s="12" t="s">
        <v>27</v>
      </c>
      <c r="L926" s="15"/>
      <c r="M926" s="12" t="s">
        <v>28</v>
      </c>
      <c r="N926" s="12"/>
      <c r="O926" s="12"/>
      <c r="P926" s="12"/>
      <c r="Q926" s="16">
        <v>0</v>
      </c>
      <c r="R926" s="16">
        <v>0</v>
      </c>
      <c r="S926" s="16"/>
      <c r="T926" s="16" t="e">
        <v>#N/A</v>
      </c>
      <c r="U926" s="16" t="e">
        <v>#N/A</v>
      </c>
    </row>
    <row r="927" spans="1:21" x14ac:dyDescent="0.25">
      <c r="A927" s="12" t="s">
        <v>21</v>
      </c>
      <c r="B927" s="12" t="s">
        <v>1009</v>
      </c>
      <c r="C927" s="12" t="s">
        <v>23</v>
      </c>
      <c r="D927" s="15">
        <v>46265.555798611109</v>
      </c>
      <c r="E927" s="12" t="s">
        <v>24</v>
      </c>
      <c r="F927" s="12" t="s">
        <v>669</v>
      </c>
      <c r="G927" s="12">
        <v>5</v>
      </c>
      <c r="H927" s="12">
        <v>5</v>
      </c>
      <c r="I927" s="14"/>
      <c r="J927" s="14" t="s">
        <v>61</v>
      </c>
      <c r="K927" s="12" t="s">
        <v>27</v>
      </c>
      <c r="L927" s="15"/>
      <c r="M927" s="12" t="s">
        <v>28</v>
      </c>
      <c r="N927" s="12"/>
      <c r="O927" s="12"/>
      <c r="P927" s="12"/>
      <c r="Q927" s="16">
        <v>5</v>
      </c>
      <c r="R927" s="16">
        <v>0</v>
      </c>
      <c r="S927" s="16"/>
      <c r="T927" s="16" t="e">
        <v>#N/A</v>
      </c>
      <c r="U927" s="16" t="e">
        <v>#N/A</v>
      </c>
    </row>
    <row r="928" spans="1:21" x14ac:dyDescent="0.25">
      <c r="A928" s="12" t="s">
        <v>21</v>
      </c>
      <c r="B928" s="12" t="s">
        <v>1009</v>
      </c>
      <c r="C928" s="12" t="s">
        <v>23</v>
      </c>
      <c r="D928" s="15">
        <v>46265.555798611109</v>
      </c>
      <c r="E928" s="12" t="s">
        <v>24</v>
      </c>
      <c r="F928" s="12" t="s">
        <v>1010</v>
      </c>
      <c r="G928" s="12">
        <v>3</v>
      </c>
      <c r="H928" s="12">
        <v>3</v>
      </c>
      <c r="I928" s="14"/>
      <c r="J928" s="14" t="s">
        <v>26</v>
      </c>
      <c r="K928" s="12" t="s">
        <v>27</v>
      </c>
      <c r="L928" s="15"/>
      <c r="M928" s="12" t="s">
        <v>28</v>
      </c>
      <c r="N928" s="12"/>
      <c r="O928" s="12"/>
      <c r="P928" s="12"/>
      <c r="Q928" s="16">
        <v>0</v>
      </c>
      <c r="R928" s="16">
        <v>0</v>
      </c>
      <c r="S928" s="16"/>
      <c r="T928" s="16" t="e">
        <v>#N/A</v>
      </c>
      <c r="U928" s="16" t="e">
        <v>#N/A</v>
      </c>
    </row>
    <row r="929" spans="1:21" x14ac:dyDescent="0.25">
      <c r="A929" s="12" t="s">
        <v>21</v>
      </c>
      <c r="B929" s="12" t="s">
        <v>1009</v>
      </c>
      <c r="C929" s="12" t="s">
        <v>23</v>
      </c>
      <c r="D929" s="15">
        <v>46265.555798611109</v>
      </c>
      <c r="E929" s="12" t="s">
        <v>24</v>
      </c>
      <c r="F929" s="12" t="s">
        <v>1011</v>
      </c>
      <c r="G929" s="12">
        <v>3</v>
      </c>
      <c r="H929" s="12">
        <v>3</v>
      </c>
      <c r="I929" s="14"/>
      <c r="J929" s="14" t="s">
        <v>26</v>
      </c>
      <c r="K929" s="12" t="s">
        <v>27</v>
      </c>
      <c r="L929" s="15"/>
      <c r="M929" s="12" t="s">
        <v>28</v>
      </c>
      <c r="N929" s="12"/>
      <c r="O929" s="12"/>
      <c r="P929" s="12"/>
      <c r="Q929" s="16">
        <v>0</v>
      </c>
      <c r="R929" s="16">
        <v>0</v>
      </c>
      <c r="S929" s="16"/>
      <c r="T929" s="16" t="e">
        <v>#N/A</v>
      </c>
      <c r="U929" s="16" t="e">
        <v>#N/A</v>
      </c>
    </row>
    <row r="930" spans="1:21" x14ac:dyDescent="0.25">
      <c r="A930" s="12" t="s">
        <v>21</v>
      </c>
      <c r="B930" s="12" t="s">
        <v>1009</v>
      </c>
      <c r="C930" s="12" t="s">
        <v>23</v>
      </c>
      <c r="D930" s="15">
        <v>46265.555798611109</v>
      </c>
      <c r="E930" s="12" t="s">
        <v>24</v>
      </c>
      <c r="F930" s="12" t="s">
        <v>489</v>
      </c>
      <c r="G930" s="12">
        <v>3</v>
      </c>
      <c r="H930" s="12">
        <v>3</v>
      </c>
      <c r="I930" s="14"/>
      <c r="J930" s="14" t="s">
        <v>26</v>
      </c>
      <c r="K930" s="12" t="s">
        <v>27</v>
      </c>
      <c r="L930" s="15"/>
      <c r="M930" s="12" t="s">
        <v>28</v>
      </c>
      <c r="N930" s="12"/>
      <c r="O930" s="12"/>
      <c r="P930" s="12"/>
      <c r="Q930" s="16">
        <v>0</v>
      </c>
      <c r="R930" s="16">
        <v>0</v>
      </c>
      <c r="S930" s="16"/>
      <c r="T930" s="16" t="e">
        <v>#N/A</v>
      </c>
      <c r="U930" s="16" t="e">
        <v>#N/A</v>
      </c>
    </row>
    <row r="931" spans="1:21" x14ac:dyDescent="0.25">
      <c r="A931" s="12" t="s">
        <v>21</v>
      </c>
      <c r="B931" s="12" t="s">
        <v>1009</v>
      </c>
      <c r="C931" s="12" t="s">
        <v>23</v>
      </c>
      <c r="D931" s="15">
        <v>46265.555798611109</v>
      </c>
      <c r="E931" s="12" t="s">
        <v>24</v>
      </c>
      <c r="F931" s="12" t="s">
        <v>1012</v>
      </c>
      <c r="G931" s="12">
        <v>5</v>
      </c>
      <c r="H931" s="12">
        <v>5</v>
      </c>
      <c r="I931" s="14"/>
      <c r="J931" s="14" t="s">
        <v>26</v>
      </c>
      <c r="K931" s="12" t="s">
        <v>27</v>
      </c>
      <c r="L931" s="15"/>
      <c r="M931" s="12" t="s">
        <v>28</v>
      </c>
      <c r="N931" s="12"/>
      <c r="O931" s="12"/>
      <c r="P931" s="12"/>
      <c r="Q931" s="16">
        <v>0</v>
      </c>
      <c r="R931" s="16">
        <v>11880.00072</v>
      </c>
      <c r="S931" s="16"/>
      <c r="T931" s="16" t="e">
        <v>#N/A</v>
      </c>
      <c r="U931" s="16" t="e">
        <v>#N/A</v>
      </c>
    </row>
    <row r="932" spans="1:21" x14ac:dyDescent="0.25">
      <c r="A932" s="12" t="s">
        <v>21</v>
      </c>
      <c r="B932" s="12" t="s">
        <v>1009</v>
      </c>
      <c r="C932" s="12" t="s">
        <v>23</v>
      </c>
      <c r="D932" s="15">
        <v>46265.555798611109</v>
      </c>
      <c r="E932" s="12" t="s">
        <v>24</v>
      </c>
      <c r="F932" s="12" t="s">
        <v>1013</v>
      </c>
      <c r="G932" s="12">
        <v>1</v>
      </c>
      <c r="H932" s="12">
        <v>1</v>
      </c>
      <c r="I932" s="14"/>
      <c r="J932" s="14" t="s">
        <v>26</v>
      </c>
      <c r="K932" s="12" t="s">
        <v>27</v>
      </c>
      <c r="L932" s="15"/>
      <c r="M932" s="12" t="s">
        <v>28</v>
      </c>
      <c r="N932" s="12"/>
      <c r="O932" s="12"/>
      <c r="P932" s="12"/>
      <c r="Q932" s="16">
        <v>0</v>
      </c>
      <c r="R932" s="16">
        <v>0</v>
      </c>
      <c r="S932" s="16"/>
      <c r="T932" s="16" t="e">
        <v>#N/A</v>
      </c>
      <c r="U932" s="16" t="e">
        <v>#N/A</v>
      </c>
    </row>
    <row r="933" spans="1:21" x14ac:dyDescent="0.25">
      <c r="A933" s="12" t="s">
        <v>21</v>
      </c>
      <c r="B933" s="12" t="s">
        <v>1009</v>
      </c>
      <c r="C933" s="12" t="s">
        <v>23</v>
      </c>
      <c r="D933" s="15">
        <v>46265.555798611109</v>
      </c>
      <c r="E933" s="12" t="s">
        <v>24</v>
      </c>
      <c r="F933" s="12" t="s">
        <v>1014</v>
      </c>
      <c r="G933" s="12">
        <v>6</v>
      </c>
      <c r="H933" s="12">
        <v>6</v>
      </c>
      <c r="I933" s="14"/>
      <c r="J933" s="14" t="s">
        <v>61</v>
      </c>
      <c r="K933" s="12" t="s">
        <v>27</v>
      </c>
      <c r="L933" s="15"/>
      <c r="M933" s="12" t="s">
        <v>28</v>
      </c>
      <c r="N933" s="12"/>
      <c r="O933" s="12"/>
      <c r="P933" s="12"/>
      <c r="Q933" s="16">
        <v>6</v>
      </c>
      <c r="R933" s="16">
        <v>0</v>
      </c>
      <c r="S933" s="16"/>
      <c r="T933" s="16" t="e">
        <v>#N/A</v>
      </c>
      <c r="U933" s="16" t="e">
        <v>#N/A</v>
      </c>
    </row>
    <row r="934" spans="1:21" x14ac:dyDescent="0.25">
      <c r="A934" s="12" t="s">
        <v>21</v>
      </c>
      <c r="B934" s="12" t="s">
        <v>1009</v>
      </c>
      <c r="C934" s="12" t="s">
        <v>23</v>
      </c>
      <c r="D934" s="15">
        <v>46265.555798611109</v>
      </c>
      <c r="E934" s="12" t="s">
        <v>24</v>
      </c>
      <c r="F934" s="12" t="s">
        <v>356</v>
      </c>
      <c r="G934" s="12">
        <v>3</v>
      </c>
      <c r="H934" s="12">
        <v>3</v>
      </c>
      <c r="I934" s="14"/>
      <c r="J934" s="14" t="s">
        <v>26</v>
      </c>
      <c r="K934" s="12" t="s">
        <v>27</v>
      </c>
      <c r="L934" s="15"/>
      <c r="M934" s="12" t="s">
        <v>28</v>
      </c>
      <c r="N934" s="12"/>
      <c r="O934" s="12"/>
      <c r="P934" s="12"/>
      <c r="Q934" s="16">
        <v>0</v>
      </c>
      <c r="R934" s="16">
        <v>0</v>
      </c>
      <c r="S934" s="16"/>
      <c r="T934" s="16" t="e">
        <v>#N/A</v>
      </c>
      <c r="U934" s="16" t="e">
        <v>#N/A</v>
      </c>
    </row>
    <row r="935" spans="1:21" x14ac:dyDescent="0.25">
      <c r="A935" s="12" t="s">
        <v>21</v>
      </c>
      <c r="B935" s="12" t="s">
        <v>1009</v>
      </c>
      <c r="C935" s="12" t="s">
        <v>23</v>
      </c>
      <c r="D935" s="15">
        <v>46265.555798611109</v>
      </c>
      <c r="E935" s="12" t="s">
        <v>24</v>
      </c>
      <c r="F935" s="12" t="s">
        <v>967</v>
      </c>
      <c r="G935" s="12">
        <v>1</v>
      </c>
      <c r="H935" s="12">
        <v>1</v>
      </c>
      <c r="I935" s="14"/>
      <c r="J935" s="14" t="s">
        <v>61</v>
      </c>
      <c r="K935" s="12" t="s">
        <v>27</v>
      </c>
      <c r="L935" s="15"/>
      <c r="M935" s="12" t="s">
        <v>28</v>
      </c>
      <c r="N935" s="12"/>
      <c r="O935" s="12"/>
      <c r="P935" s="12"/>
      <c r="Q935" s="16">
        <v>1</v>
      </c>
      <c r="R935" s="16">
        <v>0</v>
      </c>
      <c r="S935" s="16"/>
      <c r="T935" s="16" t="e">
        <v>#N/A</v>
      </c>
      <c r="U935" s="16" t="e">
        <v>#N/A</v>
      </c>
    </row>
    <row r="936" spans="1:21" x14ac:dyDescent="0.25">
      <c r="A936" s="12" t="s">
        <v>21</v>
      </c>
      <c r="B936" s="12" t="s">
        <v>1009</v>
      </c>
      <c r="C936" s="12" t="s">
        <v>23</v>
      </c>
      <c r="D936" s="15">
        <v>46265.555798611109</v>
      </c>
      <c r="E936" s="12" t="s">
        <v>24</v>
      </c>
      <c r="F936" s="12" t="s">
        <v>357</v>
      </c>
      <c r="G936" s="12">
        <v>5</v>
      </c>
      <c r="H936" s="12">
        <v>5</v>
      </c>
      <c r="I936" s="14"/>
      <c r="J936" s="14" t="s">
        <v>61</v>
      </c>
      <c r="K936" s="12" t="s">
        <v>27</v>
      </c>
      <c r="L936" s="15"/>
      <c r="M936" s="12" t="s">
        <v>28</v>
      </c>
      <c r="N936" s="12"/>
      <c r="O936" s="12"/>
      <c r="P936" s="12"/>
      <c r="Q936" s="16">
        <v>5</v>
      </c>
      <c r="R936" s="16">
        <v>0</v>
      </c>
      <c r="S936" s="16"/>
      <c r="T936" s="16" t="e">
        <v>#N/A</v>
      </c>
      <c r="U936" s="16" t="e">
        <v>#N/A</v>
      </c>
    </row>
    <row r="937" spans="1:21" x14ac:dyDescent="0.25">
      <c r="A937" s="12" t="s">
        <v>21</v>
      </c>
      <c r="B937" s="12" t="s">
        <v>1009</v>
      </c>
      <c r="C937" s="12" t="s">
        <v>23</v>
      </c>
      <c r="D937" s="15">
        <v>46265.555798611109</v>
      </c>
      <c r="E937" s="12" t="s">
        <v>24</v>
      </c>
      <c r="F937" s="12" t="s">
        <v>968</v>
      </c>
      <c r="G937" s="12">
        <v>2</v>
      </c>
      <c r="H937" s="12">
        <v>2</v>
      </c>
      <c r="I937" s="14"/>
      <c r="J937" s="14" t="s">
        <v>61</v>
      </c>
      <c r="K937" s="12" t="s">
        <v>27</v>
      </c>
      <c r="L937" s="15"/>
      <c r="M937" s="12" t="s">
        <v>28</v>
      </c>
      <c r="N937" s="12"/>
      <c r="O937" s="12"/>
      <c r="P937" s="12"/>
      <c r="Q937" s="16">
        <v>2</v>
      </c>
      <c r="R937" s="16">
        <v>0</v>
      </c>
      <c r="S937" s="16"/>
      <c r="T937" s="16" t="e">
        <v>#N/A</v>
      </c>
      <c r="U937" s="16" t="e">
        <v>#N/A</v>
      </c>
    </row>
    <row r="938" spans="1:21" x14ac:dyDescent="0.25">
      <c r="A938" s="12" t="s">
        <v>21</v>
      </c>
      <c r="B938" s="12" t="s">
        <v>1009</v>
      </c>
      <c r="C938" s="12" t="s">
        <v>23</v>
      </c>
      <c r="D938" s="15">
        <v>46265.555798611109</v>
      </c>
      <c r="E938" s="12" t="s">
        <v>24</v>
      </c>
      <c r="F938" s="12" t="s">
        <v>681</v>
      </c>
      <c r="G938" s="12">
        <v>11</v>
      </c>
      <c r="H938" s="12">
        <v>11</v>
      </c>
      <c r="I938" s="14"/>
      <c r="J938" s="14" t="s">
        <v>61</v>
      </c>
      <c r="K938" s="12" t="s">
        <v>27</v>
      </c>
      <c r="L938" s="15"/>
      <c r="M938" s="12" t="s">
        <v>28</v>
      </c>
      <c r="N938" s="12"/>
      <c r="O938" s="12"/>
      <c r="P938" s="12"/>
      <c r="Q938" s="16">
        <v>11</v>
      </c>
      <c r="R938" s="16">
        <v>0</v>
      </c>
      <c r="S938" s="16"/>
      <c r="T938" s="16" t="e">
        <v>#N/A</v>
      </c>
      <c r="U938" s="16" t="e">
        <v>#N/A</v>
      </c>
    </row>
    <row r="939" spans="1:21" x14ac:dyDescent="0.25">
      <c r="A939" s="12" t="s">
        <v>21</v>
      </c>
      <c r="B939" s="12" t="s">
        <v>1015</v>
      </c>
      <c r="C939" s="12" t="s">
        <v>23</v>
      </c>
      <c r="D939" s="15">
        <v>46266.397581018522</v>
      </c>
      <c r="E939" s="12" t="s">
        <v>24</v>
      </c>
      <c r="F939" s="12" t="s">
        <v>449</v>
      </c>
      <c r="G939" s="12">
        <v>200</v>
      </c>
      <c r="H939" s="12">
        <v>200</v>
      </c>
      <c r="I939" s="14"/>
      <c r="J939" s="14" t="s">
        <v>26</v>
      </c>
      <c r="K939" s="12" t="s">
        <v>27</v>
      </c>
      <c r="L939" s="15"/>
      <c r="M939" s="12" t="s">
        <v>28</v>
      </c>
      <c r="N939" s="12"/>
      <c r="O939" s="12"/>
      <c r="P939" s="12"/>
      <c r="Q939" s="16">
        <v>0</v>
      </c>
      <c r="R939" s="16">
        <v>0</v>
      </c>
      <c r="S939" s="16"/>
      <c r="T939" s="16" t="e">
        <v>#N/A</v>
      </c>
      <c r="U939" s="16" t="e">
        <v>#N/A</v>
      </c>
    </row>
    <row r="940" spans="1:21" x14ac:dyDescent="0.25">
      <c r="A940" s="12" t="s">
        <v>21</v>
      </c>
      <c r="B940" s="12" t="s">
        <v>1016</v>
      </c>
      <c r="C940" s="12" t="s">
        <v>23</v>
      </c>
      <c r="D940" s="15">
        <v>46266.406585648147</v>
      </c>
      <c r="E940" s="12" t="s">
        <v>599</v>
      </c>
      <c r="F940" s="12" t="s">
        <v>243</v>
      </c>
      <c r="G940" s="12">
        <v>40</v>
      </c>
      <c r="H940" s="12">
        <v>40</v>
      </c>
      <c r="I940" s="14"/>
      <c r="J940" s="14" t="s">
        <v>61</v>
      </c>
      <c r="K940" s="12" t="s">
        <v>1017</v>
      </c>
      <c r="L940" s="15">
        <v>1</v>
      </c>
      <c r="M940" s="12" t="s">
        <v>150</v>
      </c>
      <c r="N940" s="12">
        <v>40</v>
      </c>
      <c r="O940" s="12">
        <v>40</v>
      </c>
      <c r="P940" s="12">
        <v>0</v>
      </c>
      <c r="Q940" s="16">
        <v>40</v>
      </c>
      <c r="R940" s="16">
        <v>1</v>
      </c>
      <c r="S940" s="16"/>
      <c r="T940" s="16" t="e">
        <v>#N/A</v>
      </c>
      <c r="U940" s="16" t="e">
        <v>#N/A</v>
      </c>
    </row>
    <row r="941" spans="1:21" x14ac:dyDescent="0.25">
      <c r="A941" s="12" t="s">
        <v>21</v>
      </c>
      <c r="B941" s="12" t="s">
        <v>1016</v>
      </c>
      <c r="C941" s="12" t="s">
        <v>23</v>
      </c>
      <c r="D941" s="15">
        <v>46266.406585648147</v>
      </c>
      <c r="E941" s="12" t="s">
        <v>599</v>
      </c>
      <c r="F941" s="12" t="s">
        <v>246</v>
      </c>
      <c r="G941" s="12">
        <v>50</v>
      </c>
      <c r="H941" s="12">
        <v>50</v>
      </c>
      <c r="I941" s="14"/>
      <c r="J941" s="14" t="s">
        <v>26</v>
      </c>
      <c r="K941" s="12" t="s">
        <v>27</v>
      </c>
      <c r="L941" s="15"/>
      <c r="M941" s="12" t="s">
        <v>28</v>
      </c>
      <c r="N941" s="12"/>
      <c r="O941" s="12"/>
      <c r="P941" s="12"/>
      <c r="Q941" s="16">
        <v>0</v>
      </c>
      <c r="R941" s="16">
        <v>0</v>
      </c>
      <c r="S941" s="16"/>
      <c r="T941" s="16" t="e">
        <v>#N/A</v>
      </c>
      <c r="U941" s="16" t="e">
        <v>#N/A</v>
      </c>
    </row>
    <row r="942" spans="1:21" x14ac:dyDescent="0.25">
      <c r="A942" s="12" t="s">
        <v>21</v>
      </c>
      <c r="B942" s="12" t="s">
        <v>1016</v>
      </c>
      <c r="C942" s="12" t="s">
        <v>23</v>
      </c>
      <c r="D942" s="15">
        <v>46266.406585648147</v>
      </c>
      <c r="E942" s="12" t="s">
        <v>599</v>
      </c>
      <c r="F942" s="12" t="s">
        <v>1018</v>
      </c>
      <c r="G942" s="12">
        <v>20</v>
      </c>
      <c r="H942" s="12">
        <v>20</v>
      </c>
      <c r="I942" s="14"/>
      <c r="J942" s="14" t="s">
        <v>26</v>
      </c>
      <c r="K942" s="12" t="s">
        <v>27</v>
      </c>
      <c r="L942" s="15"/>
      <c r="M942" s="12" t="s">
        <v>28</v>
      </c>
      <c r="N942" s="12"/>
      <c r="O942" s="12"/>
      <c r="P942" s="12"/>
      <c r="Q942" s="16">
        <v>0</v>
      </c>
      <c r="R942" s="16">
        <v>0</v>
      </c>
      <c r="S942" s="16"/>
      <c r="T942" s="16" t="e">
        <v>#N/A</v>
      </c>
      <c r="U942" s="16" t="e">
        <v>#N/A</v>
      </c>
    </row>
    <row r="943" spans="1:21" x14ac:dyDescent="0.25">
      <c r="A943" s="12" t="s">
        <v>21</v>
      </c>
      <c r="B943" s="12" t="s">
        <v>1016</v>
      </c>
      <c r="C943" s="12" t="s">
        <v>23</v>
      </c>
      <c r="D943" s="15">
        <v>46266.406585648147</v>
      </c>
      <c r="E943" s="12" t="s">
        <v>599</v>
      </c>
      <c r="F943" s="12" t="s">
        <v>600</v>
      </c>
      <c r="G943" s="12">
        <v>50</v>
      </c>
      <c r="H943" s="12">
        <v>50</v>
      </c>
      <c r="I943" s="14"/>
      <c r="J943" s="14" t="s">
        <v>61</v>
      </c>
      <c r="K943" s="12" t="s">
        <v>1019</v>
      </c>
      <c r="L943" s="15">
        <v>1</v>
      </c>
      <c r="M943" s="12" t="s">
        <v>150</v>
      </c>
      <c r="N943" s="12">
        <v>50</v>
      </c>
      <c r="O943" s="12">
        <v>50</v>
      </c>
      <c r="P943" s="12">
        <v>0</v>
      </c>
      <c r="Q943" s="16">
        <v>50</v>
      </c>
      <c r="R943" s="16">
        <v>1</v>
      </c>
      <c r="S943" s="16"/>
      <c r="T943" s="16" t="e">
        <v>#N/A</v>
      </c>
      <c r="U943" s="16" t="e">
        <v>#N/A</v>
      </c>
    </row>
    <row r="944" spans="1:21" x14ac:dyDescent="0.25">
      <c r="A944" s="12" t="s">
        <v>21</v>
      </c>
      <c r="B944" s="12" t="s">
        <v>1016</v>
      </c>
      <c r="C944" s="12" t="s">
        <v>23</v>
      </c>
      <c r="D944" s="15">
        <v>46266.406585648147</v>
      </c>
      <c r="E944" s="12" t="s">
        <v>599</v>
      </c>
      <c r="F944" s="12" t="s">
        <v>496</v>
      </c>
      <c r="G944" s="12">
        <v>50</v>
      </c>
      <c r="H944" s="12">
        <v>50</v>
      </c>
      <c r="I944" s="14"/>
      <c r="J944" s="14" t="s">
        <v>61</v>
      </c>
      <c r="K944" s="12" t="s">
        <v>1020</v>
      </c>
      <c r="L944" s="15">
        <v>1</v>
      </c>
      <c r="M944" s="12" t="s">
        <v>150</v>
      </c>
      <c r="N944" s="12">
        <v>50</v>
      </c>
      <c r="O944" s="12">
        <v>50</v>
      </c>
      <c r="P944" s="12">
        <v>0</v>
      </c>
      <c r="Q944" s="16">
        <v>50</v>
      </c>
      <c r="R944" s="16">
        <v>0</v>
      </c>
      <c r="S944" s="16"/>
      <c r="T944" s="16" t="e">
        <v>#N/A</v>
      </c>
      <c r="U944" s="16" t="e">
        <v>#N/A</v>
      </c>
    </row>
    <row r="945" spans="1:21" x14ac:dyDescent="0.25">
      <c r="A945" s="12" t="s">
        <v>21</v>
      </c>
      <c r="B945" s="12" t="s">
        <v>1016</v>
      </c>
      <c r="C945" s="12" t="s">
        <v>23</v>
      </c>
      <c r="D945" s="15">
        <v>46266.406585648147</v>
      </c>
      <c r="E945" s="12" t="s">
        <v>599</v>
      </c>
      <c r="F945" s="12" t="s">
        <v>70</v>
      </c>
      <c r="G945" s="12">
        <v>100</v>
      </c>
      <c r="H945" s="12">
        <v>100</v>
      </c>
      <c r="I945" s="14"/>
      <c r="J945" s="14" t="s">
        <v>61</v>
      </c>
      <c r="K945" s="12" t="s">
        <v>27</v>
      </c>
      <c r="L945" s="15"/>
      <c r="M945" s="12" t="s">
        <v>28</v>
      </c>
      <c r="N945" s="12"/>
      <c r="O945" s="12"/>
      <c r="P945" s="12"/>
      <c r="Q945" s="16">
        <v>50</v>
      </c>
      <c r="R945" s="16">
        <v>0</v>
      </c>
      <c r="S945" s="16">
        <v>50</v>
      </c>
      <c r="T945" s="16" t="e">
        <v>#N/A</v>
      </c>
      <c r="U945" s="16" t="e">
        <v>#N/A</v>
      </c>
    </row>
    <row r="946" spans="1:21" x14ac:dyDescent="0.25">
      <c r="A946" s="12" t="s">
        <v>21</v>
      </c>
      <c r="B946" s="12" t="s">
        <v>1016</v>
      </c>
      <c r="C946" s="12" t="s">
        <v>23</v>
      </c>
      <c r="D946" s="15">
        <v>46266.406585648147</v>
      </c>
      <c r="E946" s="12" t="s">
        <v>599</v>
      </c>
      <c r="F946" s="12" t="s">
        <v>283</v>
      </c>
      <c r="G946" s="12">
        <v>100</v>
      </c>
      <c r="H946" s="12">
        <v>100</v>
      </c>
      <c r="I946" s="14"/>
      <c r="J946" s="14" t="s">
        <v>61</v>
      </c>
      <c r="K946" s="12" t="s">
        <v>1052</v>
      </c>
      <c r="L946" s="15">
        <v>1</v>
      </c>
      <c r="M946" s="12" t="s">
        <v>150</v>
      </c>
      <c r="N946" s="12">
        <v>100</v>
      </c>
      <c r="O946" s="12">
        <v>100</v>
      </c>
      <c r="P946" s="12">
        <v>0</v>
      </c>
      <c r="Q946" s="16">
        <v>200</v>
      </c>
      <c r="R946" s="16">
        <v>0</v>
      </c>
      <c r="S946" s="16"/>
      <c r="T946" s="16" t="e">
        <v>#N/A</v>
      </c>
      <c r="U946" s="16" t="e">
        <v>#N/A</v>
      </c>
    </row>
    <row r="947" spans="1:21" x14ac:dyDescent="0.25">
      <c r="A947" s="12" t="s">
        <v>21</v>
      </c>
      <c r="B947" s="12" t="s">
        <v>1016</v>
      </c>
      <c r="C947" s="12" t="s">
        <v>23</v>
      </c>
      <c r="D947" s="15">
        <v>46266.406585648147</v>
      </c>
      <c r="E947" s="12" t="s">
        <v>599</v>
      </c>
      <c r="F947" s="12" t="s">
        <v>248</v>
      </c>
      <c r="G947" s="12">
        <v>50</v>
      </c>
      <c r="H947" s="12">
        <v>50</v>
      </c>
      <c r="I947" s="14"/>
      <c r="J947" s="14" t="s">
        <v>26</v>
      </c>
      <c r="K947" s="12" t="s">
        <v>27</v>
      </c>
      <c r="L947" s="15"/>
      <c r="M947" s="12" t="s">
        <v>28</v>
      </c>
      <c r="N947" s="12"/>
      <c r="O947" s="12"/>
      <c r="P947" s="12"/>
      <c r="Q947" s="16">
        <v>0</v>
      </c>
      <c r="R947" s="16">
        <v>2</v>
      </c>
      <c r="S947" s="16"/>
      <c r="T947" s="16" t="e">
        <v>#N/A</v>
      </c>
      <c r="U947" s="16" t="e">
        <v>#N/A</v>
      </c>
    </row>
    <row r="948" spans="1:21" x14ac:dyDescent="0.25">
      <c r="A948" s="12" t="s">
        <v>21</v>
      </c>
      <c r="B948" s="12" t="s">
        <v>1016</v>
      </c>
      <c r="C948" s="12" t="s">
        <v>23</v>
      </c>
      <c r="D948" s="15">
        <v>46266.406585648147</v>
      </c>
      <c r="E948" s="12" t="s">
        <v>599</v>
      </c>
      <c r="F948" s="12" t="s">
        <v>247</v>
      </c>
      <c r="G948" s="12">
        <v>24</v>
      </c>
      <c r="H948" s="12">
        <v>24</v>
      </c>
      <c r="I948" s="14"/>
      <c r="J948" s="14" t="s">
        <v>26</v>
      </c>
      <c r="K948" s="12" t="s">
        <v>27</v>
      </c>
      <c r="L948" s="15"/>
      <c r="M948" s="12" t="s">
        <v>28</v>
      </c>
      <c r="N948" s="12"/>
      <c r="O948" s="12"/>
      <c r="P948" s="12"/>
      <c r="Q948" s="16">
        <v>0</v>
      </c>
      <c r="R948" s="16">
        <v>0</v>
      </c>
      <c r="S948" s="16"/>
      <c r="T948" s="16" t="e">
        <v>#N/A</v>
      </c>
      <c r="U948" s="16" t="e">
        <v>#N/A</v>
      </c>
    </row>
    <row r="949" spans="1:21" x14ac:dyDescent="0.25">
      <c r="A949" s="12" t="s">
        <v>21</v>
      </c>
      <c r="B949" s="12" t="s">
        <v>1016</v>
      </c>
      <c r="C949" s="12" t="s">
        <v>23</v>
      </c>
      <c r="D949" s="15">
        <v>46266.406585648147</v>
      </c>
      <c r="E949" s="12" t="s">
        <v>599</v>
      </c>
      <c r="F949" s="12" t="s">
        <v>67</v>
      </c>
      <c r="G949" s="12">
        <v>100</v>
      </c>
      <c r="H949" s="12">
        <v>100</v>
      </c>
      <c r="I949" s="14"/>
      <c r="J949" s="14" t="s">
        <v>61</v>
      </c>
      <c r="K949" s="12" t="s">
        <v>1053</v>
      </c>
      <c r="L949" s="15">
        <v>1</v>
      </c>
      <c r="M949" s="12" t="s">
        <v>150</v>
      </c>
      <c r="N949" s="12">
        <v>100</v>
      </c>
      <c r="O949" s="12">
        <v>100</v>
      </c>
      <c r="P949" s="12">
        <v>0</v>
      </c>
      <c r="Q949" s="16">
        <v>200</v>
      </c>
      <c r="R949" s="16">
        <v>0</v>
      </c>
      <c r="S949" s="16"/>
      <c r="T949" s="16" t="e">
        <v>#N/A</v>
      </c>
      <c r="U949" s="16" t="e">
        <v>#N/A</v>
      </c>
    </row>
    <row r="950" spans="1:21" x14ac:dyDescent="0.25">
      <c r="A950" s="12" t="s">
        <v>21</v>
      </c>
      <c r="B950" s="12" t="s">
        <v>1016</v>
      </c>
      <c r="C950" s="12" t="s">
        <v>23</v>
      </c>
      <c r="D950" s="15">
        <v>46266.406585648147</v>
      </c>
      <c r="E950" s="12" t="s">
        <v>599</v>
      </c>
      <c r="F950" s="12" t="s">
        <v>259</v>
      </c>
      <c r="G950" s="12">
        <v>50</v>
      </c>
      <c r="H950" s="12">
        <v>50</v>
      </c>
      <c r="I950" s="14"/>
      <c r="J950" s="14" t="s">
        <v>26</v>
      </c>
      <c r="K950" s="12" t="s">
        <v>27</v>
      </c>
      <c r="L950" s="15"/>
      <c r="M950" s="12" t="s">
        <v>28</v>
      </c>
      <c r="N950" s="12"/>
      <c r="O950" s="12"/>
      <c r="P950" s="12"/>
      <c r="Q950" s="16">
        <v>0</v>
      </c>
      <c r="R950" s="16">
        <v>4</v>
      </c>
      <c r="S950" s="16"/>
      <c r="T950" s="16" t="e">
        <v>#N/A</v>
      </c>
      <c r="U950" s="16" t="e">
        <v>#N/A</v>
      </c>
    </row>
    <row r="951" spans="1:21" x14ac:dyDescent="0.25">
      <c r="A951" s="12" t="s">
        <v>21</v>
      </c>
      <c r="B951" s="12" t="s">
        <v>1016</v>
      </c>
      <c r="C951" s="12" t="s">
        <v>23</v>
      </c>
      <c r="D951" s="15">
        <v>46266.406585648147</v>
      </c>
      <c r="E951" s="12" t="s">
        <v>599</v>
      </c>
      <c r="F951" s="12" t="s">
        <v>1022</v>
      </c>
      <c r="G951" s="12">
        <v>100</v>
      </c>
      <c r="H951" s="12">
        <v>100</v>
      </c>
      <c r="I951" s="14"/>
      <c r="J951" s="14" t="s">
        <v>61</v>
      </c>
      <c r="K951" s="12" t="s">
        <v>1054</v>
      </c>
      <c r="L951" s="15">
        <v>1</v>
      </c>
      <c r="M951" s="12" t="s">
        <v>150</v>
      </c>
      <c r="N951" s="12">
        <v>100</v>
      </c>
      <c r="O951" s="12">
        <v>100</v>
      </c>
      <c r="P951" s="12">
        <v>0</v>
      </c>
      <c r="Q951" s="16">
        <v>100</v>
      </c>
      <c r="R951" s="16">
        <v>3</v>
      </c>
      <c r="S951" s="16"/>
      <c r="T951" s="16" t="e">
        <v>#N/A</v>
      </c>
      <c r="U951" s="16" t="e">
        <v>#N/A</v>
      </c>
    </row>
    <row r="952" spans="1:21" x14ac:dyDescent="0.25">
      <c r="A952" s="12" t="s">
        <v>21</v>
      </c>
      <c r="B952" s="12" t="s">
        <v>1016</v>
      </c>
      <c r="C952" s="12" t="s">
        <v>23</v>
      </c>
      <c r="D952" s="15">
        <v>46266.406585648147</v>
      </c>
      <c r="E952" s="12" t="s">
        <v>599</v>
      </c>
      <c r="F952" s="12" t="s">
        <v>134</v>
      </c>
      <c r="G952" s="12">
        <v>200</v>
      </c>
      <c r="H952" s="12">
        <v>200</v>
      </c>
      <c r="I952" s="14"/>
      <c r="J952" s="14" t="s">
        <v>61</v>
      </c>
      <c r="K952" s="12" t="s">
        <v>27</v>
      </c>
      <c r="L952" s="15"/>
      <c r="M952" s="12" t="s">
        <v>28</v>
      </c>
      <c r="N952" s="12"/>
      <c r="O952" s="12"/>
      <c r="P952" s="12"/>
      <c r="Q952" s="16">
        <v>30</v>
      </c>
      <c r="R952" s="16">
        <v>6</v>
      </c>
      <c r="S952" s="16"/>
      <c r="T952" s="16" t="e">
        <v>#N/A</v>
      </c>
      <c r="U952" s="16" t="e">
        <v>#N/A</v>
      </c>
    </row>
    <row r="953" spans="1:21" x14ac:dyDescent="0.25">
      <c r="A953" s="12" t="s">
        <v>21</v>
      </c>
      <c r="B953" s="12" t="s">
        <v>1016</v>
      </c>
      <c r="C953" s="12" t="s">
        <v>23</v>
      </c>
      <c r="D953" s="15">
        <v>46266.406585648147</v>
      </c>
      <c r="E953" s="12" t="s">
        <v>599</v>
      </c>
      <c r="F953" s="12" t="s">
        <v>371</v>
      </c>
      <c r="G953" s="12">
        <v>1000</v>
      </c>
      <c r="H953" s="12">
        <v>1000</v>
      </c>
      <c r="I953" s="14"/>
      <c r="J953" s="14" t="s">
        <v>26</v>
      </c>
      <c r="K953" s="12" t="s">
        <v>27</v>
      </c>
      <c r="L953" s="15"/>
      <c r="M953" s="12" t="s">
        <v>28</v>
      </c>
      <c r="N953" s="12"/>
      <c r="O953" s="12"/>
      <c r="P953" s="12"/>
      <c r="Q953" s="16">
        <v>0</v>
      </c>
      <c r="R953" s="16">
        <v>1</v>
      </c>
      <c r="S953" s="16"/>
      <c r="T953" s="16" t="e">
        <v>#N/A</v>
      </c>
      <c r="U953" s="16" t="e">
        <v>#N/A</v>
      </c>
    </row>
    <row r="954" spans="1:21" x14ac:dyDescent="0.25">
      <c r="A954" s="12" t="s">
        <v>21</v>
      </c>
      <c r="B954" s="12" t="s">
        <v>1016</v>
      </c>
      <c r="C954" s="12" t="s">
        <v>23</v>
      </c>
      <c r="D954" s="15">
        <v>46266.406585648147</v>
      </c>
      <c r="E954" s="12" t="s">
        <v>599</v>
      </c>
      <c r="F954" s="12" t="s">
        <v>1023</v>
      </c>
      <c r="G954" s="12">
        <v>30</v>
      </c>
      <c r="H954" s="12">
        <v>30</v>
      </c>
      <c r="I954" s="14"/>
      <c r="J954" s="14" t="s">
        <v>61</v>
      </c>
      <c r="K954" s="12" t="s">
        <v>1055</v>
      </c>
      <c r="L954" s="15">
        <v>1</v>
      </c>
      <c r="M954" s="12" t="s">
        <v>150</v>
      </c>
      <c r="N954" s="12">
        <v>30</v>
      </c>
      <c r="O954" s="12">
        <v>30</v>
      </c>
      <c r="P954" s="12">
        <v>0</v>
      </c>
      <c r="Q954" s="16">
        <v>30</v>
      </c>
      <c r="R954" s="16">
        <v>6</v>
      </c>
      <c r="S954" s="16"/>
      <c r="T954" s="16" t="e">
        <v>#N/A</v>
      </c>
      <c r="U954" s="16" t="e">
        <v>#N/A</v>
      </c>
    </row>
    <row r="955" spans="1:21" x14ac:dyDescent="0.25">
      <c r="A955" s="12" t="s">
        <v>21</v>
      </c>
      <c r="B955" s="12" t="s">
        <v>1016</v>
      </c>
      <c r="C955" s="12" t="s">
        <v>23</v>
      </c>
      <c r="D955" s="15">
        <v>46266.406585648147</v>
      </c>
      <c r="E955" s="12" t="s">
        <v>599</v>
      </c>
      <c r="F955" s="12" t="s">
        <v>572</v>
      </c>
      <c r="G955" s="12">
        <v>100</v>
      </c>
      <c r="H955" s="12">
        <v>100</v>
      </c>
      <c r="I955" s="14"/>
      <c r="J955" s="14" t="s">
        <v>61</v>
      </c>
      <c r="K955" s="12" t="s">
        <v>27</v>
      </c>
      <c r="L955" s="15"/>
      <c r="M955" s="12" t="s">
        <v>28</v>
      </c>
      <c r="N955" s="12"/>
      <c r="O955" s="12"/>
      <c r="P955" s="12"/>
      <c r="Q955" s="16">
        <v>50</v>
      </c>
      <c r="R955" s="16">
        <v>10</v>
      </c>
      <c r="S955" s="16"/>
      <c r="T955" s="16" t="e">
        <v>#N/A</v>
      </c>
      <c r="U955" s="16" t="e">
        <v>#N/A</v>
      </c>
    </row>
    <row r="956" spans="1:21" x14ac:dyDescent="0.25">
      <c r="A956" s="12" t="s">
        <v>21</v>
      </c>
      <c r="B956" s="12" t="s">
        <v>1016</v>
      </c>
      <c r="C956" s="12" t="s">
        <v>23</v>
      </c>
      <c r="D956" s="15">
        <v>46266.406585648147</v>
      </c>
      <c r="E956" s="12" t="s">
        <v>599</v>
      </c>
      <c r="F956" s="12" t="s">
        <v>1024</v>
      </c>
      <c r="G956" s="12">
        <v>50</v>
      </c>
      <c r="H956" s="12">
        <v>50</v>
      </c>
      <c r="I956" s="14"/>
      <c r="J956" s="14" t="s">
        <v>26</v>
      </c>
      <c r="K956" s="12" t="s">
        <v>27</v>
      </c>
      <c r="L956" s="15"/>
      <c r="M956" s="12" t="s">
        <v>28</v>
      </c>
      <c r="N956" s="12"/>
      <c r="O956" s="12"/>
      <c r="P956" s="12"/>
      <c r="Q956" s="16">
        <v>0</v>
      </c>
      <c r="R956" s="16">
        <v>0</v>
      </c>
      <c r="S956" s="16"/>
      <c r="T956" s="16" t="e">
        <v>#N/A</v>
      </c>
      <c r="U956" s="16" t="e">
        <v>#N/A</v>
      </c>
    </row>
    <row r="957" spans="1:21" x14ac:dyDescent="0.25">
      <c r="A957" s="12" t="s">
        <v>21</v>
      </c>
      <c r="B957" s="12" t="s">
        <v>1021</v>
      </c>
      <c r="C957" s="12" t="s">
        <v>23</v>
      </c>
      <c r="D957" s="15">
        <v>46266.424675925926</v>
      </c>
      <c r="E957" s="12" t="s">
        <v>24</v>
      </c>
      <c r="F957" s="12" t="s">
        <v>1025</v>
      </c>
      <c r="G957" s="12">
        <v>9</v>
      </c>
      <c r="H957" s="12">
        <v>9</v>
      </c>
      <c r="I957" s="14"/>
      <c r="J957" s="14" t="s">
        <v>61</v>
      </c>
      <c r="K957" s="12" t="s">
        <v>1056</v>
      </c>
      <c r="L957" s="15">
        <v>1</v>
      </c>
      <c r="M957" s="12" t="s">
        <v>150</v>
      </c>
      <c r="N957" s="12">
        <v>9</v>
      </c>
      <c r="O957" s="12">
        <v>9</v>
      </c>
      <c r="P957" s="12">
        <v>0</v>
      </c>
      <c r="Q957" s="16">
        <v>9</v>
      </c>
      <c r="R957" s="16">
        <v>0</v>
      </c>
      <c r="S957" s="16"/>
      <c r="T957" s="16" t="e">
        <v>#N/A</v>
      </c>
      <c r="U957" s="16" t="e">
        <v>#N/A</v>
      </c>
    </row>
    <row r="958" spans="1:21" x14ac:dyDescent="0.25">
      <c r="A958" s="12" t="s">
        <v>21</v>
      </c>
      <c r="B958" s="12" t="s">
        <v>1021</v>
      </c>
      <c r="C958" s="12" t="s">
        <v>23</v>
      </c>
      <c r="D958" s="15">
        <v>46266.424675925926</v>
      </c>
      <c r="E958" s="12" t="s">
        <v>24</v>
      </c>
      <c r="F958" s="12" t="s">
        <v>1026</v>
      </c>
      <c r="G958" s="12">
        <v>2</v>
      </c>
      <c r="H958" s="12">
        <v>2</v>
      </c>
      <c r="I958" s="14"/>
      <c r="J958" s="14" t="s">
        <v>61</v>
      </c>
      <c r="K958" s="12" t="s">
        <v>1057</v>
      </c>
      <c r="L958" s="15">
        <v>1</v>
      </c>
      <c r="M958" s="12" t="s">
        <v>150</v>
      </c>
      <c r="N958" s="12">
        <v>2</v>
      </c>
      <c r="O958" s="12">
        <v>2</v>
      </c>
      <c r="P958" s="12">
        <v>0</v>
      </c>
      <c r="Q958" s="16">
        <v>2</v>
      </c>
      <c r="R958" s="16">
        <v>0</v>
      </c>
      <c r="S958" s="16"/>
      <c r="T958" s="16" t="e">
        <v>#N/A</v>
      </c>
      <c r="U958" s="16" t="e">
        <v>#N/A</v>
      </c>
    </row>
    <row r="959" spans="1:21" x14ac:dyDescent="0.25">
      <c r="A959" s="12" t="s">
        <v>21</v>
      </c>
      <c r="B959" s="12" t="s">
        <v>1021</v>
      </c>
      <c r="C959" s="12" t="s">
        <v>23</v>
      </c>
      <c r="D959" s="15">
        <v>46266.424675925926</v>
      </c>
      <c r="E959" s="12" t="s">
        <v>24</v>
      </c>
      <c r="F959" s="12" t="s">
        <v>1027</v>
      </c>
      <c r="G959" s="12">
        <v>3</v>
      </c>
      <c r="H959" s="12">
        <v>3</v>
      </c>
      <c r="I959" s="14"/>
      <c r="J959" s="14" t="s">
        <v>26</v>
      </c>
      <c r="K959" s="12" t="s">
        <v>27</v>
      </c>
      <c r="L959" s="15"/>
      <c r="M959" s="12" t="s">
        <v>28</v>
      </c>
      <c r="N959" s="12"/>
      <c r="O959" s="12"/>
      <c r="P959" s="12"/>
      <c r="Q959" s="16">
        <v>0</v>
      </c>
      <c r="R959" s="16">
        <v>0</v>
      </c>
      <c r="S959" s="16"/>
      <c r="T959" s="16" t="e">
        <v>#N/A</v>
      </c>
      <c r="U959" s="16" t="e">
        <v>#N/A</v>
      </c>
    </row>
    <row r="960" spans="1:21" x14ac:dyDescent="0.25">
      <c r="A960" s="12" t="s">
        <v>21</v>
      </c>
      <c r="B960" s="12" t="s">
        <v>1021</v>
      </c>
      <c r="C960" s="12" t="s">
        <v>23</v>
      </c>
      <c r="D960" s="15">
        <v>46266.424675925926</v>
      </c>
      <c r="E960" s="12" t="s">
        <v>24</v>
      </c>
      <c r="F960" s="12" t="s">
        <v>1028</v>
      </c>
      <c r="G960" s="12">
        <v>4</v>
      </c>
      <c r="H960" s="12">
        <v>4</v>
      </c>
      <c r="I960" s="14"/>
      <c r="J960" s="14" t="s">
        <v>61</v>
      </c>
      <c r="K960" s="12" t="s">
        <v>1058</v>
      </c>
      <c r="L960" s="15">
        <v>1</v>
      </c>
      <c r="M960" s="12" t="s">
        <v>150</v>
      </c>
      <c r="N960" s="12">
        <v>4</v>
      </c>
      <c r="O960" s="12">
        <v>4</v>
      </c>
      <c r="P960" s="12">
        <v>0</v>
      </c>
      <c r="Q960" s="16">
        <v>4</v>
      </c>
      <c r="R960" s="16">
        <v>0</v>
      </c>
      <c r="S960" s="16"/>
      <c r="T960" s="16" t="e">
        <v>#N/A</v>
      </c>
      <c r="U960" s="16" t="e">
        <v>#N/A</v>
      </c>
    </row>
    <row r="961" spans="1:21" x14ac:dyDescent="0.25">
      <c r="A961" s="12" t="s">
        <v>21</v>
      </c>
      <c r="B961" s="12" t="s">
        <v>1021</v>
      </c>
      <c r="C961" s="12" t="s">
        <v>23</v>
      </c>
      <c r="D961" s="15">
        <v>46266.424675925926</v>
      </c>
      <c r="E961" s="12" t="s">
        <v>24</v>
      </c>
      <c r="F961" s="12" t="s">
        <v>1029</v>
      </c>
      <c r="G961" s="12">
        <v>10</v>
      </c>
      <c r="H961" s="12">
        <v>10</v>
      </c>
      <c r="I961" s="14"/>
      <c r="J961" s="14" t="s">
        <v>61</v>
      </c>
      <c r="K961" s="12" t="s">
        <v>1059</v>
      </c>
      <c r="L961" s="15">
        <v>1</v>
      </c>
      <c r="M961" s="12" t="s">
        <v>150</v>
      </c>
      <c r="N961" s="12">
        <v>10</v>
      </c>
      <c r="O961" s="12">
        <v>10</v>
      </c>
      <c r="P961" s="12">
        <v>0</v>
      </c>
      <c r="Q961" s="16">
        <v>10</v>
      </c>
      <c r="R961" s="16">
        <v>0</v>
      </c>
      <c r="S961" s="16"/>
      <c r="T961" s="16" t="e">
        <v>#N/A</v>
      </c>
      <c r="U961" s="16" t="e">
        <v>#N/A</v>
      </c>
    </row>
    <row r="962" spans="1:21" x14ac:dyDescent="0.25">
      <c r="A962" s="12" t="s">
        <v>21</v>
      </c>
      <c r="B962" s="12" t="s">
        <v>1021</v>
      </c>
      <c r="C962" s="12" t="s">
        <v>23</v>
      </c>
      <c r="D962" s="15">
        <v>46266.424675925926</v>
      </c>
      <c r="E962" s="12" t="s">
        <v>24</v>
      </c>
      <c r="F962" s="12" t="s">
        <v>1030</v>
      </c>
      <c r="G962" s="12">
        <v>55</v>
      </c>
      <c r="H962" s="12">
        <v>55</v>
      </c>
      <c r="I962" s="14"/>
      <c r="J962" s="14" t="s">
        <v>61</v>
      </c>
      <c r="K962" s="12" t="s">
        <v>1060</v>
      </c>
      <c r="L962" s="15">
        <v>1</v>
      </c>
      <c r="M962" s="12" t="s">
        <v>150</v>
      </c>
      <c r="N962" s="12">
        <v>55</v>
      </c>
      <c r="O962" s="12">
        <v>55</v>
      </c>
      <c r="P962" s="12">
        <v>0</v>
      </c>
      <c r="Q962" s="16">
        <v>55</v>
      </c>
      <c r="R962" s="16">
        <v>0</v>
      </c>
      <c r="S962" s="16"/>
      <c r="T962" s="16" t="e">
        <v>#N/A</v>
      </c>
      <c r="U962" s="16" t="e">
        <v>#N/A</v>
      </c>
    </row>
    <row r="963" spans="1:21" x14ac:dyDescent="0.25">
      <c r="A963" s="12" t="s">
        <v>21</v>
      </c>
      <c r="B963" s="12" t="s">
        <v>1021</v>
      </c>
      <c r="C963" s="12" t="s">
        <v>23</v>
      </c>
      <c r="D963" s="15">
        <v>46266.424675925926</v>
      </c>
      <c r="E963" s="12" t="s">
        <v>24</v>
      </c>
      <c r="F963" s="12" t="s">
        <v>1031</v>
      </c>
      <c r="G963" s="12">
        <v>5</v>
      </c>
      <c r="H963" s="12">
        <v>5</v>
      </c>
      <c r="I963" s="14"/>
      <c r="J963" s="14" t="s">
        <v>26</v>
      </c>
      <c r="K963" s="12" t="s">
        <v>27</v>
      </c>
      <c r="L963" s="15"/>
      <c r="M963" s="12" t="s">
        <v>28</v>
      </c>
      <c r="N963" s="12"/>
      <c r="O963" s="12"/>
      <c r="P963" s="12"/>
      <c r="Q963" s="16">
        <v>0</v>
      </c>
      <c r="R963" s="16">
        <v>0</v>
      </c>
      <c r="S963" s="16"/>
      <c r="T963" s="16" t="e">
        <v>#N/A</v>
      </c>
      <c r="U963" s="16" t="e">
        <v>#N/A</v>
      </c>
    </row>
    <row r="964" spans="1:21" x14ac:dyDescent="0.25">
      <c r="A964" s="12" t="s">
        <v>21</v>
      </c>
      <c r="B964" s="12" t="s">
        <v>1021</v>
      </c>
      <c r="C964" s="12" t="s">
        <v>23</v>
      </c>
      <c r="D964" s="15">
        <v>46266.424675925926</v>
      </c>
      <c r="E964" s="12" t="s">
        <v>24</v>
      </c>
      <c r="F964" s="12" t="s">
        <v>1032</v>
      </c>
      <c r="G964" s="12">
        <v>7</v>
      </c>
      <c r="H964" s="12">
        <v>7</v>
      </c>
      <c r="I964" s="14"/>
      <c r="J964" s="14" t="s">
        <v>61</v>
      </c>
      <c r="K964" s="12" t="s">
        <v>1061</v>
      </c>
      <c r="L964" s="15">
        <v>1</v>
      </c>
      <c r="M964" s="12" t="s">
        <v>150</v>
      </c>
      <c r="N964" s="12">
        <v>7</v>
      </c>
      <c r="O964" s="12">
        <v>7</v>
      </c>
      <c r="P964" s="12">
        <v>0</v>
      </c>
      <c r="Q964" s="16">
        <v>7</v>
      </c>
      <c r="R964" s="16">
        <v>0</v>
      </c>
      <c r="S964" s="16"/>
      <c r="T964" s="16" t="e">
        <v>#N/A</v>
      </c>
      <c r="U964" s="16" t="e">
        <v>#N/A</v>
      </c>
    </row>
    <row r="965" spans="1:21" x14ac:dyDescent="0.25">
      <c r="A965" s="12" t="s">
        <v>21</v>
      </c>
      <c r="B965" s="12" t="s">
        <v>1021</v>
      </c>
      <c r="C965" s="12" t="s">
        <v>23</v>
      </c>
      <c r="D965" s="15">
        <v>46266.424675925926</v>
      </c>
      <c r="E965" s="12" t="s">
        <v>24</v>
      </c>
      <c r="F965" s="12" t="s">
        <v>1033</v>
      </c>
      <c r="G965" s="12">
        <v>12</v>
      </c>
      <c r="H965" s="12">
        <v>12</v>
      </c>
      <c r="I965" s="14"/>
      <c r="J965" s="14" t="s">
        <v>61</v>
      </c>
      <c r="K965" s="12" t="s">
        <v>1062</v>
      </c>
      <c r="L965" s="15">
        <v>1</v>
      </c>
      <c r="M965" s="12" t="s">
        <v>150</v>
      </c>
      <c r="N965" s="12">
        <v>12</v>
      </c>
      <c r="O965" s="12">
        <v>12</v>
      </c>
      <c r="P965" s="12">
        <v>0</v>
      </c>
      <c r="Q965" s="16">
        <v>12</v>
      </c>
      <c r="R965" s="16">
        <v>0</v>
      </c>
      <c r="S965" s="16"/>
      <c r="T965" s="16" t="e">
        <v>#N/A</v>
      </c>
      <c r="U965" s="16" t="e">
        <v>#N/A</v>
      </c>
    </row>
    <row r="966" spans="1:21" x14ac:dyDescent="0.25">
      <c r="A966" s="12" t="s">
        <v>21</v>
      </c>
      <c r="B966" s="12" t="s">
        <v>1021</v>
      </c>
      <c r="C966" s="12" t="s">
        <v>23</v>
      </c>
      <c r="D966" s="15">
        <v>46266.424675925926</v>
      </c>
      <c r="E966" s="12" t="s">
        <v>24</v>
      </c>
      <c r="F966" s="12" t="s">
        <v>1034</v>
      </c>
      <c r="G966" s="12">
        <v>4</v>
      </c>
      <c r="H966" s="12">
        <v>4</v>
      </c>
      <c r="I966" s="14"/>
      <c r="J966" s="14" t="s">
        <v>26</v>
      </c>
      <c r="K966" s="12" t="s">
        <v>27</v>
      </c>
      <c r="L966" s="15"/>
      <c r="M966" s="12" t="s">
        <v>28</v>
      </c>
      <c r="N966" s="12"/>
      <c r="O966" s="12"/>
      <c r="P966" s="12"/>
      <c r="Q966" s="16">
        <v>0</v>
      </c>
      <c r="R966" s="16">
        <v>0</v>
      </c>
      <c r="S966" s="16"/>
      <c r="T966" s="16" t="e">
        <v>#N/A</v>
      </c>
      <c r="U966" s="16" t="e">
        <v>#N/A</v>
      </c>
    </row>
    <row r="967" spans="1:21" x14ac:dyDescent="0.25">
      <c r="A967" s="12" t="s">
        <v>21</v>
      </c>
      <c r="B967" s="12" t="s">
        <v>1021</v>
      </c>
      <c r="C967" s="12" t="s">
        <v>23</v>
      </c>
      <c r="D967" s="15">
        <v>46266.424675925926</v>
      </c>
      <c r="E967" s="12" t="s">
        <v>24</v>
      </c>
      <c r="F967" s="12" t="s">
        <v>966</v>
      </c>
      <c r="G967" s="12">
        <v>1</v>
      </c>
      <c r="H967" s="12">
        <v>1</v>
      </c>
      <c r="I967" s="14"/>
      <c r="J967" s="14" t="s">
        <v>61</v>
      </c>
      <c r="K967" s="12" t="s">
        <v>1063</v>
      </c>
      <c r="L967" s="15">
        <v>1</v>
      </c>
      <c r="M967" s="12" t="s">
        <v>150</v>
      </c>
      <c r="N967" s="12">
        <v>1</v>
      </c>
      <c r="O967" s="12">
        <v>1</v>
      </c>
      <c r="P967" s="12">
        <v>0</v>
      </c>
      <c r="Q967" s="16">
        <v>1</v>
      </c>
      <c r="R967" s="16">
        <v>0</v>
      </c>
      <c r="S967" s="16"/>
      <c r="T967" s="16" t="e">
        <v>#N/A</v>
      </c>
      <c r="U967" s="16" t="e">
        <v>#N/A</v>
      </c>
    </row>
    <row r="968" spans="1:21" x14ac:dyDescent="0.25">
      <c r="A968" s="12" t="s">
        <v>21</v>
      </c>
      <c r="B968" s="12" t="s">
        <v>1021</v>
      </c>
      <c r="C968" s="12" t="s">
        <v>23</v>
      </c>
      <c r="D968" s="15">
        <v>46266.424675925926</v>
      </c>
      <c r="E968" s="12" t="s">
        <v>24</v>
      </c>
      <c r="F968" s="12" t="s">
        <v>1035</v>
      </c>
      <c r="G968" s="12">
        <v>10</v>
      </c>
      <c r="H968" s="12">
        <v>10</v>
      </c>
      <c r="I968" s="14"/>
      <c r="J968" s="14" t="s">
        <v>61</v>
      </c>
      <c r="K968" s="12" t="s">
        <v>1064</v>
      </c>
      <c r="L968" s="15">
        <v>1</v>
      </c>
      <c r="M968" s="12" t="s">
        <v>150</v>
      </c>
      <c r="N968" s="12">
        <v>10</v>
      </c>
      <c r="O968" s="12">
        <v>10</v>
      </c>
      <c r="P968" s="12">
        <v>0</v>
      </c>
      <c r="Q968" s="16">
        <v>10</v>
      </c>
      <c r="R968" s="16">
        <v>0</v>
      </c>
      <c r="S968" s="16"/>
      <c r="T968" s="16" t="e">
        <v>#N/A</v>
      </c>
      <c r="U968" s="16" t="e">
        <v>#N/A</v>
      </c>
    </row>
    <row r="969" spans="1:21" x14ac:dyDescent="0.25">
      <c r="A969" s="12" t="s">
        <v>21</v>
      </c>
      <c r="B969" s="12" t="s">
        <v>1021</v>
      </c>
      <c r="C969" s="12" t="s">
        <v>23</v>
      </c>
      <c r="D969" s="15">
        <v>46266.424675925926</v>
      </c>
      <c r="E969" s="12" t="s">
        <v>24</v>
      </c>
      <c r="F969" s="12" t="s">
        <v>1036</v>
      </c>
      <c r="G969" s="12">
        <v>10</v>
      </c>
      <c r="H969" s="12">
        <v>10</v>
      </c>
      <c r="I969" s="14"/>
      <c r="J969" s="14" t="s">
        <v>61</v>
      </c>
      <c r="K969" s="12" t="s">
        <v>1065</v>
      </c>
      <c r="L969" s="15">
        <v>1</v>
      </c>
      <c r="M969" s="12" t="s">
        <v>150</v>
      </c>
      <c r="N969" s="12">
        <v>10</v>
      </c>
      <c r="O969" s="12">
        <v>10</v>
      </c>
      <c r="P969" s="12">
        <v>0</v>
      </c>
      <c r="Q969" s="16">
        <v>10</v>
      </c>
      <c r="R969" s="16">
        <v>0</v>
      </c>
      <c r="S969" s="16"/>
      <c r="T969" s="16" t="e">
        <v>#N/A</v>
      </c>
      <c r="U969" s="16" t="e">
        <v>#N/A</v>
      </c>
    </row>
    <row r="970" spans="1:21" x14ac:dyDescent="0.25">
      <c r="A970" s="12" t="s">
        <v>21</v>
      </c>
      <c r="B970" s="12" t="s">
        <v>1021</v>
      </c>
      <c r="C970" s="12" t="s">
        <v>23</v>
      </c>
      <c r="D970" s="15">
        <v>46266.424675925926</v>
      </c>
      <c r="E970" s="12" t="s">
        <v>24</v>
      </c>
      <c r="F970" s="12" t="s">
        <v>531</v>
      </c>
      <c r="G970" s="12">
        <v>8</v>
      </c>
      <c r="H970" s="12">
        <v>8</v>
      </c>
      <c r="I970" s="14"/>
      <c r="J970" s="14" t="s">
        <v>61</v>
      </c>
      <c r="K970" s="12" t="s">
        <v>1066</v>
      </c>
      <c r="L970" s="15">
        <v>1</v>
      </c>
      <c r="M970" s="12" t="s">
        <v>150</v>
      </c>
      <c r="N970" s="12">
        <v>8</v>
      </c>
      <c r="O970" s="12">
        <v>8</v>
      </c>
      <c r="P970" s="12">
        <v>0</v>
      </c>
      <c r="Q970" s="16">
        <v>8</v>
      </c>
      <c r="R970" s="16">
        <v>0</v>
      </c>
      <c r="S970" s="16"/>
      <c r="T970" s="16" t="e">
        <v>#N/A</v>
      </c>
      <c r="U970" s="16" t="e">
        <v>#N/A</v>
      </c>
    </row>
    <row r="971" spans="1:21" x14ac:dyDescent="0.25">
      <c r="A971" s="12" t="s">
        <v>21</v>
      </c>
      <c r="B971" s="12" t="s">
        <v>1021</v>
      </c>
      <c r="C971" s="12" t="s">
        <v>23</v>
      </c>
      <c r="D971" s="15">
        <v>46266.424675925926</v>
      </c>
      <c r="E971" s="12" t="s">
        <v>24</v>
      </c>
      <c r="F971" s="12" t="s">
        <v>845</v>
      </c>
      <c r="G971" s="12">
        <v>4</v>
      </c>
      <c r="H971" s="12">
        <v>4</v>
      </c>
      <c r="I971" s="14"/>
      <c r="J971" s="14" t="s">
        <v>61</v>
      </c>
      <c r="K971" s="12" t="s">
        <v>1067</v>
      </c>
      <c r="L971" s="15">
        <v>1</v>
      </c>
      <c r="M971" s="12" t="s">
        <v>150</v>
      </c>
      <c r="N971" s="12">
        <v>4</v>
      </c>
      <c r="O971" s="12">
        <v>4</v>
      </c>
      <c r="P971" s="12">
        <v>0</v>
      </c>
      <c r="Q971" s="16">
        <v>4</v>
      </c>
      <c r="R971" s="16">
        <v>0</v>
      </c>
      <c r="S971" s="16"/>
      <c r="T971" s="16" t="e">
        <v>#N/A</v>
      </c>
      <c r="U971" s="16" t="e">
        <v>#N/A</v>
      </c>
    </row>
    <row r="972" spans="1:21" x14ac:dyDescent="0.25">
      <c r="A972" s="12" t="s">
        <v>21</v>
      </c>
      <c r="B972" s="12" t="s">
        <v>1021</v>
      </c>
      <c r="C972" s="12" t="s">
        <v>23</v>
      </c>
      <c r="D972" s="15">
        <v>46266.424675925926</v>
      </c>
      <c r="E972" s="12" t="s">
        <v>24</v>
      </c>
      <c r="F972" s="12" t="s">
        <v>381</v>
      </c>
      <c r="G972" s="12">
        <v>4</v>
      </c>
      <c r="H972" s="12">
        <v>4</v>
      </c>
      <c r="I972" s="14"/>
      <c r="J972" s="14" t="s">
        <v>26</v>
      </c>
      <c r="K972" s="12" t="s">
        <v>27</v>
      </c>
      <c r="L972" s="15"/>
      <c r="M972" s="12" t="s">
        <v>28</v>
      </c>
      <c r="N972" s="12"/>
      <c r="O972" s="12"/>
      <c r="P972" s="12"/>
      <c r="Q972" s="16">
        <v>0</v>
      </c>
      <c r="R972" s="16">
        <v>0</v>
      </c>
      <c r="S972" s="16"/>
      <c r="T972" s="16" t="e">
        <v>#N/A</v>
      </c>
      <c r="U972" s="16" t="e">
        <v>#N/A</v>
      </c>
    </row>
    <row r="973" spans="1:21" x14ac:dyDescent="0.25">
      <c r="A973" s="12" t="s">
        <v>21</v>
      </c>
      <c r="B973" s="12" t="s">
        <v>1021</v>
      </c>
      <c r="C973" s="12" t="s">
        <v>23</v>
      </c>
      <c r="D973" s="15">
        <v>46266.424675925926</v>
      </c>
      <c r="E973" s="12" t="s">
        <v>24</v>
      </c>
      <c r="F973" s="12" t="s">
        <v>1037</v>
      </c>
      <c r="G973" s="12">
        <v>6</v>
      </c>
      <c r="H973" s="12">
        <v>6</v>
      </c>
      <c r="I973" s="14"/>
      <c r="J973" s="14" t="s">
        <v>61</v>
      </c>
      <c r="K973" s="12" t="s">
        <v>1068</v>
      </c>
      <c r="L973" s="15">
        <v>1</v>
      </c>
      <c r="M973" s="12" t="s">
        <v>150</v>
      </c>
      <c r="N973" s="12">
        <v>6</v>
      </c>
      <c r="O973" s="12">
        <v>6</v>
      </c>
      <c r="P973" s="12">
        <v>0</v>
      </c>
      <c r="Q973" s="16">
        <v>6</v>
      </c>
      <c r="R973" s="16">
        <v>1</v>
      </c>
      <c r="S973" s="16"/>
      <c r="T973" s="16" t="e">
        <v>#N/A</v>
      </c>
      <c r="U973" s="16" t="e">
        <v>#N/A</v>
      </c>
    </row>
    <row r="974" spans="1:21" x14ac:dyDescent="0.25">
      <c r="A974" s="12" t="s">
        <v>21</v>
      </c>
      <c r="B974" s="12" t="s">
        <v>1021</v>
      </c>
      <c r="C974" s="12" t="s">
        <v>23</v>
      </c>
      <c r="D974" s="15">
        <v>46266.424675925926</v>
      </c>
      <c r="E974" s="12" t="s">
        <v>24</v>
      </c>
      <c r="F974" s="12" t="s">
        <v>356</v>
      </c>
      <c r="G974" s="12">
        <v>10</v>
      </c>
      <c r="H974" s="12">
        <v>10</v>
      </c>
      <c r="I974" s="14"/>
      <c r="J974" s="14" t="s">
        <v>26</v>
      </c>
      <c r="K974" s="12" t="s">
        <v>27</v>
      </c>
      <c r="L974" s="15"/>
      <c r="M974" s="12" t="s">
        <v>28</v>
      </c>
      <c r="N974" s="12"/>
      <c r="O974" s="12"/>
      <c r="P974" s="12"/>
      <c r="Q974" s="16">
        <v>0</v>
      </c>
      <c r="R974" s="16">
        <v>0</v>
      </c>
      <c r="S974" s="16"/>
      <c r="T974" s="16" t="e">
        <v>#N/A</v>
      </c>
      <c r="U974" s="16" t="e">
        <v>#N/A</v>
      </c>
    </row>
    <row r="975" spans="1:21" x14ac:dyDescent="0.25">
      <c r="A975" s="12" t="s">
        <v>21</v>
      </c>
      <c r="B975" s="12" t="s">
        <v>1021</v>
      </c>
      <c r="C975" s="12" t="s">
        <v>23</v>
      </c>
      <c r="D975" s="15">
        <v>46266.424675925926</v>
      </c>
      <c r="E975" s="12" t="s">
        <v>24</v>
      </c>
      <c r="F975" s="12" t="s">
        <v>1038</v>
      </c>
      <c r="G975" s="12">
        <v>1</v>
      </c>
      <c r="H975" s="12">
        <v>1</v>
      </c>
      <c r="I975" s="14"/>
      <c r="J975" s="14" t="s">
        <v>61</v>
      </c>
      <c r="K975" s="12" t="s">
        <v>1069</v>
      </c>
      <c r="L975" s="15">
        <v>1</v>
      </c>
      <c r="M975" s="12" t="s">
        <v>150</v>
      </c>
      <c r="N975" s="12">
        <v>1</v>
      </c>
      <c r="O975" s="12">
        <v>1</v>
      </c>
      <c r="P975" s="12">
        <v>0</v>
      </c>
      <c r="Q975" s="16">
        <v>1</v>
      </c>
      <c r="R975" s="16">
        <v>0</v>
      </c>
      <c r="S975" s="16"/>
      <c r="T975" s="16" t="e">
        <v>#N/A</v>
      </c>
      <c r="U975" s="16" t="e">
        <v>#N/A</v>
      </c>
    </row>
    <row r="976" spans="1:21" x14ac:dyDescent="0.25">
      <c r="A976" s="12" t="s">
        <v>21</v>
      </c>
      <c r="B976" s="12" t="s">
        <v>1021</v>
      </c>
      <c r="C976" s="12" t="s">
        <v>23</v>
      </c>
      <c r="D976" s="15">
        <v>46266.424675925926</v>
      </c>
      <c r="E976" s="12" t="s">
        <v>24</v>
      </c>
      <c r="F976" s="12" t="s">
        <v>1039</v>
      </c>
      <c r="G976" s="12">
        <v>3</v>
      </c>
      <c r="H976" s="12">
        <v>3</v>
      </c>
      <c r="I976" s="14"/>
      <c r="J976" s="14" t="s">
        <v>61</v>
      </c>
      <c r="K976" s="12" t="s">
        <v>1070</v>
      </c>
      <c r="L976" s="15">
        <v>1</v>
      </c>
      <c r="M976" s="12" t="s">
        <v>150</v>
      </c>
      <c r="N976" s="12">
        <v>3</v>
      </c>
      <c r="O976" s="12">
        <v>3</v>
      </c>
      <c r="P976" s="12">
        <v>0</v>
      </c>
      <c r="Q976" s="16">
        <v>3</v>
      </c>
      <c r="R976" s="16">
        <v>0</v>
      </c>
      <c r="S976" s="16"/>
      <c r="T976" s="16" t="e">
        <v>#N/A</v>
      </c>
      <c r="U976" s="16" t="e">
        <v>#N/A</v>
      </c>
    </row>
    <row r="977" spans="1:21" x14ac:dyDescent="0.25">
      <c r="A977" s="12" t="s">
        <v>21</v>
      </c>
      <c r="B977" s="12" t="s">
        <v>1021</v>
      </c>
      <c r="C977" s="12" t="s">
        <v>23</v>
      </c>
      <c r="D977" s="15">
        <v>46266.424675925926</v>
      </c>
      <c r="E977" s="12" t="s">
        <v>24</v>
      </c>
      <c r="F977" s="12" t="s">
        <v>1040</v>
      </c>
      <c r="G977" s="12">
        <v>3</v>
      </c>
      <c r="H977" s="12">
        <v>3</v>
      </c>
      <c r="I977" s="14"/>
      <c r="J977" s="14" t="s">
        <v>61</v>
      </c>
      <c r="K977" s="12" t="s">
        <v>1071</v>
      </c>
      <c r="L977" s="15">
        <v>1</v>
      </c>
      <c r="M977" s="12" t="s">
        <v>150</v>
      </c>
      <c r="N977" s="12">
        <v>3</v>
      </c>
      <c r="O977" s="12">
        <v>3</v>
      </c>
      <c r="P977" s="12">
        <v>0</v>
      </c>
      <c r="Q977" s="16">
        <v>3</v>
      </c>
      <c r="R977" s="16">
        <v>2</v>
      </c>
      <c r="S977" s="16"/>
      <c r="T977" s="16" t="e">
        <v>#N/A</v>
      </c>
      <c r="U977" s="16" t="e">
        <v>#N/A</v>
      </c>
    </row>
    <row r="978" spans="1:21" x14ac:dyDescent="0.25">
      <c r="A978" s="12" t="s">
        <v>21</v>
      </c>
      <c r="B978" s="12" t="s">
        <v>1021</v>
      </c>
      <c r="C978" s="12" t="s">
        <v>23</v>
      </c>
      <c r="D978" s="15">
        <v>46266.424675925926</v>
      </c>
      <c r="E978" s="12" t="s">
        <v>24</v>
      </c>
      <c r="F978" s="12" t="s">
        <v>1041</v>
      </c>
      <c r="G978" s="12">
        <v>18</v>
      </c>
      <c r="H978" s="12">
        <v>18</v>
      </c>
      <c r="I978" s="14"/>
      <c r="J978" s="14" t="s">
        <v>61</v>
      </c>
      <c r="K978" s="12" t="s">
        <v>1072</v>
      </c>
      <c r="L978" s="15">
        <v>1</v>
      </c>
      <c r="M978" s="12" t="s">
        <v>150</v>
      </c>
      <c r="N978" s="12">
        <v>18</v>
      </c>
      <c r="O978" s="12">
        <v>18</v>
      </c>
      <c r="P978" s="12">
        <v>0</v>
      </c>
      <c r="Q978" s="16">
        <v>18</v>
      </c>
      <c r="R978" s="16">
        <v>0</v>
      </c>
      <c r="S978" s="16"/>
      <c r="T978" s="16" t="e">
        <v>#N/A</v>
      </c>
      <c r="U978" s="16" t="e">
        <v>#N/A</v>
      </c>
    </row>
    <row r="979" spans="1:21" x14ac:dyDescent="0.25">
      <c r="A979" s="12" t="s">
        <v>21</v>
      </c>
      <c r="B979" s="12" t="s">
        <v>1021</v>
      </c>
      <c r="C979" s="12" t="s">
        <v>23</v>
      </c>
      <c r="D979" s="15">
        <v>46266.424675925926</v>
      </c>
      <c r="E979" s="12" t="s">
        <v>24</v>
      </c>
      <c r="F979" s="12" t="s">
        <v>1042</v>
      </c>
      <c r="G979" s="12">
        <v>33</v>
      </c>
      <c r="H979" s="12">
        <v>33</v>
      </c>
      <c r="I979" s="14"/>
      <c r="J979" s="14" t="s">
        <v>26</v>
      </c>
      <c r="K979" s="12" t="s">
        <v>27</v>
      </c>
      <c r="L979" s="15"/>
      <c r="M979" s="12" t="s">
        <v>28</v>
      </c>
      <c r="N979" s="12"/>
      <c r="O979" s="12"/>
      <c r="P979" s="12"/>
      <c r="Q979" s="16">
        <v>0</v>
      </c>
      <c r="R979" s="16">
        <v>0</v>
      </c>
      <c r="S979" s="16"/>
      <c r="T979" s="16" t="e">
        <v>#N/A</v>
      </c>
      <c r="U979" s="16" t="e">
        <v>#N/A</v>
      </c>
    </row>
    <row r="980" spans="1:21" x14ac:dyDescent="0.25">
      <c r="A980" s="12" t="s">
        <v>21</v>
      </c>
      <c r="B980" s="12" t="s">
        <v>1021</v>
      </c>
      <c r="C980" s="12" t="s">
        <v>23</v>
      </c>
      <c r="D980" s="15">
        <v>46266.424675925926</v>
      </c>
      <c r="E980" s="12" t="s">
        <v>24</v>
      </c>
      <c r="F980" s="12" t="s">
        <v>1043</v>
      </c>
      <c r="G980" s="12">
        <v>33</v>
      </c>
      <c r="H980" s="12">
        <v>33</v>
      </c>
      <c r="I980" s="14"/>
      <c r="J980" s="14" t="s">
        <v>61</v>
      </c>
      <c r="K980" s="12" t="s">
        <v>1073</v>
      </c>
      <c r="L980" s="15">
        <v>1</v>
      </c>
      <c r="M980" s="12" t="s">
        <v>150</v>
      </c>
      <c r="N980" s="12">
        <v>33</v>
      </c>
      <c r="O980" s="12">
        <v>33</v>
      </c>
      <c r="P980" s="12">
        <v>0</v>
      </c>
      <c r="Q980" s="16">
        <v>33</v>
      </c>
      <c r="R980" s="16">
        <v>0</v>
      </c>
      <c r="S980" s="16"/>
      <c r="T980" s="16" t="e">
        <v>#N/A</v>
      </c>
      <c r="U980" s="16" t="e">
        <v>#N/A</v>
      </c>
    </row>
    <row r="981" spans="1:21" x14ac:dyDescent="0.25">
      <c r="A981" s="12" t="s">
        <v>21</v>
      </c>
      <c r="B981" s="12" t="s">
        <v>1021</v>
      </c>
      <c r="C981" s="12" t="s">
        <v>23</v>
      </c>
      <c r="D981" s="15">
        <v>46266.424675925926</v>
      </c>
      <c r="E981" s="12" t="s">
        <v>24</v>
      </c>
      <c r="F981" s="12" t="s">
        <v>833</v>
      </c>
      <c r="G981" s="12">
        <v>8</v>
      </c>
      <c r="H981" s="12">
        <v>8</v>
      </c>
      <c r="I981" s="14"/>
      <c r="J981" s="14" t="s">
        <v>61</v>
      </c>
      <c r="K981" s="12" t="s">
        <v>1074</v>
      </c>
      <c r="L981" s="15">
        <v>1</v>
      </c>
      <c r="M981" s="12" t="s">
        <v>150</v>
      </c>
      <c r="N981" s="12">
        <v>8</v>
      </c>
      <c r="O981" s="12">
        <v>8</v>
      </c>
      <c r="P981" s="12">
        <v>0</v>
      </c>
      <c r="Q981" s="16">
        <v>8</v>
      </c>
      <c r="R981" s="16">
        <v>0</v>
      </c>
      <c r="S981" s="16"/>
      <c r="T981" s="16" t="e">
        <v>#N/A</v>
      </c>
      <c r="U981" s="16" t="e">
        <v>#N/A</v>
      </c>
    </row>
    <row r="982" spans="1:21" x14ac:dyDescent="0.25">
      <c r="A982" s="12" t="s">
        <v>21</v>
      </c>
      <c r="B982" s="12" t="s">
        <v>1021</v>
      </c>
      <c r="C982" s="12" t="s">
        <v>23</v>
      </c>
      <c r="D982" s="15">
        <v>46266.424675925926</v>
      </c>
      <c r="E982" s="12" t="s">
        <v>24</v>
      </c>
      <c r="F982" s="12" t="s">
        <v>1044</v>
      </c>
      <c r="G982" s="12">
        <v>3</v>
      </c>
      <c r="H982" s="12">
        <v>3</v>
      </c>
      <c r="I982" s="14"/>
      <c r="J982" s="14" t="s">
        <v>61</v>
      </c>
      <c r="K982" s="12" t="s">
        <v>1075</v>
      </c>
      <c r="L982" s="15">
        <v>1</v>
      </c>
      <c r="M982" s="12" t="s">
        <v>150</v>
      </c>
      <c r="N982" s="12">
        <v>3</v>
      </c>
      <c r="O982" s="12">
        <v>3</v>
      </c>
      <c r="P982" s="12">
        <v>0</v>
      </c>
      <c r="Q982" s="16">
        <v>3</v>
      </c>
      <c r="R982" s="16">
        <v>0</v>
      </c>
      <c r="S982" s="16"/>
      <c r="T982" s="16" t="e">
        <v>#N/A</v>
      </c>
      <c r="U982" s="16" t="e">
        <v>#N/A</v>
      </c>
    </row>
    <row r="983" spans="1:21" x14ac:dyDescent="0.25">
      <c r="A983" s="12" t="s">
        <v>21</v>
      </c>
      <c r="B983" s="12" t="s">
        <v>1021</v>
      </c>
      <c r="C983" s="12" t="s">
        <v>23</v>
      </c>
      <c r="D983" s="15">
        <v>46266.424675925926</v>
      </c>
      <c r="E983" s="12" t="s">
        <v>24</v>
      </c>
      <c r="F983" s="12" t="s">
        <v>1045</v>
      </c>
      <c r="G983" s="12">
        <v>14</v>
      </c>
      <c r="H983" s="12">
        <v>14</v>
      </c>
      <c r="I983" s="14"/>
      <c r="J983" s="14" t="s">
        <v>61</v>
      </c>
      <c r="K983" s="12" t="s">
        <v>1076</v>
      </c>
      <c r="L983" s="15">
        <v>1</v>
      </c>
      <c r="M983" s="12" t="s">
        <v>150</v>
      </c>
      <c r="N983" s="12">
        <v>14</v>
      </c>
      <c r="O983" s="12">
        <v>14</v>
      </c>
      <c r="P983" s="12">
        <v>0</v>
      </c>
      <c r="Q983" s="16">
        <v>14</v>
      </c>
      <c r="R983" s="16">
        <v>2</v>
      </c>
      <c r="S983" s="16"/>
      <c r="T983" s="16" t="e">
        <v>#N/A</v>
      </c>
      <c r="U983" s="16" t="e">
        <v>#N/A</v>
      </c>
    </row>
    <row r="984" spans="1:21" x14ac:dyDescent="0.25">
      <c r="A984" s="12" t="s">
        <v>21</v>
      </c>
      <c r="B984" s="12" t="s">
        <v>1021</v>
      </c>
      <c r="C984" s="12" t="s">
        <v>23</v>
      </c>
      <c r="D984" s="15">
        <v>46266.424675925926</v>
      </c>
      <c r="E984" s="12" t="s">
        <v>24</v>
      </c>
      <c r="F984" s="12" t="s">
        <v>1046</v>
      </c>
      <c r="G984" s="12">
        <v>5</v>
      </c>
      <c r="H984" s="12">
        <v>5</v>
      </c>
      <c r="I984" s="14"/>
      <c r="J984" s="14" t="s">
        <v>61</v>
      </c>
      <c r="K984" s="12" t="s">
        <v>1077</v>
      </c>
      <c r="L984" s="15">
        <v>1</v>
      </c>
      <c r="M984" s="12" t="s">
        <v>150</v>
      </c>
      <c r="N984" s="12">
        <v>5</v>
      </c>
      <c r="O984" s="12">
        <v>5</v>
      </c>
      <c r="P984" s="12">
        <v>0</v>
      </c>
      <c r="Q984" s="16">
        <v>5</v>
      </c>
      <c r="R984" s="16">
        <v>0</v>
      </c>
      <c r="S984" s="16"/>
      <c r="T984" s="16" t="e">
        <v>#N/A</v>
      </c>
      <c r="U984" s="16" t="e">
        <v>#N/A</v>
      </c>
    </row>
    <row r="985" spans="1:21" x14ac:dyDescent="0.25">
      <c r="A985" s="12" t="s">
        <v>21</v>
      </c>
      <c r="B985" s="12" t="s">
        <v>1021</v>
      </c>
      <c r="C985" s="12" t="s">
        <v>23</v>
      </c>
      <c r="D985" s="15">
        <v>46266.424675925926</v>
      </c>
      <c r="E985" s="12" t="s">
        <v>24</v>
      </c>
      <c r="F985" s="12" t="s">
        <v>1047</v>
      </c>
      <c r="G985" s="12">
        <v>6</v>
      </c>
      <c r="H985" s="12">
        <v>6</v>
      </c>
      <c r="I985" s="14"/>
      <c r="J985" s="14" t="s">
        <v>26</v>
      </c>
      <c r="K985" s="12" t="s">
        <v>27</v>
      </c>
      <c r="L985" s="15"/>
      <c r="M985" s="12" t="s">
        <v>28</v>
      </c>
      <c r="N985" s="12"/>
      <c r="O985" s="12"/>
      <c r="P985" s="12"/>
      <c r="Q985" s="16">
        <v>0</v>
      </c>
      <c r="R985" s="16">
        <v>0</v>
      </c>
      <c r="S985" s="16"/>
      <c r="T985" s="16" t="e">
        <v>#N/A</v>
      </c>
      <c r="U985" s="16" t="e">
        <v>#N/A</v>
      </c>
    </row>
    <row r="986" spans="1:21" x14ac:dyDescent="0.25">
      <c r="A986" s="12" t="s">
        <v>21</v>
      </c>
      <c r="B986" s="12" t="s">
        <v>1021</v>
      </c>
      <c r="C986" s="12" t="s">
        <v>23</v>
      </c>
      <c r="D986" s="15">
        <v>46266.424675925926</v>
      </c>
      <c r="E986" s="12" t="s">
        <v>24</v>
      </c>
      <c r="F986" s="12" t="s">
        <v>1048</v>
      </c>
      <c r="G986" s="12">
        <v>12</v>
      </c>
      <c r="H986" s="12">
        <v>12</v>
      </c>
      <c r="I986" s="14"/>
      <c r="J986" s="14" t="s">
        <v>61</v>
      </c>
      <c r="K986" s="12" t="s">
        <v>1078</v>
      </c>
      <c r="L986" s="15">
        <v>1</v>
      </c>
      <c r="M986" s="12" t="s">
        <v>150</v>
      </c>
      <c r="N986" s="12">
        <v>12</v>
      </c>
      <c r="O986" s="12">
        <v>12</v>
      </c>
      <c r="P986" s="12">
        <v>0</v>
      </c>
      <c r="Q986" s="16">
        <v>12</v>
      </c>
      <c r="R986" s="16">
        <v>0</v>
      </c>
      <c r="S986" s="16"/>
      <c r="T986" s="16" t="e">
        <v>#N/A</v>
      </c>
      <c r="U986" s="16" t="e">
        <v>#N/A</v>
      </c>
    </row>
    <row r="987" spans="1:21" x14ac:dyDescent="0.25">
      <c r="A987" s="12" t="s">
        <v>21</v>
      </c>
      <c r="B987" s="12" t="s">
        <v>1021</v>
      </c>
      <c r="C987" s="12" t="s">
        <v>23</v>
      </c>
      <c r="D987" s="15">
        <v>46266.424675925926</v>
      </c>
      <c r="E987" s="12" t="s">
        <v>24</v>
      </c>
      <c r="F987" s="12" t="s">
        <v>1049</v>
      </c>
      <c r="G987" s="12">
        <v>4</v>
      </c>
      <c r="H987" s="12">
        <v>4</v>
      </c>
      <c r="I987" s="14"/>
      <c r="J987" s="14" t="s">
        <v>61</v>
      </c>
      <c r="K987" s="12" t="s">
        <v>1079</v>
      </c>
      <c r="L987" s="15">
        <v>1</v>
      </c>
      <c r="M987" s="12" t="s">
        <v>150</v>
      </c>
      <c r="N987" s="12">
        <v>4</v>
      </c>
      <c r="O987" s="12">
        <v>4</v>
      </c>
      <c r="P987" s="12">
        <v>0</v>
      </c>
      <c r="Q987" s="16">
        <v>4</v>
      </c>
      <c r="R987" s="16">
        <v>0</v>
      </c>
      <c r="S987" s="16"/>
      <c r="T987" s="16" t="e">
        <v>#N/A</v>
      </c>
      <c r="U987" s="16" t="e">
        <v>#N/A</v>
      </c>
    </row>
    <row r="988" spans="1:21" x14ac:dyDescent="0.25">
      <c r="A988" s="12" t="s">
        <v>21</v>
      </c>
      <c r="B988" s="12" t="s">
        <v>1021</v>
      </c>
      <c r="C988" s="12" t="s">
        <v>23</v>
      </c>
      <c r="D988" s="15">
        <v>46266.424675925926</v>
      </c>
      <c r="E988" s="12" t="s">
        <v>24</v>
      </c>
      <c r="F988" s="12" t="s">
        <v>834</v>
      </c>
      <c r="G988" s="12">
        <v>16</v>
      </c>
      <c r="H988" s="12">
        <v>16</v>
      </c>
      <c r="I988" s="14"/>
      <c r="J988" s="14" t="s">
        <v>61</v>
      </c>
      <c r="K988" s="12" t="s">
        <v>1080</v>
      </c>
      <c r="L988" s="15">
        <v>1</v>
      </c>
      <c r="M988" s="12" t="s">
        <v>150</v>
      </c>
      <c r="N988" s="12">
        <v>16</v>
      </c>
      <c r="O988" s="12">
        <v>16</v>
      </c>
      <c r="P988" s="12">
        <v>0</v>
      </c>
      <c r="Q988" s="16">
        <v>16</v>
      </c>
      <c r="R988" s="16">
        <v>0</v>
      </c>
      <c r="S988" s="16"/>
      <c r="T988" s="16" t="e">
        <v>#N/A</v>
      </c>
      <c r="U988" s="16" t="e">
        <v>#N/A</v>
      </c>
    </row>
    <row r="989" spans="1:21" x14ac:dyDescent="0.25">
      <c r="A989" s="12" t="s">
        <v>21</v>
      </c>
      <c r="B989" s="12" t="s">
        <v>1021</v>
      </c>
      <c r="C989" s="12" t="s">
        <v>23</v>
      </c>
      <c r="D989" s="15">
        <v>46266.424675925926</v>
      </c>
      <c r="E989" s="12" t="s">
        <v>24</v>
      </c>
      <c r="F989" s="12" t="s">
        <v>1050</v>
      </c>
      <c r="G989" s="12">
        <v>14</v>
      </c>
      <c r="H989" s="12">
        <v>14</v>
      </c>
      <c r="I989" s="14"/>
      <c r="J989" s="14" t="s">
        <v>26</v>
      </c>
      <c r="K989" s="12" t="s">
        <v>27</v>
      </c>
      <c r="L989" s="15"/>
      <c r="M989" s="12" t="s">
        <v>28</v>
      </c>
      <c r="N989" s="12"/>
      <c r="O989" s="12"/>
      <c r="P989" s="12"/>
      <c r="Q989" s="16">
        <v>0</v>
      </c>
      <c r="R989" s="16">
        <v>0</v>
      </c>
      <c r="S989" s="16">
        <v>3</v>
      </c>
      <c r="T989" s="16" t="e">
        <v>#N/A</v>
      </c>
      <c r="U989" s="16" t="e">
        <v>#N/A</v>
      </c>
    </row>
    <row r="990" spans="1:21" x14ac:dyDescent="0.25">
      <c r="A990" s="12" t="s">
        <v>21</v>
      </c>
      <c r="B990" s="12" t="s">
        <v>1021</v>
      </c>
      <c r="C990" s="12" t="s">
        <v>23</v>
      </c>
      <c r="D990" s="15">
        <v>46266.424675925926</v>
      </c>
      <c r="E990" s="12" t="s">
        <v>24</v>
      </c>
      <c r="F990" s="12" t="s">
        <v>1051</v>
      </c>
      <c r="G990" s="12">
        <v>14</v>
      </c>
      <c r="H990" s="12">
        <v>14</v>
      </c>
      <c r="I990" s="14"/>
      <c r="J990" s="14" t="s">
        <v>61</v>
      </c>
      <c r="K990" s="12" t="s">
        <v>1081</v>
      </c>
      <c r="L990" s="15">
        <v>1</v>
      </c>
      <c r="M990" s="12" t="s">
        <v>150</v>
      </c>
      <c r="N990" s="12">
        <v>14</v>
      </c>
      <c r="O990" s="12">
        <v>14</v>
      </c>
      <c r="P990" s="12">
        <v>0</v>
      </c>
      <c r="Q990" s="16">
        <v>14</v>
      </c>
      <c r="R990" s="16">
        <v>0</v>
      </c>
      <c r="S990" s="16"/>
      <c r="T990" s="16" t="e">
        <v>#N/A</v>
      </c>
      <c r="U990" s="16" t="e">
        <v>#N/A</v>
      </c>
    </row>
    <row r="991" spans="1:21" x14ac:dyDescent="0.25">
      <c r="A991" s="12" t="s">
        <v>21</v>
      </c>
      <c r="B991" s="12" t="s">
        <v>1082</v>
      </c>
      <c r="C991" s="12" t="s">
        <v>23</v>
      </c>
      <c r="D991" s="15">
        <v>46266.490532407406</v>
      </c>
      <c r="E991" s="12" t="s">
        <v>505</v>
      </c>
      <c r="F991" s="12" t="s">
        <v>243</v>
      </c>
      <c r="G991" s="12">
        <v>24</v>
      </c>
      <c r="H991" s="12">
        <v>24</v>
      </c>
      <c r="I991" s="14"/>
      <c r="J991" s="14" t="s">
        <v>61</v>
      </c>
      <c r="K991" s="12" t="s">
        <v>1083</v>
      </c>
      <c r="L991" s="15">
        <v>1</v>
      </c>
      <c r="M991" s="12" t="s">
        <v>150</v>
      </c>
      <c r="N991" s="12">
        <v>24</v>
      </c>
      <c r="O991" s="12">
        <v>24</v>
      </c>
      <c r="P991" s="12">
        <v>0</v>
      </c>
      <c r="Q991" s="16">
        <v>40</v>
      </c>
      <c r="R991" s="16">
        <v>1</v>
      </c>
      <c r="S991" s="16"/>
      <c r="T991" s="16" t="e">
        <v>#N/A</v>
      </c>
      <c r="U991" s="16" t="e">
        <v>#N/A</v>
      </c>
    </row>
    <row r="992" spans="1:21" x14ac:dyDescent="0.25">
      <c r="A992" s="12" t="s">
        <v>21</v>
      </c>
      <c r="B992" s="12" t="s">
        <v>1082</v>
      </c>
      <c r="C992" s="12" t="s">
        <v>23</v>
      </c>
      <c r="D992" s="15">
        <v>46266.490532407406</v>
      </c>
      <c r="E992" s="12" t="s">
        <v>505</v>
      </c>
      <c r="F992" s="12" t="s">
        <v>158</v>
      </c>
      <c r="G992" s="12">
        <v>20</v>
      </c>
      <c r="H992" s="12">
        <v>20</v>
      </c>
      <c r="I992" s="14"/>
      <c r="J992" s="14" t="s">
        <v>61</v>
      </c>
      <c r="K992" s="12" t="s">
        <v>27</v>
      </c>
      <c r="L992" s="15"/>
      <c r="M992" s="12" t="s">
        <v>28</v>
      </c>
      <c r="N992" s="12"/>
      <c r="O992" s="12"/>
      <c r="P992" s="12"/>
      <c r="Q992" s="16">
        <v>40</v>
      </c>
      <c r="R992" s="16">
        <v>0</v>
      </c>
      <c r="S992" s="16"/>
      <c r="T992" s="16" t="e">
        <v>#N/A</v>
      </c>
      <c r="U992" s="16" t="e">
        <v>#N/A</v>
      </c>
    </row>
    <row r="993" spans="1:21" x14ac:dyDescent="0.25">
      <c r="A993" s="12" t="s">
        <v>21</v>
      </c>
      <c r="B993" s="12" t="s">
        <v>1082</v>
      </c>
      <c r="C993" s="12" t="s">
        <v>23</v>
      </c>
      <c r="D993" s="15">
        <v>46266.490532407406</v>
      </c>
      <c r="E993" s="12" t="s">
        <v>505</v>
      </c>
      <c r="F993" s="12" t="s">
        <v>289</v>
      </c>
      <c r="G993" s="12">
        <v>8</v>
      </c>
      <c r="H993" s="12">
        <v>8</v>
      </c>
      <c r="I993" s="14"/>
      <c r="J993" s="14" t="s">
        <v>61</v>
      </c>
      <c r="K993" s="12" t="s">
        <v>1084</v>
      </c>
      <c r="L993" s="15">
        <v>1</v>
      </c>
      <c r="M993" s="12" t="s">
        <v>150</v>
      </c>
      <c r="N993" s="12">
        <v>8</v>
      </c>
      <c r="O993" s="12">
        <v>8</v>
      </c>
      <c r="P993" s="12">
        <v>0</v>
      </c>
      <c r="Q993" s="16">
        <v>40</v>
      </c>
      <c r="R993" s="16">
        <v>0</v>
      </c>
      <c r="S993" s="16"/>
      <c r="T993" s="16" t="e">
        <v>#N/A</v>
      </c>
      <c r="U993" s="16" t="e">
        <v>#N/A</v>
      </c>
    </row>
    <row r="994" spans="1:21" x14ac:dyDescent="0.25">
      <c r="A994" s="12" t="s">
        <v>21</v>
      </c>
      <c r="B994" s="12" t="s">
        <v>1082</v>
      </c>
      <c r="C994" s="12" t="s">
        <v>23</v>
      </c>
      <c r="D994" s="15">
        <v>46266.490532407406</v>
      </c>
      <c r="E994" s="12" t="s">
        <v>505</v>
      </c>
      <c r="F994" s="12" t="s">
        <v>553</v>
      </c>
      <c r="G994" s="12">
        <v>16</v>
      </c>
      <c r="H994" s="12">
        <v>16</v>
      </c>
      <c r="I994" s="14"/>
      <c r="J994" s="14" t="s">
        <v>61</v>
      </c>
      <c r="K994" s="12" t="s">
        <v>1085</v>
      </c>
      <c r="L994" s="15">
        <v>1</v>
      </c>
      <c r="M994" s="12" t="s">
        <v>150</v>
      </c>
      <c r="N994" s="12">
        <v>16</v>
      </c>
      <c r="O994" s="12">
        <v>16</v>
      </c>
      <c r="P994" s="12">
        <v>0</v>
      </c>
      <c r="Q994" s="16">
        <v>44</v>
      </c>
      <c r="R994" s="16">
        <v>2</v>
      </c>
      <c r="S994" s="16"/>
      <c r="T994" s="16" t="e">
        <v>#N/A</v>
      </c>
      <c r="U994" s="16" t="e">
        <v>#N/A</v>
      </c>
    </row>
    <row r="995" spans="1:21" x14ac:dyDescent="0.25">
      <c r="A995" s="12" t="s">
        <v>21</v>
      </c>
      <c r="B995" s="12" t="s">
        <v>1082</v>
      </c>
      <c r="C995" s="12" t="s">
        <v>23</v>
      </c>
      <c r="D995" s="15">
        <v>46266.490532407406</v>
      </c>
      <c r="E995" s="12" t="s">
        <v>505</v>
      </c>
      <c r="F995" s="12" t="s">
        <v>442</v>
      </c>
      <c r="G995" s="12">
        <v>30</v>
      </c>
      <c r="H995" s="12">
        <v>30</v>
      </c>
      <c r="I995" s="14"/>
      <c r="J995" s="14" t="s">
        <v>61</v>
      </c>
      <c r="K995" s="12" t="s">
        <v>1086</v>
      </c>
      <c r="L995" s="15">
        <v>1</v>
      </c>
      <c r="M995" s="12" t="s">
        <v>150</v>
      </c>
      <c r="N995" s="12">
        <v>30</v>
      </c>
      <c r="O995" s="12">
        <v>30</v>
      </c>
      <c r="P995" s="12">
        <v>0</v>
      </c>
      <c r="Q995" s="16">
        <v>30</v>
      </c>
      <c r="R995" s="16">
        <v>0</v>
      </c>
      <c r="S995" s="16"/>
      <c r="T995" s="16" t="e">
        <v>#N/A</v>
      </c>
      <c r="U995" s="16" t="e">
        <v>#N/A</v>
      </c>
    </row>
    <row r="996" spans="1:21" x14ac:dyDescent="0.25">
      <c r="A996" s="12" t="s">
        <v>21</v>
      </c>
      <c r="B996" s="12" t="s">
        <v>1082</v>
      </c>
      <c r="C996" s="12" t="s">
        <v>23</v>
      </c>
      <c r="D996" s="15">
        <v>46266.490532407406</v>
      </c>
      <c r="E996" s="12" t="s">
        <v>505</v>
      </c>
      <c r="F996" s="12" t="s">
        <v>71</v>
      </c>
      <c r="G996" s="12">
        <v>50</v>
      </c>
      <c r="H996" s="12">
        <v>28</v>
      </c>
      <c r="I996" s="14"/>
      <c r="J996" s="14" t="s">
        <v>61</v>
      </c>
      <c r="K996" s="12" t="s">
        <v>27</v>
      </c>
      <c r="L996" s="15"/>
      <c r="M996" s="12" t="s">
        <v>28</v>
      </c>
      <c r="N996" s="12"/>
      <c r="O996" s="12"/>
      <c r="P996" s="12"/>
      <c r="Q996" s="16">
        <v>30</v>
      </c>
      <c r="R996" s="16">
        <v>0</v>
      </c>
      <c r="S996" s="16"/>
      <c r="T996" s="16" t="e">
        <v>#N/A</v>
      </c>
      <c r="U996" s="16" t="e">
        <v>#N/A</v>
      </c>
    </row>
    <row r="997" spans="1:21" x14ac:dyDescent="0.25">
      <c r="A997" s="12" t="s">
        <v>21</v>
      </c>
      <c r="B997" s="12" t="s">
        <v>1082</v>
      </c>
      <c r="C997" s="12" t="s">
        <v>23</v>
      </c>
      <c r="D997" s="15">
        <v>46266.490532407406</v>
      </c>
      <c r="E997" s="12" t="s">
        <v>505</v>
      </c>
      <c r="F997" s="12" t="s">
        <v>283</v>
      </c>
      <c r="G997" s="12">
        <v>40</v>
      </c>
      <c r="H997" s="12">
        <v>40</v>
      </c>
      <c r="I997" s="14"/>
      <c r="J997" s="14" t="s">
        <v>61</v>
      </c>
      <c r="K997" s="12" t="s">
        <v>1087</v>
      </c>
      <c r="L997" s="15">
        <v>1</v>
      </c>
      <c r="M997" s="12" t="s">
        <v>150</v>
      </c>
      <c r="N997" s="12">
        <v>40</v>
      </c>
      <c r="O997" s="12">
        <v>40</v>
      </c>
      <c r="P997" s="12">
        <v>0</v>
      </c>
      <c r="Q997" s="16">
        <v>68</v>
      </c>
      <c r="R997" s="16">
        <v>0</v>
      </c>
      <c r="S997" s="16"/>
      <c r="T997" s="16" t="e">
        <v>#N/A</v>
      </c>
      <c r="U997" s="16" t="e">
        <v>#N/A</v>
      </c>
    </row>
    <row r="998" spans="1:21" x14ac:dyDescent="0.25">
      <c r="A998" s="12" t="s">
        <v>21</v>
      </c>
      <c r="B998" s="12" t="s">
        <v>1082</v>
      </c>
      <c r="C998" s="12" t="s">
        <v>23</v>
      </c>
      <c r="D998" s="15">
        <v>46266.490532407406</v>
      </c>
      <c r="E998" s="12" t="s">
        <v>505</v>
      </c>
      <c r="F998" s="12" t="s">
        <v>525</v>
      </c>
      <c r="G998" s="12">
        <v>28</v>
      </c>
      <c r="H998" s="12">
        <v>28</v>
      </c>
      <c r="I998" s="14"/>
      <c r="J998" s="14" t="s">
        <v>61</v>
      </c>
      <c r="K998" s="12" t="s">
        <v>27</v>
      </c>
      <c r="L998" s="15"/>
      <c r="M998" s="12" t="s">
        <v>28</v>
      </c>
      <c r="N998" s="12"/>
      <c r="O998" s="12"/>
      <c r="P998" s="12"/>
      <c r="Q998" s="16">
        <v>44</v>
      </c>
      <c r="R998" s="16">
        <v>0</v>
      </c>
      <c r="S998" s="16"/>
      <c r="T998" s="16" t="e">
        <v>#N/A</v>
      </c>
      <c r="U998" s="16" t="e">
        <v>#N/A</v>
      </c>
    </row>
    <row r="999" spans="1:21" x14ac:dyDescent="0.25">
      <c r="A999" s="12" t="s">
        <v>21</v>
      </c>
      <c r="B999" s="12" t="s">
        <v>1082</v>
      </c>
      <c r="C999" s="12" t="s">
        <v>23</v>
      </c>
      <c r="D999" s="15">
        <v>46266.490532407406</v>
      </c>
      <c r="E999" s="12" t="s">
        <v>505</v>
      </c>
      <c r="F999" s="12" t="s">
        <v>1088</v>
      </c>
      <c r="G999" s="12">
        <v>16</v>
      </c>
      <c r="H999" s="12">
        <v>16</v>
      </c>
      <c r="I999" s="14"/>
      <c r="J999" s="14" t="s">
        <v>61</v>
      </c>
      <c r="K999" s="12" t="s">
        <v>1089</v>
      </c>
      <c r="L999" s="15">
        <v>1</v>
      </c>
      <c r="M999" s="12" t="s">
        <v>150</v>
      </c>
      <c r="N999" s="12">
        <v>16</v>
      </c>
      <c r="O999" s="12">
        <v>16</v>
      </c>
      <c r="P999" s="12">
        <v>0</v>
      </c>
      <c r="Q999" s="16">
        <v>68</v>
      </c>
      <c r="R999" s="16">
        <v>8</v>
      </c>
      <c r="S999" s="16"/>
      <c r="T999" s="16" t="e">
        <v>#N/A</v>
      </c>
      <c r="U999" s="16" t="e">
        <v>#N/A</v>
      </c>
    </row>
    <row r="1000" spans="1:21" x14ac:dyDescent="0.25">
      <c r="A1000" s="12" t="s">
        <v>21</v>
      </c>
      <c r="B1000" s="12" t="s">
        <v>1082</v>
      </c>
      <c r="C1000" s="12" t="s">
        <v>23</v>
      </c>
      <c r="D1000" s="15">
        <v>46266.490532407406</v>
      </c>
      <c r="E1000" s="12" t="s">
        <v>505</v>
      </c>
      <c r="F1000" s="12" t="s">
        <v>268</v>
      </c>
      <c r="G1000" s="12">
        <v>10</v>
      </c>
      <c r="H1000" s="12">
        <v>1</v>
      </c>
      <c r="I1000" s="14"/>
      <c r="J1000" s="14" t="s">
        <v>61</v>
      </c>
      <c r="K1000" s="12" t="s">
        <v>27</v>
      </c>
      <c r="L1000" s="15"/>
      <c r="M1000" s="12" t="s">
        <v>28</v>
      </c>
      <c r="N1000" s="12"/>
      <c r="O1000" s="12"/>
      <c r="P1000" s="12"/>
      <c r="Q1000" s="16">
        <v>12</v>
      </c>
      <c r="R1000" s="16">
        <v>0</v>
      </c>
      <c r="S1000" s="16"/>
      <c r="T1000" s="16" t="e">
        <v>#N/A</v>
      </c>
      <c r="U1000" s="16" t="e">
        <v>#N/A</v>
      </c>
    </row>
    <row r="1001" spans="1:21" x14ac:dyDescent="0.25">
      <c r="A1001" s="12" t="s">
        <v>21</v>
      </c>
      <c r="B1001" s="12" t="s">
        <v>1082</v>
      </c>
      <c r="C1001" s="12" t="s">
        <v>23</v>
      </c>
      <c r="D1001" s="15">
        <v>46266.490532407406</v>
      </c>
      <c r="E1001" s="12" t="s">
        <v>505</v>
      </c>
      <c r="F1001" s="12" t="s">
        <v>479</v>
      </c>
      <c r="G1001" s="12">
        <v>8</v>
      </c>
      <c r="H1001" s="12">
        <v>8</v>
      </c>
      <c r="I1001" s="14"/>
      <c r="J1001" s="14" t="s">
        <v>61</v>
      </c>
      <c r="K1001" s="12" t="s">
        <v>1092</v>
      </c>
      <c r="L1001" s="15">
        <v>1</v>
      </c>
      <c r="M1001" s="12" t="s">
        <v>150</v>
      </c>
      <c r="N1001" s="12">
        <v>8</v>
      </c>
      <c r="O1001" s="12">
        <v>8</v>
      </c>
      <c r="P1001" s="12">
        <v>0</v>
      </c>
      <c r="Q1001" s="16">
        <v>12</v>
      </c>
      <c r="R1001" s="16">
        <v>0</v>
      </c>
      <c r="S1001" s="16"/>
      <c r="T1001" s="16" t="e">
        <v>#N/A</v>
      </c>
      <c r="U1001" s="16" t="e">
        <v>#N/A</v>
      </c>
    </row>
    <row r="1002" spans="1:21" x14ac:dyDescent="0.25">
      <c r="A1002" s="12" t="s">
        <v>21</v>
      </c>
      <c r="B1002" s="12" t="s">
        <v>1082</v>
      </c>
      <c r="C1002" s="12" t="s">
        <v>23</v>
      </c>
      <c r="D1002" s="15">
        <v>46266.490532407406</v>
      </c>
      <c r="E1002" s="12" t="s">
        <v>505</v>
      </c>
      <c r="F1002" s="12" t="s">
        <v>1090</v>
      </c>
      <c r="G1002" s="12">
        <v>8</v>
      </c>
      <c r="H1002" s="12">
        <v>8</v>
      </c>
      <c r="I1002" s="14"/>
      <c r="J1002" s="14" t="s">
        <v>61</v>
      </c>
      <c r="K1002" s="12" t="s">
        <v>1093</v>
      </c>
      <c r="L1002" s="15">
        <v>1</v>
      </c>
      <c r="M1002" s="12" t="s">
        <v>150</v>
      </c>
      <c r="N1002" s="12">
        <v>8</v>
      </c>
      <c r="O1002" s="12">
        <v>8</v>
      </c>
      <c r="P1002" s="12">
        <v>0</v>
      </c>
      <c r="Q1002" s="16">
        <v>24</v>
      </c>
      <c r="R1002" s="16">
        <v>0</v>
      </c>
      <c r="S1002" s="16"/>
      <c r="T1002" s="16" t="e">
        <v>#N/A</v>
      </c>
      <c r="U1002" s="16" t="e">
        <v>#N/A</v>
      </c>
    </row>
    <row r="1003" spans="1:21" x14ac:dyDescent="0.25">
      <c r="A1003" s="12" t="s">
        <v>21</v>
      </c>
      <c r="B1003" s="12" t="s">
        <v>1082</v>
      </c>
      <c r="C1003" s="12" t="s">
        <v>23</v>
      </c>
      <c r="D1003" s="15">
        <v>46266.490532407406</v>
      </c>
      <c r="E1003" s="12" t="s">
        <v>505</v>
      </c>
      <c r="F1003" s="12" t="s">
        <v>401</v>
      </c>
      <c r="G1003" s="12">
        <v>16</v>
      </c>
      <c r="H1003" s="12">
        <v>16</v>
      </c>
      <c r="I1003" s="14"/>
      <c r="J1003" s="14" t="s">
        <v>61</v>
      </c>
      <c r="K1003" s="12" t="s">
        <v>27</v>
      </c>
      <c r="L1003" s="15"/>
      <c r="M1003" s="12" t="s">
        <v>28</v>
      </c>
      <c r="N1003" s="12"/>
      <c r="O1003" s="12"/>
      <c r="P1003" s="12"/>
      <c r="Q1003" s="16">
        <v>24</v>
      </c>
      <c r="R1003" s="16">
        <v>0</v>
      </c>
      <c r="S1003" s="16"/>
      <c r="T1003" s="16" t="e">
        <v>#N/A</v>
      </c>
      <c r="U1003" s="16" t="e">
        <v>#N/A</v>
      </c>
    </row>
    <row r="1004" spans="1:21" x14ac:dyDescent="0.25">
      <c r="A1004" s="12" t="s">
        <v>21</v>
      </c>
      <c r="B1004" s="12" t="s">
        <v>1082</v>
      </c>
      <c r="C1004" s="12" t="s">
        <v>23</v>
      </c>
      <c r="D1004" s="15">
        <v>46266.490532407406</v>
      </c>
      <c r="E1004" s="12" t="s">
        <v>505</v>
      </c>
      <c r="F1004" s="12" t="s">
        <v>1091</v>
      </c>
      <c r="G1004" s="12">
        <v>16</v>
      </c>
      <c r="H1004" s="12">
        <v>16</v>
      </c>
      <c r="I1004" s="14"/>
      <c r="J1004" s="14" t="s">
        <v>61</v>
      </c>
      <c r="K1004" s="12" t="s">
        <v>1094</v>
      </c>
      <c r="L1004" s="15">
        <v>1</v>
      </c>
      <c r="M1004" s="12" t="s">
        <v>150</v>
      </c>
      <c r="N1004" s="12">
        <v>16</v>
      </c>
      <c r="O1004" s="12">
        <v>16</v>
      </c>
      <c r="P1004" s="12">
        <v>0</v>
      </c>
      <c r="Q1004" s="16">
        <v>16</v>
      </c>
      <c r="R1004" s="16">
        <v>1</v>
      </c>
      <c r="S1004" s="16"/>
      <c r="T1004" s="16" t="e">
        <v>#N/A</v>
      </c>
      <c r="U1004" s="16" t="e">
        <v>#N/A</v>
      </c>
    </row>
    <row r="1005" spans="1:21" x14ac:dyDescent="0.25">
      <c r="A1005" s="12" t="s">
        <v>21</v>
      </c>
      <c r="B1005" s="12" t="s">
        <v>1082</v>
      </c>
      <c r="C1005" s="12" t="s">
        <v>23</v>
      </c>
      <c r="D1005" s="15">
        <v>46266.490532407406</v>
      </c>
      <c r="E1005" s="12" t="s">
        <v>505</v>
      </c>
      <c r="F1005" s="12" t="s">
        <v>320</v>
      </c>
      <c r="G1005" s="12">
        <v>100</v>
      </c>
      <c r="H1005" s="12">
        <v>100</v>
      </c>
      <c r="I1005" s="14"/>
      <c r="J1005" s="14" t="s">
        <v>26</v>
      </c>
      <c r="K1005" s="12" t="s">
        <v>27</v>
      </c>
      <c r="L1005" s="15"/>
      <c r="M1005" s="12" t="s">
        <v>28</v>
      </c>
      <c r="N1005" s="12"/>
      <c r="O1005" s="12"/>
      <c r="P1005" s="12"/>
      <c r="Q1005" s="16">
        <v>0</v>
      </c>
      <c r="R1005" s="16">
        <v>1</v>
      </c>
      <c r="S1005" s="16"/>
      <c r="T1005" s="16" t="e">
        <v>#N/A</v>
      </c>
      <c r="U1005" s="16" t="e">
        <v>#N/A</v>
      </c>
    </row>
    <row r="1006" spans="1:21" x14ac:dyDescent="0.25">
      <c r="A1006" s="12" t="s">
        <v>21</v>
      </c>
      <c r="B1006" s="12" t="s">
        <v>1082</v>
      </c>
      <c r="C1006" s="12" t="s">
        <v>23</v>
      </c>
      <c r="D1006" s="15">
        <v>46266.490532407406</v>
      </c>
      <c r="E1006" s="12" t="s">
        <v>505</v>
      </c>
      <c r="F1006" s="12" t="s">
        <v>573</v>
      </c>
      <c r="G1006" s="12">
        <v>30</v>
      </c>
      <c r="H1006" s="12">
        <v>30</v>
      </c>
      <c r="I1006" s="14"/>
      <c r="J1006" s="14" t="s">
        <v>61</v>
      </c>
      <c r="K1006" s="12" t="s">
        <v>27</v>
      </c>
      <c r="L1006" s="15"/>
      <c r="M1006" s="12" t="s">
        <v>28</v>
      </c>
      <c r="N1006" s="12"/>
      <c r="O1006" s="12"/>
      <c r="P1006" s="12"/>
      <c r="Q1006" s="16">
        <v>30</v>
      </c>
      <c r="R1006" s="16">
        <v>4</v>
      </c>
      <c r="S1006" s="16"/>
      <c r="T1006" s="16" t="e">
        <v>#N/A</v>
      </c>
      <c r="U1006" s="16" t="e">
        <v>#N/A</v>
      </c>
    </row>
    <row r="1007" spans="1:21" x14ac:dyDescent="0.25">
      <c r="A1007" s="12" t="s">
        <v>21</v>
      </c>
      <c r="B1007" s="12" t="s">
        <v>1095</v>
      </c>
      <c r="C1007" s="12" t="s">
        <v>23</v>
      </c>
      <c r="D1007" s="15">
        <v>46266.555497685185</v>
      </c>
      <c r="E1007" s="12" t="s">
        <v>24</v>
      </c>
      <c r="F1007" s="12" t="s">
        <v>924</v>
      </c>
      <c r="G1007" s="12">
        <v>12</v>
      </c>
      <c r="H1007" s="12">
        <v>12</v>
      </c>
      <c r="I1007" s="14"/>
      <c r="J1007" s="14" t="s">
        <v>26</v>
      </c>
      <c r="K1007" s="12" t="s">
        <v>27</v>
      </c>
      <c r="L1007" s="15"/>
      <c r="M1007" s="12" t="s">
        <v>28</v>
      </c>
      <c r="N1007" s="12"/>
      <c r="O1007" s="12"/>
      <c r="P1007" s="12"/>
      <c r="Q1007" s="16">
        <v>0</v>
      </c>
      <c r="R1007" s="16">
        <v>0</v>
      </c>
      <c r="S1007" s="16"/>
      <c r="T1007" s="16" t="e">
        <v>#N/A</v>
      </c>
      <c r="U1007" s="16" t="e">
        <v>#N/A</v>
      </c>
    </row>
    <row r="1008" spans="1:21" x14ac:dyDescent="0.25">
      <c r="A1008" s="12" t="s">
        <v>21</v>
      </c>
      <c r="B1008" s="12" t="s">
        <v>1095</v>
      </c>
      <c r="C1008" s="12" t="s">
        <v>23</v>
      </c>
      <c r="D1008" s="15">
        <v>46266.555497685185</v>
      </c>
      <c r="E1008" s="12" t="s">
        <v>24</v>
      </c>
      <c r="F1008" s="12" t="s">
        <v>525</v>
      </c>
      <c r="G1008" s="12">
        <v>6</v>
      </c>
      <c r="H1008" s="12">
        <v>6</v>
      </c>
      <c r="I1008" s="14"/>
      <c r="J1008" s="14" t="s">
        <v>26</v>
      </c>
      <c r="K1008" s="12" t="s">
        <v>27</v>
      </c>
      <c r="L1008" s="15"/>
      <c r="M1008" s="12" t="s">
        <v>28</v>
      </c>
      <c r="N1008" s="12"/>
      <c r="O1008" s="12"/>
      <c r="P1008" s="12"/>
      <c r="Q1008" s="16">
        <v>0</v>
      </c>
      <c r="R1008" s="16">
        <v>0</v>
      </c>
      <c r="S1008" s="16"/>
      <c r="T1008" s="16" t="e">
        <v>#N/A</v>
      </c>
      <c r="U1008" s="16" t="e">
        <v>#N/A</v>
      </c>
    </row>
    <row r="1009" spans="1:21" x14ac:dyDescent="0.25">
      <c r="A1009" s="12" t="s">
        <v>21</v>
      </c>
      <c r="B1009" s="12" t="s">
        <v>1095</v>
      </c>
      <c r="C1009" s="12" t="s">
        <v>23</v>
      </c>
      <c r="D1009" s="15">
        <v>46266.555497685185</v>
      </c>
      <c r="E1009" s="12" t="s">
        <v>24</v>
      </c>
      <c r="F1009" s="12" t="s">
        <v>259</v>
      </c>
      <c r="G1009" s="12">
        <v>10</v>
      </c>
      <c r="H1009" s="12">
        <v>10</v>
      </c>
      <c r="I1009" s="14"/>
      <c r="J1009" s="14" t="s">
        <v>26</v>
      </c>
      <c r="K1009" s="12" t="s">
        <v>27</v>
      </c>
      <c r="L1009" s="15"/>
      <c r="M1009" s="12" t="s">
        <v>28</v>
      </c>
      <c r="N1009" s="12"/>
      <c r="O1009" s="12"/>
      <c r="P1009" s="12"/>
      <c r="Q1009" s="16">
        <v>0</v>
      </c>
      <c r="R1009" s="16">
        <v>4</v>
      </c>
      <c r="S1009" s="16">
        <v>6</v>
      </c>
      <c r="T1009" s="16" t="e">
        <v>#N/A</v>
      </c>
      <c r="U1009" s="16" t="e">
        <v>#N/A</v>
      </c>
    </row>
    <row r="1010" spans="1:21" x14ac:dyDescent="0.25">
      <c r="A1010" s="12" t="s">
        <v>21</v>
      </c>
      <c r="B1010" s="12" t="s">
        <v>1095</v>
      </c>
      <c r="C1010" s="12" t="s">
        <v>23</v>
      </c>
      <c r="D1010" s="15">
        <v>46266.555497685185</v>
      </c>
      <c r="E1010" s="12" t="s">
        <v>24</v>
      </c>
      <c r="F1010" s="12" t="s">
        <v>1096</v>
      </c>
      <c r="G1010" s="12">
        <v>20</v>
      </c>
      <c r="H1010" s="12">
        <v>20</v>
      </c>
      <c r="I1010" s="14"/>
      <c r="J1010" s="14" t="s">
        <v>61</v>
      </c>
      <c r="K1010" s="12" t="s">
        <v>1097</v>
      </c>
      <c r="L1010" s="15">
        <v>1</v>
      </c>
      <c r="M1010" s="12" t="s">
        <v>150</v>
      </c>
      <c r="N1010" s="12">
        <v>20</v>
      </c>
      <c r="O1010" s="12">
        <v>20</v>
      </c>
      <c r="P1010" s="12">
        <v>0</v>
      </c>
      <c r="Q1010" s="16">
        <v>20</v>
      </c>
      <c r="R1010" s="16">
        <v>0</v>
      </c>
      <c r="S1010" s="16"/>
      <c r="T1010" s="16" t="e">
        <v>#N/A</v>
      </c>
      <c r="U1010" s="16" t="e">
        <v>#N/A</v>
      </c>
    </row>
    <row r="1011" spans="1:21" x14ac:dyDescent="0.25">
      <c r="A1011" s="12" t="s">
        <v>21</v>
      </c>
      <c r="B1011" s="12" t="s">
        <v>1098</v>
      </c>
      <c r="C1011" s="12" t="s">
        <v>23</v>
      </c>
      <c r="D1011" s="15">
        <v>46266.575185185182</v>
      </c>
      <c r="E1011" s="12" t="s">
        <v>24</v>
      </c>
      <c r="F1011" s="12" t="s">
        <v>42</v>
      </c>
      <c r="G1011" s="12">
        <v>2</v>
      </c>
      <c r="H1011" s="12">
        <v>2</v>
      </c>
      <c r="I1011" s="14"/>
      <c r="J1011" s="14" t="s">
        <v>26</v>
      </c>
      <c r="K1011" s="12" t="s">
        <v>27</v>
      </c>
      <c r="L1011" s="15"/>
      <c r="M1011" s="12" t="s">
        <v>28</v>
      </c>
      <c r="N1011" s="12"/>
      <c r="O1011" s="12"/>
      <c r="P1011" s="12"/>
      <c r="Q1011" s="16">
        <v>0</v>
      </c>
      <c r="R1011" s="16">
        <v>0</v>
      </c>
      <c r="S1011" s="16"/>
      <c r="T1011" s="16" t="e">
        <v>#N/A</v>
      </c>
      <c r="U1011" s="16" t="e">
        <v>#N/A</v>
      </c>
    </row>
    <row r="1012" spans="1:21" x14ac:dyDescent="0.25">
      <c r="A1012" s="12" t="s">
        <v>21</v>
      </c>
      <c r="B1012" s="12" t="s">
        <v>1098</v>
      </c>
      <c r="C1012" s="12" t="s">
        <v>23</v>
      </c>
      <c r="D1012" s="15">
        <v>46266.575185185182</v>
      </c>
      <c r="E1012" s="12" t="s">
        <v>24</v>
      </c>
      <c r="F1012" s="12" t="s">
        <v>145</v>
      </c>
      <c r="G1012" s="12">
        <v>16</v>
      </c>
      <c r="H1012" s="12">
        <v>16</v>
      </c>
      <c r="I1012" s="14"/>
      <c r="J1012" s="14" t="s">
        <v>26</v>
      </c>
      <c r="K1012" s="12" t="s">
        <v>27</v>
      </c>
      <c r="L1012" s="15"/>
      <c r="M1012" s="12" t="s">
        <v>28</v>
      </c>
      <c r="N1012" s="12"/>
      <c r="O1012" s="12"/>
      <c r="P1012" s="12"/>
      <c r="Q1012" s="16">
        <v>0</v>
      </c>
      <c r="R1012" s="16">
        <v>0</v>
      </c>
      <c r="S1012" s="16"/>
      <c r="T1012" s="16" t="e">
        <v>#N/A</v>
      </c>
      <c r="U1012" s="16" t="e">
        <v>#N/A</v>
      </c>
    </row>
    <row r="1013" spans="1:21" x14ac:dyDescent="0.25">
      <c r="A1013" s="12" t="s">
        <v>21</v>
      </c>
      <c r="B1013" s="12" t="s">
        <v>1098</v>
      </c>
      <c r="C1013" s="12" t="s">
        <v>23</v>
      </c>
      <c r="D1013" s="15">
        <v>46266.575185185182</v>
      </c>
      <c r="E1013" s="12" t="s">
        <v>24</v>
      </c>
      <c r="F1013" s="12" t="s">
        <v>1099</v>
      </c>
      <c r="G1013" s="12">
        <v>1</v>
      </c>
      <c r="H1013" s="12">
        <v>1</v>
      </c>
      <c r="I1013" s="14"/>
      <c r="J1013" s="14" t="s">
        <v>26</v>
      </c>
      <c r="K1013" s="12" t="s">
        <v>1101</v>
      </c>
      <c r="L1013" s="15">
        <v>1</v>
      </c>
      <c r="M1013" s="12" t="s">
        <v>150</v>
      </c>
      <c r="N1013" s="12">
        <v>1</v>
      </c>
      <c r="O1013" s="12">
        <v>1</v>
      </c>
      <c r="P1013" s="12">
        <v>0</v>
      </c>
      <c r="Q1013" s="16">
        <v>0</v>
      </c>
      <c r="R1013" s="16">
        <v>0</v>
      </c>
      <c r="S1013" s="16"/>
      <c r="T1013" s="16" t="e">
        <v>#N/A</v>
      </c>
      <c r="U1013" s="16" t="e">
        <v>#N/A</v>
      </c>
    </row>
    <row r="1014" spans="1:21" x14ac:dyDescent="0.25">
      <c r="A1014" s="12" t="s">
        <v>21</v>
      </c>
      <c r="B1014" s="12" t="s">
        <v>1098</v>
      </c>
      <c r="C1014" s="12" t="s">
        <v>23</v>
      </c>
      <c r="D1014" s="15">
        <v>46266.575185185182</v>
      </c>
      <c r="E1014" s="12" t="s">
        <v>24</v>
      </c>
      <c r="F1014" s="12" t="s">
        <v>262</v>
      </c>
      <c r="G1014" s="12">
        <v>5000</v>
      </c>
      <c r="H1014" s="12">
        <v>3400</v>
      </c>
      <c r="I1014" s="14"/>
      <c r="J1014" s="14" t="s">
        <v>26</v>
      </c>
      <c r="K1014" s="12" t="s">
        <v>27</v>
      </c>
      <c r="L1014" s="15"/>
      <c r="M1014" s="12" t="s">
        <v>28</v>
      </c>
      <c r="N1014" s="12"/>
      <c r="O1014" s="12"/>
      <c r="P1014" s="12"/>
      <c r="Q1014" s="16">
        <v>0</v>
      </c>
      <c r="R1014" s="16">
        <v>0</v>
      </c>
      <c r="S1014" s="16"/>
      <c r="T1014" s="16" t="e">
        <v>#N/A</v>
      </c>
      <c r="U1014" s="16" t="e">
        <v>#N/A</v>
      </c>
    </row>
    <row r="1015" spans="1:21" x14ac:dyDescent="0.25">
      <c r="A1015" s="12" t="s">
        <v>21</v>
      </c>
      <c r="B1015" s="12" t="s">
        <v>1098</v>
      </c>
      <c r="C1015" s="12" t="s">
        <v>23</v>
      </c>
      <c r="D1015" s="15">
        <v>46266.575185185182</v>
      </c>
      <c r="E1015" s="12" t="s">
        <v>24</v>
      </c>
      <c r="F1015" s="12" t="s">
        <v>1100</v>
      </c>
      <c r="G1015" s="12">
        <v>2</v>
      </c>
      <c r="H1015" s="12">
        <v>2</v>
      </c>
      <c r="I1015" s="14"/>
      <c r="J1015" s="14" t="s">
        <v>26</v>
      </c>
      <c r="K1015" s="12" t="s">
        <v>1102</v>
      </c>
      <c r="L1015" s="15">
        <v>1</v>
      </c>
      <c r="M1015" s="12" t="s">
        <v>150</v>
      </c>
      <c r="N1015" s="12">
        <v>2</v>
      </c>
      <c r="O1015" s="12">
        <v>2</v>
      </c>
      <c r="P1015" s="12">
        <v>0</v>
      </c>
      <c r="Q1015" s="16">
        <v>0</v>
      </c>
      <c r="R1015" s="16">
        <v>0</v>
      </c>
      <c r="S1015" s="16"/>
      <c r="T1015" s="16" t="e">
        <v>#N/A</v>
      </c>
      <c r="U1015" s="16" t="e">
        <v>#N/A</v>
      </c>
    </row>
    <row r="1016" spans="1:21" x14ac:dyDescent="0.25">
      <c r="A1016" s="12" t="s">
        <v>21</v>
      </c>
      <c r="B1016" s="12" t="s">
        <v>1098</v>
      </c>
      <c r="C1016" s="12" t="s">
        <v>23</v>
      </c>
      <c r="D1016" s="15">
        <v>46266.575185185182</v>
      </c>
      <c r="E1016" s="12" t="s">
        <v>24</v>
      </c>
      <c r="F1016" s="12" t="s">
        <v>1103</v>
      </c>
      <c r="G1016" s="12">
        <v>2</v>
      </c>
      <c r="H1016" s="12">
        <v>2</v>
      </c>
      <c r="I1016" s="14"/>
      <c r="J1016" s="14" t="s">
        <v>26</v>
      </c>
      <c r="K1016" s="12" t="s">
        <v>1106</v>
      </c>
      <c r="L1016" s="15">
        <v>1</v>
      </c>
      <c r="M1016" s="12" t="s">
        <v>150</v>
      </c>
      <c r="N1016" s="12">
        <v>2</v>
      </c>
      <c r="O1016" s="12">
        <v>2</v>
      </c>
      <c r="P1016" s="12">
        <v>0</v>
      </c>
      <c r="Q1016" s="16">
        <v>0</v>
      </c>
      <c r="R1016" s="16">
        <v>0</v>
      </c>
      <c r="S1016" s="16"/>
      <c r="T1016" s="16" t="e">
        <v>#N/A</v>
      </c>
      <c r="U1016" s="16" t="e">
        <v>#N/A</v>
      </c>
    </row>
    <row r="1017" spans="1:21" x14ac:dyDescent="0.25">
      <c r="A1017" s="12" t="s">
        <v>21</v>
      </c>
      <c r="B1017" s="12" t="s">
        <v>1098</v>
      </c>
      <c r="C1017" s="12" t="s">
        <v>23</v>
      </c>
      <c r="D1017" s="15">
        <v>46266.575185185182</v>
      </c>
      <c r="E1017" s="12" t="s">
        <v>24</v>
      </c>
      <c r="F1017" s="12" t="s">
        <v>1104</v>
      </c>
      <c r="G1017" s="12">
        <v>2</v>
      </c>
      <c r="H1017" s="12">
        <v>2</v>
      </c>
      <c r="I1017" s="14"/>
      <c r="J1017" s="14" t="s">
        <v>26</v>
      </c>
      <c r="K1017" s="12" t="s">
        <v>1107</v>
      </c>
      <c r="L1017" s="15">
        <v>1</v>
      </c>
      <c r="M1017" s="12" t="s">
        <v>150</v>
      </c>
      <c r="N1017" s="12">
        <v>2</v>
      </c>
      <c r="O1017" s="12">
        <v>2</v>
      </c>
      <c r="P1017" s="12">
        <v>0</v>
      </c>
      <c r="Q1017" s="16">
        <v>0</v>
      </c>
      <c r="R1017" s="16">
        <v>0</v>
      </c>
      <c r="S1017" s="16"/>
      <c r="T1017" s="16" t="e">
        <v>#N/A</v>
      </c>
      <c r="U1017" s="16" t="e">
        <v>#N/A</v>
      </c>
    </row>
    <row r="1018" spans="1:21" x14ac:dyDescent="0.25">
      <c r="A1018" s="12" t="s">
        <v>21</v>
      </c>
      <c r="B1018" s="12" t="s">
        <v>1098</v>
      </c>
      <c r="C1018" s="12" t="s">
        <v>23</v>
      </c>
      <c r="D1018" s="15">
        <v>46266.575185185182</v>
      </c>
      <c r="E1018" s="12" t="s">
        <v>24</v>
      </c>
      <c r="F1018" s="12" t="s">
        <v>1105</v>
      </c>
      <c r="G1018" s="12">
        <v>1</v>
      </c>
      <c r="H1018" s="12">
        <v>1</v>
      </c>
      <c r="I1018" s="14"/>
      <c r="J1018" s="14" t="s">
        <v>26</v>
      </c>
      <c r="K1018" s="12" t="s">
        <v>1108</v>
      </c>
      <c r="L1018" s="15">
        <v>1</v>
      </c>
      <c r="M1018" s="12" t="s">
        <v>150</v>
      </c>
      <c r="N1018" s="12">
        <v>1</v>
      </c>
      <c r="O1018" s="12">
        <v>1</v>
      </c>
      <c r="P1018" s="12">
        <v>0</v>
      </c>
      <c r="Q1018" s="16">
        <v>0</v>
      </c>
      <c r="R1018" s="16">
        <v>0</v>
      </c>
      <c r="S1018" s="16"/>
      <c r="T1018" s="16" t="e">
        <v>#N/A</v>
      </c>
      <c r="U1018" s="16" t="e">
        <v>#N/A</v>
      </c>
    </row>
    <row r="1019" spans="1:21" x14ac:dyDescent="0.25">
      <c r="A1019" s="12" t="s">
        <v>21</v>
      </c>
      <c r="B1019" s="12" t="s">
        <v>1098</v>
      </c>
      <c r="C1019" s="12" t="s">
        <v>23</v>
      </c>
      <c r="D1019" s="15">
        <v>46266.575185185182</v>
      </c>
      <c r="E1019" s="12" t="s">
        <v>24</v>
      </c>
      <c r="F1019" s="12" t="s">
        <v>1109</v>
      </c>
      <c r="G1019" s="12">
        <v>1</v>
      </c>
      <c r="H1019" s="12">
        <v>1</v>
      </c>
      <c r="I1019" s="14"/>
      <c r="J1019" s="14" t="s">
        <v>26</v>
      </c>
      <c r="K1019" s="12" t="s">
        <v>1111</v>
      </c>
      <c r="L1019" s="15">
        <v>1</v>
      </c>
      <c r="M1019" s="12" t="s">
        <v>150</v>
      </c>
      <c r="N1019" s="12">
        <v>1</v>
      </c>
      <c r="O1019" s="12">
        <v>1</v>
      </c>
      <c r="P1019" s="12">
        <v>0</v>
      </c>
      <c r="Q1019" s="16">
        <v>0</v>
      </c>
      <c r="R1019" s="16">
        <v>1</v>
      </c>
      <c r="S1019" s="16"/>
      <c r="T1019" s="16" t="e">
        <v>#N/A</v>
      </c>
      <c r="U1019" s="16" t="e">
        <v>#N/A</v>
      </c>
    </row>
    <row r="1020" spans="1:21" x14ac:dyDescent="0.25">
      <c r="A1020" s="12" t="s">
        <v>21</v>
      </c>
      <c r="B1020" s="12" t="s">
        <v>1098</v>
      </c>
      <c r="C1020" s="12" t="s">
        <v>23</v>
      </c>
      <c r="D1020" s="15">
        <v>46266.575185185182</v>
      </c>
      <c r="E1020" s="12" t="s">
        <v>24</v>
      </c>
      <c r="F1020" s="12" t="s">
        <v>1110</v>
      </c>
      <c r="G1020" s="12">
        <v>2</v>
      </c>
      <c r="H1020" s="12">
        <v>2</v>
      </c>
      <c r="I1020" s="14"/>
      <c r="J1020" s="14" t="s">
        <v>26</v>
      </c>
      <c r="K1020" s="12" t="s">
        <v>1112</v>
      </c>
      <c r="L1020" s="15">
        <v>1</v>
      </c>
      <c r="M1020" s="12" t="s">
        <v>150</v>
      </c>
      <c r="N1020" s="12">
        <v>2</v>
      </c>
      <c r="O1020" s="12">
        <v>2</v>
      </c>
      <c r="P1020" s="12">
        <v>0</v>
      </c>
      <c r="Q1020" s="16">
        <v>0</v>
      </c>
      <c r="R1020" s="16">
        <v>0</v>
      </c>
      <c r="S1020" s="16"/>
      <c r="T1020" s="16" t="e">
        <v>#N/A</v>
      </c>
      <c r="U1020" s="16" t="e">
        <v>#N/A</v>
      </c>
    </row>
    <row r="1021" spans="1:21" x14ac:dyDescent="0.25">
      <c r="A1021" s="12" t="s">
        <v>21</v>
      </c>
      <c r="B1021" s="12" t="s">
        <v>1113</v>
      </c>
      <c r="C1021" s="12" t="s">
        <v>23</v>
      </c>
      <c r="D1021" s="15">
        <v>46266.586840277778</v>
      </c>
      <c r="E1021" s="12" t="s">
        <v>69</v>
      </c>
      <c r="F1021" s="12" t="s">
        <v>525</v>
      </c>
      <c r="G1021" s="12">
        <v>100</v>
      </c>
      <c r="H1021" s="12">
        <v>100</v>
      </c>
      <c r="I1021" s="14"/>
      <c r="J1021" s="14" t="s">
        <v>61</v>
      </c>
      <c r="K1021" s="12" t="s">
        <v>1114</v>
      </c>
      <c r="L1021" s="15">
        <v>1</v>
      </c>
      <c r="M1021" s="12" t="s">
        <v>150</v>
      </c>
      <c r="N1021" s="12">
        <v>100</v>
      </c>
      <c r="O1021" s="12">
        <v>100</v>
      </c>
      <c r="P1021" s="12">
        <v>0</v>
      </c>
      <c r="Q1021" s="16">
        <v>100</v>
      </c>
      <c r="R1021" s="16">
        <v>0</v>
      </c>
      <c r="S1021" s="16"/>
      <c r="T1021" s="16" t="e">
        <v>#N/A</v>
      </c>
      <c r="U1021" s="16" t="e">
        <v>#N/A</v>
      </c>
    </row>
    <row r="1022" spans="1:21" x14ac:dyDescent="0.25">
      <c r="A1022" s="12" t="s">
        <v>21</v>
      </c>
      <c r="B1022" s="12" t="s">
        <v>1115</v>
      </c>
      <c r="C1022" s="12" t="s">
        <v>23</v>
      </c>
      <c r="D1022" s="15">
        <v>46267.292060185187</v>
      </c>
      <c r="E1022" s="12" t="s">
        <v>198</v>
      </c>
      <c r="F1022" s="12" t="s">
        <v>1116</v>
      </c>
      <c r="G1022" s="12">
        <v>10</v>
      </c>
      <c r="H1022" s="12">
        <v>10</v>
      </c>
      <c r="I1022" s="14"/>
      <c r="J1022" s="14" t="s">
        <v>61</v>
      </c>
      <c r="K1022" s="12" t="s">
        <v>1118</v>
      </c>
      <c r="L1022" s="15">
        <v>1</v>
      </c>
      <c r="M1022" s="12" t="s">
        <v>150</v>
      </c>
      <c r="N1022" s="12">
        <v>10</v>
      </c>
      <c r="O1022" s="12">
        <v>10</v>
      </c>
      <c r="P1022" s="12">
        <v>0</v>
      </c>
      <c r="Q1022" s="16">
        <v>10</v>
      </c>
      <c r="R1022" s="16">
        <v>0</v>
      </c>
      <c r="S1022" s="16"/>
      <c r="T1022" s="16" t="e">
        <v>#N/A</v>
      </c>
      <c r="U1022" s="16" t="e">
        <v>#N/A</v>
      </c>
    </row>
    <row r="1023" spans="1:21" x14ac:dyDescent="0.25">
      <c r="A1023" s="12" t="s">
        <v>21</v>
      </c>
      <c r="B1023" s="12" t="s">
        <v>1115</v>
      </c>
      <c r="C1023" s="12" t="s">
        <v>23</v>
      </c>
      <c r="D1023" s="15">
        <v>46267.292060185187</v>
      </c>
      <c r="E1023" s="12" t="s">
        <v>198</v>
      </c>
      <c r="F1023" s="12" t="s">
        <v>1117</v>
      </c>
      <c r="G1023" s="12">
        <v>1</v>
      </c>
      <c r="H1023" s="12">
        <v>1</v>
      </c>
      <c r="I1023" s="14"/>
      <c r="J1023" s="14" t="s">
        <v>61</v>
      </c>
      <c r="K1023" s="12" t="s">
        <v>1119</v>
      </c>
      <c r="L1023" s="15">
        <v>1</v>
      </c>
      <c r="M1023" s="12" t="s">
        <v>150</v>
      </c>
      <c r="N1023" s="12">
        <v>1</v>
      </c>
      <c r="O1023" s="12">
        <v>1</v>
      </c>
      <c r="P1023" s="12">
        <v>0</v>
      </c>
      <c r="Q1023" s="16">
        <v>1</v>
      </c>
      <c r="R1023" s="16">
        <v>0</v>
      </c>
      <c r="S1023" s="16"/>
      <c r="T1023" s="16" t="e">
        <v>#N/A</v>
      </c>
      <c r="U1023" s="16" t="e">
        <v>#N/A</v>
      </c>
    </row>
    <row r="1024" spans="1:21" x14ac:dyDescent="0.25">
      <c r="A1024" s="12" t="s">
        <v>21</v>
      </c>
      <c r="B1024" s="12" t="s">
        <v>1120</v>
      </c>
      <c r="C1024" s="12" t="s">
        <v>23</v>
      </c>
      <c r="D1024" s="15">
        <v>46267.311238425929</v>
      </c>
      <c r="E1024" s="12" t="s">
        <v>331</v>
      </c>
      <c r="F1024" s="12" t="s">
        <v>1121</v>
      </c>
      <c r="G1024" s="12">
        <v>50</v>
      </c>
      <c r="H1024" s="12">
        <v>50</v>
      </c>
      <c r="I1024" s="14"/>
      <c r="J1024" s="14" t="s">
        <v>26</v>
      </c>
      <c r="K1024" s="12" t="s">
        <v>27</v>
      </c>
      <c r="L1024" s="15"/>
      <c r="M1024" s="12" t="s">
        <v>28</v>
      </c>
      <c r="N1024" s="12"/>
      <c r="O1024" s="12"/>
      <c r="P1024" s="12"/>
      <c r="Q1024" s="16">
        <v>0</v>
      </c>
      <c r="R1024" s="16">
        <v>0</v>
      </c>
      <c r="S1024" s="16"/>
      <c r="T1024" s="16" t="e">
        <v>#N/A</v>
      </c>
      <c r="U1024" s="16" t="e">
        <v>#N/A</v>
      </c>
    </row>
    <row r="1025" spans="1:21" x14ac:dyDescent="0.25">
      <c r="A1025" s="12" t="s">
        <v>21</v>
      </c>
      <c r="B1025" s="12" t="s">
        <v>1122</v>
      </c>
      <c r="C1025" s="12" t="s">
        <v>23</v>
      </c>
      <c r="D1025" s="15">
        <v>46267.311493055553</v>
      </c>
      <c r="E1025" s="12" t="s">
        <v>331</v>
      </c>
      <c r="F1025" s="12" t="s">
        <v>320</v>
      </c>
      <c r="G1025" s="12">
        <v>200</v>
      </c>
      <c r="H1025" s="12">
        <v>200</v>
      </c>
      <c r="I1025" s="14"/>
      <c r="J1025" s="14" t="s">
        <v>26</v>
      </c>
      <c r="K1025" s="12" t="s">
        <v>27</v>
      </c>
      <c r="L1025" s="15"/>
      <c r="M1025" s="12" t="s">
        <v>28</v>
      </c>
      <c r="N1025" s="12"/>
      <c r="O1025" s="12"/>
      <c r="P1025" s="12"/>
      <c r="Q1025" s="16">
        <v>0</v>
      </c>
      <c r="R1025" s="16">
        <v>1</v>
      </c>
      <c r="S1025" s="16"/>
      <c r="T1025" s="16" t="e">
        <v>#N/A</v>
      </c>
      <c r="U1025" s="16" t="e">
        <v>#N/A</v>
      </c>
    </row>
    <row r="1026" spans="1:21" x14ac:dyDescent="0.25">
      <c r="A1026" s="12" t="s">
        <v>21</v>
      </c>
      <c r="B1026" s="12" t="s">
        <v>1123</v>
      </c>
      <c r="C1026" s="12" t="s">
        <v>23</v>
      </c>
      <c r="D1026" s="15">
        <v>46267.314710648148</v>
      </c>
      <c r="E1026" s="12" t="s">
        <v>24</v>
      </c>
      <c r="F1026" s="12" t="s">
        <v>1124</v>
      </c>
      <c r="G1026" s="12">
        <v>9</v>
      </c>
      <c r="H1026" s="12">
        <v>9</v>
      </c>
      <c r="I1026" s="14"/>
      <c r="J1026" s="14" t="s">
        <v>26</v>
      </c>
      <c r="K1026" s="12" t="s">
        <v>27</v>
      </c>
      <c r="L1026" s="15"/>
      <c r="M1026" s="12" t="s">
        <v>28</v>
      </c>
      <c r="N1026" s="12"/>
      <c r="O1026" s="12"/>
      <c r="P1026" s="12"/>
      <c r="Q1026" s="16">
        <v>0</v>
      </c>
      <c r="R1026" s="16">
        <v>0</v>
      </c>
      <c r="S1026" s="16"/>
      <c r="T1026" s="16" t="e">
        <v>#N/A</v>
      </c>
      <c r="U1026" s="16" t="e">
        <v>#N/A</v>
      </c>
    </row>
    <row r="1027" spans="1:21" x14ac:dyDescent="0.25">
      <c r="A1027" s="12" t="s">
        <v>21</v>
      </c>
      <c r="B1027" s="12" t="s">
        <v>1123</v>
      </c>
      <c r="C1027" s="12" t="s">
        <v>23</v>
      </c>
      <c r="D1027" s="15">
        <v>46267.314710648148</v>
      </c>
      <c r="E1027" s="12" t="s">
        <v>24</v>
      </c>
      <c r="F1027" s="12" t="s">
        <v>669</v>
      </c>
      <c r="G1027" s="12">
        <v>4</v>
      </c>
      <c r="H1027" s="12">
        <v>4</v>
      </c>
      <c r="I1027" s="14"/>
      <c r="J1027" s="14" t="s">
        <v>61</v>
      </c>
      <c r="K1027" s="12" t="s">
        <v>1129</v>
      </c>
      <c r="L1027" s="15">
        <v>1</v>
      </c>
      <c r="M1027" s="12" t="s">
        <v>150</v>
      </c>
      <c r="N1027" s="12">
        <v>4</v>
      </c>
      <c r="O1027" s="12">
        <v>4</v>
      </c>
      <c r="P1027" s="12">
        <v>0</v>
      </c>
      <c r="Q1027" s="16">
        <v>4</v>
      </c>
      <c r="R1027" s="16">
        <v>0</v>
      </c>
      <c r="S1027" s="16"/>
      <c r="T1027" s="16" t="e">
        <v>#N/A</v>
      </c>
      <c r="U1027" s="16" t="e">
        <v>#N/A</v>
      </c>
    </row>
    <row r="1028" spans="1:21" x14ac:dyDescent="0.25">
      <c r="A1028" s="12" t="s">
        <v>21</v>
      </c>
      <c r="B1028" s="12" t="s">
        <v>1123</v>
      </c>
      <c r="C1028" s="12" t="s">
        <v>23</v>
      </c>
      <c r="D1028" s="15">
        <v>46267.314710648148</v>
      </c>
      <c r="E1028" s="12" t="s">
        <v>24</v>
      </c>
      <c r="F1028" s="12" t="s">
        <v>332</v>
      </c>
      <c r="G1028" s="12">
        <v>2</v>
      </c>
      <c r="H1028" s="12">
        <v>2</v>
      </c>
      <c r="I1028" s="14"/>
      <c r="J1028" s="14" t="s">
        <v>61</v>
      </c>
      <c r="K1028" s="12" t="s">
        <v>1130</v>
      </c>
      <c r="L1028" s="15">
        <v>1</v>
      </c>
      <c r="M1028" s="12" t="s">
        <v>150</v>
      </c>
      <c r="N1028" s="12">
        <v>2</v>
      </c>
      <c r="O1028" s="12">
        <v>2</v>
      </c>
      <c r="P1028" s="12">
        <v>0</v>
      </c>
      <c r="Q1028" s="16">
        <v>2</v>
      </c>
      <c r="R1028" s="16">
        <v>0</v>
      </c>
      <c r="S1028" s="16"/>
      <c r="T1028" s="16" t="e">
        <v>#N/A</v>
      </c>
      <c r="U1028" s="16" t="e">
        <v>#N/A</v>
      </c>
    </row>
    <row r="1029" spans="1:21" x14ac:dyDescent="0.25">
      <c r="A1029" s="12" t="s">
        <v>21</v>
      </c>
      <c r="B1029" s="12" t="s">
        <v>1123</v>
      </c>
      <c r="C1029" s="12" t="s">
        <v>23</v>
      </c>
      <c r="D1029" s="15">
        <v>46267.314710648148</v>
      </c>
      <c r="E1029" s="12" t="s">
        <v>24</v>
      </c>
      <c r="F1029" s="12" t="s">
        <v>1125</v>
      </c>
      <c r="G1029" s="12">
        <v>2</v>
      </c>
      <c r="H1029" s="12">
        <v>2</v>
      </c>
      <c r="I1029" s="14"/>
      <c r="J1029" s="14" t="s">
        <v>61</v>
      </c>
      <c r="K1029" s="12" t="s">
        <v>1131</v>
      </c>
      <c r="L1029" s="15">
        <v>1</v>
      </c>
      <c r="M1029" s="12" t="s">
        <v>150</v>
      </c>
      <c r="N1029" s="12">
        <v>2</v>
      </c>
      <c r="O1029" s="12">
        <v>2</v>
      </c>
      <c r="P1029" s="12">
        <v>0</v>
      </c>
      <c r="Q1029" s="16">
        <v>2</v>
      </c>
      <c r="R1029" s="16">
        <v>0</v>
      </c>
      <c r="S1029" s="16"/>
      <c r="T1029" s="16" t="e">
        <v>#N/A</v>
      </c>
      <c r="U1029" s="16" t="e">
        <v>#N/A</v>
      </c>
    </row>
    <row r="1030" spans="1:21" x14ac:dyDescent="0.25">
      <c r="A1030" s="12" t="s">
        <v>21</v>
      </c>
      <c r="B1030" s="12" t="s">
        <v>1123</v>
      </c>
      <c r="C1030" s="12" t="s">
        <v>23</v>
      </c>
      <c r="D1030" s="15">
        <v>46267.314710648148</v>
      </c>
      <c r="E1030" s="12" t="s">
        <v>24</v>
      </c>
      <c r="F1030" s="12" t="s">
        <v>966</v>
      </c>
      <c r="G1030" s="12">
        <v>2</v>
      </c>
      <c r="H1030" s="12">
        <v>2</v>
      </c>
      <c r="I1030" s="14"/>
      <c r="J1030" s="14" t="s">
        <v>61</v>
      </c>
      <c r="K1030" s="12" t="s">
        <v>1132</v>
      </c>
      <c r="L1030" s="15">
        <v>1</v>
      </c>
      <c r="M1030" s="12" t="s">
        <v>150</v>
      </c>
      <c r="N1030" s="12">
        <v>2</v>
      </c>
      <c r="O1030" s="12">
        <v>2</v>
      </c>
      <c r="P1030" s="12">
        <v>0</v>
      </c>
      <c r="Q1030" s="16">
        <v>2</v>
      </c>
      <c r="R1030" s="16">
        <v>0</v>
      </c>
      <c r="S1030" s="16"/>
      <c r="T1030" s="16" t="e">
        <v>#N/A</v>
      </c>
      <c r="U1030" s="16" t="e">
        <v>#N/A</v>
      </c>
    </row>
    <row r="1031" spans="1:21" x14ac:dyDescent="0.25">
      <c r="A1031" s="12" t="s">
        <v>21</v>
      </c>
      <c r="B1031" s="12" t="s">
        <v>1123</v>
      </c>
      <c r="C1031" s="12" t="s">
        <v>23</v>
      </c>
      <c r="D1031" s="15">
        <v>46267.314710648148</v>
      </c>
      <c r="E1031" s="12" t="s">
        <v>24</v>
      </c>
      <c r="F1031" s="12" t="s">
        <v>530</v>
      </c>
      <c r="G1031" s="12">
        <v>2</v>
      </c>
      <c r="H1031" s="12">
        <v>2</v>
      </c>
      <c r="I1031" s="14"/>
      <c r="J1031" s="14" t="s">
        <v>61</v>
      </c>
      <c r="K1031" s="12" t="s">
        <v>1133</v>
      </c>
      <c r="L1031" s="15">
        <v>1</v>
      </c>
      <c r="M1031" s="12" t="s">
        <v>150</v>
      </c>
      <c r="N1031" s="12">
        <v>2</v>
      </c>
      <c r="O1031" s="12">
        <v>2</v>
      </c>
      <c r="P1031" s="12">
        <v>0</v>
      </c>
      <c r="Q1031" s="16">
        <v>2</v>
      </c>
      <c r="R1031" s="16">
        <v>0</v>
      </c>
      <c r="S1031" s="16"/>
      <c r="T1031" s="16" t="e">
        <v>#N/A</v>
      </c>
      <c r="U1031" s="16" t="e">
        <v>#N/A</v>
      </c>
    </row>
    <row r="1032" spans="1:21" x14ac:dyDescent="0.25">
      <c r="A1032" s="12" t="s">
        <v>21</v>
      </c>
      <c r="B1032" s="12" t="s">
        <v>1123</v>
      </c>
      <c r="C1032" s="12" t="s">
        <v>23</v>
      </c>
      <c r="D1032" s="15">
        <v>46267.314710648148</v>
      </c>
      <c r="E1032" s="12" t="s">
        <v>24</v>
      </c>
      <c r="F1032" s="12" t="s">
        <v>1126</v>
      </c>
      <c r="G1032" s="12">
        <v>10</v>
      </c>
      <c r="H1032" s="12">
        <v>10</v>
      </c>
      <c r="I1032" s="14"/>
      <c r="J1032" s="14" t="s">
        <v>61</v>
      </c>
      <c r="K1032" s="12" t="s">
        <v>1134</v>
      </c>
      <c r="L1032" s="15">
        <v>1</v>
      </c>
      <c r="M1032" s="12" t="s">
        <v>150</v>
      </c>
      <c r="N1032" s="12">
        <v>10</v>
      </c>
      <c r="O1032" s="12">
        <v>10</v>
      </c>
      <c r="P1032" s="12">
        <v>0</v>
      </c>
      <c r="Q1032" s="16">
        <v>10</v>
      </c>
      <c r="R1032" s="16">
        <v>1</v>
      </c>
      <c r="S1032" s="16"/>
      <c r="T1032" s="16" t="e">
        <v>#N/A</v>
      </c>
      <c r="U1032" s="16" t="e">
        <v>#N/A</v>
      </c>
    </row>
    <row r="1033" spans="1:21" x14ac:dyDescent="0.25">
      <c r="A1033" s="12" t="s">
        <v>21</v>
      </c>
      <c r="B1033" s="12" t="s">
        <v>1123</v>
      </c>
      <c r="C1033" s="12" t="s">
        <v>23</v>
      </c>
      <c r="D1033" s="15">
        <v>46267.314710648148</v>
      </c>
      <c r="E1033" s="12" t="s">
        <v>24</v>
      </c>
      <c r="F1033" s="12" t="s">
        <v>1127</v>
      </c>
      <c r="G1033" s="12">
        <v>2</v>
      </c>
      <c r="H1033" s="12">
        <v>2</v>
      </c>
      <c r="I1033" s="14"/>
      <c r="J1033" s="14" t="s">
        <v>61</v>
      </c>
      <c r="K1033" s="12" t="s">
        <v>1135</v>
      </c>
      <c r="L1033" s="15">
        <v>1</v>
      </c>
      <c r="M1033" s="12" t="s">
        <v>150</v>
      </c>
      <c r="N1033" s="12">
        <v>2</v>
      </c>
      <c r="O1033" s="12">
        <v>2</v>
      </c>
      <c r="P1033" s="12">
        <v>0</v>
      </c>
      <c r="Q1033" s="16">
        <v>2</v>
      </c>
      <c r="R1033" s="16">
        <v>0</v>
      </c>
      <c r="S1033" s="16"/>
      <c r="T1033" s="16" t="e">
        <v>#N/A</v>
      </c>
      <c r="U1033" s="16" t="e">
        <v>#N/A</v>
      </c>
    </row>
    <row r="1034" spans="1:21" x14ac:dyDescent="0.25">
      <c r="A1034" s="12" t="s">
        <v>21</v>
      </c>
      <c r="B1034" s="12" t="s">
        <v>1123</v>
      </c>
      <c r="C1034" s="12" t="s">
        <v>23</v>
      </c>
      <c r="D1034" s="15">
        <v>46267.314710648148</v>
      </c>
      <c r="E1034" s="12" t="s">
        <v>24</v>
      </c>
      <c r="F1034" s="12" t="s">
        <v>1128</v>
      </c>
      <c r="G1034" s="12">
        <v>1</v>
      </c>
      <c r="H1034" s="12">
        <v>1</v>
      </c>
      <c r="I1034" s="14"/>
      <c r="J1034" s="14" t="s">
        <v>61</v>
      </c>
      <c r="K1034" s="12" t="s">
        <v>1136</v>
      </c>
      <c r="L1034" s="15">
        <v>1</v>
      </c>
      <c r="M1034" s="12" t="s">
        <v>150</v>
      </c>
      <c r="N1034" s="12">
        <v>1</v>
      </c>
      <c r="O1034" s="12">
        <v>1</v>
      </c>
      <c r="P1034" s="12">
        <v>0</v>
      </c>
      <c r="Q1034" s="16">
        <v>1</v>
      </c>
      <c r="R1034" s="16">
        <v>0</v>
      </c>
      <c r="S1034" s="16"/>
      <c r="T1034" s="16" t="e">
        <v>#N/A</v>
      </c>
      <c r="U1034" s="16" t="e">
        <v>#N/A</v>
      </c>
    </row>
    <row r="1035" spans="1:21" x14ac:dyDescent="0.25">
      <c r="A1035" s="12" t="s">
        <v>21</v>
      </c>
      <c r="B1035" s="12" t="s">
        <v>1123</v>
      </c>
      <c r="C1035" s="12" t="s">
        <v>23</v>
      </c>
      <c r="D1035" s="15">
        <v>46267.314710648148</v>
      </c>
      <c r="E1035" s="12" t="s">
        <v>24</v>
      </c>
      <c r="F1035" s="12" t="s">
        <v>1037</v>
      </c>
      <c r="G1035" s="12">
        <v>2</v>
      </c>
      <c r="H1035" s="12">
        <v>2</v>
      </c>
      <c r="I1035" s="14"/>
      <c r="J1035" s="14" t="s">
        <v>61</v>
      </c>
      <c r="K1035" s="12" t="s">
        <v>1137</v>
      </c>
      <c r="L1035" s="15">
        <v>1</v>
      </c>
      <c r="M1035" s="12" t="s">
        <v>150</v>
      </c>
      <c r="N1035" s="12">
        <v>2</v>
      </c>
      <c r="O1035" s="12">
        <v>2</v>
      </c>
      <c r="P1035" s="12">
        <v>0</v>
      </c>
      <c r="Q1035" s="16">
        <v>2</v>
      </c>
      <c r="R1035" s="16">
        <v>1</v>
      </c>
      <c r="S1035" s="16"/>
      <c r="T1035" s="16" t="e">
        <v>#N/A</v>
      </c>
      <c r="U1035" s="16" t="e">
        <v>#N/A</v>
      </c>
    </row>
    <row r="1036" spans="1:21" x14ac:dyDescent="0.25">
      <c r="A1036" s="12" t="s">
        <v>21</v>
      </c>
      <c r="B1036" s="12" t="s">
        <v>1123</v>
      </c>
      <c r="C1036" s="12" t="s">
        <v>23</v>
      </c>
      <c r="D1036" s="15">
        <v>46267.314710648148</v>
      </c>
      <c r="E1036" s="12" t="s">
        <v>24</v>
      </c>
      <c r="F1036" s="12" t="s">
        <v>356</v>
      </c>
      <c r="G1036" s="12">
        <v>11</v>
      </c>
      <c r="H1036" s="12">
        <v>11</v>
      </c>
      <c r="I1036" s="14"/>
      <c r="J1036" s="14" t="s">
        <v>26</v>
      </c>
      <c r="K1036" s="12" t="s">
        <v>27</v>
      </c>
      <c r="L1036" s="15"/>
      <c r="M1036" s="12" t="s">
        <v>28</v>
      </c>
      <c r="N1036" s="12"/>
      <c r="O1036" s="12"/>
      <c r="P1036" s="12"/>
      <c r="Q1036" s="16">
        <v>0</v>
      </c>
      <c r="R1036" s="16">
        <v>0</v>
      </c>
      <c r="S1036" s="16"/>
      <c r="T1036" s="16" t="e">
        <v>#N/A</v>
      </c>
      <c r="U1036" s="16" t="e">
        <v>#N/A</v>
      </c>
    </row>
    <row r="1037" spans="1:21" x14ac:dyDescent="0.25">
      <c r="A1037" s="12" t="s">
        <v>21</v>
      </c>
      <c r="B1037" s="12" t="s">
        <v>1123</v>
      </c>
      <c r="C1037" s="12" t="s">
        <v>23</v>
      </c>
      <c r="D1037" s="15">
        <v>46267.314710648148</v>
      </c>
      <c r="E1037" s="12" t="s">
        <v>24</v>
      </c>
      <c r="F1037" s="12" t="s">
        <v>967</v>
      </c>
      <c r="G1037" s="12">
        <v>3</v>
      </c>
      <c r="H1037" s="12">
        <v>3</v>
      </c>
      <c r="I1037" s="14"/>
      <c r="J1037" s="14" t="s">
        <v>61</v>
      </c>
      <c r="K1037" s="12" t="s">
        <v>1138</v>
      </c>
      <c r="L1037" s="15">
        <v>1</v>
      </c>
      <c r="M1037" s="12" t="s">
        <v>150</v>
      </c>
      <c r="N1037" s="12">
        <v>3</v>
      </c>
      <c r="O1037" s="12">
        <v>3</v>
      </c>
      <c r="P1037" s="12">
        <v>0</v>
      </c>
      <c r="Q1037" s="16">
        <v>3</v>
      </c>
      <c r="R1037" s="16">
        <v>0</v>
      </c>
      <c r="S1037" s="16"/>
      <c r="T1037" s="16" t="e">
        <v>#N/A</v>
      </c>
      <c r="U1037" s="16" t="e">
        <v>#N/A</v>
      </c>
    </row>
    <row r="1038" spans="1:21" x14ac:dyDescent="0.25">
      <c r="A1038" s="12" t="s">
        <v>21</v>
      </c>
      <c r="B1038" s="12" t="s">
        <v>1123</v>
      </c>
      <c r="C1038" s="12" t="s">
        <v>23</v>
      </c>
      <c r="D1038" s="15">
        <v>46267.314710648148</v>
      </c>
      <c r="E1038" s="12" t="s">
        <v>24</v>
      </c>
      <c r="F1038" s="12" t="s">
        <v>357</v>
      </c>
      <c r="G1038" s="12">
        <v>16</v>
      </c>
      <c r="H1038" s="12">
        <v>16</v>
      </c>
      <c r="I1038" s="14"/>
      <c r="J1038" s="14" t="s">
        <v>61</v>
      </c>
      <c r="K1038" s="12" t="s">
        <v>1139</v>
      </c>
      <c r="L1038" s="15">
        <v>1</v>
      </c>
      <c r="M1038" s="12" t="s">
        <v>150</v>
      </c>
      <c r="N1038" s="12">
        <v>16</v>
      </c>
      <c r="O1038" s="12">
        <v>16</v>
      </c>
      <c r="P1038" s="12">
        <v>0</v>
      </c>
      <c r="Q1038" s="16">
        <v>16</v>
      </c>
      <c r="R1038" s="16">
        <v>0</v>
      </c>
      <c r="S1038" s="16"/>
      <c r="T1038" s="16" t="e">
        <v>#N/A</v>
      </c>
      <c r="U1038" s="16" t="e">
        <v>#N/A</v>
      </c>
    </row>
    <row r="1039" spans="1:21" x14ac:dyDescent="0.25">
      <c r="A1039" s="12" t="s">
        <v>21</v>
      </c>
      <c r="B1039" s="12" t="s">
        <v>1140</v>
      </c>
      <c r="C1039" s="12" t="s">
        <v>23</v>
      </c>
      <c r="D1039" s="15">
        <v>46267.32135416667</v>
      </c>
      <c r="E1039" s="12" t="s">
        <v>24</v>
      </c>
      <c r="F1039" s="12" t="s">
        <v>201</v>
      </c>
      <c r="G1039" s="12">
        <v>40</v>
      </c>
      <c r="H1039" s="12">
        <v>40</v>
      </c>
      <c r="I1039" s="14"/>
      <c r="J1039" s="14" t="s">
        <v>61</v>
      </c>
      <c r="K1039" s="12" t="s">
        <v>1143</v>
      </c>
      <c r="L1039" s="15">
        <v>1</v>
      </c>
      <c r="M1039" s="12" t="s">
        <v>150</v>
      </c>
      <c r="N1039" s="12">
        <v>40</v>
      </c>
      <c r="O1039" s="12">
        <v>40</v>
      </c>
      <c r="P1039" s="12">
        <v>0</v>
      </c>
      <c r="Q1039" s="16">
        <v>40</v>
      </c>
      <c r="R1039" s="16">
        <v>0</v>
      </c>
      <c r="S1039" s="16"/>
      <c r="T1039" s="16" t="e">
        <v>#N/A</v>
      </c>
      <c r="U1039" s="16" t="e">
        <v>#N/A</v>
      </c>
    </row>
    <row r="1040" spans="1:21" x14ac:dyDescent="0.25">
      <c r="A1040" s="12" t="s">
        <v>21</v>
      </c>
      <c r="B1040" s="12" t="s">
        <v>1141</v>
      </c>
      <c r="C1040" s="12" t="s">
        <v>23</v>
      </c>
      <c r="D1040" s="15">
        <v>46267.323657407411</v>
      </c>
      <c r="E1040" s="12" t="s">
        <v>585</v>
      </c>
      <c r="F1040" s="12" t="s">
        <v>243</v>
      </c>
      <c r="G1040" s="12">
        <v>80</v>
      </c>
      <c r="H1040" s="12">
        <v>80</v>
      </c>
      <c r="I1040" s="14"/>
      <c r="J1040" s="14" t="s">
        <v>61</v>
      </c>
      <c r="K1040" s="12" t="s">
        <v>1144</v>
      </c>
      <c r="L1040" s="15">
        <v>1</v>
      </c>
      <c r="M1040" s="12" t="s">
        <v>150</v>
      </c>
      <c r="N1040" s="12">
        <v>80</v>
      </c>
      <c r="O1040" s="12">
        <v>80</v>
      </c>
      <c r="P1040" s="12">
        <v>0</v>
      </c>
      <c r="Q1040" s="16">
        <v>80</v>
      </c>
      <c r="R1040" s="16">
        <v>1</v>
      </c>
      <c r="S1040" s="16"/>
      <c r="T1040" s="16" t="e">
        <v>#N/A</v>
      </c>
      <c r="U1040" s="16" t="e">
        <v>#N/A</v>
      </c>
    </row>
    <row r="1041" spans="1:21" x14ac:dyDescent="0.25">
      <c r="A1041" s="12" t="s">
        <v>21</v>
      </c>
      <c r="B1041" s="12" t="s">
        <v>1141</v>
      </c>
      <c r="C1041" s="12" t="s">
        <v>23</v>
      </c>
      <c r="D1041" s="15">
        <v>46267.323657407411</v>
      </c>
      <c r="E1041" s="12" t="s">
        <v>585</v>
      </c>
      <c r="F1041" s="12" t="s">
        <v>244</v>
      </c>
      <c r="G1041" s="12">
        <v>60</v>
      </c>
      <c r="H1041" s="12">
        <v>60</v>
      </c>
      <c r="I1041" s="14"/>
      <c r="J1041" s="14" t="s">
        <v>61</v>
      </c>
      <c r="K1041" s="12" t="s">
        <v>1145</v>
      </c>
      <c r="L1041" s="15">
        <v>1</v>
      </c>
      <c r="M1041" s="12" t="s">
        <v>150</v>
      </c>
      <c r="N1041" s="12">
        <v>60</v>
      </c>
      <c r="O1041" s="12">
        <v>60</v>
      </c>
      <c r="P1041" s="12">
        <v>0</v>
      </c>
      <c r="Q1041" s="16">
        <v>60</v>
      </c>
      <c r="R1041" s="16">
        <v>0</v>
      </c>
      <c r="S1041" s="16"/>
      <c r="T1041" s="16" t="e">
        <v>#N/A</v>
      </c>
      <c r="U1041" s="16" t="e">
        <v>#N/A</v>
      </c>
    </row>
    <row r="1042" spans="1:21" x14ac:dyDescent="0.25">
      <c r="A1042" s="12" t="s">
        <v>21</v>
      </c>
      <c r="B1042" s="12" t="s">
        <v>1141</v>
      </c>
      <c r="C1042" s="12" t="s">
        <v>23</v>
      </c>
      <c r="D1042" s="15">
        <v>46267.323657407411</v>
      </c>
      <c r="E1042" s="12" t="s">
        <v>585</v>
      </c>
      <c r="F1042" s="12" t="s">
        <v>245</v>
      </c>
      <c r="G1042" s="12">
        <v>200</v>
      </c>
      <c r="H1042" s="12">
        <v>200</v>
      </c>
      <c r="I1042" s="14"/>
      <c r="J1042" s="14" t="s">
        <v>61</v>
      </c>
      <c r="K1042" s="12" t="s">
        <v>1146</v>
      </c>
      <c r="L1042" s="15">
        <v>1</v>
      </c>
      <c r="M1042" s="12" t="s">
        <v>150</v>
      </c>
      <c r="N1042" s="12">
        <v>200</v>
      </c>
      <c r="O1042" s="12">
        <v>200</v>
      </c>
      <c r="P1042" s="12">
        <v>0</v>
      </c>
      <c r="Q1042" s="16">
        <v>200</v>
      </c>
      <c r="R1042" s="16">
        <v>0</v>
      </c>
      <c r="S1042" s="16"/>
      <c r="T1042" s="16" t="e">
        <v>#N/A</v>
      </c>
      <c r="U1042" s="16" t="e">
        <v>#N/A</v>
      </c>
    </row>
    <row r="1043" spans="1:21" x14ac:dyDescent="0.25">
      <c r="A1043" s="12" t="s">
        <v>21</v>
      </c>
      <c r="B1043" s="12" t="s">
        <v>1141</v>
      </c>
      <c r="C1043" s="12" t="s">
        <v>23</v>
      </c>
      <c r="D1043" s="15">
        <v>46267.323657407411</v>
      </c>
      <c r="E1043" s="12" t="s">
        <v>585</v>
      </c>
      <c r="F1043" s="12" t="s">
        <v>267</v>
      </c>
      <c r="G1043" s="12">
        <v>20</v>
      </c>
      <c r="H1043" s="12">
        <v>20</v>
      </c>
      <c r="I1043" s="14"/>
      <c r="J1043" s="14" t="s">
        <v>61</v>
      </c>
      <c r="K1043" s="12" t="s">
        <v>1147</v>
      </c>
      <c r="L1043" s="15">
        <v>1</v>
      </c>
      <c r="M1043" s="12" t="s">
        <v>150</v>
      </c>
      <c r="N1043" s="12">
        <v>20</v>
      </c>
      <c r="O1043" s="12">
        <v>20</v>
      </c>
      <c r="P1043" s="12">
        <v>0</v>
      </c>
      <c r="Q1043" s="16">
        <v>20</v>
      </c>
      <c r="R1043" s="16">
        <v>0</v>
      </c>
      <c r="S1043" s="16"/>
      <c r="T1043" s="16" t="e">
        <v>#N/A</v>
      </c>
      <c r="U1043" s="16" t="e">
        <v>#N/A</v>
      </c>
    </row>
    <row r="1044" spans="1:21" x14ac:dyDescent="0.25">
      <c r="A1044" s="12" t="s">
        <v>21</v>
      </c>
      <c r="B1044" s="12" t="s">
        <v>1141</v>
      </c>
      <c r="C1044" s="12" t="s">
        <v>23</v>
      </c>
      <c r="D1044" s="15">
        <v>46267.323657407411</v>
      </c>
      <c r="E1044" s="12" t="s">
        <v>585</v>
      </c>
      <c r="F1044" s="12" t="s">
        <v>699</v>
      </c>
      <c r="G1044" s="12">
        <v>12</v>
      </c>
      <c r="H1044" s="12">
        <v>12</v>
      </c>
      <c r="I1044" s="14"/>
      <c r="J1044" s="14" t="s">
        <v>61</v>
      </c>
      <c r="K1044" s="12" t="s">
        <v>1148</v>
      </c>
      <c r="L1044" s="15">
        <v>1</v>
      </c>
      <c r="M1044" s="12" t="s">
        <v>150</v>
      </c>
      <c r="N1044" s="12">
        <v>12</v>
      </c>
      <c r="O1044" s="12">
        <v>12</v>
      </c>
      <c r="P1044" s="12">
        <v>0</v>
      </c>
      <c r="Q1044" s="16">
        <v>12</v>
      </c>
      <c r="R1044" s="16">
        <v>0</v>
      </c>
      <c r="S1044" s="16"/>
      <c r="T1044" s="16" t="e">
        <v>#N/A</v>
      </c>
      <c r="U1044" s="16" t="e">
        <v>#N/A</v>
      </c>
    </row>
    <row r="1045" spans="1:21" x14ac:dyDescent="0.25">
      <c r="A1045" s="12" t="s">
        <v>21</v>
      </c>
      <c r="B1045" s="12" t="s">
        <v>1141</v>
      </c>
      <c r="C1045" s="12" t="s">
        <v>23</v>
      </c>
      <c r="D1045" s="15">
        <v>46267.323657407411</v>
      </c>
      <c r="E1045" s="12" t="s">
        <v>585</v>
      </c>
      <c r="F1045" s="12" t="s">
        <v>472</v>
      </c>
      <c r="G1045" s="12">
        <v>100</v>
      </c>
      <c r="H1045" s="12">
        <v>100</v>
      </c>
      <c r="I1045" s="14"/>
      <c r="J1045" s="14" t="s">
        <v>26</v>
      </c>
      <c r="K1045" s="12" t="s">
        <v>27</v>
      </c>
      <c r="L1045" s="15"/>
      <c r="M1045" s="12" t="s">
        <v>28</v>
      </c>
      <c r="N1045" s="12"/>
      <c r="O1045" s="12"/>
      <c r="P1045" s="12"/>
      <c r="Q1045" s="16">
        <v>0</v>
      </c>
      <c r="R1045" s="16">
        <v>0</v>
      </c>
      <c r="S1045" s="16"/>
      <c r="T1045" s="16" t="e">
        <v>#N/A</v>
      </c>
      <c r="U1045" s="16" t="e">
        <v>#N/A</v>
      </c>
    </row>
    <row r="1046" spans="1:21" x14ac:dyDescent="0.25">
      <c r="A1046" s="12" t="s">
        <v>21</v>
      </c>
      <c r="B1046" s="12" t="s">
        <v>1141</v>
      </c>
      <c r="C1046" s="12" t="s">
        <v>23</v>
      </c>
      <c r="D1046" s="15">
        <v>46267.323657407411</v>
      </c>
      <c r="E1046" s="12" t="s">
        <v>585</v>
      </c>
      <c r="F1046" s="12" t="s">
        <v>442</v>
      </c>
      <c r="G1046" s="12">
        <v>150</v>
      </c>
      <c r="H1046" s="12">
        <v>150</v>
      </c>
      <c r="I1046" s="14"/>
      <c r="J1046" s="14" t="s">
        <v>26</v>
      </c>
      <c r="K1046" s="12" t="s">
        <v>27</v>
      </c>
      <c r="L1046" s="15"/>
      <c r="M1046" s="12" t="s">
        <v>28</v>
      </c>
      <c r="N1046" s="12"/>
      <c r="O1046" s="12"/>
      <c r="P1046" s="12"/>
      <c r="Q1046" s="16">
        <v>0</v>
      </c>
      <c r="R1046" s="16">
        <v>0</v>
      </c>
      <c r="S1046" s="16"/>
      <c r="T1046" s="16" t="e">
        <v>#N/A</v>
      </c>
      <c r="U1046" s="16" t="e">
        <v>#N/A</v>
      </c>
    </row>
    <row r="1047" spans="1:21" x14ac:dyDescent="0.25">
      <c r="A1047" s="12" t="s">
        <v>21</v>
      </c>
      <c r="B1047" s="12" t="s">
        <v>1141</v>
      </c>
      <c r="C1047" s="12" t="s">
        <v>23</v>
      </c>
      <c r="D1047" s="15">
        <v>46267.323657407411</v>
      </c>
      <c r="E1047" s="12" t="s">
        <v>585</v>
      </c>
      <c r="F1047" s="12" t="s">
        <v>253</v>
      </c>
      <c r="G1047" s="12">
        <v>80</v>
      </c>
      <c r="H1047" s="12">
        <v>80</v>
      </c>
      <c r="I1047" s="14"/>
      <c r="J1047" s="14" t="s">
        <v>61</v>
      </c>
      <c r="K1047" s="12" t="s">
        <v>1149</v>
      </c>
      <c r="L1047" s="15">
        <v>1</v>
      </c>
      <c r="M1047" s="12" t="s">
        <v>150</v>
      </c>
      <c r="N1047" s="12">
        <v>80</v>
      </c>
      <c r="O1047" s="12">
        <v>80</v>
      </c>
      <c r="P1047" s="12">
        <v>0</v>
      </c>
      <c r="Q1047" s="16">
        <v>80</v>
      </c>
      <c r="R1047" s="16">
        <v>0</v>
      </c>
      <c r="S1047" s="16"/>
      <c r="T1047" s="16" t="e">
        <v>#N/A</v>
      </c>
      <c r="U1047" s="16" t="e">
        <v>#N/A</v>
      </c>
    </row>
    <row r="1048" spans="1:21" x14ac:dyDescent="0.25">
      <c r="A1048" s="12" t="s">
        <v>21</v>
      </c>
      <c r="B1048" s="12" t="s">
        <v>1141</v>
      </c>
      <c r="C1048" s="12" t="s">
        <v>23</v>
      </c>
      <c r="D1048" s="15">
        <v>46267.323657407411</v>
      </c>
      <c r="E1048" s="12" t="s">
        <v>585</v>
      </c>
      <c r="F1048" s="12" t="s">
        <v>703</v>
      </c>
      <c r="G1048" s="12">
        <v>80</v>
      </c>
      <c r="H1048" s="12">
        <v>80</v>
      </c>
      <c r="I1048" s="14"/>
      <c r="J1048" s="14" t="s">
        <v>61</v>
      </c>
      <c r="K1048" s="12" t="s">
        <v>1150</v>
      </c>
      <c r="L1048" s="15">
        <v>1</v>
      </c>
      <c r="M1048" s="12" t="s">
        <v>150</v>
      </c>
      <c r="N1048" s="12">
        <v>80</v>
      </c>
      <c r="O1048" s="12">
        <v>80</v>
      </c>
      <c r="P1048" s="12">
        <v>0</v>
      </c>
      <c r="Q1048" s="16">
        <v>80</v>
      </c>
      <c r="R1048" s="16">
        <v>0</v>
      </c>
      <c r="S1048" s="16"/>
      <c r="T1048" s="16" t="e">
        <v>#N/A</v>
      </c>
      <c r="U1048" s="16" t="e">
        <v>#N/A</v>
      </c>
    </row>
    <row r="1049" spans="1:21" x14ac:dyDescent="0.25">
      <c r="A1049" s="12" t="s">
        <v>21</v>
      </c>
      <c r="B1049" s="12" t="s">
        <v>1142</v>
      </c>
      <c r="C1049" s="12" t="s">
        <v>23</v>
      </c>
      <c r="D1049" s="15">
        <v>46267.323807870373</v>
      </c>
      <c r="E1049" s="12" t="s">
        <v>585</v>
      </c>
      <c r="F1049" s="12" t="s">
        <v>157</v>
      </c>
      <c r="G1049" s="12">
        <v>50</v>
      </c>
      <c r="H1049" s="12">
        <v>50</v>
      </c>
      <c r="I1049" s="14"/>
      <c r="J1049" s="14" t="s">
        <v>61</v>
      </c>
      <c r="K1049" s="12" t="s">
        <v>1151</v>
      </c>
      <c r="L1049" s="15">
        <v>1</v>
      </c>
      <c r="M1049" s="12" t="s">
        <v>150</v>
      </c>
      <c r="N1049" s="12">
        <v>50</v>
      </c>
      <c r="O1049" s="12">
        <v>50</v>
      </c>
      <c r="P1049" s="12">
        <v>0</v>
      </c>
      <c r="Q1049" s="16">
        <v>50</v>
      </c>
      <c r="R1049" s="16">
        <v>0</v>
      </c>
      <c r="S1049" s="16"/>
      <c r="T1049" s="16" t="e">
        <v>#N/A</v>
      </c>
      <c r="U1049" s="16" t="e">
        <v>#N/A</v>
      </c>
    </row>
    <row r="1050" spans="1:21" x14ac:dyDescent="0.25">
      <c r="A1050" s="12" t="s">
        <v>21</v>
      </c>
      <c r="B1050" s="12" t="s">
        <v>1142</v>
      </c>
      <c r="C1050" s="12" t="s">
        <v>23</v>
      </c>
      <c r="D1050" s="15">
        <v>46267.323807870373</v>
      </c>
      <c r="E1050" s="12" t="s">
        <v>585</v>
      </c>
      <c r="F1050" s="12" t="s">
        <v>617</v>
      </c>
      <c r="G1050" s="12">
        <v>20</v>
      </c>
      <c r="H1050" s="12">
        <v>20</v>
      </c>
      <c r="I1050" s="14"/>
      <c r="J1050" s="14" t="s">
        <v>61</v>
      </c>
      <c r="K1050" s="12" t="s">
        <v>1152</v>
      </c>
      <c r="L1050" s="15">
        <v>1</v>
      </c>
      <c r="M1050" s="12" t="s">
        <v>150</v>
      </c>
      <c r="N1050" s="12">
        <v>20</v>
      </c>
      <c r="O1050" s="12">
        <v>20</v>
      </c>
      <c r="P1050" s="12">
        <v>0</v>
      </c>
      <c r="Q1050" s="16">
        <v>20</v>
      </c>
      <c r="R1050" s="16">
        <v>0</v>
      </c>
      <c r="S1050" s="16"/>
      <c r="T1050" s="16" t="e">
        <v>#N/A</v>
      </c>
      <c r="U1050" s="16" t="e">
        <v>#N/A</v>
      </c>
    </row>
    <row r="1051" spans="1:21" x14ac:dyDescent="0.25">
      <c r="A1051" s="12" t="s">
        <v>21</v>
      </c>
      <c r="B1051" s="12" t="s">
        <v>1142</v>
      </c>
      <c r="C1051" s="12" t="s">
        <v>23</v>
      </c>
      <c r="D1051" s="15">
        <v>46267.323807870373</v>
      </c>
      <c r="E1051" s="12" t="s">
        <v>585</v>
      </c>
      <c r="F1051" s="12" t="s">
        <v>71</v>
      </c>
      <c r="G1051" s="12">
        <v>150</v>
      </c>
      <c r="H1051" s="12">
        <v>150</v>
      </c>
      <c r="I1051" s="14"/>
      <c r="J1051" s="14" t="s">
        <v>26</v>
      </c>
      <c r="K1051" s="12" t="s">
        <v>27</v>
      </c>
      <c r="L1051" s="15"/>
      <c r="M1051" s="12" t="s">
        <v>28</v>
      </c>
      <c r="N1051" s="12"/>
      <c r="O1051" s="12"/>
      <c r="P1051" s="12"/>
      <c r="Q1051" s="16">
        <v>0</v>
      </c>
      <c r="R1051" s="16">
        <v>0</v>
      </c>
      <c r="S1051" s="16">
        <v>100</v>
      </c>
      <c r="T1051" s="16" t="e">
        <v>#N/A</v>
      </c>
      <c r="U1051" s="16" t="e">
        <v>#N/A</v>
      </c>
    </row>
    <row r="1052" spans="1:21" x14ac:dyDescent="0.25">
      <c r="A1052" s="12" t="s">
        <v>21</v>
      </c>
      <c r="B1052" s="12" t="s">
        <v>1142</v>
      </c>
      <c r="C1052" s="12" t="s">
        <v>23</v>
      </c>
      <c r="D1052" s="15">
        <v>46267.323807870373</v>
      </c>
      <c r="E1052" s="12" t="s">
        <v>585</v>
      </c>
      <c r="F1052" s="12" t="s">
        <v>401</v>
      </c>
      <c r="G1052" s="12">
        <v>10</v>
      </c>
      <c r="H1052" s="12">
        <v>10</v>
      </c>
      <c r="I1052" s="14"/>
      <c r="J1052" s="14" t="s">
        <v>61</v>
      </c>
      <c r="K1052" s="12" t="s">
        <v>1158</v>
      </c>
      <c r="L1052" s="15">
        <v>1</v>
      </c>
      <c r="M1052" s="12" t="s">
        <v>150</v>
      </c>
      <c r="N1052" s="12">
        <v>10</v>
      </c>
      <c r="O1052" s="12">
        <v>10</v>
      </c>
      <c r="P1052" s="12">
        <v>0</v>
      </c>
      <c r="Q1052" s="16">
        <v>10</v>
      </c>
      <c r="R1052" s="16">
        <v>0</v>
      </c>
      <c r="S1052" s="16"/>
      <c r="T1052" s="16" t="e">
        <v>#N/A</v>
      </c>
      <c r="U1052" s="16" t="e">
        <v>#N/A</v>
      </c>
    </row>
    <row r="1053" spans="1:21" x14ac:dyDescent="0.25">
      <c r="A1053" s="12" t="s">
        <v>21</v>
      </c>
      <c r="B1053" s="12" t="s">
        <v>1142</v>
      </c>
      <c r="C1053" s="12" t="s">
        <v>23</v>
      </c>
      <c r="D1053" s="15">
        <v>46267.323807870373</v>
      </c>
      <c r="E1053" s="12" t="s">
        <v>585</v>
      </c>
      <c r="F1053" s="12" t="s">
        <v>201</v>
      </c>
      <c r="G1053" s="12">
        <v>80</v>
      </c>
      <c r="H1053" s="12">
        <v>80</v>
      </c>
      <c r="I1053" s="14"/>
      <c r="J1053" s="14" t="s">
        <v>61</v>
      </c>
      <c r="K1053" s="12" t="s">
        <v>1159</v>
      </c>
      <c r="L1053" s="15">
        <v>1</v>
      </c>
      <c r="M1053" s="12" t="s">
        <v>150</v>
      </c>
      <c r="N1053" s="12">
        <v>80</v>
      </c>
      <c r="O1053" s="12">
        <v>80</v>
      </c>
      <c r="P1053" s="12">
        <v>0</v>
      </c>
      <c r="Q1053" s="16">
        <v>80</v>
      </c>
      <c r="R1053" s="16">
        <v>0</v>
      </c>
      <c r="S1053" s="16"/>
      <c r="T1053" s="16" t="e">
        <v>#N/A</v>
      </c>
      <c r="U1053" s="16" t="e">
        <v>#N/A</v>
      </c>
    </row>
    <row r="1054" spans="1:21" x14ac:dyDescent="0.25">
      <c r="A1054" s="12" t="s">
        <v>21</v>
      </c>
      <c r="B1054" s="12" t="s">
        <v>1142</v>
      </c>
      <c r="C1054" s="12" t="s">
        <v>23</v>
      </c>
      <c r="D1054" s="15">
        <v>46267.323807870373</v>
      </c>
      <c r="E1054" s="12" t="s">
        <v>585</v>
      </c>
      <c r="F1054" s="12" t="s">
        <v>443</v>
      </c>
      <c r="G1054" s="12">
        <v>60</v>
      </c>
      <c r="H1054" s="12">
        <v>60</v>
      </c>
      <c r="I1054" s="14"/>
      <c r="J1054" s="14" t="s">
        <v>26</v>
      </c>
      <c r="K1054" s="12" t="s">
        <v>27</v>
      </c>
      <c r="L1054" s="15"/>
      <c r="M1054" s="12" t="s">
        <v>28</v>
      </c>
      <c r="N1054" s="12"/>
      <c r="O1054" s="12"/>
      <c r="P1054" s="12"/>
      <c r="Q1054" s="16">
        <v>0</v>
      </c>
      <c r="R1054" s="16">
        <v>0</v>
      </c>
      <c r="S1054" s="16">
        <v>20</v>
      </c>
      <c r="T1054" s="16" t="e">
        <v>#N/A</v>
      </c>
      <c r="U1054" s="16" t="e">
        <v>#N/A</v>
      </c>
    </row>
    <row r="1055" spans="1:21" x14ac:dyDescent="0.25">
      <c r="A1055" s="12" t="s">
        <v>21</v>
      </c>
      <c r="B1055" s="12" t="s">
        <v>1153</v>
      </c>
      <c r="C1055" s="12" t="s">
        <v>23</v>
      </c>
      <c r="D1055" s="15">
        <v>46267.412812499999</v>
      </c>
      <c r="E1055" s="12" t="s">
        <v>522</v>
      </c>
      <c r="F1055" s="12" t="s">
        <v>1154</v>
      </c>
      <c r="G1055" s="12">
        <v>3</v>
      </c>
      <c r="H1055" s="12">
        <v>3</v>
      </c>
      <c r="I1055" s="14"/>
      <c r="J1055" s="14" t="s">
        <v>26</v>
      </c>
      <c r="K1055" s="12" t="s">
        <v>27</v>
      </c>
      <c r="L1055" s="15"/>
      <c r="M1055" s="12" t="s">
        <v>28</v>
      </c>
      <c r="N1055" s="12"/>
      <c r="O1055" s="12"/>
      <c r="P1055" s="12"/>
      <c r="Q1055" s="16">
        <v>0</v>
      </c>
      <c r="R1055" s="16">
        <v>0</v>
      </c>
      <c r="S1055" s="16"/>
      <c r="T1055" s="16" t="e">
        <v>#N/A</v>
      </c>
      <c r="U1055" s="16" t="e">
        <v>#N/A</v>
      </c>
    </row>
    <row r="1056" spans="1:21" x14ac:dyDescent="0.25">
      <c r="A1056" s="12" t="s">
        <v>21</v>
      </c>
      <c r="B1056" s="12" t="s">
        <v>1153</v>
      </c>
      <c r="C1056" s="12" t="s">
        <v>23</v>
      </c>
      <c r="D1056" s="15">
        <v>46267.412812499999</v>
      </c>
      <c r="E1056" s="12" t="s">
        <v>522</v>
      </c>
      <c r="F1056" s="12" t="s">
        <v>1155</v>
      </c>
      <c r="G1056" s="12">
        <v>3</v>
      </c>
      <c r="H1056" s="12">
        <v>3</v>
      </c>
      <c r="I1056" s="14"/>
      <c r="J1056" s="14" t="s">
        <v>26</v>
      </c>
      <c r="K1056" s="12" t="s">
        <v>27</v>
      </c>
      <c r="L1056" s="15"/>
      <c r="M1056" s="12" t="s">
        <v>28</v>
      </c>
      <c r="N1056" s="12"/>
      <c r="O1056" s="12"/>
      <c r="P1056" s="12"/>
      <c r="Q1056" s="16">
        <v>0</v>
      </c>
      <c r="R1056" s="16">
        <v>0</v>
      </c>
      <c r="S1056" s="16"/>
      <c r="T1056" s="16" t="e">
        <v>#N/A</v>
      </c>
      <c r="U1056" s="16" t="e">
        <v>#N/A</v>
      </c>
    </row>
    <row r="1057" spans="1:21" x14ac:dyDescent="0.25">
      <c r="A1057" s="12" t="s">
        <v>21</v>
      </c>
      <c r="B1057" s="12" t="s">
        <v>1153</v>
      </c>
      <c r="C1057" s="12" t="s">
        <v>23</v>
      </c>
      <c r="D1057" s="15">
        <v>46267.412812499999</v>
      </c>
      <c r="E1057" s="12" t="s">
        <v>522</v>
      </c>
      <c r="F1057" s="12" t="s">
        <v>1156</v>
      </c>
      <c r="G1057" s="12">
        <v>3</v>
      </c>
      <c r="H1057" s="12">
        <v>3</v>
      </c>
      <c r="I1057" s="14"/>
      <c r="J1057" s="14" t="s">
        <v>26</v>
      </c>
      <c r="K1057" s="12" t="s">
        <v>27</v>
      </c>
      <c r="L1057" s="15"/>
      <c r="M1057" s="12" t="s">
        <v>28</v>
      </c>
      <c r="N1057" s="12"/>
      <c r="O1057" s="12"/>
      <c r="P1057" s="12"/>
      <c r="Q1057" s="16">
        <v>0</v>
      </c>
      <c r="R1057" s="16">
        <v>0</v>
      </c>
      <c r="S1057" s="16"/>
      <c r="T1057" s="16" t="e">
        <v>#N/A</v>
      </c>
      <c r="U1057" s="16" t="e">
        <v>#N/A</v>
      </c>
    </row>
    <row r="1058" spans="1:21" x14ac:dyDescent="0.25">
      <c r="A1058" s="12" t="s">
        <v>21</v>
      </c>
      <c r="B1058" s="12" t="s">
        <v>1153</v>
      </c>
      <c r="C1058" s="12" t="s">
        <v>23</v>
      </c>
      <c r="D1058" s="15">
        <v>46267.412812499999</v>
      </c>
      <c r="E1058" s="12" t="s">
        <v>522</v>
      </c>
      <c r="F1058" s="12" t="s">
        <v>1157</v>
      </c>
      <c r="G1058" s="12">
        <v>3</v>
      </c>
      <c r="H1058" s="12">
        <v>3</v>
      </c>
      <c r="I1058" s="14"/>
      <c r="J1058" s="14" t="s">
        <v>26</v>
      </c>
      <c r="K1058" s="12" t="s">
        <v>27</v>
      </c>
      <c r="L1058" s="15"/>
      <c r="M1058" s="12" t="s">
        <v>28</v>
      </c>
      <c r="N1058" s="12"/>
      <c r="O1058" s="12"/>
      <c r="P1058" s="12"/>
      <c r="Q1058" s="16">
        <v>0</v>
      </c>
      <c r="R1058" s="16">
        <v>0</v>
      </c>
      <c r="S1058" s="16"/>
      <c r="T1058" s="16" t="e">
        <v>#N/A</v>
      </c>
      <c r="U1058" s="16" t="e">
        <v>#N/A</v>
      </c>
    </row>
    <row r="1059" spans="1:21" x14ac:dyDescent="0.25">
      <c r="A1059" s="12" t="s">
        <v>21</v>
      </c>
      <c r="B1059" s="12" t="s">
        <v>1153</v>
      </c>
      <c r="C1059" s="12" t="s">
        <v>23</v>
      </c>
      <c r="D1059" s="15">
        <v>46267.412812499999</v>
      </c>
      <c r="E1059" s="12" t="s">
        <v>522</v>
      </c>
      <c r="F1059" s="12" t="s">
        <v>669</v>
      </c>
      <c r="G1059" s="12">
        <v>5</v>
      </c>
      <c r="H1059" s="12">
        <v>5</v>
      </c>
      <c r="I1059" s="14"/>
      <c r="J1059" s="14" t="s">
        <v>61</v>
      </c>
      <c r="K1059" s="12" t="s">
        <v>1160</v>
      </c>
      <c r="L1059" s="15">
        <v>1</v>
      </c>
      <c r="M1059" s="12" t="s">
        <v>150</v>
      </c>
      <c r="N1059" s="12">
        <v>5</v>
      </c>
      <c r="O1059" s="12">
        <v>5</v>
      </c>
      <c r="P1059" s="12">
        <v>0</v>
      </c>
      <c r="Q1059" s="16">
        <v>5</v>
      </c>
      <c r="R1059" s="16">
        <v>0</v>
      </c>
      <c r="S1059" s="16"/>
      <c r="T1059" s="16" t="e">
        <v>#N/A</v>
      </c>
      <c r="U1059" s="16" t="e">
        <v>#N/A</v>
      </c>
    </row>
    <row r="1060" spans="1:21" x14ac:dyDescent="0.25">
      <c r="A1060" s="12" t="s">
        <v>21</v>
      </c>
      <c r="B1060" s="12" t="s">
        <v>1153</v>
      </c>
      <c r="C1060" s="12" t="s">
        <v>23</v>
      </c>
      <c r="D1060" s="15">
        <v>46267.412812499999</v>
      </c>
      <c r="E1060" s="12" t="s">
        <v>522</v>
      </c>
      <c r="F1060" s="12" t="s">
        <v>1163</v>
      </c>
      <c r="G1060" s="12">
        <v>1</v>
      </c>
      <c r="H1060" s="12">
        <v>1</v>
      </c>
      <c r="I1060" s="14"/>
      <c r="J1060" s="14" t="s">
        <v>61</v>
      </c>
      <c r="K1060" s="12" t="s">
        <v>1169</v>
      </c>
      <c r="L1060" s="15">
        <v>1</v>
      </c>
      <c r="M1060" s="12" t="s">
        <v>150</v>
      </c>
      <c r="N1060" s="12">
        <v>1</v>
      </c>
      <c r="O1060" s="12">
        <v>1</v>
      </c>
      <c r="P1060" s="12">
        <v>0</v>
      </c>
      <c r="Q1060" s="16">
        <v>1</v>
      </c>
      <c r="R1060" s="16">
        <v>0</v>
      </c>
      <c r="S1060" s="16"/>
      <c r="T1060" s="16" t="e">
        <v>#N/A</v>
      </c>
      <c r="U1060" s="16" t="e">
        <v>#N/A</v>
      </c>
    </row>
    <row r="1061" spans="1:21" x14ac:dyDescent="0.25">
      <c r="A1061" s="12" t="s">
        <v>21</v>
      </c>
      <c r="B1061" s="12" t="s">
        <v>1153</v>
      </c>
      <c r="C1061" s="12" t="s">
        <v>23</v>
      </c>
      <c r="D1061" s="15">
        <v>46267.412812499999</v>
      </c>
      <c r="E1061" s="12" t="s">
        <v>522</v>
      </c>
      <c r="F1061" s="12" t="s">
        <v>1014</v>
      </c>
      <c r="G1061" s="12">
        <v>6</v>
      </c>
      <c r="H1061" s="12">
        <v>6</v>
      </c>
      <c r="I1061" s="14"/>
      <c r="J1061" s="14" t="s">
        <v>61</v>
      </c>
      <c r="K1061" s="12" t="s">
        <v>1170</v>
      </c>
      <c r="L1061" s="15">
        <v>1</v>
      </c>
      <c r="M1061" s="12" t="s">
        <v>150</v>
      </c>
      <c r="N1061" s="12">
        <v>6</v>
      </c>
      <c r="O1061" s="12">
        <v>6</v>
      </c>
      <c r="P1061" s="12">
        <v>0</v>
      </c>
      <c r="Q1061" s="16">
        <v>6</v>
      </c>
      <c r="R1061" s="16">
        <v>0</v>
      </c>
      <c r="S1061" s="16"/>
      <c r="T1061" s="16" t="e">
        <v>#N/A</v>
      </c>
      <c r="U1061" s="16" t="e">
        <v>#N/A</v>
      </c>
    </row>
    <row r="1062" spans="1:21" x14ac:dyDescent="0.25">
      <c r="A1062" s="12" t="s">
        <v>21</v>
      </c>
      <c r="B1062" s="12" t="s">
        <v>1153</v>
      </c>
      <c r="C1062" s="12" t="s">
        <v>23</v>
      </c>
      <c r="D1062" s="15">
        <v>46267.412812499999</v>
      </c>
      <c r="E1062" s="12" t="s">
        <v>522</v>
      </c>
      <c r="F1062" s="12" t="s">
        <v>967</v>
      </c>
      <c r="G1062" s="12">
        <v>1</v>
      </c>
      <c r="H1062" s="12">
        <v>1</v>
      </c>
      <c r="I1062" s="14"/>
      <c r="J1062" s="14" t="s">
        <v>26</v>
      </c>
      <c r="K1062" s="12" t="s">
        <v>1171</v>
      </c>
      <c r="L1062" s="15">
        <v>1</v>
      </c>
      <c r="M1062" s="12" t="s">
        <v>150</v>
      </c>
      <c r="N1062" s="12">
        <v>1</v>
      </c>
      <c r="O1062" s="12">
        <v>1</v>
      </c>
      <c r="P1062" s="12">
        <v>0</v>
      </c>
      <c r="Q1062" s="16">
        <v>0</v>
      </c>
      <c r="R1062" s="16">
        <v>0</v>
      </c>
      <c r="S1062" s="16"/>
      <c r="T1062" s="16" t="e">
        <v>#N/A</v>
      </c>
      <c r="U1062" s="16" t="e">
        <v>#N/A</v>
      </c>
    </row>
    <row r="1063" spans="1:21" x14ac:dyDescent="0.25">
      <c r="A1063" s="12" t="s">
        <v>21</v>
      </c>
      <c r="B1063" s="12" t="s">
        <v>1153</v>
      </c>
      <c r="C1063" s="12" t="s">
        <v>23</v>
      </c>
      <c r="D1063" s="15">
        <v>46267.412812499999</v>
      </c>
      <c r="E1063" s="12" t="s">
        <v>522</v>
      </c>
      <c r="F1063" s="12" t="s">
        <v>357</v>
      </c>
      <c r="G1063" s="12">
        <v>5</v>
      </c>
      <c r="H1063" s="12">
        <v>5</v>
      </c>
      <c r="I1063" s="14"/>
      <c r="J1063" s="14" t="s">
        <v>61</v>
      </c>
      <c r="K1063" s="12" t="s">
        <v>1172</v>
      </c>
      <c r="L1063" s="15">
        <v>1</v>
      </c>
      <c r="M1063" s="12" t="s">
        <v>150</v>
      </c>
      <c r="N1063" s="12">
        <v>5</v>
      </c>
      <c r="O1063" s="12">
        <v>5</v>
      </c>
      <c r="P1063" s="12">
        <v>0</v>
      </c>
      <c r="Q1063" s="16">
        <v>5</v>
      </c>
      <c r="R1063" s="16">
        <v>0</v>
      </c>
      <c r="S1063" s="16"/>
      <c r="T1063" s="16" t="e">
        <v>#N/A</v>
      </c>
      <c r="U1063" s="16" t="e">
        <v>#N/A</v>
      </c>
    </row>
    <row r="1064" spans="1:21" x14ac:dyDescent="0.25">
      <c r="A1064" s="12" t="s">
        <v>21</v>
      </c>
      <c r="B1064" s="12" t="s">
        <v>1153</v>
      </c>
      <c r="C1064" s="12" t="s">
        <v>23</v>
      </c>
      <c r="D1064" s="15">
        <v>46267.412812499999</v>
      </c>
      <c r="E1064" s="12" t="s">
        <v>522</v>
      </c>
      <c r="F1064" s="12" t="s">
        <v>968</v>
      </c>
      <c r="G1064" s="12">
        <v>2</v>
      </c>
      <c r="H1064" s="12">
        <v>2</v>
      </c>
      <c r="I1064" s="14"/>
      <c r="J1064" s="14" t="s">
        <v>61</v>
      </c>
      <c r="K1064" s="12" t="s">
        <v>1173</v>
      </c>
      <c r="L1064" s="15">
        <v>1</v>
      </c>
      <c r="M1064" s="12" t="s">
        <v>150</v>
      </c>
      <c r="N1064" s="12">
        <v>2</v>
      </c>
      <c r="O1064" s="12">
        <v>2</v>
      </c>
      <c r="P1064" s="12">
        <v>0</v>
      </c>
      <c r="Q1064" s="16">
        <v>2</v>
      </c>
      <c r="R1064" s="16">
        <v>0</v>
      </c>
      <c r="S1064" s="16"/>
      <c r="T1064" s="16" t="e">
        <v>#N/A</v>
      </c>
      <c r="U1064" s="16" t="e">
        <v>#N/A</v>
      </c>
    </row>
    <row r="1065" spans="1:21" x14ac:dyDescent="0.25">
      <c r="A1065" s="12" t="s">
        <v>21</v>
      </c>
      <c r="B1065" s="12" t="s">
        <v>1153</v>
      </c>
      <c r="C1065" s="12" t="s">
        <v>23</v>
      </c>
      <c r="D1065" s="15">
        <v>46267.412812499999</v>
      </c>
      <c r="E1065" s="12" t="s">
        <v>522</v>
      </c>
      <c r="F1065" s="12" t="s">
        <v>681</v>
      </c>
      <c r="G1065" s="12">
        <v>11</v>
      </c>
      <c r="H1065" s="12">
        <v>11</v>
      </c>
      <c r="I1065" s="14"/>
      <c r="J1065" s="14" t="s">
        <v>61</v>
      </c>
      <c r="K1065" s="12" t="s">
        <v>1174</v>
      </c>
      <c r="L1065" s="15">
        <v>1</v>
      </c>
      <c r="M1065" s="12" t="s">
        <v>150</v>
      </c>
      <c r="N1065" s="12">
        <v>11</v>
      </c>
      <c r="O1065" s="12">
        <v>11</v>
      </c>
      <c r="P1065" s="12">
        <v>0</v>
      </c>
      <c r="Q1065" s="16">
        <v>11</v>
      </c>
      <c r="R1065" s="16">
        <v>0</v>
      </c>
      <c r="S1065" s="16"/>
      <c r="T1065" s="16" t="e">
        <v>#N/A</v>
      </c>
      <c r="U1065" s="16" t="e">
        <v>#N/A</v>
      </c>
    </row>
    <row r="1066" spans="1:21" x14ac:dyDescent="0.25">
      <c r="A1066" s="12" t="s">
        <v>21</v>
      </c>
      <c r="B1066" s="12" t="s">
        <v>1161</v>
      </c>
      <c r="C1066" s="12" t="s">
        <v>23</v>
      </c>
      <c r="D1066" s="15">
        <v>46267.415729166663</v>
      </c>
      <c r="E1066" s="12" t="s">
        <v>661</v>
      </c>
      <c r="F1066" s="12" t="s">
        <v>1164</v>
      </c>
      <c r="G1066" s="12">
        <v>12</v>
      </c>
      <c r="H1066" s="12">
        <v>12</v>
      </c>
      <c r="I1066" s="14"/>
      <c r="J1066" s="14" t="s">
        <v>61</v>
      </c>
      <c r="K1066" s="12" t="s">
        <v>1175</v>
      </c>
      <c r="L1066" s="15">
        <v>1</v>
      </c>
      <c r="M1066" s="12" t="s">
        <v>150</v>
      </c>
      <c r="N1066" s="12">
        <v>12</v>
      </c>
      <c r="O1066" s="12">
        <v>12</v>
      </c>
      <c r="P1066" s="12">
        <v>0</v>
      </c>
      <c r="Q1066" s="16">
        <v>12</v>
      </c>
      <c r="R1066" s="16">
        <v>0</v>
      </c>
      <c r="S1066" s="16"/>
      <c r="T1066" s="16" t="e">
        <v>#N/A</v>
      </c>
      <c r="U1066" s="16" t="e">
        <v>#N/A</v>
      </c>
    </row>
    <row r="1067" spans="1:21" x14ac:dyDescent="0.25">
      <c r="A1067" s="12" t="s">
        <v>21</v>
      </c>
      <c r="B1067" s="12" t="s">
        <v>1161</v>
      </c>
      <c r="C1067" s="12" t="s">
        <v>23</v>
      </c>
      <c r="D1067" s="15">
        <v>46267.415729166663</v>
      </c>
      <c r="E1067" s="12" t="s">
        <v>661</v>
      </c>
      <c r="F1067" s="12" t="s">
        <v>1165</v>
      </c>
      <c r="G1067" s="12">
        <v>1</v>
      </c>
      <c r="H1067" s="12">
        <v>1</v>
      </c>
      <c r="I1067" s="14"/>
      <c r="J1067" s="14" t="s">
        <v>61</v>
      </c>
      <c r="K1067" s="12" t="s">
        <v>1176</v>
      </c>
      <c r="L1067" s="15">
        <v>1</v>
      </c>
      <c r="M1067" s="12" t="s">
        <v>150</v>
      </c>
      <c r="N1067" s="12">
        <v>1</v>
      </c>
      <c r="O1067" s="12">
        <v>1</v>
      </c>
      <c r="P1067" s="12">
        <v>0</v>
      </c>
      <c r="Q1067" s="16">
        <v>1</v>
      </c>
      <c r="R1067" s="16">
        <v>0</v>
      </c>
      <c r="S1067" s="16"/>
      <c r="T1067" s="16" t="e">
        <v>#N/A</v>
      </c>
      <c r="U1067" s="16" t="e">
        <v>#N/A</v>
      </c>
    </row>
    <row r="1068" spans="1:21" x14ac:dyDescent="0.25">
      <c r="A1068" s="12" t="s">
        <v>21</v>
      </c>
      <c r="B1068" s="12" t="s">
        <v>1161</v>
      </c>
      <c r="C1068" s="12" t="s">
        <v>23</v>
      </c>
      <c r="D1068" s="15">
        <v>46267.415729166663</v>
      </c>
      <c r="E1068" s="12" t="s">
        <v>661</v>
      </c>
      <c r="F1068" s="12" t="s">
        <v>1166</v>
      </c>
      <c r="G1068" s="12">
        <v>10</v>
      </c>
      <c r="H1068" s="12">
        <v>10</v>
      </c>
      <c r="I1068" s="14"/>
      <c r="J1068" s="14" t="s">
        <v>61</v>
      </c>
      <c r="K1068" s="12" t="s">
        <v>1177</v>
      </c>
      <c r="L1068" s="15">
        <v>1</v>
      </c>
      <c r="M1068" s="12" t="s">
        <v>150</v>
      </c>
      <c r="N1068" s="12">
        <v>10</v>
      </c>
      <c r="O1068" s="12">
        <v>10</v>
      </c>
      <c r="P1068" s="12">
        <v>0</v>
      </c>
      <c r="Q1068" s="16">
        <v>10</v>
      </c>
      <c r="R1068" s="16">
        <v>0</v>
      </c>
      <c r="S1068" s="16"/>
      <c r="T1068" s="16" t="e">
        <v>#N/A</v>
      </c>
      <c r="U1068" s="16" t="e">
        <v>#N/A</v>
      </c>
    </row>
    <row r="1069" spans="1:21" x14ac:dyDescent="0.25">
      <c r="A1069" s="12" t="s">
        <v>21</v>
      </c>
      <c r="B1069" s="12" t="s">
        <v>1161</v>
      </c>
      <c r="C1069" s="12" t="s">
        <v>23</v>
      </c>
      <c r="D1069" s="15">
        <v>46267.415729166663</v>
      </c>
      <c r="E1069" s="12" t="s">
        <v>661</v>
      </c>
      <c r="F1069" s="12" t="s">
        <v>567</v>
      </c>
      <c r="G1069" s="12">
        <v>20</v>
      </c>
      <c r="H1069" s="12">
        <v>20</v>
      </c>
      <c r="I1069" s="14"/>
      <c r="J1069" s="14" t="s">
        <v>61</v>
      </c>
      <c r="K1069" s="12" t="s">
        <v>1178</v>
      </c>
      <c r="L1069" s="15">
        <v>1</v>
      </c>
      <c r="M1069" s="12" t="s">
        <v>150</v>
      </c>
      <c r="N1069" s="12">
        <v>20</v>
      </c>
      <c r="O1069" s="12">
        <v>20</v>
      </c>
      <c r="P1069" s="12">
        <v>0</v>
      </c>
      <c r="Q1069" s="16">
        <v>20</v>
      </c>
      <c r="R1069" s="16">
        <v>0</v>
      </c>
      <c r="S1069" s="16"/>
      <c r="T1069" s="16" t="e">
        <v>#N/A</v>
      </c>
      <c r="U1069" s="16" t="e">
        <v>#N/A</v>
      </c>
    </row>
    <row r="1070" spans="1:21" x14ac:dyDescent="0.25">
      <c r="A1070" s="12" t="s">
        <v>21</v>
      </c>
      <c r="B1070" s="12" t="s">
        <v>1161</v>
      </c>
      <c r="C1070" s="12" t="s">
        <v>23</v>
      </c>
      <c r="D1070" s="15">
        <v>46267.415729166663</v>
      </c>
      <c r="E1070" s="12" t="s">
        <v>661</v>
      </c>
      <c r="F1070" s="12" t="s">
        <v>1167</v>
      </c>
      <c r="G1070" s="12">
        <v>10</v>
      </c>
      <c r="H1070" s="12">
        <v>10</v>
      </c>
      <c r="I1070" s="14"/>
      <c r="J1070" s="14" t="s">
        <v>61</v>
      </c>
      <c r="K1070" s="12" t="s">
        <v>1179</v>
      </c>
      <c r="L1070" s="15">
        <v>1</v>
      </c>
      <c r="M1070" s="12" t="s">
        <v>150</v>
      </c>
      <c r="N1070" s="12">
        <v>10</v>
      </c>
      <c r="O1070" s="12">
        <v>10</v>
      </c>
      <c r="P1070" s="12">
        <v>0</v>
      </c>
      <c r="Q1070" s="16">
        <v>10</v>
      </c>
      <c r="R1070" s="16">
        <v>0</v>
      </c>
      <c r="S1070" s="16"/>
      <c r="T1070" s="16" t="e">
        <v>#N/A</v>
      </c>
      <c r="U1070" s="16" t="e">
        <v>#N/A</v>
      </c>
    </row>
    <row r="1071" spans="1:21" x14ac:dyDescent="0.25">
      <c r="A1071" s="12" t="s">
        <v>21</v>
      </c>
      <c r="B1071" s="12" t="s">
        <v>1162</v>
      </c>
      <c r="C1071" s="12" t="s">
        <v>23</v>
      </c>
      <c r="D1071" s="15">
        <v>46267.43309027778</v>
      </c>
      <c r="E1071" s="12" t="s">
        <v>627</v>
      </c>
      <c r="F1071" s="12" t="s">
        <v>760</v>
      </c>
      <c r="G1071" s="12">
        <v>6</v>
      </c>
      <c r="H1071" s="12">
        <v>6</v>
      </c>
      <c r="I1071" s="14"/>
      <c r="J1071" s="14" t="s">
        <v>61</v>
      </c>
      <c r="K1071" s="12" t="s">
        <v>1180</v>
      </c>
      <c r="L1071" s="15">
        <v>1</v>
      </c>
      <c r="M1071" s="12" t="s">
        <v>150</v>
      </c>
      <c r="N1071" s="12">
        <v>6</v>
      </c>
      <c r="O1071" s="12">
        <v>6</v>
      </c>
      <c r="P1071" s="12">
        <v>0</v>
      </c>
      <c r="Q1071" s="16">
        <v>6</v>
      </c>
      <c r="R1071" s="16">
        <v>0</v>
      </c>
      <c r="S1071" s="16"/>
      <c r="T1071" s="16" t="e">
        <v>#N/A</v>
      </c>
      <c r="U1071" s="16" t="e">
        <v>#N/A</v>
      </c>
    </row>
    <row r="1072" spans="1:21" x14ac:dyDescent="0.25">
      <c r="A1072" s="12" t="s">
        <v>21</v>
      </c>
      <c r="B1072" s="12" t="s">
        <v>1162</v>
      </c>
      <c r="C1072" s="12" t="s">
        <v>23</v>
      </c>
      <c r="D1072" s="15">
        <v>46267.43309027778</v>
      </c>
      <c r="E1072" s="12" t="s">
        <v>627</v>
      </c>
      <c r="F1072" s="12" t="s">
        <v>553</v>
      </c>
      <c r="G1072" s="12">
        <v>20</v>
      </c>
      <c r="H1072" s="12">
        <v>20</v>
      </c>
      <c r="I1072" s="14"/>
      <c r="J1072" s="14" t="s">
        <v>61</v>
      </c>
      <c r="K1072" s="12" t="s">
        <v>1181</v>
      </c>
      <c r="L1072" s="15">
        <v>1</v>
      </c>
      <c r="M1072" s="12" t="s">
        <v>150</v>
      </c>
      <c r="N1072" s="12">
        <v>20</v>
      </c>
      <c r="O1072" s="12">
        <v>20</v>
      </c>
      <c r="P1072" s="12">
        <v>0</v>
      </c>
      <c r="Q1072" s="16">
        <v>20</v>
      </c>
      <c r="R1072" s="16">
        <v>2</v>
      </c>
      <c r="S1072" s="16"/>
      <c r="T1072" s="16" t="e">
        <v>#N/A</v>
      </c>
      <c r="U1072" s="16" t="e">
        <v>#N/A</v>
      </c>
    </row>
    <row r="1073" spans="1:21" x14ac:dyDescent="0.25">
      <c r="A1073" s="12" t="s">
        <v>21</v>
      </c>
      <c r="B1073" s="12" t="s">
        <v>1162</v>
      </c>
      <c r="C1073" s="12" t="s">
        <v>23</v>
      </c>
      <c r="D1073" s="15">
        <v>46267.43309027778</v>
      </c>
      <c r="E1073" s="12" t="s">
        <v>627</v>
      </c>
      <c r="F1073" s="12" t="s">
        <v>442</v>
      </c>
      <c r="G1073" s="12">
        <v>40</v>
      </c>
      <c r="H1073" s="12">
        <v>40</v>
      </c>
      <c r="I1073" s="14"/>
      <c r="J1073" s="14" t="s">
        <v>61</v>
      </c>
      <c r="K1073" s="12" t="s">
        <v>1182</v>
      </c>
      <c r="L1073" s="15">
        <v>1</v>
      </c>
      <c r="M1073" s="12" t="s">
        <v>150</v>
      </c>
      <c r="N1073" s="12">
        <v>40</v>
      </c>
      <c r="O1073" s="12">
        <v>40</v>
      </c>
      <c r="P1073" s="12">
        <v>0</v>
      </c>
      <c r="Q1073" s="16">
        <v>40</v>
      </c>
      <c r="R1073" s="16">
        <v>0</v>
      </c>
      <c r="S1073" s="16"/>
      <c r="T1073" s="16" t="e">
        <v>#N/A</v>
      </c>
      <c r="U1073" s="16" t="e">
        <v>#N/A</v>
      </c>
    </row>
    <row r="1074" spans="1:21" x14ac:dyDescent="0.25">
      <c r="A1074" s="12" t="s">
        <v>21</v>
      </c>
      <c r="B1074" s="12" t="s">
        <v>1162</v>
      </c>
      <c r="C1074" s="12" t="s">
        <v>23</v>
      </c>
      <c r="D1074" s="15">
        <v>46267.43309027778</v>
      </c>
      <c r="E1074" s="12" t="s">
        <v>627</v>
      </c>
      <c r="F1074" s="12" t="s">
        <v>572</v>
      </c>
      <c r="G1074" s="12">
        <v>20</v>
      </c>
      <c r="H1074" s="12">
        <v>20</v>
      </c>
      <c r="I1074" s="14"/>
      <c r="J1074" s="14" t="s">
        <v>26</v>
      </c>
      <c r="K1074" s="12" t="s">
        <v>27</v>
      </c>
      <c r="L1074" s="15"/>
      <c r="M1074" s="12" t="s">
        <v>28</v>
      </c>
      <c r="N1074" s="12"/>
      <c r="O1074" s="12"/>
      <c r="P1074" s="12"/>
      <c r="Q1074" s="16">
        <v>0</v>
      </c>
      <c r="R1074" s="16">
        <v>10</v>
      </c>
      <c r="S1074" s="16"/>
      <c r="T1074" s="16" t="e">
        <v>#N/A</v>
      </c>
      <c r="U1074" s="16" t="e">
        <v>#N/A</v>
      </c>
    </row>
    <row r="1075" spans="1:21" x14ac:dyDescent="0.25">
      <c r="A1075" s="12" t="s">
        <v>21</v>
      </c>
      <c r="B1075" s="12" t="s">
        <v>1162</v>
      </c>
      <c r="C1075" s="12" t="s">
        <v>23</v>
      </c>
      <c r="D1075" s="15">
        <v>46267.43309027778</v>
      </c>
      <c r="E1075" s="12" t="s">
        <v>627</v>
      </c>
      <c r="F1075" s="12" t="s">
        <v>1168</v>
      </c>
      <c r="G1075" s="12">
        <v>20</v>
      </c>
      <c r="H1075" s="12">
        <v>20</v>
      </c>
      <c r="I1075" s="14"/>
      <c r="J1075" s="14" t="s">
        <v>61</v>
      </c>
      <c r="K1075" s="12" t="s">
        <v>1183</v>
      </c>
      <c r="L1075" s="15">
        <v>1</v>
      </c>
      <c r="M1075" s="12" t="s">
        <v>150</v>
      </c>
      <c r="N1075" s="12">
        <v>20</v>
      </c>
      <c r="O1075" s="12">
        <v>20</v>
      </c>
      <c r="P1075" s="12">
        <v>0</v>
      </c>
      <c r="Q1075" s="16">
        <v>20</v>
      </c>
      <c r="R1075" s="16">
        <v>0</v>
      </c>
      <c r="S1075" s="16"/>
      <c r="T1075" s="16" t="e">
        <v>#N/A</v>
      </c>
      <c r="U1075" s="16" t="e">
        <v>#N/A</v>
      </c>
    </row>
    <row r="1076" spans="1:21" x14ac:dyDescent="0.25">
      <c r="A1076" s="12" t="s">
        <v>21</v>
      </c>
      <c r="B1076" s="12" t="s">
        <v>1184</v>
      </c>
      <c r="C1076" s="12" t="s">
        <v>23</v>
      </c>
      <c r="D1076" s="15">
        <v>46267.440092592595</v>
      </c>
      <c r="E1076" s="12" t="s">
        <v>340</v>
      </c>
      <c r="F1076" s="12" t="s">
        <v>1185</v>
      </c>
      <c r="G1076" s="12">
        <v>-150</v>
      </c>
      <c r="H1076" s="12">
        <v>-150</v>
      </c>
      <c r="I1076" s="14"/>
      <c r="J1076" s="14" t="s">
        <v>26</v>
      </c>
      <c r="K1076" s="12" t="s">
        <v>27</v>
      </c>
      <c r="L1076" s="15"/>
      <c r="M1076" s="12" t="s">
        <v>28</v>
      </c>
      <c r="N1076" s="12"/>
      <c r="O1076" s="12"/>
      <c r="P1076" s="12"/>
      <c r="Q1076" s="16">
        <v>0</v>
      </c>
      <c r="R1076" s="16">
        <v>3269</v>
      </c>
      <c r="S1076" s="16"/>
      <c r="T1076" s="16" t="e">
        <v>#N/A</v>
      </c>
      <c r="U1076" s="16" t="e">
        <v>#N/A</v>
      </c>
    </row>
    <row r="1077" spans="1:21" x14ac:dyDescent="0.25">
      <c r="A1077" s="12" t="s">
        <v>21</v>
      </c>
      <c r="B1077" s="12" t="s">
        <v>1184</v>
      </c>
      <c r="C1077" s="12" t="s">
        <v>23</v>
      </c>
      <c r="D1077" s="15">
        <v>46267.440092592595</v>
      </c>
      <c r="E1077" s="12" t="s">
        <v>340</v>
      </c>
      <c r="F1077" s="12" t="s">
        <v>1185</v>
      </c>
      <c r="G1077" s="12">
        <v>-80</v>
      </c>
      <c r="H1077" s="12">
        <v>-80</v>
      </c>
      <c r="I1077" s="14"/>
      <c r="J1077" s="14" t="s">
        <v>26</v>
      </c>
      <c r="K1077" s="12" t="s">
        <v>27</v>
      </c>
      <c r="L1077" s="15"/>
      <c r="M1077" s="12" t="s">
        <v>28</v>
      </c>
      <c r="N1077" s="12"/>
      <c r="O1077" s="12"/>
      <c r="P1077" s="12"/>
      <c r="Q1077" s="16">
        <v>0</v>
      </c>
      <c r="R1077" s="16">
        <v>3269</v>
      </c>
      <c r="S1077" s="16"/>
      <c r="T1077" s="16" t="e">
        <v>#N/A</v>
      </c>
      <c r="U1077" s="16" t="e">
        <v>#N/A</v>
      </c>
    </row>
    <row r="1078" spans="1:21" x14ac:dyDescent="0.25">
      <c r="A1078" s="12" t="s">
        <v>21</v>
      </c>
      <c r="B1078" s="12" t="s">
        <v>1186</v>
      </c>
      <c r="C1078" s="12" t="s">
        <v>23</v>
      </c>
      <c r="D1078" s="15">
        <v>46267.531759259262</v>
      </c>
      <c r="E1078" s="12" t="s">
        <v>258</v>
      </c>
      <c r="F1078" s="12" t="s">
        <v>1029</v>
      </c>
      <c r="G1078" s="12">
        <v>2</v>
      </c>
      <c r="H1078" s="12">
        <v>2</v>
      </c>
      <c r="I1078" s="14"/>
      <c r="J1078" s="14" t="s">
        <v>61</v>
      </c>
      <c r="K1078" s="12" t="s">
        <v>1190</v>
      </c>
      <c r="L1078" s="15">
        <v>1</v>
      </c>
      <c r="M1078" s="12" t="s">
        <v>150</v>
      </c>
      <c r="N1078" s="12">
        <v>2</v>
      </c>
      <c r="O1078" s="12">
        <v>2</v>
      </c>
      <c r="P1078" s="12">
        <v>0</v>
      </c>
      <c r="Q1078" s="16">
        <v>2</v>
      </c>
      <c r="R1078" s="16">
        <v>0</v>
      </c>
      <c r="S1078" s="16"/>
      <c r="T1078" s="16" t="e">
        <v>#N/A</v>
      </c>
      <c r="U1078" s="16" t="e">
        <v>#N/A</v>
      </c>
    </row>
    <row r="1079" spans="1:21" x14ac:dyDescent="0.25">
      <c r="A1079" s="12" t="s">
        <v>21</v>
      </c>
      <c r="B1079" s="12" t="s">
        <v>1186</v>
      </c>
      <c r="C1079" s="12" t="s">
        <v>23</v>
      </c>
      <c r="D1079" s="15">
        <v>46267.531759259262</v>
      </c>
      <c r="E1079" s="12" t="s">
        <v>258</v>
      </c>
      <c r="F1079" s="12" t="s">
        <v>1041</v>
      </c>
      <c r="G1079" s="12">
        <v>8</v>
      </c>
      <c r="H1079" s="12">
        <v>8</v>
      </c>
      <c r="I1079" s="14"/>
      <c r="J1079" s="14" t="s">
        <v>61</v>
      </c>
      <c r="K1079" s="12" t="s">
        <v>1191</v>
      </c>
      <c r="L1079" s="15">
        <v>1</v>
      </c>
      <c r="M1079" s="12" t="s">
        <v>150</v>
      </c>
      <c r="N1079" s="12">
        <v>8</v>
      </c>
      <c r="O1079" s="12">
        <v>8</v>
      </c>
      <c r="P1079" s="12">
        <v>0</v>
      </c>
      <c r="Q1079" s="16">
        <v>8</v>
      </c>
      <c r="R1079" s="16">
        <v>0</v>
      </c>
      <c r="S1079" s="16"/>
      <c r="T1079" s="16" t="e">
        <v>#N/A</v>
      </c>
      <c r="U1079" s="16" t="e">
        <v>#N/A</v>
      </c>
    </row>
    <row r="1080" spans="1:21" x14ac:dyDescent="0.25">
      <c r="A1080" s="12" t="s">
        <v>21</v>
      </c>
      <c r="B1080" s="12" t="s">
        <v>1186</v>
      </c>
      <c r="C1080" s="12" t="s">
        <v>23</v>
      </c>
      <c r="D1080" s="15">
        <v>46267.531759259262</v>
      </c>
      <c r="E1080" s="12" t="s">
        <v>258</v>
      </c>
      <c r="F1080" s="12" t="s">
        <v>1188</v>
      </c>
      <c r="G1080" s="12">
        <v>3</v>
      </c>
      <c r="H1080" s="12">
        <v>3</v>
      </c>
      <c r="I1080" s="14"/>
      <c r="J1080" s="14" t="s">
        <v>61</v>
      </c>
      <c r="K1080" s="12" t="s">
        <v>1192</v>
      </c>
      <c r="L1080" s="15">
        <v>1</v>
      </c>
      <c r="M1080" s="12" t="s">
        <v>150</v>
      </c>
      <c r="N1080" s="12">
        <v>3</v>
      </c>
      <c r="O1080" s="12">
        <v>3</v>
      </c>
      <c r="P1080" s="12">
        <v>0</v>
      </c>
      <c r="Q1080" s="16">
        <v>3</v>
      </c>
      <c r="R1080" s="16">
        <v>4</v>
      </c>
      <c r="S1080" s="16"/>
      <c r="T1080" s="16" t="e">
        <v>#N/A</v>
      </c>
      <c r="U1080" s="16" t="e">
        <v>#N/A</v>
      </c>
    </row>
    <row r="1081" spans="1:21" x14ac:dyDescent="0.25">
      <c r="A1081" s="12" t="s">
        <v>21</v>
      </c>
      <c r="B1081" s="12" t="s">
        <v>1186</v>
      </c>
      <c r="C1081" s="12" t="s">
        <v>23</v>
      </c>
      <c r="D1081" s="15">
        <v>46267.531759259262</v>
      </c>
      <c r="E1081" s="12" t="s">
        <v>258</v>
      </c>
      <c r="F1081" s="12" t="s">
        <v>1189</v>
      </c>
      <c r="G1081" s="12">
        <v>4</v>
      </c>
      <c r="H1081" s="12">
        <v>4</v>
      </c>
      <c r="I1081" s="14"/>
      <c r="J1081" s="14" t="s">
        <v>61</v>
      </c>
      <c r="K1081" s="12" t="s">
        <v>1193</v>
      </c>
      <c r="L1081" s="15">
        <v>1</v>
      </c>
      <c r="M1081" s="12" t="s">
        <v>150</v>
      </c>
      <c r="N1081" s="12">
        <v>4</v>
      </c>
      <c r="O1081" s="12">
        <v>4</v>
      </c>
      <c r="P1081" s="12">
        <v>0</v>
      </c>
      <c r="Q1081" s="16">
        <v>4</v>
      </c>
      <c r="R1081" s="16">
        <v>0</v>
      </c>
      <c r="S1081" s="16"/>
      <c r="T1081" s="16" t="e">
        <v>#N/A</v>
      </c>
      <c r="U1081" s="16" t="e">
        <v>#N/A</v>
      </c>
    </row>
    <row r="1082" spans="1:21" x14ac:dyDescent="0.25">
      <c r="A1082" s="12" t="s">
        <v>21</v>
      </c>
      <c r="B1082" s="12" t="s">
        <v>1187</v>
      </c>
      <c r="C1082" s="12" t="s">
        <v>23</v>
      </c>
      <c r="D1082" s="15">
        <v>46267.547002314815</v>
      </c>
      <c r="E1082" s="12" t="s">
        <v>627</v>
      </c>
      <c r="F1082" s="12" t="s">
        <v>568</v>
      </c>
      <c r="G1082" s="12">
        <v>2</v>
      </c>
      <c r="H1082" s="12">
        <v>2</v>
      </c>
      <c r="I1082" s="14"/>
      <c r="J1082" s="14" t="s">
        <v>61</v>
      </c>
      <c r="K1082" s="12" t="s">
        <v>1194</v>
      </c>
      <c r="L1082" s="15">
        <v>1</v>
      </c>
      <c r="M1082" s="12" t="s">
        <v>150</v>
      </c>
      <c r="N1082" s="12">
        <v>2</v>
      </c>
      <c r="O1082" s="12">
        <v>2</v>
      </c>
      <c r="P1082" s="12">
        <v>0</v>
      </c>
      <c r="Q1082" s="16">
        <v>2</v>
      </c>
      <c r="R1082" s="16">
        <v>0</v>
      </c>
      <c r="S1082" s="16"/>
      <c r="T1082" s="16" t="e">
        <v>#N/A</v>
      </c>
      <c r="U1082" s="16" t="e">
        <v>#N/A</v>
      </c>
    </row>
    <row r="1083" spans="1:21" x14ac:dyDescent="0.25">
      <c r="A1083" s="12" t="s">
        <v>21</v>
      </c>
      <c r="B1083" s="12" t="s">
        <v>1187</v>
      </c>
      <c r="C1083" s="12" t="s">
        <v>23</v>
      </c>
      <c r="D1083" s="15">
        <v>46267.547002314815</v>
      </c>
      <c r="E1083" s="12" t="s">
        <v>627</v>
      </c>
      <c r="F1083" s="12" t="s">
        <v>1022</v>
      </c>
      <c r="G1083" s="12">
        <v>60</v>
      </c>
      <c r="H1083" s="12">
        <v>30</v>
      </c>
      <c r="I1083" s="14"/>
      <c r="J1083" s="14" t="s">
        <v>61</v>
      </c>
      <c r="K1083" s="12" t="s">
        <v>1195</v>
      </c>
      <c r="L1083" s="15">
        <v>1</v>
      </c>
      <c r="M1083" s="12" t="s">
        <v>150</v>
      </c>
      <c r="N1083" s="12">
        <v>30</v>
      </c>
      <c r="O1083" s="12">
        <v>30</v>
      </c>
      <c r="P1083" s="12">
        <v>0</v>
      </c>
      <c r="Q1083" s="16">
        <v>30</v>
      </c>
      <c r="R1083" s="16">
        <v>3</v>
      </c>
      <c r="S1083" s="16"/>
      <c r="T1083" s="16" t="e">
        <v>#N/A</v>
      </c>
      <c r="U1083" s="16" t="e">
        <v>#N/A</v>
      </c>
    </row>
    <row r="1084" spans="1:21" x14ac:dyDescent="0.25">
      <c r="A1084" s="12" t="s">
        <v>21</v>
      </c>
      <c r="B1084" s="12" t="s">
        <v>1187</v>
      </c>
      <c r="C1084" s="12" t="s">
        <v>23</v>
      </c>
      <c r="D1084" s="15">
        <v>46267.547002314815</v>
      </c>
      <c r="E1084" s="12" t="s">
        <v>627</v>
      </c>
      <c r="F1084" s="12" t="s">
        <v>1023</v>
      </c>
      <c r="G1084" s="12">
        <v>7</v>
      </c>
      <c r="H1084" s="12">
        <v>7</v>
      </c>
      <c r="I1084" s="14"/>
      <c r="J1084" s="14" t="s">
        <v>61</v>
      </c>
      <c r="K1084" s="12" t="s">
        <v>1196</v>
      </c>
      <c r="L1084" s="15">
        <v>1</v>
      </c>
      <c r="M1084" s="12" t="s">
        <v>150</v>
      </c>
      <c r="N1084" s="12">
        <v>7</v>
      </c>
      <c r="O1084" s="12">
        <v>7</v>
      </c>
      <c r="P1084" s="12">
        <v>0</v>
      </c>
      <c r="Q1084" s="16">
        <v>7</v>
      </c>
      <c r="R1084" s="16">
        <v>6</v>
      </c>
      <c r="S1084" s="16"/>
      <c r="T1084" s="16" t="e">
        <v>#N/A</v>
      </c>
      <c r="U1084" s="16" t="e">
        <v>#N/A</v>
      </c>
    </row>
    <row r="1085" spans="1:21" x14ac:dyDescent="0.25">
      <c r="A1085" s="12" t="s">
        <v>21</v>
      </c>
      <c r="B1085" s="12" t="s">
        <v>1197</v>
      </c>
      <c r="C1085" s="12" t="s">
        <v>23</v>
      </c>
      <c r="D1085" s="15">
        <v>46267.551539351851</v>
      </c>
      <c r="E1085" s="12" t="s">
        <v>24</v>
      </c>
      <c r="F1085" s="12" t="s">
        <v>267</v>
      </c>
      <c r="G1085" s="12">
        <v>45</v>
      </c>
      <c r="H1085" s="12">
        <v>45</v>
      </c>
      <c r="I1085" s="14"/>
      <c r="J1085" s="14" t="s">
        <v>61</v>
      </c>
      <c r="K1085" s="12" t="s">
        <v>1203</v>
      </c>
      <c r="L1085" s="15">
        <v>1</v>
      </c>
      <c r="M1085" s="12" t="s">
        <v>150</v>
      </c>
      <c r="N1085" s="12">
        <v>45</v>
      </c>
      <c r="O1085" s="12">
        <v>45</v>
      </c>
      <c r="P1085" s="12">
        <v>0</v>
      </c>
      <c r="Q1085" s="16">
        <v>135</v>
      </c>
      <c r="R1085" s="16">
        <v>0</v>
      </c>
      <c r="S1085" s="16"/>
      <c r="T1085" s="16" t="e">
        <v>#N/A</v>
      </c>
      <c r="U1085" s="16" t="e">
        <v>#N/A</v>
      </c>
    </row>
    <row r="1086" spans="1:21" x14ac:dyDescent="0.25">
      <c r="A1086" s="12" t="s">
        <v>21</v>
      </c>
      <c r="B1086" s="12" t="s">
        <v>1197</v>
      </c>
      <c r="C1086" s="12" t="s">
        <v>23</v>
      </c>
      <c r="D1086" s="15">
        <v>46267.551539351851</v>
      </c>
      <c r="E1086" s="12" t="s">
        <v>24</v>
      </c>
      <c r="F1086" s="12" t="s">
        <v>760</v>
      </c>
      <c r="G1086" s="12">
        <v>60</v>
      </c>
      <c r="H1086" s="12">
        <v>60</v>
      </c>
      <c r="I1086" s="14"/>
      <c r="J1086" s="14" t="s">
        <v>26</v>
      </c>
      <c r="K1086" s="12" t="s">
        <v>27</v>
      </c>
      <c r="L1086" s="15"/>
      <c r="M1086" s="12" t="s">
        <v>28</v>
      </c>
      <c r="N1086" s="12"/>
      <c r="O1086" s="12"/>
      <c r="P1086" s="12"/>
      <c r="Q1086" s="16">
        <v>0</v>
      </c>
      <c r="R1086" s="16">
        <v>0</v>
      </c>
      <c r="S1086" s="16"/>
      <c r="T1086" s="16" t="e">
        <v>#N/A</v>
      </c>
      <c r="U1086" s="16" t="e">
        <v>#N/A</v>
      </c>
    </row>
    <row r="1087" spans="1:21" x14ac:dyDescent="0.25">
      <c r="A1087" s="12" t="s">
        <v>21</v>
      </c>
      <c r="B1087" s="12" t="s">
        <v>1197</v>
      </c>
      <c r="C1087" s="12" t="s">
        <v>23</v>
      </c>
      <c r="D1087" s="15">
        <v>46267.551539351851</v>
      </c>
      <c r="E1087" s="12" t="s">
        <v>24</v>
      </c>
      <c r="F1087" s="12" t="s">
        <v>1198</v>
      </c>
      <c r="G1087" s="12">
        <v>40</v>
      </c>
      <c r="H1087" s="12">
        <v>40</v>
      </c>
      <c r="I1087" s="14"/>
      <c r="J1087" s="14" t="s">
        <v>26</v>
      </c>
      <c r="K1087" s="12" t="s">
        <v>27</v>
      </c>
      <c r="L1087" s="15"/>
      <c r="M1087" s="12" t="s">
        <v>28</v>
      </c>
      <c r="N1087" s="12"/>
      <c r="O1087" s="12"/>
      <c r="P1087" s="12"/>
      <c r="Q1087" s="16">
        <v>0</v>
      </c>
      <c r="R1087" s="16">
        <v>0</v>
      </c>
      <c r="S1087" s="16"/>
      <c r="T1087" s="16" t="e">
        <v>#N/A</v>
      </c>
      <c r="U1087" s="16" t="e">
        <v>#N/A</v>
      </c>
    </row>
    <row r="1088" spans="1:21" x14ac:dyDescent="0.25">
      <c r="A1088" s="12" t="s">
        <v>21</v>
      </c>
      <c r="B1088" s="12" t="s">
        <v>1197</v>
      </c>
      <c r="C1088" s="12" t="s">
        <v>23</v>
      </c>
      <c r="D1088" s="15">
        <v>46267.551539351851</v>
      </c>
      <c r="E1088" s="12" t="s">
        <v>24</v>
      </c>
      <c r="F1088" s="12" t="s">
        <v>496</v>
      </c>
      <c r="G1088" s="12">
        <v>200</v>
      </c>
      <c r="H1088" s="12">
        <v>200</v>
      </c>
      <c r="I1088" s="14"/>
      <c r="J1088" s="14" t="s">
        <v>61</v>
      </c>
      <c r="K1088" s="12" t="s">
        <v>1204</v>
      </c>
      <c r="L1088" s="15">
        <v>1</v>
      </c>
      <c r="M1088" s="12" t="s">
        <v>150</v>
      </c>
      <c r="N1088" s="12">
        <v>200</v>
      </c>
      <c r="O1088" s="12">
        <v>200</v>
      </c>
      <c r="P1088" s="12">
        <v>0</v>
      </c>
      <c r="Q1088" s="16">
        <v>800</v>
      </c>
      <c r="R1088" s="16">
        <v>0</v>
      </c>
      <c r="S1088" s="16"/>
      <c r="T1088" s="16" t="e">
        <v>#N/A</v>
      </c>
      <c r="U1088" s="16" t="e">
        <v>#N/A</v>
      </c>
    </row>
    <row r="1089" spans="1:21" x14ac:dyDescent="0.25">
      <c r="A1089" s="12" t="s">
        <v>21</v>
      </c>
      <c r="B1089" s="12" t="s">
        <v>1197</v>
      </c>
      <c r="C1089" s="12" t="s">
        <v>23</v>
      </c>
      <c r="D1089" s="15">
        <v>46267.551539351851</v>
      </c>
      <c r="E1089" s="12" t="s">
        <v>24</v>
      </c>
      <c r="F1089" s="12" t="s">
        <v>373</v>
      </c>
      <c r="G1089" s="12">
        <v>60</v>
      </c>
      <c r="H1089" s="12">
        <v>60</v>
      </c>
      <c r="I1089" s="14"/>
      <c r="J1089" s="14" t="s">
        <v>61</v>
      </c>
      <c r="K1089" s="12" t="s">
        <v>27</v>
      </c>
      <c r="L1089" s="15"/>
      <c r="M1089" s="12" t="s">
        <v>28</v>
      </c>
      <c r="N1089" s="12"/>
      <c r="O1089" s="12"/>
      <c r="P1089" s="12"/>
      <c r="Q1089" s="16">
        <v>135</v>
      </c>
      <c r="R1089" s="16">
        <v>2</v>
      </c>
      <c r="S1089" s="16"/>
      <c r="T1089" s="16" t="e">
        <v>#N/A</v>
      </c>
      <c r="U1089" s="16" t="e">
        <v>#N/A</v>
      </c>
    </row>
    <row r="1090" spans="1:21" x14ac:dyDescent="0.25">
      <c r="A1090" s="12" t="s">
        <v>21</v>
      </c>
      <c r="B1090" s="12" t="s">
        <v>1197</v>
      </c>
      <c r="C1090" s="12" t="s">
        <v>23</v>
      </c>
      <c r="D1090" s="15">
        <v>46267.551539351851</v>
      </c>
      <c r="E1090" s="12" t="s">
        <v>24</v>
      </c>
      <c r="F1090" s="12" t="s">
        <v>1199</v>
      </c>
      <c r="G1090" s="12">
        <v>45</v>
      </c>
      <c r="H1090" s="12">
        <v>45</v>
      </c>
      <c r="I1090" s="14"/>
      <c r="J1090" s="14" t="s">
        <v>61</v>
      </c>
      <c r="K1090" s="12" t="s">
        <v>1205</v>
      </c>
      <c r="L1090" s="15">
        <v>1</v>
      </c>
      <c r="M1090" s="12" t="s">
        <v>150</v>
      </c>
      <c r="N1090" s="12">
        <v>45</v>
      </c>
      <c r="O1090" s="12">
        <v>45</v>
      </c>
      <c r="P1090" s="12">
        <v>0</v>
      </c>
      <c r="Q1090" s="16">
        <v>135</v>
      </c>
      <c r="R1090" s="16">
        <v>0</v>
      </c>
      <c r="S1090" s="16"/>
      <c r="T1090" s="16" t="e">
        <v>#N/A</v>
      </c>
      <c r="U1090" s="16" t="e">
        <v>#N/A</v>
      </c>
    </row>
    <row r="1091" spans="1:21" x14ac:dyDescent="0.25">
      <c r="A1091" s="12" t="s">
        <v>21</v>
      </c>
      <c r="B1091" s="12" t="s">
        <v>1197</v>
      </c>
      <c r="C1091" s="12" t="s">
        <v>23</v>
      </c>
      <c r="D1091" s="15">
        <v>46267.551539351851</v>
      </c>
      <c r="E1091" s="12" t="s">
        <v>24</v>
      </c>
      <c r="F1091" s="12" t="s">
        <v>549</v>
      </c>
      <c r="G1091" s="12">
        <v>10</v>
      </c>
      <c r="H1091" s="12">
        <v>10</v>
      </c>
      <c r="I1091" s="14"/>
      <c r="J1091" s="14" t="s">
        <v>26</v>
      </c>
      <c r="K1091" s="12" t="s">
        <v>27</v>
      </c>
      <c r="L1091" s="15"/>
      <c r="M1091" s="12" t="s">
        <v>28</v>
      </c>
      <c r="N1091" s="12"/>
      <c r="O1091" s="12"/>
      <c r="P1091" s="12"/>
      <c r="Q1091" s="16">
        <v>0</v>
      </c>
      <c r="R1091" s="16">
        <v>1</v>
      </c>
      <c r="S1091" s="16"/>
      <c r="T1091" s="16" t="e">
        <v>#N/A</v>
      </c>
      <c r="U1091" s="16" t="e">
        <v>#N/A</v>
      </c>
    </row>
    <row r="1092" spans="1:21" x14ac:dyDescent="0.25">
      <c r="A1092" s="12" t="s">
        <v>21</v>
      </c>
      <c r="B1092" s="12" t="s">
        <v>1197</v>
      </c>
      <c r="C1092" s="12" t="s">
        <v>23</v>
      </c>
      <c r="D1092" s="15">
        <v>46267.551539351851</v>
      </c>
      <c r="E1092" s="12" t="s">
        <v>24</v>
      </c>
      <c r="F1092" s="12" t="s">
        <v>550</v>
      </c>
      <c r="G1092" s="12">
        <v>32</v>
      </c>
      <c r="H1092" s="12">
        <v>32</v>
      </c>
      <c r="I1092" s="14"/>
      <c r="J1092" s="14" t="s">
        <v>26</v>
      </c>
      <c r="K1092" s="12" t="s">
        <v>27</v>
      </c>
      <c r="L1092" s="15"/>
      <c r="M1092" s="12" t="s">
        <v>28</v>
      </c>
      <c r="N1092" s="12"/>
      <c r="O1092" s="12"/>
      <c r="P1092" s="12"/>
      <c r="Q1092" s="16">
        <v>0</v>
      </c>
      <c r="R1092" s="16">
        <v>0</v>
      </c>
      <c r="S1092" s="16"/>
      <c r="T1092" s="16" t="e">
        <v>#N/A</v>
      </c>
      <c r="U1092" s="16" t="e">
        <v>#N/A</v>
      </c>
    </row>
    <row r="1093" spans="1:21" x14ac:dyDescent="0.25">
      <c r="A1093" s="12" t="s">
        <v>21</v>
      </c>
      <c r="B1093" s="12" t="s">
        <v>1197</v>
      </c>
      <c r="C1093" s="12" t="s">
        <v>23</v>
      </c>
      <c r="D1093" s="15">
        <v>46267.551539351851</v>
      </c>
      <c r="E1093" s="12" t="s">
        <v>24</v>
      </c>
      <c r="F1093" s="12" t="s">
        <v>551</v>
      </c>
      <c r="G1093" s="12">
        <v>20</v>
      </c>
      <c r="H1093" s="12">
        <v>20</v>
      </c>
      <c r="I1093" s="14"/>
      <c r="J1093" s="14" t="s">
        <v>61</v>
      </c>
      <c r="K1093" s="12" t="s">
        <v>1206</v>
      </c>
      <c r="L1093" s="15">
        <v>1</v>
      </c>
      <c r="M1093" s="12" t="s">
        <v>150</v>
      </c>
      <c r="N1093" s="12">
        <v>20</v>
      </c>
      <c r="O1093" s="12">
        <v>20</v>
      </c>
      <c r="P1093" s="12">
        <v>0</v>
      </c>
      <c r="Q1093" s="16">
        <v>20</v>
      </c>
      <c r="R1093" s="16">
        <v>0</v>
      </c>
      <c r="S1093" s="16"/>
      <c r="T1093" s="16" t="e">
        <v>#N/A</v>
      </c>
      <c r="U1093" s="16" t="e">
        <v>#N/A</v>
      </c>
    </row>
    <row r="1094" spans="1:21" x14ac:dyDescent="0.25">
      <c r="A1094" s="12" t="s">
        <v>21</v>
      </c>
      <c r="B1094" s="12" t="s">
        <v>1197</v>
      </c>
      <c r="C1094" s="12" t="s">
        <v>23</v>
      </c>
      <c r="D1094" s="15">
        <v>46267.551539351851</v>
      </c>
      <c r="E1094" s="12" t="s">
        <v>24</v>
      </c>
      <c r="F1094" s="12" t="s">
        <v>70</v>
      </c>
      <c r="G1094" s="12">
        <v>400</v>
      </c>
      <c r="H1094" s="12">
        <v>400</v>
      </c>
      <c r="I1094" s="14"/>
      <c r="J1094" s="14" t="s">
        <v>61</v>
      </c>
      <c r="K1094" s="12" t="s">
        <v>1207</v>
      </c>
      <c r="L1094" s="15">
        <v>1</v>
      </c>
      <c r="M1094" s="12" t="s">
        <v>150</v>
      </c>
      <c r="N1094" s="12">
        <v>400</v>
      </c>
      <c r="O1094" s="12">
        <v>400</v>
      </c>
      <c r="P1094" s="12">
        <v>0</v>
      </c>
      <c r="Q1094" s="16">
        <v>800</v>
      </c>
      <c r="R1094" s="16">
        <v>0</v>
      </c>
      <c r="S1094" s="16"/>
      <c r="T1094" s="16" t="e">
        <v>#N/A</v>
      </c>
      <c r="U1094" s="16" t="e">
        <v>#N/A</v>
      </c>
    </row>
    <row r="1095" spans="1:21" x14ac:dyDescent="0.25">
      <c r="A1095" s="12" t="s">
        <v>21</v>
      </c>
      <c r="B1095" s="12" t="s">
        <v>1197</v>
      </c>
      <c r="C1095" s="12" t="s">
        <v>23</v>
      </c>
      <c r="D1095" s="15">
        <v>46267.551539351851</v>
      </c>
      <c r="E1095" s="12" t="s">
        <v>24</v>
      </c>
      <c r="F1095" s="12" t="s">
        <v>362</v>
      </c>
      <c r="G1095" s="12">
        <v>16</v>
      </c>
      <c r="H1095" s="12">
        <v>16</v>
      </c>
      <c r="I1095" s="14"/>
      <c r="J1095" s="14" t="s">
        <v>61</v>
      </c>
      <c r="K1095" s="12" t="s">
        <v>27</v>
      </c>
      <c r="L1095" s="15"/>
      <c r="M1095" s="12" t="s">
        <v>28</v>
      </c>
      <c r="N1095" s="12"/>
      <c r="O1095" s="12"/>
      <c r="P1095" s="12"/>
      <c r="Q1095" s="16">
        <v>20</v>
      </c>
      <c r="R1095" s="16">
        <v>0</v>
      </c>
      <c r="S1095" s="16"/>
      <c r="T1095" s="16" t="e">
        <v>#N/A</v>
      </c>
      <c r="U1095" s="16" t="e">
        <v>#N/A</v>
      </c>
    </row>
    <row r="1096" spans="1:21" x14ac:dyDescent="0.25">
      <c r="A1096" s="12" t="s">
        <v>21</v>
      </c>
      <c r="B1096" s="12" t="s">
        <v>1197</v>
      </c>
      <c r="C1096" s="12" t="s">
        <v>23</v>
      </c>
      <c r="D1096" s="15">
        <v>46267.551539351851</v>
      </c>
      <c r="E1096" s="12" t="s">
        <v>24</v>
      </c>
      <c r="F1096" s="12" t="s">
        <v>552</v>
      </c>
      <c r="G1096" s="12">
        <v>200</v>
      </c>
      <c r="H1096" s="12">
        <v>200</v>
      </c>
      <c r="I1096" s="14"/>
      <c r="J1096" s="14" t="s">
        <v>61</v>
      </c>
      <c r="K1096" s="12" t="s">
        <v>1208</v>
      </c>
      <c r="L1096" s="15">
        <v>1</v>
      </c>
      <c r="M1096" s="12" t="s">
        <v>150</v>
      </c>
      <c r="N1096" s="12">
        <v>200</v>
      </c>
      <c r="O1096" s="12">
        <v>200</v>
      </c>
      <c r="P1096" s="12">
        <v>0</v>
      </c>
      <c r="Q1096" s="16">
        <v>800</v>
      </c>
      <c r="R1096" s="16">
        <v>0</v>
      </c>
      <c r="S1096" s="16"/>
      <c r="T1096" s="16" t="e">
        <v>#N/A</v>
      </c>
      <c r="U1096" s="16" t="e">
        <v>#N/A</v>
      </c>
    </row>
    <row r="1097" spans="1:21" x14ac:dyDescent="0.25">
      <c r="A1097" s="12" t="s">
        <v>21</v>
      </c>
      <c r="B1097" s="12" t="s">
        <v>1197</v>
      </c>
      <c r="C1097" s="12" t="s">
        <v>23</v>
      </c>
      <c r="D1097" s="15">
        <v>46267.551539351851</v>
      </c>
      <c r="E1097" s="12" t="s">
        <v>24</v>
      </c>
      <c r="F1097" s="12" t="s">
        <v>987</v>
      </c>
      <c r="G1097" s="12">
        <v>60</v>
      </c>
      <c r="H1097" s="12">
        <v>60</v>
      </c>
      <c r="I1097" s="14"/>
      <c r="J1097" s="14" t="s">
        <v>26</v>
      </c>
      <c r="K1097" s="12" t="s">
        <v>27</v>
      </c>
      <c r="L1097" s="15"/>
      <c r="M1097" s="12" t="s">
        <v>28</v>
      </c>
      <c r="N1097" s="12"/>
      <c r="O1097" s="12"/>
      <c r="P1097" s="12"/>
      <c r="Q1097" s="16">
        <v>0</v>
      </c>
      <c r="R1097" s="16">
        <v>0</v>
      </c>
      <c r="S1097" s="16"/>
      <c r="T1097" s="16" t="e">
        <v>#N/A</v>
      </c>
      <c r="U1097" s="16" t="e">
        <v>#N/A</v>
      </c>
    </row>
    <row r="1098" spans="1:21" x14ac:dyDescent="0.25">
      <c r="A1098" s="12" t="s">
        <v>21</v>
      </c>
      <c r="B1098" s="12" t="s">
        <v>1197</v>
      </c>
      <c r="C1098" s="12" t="s">
        <v>23</v>
      </c>
      <c r="D1098" s="15">
        <v>46267.551539351851</v>
      </c>
      <c r="E1098" s="12" t="s">
        <v>24</v>
      </c>
      <c r="F1098" s="12" t="s">
        <v>472</v>
      </c>
      <c r="G1098" s="12">
        <v>200</v>
      </c>
      <c r="H1098" s="12">
        <v>200</v>
      </c>
      <c r="I1098" s="14"/>
      <c r="J1098" s="14" t="s">
        <v>26</v>
      </c>
      <c r="K1098" s="12" t="s">
        <v>27</v>
      </c>
      <c r="L1098" s="15"/>
      <c r="M1098" s="12" t="s">
        <v>28</v>
      </c>
      <c r="N1098" s="12"/>
      <c r="O1098" s="12"/>
      <c r="P1098" s="12"/>
      <c r="Q1098" s="16">
        <v>0</v>
      </c>
      <c r="R1098" s="16">
        <v>0</v>
      </c>
      <c r="S1098" s="16"/>
      <c r="T1098" s="16" t="e">
        <v>#N/A</v>
      </c>
      <c r="U1098" s="16" t="e">
        <v>#N/A</v>
      </c>
    </row>
    <row r="1099" spans="1:21" x14ac:dyDescent="0.25">
      <c r="A1099" s="12" t="s">
        <v>21</v>
      </c>
      <c r="B1099" s="12" t="s">
        <v>1197</v>
      </c>
      <c r="C1099" s="12" t="s">
        <v>23</v>
      </c>
      <c r="D1099" s="15">
        <v>46267.551539351851</v>
      </c>
      <c r="E1099" s="12" t="s">
        <v>24</v>
      </c>
      <c r="F1099" s="12" t="s">
        <v>988</v>
      </c>
      <c r="G1099" s="12">
        <v>30</v>
      </c>
      <c r="H1099" s="12">
        <v>30</v>
      </c>
      <c r="I1099" s="14"/>
      <c r="J1099" s="14" t="s">
        <v>61</v>
      </c>
      <c r="K1099" s="12" t="s">
        <v>27</v>
      </c>
      <c r="L1099" s="15"/>
      <c r="M1099" s="12" t="s">
        <v>28</v>
      </c>
      <c r="N1099" s="12"/>
      <c r="O1099" s="12"/>
      <c r="P1099" s="12"/>
      <c r="Q1099" s="16">
        <v>20</v>
      </c>
      <c r="R1099" s="16">
        <v>0</v>
      </c>
      <c r="S1099" s="16"/>
      <c r="T1099" s="16" t="e">
        <v>#N/A</v>
      </c>
      <c r="U1099" s="16" t="e">
        <v>#N/A</v>
      </c>
    </row>
    <row r="1100" spans="1:21" x14ac:dyDescent="0.25">
      <c r="A1100" s="12" t="s">
        <v>21</v>
      </c>
      <c r="B1100" s="12" t="s">
        <v>1197</v>
      </c>
      <c r="C1100" s="12" t="s">
        <v>23</v>
      </c>
      <c r="D1100" s="15">
        <v>46267.551539351851</v>
      </c>
      <c r="E1100" s="12" t="s">
        <v>24</v>
      </c>
      <c r="F1100" s="12" t="s">
        <v>1200</v>
      </c>
      <c r="G1100" s="12">
        <v>20</v>
      </c>
      <c r="H1100" s="12">
        <v>20</v>
      </c>
      <c r="I1100" s="14"/>
      <c r="J1100" s="14" t="s">
        <v>61</v>
      </c>
      <c r="K1100" s="12" t="s">
        <v>1209</v>
      </c>
      <c r="L1100" s="15">
        <v>1</v>
      </c>
      <c r="M1100" s="12" t="s">
        <v>150</v>
      </c>
      <c r="N1100" s="12">
        <v>20</v>
      </c>
      <c r="O1100" s="12">
        <v>20</v>
      </c>
      <c r="P1100" s="12">
        <v>0</v>
      </c>
      <c r="Q1100" s="16">
        <v>30</v>
      </c>
      <c r="R1100" s="16">
        <v>1</v>
      </c>
      <c r="S1100" s="16"/>
      <c r="T1100" s="16" t="e">
        <v>#N/A</v>
      </c>
      <c r="U1100" s="16" t="e">
        <v>#N/A</v>
      </c>
    </row>
    <row r="1101" spans="1:21" x14ac:dyDescent="0.25">
      <c r="A1101" s="12" t="s">
        <v>21</v>
      </c>
      <c r="B1101" s="12" t="s">
        <v>1197</v>
      </c>
      <c r="C1101" s="12" t="s">
        <v>23</v>
      </c>
      <c r="D1101" s="15">
        <v>46267.551539351851</v>
      </c>
      <c r="E1101" s="12" t="s">
        <v>24</v>
      </c>
      <c r="F1101" s="12" t="s">
        <v>1201</v>
      </c>
      <c r="G1101" s="12">
        <v>10</v>
      </c>
      <c r="H1101" s="12">
        <v>10</v>
      </c>
      <c r="I1101" s="14"/>
      <c r="J1101" s="14" t="s">
        <v>26</v>
      </c>
      <c r="K1101" s="12" t="s">
        <v>27</v>
      </c>
      <c r="L1101" s="15"/>
      <c r="M1101" s="12" t="s">
        <v>28</v>
      </c>
      <c r="N1101" s="12"/>
      <c r="O1101" s="12"/>
      <c r="P1101" s="12"/>
      <c r="Q1101" s="16">
        <v>0</v>
      </c>
      <c r="R1101" s="16">
        <v>0</v>
      </c>
      <c r="S1101" s="16"/>
      <c r="T1101" s="16" t="e">
        <v>#N/A</v>
      </c>
      <c r="U1101" s="16" t="e">
        <v>#N/A</v>
      </c>
    </row>
    <row r="1102" spans="1:21" x14ac:dyDescent="0.25">
      <c r="A1102" s="12" t="s">
        <v>21</v>
      </c>
      <c r="B1102" s="12" t="s">
        <v>1197</v>
      </c>
      <c r="C1102" s="12" t="s">
        <v>23</v>
      </c>
      <c r="D1102" s="15">
        <v>46267.551539351851</v>
      </c>
      <c r="E1102" s="12" t="s">
        <v>24</v>
      </c>
      <c r="F1102" s="12" t="s">
        <v>553</v>
      </c>
      <c r="G1102" s="12">
        <v>60</v>
      </c>
      <c r="H1102" s="12">
        <v>60</v>
      </c>
      <c r="I1102" s="14"/>
      <c r="J1102" s="14" t="s">
        <v>61</v>
      </c>
      <c r="K1102" s="12" t="s">
        <v>1210</v>
      </c>
      <c r="L1102" s="15">
        <v>1</v>
      </c>
      <c r="M1102" s="12" t="s">
        <v>150</v>
      </c>
      <c r="N1102" s="12">
        <v>60</v>
      </c>
      <c r="O1102" s="12">
        <v>60</v>
      </c>
      <c r="P1102" s="12">
        <v>0</v>
      </c>
      <c r="Q1102" s="16">
        <v>280</v>
      </c>
      <c r="R1102" s="16">
        <v>2</v>
      </c>
      <c r="S1102" s="16"/>
      <c r="T1102" s="16" t="e">
        <v>#N/A</v>
      </c>
      <c r="U1102" s="16" t="e">
        <v>#N/A</v>
      </c>
    </row>
    <row r="1103" spans="1:21" x14ac:dyDescent="0.25">
      <c r="A1103" s="12" t="s">
        <v>21</v>
      </c>
      <c r="B1103" s="12" t="s">
        <v>1197</v>
      </c>
      <c r="C1103" s="12" t="s">
        <v>23</v>
      </c>
      <c r="D1103" s="15">
        <v>46267.551539351851</v>
      </c>
      <c r="E1103" s="12" t="s">
        <v>24</v>
      </c>
      <c r="F1103" s="12" t="s">
        <v>273</v>
      </c>
      <c r="G1103" s="12">
        <v>100</v>
      </c>
      <c r="H1103" s="12">
        <v>100</v>
      </c>
      <c r="I1103" s="14"/>
      <c r="J1103" s="14" t="s">
        <v>61</v>
      </c>
      <c r="K1103" s="12" t="s">
        <v>1211</v>
      </c>
      <c r="L1103" s="15">
        <v>1</v>
      </c>
      <c r="M1103" s="12" t="s">
        <v>150</v>
      </c>
      <c r="N1103" s="12">
        <v>100</v>
      </c>
      <c r="O1103" s="12">
        <v>100</v>
      </c>
      <c r="P1103" s="12">
        <v>0</v>
      </c>
      <c r="Q1103" s="16">
        <v>280</v>
      </c>
      <c r="R1103" s="16">
        <v>0</v>
      </c>
      <c r="S1103" s="16"/>
      <c r="T1103" s="16" t="e">
        <v>#N/A</v>
      </c>
      <c r="U1103" s="16" t="e">
        <v>#N/A</v>
      </c>
    </row>
    <row r="1104" spans="1:21" x14ac:dyDescent="0.25">
      <c r="A1104" s="12" t="s">
        <v>21</v>
      </c>
      <c r="B1104" s="12" t="s">
        <v>1197</v>
      </c>
      <c r="C1104" s="12" t="s">
        <v>23</v>
      </c>
      <c r="D1104" s="15">
        <v>46267.551539351851</v>
      </c>
      <c r="E1104" s="12" t="s">
        <v>24</v>
      </c>
      <c r="F1104" s="12" t="s">
        <v>399</v>
      </c>
      <c r="G1104" s="12">
        <v>30</v>
      </c>
      <c r="H1104" s="12">
        <v>30</v>
      </c>
      <c r="I1104" s="14"/>
      <c r="J1104" s="14" t="s">
        <v>26</v>
      </c>
      <c r="K1104" s="12" t="s">
        <v>27</v>
      </c>
      <c r="L1104" s="15"/>
      <c r="M1104" s="12" t="s">
        <v>28</v>
      </c>
      <c r="N1104" s="12"/>
      <c r="O1104" s="12"/>
      <c r="P1104" s="12"/>
      <c r="Q1104" s="16">
        <v>0</v>
      </c>
      <c r="R1104" s="16">
        <v>1</v>
      </c>
      <c r="S1104" s="16"/>
      <c r="T1104" s="16" t="e">
        <v>#N/A</v>
      </c>
      <c r="U1104" s="16" t="e">
        <v>#N/A</v>
      </c>
    </row>
    <row r="1105" spans="1:21" x14ac:dyDescent="0.25">
      <c r="A1105" s="12" t="s">
        <v>21</v>
      </c>
      <c r="B1105" s="12" t="s">
        <v>1197</v>
      </c>
      <c r="C1105" s="12" t="s">
        <v>23</v>
      </c>
      <c r="D1105" s="15">
        <v>46267.551539351851</v>
      </c>
      <c r="E1105" s="12" t="s">
        <v>24</v>
      </c>
      <c r="F1105" s="12" t="s">
        <v>442</v>
      </c>
      <c r="G1105" s="12">
        <v>200</v>
      </c>
      <c r="H1105" s="12">
        <v>200</v>
      </c>
      <c r="I1105" s="14"/>
      <c r="J1105" s="14" t="s">
        <v>26</v>
      </c>
      <c r="K1105" s="12" t="s">
        <v>27</v>
      </c>
      <c r="L1105" s="15"/>
      <c r="M1105" s="12" t="s">
        <v>28</v>
      </c>
      <c r="N1105" s="12"/>
      <c r="O1105" s="12"/>
      <c r="P1105" s="12"/>
      <c r="Q1105" s="16">
        <v>0</v>
      </c>
      <c r="R1105" s="16">
        <v>0</v>
      </c>
      <c r="S1105" s="16"/>
      <c r="T1105" s="16" t="e">
        <v>#N/A</v>
      </c>
      <c r="U1105" s="16" t="e">
        <v>#N/A</v>
      </c>
    </row>
    <row r="1106" spans="1:21" x14ac:dyDescent="0.25">
      <c r="A1106" s="12" t="s">
        <v>21</v>
      </c>
      <c r="B1106" s="12" t="s">
        <v>1197</v>
      </c>
      <c r="C1106" s="12" t="s">
        <v>23</v>
      </c>
      <c r="D1106" s="15">
        <v>46267.551539351851</v>
      </c>
      <c r="E1106" s="12" t="s">
        <v>24</v>
      </c>
      <c r="F1106" s="12" t="s">
        <v>1202</v>
      </c>
      <c r="G1106" s="12">
        <v>10</v>
      </c>
      <c r="H1106" s="12">
        <v>10</v>
      </c>
      <c r="I1106" s="14"/>
      <c r="J1106" s="14" t="s">
        <v>61</v>
      </c>
      <c r="K1106" s="12" t="s">
        <v>1212</v>
      </c>
      <c r="L1106" s="15">
        <v>1</v>
      </c>
      <c r="M1106" s="12" t="s">
        <v>150</v>
      </c>
      <c r="N1106" s="12">
        <v>10</v>
      </c>
      <c r="O1106" s="12">
        <v>10</v>
      </c>
      <c r="P1106" s="12">
        <v>0</v>
      </c>
      <c r="Q1106" s="16">
        <v>30</v>
      </c>
      <c r="R1106" s="16">
        <v>0</v>
      </c>
      <c r="S1106" s="16"/>
      <c r="T1106" s="16" t="e">
        <v>#N/A</v>
      </c>
      <c r="U1106" s="16" t="e">
        <v>#N/A</v>
      </c>
    </row>
    <row r="1107" spans="1:21" x14ac:dyDescent="0.25">
      <c r="A1107" s="12" t="s">
        <v>21</v>
      </c>
      <c r="B1107" s="12" t="s">
        <v>1197</v>
      </c>
      <c r="C1107" s="12" t="s">
        <v>23</v>
      </c>
      <c r="D1107" s="15">
        <v>46267.551539351851</v>
      </c>
      <c r="E1107" s="12" t="s">
        <v>24</v>
      </c>
      <c r="F1107" s="12" t="s">
        <v>274</v>
      </c>
      <c r="G1107" s="12">
        <v>100</v>
      </c>
      <c r="H1107" s="12">
        <v>100</v>
      </c>
      <c r="I1107" s="14"/>
      <c r="J1107" s="14" t="s">
        <v>61</v>
      </c>
      <c r="K1107" s="12" t="s">
        <v>1213</v>
      </c>
      <c r="L1107" s="15">
        <v>1</v>
      </c>
      <c r="M1107" s="12" t="s">
        <v>150</v>
      </c>
      <c r="N1107" s="12">
        <v>100</v>
      </c>
      <c r="O1107" s="12">
        <v>100</v>
      </c>
      <c r="P1107" s="12">
        <v>0</v>
      </c>
      <c r="Q1107" s="16">
        <v>400</v>
      </c>
      <c r="R1107" s="16">
        <v>0</v>
      </c>
      <c r="S1107" s="16"/>
      <c r="T1107" s="16" t="e">
        <v>#N/A</v>
      </c>
      <c r="U1107" s="16" t="e">
        <v>#N/A</v>
      </c>
    </row>
    <row r="1108" spans="1:21" x14ac:dyDescent="0.25">
      <c r="A1108" s="12" t="s">
        <v>21</v>
      </c>
      <c r="B1108" s="12" t="s">
        <v>1197</v>
      </c>
      <c r="C1108" s="12" t="s">
        <v>23</v>
      </c>
      <c r="D1108" s="15">
        <v>46267.551539351851</v>
      </c>
      <c r="E1108" s="12" t="s">
        <v>24</v>
      </c>
      <c r="F1108" s="12" t="s">
        <v>557</v>
      </c>
      <c r="G1108" s="12">
        <v>260</v>
      </c>
      <c r="H1108" s="12">
        <v>260</v>
      </c>
      <c r="I1108" s="14"/>
      <c r="J1108" s="14" t="s">
        <v>61</v>
      </c>
      <c r="K1108" s="12" t="s">
        <v>1214</v>
      </c>
      <c r="L1108" s="15">
        <v>1</v>
      </c>
      <c r="M1108" s="12" t="s">
        <v>150</v>
      </c>
      <c r="N1108" s="12">
        <v>260</v>
      </c>
      <c r="O1108" s="12">
        <v>260</v>
      </c>
      <c r="P1108" s="12">
        <v>0</v>
      </c>
      <c r="Q1108" s="16">
        <v>400</v>
      </c>
      <c r="R1108" s="16">
        <v>0</v>
      </c>
      <c r="S1108" s="16"/>
      <c r="T1108" s="16" t="e">
        <v>#N/A</v>
      </c>
      <c r="U1108" s="16" t="e">
        <v>#N/A</v>
      </c>
    </row>
    <row r="1109" spans="1:21" x14ac:dyDescent="0.25">
      <c r="A1109" s="12" t="s">
        <v>21</v>
      </c>
      <c r="B1109" s="12" t="s">
        <v>1197</v>
      </c>
      <c r="C1109" s="12" t="s">
        <v>23</v>
      </c>
      <c r="D1109" s="15">
        <v>46267.551539351851</v>
      </c>
      <c r="E1109" s="12" t="s">
        <v>24</v>
      </c>
      <c r="F1109" s="12" t="s">
        <v>559</v>
      </c>
      <c r="G1109" s="12">
        <v>120</v>
      </c>
      <c r="H1109" s="12">
        <v>120</v>
      </c>
      <c r="I1109" s="14"/>
      <c r="J1109" s="14" t="s">
        <v>61</v>
      </c>
      <c r="K1109" s="12" t="s">
        <v>1215</v>
      </c>
      <c r="L1109" s="15">
        <v>1</v>
      </c>
      <c r="M1109" s="12" t="s">
        <v>150</v>
      </c>
      <c r="N1109" s="12">
        <v>120</v>
      </c>
      <c r="O1109" s="12">
        <v>120</v>
      </c>
      <c r="P1109" s="12">
        <v>0</v>
      </c>
      <c r="Q1109" s="16">
        <v>280</v>
      </c>
      <c r="R1109" s="16">
        <v>0</v>
      </c>
      <c r="S1109" s="16"/>
      <c r="T1109" s="16" t="e">
        <v>#N/A</v>
      </c>
      <c r="U1109" s="16" t="e">
        <v>#N/A</v>
      </c>
    </row>
    <row r="1110" spans="1:21" x14ac:dyDescent="0.25">
      <c r="A1110" s="12" t="s">
        <v>21</v>
      </c>
      <c r="B1110" s="12" t="s">
        <v>1197</v>
      </c>
      <c r="C1110" s="12" t="s">
        <v>23</v>
      </c>
      <c r="D1110" s="15">
        <v>46267.551539351851</v>
      </c>
      <c r="E1110" s="12" t="s">
        <v>24</v>
      </c>
      <c r="F1110" s="12" t="s">
        <v>560</v>
      </c>
      <c r="G1110" s="12">
        <v>40</v>
      </c>
      <c r="H1110" s="12">
        <v>40</v>
      </c>
      <c r="I1110" s="14"/>
      <c r="J1110" s="14" t="s">
        <v>61</v>
      </c>
      <c r="K1110" s="12" t="s">
        <v>1216</v>
      </c>
      <c r="L1110" s="15">
        <v>1</v>
      </c>
      <c r="M1110" s="12" t="s">
        <v>150</v>
      </c>
      <c r="N1110" s="12">
        <v>40</v>
      </c>
      <c r="O1110" s="12">
        <v>40</v>
      </c>
      <c r="P1110" s="12">
        <v>0</v>
      </c>
      <c r="Q1110" s="16">
        <v>400</v>
      </c>
      <c r="R1110" s="16">
        <v>0</v>
      </c>
      <c r="S1110" s="16"/>
      <c r="T1110" s="16" t="e">
        <v>#N/A</v>
      </c>
      <c r="U1110" s="16" t="e">
        <v>#N/A</v>
      </c>
    </row>
    <row r="1111" spans="1:21" x14ac:dyDescent="0.25">
      <c r="A1111" s="12" t="s">
        <v>21</v>
      </c>
      <c r="B1111" s="12" t="s">
        <v>1197</v>
      </c>
      <c r="C1111" s="12" t="s">
        <v>23</v>
      </c>
      <c r="D1111" s="15">
        <v>46267.551539351851</v>
      </c>
      <c r="E1111" s="12" t="s">
        <v>24</v>
      </c>
      <c r="F1111" s="12" t="s">
        <v>924</v>
      </c>
      <c r="G1111" s="12">
        <v>60</v>
      </c>
      <c r="H1111" s="12">
        <v>60</v>
      </c>
      <c r="I1111" s="14"/>
      <c r="J1111" s="14" t="s">
        <v>61</v>
      </c>
      <c r="K1111" s="12" t="s">
        <v>27</v>
      </c>
      <c r="L1111" s="15"/>
      <c r="M1111" s="12" t="s">
        <v>28</v>
      </c>
      <c r="N1111" s="12"/>
      <c r="O1111" s="12"/>
      <c r="P1111" s="12"/>
      <c r="Q1111" s="16">
        <v>400</v>
      </c>
      <c r="R1111" s="16">
        <v>0</v>
      </c>
      <c r="S1111" s="16"/>
      <c r="T1111" s="16" t="e">
        <v>#N/A</v>
      </c>
      <c r="U1111" s="16" t="e">
        <v>#N/A</v>
      </c>
    </row>
    <row r="1112" spans="1:21" x14ac:dyDescent="0.25">
      <c r="A1112" s="12" t="s">
        <v>21</v>
      </c>
      <c r="B1112" s="12" t="s">
        <v>1197</v>
      </c>
      <c r="C1112" s="12" t="s">
        <v>23</v>
      </c>
      <c r="D1112" s="15">
        <v>46267.551539351851</v>
      </c>
      <c r="E1112" s="12" t="s">
        <v>24</v>
      </c>
      <c r="F1112" s="12" t="s">
        <v>525</v>
      </c>
      <c r="G1112" s="12">
        <v>200</v>
      </c>
      <c r="H1112" s="12">
        <v>200</v>
      </c>
      <c r="I1112" s="14"/>
      <c r="J1112" s="14" t="s">
        <v>61</v>
      </c>
      <c r="K1112" s="12" t="s">
        <v>27</v>
      </c>
      <c r="L1112" s="15"/>
      <c r="M1112" s="12" t="s">
        <v>28</v>
      </c>
      <c r="N1112" s="12"/>
      <c r="O1112" s="12"/>
      <c r="P1112" s="12"/>
      <c r="Q1112" s="16">
        <v>280</v>
      </c>
      <c r="R1112" s="16">
        <v>0</v>
      </c>
      <c r="S1112" s="16"/>
      <c r="T1112" s="16" t="e">
        <v>#N/A</v>
      </c>
      <c r="U1112" s="16" t="e">
        <v>#N/A</v>
      </c>
    </row>
    <row r="1113" spans="1:21" x14ac:dyDescent="0.25">
      <c r="A1113" s="12" t="s">
        <v>21</v>
      </c>
      <c r="B1113" s="12" t="s">
        <v>1197</v>
      </c>
      <c r="C1113" s="12" t="s">
        <v>23</v>
      </c>
      <c r="D1113" s="15">
        <v>46267.551539351851</v>
      </c>
      <c r="E1113" s="12" t="s">
        <v>24</v>
      </c>
      <c r="F1113" s="12" t="s">
        <v>572</v>
      </c>
      <c r="G1113" s="12">
        <v>150</v>
      </c>
      <c r="H1113" s="12">
        <v>150</v>
      </c>
      <c r="I1113" s="14"/>
      <c r="J1113" s="14" t="s">
        <v>61</v>
      </c>
      <c r="K1113" s="12" t="s">
        <v>27</v>
      </c>
      <c r="L1113" s="15"/>
      <c r="M1113" s="12" t="s">
        <v>28</v>
      </c>
      <c r="N1113" s="12"/>
      <c r="O1113" s="12"/>
      <c r="P1113" s="12"/>
      <c r="Q1113" s="16">
        <v>800</v>
      </c>
      <c r="R1113" s="16">
        <v>10</v>
      </c>
      <c r="S1113" s="16"/>
      <c r="T1113" s="16" t="e">
        <v>#N/A</v>
      </c>
      <c r="U1113" s="16" t="e">
        <v>#N/A</v>
      </c>
    </row>
    <row r="1114" spans="1:21" x14ac:dyDescent="0.25">
      <c r="A1114" s="12" t="s">
        <v>21</v>
      </c>
      <c r="B1114" s="12" t="s">
        <v>1197</v>
      </c>
      <c r="C1114" s="12" t="s">
        <v>23</v>
      </c>
      <c r="D1114" s="15">
        <v>46267.551539351851</v>
      </c>
      <c r="E1114" s="12" t="s">
        <v>24</v>
      </c>
      <c r="F1114" s="12" t="s">
        <v>375</v>
      </c>
      <c r="G1114" s="12">
        <v>45</v>
      </c>
      <c r="H1114" s="12">
        <v>45</v>
      </c>
      <c r="I1114" s="14"/>
      <c r="J1114" s="14" t="s">
        <v>61</v>
      </c>
      <c r="K1114" s="12" t="s">
        <v>1217</v>
      </c>
      <c r="L1114" s="15">
        <v>1</v>
      </c>
      <c r="M1114" s="12" t="s">
        <v>150</v>
      </c>
      <c r="N1114" s="12">
        <v>45</v>
      </c>
      <c r="O1114" s="12">
        <v>45</v>
      </c>
      <c r="P1114" s="12">
        <v>0</v>
      </c>
      <c r="Q1114" s="16">
        <v>135</v>
      </c>
      <c r="R1114" s="16">
        <v>0</v>
      </c>
      <c r="S1114" s="16"/>
      <c r="T1114" s="16" t="e">
        <v>#N/A</v>
      </c>
      <c r="U1114" s="16" t="e">
        <v>#N/A</v>
      </c>
    </row>
    <row r="1115" spans="1:21" x14ac:dyDescent="0.25">
      <c r="A1115" s="12" t="s">
        <v>21</v>
      </c>
      <c r="B1115" s="12" t="s">
        <v>1197</v>
      </c>
      <c r="C1115" s="12" t="s">
        <v>23</v>
      </c>
      <c r="D1115" s="15">
        <v>46267.551539351851</v>
      </c>
      <c r="E1115" s="12" t="s">
        <v>24</v>
      </c>
      <c r="F1115" s="12" t="s">
        <v>424</v>
      </c>
      <c r="G1115" s="12">
        <v>40</v>
      </c>
      <c r="H1115" s="12">
        <v>40</v>
      </c>
      <c r="I1115" s="14"/>
      <c r="J1115" s="14" t="s">
        <v>26</v>
      </c>
      <c r="K1115" s="12" t="s">
        <v>27</v>
      </c>
      <c r="L1115" s="15"/>
      <c r="M1115" s="12" t="s">
        <v>28</v>
      </c>
      <c r="N1115" s="12"/>
      <c r="O1115" s="12"/>
      <c r="P1115" s="12"/>
      <c r="Q1115" s="16">
        <v>0</v>
      </c>
      <c r="R1115" s="16">
        <v>0</v>
      </c>
      <c r="S1115" s="16"/>
      <c r="T1115" s="16" t="e">
        <v>#N/A</v>
      </c>
      <c r="U1115" s="16" t="e">
        <v>#N/A</v>
      </c>
    </row>
    <row r="1116" spans="1:21" x14ac:dyDescent="0.25">
      <c r="A1116" s="12" t="s">
        <v>21</v>
      </c>
      <c r="B1116" s="12" t="s">
        <v>1218</v>
      </c>
      <c r="C1116" s="12" t="s">
        <v>23</v>
      </c>
      <c r="D1116" s="15">
        <v>46268.354953703703</v>
      </c>
      <c r="E1116" s="12" t="s">
        <v>24</v>
      </c>
      <c r="F1116" s="12" t="s">
        <v>668</v>
      </c>
      <c r="G1116" s="12">
        <v>4</v>
      </c>
      <c r="H1116" s="12">
        <v>4</v>
      </c>
      <c r="I1116" s="14"/>
      <c r="J1116" s="14" t="s">
        <v>61</v>
      </c>
      <c r="K1116" s="12" t="s">
        <v>1220</v>
      </c>
      <c r="L1116" s="15">
        <v>1</v>
      </c>
      <c r="M1116" s="12" t="s">
        <v>150</v>
      </c>
      <c r="N1116" s="12">
        <v>4</v>
      </c>
      <c r="O1116" s="12">
        <v>4</v>
      </c>
      <c r="P1116" s="12">
        <v>0</v>
      </c>
      <c r="Q1116" s="16">
        <v>4</v>
      </c>
      <c r="R1116" s="16">
        <v>0</v>
      </c>
      <c r="S1116" s="16"/>
      <c r="T1116" s="16" t="e">
        <v>#N/A</v>
      </c>
      <c r="U1116" s="16" t="e">
        <v>#N/A</v>
      </c>
    </row>
    <row r="1117" spans="1:21" x14ac:dyDescent="0.25">
      <c r="A1117" s="12" t="s">
        <v>21</v>
      </c>
      <c r="B1117" s="12" t="s">
        <v>1218</v>
      </c>
      <c r="C1117" s="12" t="s">
        <v>23</v>
      </c>
      <c r="D1117" s="15">
        <v>46268.354953703703</v>
      </c>
      <c r="E1117" s="12" t="s">
        <v>24</v>
      </c>
      <c r="F1117" s="12" t="s">
        <v>670</v>
      </c>
      <c r="G1117" s="12">
        <v>12</v>
      </c>
      <c r="H1117" s="12">
        <v>12</v>
      </c>
      <c r="I1117" s="14"/>
      <c r="J1117" s="14" t="s">
        <v>61</v>
      </c>
      <c r="K1117" s="12" t="s">
        <v>1221</v>
      </c>
      <c r="L1117" s="15">
        <v>1</v>
      </c>
      <c r="M1117" s="12" t="s">
        <v>150</v>
      </c>
      <c r="N1117" s="12">
        <v>12</v>
      </c>
      <c r="O1117" s="12">
        <v>12</v>
      </c>
      <c r="P1117" s="12">
        <v>0</v>
      </c>
      <c r="Q1117" s="16">
        <v>12</v>
      </c>
      <c r="R1117" s="16">
        <v>0</v>
      </c>
      <c r="S1117" s="16"/>
      <c r="T1117" s="16" t="e">
        <v>#N/A</v>
      </c>
      <c r="U1117" s="16" t="e">
        <v>#N/A</v>
      </c>
    </row>
    <row r="1118" spans="1:21" x14ac:dyDescent="0.25">
      <c r="A1118" s="12" t="s">
        <v>21</v>
      </c>
      <c r="B1118" s="12" t="s">
        <v>1218</v>
      </c>
      <c r="C1118" s="12" t="s">
        <v>23</v>
      </c>
      <c r="D1118" s="15">
        <v>46268.354953703703</v>
      </c>
      <c r="E1118" s="12" t="s">
        <v>24</v>
      </c>
      <c r="F1118" s="12" t="s">
        <v>671</v>
      </c>
      <c r="G1118" s="12">
        <v>16</v>
      </c>
      <c r="H1118" s="12">
        <v>16</v>
      </c>
      <c r="I1118" s="14"/>
      <c r="J1118" s="14" t="s">
        <v>61</v>
      </c>
      <c r="K1118" s="12" t="s">
        <v>1222</v>
      </c>
      <c r="L1118" s="15">
        <v>1</v>
      </c>
      <c r="M1118" s="12" t="s">
        <v>150</v>
      </c>
      <c r="N1118" s="12">
        <v>16</v>
      </c>
      <c r="O1118" s="12">
        <v>16</v>
      </c>
      <c r="P1118" s="12">
        <v>0</v>
      </c>
      <c r="Q1118" s="16">
        <v>16</v>
      </c>
      <c r="R1118" s="16">
        <v>1</v>
      </c>
      <c r="S1118" s="16"/>
      <c r="T1118" s="16" t="e">
        <v>#N/A</v>
      </c>
      <c r="U1118" s="16" t="e">
        <v>#N/A</v>
      </c>
    </row>
    <row r="1119" spans="1:21" x14ac:dyDescent="0.25">
      <c r="A1119" s="12" t="s">
        <v>21</v>
      </c>
      <c r="B1119" s="12" t="s">
        <v>1218</v>
      </c>
      <c r="C1119" s="12" t="s">
        <v>23</v>
      </c>
      <c r="D1119" s="15">
        <v>46268.354953703703</v>
      </c>
      <c r="E1119" s="12" t="s">
        <v>24</v>
      </c>
      <c r="F1119" s="12" t="s">
        <v>346</v>
      </c>
      <c r="G1119" s="12">
        <v>4</v>
      </c>
      <c r="H1119" s="12">
        <v>4</v>
      </c>
      <c r="I1119" s="14"/>
      <c r="J1119" s="14" t="s">
        <v>61</v>
      </c>
      <c r="K1119" s="12" t="s">
        <v>1223</v>
      </c>
      <c r="L1119" s="15">
        <v>1</v>
      </c>
      <c r="M1119" s="12" t="s">
        <v>150</v>
      </c>
      <c r="N1119" s="12">
        <v>4</v>
      </c>
      <c r="O1119" s="12">
        <v>4</v>
      </c>
      <c r="P1119" s="12">
        <v>0</v>
      </c>
      <c r="Q1119" s="16">
        <v>4</v>
      </c>
      <c r="R1119" s="16">
        <v>0</v>
      </c>
      <c r="S1119" s="16"/>
      <c r="T1119" s="16" t="e">
        <v>#N/A</v>
      </c>
      <c r="U1119" s="16" t="e">
        <v>#N/A</v>
      </c>
    </row>
    <row r="1120" spans="1:21" x14ac:dyDescent="0.25">
      <c r="A1120" s="12" t="s">
        <v>21</v>
      </c>
      <c r="B1120" s="12" t="s">
        <v>1218</v>
      </c>
      <c r="C1120" s="12" t="s">
        <v>23</v>
      </c>
      <c r="D1120" s="15">
        <v>46268.354953703703</v>
      </c>
      <c r="E1120" s="12" t="s">
        <v>24</v>
      </c>
      <c r="F1120" s="12" t="s">
        <v>1165</v>
      </c>
      <c r="G1120" s="12">
        <v>1</v>
      </c>
      <c r="H1120" s="12">
        <v>1</v>
      </c>
      <c r="I1120" s="14"/>
      <c r="J1120" s="14" t="s">
        <v>61</v>
      </c>
      <c r="K1120" s="12" t="s">
        <v>1224</v>
      </c>
      <c r="L1120" s="15">
        <v>1</v>
      </c>
      <c r="M1120" s="12" t="s">
        <v>150</v>
      </c>
      <c r="N1120" s="12">
        <v>1</v>
      </c>
      <c r="O1120" s="12">
        <v>1</v>
      </c>
      <c r="P1120" s="12">
        <v>0</v>
      </c>
      <c r="Q1120" s="16">
        <v>1</v>
      </c>
      <c r="R1120" s="16">
        <v>0</v>
      </c>
      <c r="S1120" s="16"/>
      <c r="T1120" s="16" t="e">
        <v>#N/A</v>
      </c>
      <c r="U1120" s="16" t="e">
        <v>#N/A</v>
      </c>
    </row>
    <row r="1121" spans="1:21" x14ac:dyDescent="0.25">
      <c r="A1121" s="12" t="s">
        <v>21</v>
      </c>
      <c r="B1121" s="12" t="s">
        <v>1218</v>
      </c>
      <c r="C1121" s="12" t="s">
        <v>23</v>
      </c>
      <c r="D1121" s="15">
        <v>46268.354953703703</v>
      </c>
      <c r="E1121" s="12" t="s">
        <v>24</v>
      </c>
      <c r="F1121" s="12" t="s">
        <v>1166</v>
      </c>
      <c r="G1121" s="12">
        <v>7</v>
      </c>
      <c r="H1121" s="12">
        <v>7</v>
      </c>
      <c r="I1121" s="14"/>
      <c r="J1121" s="14" t="s">
        <v>61</v>
      </c>
      <c r="K1121" s="12" t="s">
        <v>1225</v>
      </c>
      <c r="L1121" s="15">
        <v>1</v>
      </c>
      <c r="M1121" s="12" t="s">
        <v>150</v>
      </c>
      <c r="N1121" s="12">
        <v>7</v>
      </c>
      <c r="O1121" s="12">
        <v>7</v>
      </c>
      <c r="P1121" s="12">
        <v>0</v>
      </c>
      <c r="Q1121" s="16">
        <v>7</v>
      </c>
      <c r="R1121" s="16">
        <v>0</v>
      </c>
      <c r="S1121" s="16"/>
      <c r="T1121" s="16" t="e">
        <v>#N/A</v>
      </c>
      <c r="U1121" s="16" t="e">
        <v>#N/A</v>
      </c>
    </row>
    <row r="1122" spans="1:21" x14ac:dyDescent="0.25">
      <c r="A1122" s="12" t="s">
        <v>21</v>
      </c>
      <c r="B1122" s="12" t="s">
        <v>1218</v>
      </c>
      <c r="C1122" s="12" t="s">
        <v>23</v>
      </c>
      <c r="D1122" s="15">
        <v>46268.354953703703</v>
      </c>
      <c r="E1122" s="12" t="s">
        <v>24</v>
      </c>
      <c r="F1122" s="12" t="s">
        <v>1219</v>
      </c>
      <c r="G1122" s="12">
        <v>4</v>
      </c>
      <c r="H1122" s="12">
        <v>4</v>
      </c>
      <c r="I1122" s="14"/>
      <c r="J1122" s="14" t="s">
        <v>61</v>
      </c>
      <c r="K1122" s="12" t="s">
        <v>1226</v>
      </c>
      <c r="L1122" s="15">
        <v>1</v>
      </c>
      <c r="M1122" s="12" t="s">
        <v>150</v>
      </c>
      <c r="N1122" s="12">
        <v>4</v>
      </c>
      <c r="O1122" s="12">
        <v>4</v>
      </c>
      <c r="P1122" s="12">
        <v>0</v>
      </c>
      <c r="Q1122" s="16">
        <v>4</v>
      </c>
      <c r="R1122" s="16">
        <v>0</v>
      </c>
      <c r="S1122" s="16"/>
      <c r="T1122" s="16" t="e">
        <v>#N/A</v>
      </c>
      <c r="U1122" s="16" t="e">
        <v>#N/A</v>
      </c>
    </row>
    <row r="1123" spans="1:21" x14ac:dyDescent="0.25">
      <c r="A1123" s="12" t="s">
        <v>21</v>
      </c>
      <c r="B1123" s="12" t="s">
        <v>1227</v>
      </c>
      <c r="C1123" s="12" t="s">
        <v>23</v>
      </c>
      <c r="D1123" s="15">
        <v>46268.399537037039</v>
      </c>
      <c r="E1123" s="12" t="s">
        <v>24</v>
      </c>
      <c r="F1123" s="12" t="s">
        <v>84</v>
      </c>
      <c r="G1123" s="12">
        <v>7</v>
      </c>
      <c r="H1123" s="12">
        <v>7</v>
      </c>
      <c r="I1123" s="14"/>
      <c r="J1123" s="14" t="s">
        <v>61</v>
      </c>
      <c r="K1123" s="12" t="s">
        <v>1228</v>
      </c>
      <c r="L1123" s="15">
        <v>1</v>
      </c>
      <c r="M1123" s="12" t="s">
        <v>150</v>
      </c>
      <c r="N1123" s="12">
        <v>7</v>
      </c>
      <c r="O1123" s="12">
        <v>7</v>
      </c>
      <c r="P1123" s="12">
        <v>0</v>
      </c>
      <c r="Q1123" s="16">
        <v>7</v>
      </c>
      <c r="R1123" s="16">
        <v>0</v>
      </c>
      <c r="S1123" s="16"/>
      <c r="T1123" s="16" t="e">
        <v>#N/A</v>
      </c>
      <c r="U1123" s="16" t="e">
        <v>#N/A</v>
      </c>
    </row>
    <row r="1124" spans="1:21" x14ac:dyDescent="0.25">
      <c r="A1124" s="12" t="s">
        <v>21</v>
      </c>
      <c r="B1124" s="12" t="s">
        <v>1229</v>
      </c>
      <c r="C1124" s="12" t="s">
        <v>23</v>
      </c>
      <c r="D1124" s="15">
        <v>46268.400879629633</v>
      </c>
      <c r="E1124" s="12" t="s">
        <v>24</v>
      </c>
      <c r="F1124" s="12" t="s">
        <v>283</v>
      </c>
      <c r="G1124" s="12">
        <v>10</v>
      </c>
      <c r="H1124" s="12">
        <v>10</v>
      </c>
      <c r="I1124" s="14"/>
      <c r="J1124" s="14" t="s">
        <v>26</v>
      </c>
      <c r="K1124" s="12" t="s">
        <v>27</v>
      </c>
      <c r="L1124" s="15"/>
      <c r="M1124" s="12" t="s">
        <v>28</v>
      </c>
      <c r="N1124" s="12"/>
      <c r="O1124" s="12"/>
      <c r="P1124" s="12"/>
      <c r="Q1124" s="16">
        <v>0</v>
      </c>
      <c r="R1124" s="16">
        <v>0</v>
      </c>
      <c r="S1124" s="16">
        <v>4</v>
      </c>
      <c r="T1124" s="16" t="e">
        <v>#N/A</v>
      </c>
      <c r="U1124" s="16" t="e">
        <v>#N/A</v>
      </c>
    </row>
    <row r="1125" spans="1:21" x14ac:dyDescent="0.25">
      <c r="A1125" s="12" t="s">
        <v>21</v>
      </c>
      <c r="B1125" s="12" t="s">
        <v>1229</v>
      </c>
      <c r="C1125" s="12" t="s">
        <v>23</v>
      </c>
      <c r="D1125" s="15">
        <v>46268.400879629633</v>
      </c>
      <c r="E1125" s="12" t="s">
        <v>24</v>
      </c>
      <c r="F1125" s="12" t="s">
        <v>268</v>
      </c>
      <c r="G1125" s="12">
        <v>9</v>
      </c>
      <c r="H1125" s="12">
        <v>9</v>
      </c>
      <c r="I1125" s="14"/>
      <c r="J1125" s="14" t="s">
        <v>26</v>
      </c>
      <c r="K1125" s="12" t="s">
        <v>27</v>
      </c>
      <c r="L1125" s="15"/>
      <c r="M1125" s="12" t="s">
        <v>28</v>
      </c>
      <c r="N1125" s="12"/>
      <c r="O1125" s="12"/>
      <c r="P1125" s="12"/>
      <c r="Q1125" s="16">
        <v>0</v>
      </c>
      <c r="R1125" s="16">
        <v>0</v>
      </c>
      <c r="S1125" s="16"/>
      <c r="T1125" s="16" t="e">
        <v>#N/A</v>
      </c>
      <c r="U1125" s="16" t="e">
        <v>#N/A</v>
      </c>
    </row>
    <row r="1126" spans="1:21" x14ac:dyDescent="0.25">
      <c r="A1126" s="12" t="s">
        <v>21</v>
      </c>
      <c r="B1126" s="12" t="s">
        <v>1229</v>
      </c>
      <c r="C1126" s="12" t="s">
        <v>23</v>
      </c>
      <c r="D1126" s="15">
        <v>46268.400879629633</v>
      </c>
      <c r="E1126" s="12" t="s">
        <v>24</v>
      </c>
      <c r="F1126" s="12" t="s">
        <v>401</v>
      </c>
      <c r="G1126" s="12">
        <v>10</v>
      </c>
      <c r="H1126" s="12">
        <v>10</v>
      </c>
      <c r="I1126" s="14"/>
      <c r="J1126" s="14" t="s">
        <v>26</v>
      </c>
      <c r="K1126" s="12" t="s">
        <v>27</v>
      </c>
      <c r="L1126" s="15"/>
      <c r="M1126" s="12" t="s">
        <v>28</v>
      </c>
      <c r="N1126" s="12"/>
      <c r="O1126" s="12"/>
      <c r="P1126" s="12"/>
      <c r="Q1126" s="16">
        <v>0</v>
      </c>
      <c r="R1126" s="16">
        <v>0</v>
      </c>
      <c r="S1126" s="16"/>
      <c r="T1126" s="16" t="e">
        <v>#N/A</v>
      </c>
      <c r="U1126" s="16" t="e">
        <v>#N/A</v>
      </c>
    </row>
    <row r="1127" spans="1:21" x14ac:dyDescent="0.25">
      <c r="A1127" s="12" t="s">
        <v>21</v>
      </c>
      <c r="B1127" s="12" t="s">
        <v>1229</v>
      </c>
      <c r="C1127" s="12" t="s">
        <v>23</v>
      </c>
      <c r="D1127" s="15">
        <v>46268.400879629633</v>
      </c>
      <c r="E1127" s="12" t="s">
        <v>24</v>
      </c>
      <c r="F1127" s="12" t="s">
        <v>201</v>
      </c>
      <c r="G1127" s="12">
        <v>16</v>
      </c>
      <c r="H1127" s="12">
        <v>16</v>
      </c>
      <c r="I1127" s="14"/>
      <c r="J1127" s="14" t="s">
        <v>26</v>
      </c>
      <c r="K1127" s="12" t="s">
        <v>27</v>
      </c>
      <c r="L1127" s="15"/>
      <c r="M1127" s="12" t="s">
        <v>28</v>
      </c>
      <c r="N1127" s="12"/>
      <c r="O1127" s="12"/>
      <c r="P1127" s="12"/>
      <c r="Q1127" s="16">
        <v>0</v>
      </c>
      <c r="R1127" s="16">
        <v>0</v>
      </c>
      <c r="S1127" s="16"/>
      <c r="T1127" s="16" t="e">
        <v>#N/A</v>
      </c>
      <c r="U1127" s="16" t="e">
        <v>#N/A</v>
      </c>
    </row>
    <row r="1128" spans="1:21" x14ac:dyDescent="0.25">
      <c r="A1128" s="12" t="s">
        <v>21</v>
      </c>
      <c r="B1128" s="12" t="s">
        <v>1229</v>
      </c>
      <c r="C1128" s="12" t="s">
        <v>23</v>
      </c>
      <c r="D1128" s="15">
        <v>46268.400879629633</v>
      </c>
      <c r="E1128" s="12" t="s">
        <v>24</v>
      </c>
      <c r="F1128" s="12" t="s">
        <v>320</v>
      </c>
      <c r="G1128" s="12">
        <v>30</v>
      </c>
      <c r="H1128" s="12">
        <v>30</v>
      </c>
      <c r="I1128" s="14"/>
      <c r="J1128" s="14" t="s">
        <v>26</v>
      </c>
      <c r="K1128" s="12" t="s">
        <v>27</v>
      </c>
      <c r="L1128" s="15"/>
      <c r="M1128" s="12" t="s">
        <v>28</v>
      </c>
      <c r="N1128" s="12"/>
      <c r="O1128" s="12"/>
      <c r="P1128" s="12"/>
      <c r="Q1128" s="16">
        <v>0</v>
      </c>
      <c r="R1128" s="16">
        <v>1</v>
      </c>
      <c r="S1128" s="16"/>
      <c r="T1128" s="16" t="e">
        <v>#N/A</v>
      </c>
      <c r="U1128" s="16" t="e">
        <v>#N/A</v>
      </c>
    </row>
    <row r="1129" spans="1:21" x14ac:dyDescent="0.25">
      <c r="A1129" s="12" t="s">
        <v>21</v>
      </c>
      <c r="B1129" s="12" t="s">
        <v>1229</v>
      </c>
      <c r="C1129" s="12" t="s">
        <v>23</v>
      </c>
      <c r="D1129" s="15">
        <v>46268.400879629633</v>
      </c>
      <c r="E1129" s="12" t="s">
        <v>24</v>
      </c>
      <c r="F1129" s="12" t="s">
        <v>277</v>
      </c>
      <c r="G1129" s="12">
        <v>9</v>
      </c>
      <c r="H1129" s="12">
        <v>9</v>
      </c>
      <c r="I1129" s="14"/>
      <c r="J1129" s="14" t="s">
        <v>26</v>
      </c>
      <c r="K1129" s="12" t="s">
        <v>27</v>
      </c>
      <c r="L1129" s="15"/>
      <c r="M1129" s="12" t="s">
        <v>28</v>
      </c>
      <c r="N1129" s="12"/>
      <c r="O1129" s="12"/>
      <c r="P1129" s="12"/>
      <c r="Q1129" s="16">
        <v>0</v>
      </c>
      <c r="R1129" s="16">
        <v>0</v>
      </c>
      <c r="S1129" s="16"/>
      <c r="T1129" s="16" t="e">
        <v>#N/A</v>
      </c>
      <c r="U1129" s="16" t="e">
        <v>#N/A</v>
      </c>
    </row>
    <row r="1130" spans="1:21" x14ac:dyDescent="0.25">
      <c r="A1130" s="12" t="s">
        <v>21</v>
      </c>
      <c r="B1130" s="12" t="s">
        <v>1230</v>
      </c>
      <c r="C1130" s="12" t="s">
        <v>23</v>
      </c>
      <c r="D1130" s="15">
        <v>46268.418807870374</v>
      </c>
      <c r="E1130" s="12" t="s">
        <v>345</v>
      </c>
      <c r="F1130" s="12" t="s">
        <v>699</v>
      </c>
      <c r="G1130" s="12">
        <v>6</v>
      </c>
      <c r="H1130" s="12">
        <v>6</v>
      </c>
      <c r="I1130" s="14"/>
      <c r="J1130" s="14" t="s">
        <v>61</v>
      </c>
      <c r="K1130" s="12" t="s">
        <v>1233</v>
      </c>
      <c r="L1130" s="15">
        <v>1</v>
      </c>
      <c r="M1130" s="12" t="s">
        <v>150</v>
      </c>
      <c r="N1130" s="12">
        <v>6</v>
      </c>
      <c r="O1130" s="12">
        <v>6</v>
      </c>
      <c r="P1130" s="12">
        <v>0</v>
      </c>
      <c r="Q1130" s="16">
        <v>6</v>
      </c>
      <c r="R1130" s="16">
        <v>0</v>
      </c>
      <c r="S1130" s="16"/>
      <c r="T1130" s="16" t="e">
        <v>#N/A</v>
      </c>
      <c r="U1130" s="16" t="e">
        <v>#N/A</v>
      </c>
    </row>
    <row r="1131" spans="1:21" x14ac:dyDescent="0.25">
      <c r="A1131" s="12" t="s">
        <v>21</v>
      </c>
      <c r="B1131" s="12" t="s">
        <v>1230</v>
      </c>
      <c r="C1131" s="12" t="s">
        <v>23</v>
      </c>
      <c r="D1131" s="15">
        <v>46268.418807870374</v>
      </c>
      <c r="E1131" s="12" t="s">
        <v>345</v>
      </c>
      <c r="F1131" s="12" t="s">
        <v>1231</v>
      </c>
      <c r="G1131" s="12">
        <v>10</v>
      </c>
      <c r="H1131" s="12">
        <v>10</v>
      </c>
      <c r="I1131" s="14"/>
      <c r="J1131" s="14" t="s">
        <v>61</v>
      </c>
      <c r="K1131" s="12" t="s">
        <v>1234</v>
      </c>
      <c r="L1131" s="15">
        <v>1</v>
      </c>
      <c r="M1131" s="12" t="s">
        <v>150</v>
      </c>
      <c r="N1131" s="12">
        <v>10</v>
      </c>
      <c r="O1131" s="12">
        <v>10</v>
      </c>
      <c r="P1131" s="12">
        <v>0</v>
      </c>
      <c r="Q1131" s="16">
        <v>10</v>
      </c>
      <c r="R1131" s="16">
        <v>0</v>
      </c>
      <c r="S1131" s="16"/>
      <c r="T1131" s="16" t="e">
        <v>#N/A</v>
      </c>
      <c r="U1131" s="16" t="e">
        <v>#N/A</v>
      </c>
    </row>
    <row r="1132" spans="1:21" x14ac:dyDescent="0.25">
      <c r="A1132" s="12" t="s">
        <v>21</v>
      </c>
      <c r="B1132" s="12" t="s">
        <v>1230</v>
      </c>
      <c r="C1132" s="12" t="s">
        <v>23</v>
      </c>
      <c r="D1132" s="15">
        <v>46268.418807870374</v>
      </c>
      <c r="E1132" s="12" t="s">
        <v>345</v>
      </c>
      <c r="F1132" s="12" t="s">
        <v>1232</v>
      </c>
      <c r="G1132" s="12">
        <v>20</v>
      </c>
      <c r="H1132" s="12">
        <v>20</v>
      </c>
      <c r="I1132" s="14"/>
      <c r="J1132" s="14" t="s">
        <v>61</v>
      </c>
      <c r="K1132" s="12" t="s">
        <v>1235</v>
      </c>
      <c r="L1132" s="15">
        <v>1</v>
      </c>
      <c r="M1132" s="12" t="s">
        <v>150</v>
      </c>
      <c r="N1132" s="12">
        <v>20</v>
      </c>
      <c r="O1132" s="12">
        <v>20</v>
      </c>
      <c r="P1132" s="12">
        <v>0</v>
      </c>
      <c r="Q1132" s="16">
        <v>20</v>
      </c>
      <c r="R1132" s="16">
        <v>0</v>
      </c>
      <c r="S1132" s="16"/>
      <c r="T1132" s="16" t="e">
        <v>#N/A</v>
      </c>
      <c r="U1132" s="16" t="e">
        <v>#N/A</v>
      </c>
    </row>
    <row r="1133" spans="1:21" x14ac:dyDescent="0.25">
      <c r="A1133" s="12" t="s">
        <v>21</v>
      </c>
      <c r="B1133" s="12" t="s">
        <v>1230</v>
      </c>
      <c r="C1133" s="12" t="s">
        <v>23</v>
      </c>
      <c r="D1133" s="15">
        <v>46268.418807870374</v>
      </c>
      <c r="E1133" s="12" t="s">
        <v>345</v>
      </c>
      <c r="F1133" s="12" t="s">
        <v>735</v>
      </c>
      <c r="G1133" s="12">
        <v>12</v>
      </c>
      <c r="H1133" s="12">
        <v>12</v>
      </c>
      <c r="I1133" s="14"/>
      <c r="J1133" s="14" t="s">
        <v>61</v>
      </c>
      <c r="K1133" s="12" t="s">
        <v>1236</v>
      </c>
      <c r="L1133" s="15">
        <v>1</v>
      </c>
      <c r="M1133" s="12" t="s">
        <v>150</v>
      </c>
      <c r="N1133" s="12">
        <v>12</v>
      </c>
      <c r="O1133" s="12">
        <v>12</v>
      </c>
      <c r="P1133" s="12">
        <v>0</v>
      </c>
      <c r="Q1133" s="16">
        <v>12</v>
      </c>
      <c r="R1133" s="16">
        <v>0</v>
      </c>
      <c r="S1133" s="16"/>
      <c r="T1133" s="16" t="e">
        <v>#N/A</v>
      </c>
      <c r="U1133" s="16" t="e">
        <v>#N/A</v>
      </c>
    </row>
    <row r="1134" spans="1:21" x14ac:dyDescent="0.25">
      <c r="A1134" s="12" t="s">
        <v>21</v>
      </c>
      <c r="B1134" s="12" t="s">
        <v>1230</v>
      </c>
      <c r="C1134" s="12" t="s">
        <v>23</v>
      </c>
      <c r="D1134" s="15">
        <v>46268.418807870374</v>
      </c>
      <c r="E1134" s="12" t="s">
        <v>345</v>
      </c>
      <c r="F1134" s="12" t="s">
        <v>253</v>
      </c>
      <c r="G1134" s="12">
        <v>20</v>
      </c>
      <c r="H1134" s="12">
        <v>20</v>
      </c>
      <c r="I1134" s="14"/>
      <c r="J1134" s="14" t="s">
        <v>61</v>
      </c>
      <c r="K1134" s="12" t="s">
        <v>1237</v>
      </c>
      <c r="L1134" s="15">
        <v>1</v>
      </c>
      <c r="M1134" s="12" t="s">
        <v>150</v>
      </c>
      <c r="N1134" s="12">
        <v>20</v>
      </c>
      <c r="O1134" s="12">
        <v>20</v>
      </c>
      <c r="P1134" s="12">
        <v>0</v>
      </c>
      <c r="Q1134" s="16">
        <v>20</v>
      </c>
      <c r="R1134" s="16">
        <v>0</v>
      </c>
      <c r="S1134" s="16"/>
      <c r="T1134" s="16" t="e">
        <v>#N/A</v>
      </c>
      <c r="U1134" s="16" t="e">
        <v>#N/A</v>
      </c>
    </row>
    <row r="1135" spans="1:21" x14ac:dyDescent="0.25">
      <c r="A1135" s="12" t="s">
        <v>21</v>
      </c>
      <c r="B1135" s="12" t="s">
        <v>1230</v>
      </c>
      <c r="C1135" s="12" t="s">
        <v>23</v>
      </c>
      <c r="D1135" s="15">
        <v>46268.418807870374</v>
      </c>
      <c r="E1135" s="12" t="s">
        <v>345</v>
      </c>
      <c r="F1135" s="12" t="s">
        <v>703</v>
      </c>
      <c r="G1135" s="12">
        <v>12</v>
      </c>
      <c r="H1135" s="12">
        <v>12</v>
      </c>
      <c r="I1135" s="14"/>
      <c r="J1135" s="14" t="s">
        <v>61</v>
      </c>
      <c r="K1135" s="12" t="s">
        <v>1238</v>
      </c>
      <c r="L1135" s="15">
        <v>1</v>
      </c>
      <c r="M1135" s="12" t="s">
        <v>150</v>
      </c>
      <c r="N1135" s="12">
        <v>12</v>
      </c>
      <c r="O1135" s="12">
        <v>12</v>
      </c>
      <c r="P1135" s="12">
        <v>0</v>
      </c>
      <c r="Q1135" s="16">
        <v>12</v>
      </c>
      <c r="R1135" s="16">
        <v>0</v>
      </c>
      <c r="S1135" s="16"/>
      <c r="T1135" s="16" t="e">
        <v>#N/A</v>
      </c>
      <c r="U1135" s="16" t="e">
        <v>#N/A</v>
      </c>
    </row>
    <row r="1136" spans="1:21" x14ac:dyDescent="0.25">
      <c r="A1136" s="12" t="s">
        <v>21</v>
      </c>
      <c r="B1136" s="12" t="s">
        <v>1239</v>
      </c>
      <c r="C1136" s="12" t="s">
        <v>23</v>
      </c>
      <c r="D1136" s="15">
        <v>46268.495775462965</v>
      </c>
      <c r="E1136" s="12" t="s">
        <v>24</v>
      </c>
      <c r="F1136" s="12" t="s">
        <v>59</v>
      </c>
      <c r="G1136" s="12">
        <v>5</v>
      </c>
      <c r="H1136" s="12">
        <v>5</v>
      </c>
      <c r="I1136" s="14"/>
      <c r="J1136" s="14" t="s">
        <v>26</v>
      </c>
      <c r="K1136" s="12" t="s">
        <v>27</v>
      </c>
      <c r="L1136" s="15"/>
      <c r="M1136" s="12" t="s">
        <v>28</v>
      </c>
      <c r="N1136" s="12"/>
      <c r="O1136" s="12"/>
      <c r="P1136" s="12"/>
      <c r="Q1136" s="16">
        <v>0</v>
      </c>
      <c r="R1136" s="16">
        <v>0</v>
      </c>
      <c r="S1136" s="16"/>
      <c r="T1136" s="16" t="e">
        <v>#N/A</v>
      </c>
      <c r="U1136" s="16" t="e">
        <v>#N/A</v>
      </c>
    </row>
    <row r="1137" spans="1:21" x14ac:dyDescent="0.25">
      <c r="A1137" s="12" t="s">
        <v>21</v>
      </c>
      <c r="B1137" s="12" t="s">
        <v>1240</v>
      </c>
      <c r="C1137" s="12" t="s">
        <v>23</v>
      </c>
      <c r="D1137" s="15">
        <v>46268.498668981483</v>
      </c>
      <c r="E1137" s="12" t="s">
        <v>585</v>
      </c>
      <c r="F1137" s="12" t="s">
        <v>438</v>
      </c>
      <c r="G1137" s="12">
        <v>600</v>
      </c>
      <c r="H1137" s="12">
        <v>600</v>
      </c>
      <c r="I1137" s="14"/>
      <c r="J1137" s="14" t="s">
        <v>26</v>
      </c>
      <c r="K1137" s="12" t="s">
        <v>27</v>
      </c>
      <c r="L1137" s="15"/>
      <c r="M1137" s="12" t="s">
        <v>28</v>
      </c>
      <c r="N1137" s="12"/>
      <c r="O1137" s="12"/>
      <c r="P1137" s="12"/>
      <c r="Q1137" s="16">
        <v>0</v>
      </c>
      <c r="R1137" s="16">
        <v>113</v>
      </c>
      <c r="S1137" s="16"/>
      <c r="T1137" s="16" t="e">
        <v>#N/A</v>
      </c>
      <c r="U1137" s="16" t="e">
        <v>#N/A</v>
      </c>
    </row>
    <row r="1138" spans="1:21" x14ac:dyDescent="0.25">
      <c r="A1138" s="12" t="s">
        <v>21</v>
      </c>
      <c r="B1138" s="12" t="s">
        <v>1240</v>
      </c>
      <c r="C1138" s="12" t="s">
        <v>23</v>
      </c>
      <c r="D1138" s="15">
        <v>46268.498668981483</v>
      </c>
      <c r="E1138" s="12" t="s">
        <v>585</v>
      </c>
      <c r="F1138" s="12" t="s">
        <v>262</v>
      </c>
      <c r="G1138" s="12">
        <v>2000</v>
      </c>
      <c r="H1138" s="12">
        <v>2000</v>
      </c>
      <c r="I1138" s="14"/>
      <c r="J1138" s="14" t="s">
        <v>26</v>
      </c>
      <c r="K1138" s="12" t="s">
        <v>27</v>
      </c>
      <c r="L1138" s="15"/>
      <c r="M1138" s="12" t="s">
        <v>28</v>
      </c>
      <c r="N1138" s="12"/>
      <c r="O1138" s="12"/>
      <c r="P1138" s="12"/>
      <c r="Q1138" s="16">
        <v>0</v>
      </c>
      <c r="R1138" s="16">
        <v>0</v>
      </c>
      <c r="S1138" s="16"/>
      <c r="T1138" s="16" t="e">
        <v>#N/A</v>
      </c>
      <c r="U1138" s="16" t="e">
        <v>#N/A</v>
      </c>
    </row>
    <row r="1139" spans="1:21" x14ac:dyDescent="0.25">
      <c r="A1139" s="12" t="s">
        <v>21</v>
      </c>
      <c r="B1139" s="12" t="s">
        <v>1240</v>
      </c>
      <c r="C1139" s="12" t="s">
        <v>23</v>
      </c>
      <c r="D1139" s="15">
        <v>46268.498668981483</v>
      </c>
      <c r="E1139" s="12" t="s">
        <v>585</v>
      </c>
      <c r="F1139" s="12" t="s">
        <v>439</v>
      </c>
      <c r="G1139" s="12">
        <v>600</v>
      </c>
      <c r="H1139" s="12">
        <v>600</v>
      </c>
      <c r="I1139" s="14"/>
      <c r="J1139" s="14" t="s">
        <v>26</v>
      </c>
      <c r="K1139" s="12" t="s">
        <v>27</v>
      </c>
      <c r="L1139" s="15"/>
      <c r="M1139" s="12" t="s">
        <v>28</v>
      </c>
      <c r="N1139" s="12"/>
      <c r="O1139" s="12"/>
      <c r="P1139" s="12"/>
      <c r="Q1139" s="16">
        <v>0</v>
      </c>
      <c r="R1139" s="16">
        <v>0</v>
      </c>
      <c r="S1139" s="16">
        <v>160</v>
      </c>
      <c r="T1139" s="16" t="e">
        <v>#N/A</v>
      </c>
      <c r="U1139" s="16" t="e">
        <v>#N/A</v>
      </c>
    </row>
    <row r="1140" spans="1:21" x14ac:dyDescent="0.25">
      <c r="A1140" s="12" t="s">
        <v>21</v>
      </c>
      <c r="B1140" s="12" t="s">
        <v>1241</v>
      </c>
      <c r="C1140" s="12" t="s">
        <v>23</v>
      </c>
      <c r="D1140" s="15">
        <v>46268.574664351851</v>
      </c>
      <c r="E1140" s="12" t="s">
        <v>368</v>
      </c>
      <c r="F1140" s="12" t="s">
        <v>987</v>
      </c>
      <c r="G1140" s="12">
        <v>2</v>
      </c>
      <c r="H1140" s="12">
        <v>2</v>
      </c>
      <c r="I1140" s="14"/>
      <c r="J1140" s="14" t="s">
        <v>61</v>
      </c>
      <c r="K1140" s="12" t="s">
        <v>1247</v>
      </c>
      <c r="L1140" s="15">
        <v>1</v>
      </c>
      <c r="M1140" s="12" t="s">
        <v>150</v>
      </c>
      <c r="N1140" s="12">
        <v>2</v>
      </c>
      <c r="O1140" s="12">
        <v>2</v>
      </c>
      <c r="P1140" s="12">
        <v>0</v>
      </c>
      <c r="Q1140" s="16">
        <v>2</v>
      </c>
      <c r="R1140" s="16">
        <v>0</v>
      </c>
      <c r="S1140" s="16"/>
      <c r="T1140" s="16" t="e">
        <v>#N/A</v>
      </c>
      <c r="U1140" s="16" t="e">
        <v>#N/A</v>
      </c>
    </row>
    <row r="1141" spans="1:21" x14ac:dyDescent="0.25">
      <c r="A1141" s="12" t="s">
        <v>21</v>
      </c>
      <c r="B1141" s="12" t="s">
        <v>1241</v>
      </c>
      <c r="C1141" s="12" t="s">
        <v>23</v>
      </c>
      <c r="D1141" s="15">
        <v>46268.574664351851</v>
      </c>
      <c r="E1141" s="12" t="s">
        <v>368</v>
      </c>
      <c r="F1141" s="12" t="s">
        <v>1244</v>
      </c>
      <c r="G1141" s="12">
        <v>4</v>
      </c>
      <c r="H1141" s="12">
        <v>4</v>
      </c>
      <c r="I1141" s="14"/>
      <c r="J1141" s="14" t="s">
        <v>26</v>
      </c>
      <c r="K1141" s="12" t="s">
        <v>27</v>
      </c>
      <c r="L1141" s="15"/>
      <c r="M1141" s="12" t="s">
        <v>28</v>
      </c>
      <c r="N1141" s="12"/>
      <c r="O1141" s="12"/>
      <c r="P1141" s="12"/>
      <c r="Q1141" s="16">
        <v>0</v>
      </c>
      <c r="R1141" s="16">
        <v>3</v>
      </c>
      <c r="S1141" s="16"/>
      <c r="T1141" s="16" t="e">
        <v>#N/A</v>
      </c>
      <c r="U1141" s="16" t="e">
        <v>#N/A</v>
      </c>
    </row>
    <row r="1142" spans="1:21" x14ac:dyDescent="0.25">
      <c r="A1142" s="12" t="s">
        <v>21</v>
      </c>
      <c r="B1142" s="12" t="s">
        <v>1241</v>
      </c>
      <c r="C1142" s="12" t="s">
        <v>23</v>
      </c>
      <c r="D1142" s="15">
        <v>46268.574664351851</v>
      </c>
      <c r="E1142" s="12" t="s">
        <v>368</v>
      </c>
      <c r="F1142" s="12" t="s">
        <v>474</v>
      </c>
      <c r="G1142" s="12">
        <v>6</v>
      </c>
      <c r="H1142" s="12">
        <v>6</v>
      </c>
      <c r="I1142" s="14"/>
      <c r="J1142" s="14" t="s">
        <v>26</v>
      </c>
      <c r="K1142" s="12" t="s">
        <v>27</v>
      </c>
      <c r="L1142" s="15"/>
      <c r="M1142" s="12" t="s">
        <v>28</v>
      </c>
      <c r="N1142" s="12"/>
      <c r="O1142" s="12"/>
      <c r="P1142" s="12"/>
      <c r="Q1142" s="16">
        <v>0</v>
      </c>
      <c r="R1142" s="16">
        <v>0</v>
      </c>
      <c r="S1142" s="16"/>
      <c r="T1142" s="16" t="e">
        <v>#N/A</v>
      </c>
      <c r="U1142" s="16" t="e">
        <v>#N/A</v>
      </c>
    </row>
    <row r="1143" spans="1:21" x14ac:dyDescent="0.25">
      <c r="A1143" s="12" t="s">
        <v>21</v>
      </c>
      <c r="B1143" s="12" t="s">
        <v>1241</v>
      </c>
      <c r="C1143" s="12" t="s">
        <v>23</v>
      </c>
      <c r="D1143" s="15">
        <v>46268.574664351851</v>
      </c>
      <c r="E1143" s="12" t="s">
        <v>368</v>
      </c>
      <c r="F1143" s="12" t="s">
        <v>1166</v>
      </c>
      <c r="G1143" s="12">
        <v>10</v>
      </c>
      <c r="H1143" s="12">
        <v>10</v>
      </c>
      <c r="I1143" s="14"/>
      <c r="J1143" s="14" t="s">
        <v>61</v>
      </c>
      <c r="K1143" s="12" t="s">
        <v>1248</v>
      </c>
      <c r="L1143" s="15">
        <v>1</v>
      </c>
      <c r="M1143" s="12" t="s">
        <v>150</v>
      </c>
      <c r="N1143" s="12">
        <v>10</v>
      </c>
      <c r="O1143" s="12">
        <v>10</v>
      </c>
      <c r="P1143" s="12">
        <v>0</v>
      </c>
      <c r="Q1143" s="16">
        <v>10</v>
      </c>
      <c r="R1143" s="16">
        <v>0</v>
      </c>
      <c r="S1143" s="16"/>
      <c r="T1143" s="16" t="e">
        <v>#N/A</v>
      </c>
      <c r="U1143" s="16" t="e">
        <v>#N/A</v>
      </c>
    </row>
    <row r="1144" spans="1:21" x14ac:dyDescent="0.25">
      <c r="A1144" s="12" t="s">
        <v>21</v>
      </c>
      <c r="B1144" s="12" t="s">
        <v>1241</v>
      </c>
      <c r="C1144" s="12" t="s">
        <v>23</v>
      </c>
      <c r="D1144" s="15">
        <v>46268.574664351851</v>
      </c>
      <c r="E1144" s="12" t="s">
        <v>368</v>
      </c>
      <c r="F1144" s="12" t="s">
        <v>1219</v>
      </c>
      <c r="G1144" s="12">
        <v>14</v>
      </c>
      <c r="H1144" s="12">
        <v>14</v>
      </c>
      <c r="I1144" s="14"/>
      <c r="J1144" s="14" t="s">
        <v>61</v>
      </c>
      <c r="K1144" s="12" t="s">
        <v>1249</v>
      </c>
      <c r="L1144" s="15">
        <v>1</v>
      </c>
      <c r="M1144" s="12" t="s">
        <v>150</v>
      </c>
      <c r="N1144" s="12">
        <v>14</v>
      </c>
      <c r="O1144" s="12">
        <v>14</v>
      </c>
      <c r="P1144" s="12">
        <v>0</v>
      </c>
      <c r="Q1144" s="16">
        <v>14</v>
      </c>
      <c r="R1144" s="16">
        <v>0</v>
      </c>
      <c r="S1144" s="16"/>
      <c r="T1144" s="16" t="e">
        <v>#N/A</v>
      </c>
      <c r="U1144" s="16" t="e">
        <v>#N/A</v>
      </c>
    </row>
    <row r="1145" spans="1:21" x14ac:dyDescent="0.25">
      <c r="A1145" s="12" t="s">
        <v>21</v>
      </c>
      <c r="B1145" s="12" t="s">
        <v>1242</v>
      </c>
      <c r="C1145" s="12" t="s">
        <v>23</v>
      </c>
      <c r="D1145" s="15">
        <v>46268.574895833335</v>
      </c>
      <c r="E1145" s="12" t="s">
        <v>368</v>
      </c>
      <c r="F1145" s="12" t="s">
        <v>1199</v>
      </c>
      <c r="G1145" s="12">
        <v>3</v>
      </c>
      <c r="H1145" s="12">
        <v>3</v>
      </c>
      <c r="I1145" s="14"/>
      <c r="J1145" s="14" t="s">
        <v>61</v>
      </c>
      <c r="K1145" s="12" t="s">
        <v>1250</v>
      </c>
      <c r="L1145" s="15">
        <v>1</v>
      </c>
      <c r="M1145" s="12" t="s">
        <v>150</v>
      </c>
      <c r="N1145" s="12">
        <v>3</v>
      </c>
      <c r="O1145" s="12">
        <v>3</v>
      </c>
      <c r="P1145" s="12">
        <v>0</v>
      </c>
      <c r="Q1145" s="16">
        <v>3</v>
      </c>
      <c r="R1145" s="16">
        <v>0</v>
      </c>
      <c r="S1145" s="16"/>
      <c r="T1145" s="16" t="e">
        <v>#N/A</v>
      </c>
      <c r="U1145" s="16" t="e">
        <v>#N/A</v>
      </c>
    </row>
    <row r="1146" spans="1:21" x14ac:dyDescent="0.25">
      <c r="A1146" s="12" t="s">
        <v>21</v>
      </c>
      <c r="B1146" s="12" t="s">
        <v>1242</v>
      </c>
      <c r="C1146" s="12" t="s">
        <v>23</v>
      </c>
      <c r="D1146" s="15">
        <v>46268.574895833335</v>
      </c>
      <c r="E1146" s="12" t="s">
        <v>368</v>
      </c>
      <c r="F1146" s="12" t="s">
        <v>1090</v>
      </c>
      <c r="G1146" s="12">
        <v>4</v>
      </c>
      <c r="H1146" s="12">
        <v>4</v>
      </c>
      <c r="I1146" s="14"/>
      <c r="J1146" s="14" t="s">
        <v>61</v>
      </c>
      <c r="K1146" s="12" t="s">
        <v>1251</v>
      </c>
      <c r="L1146" s="15">
        <v>1</v>
      </c>
      <c r="M1146" s="12" t="s">
        <v>150</v>
      </c>
      <c r="N1146" s="12">
        <v>4</v>
      </c>
      <c r="O1146" s="12">
        <v>4</v>
      </c>
      <c r="P1146" s="12">
        <v>0</v>
      </c>
      <c r="Q1146" s="16">
        <v>4</v>
      </c>
      <c r="R1146" s="16">
        <v>0</v>
      </c>
      <c r="S1146" s="16"/>
      <c r="T1146" s="16" t="e">
        <v>#N/A</v>
      </c>
      <c r="U1146" s="16" t="e">
        <v>#N/A</v>
      </c>
    </row>
    <row r="1147" spans="1:21" x14ac:dyDescent="0.25">
      <c r="A1147" s="12" t="s">
        <v>21</v>
      </c>
      <c r="B1147" s="12" t="s">
        <v>1242</v>
      </c>
      <c r="C1147" s="12" t="s">
        <v>23</v>
      </c>
      <c r="D1147" s="15">
        <v>46268.574895833335</v>
      </c>
      <c r="E1147" s="12" t="s">
        <v>368</v>
      </c>
      <c r="F1147" s="12" t="s">
        <v>276</v>
      </c>
      <c r="G1147" s="12">
        <v>5</v>
      </c>
      <c r="H1147" s="12">
        <v>5</v>
      </c>
      <c r="I1147" s="14"/>
      <c r="J1147" s="14" t="s">
        <v>26</v>
      </c>
      <c r="K1147" s="12" t="s">
        <v>27</v>
      </c>
      <c r="L1147" s="15"/>
      <c r="M1147" s="12" t="s">
        <v>28</v>
      </c>
      <c r="N1147" s="12"/>
      <c r="O1147" s="12"/>
      <c r="P1147" s="12"/>
      <c r="Q1147" s="16">
        <v>0</v>
      </c>
      <c r="R1147" s="16">
        <v>11</v>
      </c>
      <c r="S1147" s="16"/>
      <c r="T1147" s="16" t="e">
        <v>#N/A</v>
      </c>
      <c r="U1147" s="16" t="e">
        <v>#N/A</v>
      </c>
    </row>
    <row r="1148" spans="1:21" x14ac:dyDescent="0.25">
      <c r="A1148" s="12" t="s">
        <v>21</v>
      </c>
      <c r="B1148" s="12" t="s">
        <v>1242</v>
      </c>
      <c r="C1148" s="12" t="s">
        <v>23</v>
      </c>
      <c r="D1148" s="15">
        <v>46268.574895833335</v>
      </c>
      <c r="E1148" s="12" t="s">
        <v>368</v>
      </c>
      <c r="F1148" s="12" t="s">
        <v>1091</v>
      </c>
      <c r="G1148" s="12">
        <v>8</v>
      </c>
      <c r="H1148" s="12">
        <v>8</v>
      </c>
      <c r="I1148" s="14"/>
      <c r="J1148" s="14" t="s">
        <v>61</v>
      </c>
      <c r="K1148" s="12" t="s">
        <v>1252</v>
      </c>
      <c r="L1148" s="15">
        <v>1</v>
      </c>
      <c r="M1148" s="12" t="s">
        <v>150</v>
      </c>
      <c r="N1148" s="12">
        <v>8</v>
      </c>
      <c r="O1148" s="12">
        <v>8</v>
      </c>
      <c r="P1148" s="12">
        <v>0</v>
      </c>
      <c r="Q1148" s="16">
        <v>8</v>
      </c>
      <c r="R1148" s="16">
        <v>1</v>
      </c>
      <c r="S1148" s="16"/>
      <c r="T1148" s="16" t="e">
        <v>#N/A</v>
      </c>
      <c r="U1148" s="16" t="e">
        <v>#N/A</v>
      </c>
    </row>
    <row r="1149" spans="1:21" x14ac:dyDescent="0.25">
      <c r="A1149" s="12" t="s">
        <v>21</v>
      </c>
      <c r="B1149" s="12" t="s">
        <v>1242</v>
      </c>
      <c r="C1149" s="12" t="s">
        <v>23</v>
      </c>
      <c r="D1149" s="15">
        <v>46268.574895833335</v>
      </c>
      <c r="E1149" s="12" t="s">
        <v>368</v>
      </c>
      <c r="F1149" s="12" t="s">
        <v>1245</v>
      </c>
      <c r="G1149" s="12">
        <v>8</v>
      </c>
      <c r="H1149" s="12">
        <v>8</v>
      </c>
      <c r="I1149" s="14"/>
      <c r="J1149" s="14" t="s">
        <v>61</v>
      </c>
      <c r="K1149" s="12" t="s">
        <v>1253</v>
      </c>
      <c r="L1149" s="15">
        <v>1</v>
      </c>
      <c r="M1149" s="12" t="s">
        <v>150</v>
      </c>
      <c r="N1149" s="12">
        <v>8</v>
      </c>
      <c r="O1149" s="12">
        <v>8</v>
      </c>
      <c r="P1149" s="12">
        <v>0</v>
      </c>
      <c r="Q1149" s="16">
        <v>8</v>
      </c>
      <c r="R1149" s="16">
        <v>7</v>
      </c>
      <c r="S1149" s="16"/>
      <c r="T1149" s="16" t="e">
        <v>#N/A</v>
      </c>
      <c r="U1149" s="16" t="e">
        <v>#N/A</v>
      </c>
    </row>
    <row r="1150" spans="1:21" x14ac:dyDescent="0.25">
      <c r="A1150" s="12" t="s">
        <v>21</v>
      </c>
      <c r="B1150" s="12" t="s">
        <v>1243</v>
      </c>
      <c r="C1150" s="12" t="s">
        <v>23</v>
      </c>
      <c r="D1150" s="15">
        <v>46268.575127314813</v>
      </c>
      <c r="E1150" s="12" t="s">
        <v>368</v>
      </c>
      <c r="F1150" s="12" t="s">
        <v>441</v>
      </c>
      <c r="G1150" s="12">
        <v>2</v>
      </c>
      <c r="H1150" s="12">
        <v>2</v>
      </c>
      <c r="I1150" s="14"/>
      <c r="J1150" s="14" t="s">
        <v>61</v>
      </c>
      <c r="K1150" s="12" t="s">
        <v>1254</v>
      </c>
      <c r="L1150" s="15">
        <v>1</v>
      </c>
      <c r="M1150" s="12" t="s">
        <v>150</v>
      </c>
      <c r="N1150" s="12">
        <v>2</v>
      </c>
      <c r="O1150" s="12">
        <v>2</v>
      </c>
      <c r="P1150" s="12">
        <v>0</v>
      </c>
      <c r="Q1150" s="16">
        <v>2</v>
      </c>
      <c r="R1150" s="16">
        <v>0</v>
      </c>
      <c r="S1150" s="16"/>
      <c r="T1150" s="16" t="e">
        <v>#N/A</v>
      </c>
      <c r="U1150" s="16" t="e">
        <v>#N/A</v>
      </c>
    </row>
    <row r="1151" spans="1:21" x14ac:dyDescent="0.25">
      <c r="A1151" s="12" t="s">
        <v>21</v>
      </c>
      <c r="B1151" s="12" t="s">
        <v>1243</v>
      </c>
      <c r="C1151" s="12" t="s">
        <v>23</v>
      </c>
      <c r="D1151" s="15">
        <v>46268.575127314813</v>
      </c>
      <c r="E1151" s="12" t="s">
        <v>368</v>
      </c>
      <c r="F1151" s="12" t="s">
        <v>1246</v>
      </c>
      <c r="G1151" s="12">
        <v>6</v>
      </c>
      <c r="H1151" s="12">
        <v>6</v>
      </c>
      <c r="I1151" s="14"/>
      <c r="J1151" s="14" t="s">
        <v>26</v>
      </c>
      <c r="K1151" s="12" t="s">
        <v>27</v>
      </c>
      <c r="L1151" s="15"/>
      <c r="M1151" s="12" t="s">
        <v>28</v>
      </c>
      <c r="N1151" s="12"/>
      <c r="O1151" s="12"/>
      <c r="P1151" s="12"/>
      <c r="Q1151" s="16">
        <v>0</v>
      </c>
      <c r="R1151" s="16">
        <v>0</v>
      </c>
      <c r="S1151" s="16"/>
      <c r="T1151" s="16" t="e">
        <v>#N/A</v>
      </c>
      <c r="U1151" s="16" t="e">
        <v>#N/A</v>
      </c>
    </row>
    <row r="1152" spans="1:21" x14ac:dyDescent="0.25">
      <c r="A1152" s="12" t="s">
        <v>21</v>
      </c>
      <c r="B1152" s="12" t="s">
        <v>1243</v>
      </c>
      <c r="C1152" s="12" t="s">
        <v>23</v>
      </c>
      <c r="D1152" s="15">
        <v>46268.575127314813</v>
      </c>
      <c r="E1152" s="12" t="s">
        <v>368</v>
      </c>
      <c r="F1152" s="12" t="s">
        <v>245</v>
      </c>
      <c r="G1152" s="12">
        <v>50</v>
      </c>
      <c r="H1152" s="12">
        <v>50</v>
      </c>
      <c r="I1152" s="14"/>
      <c r="J1152" s="14" t="s">
        <v>61</v>
      </c>
      <c r="K1152" s="12" t="s">
        <v>1255</v>
      </c>
      <c r="L1152" s="15">
        <v>1</v>
      </c>
      <c r="M1152" s="12" t="s">
        <v>150</v>
      </c>
      <c r="N1152" s="12">
        <v>50</v>
      </c>
      <c r="O1152" s="12">
        <v>50</v>
      </c>
      <c r="P1152" s="12">
        <v>0</v>
      </c>
      <c r="Q1152" s="16">
        <v>50</v>
      </c>
      <c r="R1152" s="16">
        <v>0</v>
      </c>
      <c r="S1152" s="16"/>
      <c r="T1152" s="16" t="e">
        <v>#N/A</v>
      </c>
      <c r="U1152" s="16" t="e">
        <v>#N/A</v>
      </c>
    </row>
    <row r="1153" spans="1:21" x14ac:dyDescent="0.25">
      <c r="A1153" s="12" t="s">
        <v>21</v>
      </c>
      <c r="B1153" s="12" t="s">
        <v>1243</v>
      </c>
      <c r="C1153" s="12" t="s">
        <v>23</v>
      </c>
      <c r="D1153" s="15">
        <v>46268.575127314813</v>
      </c>
      <c r="E1153" s="12" t="s">
        <v>368</v>
      </c>
      <c r="F1153" s="12" t="s">
        <v>1018</v>
      </c>
      <c r="G1153" s="12">
        <v>14</v>
      </c>
      <c r="H1153" s="12">
        <v>14</v>
      </c>
      <c r="I1153" s="14"/>
      <c r="J1153" s="14" t="s">
        <v>26</v>
      </c>
      <c r="K1153" s="12" t="s">
        <v>27</v>
      </c>
      <c r="L1153" s="15"/>
      <c r="M1153" s="12" t="s">
        <v>28</v>
      </c>
      <c r="N1153" s="12"/>
      <c r="O1153" s="12"/>
      <c r="P1153" s="12"/>
      <c r="Q1153" s="16">
        <v>0</v>
      </c>
      <c r="R1153" s="16">
        <v>0</v>
      </c>
      <c r="S1153" s="16"/>
      <c r="T1153" s="16" t="e">
        <v>#N/A</v>
      </c>
      <c r="U1153" s="16" t="e">
        <v>#N/A</v>
      </c>
    </row>
    <row r="1154" spans="1:21" x14ac:dyDescent="0.25">
      <c r="A1154" s="12" t="s">
        <v>21</v>
      </c>
      <c r="B1154" s="12" t="s">
        <v>1243</v>
      </c>
      <c r="C1154" s="12" t="s">
        <v>23</v>
      </c>
      <c r="D1154" s="15">
        <v>46268.575127314813</v>
      </c>
      <c r="E1154" s="12" t="s">
        <v>368</v>
      </c>
      <c r="F1154" s="12" t="s">
        <v>248</v>
      </c>
      <c r="G1154" s="12">
        <v>20</v>
      </c>
      <c r="H1154" s="12">
        <v>20</v>
      </c>
      <c r="I1154" s="14"/>
      <c r="J1154" s="14" t="s">
        <v>26</v>
      </c>
      <c r="K1154" s="12" t="s">
        <v>27</v>
      </c>
      <c r="L1154" s="15"/>
      <c r="M1154" s="12" t="s">
        <v>28</v>
      </c>
      <c r="N1154" s="12"/>
      <c r="O1154" s="12"/>
      <c r="P1154" s="12"/>
      <c r="Q1154" s="16">
        <v>0</v>
      </c>
      <c r="R1154" s="16">
        <v>2</v>
      </c>
      <c r="S1154" s="16"/>
      <c r="T1154" s="16" t="e">
        <v>#N/A</v>
      </c>
      <c r="U1154" s="16" t="e">
        <v>#N/A</v>
      </c>
    </row>
    <row r="1155" spans="1:21" x14ac:dyDescent="0.25">
      <c r="A1155" s="12" t="s">
        <v>21</v>
      </c>
      <c r="B1155" s="12" t="s">
        <v>1243</v>
      </c>
      <c r="C1155" s="12" t="s">
        <v>23</v>
      </c>
      <c r="D1155" s="15">
        <v>46268.575127314813</v>
      </c>
      <c r="E1155" s="12" t="s">
        <v>368</v>
      </c>
      <c r="F1155" s="12" t="s">
        <v>249</v>
      </c>
      <c r="G1155" s="12">
        <v>8</v>
      </c>
      <c r="H1155" s="12">
        <v>8</v>
      </c>
      <c r="I1155" s="14"/>
      <c r="J1155" s="14" t="s">
        <v>26</v>
      </c>
      <c r="K1155" s="12" t="s">
        <v>27</v>
      </c>
      <c r="L1155" s="15"/>
      <c r="M1155" s="12" t="s">
        <v>28</v>
      </c>
      <c r="N1155" s="12"/>
      <c r="O1155" s="12"/>
      <c r="P1155" s="12"/>
      <c r="Q1155" s="16">
        <v>0</v>
      </c>
      <c r="R1155" s="16">
        <v>0</v>
      </c>
      <c r="S1155" s="16"/>
      <c r="T1155" s="16" t="e">
        <v>#N/A</v>
      </c>
      <c r="U1155" s="16" t="e">
        <v>#N/A</v>
      </c>
    </row>
    <row r="1156" spans="1:21" x14ac:dyDescent="0.25">
      <c r="A1156" s="12" t="s">
        <v>21</v>
      </c>
      <c r="B1156" s="12" t="s">
        <v>1256</v>
      </c>
      <c r="C1156" s="12" t="s">
        <v>23</v>
      </c>
      <c r="D1156" s="15">
        <v>46268.575231481482</v>
      </c>
      <c r="E1156" s="12" t="s">
        <v>368</v>
      </c>
      <c r="F1156" s="12" t="s">
        <v>354</v>
      </c>
      <c r="G1156" s="12">
        <v>30</v>
      </c>
      <c r="H1156" s="12">
        <v>30</v>
      </c>
      <c r="I1156" s="14"/>
      <c r="J1156" s="14" t="s">
        <v>26</v>
      </c>
      <c r="K1156" s="12" t="s">
        <v>27</v>
      </c>
      <c r="L1156" s="15"/>
      <c r="M1156" s="12" t="s">
        <v>28</v>
      </c>
      <c r="N1156" s="12"/>
      <c r="O1156" s="12"/>
      <c r="P1156" s="12"/>
      <c r="Q1156" s="16">
        <v>0</v>
      </c>
      <c r="R1156" s="16">
        <v>0</v>
      </c>
      <c r="S1156" s="16"/>
      <c r="T1156" s="16" t="e">
        <v>#N/A</v>
      </c>
      <c r="U1156" s="16" t="e">
        <v>#N/A</v>
      </c>
    </row>
    <row r="1157" spans="1:21" x14ac:dyDescent="0.25">
      <c r="A1157" s="12" t="s">
        <v>21</v>
      </c>
      <c r="B1157" s="12" t="s">
        <v>1256</v>
      </c>
      <c r="C1157" s="12" t="s">
        <v>23</v>
      </c>
      <c r="D1157" s="15">
        <v>46268.575231481482</v>
      </c>
      <c r="E1157" s="12" t="s">
        <v>368</v>
      </c>
      <c r="F1157" s="12" t="s">
        <v>373</v>
      </c>
      <c r="G1157" s="12">
        <v>8</v>
      </c>
      <c r="H1157" s="12">
        <v>8</v>
      </c>
      <c r="I1157" s="14"/>
      <c r="J1157" s="14" t="s">
        <v>26</v>
      </c>
      <c r="K1157" s="12" t="s">
        <v>27</v>
      </c>
      <c r="L1157" s="15"/>
      <c r="M1157" s="12" t="s">
        <v>28</v>
      </c>
      <c r="N1157" s="12"/>
      <c r="O1157" s="12"/>
      <c r="P1157" s="12"/>
      <c r="Q1157" s="16">
        <v>0</v>
      </c>
      <c r="R1157" s="16">
        <v>2</v>
      </c>
      <c r="S1157" s="16"/>
      <c r="T1157" s="16" t="e">
        <v>#N/A</v>
      </c>
      <c r="U1157" s="16" t="e">
        <v>#N/A</v>
      </c>
    </row>
    <row r="1158" spans="1:21" x14ac:dyDescent="0.25">
      <c r="A1158" s="12" t="s">
        <v>21</v>
      </c>
      <c r="B1158" s="12" t="s">
        <v>1256</v>
      </c>
      <c r="C1158" s="12" t="s">
        <v>23</v>
      </c>
      <c r="D1158" s="15">
        <v>46268.575231481482</v>
      </c>
      <c r="E1158" s="12" t="s">
        <v>368</v>
      </c>
      <c r="F1158" s="12" t="s">
        <v>324</v>
      </c>
      <c r="G1158" s="12">
        <v>12</v>
      </c>
      <c r="H1158" s="12">
        <v>12</v>
      </c>
      <c r="I1158" s="14"/>
      <c r="J1158" s="14" t="s">
        <v>26</v>
      </c>
      <c r="K1158" s="12" t="s">
        <v>27</v>
      </c>
      <c r="L1158" s="15"/>
      <c r="M1158" s="12" t="s">
        <v>28</v>
      </c>
      <c r="N1158" s="12"/>
      <c r="O1158" s="12"/>
      <c r="P1158" s="12"/>
      <c r="Q1158" s="16">
        <v>0</v>
      </c>
      <c r="R1158" s="16">
        <v>4</v>
      </c>
      <c r="S1158" s="16"/>
      <c r="T1158" s="16" t="e">
        <v>#N/A</v>
      </c>
      <c r="U1158" s="16" t="e">
        <v>#N/A</v>
      </c>
    </row>
    <row r="1159" spans="1:21" x14ac:dyDescent="0.25">
      <c r="A1159" s="12" t="s">
        <v>21</v>
      </c>
      <c r="B1159" s="12" t="s">
        <v>1256</v>
      </c>
      <c r="C1159" s="12" t="s">
        <v>23</v>
      </c>
      <c r="D1159" s="15">
        <v>46268.575231481482</v>
      </c>
      <c r="E1159" s="12" t="s">
        <v>368</v>
      </c>
      <c r="F1159" s="12" t="s">
        <v>617</v>
      </c>
      <c r="G1159" s="12">
        <v>6</v>
      </c>
      <c r="H1159" s="12">
        <v>6</v>
      </c>
      <c r="I1159" s="14"/>
      <c r="J1159" s="14" t="s">
        <v>26</v>
      </c>
      <c r="K1159" s="12" t="s">
        <v>27</v>
      </c>
      <c r="L1159" s="15"/>
      <c r="M1159" s="12" t="s">
        <v>28</v>
      </c>
      <c r="N1159" s="12"/>
      <c r="O1159" s="12"/>
      <c r="P1159" s="12"/>
      <c r="Q1159" s="16">
        <v>0</v>
      </c>
      <c r="R1159" s="16">
        <v>0</v>
      </c>
      <c r="S1159" s="16"/>
      <c r="T1159" s="16" t="e">
        <v>#N/A</v>
      </c>
      <c r="U1159" s="16" t="e">
        <v>#N/A</v>
      </c>
    </row>
    <row r="1160" spans="1:21" x14ac:dyDescent="0.25">
      <c r="A1160" s="12" t="s">
        <v>21</v>
      </c>
      <c r="B1160" s="12" t="s">
        <v>1256</v>
      </c>
      <c r="C1160" s="12" t="s">
        <v>23</v>
      </c>
      <c r="D1160" s="15">
        <v>46268.575231481482</v>
      </c>
      <c r="E1160" s="12" t="s">
        <v>368</v>
      </c>
      <c r="F1160" s="12" t="s">
        <v>924</v>
      </c>
      <c r="G1160" s="12">
        <v>50</v>
      </c>
      <c r="H1160" s="12">
        <v>50</v>
      </c>
      <c r="I1160" s="14"/>
      <c r="J1160" s="14" t="s">
        <v>26</v>
      </c>
      <c r="K1160" s="12" t="s">
        <v>27</v>
      </c>
      <c r="L1160" s="15"/>
      <c r="M1160" s="12" t="s">
        <v>28</v>
      </c>
      <c r="N1160" s="12"/>
      <c r="O1160" s="12"/>
      <c r="P1160" s="12"/>
      <c r="Q1160" s="16">
        <v>0</v>
      </c>
      <c r="R1160" s="16">
        <v>0</v>
      </c>
      <c r="S1160" s="16">
        <v>20</v>
      </c>
      <c r="T1160" s="16" t="e">
        <v>#N/A</v>
      </c>
      <c r="U1160" s="16" t="e">
        <v>#N/A</v>
      </c>
    </row>
    <row r="1161" spans="1:21" x14ac:dyDescent="0.25">
      <c r="A1161" s="12" t="s">
        <v>21</v>
      </c>
      <c r="B1161" s="12" t="s">
        <v>1256</v>
      </c>
      <c r="C1161" s="12" t="s">
        <v>23</v>
      </c>
      <c r="D1161" s="15">
        <v>46268.575231481482</v>
      </c>
      <c r="E1161" s="12" t="s">
        <v>368</v>
      </c>
      <c r="F1161" s="12" t="s">
        <v>525</v>
      </c>
      <c r="G1161" s="12">
        <v>20</v>
      </c>
      <c r="H1161" s="12">
        <v>20</v>
      </c>
      <c r="I1161" s="14"/>
      <c r="J1161" s="14" t="s">
        <v>26</v>
      </c>
      <c r="K1161" s="12" t="s">
        <v>27</v>
      </c>
      <c r="L1161" s="15"/>
      <c r="M1161" s="12" t="s">
        <v>28</v>
      </c>
      <c r="N1161" s="12"/>
      <c r="O1161" s="12"/>
      <c r="P1161" s="12"/>
      <c r="Q1161" s="16">
        <v>0</v>
      </c>
      <c r="R1161" s="16">
        <v>0</v>
      </c>
      <c r="S1161" s="16"/>
      <c r="T1161" s="16" t="e">
        <v>#N/A</v>
      </c>
      <c r="U1161" s="16" t="e">
        <v>#N/A</v>
      </c>
    </row>
    <row r="1162" spans="1:21" x14ac:dyDescent="0.25">
      <c r="A1162" s="12" t="s">
        <v>21</v>
      </c>
      <c r="B1162" s="12" t="s">
        <v>1257</v>
      </c>
      <c r="C1162" s="12" t="s">
        <v>23</v>
      </c>
      <c r="D1162" s="15">
        <v>46268.57534722222</v>
      </c>
      <c r="E1162" s="12" t="s">
        <v>368</v>
      </c>
      <c r="F1162" s="12" t="s">
        <v>1258</v>
      </c>
      <c r="G1162" s="12">
        <v>18</v>
      </c>
      <c r="H1162" s="12">
        <v>18</v>
      </c>
      <c r="I1162" s="14"/>
      <c r="J1162" s="14" t="s">
        <v>26</v>
      </c>
      <c r="K1162" s="12" t="s">
        <v>27</v>
      </c>
      <c r="L1162" s="15"/>
      <c r="M1162" s="12" t="s">
        <v>28</v>
      </c>
      <c r="N1162" s="12"/>
      <c r="O1162" s="12"/>
      <c r="P1162" s="12"/>
      <c r="Q1162" s="16">
        <v>0</v>
      </c>
      <c r="R1162" s="16">
        <v>2</v>
      </c>
      <c r="S1162" s="16"/>
      <c r="T1162" s="16" t="e">
        <v>#N/A</v>
      </c>
      <c r="U1162" s="16" t="e">
        <v>#N/A</v>
      </c>
    </row>
    <row r="1163" spans="1:21" x14ac:dyDescent="0.25">
      <c r="A1163" s="12" t="s">
        <v>21</v>
      </c>
      <c r="B1163" s="12" t="s">
        <v>1257</v>
      </c>
      <c r="C1163" s="12" t="s">
        <v>23</v>
      </c>
      <c r="D1163" s="15">
        <v>46268.57534722222</v>
      </c>
      <c r="E1163" s="12" t="s">
        <v>368</v>
      </c>
      <c r="F1163" s="12" t="s">
        <v>159</v>
      </c>
      <c r="G1163" s="12">
        <v>26</v>
      </c>
      <c r="H1163" s="12">
        <v>26</v>
      </c>
      <c r="I1163" s="14"/>
      <c r="J1163" s="14" t="s">
        <v>26</v>
      </c>
      <c r="K1163" s="12" t="s">
        <v>27</v>
      </c>
      <c r="L1163" s="15"/>
      <c r="M1163" s="12" t="s">
        <v>28</v>
      </c>
      <c r="N1163" s="12"/>
      <c r="O1163" s="12"/>
      <c r="P1163" s="12"/>
      <c r="Q1163" s="16">
        <v>0</v>
      </c>
      <c r="R1163" s="16">
        <v>0</v>
      </c>
      <c r="S1163" s="16"/>
      <c r="T1163" s="16" t="e">
        <v>#N/A</v>
      </c>
      <c r="U1163" s="16" t="e">
        <v>#N/A</v>
      </c>
    </row>
    <row r="1164" spans="1:21" x14ac:dyDescent="0.25">
      <c r="A1164" s="12" t="s">
        <v>21</v>
      </c>
      <c r="B1164" s="12" t="s">
        <v>1257</v>
      </c>
      <c r="C1164" s="12" t="s">
        <v>23</v>
      </c>
      <c r="D1164" s="15">
        <v>46268.57534722222</v>
      </c>
      <c r="E1164" s="12" t="s">
        <v>368</v>
      </c>
      <c r="F1164" s="12" t="s">
        <v>1259</v>
      </c>
      <c r="G1164" s="12">
        <v>12</v>
      </c>
      <c r="H1164" s="12">
        <v>12</v>
      </c>
      <c r="I1164" s="14"/>
      <c r="J1164" s="14" t="s">
        <v>26</v>
      </c>
      <c r="K1164" s="12" t="s">
        <v>27</v>
      </c>
      <c r="L1164" s="15"/>
      <c r="M1164" s="12" t="s">
        <v>28</v>
      </c>
      <c r="N1164" s="12"/>
      <c r="O1164" s="12"/>
      <c r="P1164" s="12"/>
      <c r="Q1164" s="16">
        <v>0</v>
      </c>
      <c r="R1164" s="16">
        <v>0</v>
      </c>
      <c r="S1164" s="16">
        <v>7</v>
      </c>
      <c r="T1164" s="16" t="e">
        <v>#N/A</v>
      </c>
      <c r="U1164" s="16" t="e">
        <v>#N/A</v>
      </c>
    </row>
    <row r="1165" spans="1:21" x14ac:dyDescent="0.25">
      <c r="A1165" s="12" t="s">
        <v>21</v>
      </c>
      <c r="B1165" s="12" t="s">
        <v>1257</v>
      </c>
      <c r="C1165" s="12" t="s">
        <v>23</v>
      </c>
      <c r="D1165" s="15">
        <v>46268.57534722222</v>
      </c>
      <c r="E1165" s="12" t="s">
        <v>368</v>
      </c>
      <c r="F1165" s="12" t="s">
        <v>454</v>
      </c>
      <c r="G1165" s="12">
        <v>20</v>
      </c>
      <c r="H1165" s="12">
        <v>20</v>
      </c>
      <c r="I1165" s="14"/>
      <c r="J1165" s="14" t="s">
        <v>26</v>
      </c>
      <c r="K1165" s="12" t="s">
        <v>27</v>
      </c>
      <c r="L1165" s="15"/>
      <c r="M1165" s="12" t="s">
        <v>28</v>
      </c>
      <c r="N1165" s="12"/>
      <c r="O1165" s="12"/>
      <c r="P1165" s="12"/>
      <c r="Q1165" s="16">
        <v>0</v>
      </c>
      <c r="R1165" s="16">
        <v>0</v>
      </c>
      <c r="S1165" s="16"/>
      <c r="T1165" s="16" t="e">
        <v>#N/A</v>
      </c>
      <c r="U1165" s="16" t="e">
        <v>#N/A</v>
      </c>
    </row>
    <row r="1166" spans="1:21" x14ac:dyDescent="0.25">
      <c r="A1166" s="12" t="s">
        <v>21</v>
      </c>
      <c r="B1166" s="12" t="s">
        <v>1257</v>
      </c>
      <c r="C1166" s="12" t="s">
        <v>23</v>
      </c>
      <c r="D1166" s="15">
        <v>46268.57534722222</v>
      </c>
      <c r="E1166" s="12" t="s">
        <v>368</v>
      </c>
      <c r="F1166" s="12" t="s">
        <v>259</v>
      </c>
      <c r="G1166" s="12">
        <v>20</v>
      </c>
      <c r="H1166" s="12">
        <v>20</v>
      </c>
      <c r="I1166" s="14"/>
      <c r="J1166" s="14" t="s">
        <v>26</v>
      </c>
      <c r="K1166" s="12" t="s">
        <v>27</v>
      </c>
      <c r="L1166" s="15"/>
      <c r="M1166" s="12" t="s">
        <v>28</v>
      </c>
      <c r="N1166" s="12"/>
      <c r="O1166" s="12"/>
      <c r="P1166" s="12"/>
      <c r="Q1166" s="16">
        <v>0</v>
      </c>
      <c r="R1166" s="16">
        <v>4</v>
      </c>
      <c r="S1166" s="16"/>
      <c r="T1166" s="16" t="e">
        <v>#N/A</v>
      </c>
      <c r="U1166" s="16" t="e">
        <v>#N/A</v>
      </c>
    </row>
    <row r="1167" spans="1:21" x14ac:dyDescent="0.25">
      <c r="A1167" s="12" t="s">
        <v>21</v>
      </c>
      <c r="B1167" s="12" t="s">
        <v>1260</v>
      </c>
      <c r="C1167" s="12" t="s">
        <v>23</v>
      </c>
      <c r="D1167" s="15">
        <v>46268.598344907405</v>
      </c>
      <c r="E1167" s="12" t="s">
        <v>522</v>
      </c>
      <c r="F1167" s="12" t="s">
        <v>549</v>
      </c>
      <c r="G1167" s="12">
        <v>10</v>
      </c>
      <c r="H1167" s="12">
        <v>10</v>
      </c>
      <c r="I1167" s="14"/>
      <c r="J1167" s="14" t="s">
        <v>26</v>
      </c>
      <c r="K1167" s="12" t="s">
        <v>27</v>
      </c>
      <c r="L1167" s="15"/>
      <c r="M1167" s="12" t="s">
        <v>28</v>
      </c>
      <c r="N1167" s="12"/>
      <c r="O1167" s="12"/>
      <c r="P1167" s="12"/>
      <c r="Q1167" s="16">
        <v>0</v>
      </c>
      <c r="R1167" s="16">
        <v>1</v>
      </c>
      <c r="S1167" s="16"/>
      <c r="T1167" s="16" t="e">
        <v>#N/A</v>
      </c>
      <c r="U1167" s="16" t="e">
        <v>#N/A</v>
      </c>
    </row>
    <row r="1168" spans="1:21" x14ac:dyDescent="0.25">
      <c r="A1168" s="12" t="s">
        <v>21</v>
      </c>
      <c r="B1168" s="12" t="s">
        <v>1260</v>
      </c>
      <c r="C1168" s="12" t="s">
        <v>23</v>
      </c>
      <c r="D1168" s="15">
        <v>46268.598344907405</v>
      </c>
      <c r="E1168" s="12" t="s">
        <v>522</v>
      </c>
      <c r="F1168" s="12" t="s">
        <v>550</v>
      </c>
      <c r="G1168" s="12">
        <v>8</v>
      </c>
      <c r="H1168" s="12">
        <v>8</v>
      </c>
      <c r="I1168" s="14"/>
      <c r="J1168" s="14" t="s">
        <v>26</v>
      </c>
      <c r="K1168" s="12" t="s">
        <v>27</v>
      </c>
      <c r="L1168" s="15"/>
      <c r="M1168" s="12" t="s">
        <v>28</v>
      </c>
      <c r="N1168" s="12"/>
      <c r="O1168" s="12"/>
      <c r="P1168" s="12"/>
      <c r="Q1168" s="16">
        <v>0</v>
      </c>
      <c r="R1168" s="16">
        <v>0</v>
      </c>
      <c r="S1168" s="16"/>
      <c r="T1168" s="16" t="e">
        <v>#N/A</v>
      </c>
      <c r="U1168" s="16" t="e">
        <v>#N/A</v>
      </c>
    </row>
    <row r="1169" spans="1:21" x14ac:dyDescent="0.25">
      <c r="A1169" s="12" t="s">
        <v>21</v>
      </c>
      <c r="B1169" s="12" t="s">
        <v>1260</v>
      </c>
      <c r="C1169" s="12" t="s">
        <v>23</v>
      </c>
      <c r="D1169" s="15">
        <v>46268.598344907405</v>
      </c>
      <c r="E1169" s="12" t="s">
        <v>522</v>
      </c>
      <c r="F1169" s="12" t="s">
        <v>551</v>
      </c>
      <c r="G1169" s="12">
        <v>4</v>
      </c>
      <c r="H1169" s="12">
        <v>4</v>
      </c>
      <c r="I1169" s="14"/>
      <c r="J1169" s="14" t="s">
        <v>26</v>
      </c>
      <c r="K1169" s="12" t="s">
        <v>27</v>
      </c>
      <c r="L1169" s="15"/>
      <c r="M1169" s="12" t="s">
        <v>28</v>
      </c>
      <c r="N1169" s="12"/>
      <c r="O1169" s="12"/>
      <c r="P1169" s="12"/>
      <c r="Q1169" s="16">
        <v>0</v>
      </c>
      <c r="R1169" s="16">
        <v>0</v>
      </c>
      <c r="S1169" s="16"/>
      <c r="T1169" s="16" t="e">
        <v>#N/A</v>
      </c>
      <c r="U1169" s="16" t="e">
        <v>#N/A</v>
      </c>
    </row>
    <row r="1170" spans="1:21" x14ac:dyDescent="0.25">
      <c r="A1170" s="12" t="s">
        <v>21</v>
      </c>
      <c r="B1170" s="12" t="s">
        <v>1260</v>
      </c>
      <c r="C1170" s="12" t="s">
        <v>23</v>
      </c>
      <c r="D1170" s="15">
        <v>46268.598344907405</v>
      </c>
      <c r="E1170" s="12" t="s">
        <v>522</v>
      </c>
      <c r="F1170" s="12" t="s">
        <v>552</v>
      </c>
      <c r="G1170" s="12">
        <v>50</v>
      </c>
      <c r="H1170" s="12">
        <v>50</v>
      </c>
      <c r="I1170" s="14"/>
      <c r="J1170" s="14" t="s">
        <v>26</v>
      </c>
      <c r="K1170" s="12" t="s">
        <v>27</v>
      </c>
      <c r="L1170" s="15"/>
      <c r="M1170" s="12" t="s">
        <v>28</v>
      </c>
      <c r="N1170" s="12"/>
      <c r="O1170" s="12"/>
      <c r="P1170" s="12"/>
      <c r="Q1170" s="16">
        <v>0</v>
      </c>
      <c r="R1170" s="16">
        <v>0</v>
      </c>
      <c r="S1170" s="16"/>
      <c r="T1170" s="16" t="e">
        <v>#N/A</v>
      </c>
      <c r="U1170" s="16" t="e">
        <v>#N/A</v>
      </c>
    </row>
    <row r="1171" spans="1:21" x14ac:dyDescent="0.25">
      <c r="A1171" s="12" t="s">
        <v>21</v>
      </c>
      <c r="B1171" s="12" t="s">
        <v>1260</v>
      </c>
      <c r="C1171" s="12" t="s">
        <v>23</v>
      </c>
      <c r="D1171" s="15">
        <v>46268.598344907405</v>
      </c>
      <c r="E1171" s="12" t="s">
        <v>522</v>
      </c>
      <c r="F1171" s="12" t="s">
        <v>472</v>
      </c>
      <c r="G1171" s="12">
        <v>60</v>
      </c>
      <c r="H1171" s="12">
        <v>60</v>
      </c>
      <c r="I1171" s="14"/>
      <c r="J1171" s="14" t="s">
        <v>61</v>
      </c>
      <c r="K1171" s="12" t="s">
        <v>1268</v>
      </c>
      <c r="L1171" s="15">
        <v>1</v>
      </c>
      <c r="M1171" s="12" t="s">
        <v>150</v>
      </c>
      <c r="N1171" s="12">
        <v>60</v>
      </c>
      <c r="O1171" s="12">
        <v>60</v>
      </c>
      <c r="P1171" s="12">
        <v>0</v>
      </c>
      <c r="Q1171" s="16">
        <v>60</v>
      </c>
      <c r="R1171" s="16">
        <v>0</v>
      </c>
      <c r="S1171" s="16"/>
      <c r="T1171" s="16" t="e">
        <v>#N/A</v>
      </c>
      <c r="U1171" s="16" t="e">
        <v>#N/A</v>
      </c>
    </row>
    <row r="1172" spans="1:21" x14ac:dyDescent="0.25">
      <c r="A1172" s="12" t="s">
        <v>21</v>
      </c>
      <c r="B1172" s="12" t="s">
        <v>1260</v>
      </c>
      <c r="C1172" s="12" t="s">
        <v>23</v>
      </c>
      <c r="D1172" s="15">
        <v>46268.598344907405</v>
      </c>
      <c r="E1172" s="12" t="s">
        <v>522</v>
      </c>
      <c r="F1172" s="12" t="s">
        <v>1202</v>
      </c>
      <c r="G1172" s="12">
        <v>4</v>
      </c>
      <c r="H1172" s="12">
        <v>4</v>
      </c>
      <c r="I1172" s="14"/>
      <c r="J1172" s="14" t="s">
        <v>61</v>
      </c>
      <c r="K1172" s="12" t="s">
        <v>1269</v>
      </c>
      <c r="L1172" s="15">
        <v>1</v>
      </c>
      <c r="M1172" s="12" t="s">
        <v>150</v>
      </c>
      <c r="N1172" s="12">
        <v>4</v>
      </c>
      <c r="O1172" s="12">
        <v>4</v>
      </c>
      <c r="P1172" s="12">
        <v>0</v>
      </c>
      <c r="Q1172" s="16">
        <v>4</v>
      </c>
      <c r="R1172" s="16">
        <v>0</v>
      </c>
      <c r="S1172" s="16"/>
      <c r="T1172" s="16" t="e">
        <v>#N/A</v>
      </c>
      <c r="U1172" s="16" t="e">
        <v>#N/A</v>
      </c>
    </row>
    <row r="1173" spans="1:21" x14ac:dyDescent="0.25">
      <c r="A1173" s="12" t="s">
        <v>21</v>
      </c>
      <c r="B1173" s="12" t="s">
        <v>1260</v>
      </c>
      <c r="C1173" s="12" t="s">
        <v>23</v>
      </c>
      <c r="D1173" s="15">
        <v>46268.598344907405</v>
      </c>
      <c r="E1173" s="12" t="s">
        <v>522</v>
      </c>
      <c r="F1173" s="12" t="s">
        <v>557</v>
      </c>
      <c r="G1173" s="12">
        <v>50</v>
      </c>
      <c r="H1173" s="12">
        <v>50</v>
      </c>
      <c r="I1173" s="14"/>
      <c r="J1173" s="14" t="s">
        <v>61</v>
      </c>
      <c r="K1173" s="12" t="s">
        <v>1270</v>
      </c>
      <c r="L1173" s="15">
        <v>1</v>
      </c>
      <c r="M1173" s="12" t="s">
        <v>150</v>
      </c>
      <c r="N1173" s="12">
        <v>50</v>
      </c>
      <c r="O1173" s="12">
        <v>50</v>
      </c>
      <c r="P1173" s="12">
        <v>0</v>
      </c>
      <c r="Q1173" s="16">
        <v>50</v>
      </c>
      <c r="R1173" s="16">
        <v>0</v>
      </c>
      <c r="S1173" s="16"/>
      <c r="T1173" s="16" t="e">
        <v>#N/A</v>
      </c>
      <c r="U1173" s="16" t="e">
        <v>#N/A</v>
      </c>
    </row>
    <row r="1174" spans="1:21" x14ac:dyDescent="0.25">
      <c r="A1174" s="12" t="s">
        <v>21</v>
      </c>
      <c r="B1174" s="12" t="s">
        <v>1260</v>
      </c>
      <c r="C1174" s="12" t="s">
        <v>23</v>
      </c>
      <c r="D1174" s="15">
        <v>46268.598344907405</v>
      </c>
      <c r="E1174" s="12" t="s">
        <v>522</v>
      </c>
      <c r="F1174" s="12" t="s">
        <v>559</v>
      </c>
      <c r="G1174" s="12">
        <v>50</v>
      </c>
      <c r="H1174" s="12">
        <v>50</v>
      </c>
      <c r="I1174" s="14"/>
      <c r="J1174" s="14" t="s">
        <v>61</v>
      </c>
      <c r="K1174" s="12" t="s">
        <v>1271</v>
      </c>
      <c r="L1174" s="15">
        <v>1</v>
      </c>
      <c r="M1174" s="12" t="s">
        <v>150</v>
      </c>
      <c r="N1174" s="12">
        <v>50</v>
      </c>
      <c r="O1174" s="12">
        <v>50</v>
      </c>
      <c r="P1174" s="12">
        <v>0</v>
      </c>
      <c r="Q1174" s="16">
        <v>50</v>
      </c>
      <c r="R1174" s="16">
        <v>0</v>
      </c>
      <c r="S1174" s="16"/>
      <c r="T1174" s="16" t="e">
        <v>#N/A</v>
      </c>
      <c r="U1174" s="16" t="e">
        <v>#N/A</v>
      </c>
    </row>
    <row r="1175" spans="1:21" x14ac:dyDescent="0.25">
      <c r="A1175" s="12" t="s">
        <v>21</v>
      </c>
      <c r="B1175" s="12" t="s">
        <v>1261</v>
      </c>
      <c r="C1175" s="12" t="s">
        <v>23</v>
      </c>
      <c r="D1175" s="15">
        <v>46268.598449074074</v>
      </c>
      <c r="E1175" s="12" t="s">
        <v>522</v>
      </c>
      <c r="F1175" s="12" t="s">
        <v>326</v>
      </c>
      <c r="G1175" s="12">
        <v>50</v>
      </c>
      <c r="H1175" s="12">
        <v>50</v>
      </c>
      <c r="I1175" s="14"/>
      <c r="J1175" s="14" t="s">
        <v>61</v>
      </c>
      <c r="K1175" s="12" t="s">
        <v>1272</v>
      </c>
      <c r="L1175" s="15">
        <v>1</v>
      </c>
      <c r="M1175" s="12" t="s">
        <v>150</v>
      </c>
      <c r="N1175" s="12">
        <v>50</v>
      </c>
      <c r="O1175" s="12">
        <v>50</v>
      </c>
      <c r="P1175" s="12">
        <v>0</v>
      </c>
      <c r="Q1175" s="16">
        <v>50</v>
      </c>
      <c r="R1175" s="16">
        <v>0</v>
      </c>
      <c r="S1175" s="16"/>
      <c r="T1175" s="16" t="e">
        <v>#N/A</v>
      </c>
      <c r="U1175" s="16" t="e">
        <v>#N/A</v>
      </c>
    </row>
    <row r="1176" spans="1:21" x14ac:dyDescent="0.25">
      <c r="A1176" s="12" t="s">
        <v>21</v>
      </c>
      <c r="B1176" s="12" t="s">
        <v>1261</v>
      </c>
      <c r="C1176" s="12" t="s">
        <v>23</v>
      </c>
      <c r="D1176" s="15">
        <v>46268.598449074074</v>
      </c>
      <c r="E1176" s="12" t="s">
        <v>522</v>
      </c>
      <c r="F1176" s="12" t="s">
        <v>1267</v>
      </c>
      <c r="G1176" s="12">
        <v>20</v>
      </c>
      <c r="H1176" s="12">
        <v>20</v>
      </c>
      <c r="I1176" s="14"/>
      <c r="J1176" s="14" t="s">
        <v>26</v>
      </c>
      <c r="K1176" s="12" t="s">
        <v>27</v>
      </c>
      <c r="L1176" s="15"/>
      <c r="M1176" s="12" t="s">
        <v>28</v>
      </c>
      <c r="N1176" s="12"/>
      <c r="O1176" s="12"/>
      <c r="P1176" s="12"/>
      <c r="Q1176" s="16">
        <v>0</v>
      </c>
      <c r="R1176" s="16">
        <v>0</v>
      </c>
      <c r="S1176" s="16"/>
      <c r="T1176" s="16" t="e">
        <v>#N/A</v>
      </c>
      <c r="U1176" s="16" t="e">
        <v>#N/A</v>
      </c>
    </row>
    <row r="1177" spans="1:21" x14ac:dyDescent="0.25">
      <c r="A1177" s="12" t="s">
        <v>21</v>
      </c>
      <c r="B1177" s="12" t="s">
        <v>1261</v>
      </c>
      <c r="C1177" s="12" t="s">
        <v>23</v>
      </c>
      <c r="D1177" s="15">
        <v>46268.598449074074</v>
      </c>
      <c r="E1177" s="12" t="s">
        <v>522</v>
      </c>
      <c r="F1177" s="12" t="s">
        <v>767</v>
      </c>
      <c r="G1177" s="12">
        <v>20</v>
      </c>
      <c r="H1177" s="12">
        <v>20</v>
      </c>
      <c r="I1177" s="14"/>
      <c r="J1177" s="14" t="s">
        <v>61</v>
      </c>
      <c r="K1177" s="12" t="s">
        <v>1273</v>
      </c>
      <c r="L1177" s="15">
        <v>1</v>
      </c>
      <c r="M1177" s="12" t="s">
        <v>150</v>
      </c>
      <c r="N1177" s="12">
        <v>20</v>
      </c>
      <c r="O1177" s="12">
        <v>20</v>
      </c>
      <c r="P1177" s="12">
        <v>0</v>
      </c>
      <c r="Q1177" s="16">
        <v>20</v>
      </c>
      <c r="R1177" s="16">
        <v>0</v>
      </c>
      <c r="S1177" s="16"/>
      <c r="T1177" s="16" t="e">
        <v>#N/A</v>
      </c>
      <c r="U1177" s="16" t="e">
        <v>#N/A</v>
      </c>
    </row>
    <row r="1178" spans="1:21" x14ac:dyDescent="0.25">
      <c r="A1178" s="12" t="s">
        <v>21</v>
      </c>
      <c r="B1178" s="12" t="s">
        <v>1261</v>
      </c>
      <c r="C1178" s="12" t="s">
        <v>23</v>
      </c>
      <c r="D1178" s="15">
        <v>46268.598449074074</v>
      </c>
      <c r="E1178" s="12" t="s">
        <v>522</v>
      </c>
      <c r="F1178" s="12" t="s">
        <v>1024</v>
      </c>
      <c r="G1178" s="12">
        <v>30</v>
      </c>
      <c r="H1178" s="12">
        <v>30</v>
      </c>
      <c r="I1178" s="14"/>
      <c r="J1178" s="14" t="s">
        <v>26</v>
      </c>
      <c r="K1178" s="12" t="s">
        <v>27</v>
      </c>
      <c r="L1178" s="15"/>
      <c r="M1178" s="12" t="s">
        <v>28</v>
      </c>
      <c r="N1178" s="12"/>
      <c r="O1178" s="12"/>
      <c r="P1178" s="12"/>
      <c r="Q1178" s="16">
        <v>0</v>
      </c>
      <c r="R1178" s="16">
        <v>0</v>
      </c>
      <c r="S1178" s="16"/>
      <c r="T1178" s="16" t="e">
        <v>#N/A</v>
      </c>
      <c r="U1178" s="16" t="e">
        <v>#N/A</v>
      </c>
    </row>
    <row r="1179" spans="1:21" x14ac:dyDescent="0.25">
      <c r="A1179" s="12" t="s">
        <v>21</v>
      </c>
      <c r="B1179" s="12" t="s">
        <v>1262</v>
      </c>
      <c r="C1179" s="12" t="s">
        <v>23</v>
      </c>
      <c r="D1179" s="15">
        <v>46268.598541666666</v>
      </c>
      <c r="E1179" s="12" t="s">
        <v>522</v>
      </c>
      <c r="F1179" s="12" t="s">
        <v>283</v>
      </c>
      <c r="G1179" s="12">
        <v>50</v>
      </c>
      <c r="H1179" s="12">
        <v>50</v>
      </c>
      <c r="I1179" s="14"/>
      <c r="J1179" s="14" t="s">
        <v>26</v>
      </c>
      <c r="K1179" s="12" t="s">
        <v>27</v>
      </c>
      <c r="L1179" s="15"/>
      <c r="M1179" s="12" t="s">
        <v>28</v>
      </c>
      <c r="N1179" s="12"/>
      <c r="O1179" s="12"/>
      <c r="P1179" s="12"/>
      <c r="Q1179" s="16">
        <v>0</v>
      </c>
      <c r="R1179" s="16">
        <v>0</v>
      </c>
      <c r="S1179" s="16"/>
      <c r="T1179" s="16" t="e">
        <v>#N/A</v>
      </c>
      <c r="U1179" s="16" t="e">
        <v>#N/A</v>
      </c>
    </row>
    <row r="1180" spans="1:21" x14ac:dyDescent="0.25">
      <c r="A1180" s="12" t="s">
        <v>21</v>
      </c>
      <c r="B1180" s="12" t="s">
        <v>1262</v>
      </c>
      <c r="C1180" s="12" t="s">
        <v>23</v>
      </c>
      <c r="D1180" s="15">
        <v>46268.598541666666</v>
      </c>
      <c r="E1180" s="12" t="s">
        <v>522</v>
      </c>
      <c r="F1180" s="12" t="s">
        <v>268</v>
      </c>
      <c r="G1180" s="12">
        <v>20</v>
      </c>
      <c r="H1180" s="12">
        <v>20</v>
      </c>
      <c r="I1180" s="14"/>
      <c r="J1180" s="14" t="s">
        <v>26</v>
      </c>
      <c r="K1180" s="12" t="s">
        <v>27</v>
      </c>
      <c r="L1180" s="15"/>
      <c r="M1180" s="12" t="s">
        <v>28</v>
      </c>
      <c r="N1180" s="12"/>
      <c r="O1180" s="12"/>
      <c r="P1180" s="12"/>
      <c r="Q1180" s="16">
        <v>0</v>
      </c>
      <c r="R1180" s="16">
        <v>0</v>
      </c>
      <c r="S1180" s="16"/>
      <c r="T1180" s="16" t="e">
        <v>#N/A</v>
      </c>
      <c r="U1180" s="16" t="e">
        <v>#N/A</v>
      </c>
    </row>
    <row r="1181" spans="1:21" x14ac:dyDescent="0.25">
      <c r="A1181" s="12" t="s">
        <v>21</v>
      </c>
      <c r="B1181" s="12" t="s">
        <v>1262</v>
      </c>
      <c r="C1181" s="12" t="s">
        <v>23</v>
      </c>
      <c r="D1181" s="15">
        <v>46268.598541666666</v>
      </c>
      <c r="E1181" s="12" t="s">
        <v>522</v>
      </c>
      <c r="F1181" s="12" t="s">
        <v>401</v>
      </c>
      <c r="G1181" s="12">
        <v>20</v>
      </c>
      <c r="H1181" s="12">
        <v>20</v>
      </c>
      <c r="I1181" s="14"/>
      <c r="J1181" s="14" t="s">
        <v>61</v>
      </c>
      <c r="K1181" s="12" t="s">
        <v>1274</v>
      </c>
      <c r="L1181" s="15">
        <v>1</v>
      </c>
      <c r="M1181" s="12" t="s">
        <v>150</v>
      </c>
      <c r="N1181" s="12">
        <v>20</v>
      </c>
      <c r="O1181" s="12">
        <v>20</v>
      </c>
      <c r="P1181" s="12">
        <v>0</v>
      </c>
      <c r="Q1181" s="16">
        <v>20</v>
      </c>
      <c r="R1181" s="16">
        <v>0</v>
      </c>
      <c r="S1181" s="16"/>
      <c r="T1181" s="16" t="e">
        <v>#N/A</v>
      </c>
      <c r="U1181" s="16" t="e">
        <v>#N/A</v>
      </c>
    </row>
    <row r="1182" spans="1:21" x14ac:dyDescent="0.25">
      <c r="A1182" s="12" t="s">
        <v>21</v>
      </c>
      <c r="B1182" s="12" t="s">
        <v>1262</v>
      </c>
      <c r="C1182" s="12" t="s">
        <v>23</v>
      </c>
      <c r="D1182" s="15">
        <v>46268.598541666666</v>
      </c>
      <c r="E1182" s="12" t="s">
        <v>522</v>
      </c>
      <c r="F1182" s="12" t="s">
        <v>201</v>
      </c>
      <c r="G1182" s="12">
        <v>40</v>
      </c>
      <c r="H1182" s="12">
        <v>40</v>
      </c>
      <c r="I1182" s="14"/>
      <c r="J1182" s="14" t="s">
        <v>61</v>
      </c>
      <c r="K1182" s="12" t="s">
        <v>1275</v>
      </c>
      <c r="L1182" s="15">
        <v>1</v>
      </c>
      <c r="M1182" s="12" t="s">
        <v>150</v>
      </c>
      <c r="N1182" s="12">
        <v>40</v>
      </c>
      <c r="O1182" s="12">
        <v>40</v>
      </c>
      <c r="P1182" s="12">
        <v>0</v>
      </c>
      <c r="Q1182" s="16">
        <v>40</v>
      </c>
      <c r="R1182" s="16">
        <v>0</v>
      </c>
      <c r="S1182" s="16"/>
      <c r="T1182" s="16" t="e">
        <v>#N/A</v>
      </c>
      <c r="U1182" s="16" t="e">
        <v>#N/A</v>
      </c>
    </row>
    <row r="1183" spans="1:21" x14ac:dyDescent="0.25">
      <c r="A1183" s="12" t="s">
        <v>21</v>
      </c>
      <c r="B1183" s="12" t="s">
        <v>1262</v>
      </c>
      <c r="C1183" s="12" t="s">
        <v>23</v>
      </c>
      <c r="D1183" s="15">
        <v>46268.598541666666</v>
      </c>
      <c r="E1183" s="12" t="s">
        <v>522</v>
      </c>
      <c r="F1183" s="12" t="s">
        <v>443</v>
      </c>
      <c r="G1183" s="12">
        <v>40</v>
      </c>
      <c r="H1183" s="12">
        <v>40</v>
      </c>
      <c r="I1183" s="14"/>
      <c r="J1183" s="14" t="s">
        <v>61</v>
      </c>
      <c r="K1183" s="12" t="s">
        <v>1276</v>
      </c>
      <c r="L1183" s="15">
        <v>1</v>
      </c>
      <c r="M1183" s="12" t="s">
        <v>150</v>
      </c>
      <c r="N1183" s="12">
        <v>40</v>
      </c>
      <c r="O1183" s="12">
        <v>40</v>
      </c>
      <c r="P1183" s="12">
        <v>0</v>
      </c>
      <c r="Q1183" s="16">
        <v>40</v>
      </c>
      <c r="R1183" s="16">
        <v>0</v>
      </c>
      <c r="S1183" s="16"/>
      <c r="T1183" s="16" t="e">
        <v>#N/A</v>
      </c>
      <c r="U1183" s="16" t="e">
        <v>#N/A</v>
      </c>
    </row>
    <row r="1184" spans="1:21" x14ac:dyDescent="0.25">
      <c r="A1184" s="12" t="s">
        <v>21</v>
      </c>
      <c r="B1184" s="12" t="s">
        <v>1263</v>
      </c>
      <c r="C1184" s="12" t="s">
        <v>23</v>
      </c>
      <c r="D1184" s="15">
        <v>46268.598738425928</v>
      </c>
      <c r="E1184" s="12" t="s">
        <v>522</v>
      </c>
      <c r="F1184" s="12" t="s">
        <v>67</v>
      </c>
      <c r="G1184" s="12">
        <v>30</v>
      </c>
      <c r="H1184" s="12">
        <v>30</v>
      </c>
      <c r="I1184" s="14"/>
      <c r="J1184" s="14" t="s">
        <v>61</v>
      </c>
      <c r="K1184" s="12" t="s">
        <v>1277</v>
      </c>
      <c r="L1184" s="15">
        <v>1</v>
      </c>
      <c r="M1184" s="12" t="s">
        <v>150</v>
      </c>
      <c r="N1184" s="12">
        <v>30</v>
      </c>
      <c r="O1184" s="12">
        <v>30</v>
      </c>
      <c r="P1184" s="12">
        <v>0</v>
      </c>
      <c r="Q1184" s="16">
        <v>30</v>
      </c>
      <c r="R1184" s="16">
        <v>0</v>
      </c>
      <c r="S1184" s="16"/>
      <c r="T1184" s="16" t="e">
        <v>#N/A</v>
      </c>
      <c r="U1184" s="16" t="e">
        <v>#N/A</v>
      </c>
    </row>
    <row r="1185" spans="1:21" x14ac:dyDescent="0.25">
      <c r="A1185" s="12" t="s">
        <v>21</v>
      </c>
      <c r="B1185" s="12" t="s">
        <v>1263</v>
      </c>
      <c r="C1185" s="12" t="s">
        <v>23</v>
      </c>
      <c r="D1185" s="15">
        <v>46268.598738425928</v>
      </c>
      <c r="E1185" s="12" t="s">
        <v>522</v>
      </c>
      <c r="F1185" s="12" t="s">
        <v>735</v>
      </c>
      <c r="G1185" s="12">
        <v>12</v>
      </c>
      <c r="H1185" s="12">
        <v>12</v>
      </c>
      <c r="I1185" s="14"/>
      <c r="J1185" s="14" t="s">
        <v>61</v>
      </c>
      <c r="K1185" s="12" t="s">
        <v>1278</v>
      </c>
      <c r="L1185" s="15">
        <v>1</v>
      </c>
      <c r="M1185" s="12" t="s">
        <v>150</v>
      </c>
      <c r="N1185" s="12">
        <v>12</v>
      </c>
      <c r="O1185" s="12">
        <v>12</v>
      </c>
      <c r="P1185" s="12">
        <v>0</v>
      </c>
      <c r="Q1185" s="16">
        <v>12</v>
      </c>
      <c r="R1185" s="16">
        <v>0</v>
      </c>
      <c r="S1185" s="16"/>
      <c r="T1185" s="16" t="e">
        <v>#N/A</v>
      </c>
      <c r="U1185" s="16" t="e">
        <v>#N/A</v>
      </c>
    </row>
    <row r="1186" spans="1:21" x14ac:dyDescent="0.25">
      <c r="A1186" s="12" t="s">
        <v>21</v>
      </c>
      <c r="B1186" s="12" t="s">
        <v>1263</v>
      </c>
      <c r="C1186" s="12" t="s">
        <v>23</v>
      </c>
      <c r="D1186" s="15">
        <v>46268.598738425928</v>
      </c>
      <c r="E1186" s="12" t="s">
        <v>522</v>
      </c>
      <c r="F1186" s="12" t="s">
        <v>253</v>
      </c>
      <c r="G1186" s="12">
        <v>30</v>
      </c>
      <c r="H1186" s="12">
        <v>30</v>
      </c>
      <c r="I1186" s="14"/>
      <c r="J1186" s="14" t="s">
        <v>61</v>
      </c>
      <c r="K1186" s="12" t="s">
        <v>1279</v>
      </c>
      <c r="L1186" s="15">
        <v>1</v>
      </c>
      <c r="M1186" s="12" t="s">
        <v>150</v>
      </c>
      <c r="N1186" s="12">
        <v>30</v>
      </c>
      <c r="O1186" s="12">
        <v>30</v>
      </c>
      <c r="P1186" s="12">
        <v>0</v>
      </c>
      <c r="Q1186" s="16">
        <v>30</v>
      </c>
      <c r="R1186" s="16">
        <v>0</v>
      </c>
      <c r="S1186" s="16"/>
      <c r="T1186" s="16" t="e">
        <v>#N/A</v>
      </c>
      <c r="U1186" s="16" t="e">
        <v>#N/A</v>
      </c>
    </row>
    <row r="1187" spans="1:21" x14ac:dyDescent="0.25">
      <c r="A1187" s="12" t="s">
        <v>21</v>
      </c>
      <c r="B1187" s="12" t="s">
        <v>1263</v>
      </c>
      <c r="C1187" s="12" t="s">
        <v>23</v>
      </c>
      <c r="D1187" s="15">
        <v>46268.598738425928</v>
      </c>
      <c r="E1187" s="12" t="s">
        <v>522</v>
      </c>
      <c r="F1187" s="12" t="s">
        <v>703</v>
      </c>
      <c r="G1187" s="12">
        <v>30</v>
      </c>
      <c r="H1187" s="12">
        <v>30</v>
      </c>
      <c r="I1187" s="14"/>
      <c r="J1187" s="14" t="s">
        <v>61</v>
      </c>
      <c r="K1187" s="12" t="s">
        <v>1280</v>
      </c>
      <c r="L1187" s="15">
        <v>1</v>
      </c>
      <c r="M1187" s="12" t="s">
        <v>150</v>
      </c>
      <c r="N1187" s="12">
        <v>30</v>
      </c>
      <c r="O1187" s="12">
        <v>30</v>
      </c>
      <c r="P1187" s="12">
        <v>0</v>
      </c>
      <c r="Q1187" s="16">
        <v>30</v>
      </c>
      <c r="R1187" s="16">
        <v>0</v>
      </c>
      <c r="S1187" s="16"/>
      <c r="T1187" s="16" t="e">
        <v>#N/A</v>
      </c>
      <c r="U1187" s="16" t="e">
        <v>#N/A</v>
      </c>
    </row>
    <row r="1188" spans="1:21" x14ac:dyDescent="0.25">
      <c r="A1188" s="12" t="s">
        <v>21</v>
      </c>
      <c r="B1188" s="12" t="s">
        <v>1264</v>
      </c>
      <c r="C1188" s="12" t="s">
        <v>23</v>
      </c>
      <c r="D1188" s="15">
        <v>46268.598958333336</v>
      </c>
      <c r="E1188" s="12" t="s">
        <v>522</v>
      </c>
      <c r="F1188" s="12" t="s">
        <v>245</v>
      </c>
      <c r="G1188" s="12">
        <v>100</v>
      </c>
      <c r="H1188" s="12">
        <v>100</v>
      </c>
      <c r="I1188" s="14"/>
      <c r="J1188" s="14" t="s">
        <v>61</v>
      </c>
      <c r="K1188" s="12" t="s">
        <v>1281</v>
      </c>
      <c r="L1188" s="15">
        <v>1</v>
      </c>
      <c r="M1188" s="12" t="s">
        <v>150</v>
      </c>
      <c r="N1188" s="12">
        <v>100</v>
      </c>
      <c r="O1188" s="12">
        <v>100</v>
      </c>
      <c r="P1188" s="12">
        <v>0</v>
      </c>
      <c r="Q1188" s="16">
        <v>100</v>
      </c>
      <c r="R1188" s="16">
        <v>0</v>
      </c>
      <c r="S1188" s="16"/>
      <c r="T1188" s="16" t="e">
        <v>#N/A</v>
      </c>
      <c r="U1188" s="16" t="e">
        <v>#N/A</v>
      </c>
    </row>
    <row r="1189" spans="1:21" x14ac:dyDescent="0.25">
      <c r="A1189" s="12" t="s">
        <v>21</v>
      </c>
      <c r="B1189" s="12" t="s">
        <v>1264</v>
      </c>
      <c r="C1189" s="12" t="s">
        <v>23</v>
      </c>
      <c r="D1189" s="15">
        <v>46268.598958333336</v>
      </c>
      <c r="E1189" s="12" t="s">
        <v>522</v>
      </c>
      <c r="F1189" s="12" t="s">
        <v>699</v>
      </c>
      <c r="G1189" s="12">
        <v>4</v>
      </c>
      <c r="H1189" s="12">
        <v>4</v>
      </c>
      <c r="I1189" s="14"/>
      <c r="J1189" s="14" t="s">
        <v>61</v>
      </c>
      <c r="K1189" s="12" t="s">
        <v>1282</v>
      </c>
      <c r="L1189" s="15">
        <v>1</v>
      </c>
      <c r="M1189" s="12" t="s">
        <v>150</v>
      </c>
      <c r="N1189" s="12">
        <v>4</v>
      </c>
      <c r="O1189" s="12">
        <v>4</v>
      </c>
      <c r="P1189" s="12">
        <v>0</v>
      </c>
      <c r="Q1189" s="16">
        <v>4</v>
      </c>
      <c r="R1189" s="16">
        <v>0</v>
      </c>
      <c r="S1189" s="16"/>
      <c r="T1189" s="16" t="e">
        <v>#N/A</v>
      </c>
      <c r="U1189" s="16" t="e">
        <v>#N/A</v>
      </c>
    </row>
    <row r="1190" spans="1:21" x14ac:dyDescent="0.25">
      <c r="A1190" s="12" t="s">
        <v>21</v>
      </c>
      <c r="B1190" s="12" t="s">
        <v>1264</v>
      </c>
      <c r="C1190" s="12" t="s">
        <v>23</v>
      </c>
      <c r="D1190" s="15">
        <v>46268.598958333336</v>
      </c>
      <c r="E1190" s="12" t="s">
        <v>522</v>
      </c>
      <c r="F1190" s="12" t="s">
        <v>362</v>
      </c>
      <c r="G1190" s="12">
        <v>4</v>
      </c>
      <c r="H1190" s="12">
        <v>4</v>
      </c>
      <c r="I1190" s="14"/>
      <c r="J1190" s="14" t="s">
        <v>26</v>
      </c>
      <c r="K1190" s="12" t="s">
        <v>27</v>
      </c>
      <c r="L1190" s="15"/>
      <c r="M1190" s="12" t="s">
        <v>28</v>
      </c>
      <c r="N1190" s="12"/>
      <c r="O1190" s="12"/>
      <c r="P1190" s="12"/>
      <c r="Q1190" s="16">
        <v>0</v>
      </c>
      <c r="R1190" s="16">
        <v>0</v>
      </c>
      <c r="S1190" s="16"/>
      <c r="T1190" s="16" t="e">
        <v>#N/A</v>
      </c>
      <c r="U1190" s="16" t="e">
        <v>#N/A</v>
      </c>
    </row>
    <row r="1191" spans="1:21" x14ac:dyDescent="0.25">
      <c r="A1191" s="12" t="s">
        <v>21</v>
      </c>
      <c r="B1191" s="12" t="s">
        <v>1264</v>
      </c>
      <c r="C1191" s="12" t="s">
        <v>23</v>
      </c>
      <c r="D1191" s="15">
        <v>46268.598958333336</v>
      </c>
      <c r="E1191" s="12" t="s">
        <v>522</v>
      </c>
      <c r="F1191" s="12" t="s">
        <v>553</v>
      </c>
      <c r="G1191" s="12">
        <v>30</v>
      </c>
      <c r="H1191" s="12">
        <v>30</v>
      </c>
      <c r="I1191" s="14"/>
      <c r="J1191" s="14" t="s">
        <v>61</v>
      </c>
      <c r="K1191" s="12" t="s">
        <v>1283</v>
      </c>
      <c r="L1191" s="15">
        <v>1</v>
      </c>
      <c r="M1191" s="12" t="s">
        <v>150</v>
      </c>
      <c r="N1191" s="12">
        <v>30</v>
      </c>
      <c r="O1191" s="12">
        <v>30</v>
      </c>
      <c r="P1191" s="12">
        <v>0</v>
      </c>
      <c r="Q1191" s="16">
        <v>30</v>
      </c>
      <c r="R1191" s="16">
        <v>2</v>
      </c>
      <c r="S1191" s="16"/>
      <c r="T1191" s="16" t="e">
        <v>#N/A</v>
      </c>
      <c r="U1191" s="16" t="e">
        <v>#N/A</v>
      </c>
    </row>
    <row r="1192" spans="1:21" x14ac:dyDescent="0.25">
      <c r="A1192" s="12" t="s">
        <v>21</v>
      </c>
      <c r="B1192" s="12" t="s">
        <v>1264</v>
      </c>
      <c r="C1192" s="12" t="s">
        <v>23</v>
      </c>
      <c r="D1192" s="15">
        <v>46268.598958333336</v>
      </c>
      <c r="E1192" s="12" t="s">
        <v>522</v>
      </c>
      <c r="F1192" s="12" t="s">
        <v>442</v>
      </c>
      <c r="G1192" s="12">
        <v>80</v>
      </c>
      <c r="H1192" s="12">
        <v>80</v>
      </c>
      <c r="I1192" s="14"/>
      <c r="J1192" s="14" t="s">
        <v>61</v>
      </c>
      <c r="K1192" s="12" t="s">
        <v>1284</v>
      </c>
      <c r="L1192" s="15">
        <v>1</v>
      </c>
      <c r="M1192" s="12" t="s">
        <v>150</v>
      </c>
      <c r="N1192" s="12">
        <v>80</v>
      </c>
      <c r="O1192" s="12">
        <v>80</v>
      </c>
      <c r="P1192" s="12">
        <v>0</v>
      </c>
      <c r="Q1192" s="16">
        <v>80</v>
      </c>
      <c r="R1192" s="16">
        <v>0</v>
      </c>
      <c r="S1192" s="16"/>
      <c r="T1192" s="16" t="e">
        <v>#N/A</v>
      </c>
      <c r="U1192" s="16" t="e">
        <v>#N/A</v>
      </c>
    </row>
    <row r="1193" spans="1:21" x14ac:dyDescent="0.25">
      <c r="A1193" s="12" t="s">
        <v>21</v>
      </c>
      <c r="B1193" s="12" t="s">
        <v>1264</v>
      </c>
      <c r="C1193" s="12" t="s">
        <v>23</v>
      </c>
      <c r="D1193" s="15">
        <v>46268.598958333336</v>
      </c>
      <c r="E1193" s="12" t="s">
        <v>522</v>
      </c>
      <c r="F1193" s="12" t="s">
        <v>560</v>
      </c>
      <c r="G1193" s="12">
        <v>20</v>
      </c>
      <c r="H1193" s="12">
        <v>20</v>
      </c>
      <c r="I1193" s="14"/>
      <c r="J1193" s="14" t="s">
        <v>61</v>
      </c>
      <c r="K1193" s="12" t="s">
        <v>1285</v>
      </c>
      <c r="L1193" s="15">
        <v>1</v>
      </c>
      <c r="M1193" s="12" t="s">
        <v>150</v>
      </c>
      <c r="N1193" s="12">
        <v>20</v>
      </c>
      <c r="O1193" s="12">
        <v>20</v>
      </c>
      <c r="P1193" s="12">
        <v>0</v>
      </c>
      <c r="Q1193" s="16">
        <v>20</v>
      </c>
      <c r="R1193" s="16">
        <v>0</v>
      </c>
      <c r="S1193" s="16"/>
      <c r="T1193" s="16" t="e">
        <v>#N/A</v>
      </c>
      <c r="U1193" s="16" t="e">
        <v>#N/A</v>
      </c>
    </row>
    <row r="1194" spans="1:21" x14ac:dyDescent="0.25">
      <c r="A1194" s="12" t="s">
        <v>21</v>
      </c>
      <c r="B1194" s="12" t="s">
        <v>1264</v>
      </c>
      <c r="C1194" s="12" t="s">
        <v>23</v>
      </c>
      <c r="D1194" s="15">
        <v>46268.598958333336</v>
      </c>
      <c r="E1194" s="12" t="s">
        <v>522</v>
      </c>
      <c r="F1194" s="12" t="s">
        <v>572</v>
      </c>
      <c r="G1194" s="12">
        <v>40</v>
      </c>
      <c r="H1194" s="12">
        <v>40</v>
      </c>
      <c r="I1194" s="14"/>
      <c r="J1194" s="14" t="s">
        <v>26</v>
      </c>
      <c r="K1194" s="12" t="s">
        <v>27</v>
      </c>
      <c r="L1194" s="15"/>
      <c r="M1194" s="12" t="s">
        <v>28</v>
      </c>
      <c r="N1194" s="12"/>
      <c r="O1194" s="12"/>
      <c r="P1194" s="12"/>
      <c r="Q1194" s="16">
        <v>0</v>
      </c>
      <c r="R1194" s="16">
        <v>10</v>
      </c>
      <c r="S1194" s="16"/>
      <c r="T1194" s="16" t="e">
        <v>#N/A</v>
      </c>
      <c r="U1194" s="16" t="e">
        <v>#N/A</v>
      </c>
    </row>
    <row r="1195" spans="1:21" x14ac:dyDescent="0.25">
      <c r="A1195" s="12" t="s">
        <v>21</v>
      </c>
      <c r="B1195" s="12" t="s">
        <v>1264</v>
      </c>
      <c r="C1195" s="12" t="s">
        <v>23</v>
      </c>
      <c r="D1195" s="15">
        <v>46268.598958333336</v>
      </c>
      <c r="E1195" s="12" t="s">
        <v>522</v>
      </c>
      <c r="F1195" s="12" t="s">
        <v>256</v>
      </c>
      <c r="G1195" s="12">
        <v>12</v>
      </c>
      <c r="H1195" s="12">
        <v>12</v>
      </c>
      <c r="I1195" s="14"/>
      <c r="J1195" s="14" t="s">
        <v>26</v>
      </c>
      <c r="K1195" s="12" t="s">
        <v>27</v>
      </c>
      <c r="L1195" s="15"/>
      <c r="M1195" s="12" t="s">
        <v>28</v>
      </c>
      <c r="N1195" s="12"/>
      <c r="O1195" s="12"/>
      <c r="P1195" s="12"/>
      <c r="Q1195" s="16">
        <v>0</v>
      </c>
      <c r="R1195" s="16">
        <v>2</v>
      </c>
      <c r="S1195" s="16"/>
      <c r="T1195" s="16" t="e">
        <v>#N/A</v>
      </c>
      <c r="U1195" s="16" t="e">
        <v>#N/A</v>
      </c>
    </row>
    <row r="1196" spans="1:21" x14ac:dyDescent="0.25">
      <c r="A1196" s="12" t="s">
        <v>21</v>
      </c>
      <c r="B1196" s="12" t="s">
        <v>1265</v>
      </c>
      <c r="C1196" s="12" t="s">
        <v>23</v>
      </c>
      <c r="D1196" s="15">
        <v>46268.599085648151</v>
      </c>
      <c r="E1196" s="12" t="s">
        <v>522</v>
      </c>
      <c r="F1196" s="12" t="s">
        <v>261</v>
      </c>
      <c r="G1196" s="12">
        <v>30</v>
      </c>
      <c r="H1196" s="12">
        <v>30</v>
      </c>
      <c r="I1196" s="14"/>
      <c r="J1196" s="14" t="s">
        <v>26</v>
      </c>
      <c r="K1196" s="12" t="s">
        <v>27</v>
      </c>
      <c r="L1196" s="15"/>
      <c r="M1196" s="12" t="s">
        <v>28</v>
      </c>
      <c r="N1196" s="12"/>
      <c r="O1196" s="12"/>
      <c r="P1196" s="12"/>
      <c r="Q1196" s="16">
        <v>0</v>
      </c>
      <c r="R1196" s="16">
        <v>0</v>
      </c>
      <c r="S1196" s="16"/>
      <c r="T1196" s="16" t="e">
        <v>#N/A</v>
      </c>
      <c r="U1196" s="16" t="e">
        <v>#N/A</v>
      </c>
    </row>
    <row r="1197" spans="1:21" x14ac:dyDescent="0.25">
      <c r="A1197" s="12" t="s">
        <v>21</v>
      </c>
      <c r="B1197" s="12" t="s">
        <v>1265</v>
      </c>
      <c r="C1197" s="12" t="s">
        <v>23</v>
      </c>
      <c r="D1197" s="15">
        <v>46268.599085648151</v>
      </c>
      <c r="E1197" s="12" t="s">
        <v>522</v>
      </c>
      <c r="F1197" s="12" t="s">
        <v>374</v>
      </c>
      <c r="G1197" s="12">
        <v>8</v>
      </c>
      <c r="H1197" s="12">
        <v>8</v>
      </c>
      <c r="I1197" s="14"/>
      <c r="J1197" s="14" t="s">
        <v>26</v>
      </c>
      <c r="K1197" s="12" t="s">
        <v>27</v>
      </c>
      <c r="L1197" s="15"/>
      <c r="M1197" s="12" t="s">
        <v>28</v>
      </c>
      <c r="N1197" s="12"/>
      <c r="O1197" s="12"/>
      <c r="P1197" s="12"/>
      <c r="Q1197" s="16">
        <v>0</v>
      </c>
      <c r="R1197" s="16">
        <v>0</v>
      </c>
      <c r="S1197" s="16"/>
      <c r="T1197" s="16" t="e">
        <v>#N/A</v>
      </c>
      <c r="U1197" s="16" t="e">
        <v>#N/A</v>
      </c>
    </row>
    <row r="1198" spans="1:21" x14ac:dyDescent="0.25">
      <c r="A1198" s="12" t="s">
        <v>21</v>
      </c>
      <c r="B1198" s="12" t="s">
        <v>1265</v>
      </c>
      <c r="C1198" s="12" t="s">
        <v>23</v>
      </c>
      <c r="D1198" s="15">
        <v>46268.599085648151</v>
      </c>
      <c r="E1198" s="12" t="s">
        <v>522</v>
      </c>
      <c r="F1198" s="12" t="s">
        <v>70</v>
      </c>
      <c r="G1198" s="12">
        <v>100</v>
      </c>
      <c r="H1198" s="12">
        <v>100</v>
      </c>
      <c r="I1198" s="14"/>
      <c r="J1198" s="14" t="s">
        <v>26</v>
      </c>
      <c r="K1198" s="12" t="s">
        <v>27</v>
      </c>
      <c r="L1198" s="15"/>
      <c r="M1198" s="12" t="s">
        <v>28</v>
      </c>
      <c r="N1198" s="12"/>
      <c r="O1198" s="12"/>
      <c r="P1198" s="12"/>
      <c r="Q1198" s="16">
        <v>0</v>
      </c>
      <c r="R1198" s="16">
        <v>0</v>
      </c>
      <c r="S1198" s="16"/>
      <c r="T1198" s="16" t="e">
        <v>#N/A</v>
      </c>
      <c r="U1198" s="16" t="e">
        <v>#N/A</v>
      </c>
    </row>
    <row r="1199" spans="1:21" x14ac:dyDescent="0.25">
      <c r="A1199" s="12" t="s">
        <v>21</v>
      </c>
      <c r="B1199" s="12" t="s">
        <v>1265</v>
      </c>
      <c r="C1199" s="12" t="s">
        <v>23</v>
      </c>
      <c r="D1199" s="15">
        <v>46268.599085648151</v>
      </c>
      <c r="E1199" s="12" t="s">
        <v>522</v>
      </c>
      <c r="F1199" s="12" t="s">
        <v>324</v>
      </c>
      <c r="G1199" s="12">
        <v>12</v>
      </c>
      <c r="H1199" s="12">
        <v>12</v>
      </c>
      <c r="I1199" s="14"/>
      <c r="J1199" s="14" t="s">
        <v>26</v>
      </c>
      <c r="K1199" s="12" t="s">
        <v>27</v>
      </c>
      <c r="L1199" s="15"/>
      <c r="M1199" s="12" t="s">
        <v>28</v>
      </c>
      <c r="N1199" s="12"/>
      <c r="O1199" s="12"/>
      <c r="P1199" s="12"/>
      <c r="Q1199" s="16">
        <v>0</v>
      </c>
      <c r="R1199" s="16">
        <v>4</v>
      </c>
      <c r="S1199" s="16"/>
      <c r="T1199" s="16" t="e">
        <v>#N/A</v>
      </c>
      <c r="U1199" s="16" t="e">
        <v>#N/A</v>
      </c>
    </row>
    <row r="1200" spans="1:21" x14ac:dyDescent="0.25">
      <c r="A1200" s="12" t="s">
        <v>21</v>
      </c>
      <c r="B1200" s="12" t="s">
        <v>1265</v>
      </c>
      <c r="C1200" s="12" t="s">
        <v>23</v>
      </c>
      <c r="D1200" s="15">
        <v>46268.599085648151</v>
      </c>
      <c r="E1200" s="12" t="s">
        <v>522</v>
      </c>
      <c r="F1200" s="12" t="s">
        <v>617</v>
      </c>
      <c r="G1200" s="12">
        <v>8</v>
      </c>
      <c r="H1200" s="12">
        <v>8</v>
      </c>
      <c r="I1200" s="14"/>
      <c r="J1200" s="14" t="s">
        <v>26</v>
      </c>
      <c r="K1200" s="12" t="s">
        <v>27</v>
      </c>
      <c r="L1200" s="15"/>
      <c r="M1200" s="12" t="s">
        <v>28</v>
      </c>
      <c r="N1200" s="12"/>
      <c r="O1200" s="12"/>
      <c r="P1200" s="12"/>
      <c r="Q1200" s="16">
        <v>0</v>
      </c>
      <c r="R1200" s="16">
        <v>0</v>
      </c>
      <c r="S1200" s="16"/>
      <c r="T1200" s="16" t="e">
        <v>#N/A</v>
      </c>
      <c r="U1200" s="16" t="e">
        <v>#N/A</v>
      </c>
    </row>
    <row r="1201" spans="1:21" x14ac:dyDescent="0.25">
      <c r="A1201" s="12" t="s">
        <v>21</v>
      </c>
      <c r="B1201" s="12" t="s">
        <v>1265</v>
      </c>
      <c r="C1201" s="12" t="s">
        <v>23</v>
      </c>
      <c r="D1201" s="15">
        <v>46268.599085648151</v>
      </c>
      <c r="E1201" s="12" t="s">
        <v>522</v>
      </c>
      <c r="F1201" s="12" t="s">
        <v>71</v>
      </c>
      <c r="G1201" s="12">
        <v>100</v>
      </c>
      <c r="H1201" s="12">
        <v>100</v>
      </c>
      <c r="I1201" s="14"/>
      <c r="J1201" s="14" t="s">
        <v>26</v>
      </c>
      <c r="K1201" s="12" t="s">
        <v>27</v>
      </c>
      <c r="L1201" s="15"/>
      <c r="M1201" s="12" t="s">
        <v>28</v>
      </c>
      <c r="N1201" s="12"/>
      <c r="O1201" s="12"/>
      <c r="P1201" s="12"/>
      <c r="Q1201" s="16">
        <v>0</v>
      </c>
      <c r="R1201" s="16">
        <v>0</v>
      </c>
      <c r="S1201" s="16"/>
      <c r="T1201" s="16" t="e">
        <v>#N/A</v>
      </c>
      <c r="U1201" s="16" t="e">
        <v>#N/A</v>
      </c>
    </row>
    <row r="1202" spans="1:21" x14ac:dyDescent="0.25">
      <c r="A1202" s="12" t="s">
        <v>21</v>
      </c>
      <c r="B1202" s="12" t="s">
        <v>1265</v>
      </c>
      <c r="C1202" s="12" t="s">
        <v>23</v>
      </c>
      <c r="D1202" s="15">
        <v>46268.599085648151</v>
      </c>
      <c r="E1202" s="12" t="s">
        <v>522</v>
      </c>
      <c r="F1202" s="12" t="s">
        <v>924</v>
      </c>
      <c r="G1202" s="12">
        <v>50</v>
      </c>
      <c r="H1202" s="12">
        <v>50</v>
      </c>
      <c r="I1202" s="14"/>
      <c r="J1202" s="14" t="s">
        <v>26</v>
      </c>
      <c r="K1202" s="12" t="s">
        <v>27</v>
      </c>
      <c r="L1202" s="15"/>
      <c r="M1202" s="12" t="s">
        <v>28</v>
      </c>
      <c r="N1202" s="12"/>
      <c r="O1202" s="12"/>
      <c r="P1202" s="12"/>
      <c r="Q1202" s="16">
        <v>0</v>
      </c>
      <c r="R1202" s="16">
        <v>0</v>
      </c>
      <c r="S1202" s="16"/>
      <c r="T1202" s="16" t="e">
        <v>#N/A</v>
      </c>
      <c r="U1202" s="16" t="e">
        <v>#N/A</v>
      </c>
    </row>
    <row r="1203" spans="1:21" x14ac:dyDescent="0.25">
      <c r="A1203" s="12" t="s">
        <v>21</v>
      </c>
      <c r="B1203" s="12" t="s">
        <v>1265</v>
      </c>
      <c r="C1203" s="12" t="s">
        <v>23</v>
      </c>
      <c r="D1203" s="15">
        <v>46268.599085648151</v>
      </c>
      <c r="E1203" s="12" t="s">
        <v>522</v>
      </c>
      <c r="F1203" s="12" t="s">
        <v>525</v>
      </c>
      <c r="G1203" s="12">
        <v>50</v>
      </c>
      <c r="H1203" s="12">
        <v>50</v>
      </c>
      <c r="I1203" s="14"/>
      <c r="J1203" s="14" t="s">
        <v>26</v>
      </c>
      <c r="K1203" s="12" t="s">
        <v>27</v>
      </c>
      <c r="L1203" s="15"/>
      <c r="M1203" s="12" t="s">
        <v>28</v>
      </c>
      <c r="N1203" s="12"/>
      <c r="O1203" s="12"/>
      <c r="P1203" s="12"/>
      <c r="Q1203" s="16">
        <v>0</v>
      </c>
      <c r="R1203" s="16">
        <v>0</v>
      </c>
      <c r="S1203" s="16"/>
      <c r="T1203" s="16" t="e">
        <v>#N/A</v>
      </c>
      <c r="U1203" s="16" t="e">
        <v>#N/A</v>
      </c>
    </row>
    <row r="1204" spans="1:21" x14ac:dyDescent="0.25">
      <c r="A1204" s="12" t="s">
        <v>21</v>
      </c>
      <c r="B1204" s="12" t="s">
        <v>1266</v>
      </c>
      <c r="C1204" s="12" t="s">
        <v>23</v>
      </c>
      <c r="D1204" s="15">
        <v>46268.59920138889</v>
      </c>
      <c r="E1204" s="12" t="s">
        <v>522</v>
      </c>
      <c r="F1204" s="12" t="s">
        <v>242</v>
      </c>
      <c r="G1204" s="12">
        <v>30</v>
      </c>
      <c r="H1204" s="12">
        <v>30</v>
      </c>
      <c r="I1204" s="14"/>
      <c r="J1204" s="14" t="s">
        <v>26</v>
      </c>
      <c r="K1204" s="12" t="s">
        <v>27</v>
      </c>
      <c r="L1204" s="15"/>
      <c r="M1204" s="12" t="s">
        <v>28</v>
      </c>
      <c r="N1204" s="12"/>
      <c r="O1204" s="12"/>
      <c r="P1204" s="12"/>
      <c r="Q1204" s="16">
        <v>0</v>
      </c>
      <c r="R1204" s="16">
        <v>0</v>
      </c>
      <c r="S1204" s="16"/>
      <c r="T1204" s="16" t="e">
        <v>#N/A</v>
      </c>
      <c r="U1204" s="16" t="e">
        <v>#N/A</v>
      </c>
    </row>
    <row r="1205" spans="1:21" x14ac:dyDescent="0.25">
      <c r="A1205" s="12" t="s">
        <v>21</v>
      </c>
      <c r="B1205" s="12" t="s">
        <v>1266</v>
      </c>
      <c r="C1205" s="12" t="s">
        <v>23</v>
      </c>
      <c r="D1205" s="15">
        <v>46268.59920138889</v>
      </c>
      <c r="E1205" s="12" t="s">
        <v>522</v>
      </c>
      <c r="F1205" s="12" t="s">
        <v>243</v>
      </c>
      <c r="G1205" s="12">
        <v>50</v>
      </c>
      <c r="H1205" s="12">
        <v>50</v>
      </c>
      <c r="I1205" s="14"/>
      <c r="J1205" s="14" t="s">
        <v>26</v>
      </c>
      <c r="K1205" s="12" t="s">
        <v>27</v>
      </c>
      <c r="L1205" s="15"/>
      <c r="M1205" s="12" t="s">
        <v>28</v>
      </c>
      <c r="N1205" s="12"/>
      <c r="O1205" s="12"/>
      <c r="P1205" s="12"/>
      <c r="Q1205" s="16">
        <v>0</v>
      </c>
      <c r="R1205" s="16">
        <v>1</v>
      </c>
      <c r="S1205" s="16"/>
      <c r="T1205" s="16" t="e">
        <v>#N/A</v>
      </c>
      <c r="U1205" s="16" t="e">
        <v>#N/A</v>
      </c>
    </row>
    <row r="1206" spans="1:21" x14ac:dyDescent="0.25">
      <c r="A1206" s="12" t="s">
        <v>21</v>
      </c>
      <c r="B1206" s="12" t="s">
        <v>1266</v>
      </c>
      <c r="C1206" s="12" t="s">
        <v>23</v>
      </c>
      <c r="D1206" s="15">
        <v>46268.59920138889</v>
      </c>
      <c r="E1206" s="12" t="s">
        <v>522</v>
      </c>
      <c r="F1206" s="12" t="s">
        <v>244</v>
      </c>
      <c r="G1206" s="12">
        <v>30</v>
      </c>
      <c r="H1206" s="12">
        <v>30</v>
      </c>
      <c r="I1206" s="14"/>
      <c r="J1206" s="14" t="s">
        <v>26</v>
      </c>
      <c r="K1206" s="12" t="s">
        <v>27</v>
      </c>
      <c r="L1206" s="15"/>
      <c r="M1206" s="12" t="s">
        <v>28</v>
      </c>
      <c r="N1206" s="12"/>
      <c r="O1206" s="12"/>
      <c r="P1206" s="12"/>
      <c r="Q1206" s="16">
        <v>0</v>
      </c>
      <c r="R1206" s="16">
        <v>0</v>
      </c>
      <c r="S1206" s="16"/>
      <c r="T1206" s="16" t="e">
        <v>#N/A</v>
      </c>
      <c r="U1206" s="16" t="e">
        <v>#N/A</v>
      </c>
    </row>
    <row r="1207" spans="1:21" x14ac:dyDescent="0.25">
      <c r="A1207" s="12" t="s">
        <v>21</v>
      </c>
      <c r="B1207" s="12" t="s">
        <v>1266</v>
      </c>
      <c r="C1207" s="12" t="s">
        <v>23</v>
      </c>
      <c r="D1207" s="15">
        <v>46268.59920138889</v>
      </c>
      <c r="E1207" s="12" t="s">
        <v>522</v>
      </c>
      <c r="F1207" s="12" t="s">
        <v>246</v>
      </c>
      <c r="G1207" s="12">
        <v>40</v>
      </c>
      <c r="H1207" s="12">
        <v>40</v>
      </c>
      <c r="I1207" s="14"/>
      <c r="J1207" s="14" t="s">
        <v>26</v>
      </c>
      <c r="K1207" s="12" t="s">
        <v>27</v>
      </c>
      <c r="L1207" s="15"/>
      <c r="M1207" s="12" t="s">
        <v>28</v>
      </c>
      <c r="N1207" s="12"/>
      <c r="O1207" s="12"/>
      <c r="P1207" s="12"/>
      <c r="Q1207" s="16">
        <v>0</v>
      </c>
      <c r="R1207" s="16">
        <v>0</v>
      </c>
      <c r="S1207" s="16"/>
      <c r="T1207" s="16" t="e">
        <v>#N/A</v>
      </c>
      <c r="U1207" s="16" t="e">
        <v>#N/A</v>
      </c>
    </row>
    <row r="1208" spans="1:21" x14ac:dyDescent="0.25">
      <c r="A1208" s="12" t="s">
        <v>21</v>
      </c>
      <c r="B1208" s="12" t="s">
        <v>1286</v>
      </c>
      <c r="C1208" s="12" t="s">
        <v>23</v>
      </c>
      <c r="D1208" s="15">
        <v>46268.660324074073</v>
      </c>
      <c r="E1208" s="12" t="s">
        <v>1287</v>
      </c>
      <c r="F1208" s="12" t="s">
        <v>67</v>
      </c>
      <c r="G1208" s="12">
        <v>1</v>
      </c>
      <c r="H1208" s="12">
        <v>1</v>
      </c>
      <c r="I1208" s="14"/>
      <c r="J1208" s="14" t="s">
        <v>61</v>
      </c>
      <c r="K1208" s="12" t="s">
        <v>1288</v>
      </c>
      <c r="L1208" s="15">
        <v>1</v>
      </c>
      <c r="M1208" s="12" t="s">
        <v>150</v>
      </c>
      <c r="N1208" s="12">
        <v>1</v>
      </c>
      <c r="O1208" s="12">
        <v>1</v>
      </c>
      <c r="P1208" s="12">
        <v>0</v>
      </c>
      <c r="Q1208" s="16">
        <v>1</v>
      </c>
      <c r="R1208" s="16">
        <v>0</v>
      </c>
      <c r="S1208" s="16"/>
      <c r="T1208" s="16" t="e">
        <v>#N/A</v>
      </c>
      <c r="U1208" s="16" t="e">
        <v>#N/A</v>
      </c>
    </row>
    <row r="1209" spans="1:21" x14ac:dyDescent="0.25">
      <c r="A1209" s="12" t="s">
        <v>21</v>
      </c>
      <c r="B1209" s="12" t="s">
        <v>1286</v>
      </c>
      <c r="C1209" s="12" t="s">
        <v>23</v>
      </c>
      <c r="D1209" s="15">
        <v>46268.660324074073</v>
      </c>
      <c r="E1209" s="12" t="s">
        <v>1287</v>
      </c>
      <c r="F1209" s="12" t="s">
        <v>838</v>
      </c>
      <c r="G1209" s="12">
        <v>1</v>
      </c>
      <c r="H1209" s="12">
        <v>1</v>
      </c>
      <c r="I1209" s="14"/>
      <c r="J1209" s="14" t="s">
        <v>61</v>
      </c>
      <c r="K1209" s="12" t="s">
        <v>1289</v>
      </c>
      <c r="L1209" s="15">
        <v>1</v>
      </c>
      <c r="M1209" s="12" t="s">
        <v>150</v>
      </c>
      <c r="N1209" s="12">
        <v>1</v>
      </c>
      <c r="O1209" s="12">
        <v>1</v>
      </c>
      <c r="P1209" s="12">
        <v>0</v>
      </c>
      <c r="Q1209" s="16">
        <v>1</v>
      </c>
      <c r="R1209" s="16">
        <v>0</v>
      </c>
      <c r="S1209" s="16"/>
      <c r="T1209" s="16" t="e">
        <v>#N/A</v>
      </c>
      <c r="U1209" s="16" t="e">
        <v>#N/A</v>
      </c>
    </row>
    <row r="1210" spans="1:21" x14ac:dyDescent="0.25">
      <c r="A1210" s="12" t="s">
        <v>21</v>
      </c>
      <c r="B1210" s="12" t="s">
        <v>1286</v>
      </c>
      <c r="C1210" s="12" t="s">
        <v>23</v>
      </c>
      <c r="D1210" s="15">
        <v>46268.660324074073</v>
      </c>
      <c r="E1210" s="12" t="s">
        <v>1287</v>
      </c>
      <c r="F1210" s="12" t="s">
        <v>253</v>
      </c>
      <c r="G1210" s="12">
        <v>1</v>
      </c>
      <c r="H1210" s="12">
        <v>1</v>
      </c>
      <c r="I1210" s="14"/>
      <c r="J1210" s="14" t="s">
        <v>61</v>
      </c>
      <c r="K1210" s="12" t="s">
        <v>1290</v>
      </c>
      <c r="L1210" s="15">
        <v>1</v>
      </c>
      <c r="M1210" s="12" t="s">
        <v>150</v>
      </c>
      <c r="N1210" s="12">
        <v>1</v>
      </c>
      <c r="O1210" s="12">
        <v>1</v>
      </c>
      <c r="P1210" s="12">
        <v>0</v>
      </c>
      <c r="Q1210" s="16">
        <v>1</v>
      </c>
      <c r="R1210" s="16">
        <v>0</v>
      </c>
      <c r="S1210" s="16"/>
      <c r="T1210" s="16" t="e">
        <v>#N/A</v>
      </c>
      <c r="U1210" s="16" t="e">
        <v>#N/A</v>
      </c>
    </row>
    <row r="1211" spans="1:21" x14ac:dyDescent="0.25">
      <c r="A1211" s="12" t="s">
        <v>21</v>
      </c>
      <c r="B1211" s="12" t="s">
        <v>1291</v>
      </c>
      <c r="C1211" s="12" t="s">
        <v>23</v>
      </c>
      <c r="D1211" s="15">
        <v>46269.280277777776</v>
      </c>
      <c r="E1211" s="12" t="s">
        <v>266</v>
      </c>
      <c r="F1211" s="12" t="s">
        <v>242</v>
      </c>
      <c r="G1211" s="12">
        <v>30</v>
      </c>
      <c r="H1211" s="12">
        <v>30</v>
      </c>
      <c r="I1211" s="14"/>
      <c r="J1211" s="14" t="s">
        <v>61</v>
      </c>
      <c r="K1211" s="12" t="s">
        <v>1295</v>
      </c>
      <c r="L1211" s="15">
        <v>1</v>
      </c>
      <c r="M1211" s="12" t="s">
        <v>150</v>
      </c>
      <c r="N1211" s="12">
        <v>30</v>
      </c>
      <c r="O1211" s="12">
        <v>30</v>
      </c>
      <c r="P1211" s="12">
        <v>0</v>
      </c>
      <c r="Q1211" s="16">
        <v>30</v>
      </c>
      <c r="R1211" s="16">
        <v>0</v>
      </c>
      <c r="S1211" s="16"/>
      <c r="T1211" s="16" t="e">
        <v>#N/A</v>
      </c>
      <c r="U1211" s="16" t="e">
        <v>#N/A</v>
      </c>
    </row>
    <row r="1212" spans="1:21" x14ac:dyDescent="0.25">
      <c r="A1212" s="12" t="s">
        <v>21</v>
      </c>
      <c r="B1212" s="12" t="s">
        <v>1291</v>
      </c>
      <c r="C1212" s="12" t="s">
        <v>23</v>
      </c>
      <c r="D1212" s="15">
        <v>46269.280277777776</v>
      </c>
      <c r="E1212" s="12" t="s">
        <v>266</v>
      </c>
      <c r="F1212" s="12" t="s">
        <v>243</v>
      </c>
      <c r="G1212" s="12">
        <v>50</v>
      </c>
      <c r="H1212" s="12">
        <v>50</v>
      </c>
      <c r="I1212" s="14"/>
      <c r="J1212" s="14" t="s">
        <v>61</v>
      </c>
      <c r="K1212" s="12" t="s">
        <v>1296</v>
      </c>
      <c r="L1212" s="15">
        <v>1</v>
      </c>
      <c r="M1212" s="12" t="s">
        <v>150</v>
      </c>
      <c r="N1212" s="12">
        <v>50</v>
      </c>
      <c r="O1212" s="12">
        <v>50</v>
      </c>
      <c r="P1212" s="12">
        <v>0</v>
      </c>
      <c r="Q1212" s="16">
        <v>50</v>
      </c>
      <c r="R1212" s="16">
        <v>1</v>
      </c>
      <c r="S1212" s="16"/>
      <c r="T1212" s="16" t="e">
        <v>#N/A</v>
      </c>
      <c r="U1212" s="16" t="e">
        <v>#N/A</v>
      </c>
    </row>
    <row r="1213" spans="1:21" x14ac:dyDescent="0.25">
      <c r="A1213" s="12" t="s">
        <v>21</v>
      </c>
      <c r="B1213" s="12" t="s">
        <v>1291</v>
      </c>
      <c r="C1213" s="12" t="s">
        <v>23</v>
      </c>
      <c r="D1213" s="15">
        <v>46269.280277777776</v>
      </c>
      <c r="E1213" s="12" t="s">
        <v>266</v>
      </c>
      <c r="F1213" s="12" t="s">
        <v>244</v>
      </c>
      <c r="G1213" s="12">
        <v>20</v>
      </c>
      <c r="H1213" s="12">
        <v>20</v>
      </c>
      <c r="I1213" s="14"/>
      <c r="J1213" s="14" t="s">
        <v>61</v>
      </c>
      <c r="K1213" s="12" t="s">
        <v>1297</v>
      </c>
      <c r="L1213" s="15">
        <v>1</v>
      </c>
      <c r="M1213" s="12" t="s">
        <v>150</v>
      </c>
      <c r="N1213" s="12">
        <v>20</v>
      </c>
      <c r="O1213" s="12">
        <v>20</v>
      </c>
      <c r="P1213" s="12">
        <v>0</v>
      </c>
      <c r="Q1213" s="16">
        <v>20</v>
      </c>
      <c r="R1213" s="16">
        <v>0</v>
      </c>
      <c r="S1213" s="16"/>
      <c r="T1213" s="16" t="e">
        <v>#N/A</v>
      </c>
      <c r="U1213" s="16" t="e">
        <v>#N/A</v>
      </c>
    </row>
    <row r="1214" spans="1:21" x14ac:dyDescent="0.25">
      <c r="A1214" s="12" t="s">
        <v>21</v>
      </c>
      <c r="B1214" s="12" t="s">
        <v>1291</v>
      </c>
      <c r="C1214" s="12" t="s">
        <v>23</v>
      </c>
      <c r="D1214" s="15">
        <v>46269.280277777776</v>
      </c>
      <c r="E1214" s="12" t="s">
        <v>266</v>
      </c>
      <c r="F1214" s="12" t="s">
        <v>245</v>
      </c>
      <c r="G1214" s="12">
        <v>50</v>
      </c>
      <c r="H1214" s="12">
        <v>50</v>
      </c>
      <c r="I1214" s="14"/>
      <c r="J1214" s="14" t="s">
        <v>61</v>
      </c>
      <c r="K1214" s="12" t="s">
        <v>1298</v>
      </c>
      <c r="L1214" s="15">
        <v>1</v>
      </c>
      <c r="M1214" s="12" t="s">
        <v>150</v>
      </c>
      <c r="N1214" s="12">
        <v>50</v>
      </c>
      <c r="O1214" s="12">
        <v>50</v>
      </c>
      <c r="P1214" s="12">
        <v>0</v>
      </c>
      <c r="Q1214" s="16">
        <v>50</v>
      </c>
      <c r="R1214" s="16">
        <v>0</v>
      </c>
      <c r="S1214" s="16"/>
      <c r="T1214" s="16" t="e">
        <v>#N/A</v>
      </c>
      <c r="U1214" s="16" t="e">
        <v>#N/A</v>
      </c>
    </row>
    <row r="1215" spans="1:21" x14ac:dyDescent="0.25">
      <c r="A1215" s="12" t="s">
        <v>21</v>
      </c>
      <c r="B1215" s="12" t="s">
        <v>1291</v>
      </c>
      <c r="C1215" s="12" t="s">
        <v>23</v>
      </c>
      <c r="D1215" s="15">
        <v>46269.280277777776</v>
      </c>
      <c r="E1215" s="12" t="s">
        <v>266</v>
      </c>
      <c r="F1215" s="12" t="s">
        <v>246</v>
      </c>
      <c r="G1215" s="12">
        <v>30</v>
      </c>
      <c r="H1215" s="12">
        <v>30</v>
      </c>
      <c r="I1215" s="14"/>
      <c r="J1215" s="14" t="s">
        <v>61</v>
      </c>
      <c r="K1215" s="12" t="s">
        <v>1299</v>
      </c>
      <c r="L1215" s="15">
        <v>1</v>
      </c>
      <c r="M1215" s="12" t="s">
        <v>150</v>
      </c>
      <c r="N1215" s="12">
        <v>30</v>
      </c>
      <c r="O1215" s="12">
        <v>30</v>
      </c>
      <c r="P1215" s="12">
        <v>0</v>
      </c>
      <c r="Q1215" s="16">
        <v>30</v>
      </c>
      <c r="R1215" s="16">
        <v>0</v>
      </c>
      <c r="S1215" s="16"/>
      <c r="T1215" s="16" t="e">
        <v>#N/A</v>
      </c>
      <c r="U1215" s="16" t="e">
        <v>#N/A</v>
      </c>
    </row>
    <row r="1216" spans="1:21" x14ac:dyDescent="0.25">
      <c r="A1216" s="12" t="s">
        <v>21</v>
      </c>
      <c r="B1216" s="12" t="s">
        <v>1291</v>
      </c>
      <c r="C1216" s="12" t="s">
        <v>23</v>
      </c>
      <c r="D1216" s="15">
        <v>46269.280277777776</v>
      </c>
      <c r="E1216" s="12" t="s">
        <v>266</v>
      </c>
      <c r="F1216" s="12" t="s">
        <v>1018</v>
      </c>
      <c r="G1216" s="12">
        <v>8</v>
      </c>
      <c r="H1216" s="12">
        <v>8</v>
      </c>
      <c r="I1216" s="14"/>
      <c r="J1216" s="14" t="s">
        <v>26</v>
      </c>
      <c r="K1216" s="12" t="s">
        <v>27</v>
      </c>
      <c r="L1216" s="15"/>
      <c r="M1216" s="12" t="s">
        <v>28</v>
      </c>
      <c r="N1216" s="12"/>
      <c r="O1216" s="12"/>
      <c r="P1216" s="12"/>
      <c r="Q1216" s="16">
        <v>0</v>
      </c>
      <c r="R1216" s="16">
        <v>0</v>
      </c>
      <c r="S1216" s="16"/>
      <c r="T1216" s="16" t="e">
        <v>#N/A</v>
      </c>
      <c r="U1216" s="16" t="e">
        <v>#N/A</v>
      </c>
    </row>
    <row r="1217" spans="1:21" x14ac:dyDescent="0.25">
      <c r="A1217" s="12" t="s">
        <v>21</v>
      </c>
      <c r="B1217" s="12" t="s">
        <v>1291</v>
      </c>
      <c r="C1217" s="12" t="s">
        <v>23</v>
      </c>
      <c r="D1217" s="15">
        <v>46269.280277777776</v>
      </c>
      <c r="E1217" s="12" t="s">
        <v>266</v>
      </c>
      <c r="F1217" s="12" t="s">
        <v>267</v>
      </c>
      <c r="G1217" s="12">
        <v>21</v>
      </c>
      <c r="H1217" s="12">
        <v>21</v>
      </c>
      <c r="I1217" s="14"/>
      <c r="J1217" s="14" t="s">
        <v>61</v>
      </c>
      <c r="K1217" s="12" t="s">
        <v>1300</v>
      </c>
      <c r="L1217" s="15">
        <v>1</v>
      </c>
      <c r="M1217" s="12" t="s">
        <v>150</v>
      </c>
      <c r="N1217" s="12">
        <v>21</v>
      </c>
      <c r="O1217" s="12">
        <v>21</v>
      </c>
      <c r="P1217" s="12">
        <v>0</v>
      </c>
      <c r="Q1217" s="16">
        <v>21</v>
      </c>
      <c r="R1217" s="16">
        <v>0</v>
      </c>
      <c r="S1217" s="16"/>
      <c r="T1217" s="16" t="e">
        <v>#N/A</v>
      </c>
      <c r="U1217" s="16" t="e">
        <v>#N/A</v>
      </c>
    </row>
    <row r="1218" spans="1:21" x14ac:dyDescent="0.25">
      <c r="A1218" s="12" t="s">
        <v>21</v>
      </c>
      <c r="B1218" s="12" t="s">
        <v>1291</v>
      </c>
      <c r="C1218" s="12" t="s">
        <v>23</v>
      </c>
      <c r="D1218" s="15">
        <v>46269.280277777776</v>
      </c>
      <c r="E1218" s="12" t="s">
        <v>266</v>
      </c>
      <c r="F1218" s="12" t="s">
        <v>553</v>
      </c>
      <c r="G1218" s="12">
        <v>32</v>
      </c>
      <c r="H1218" s="12">
        <v>32</v>
      </c>
      <c r="I1218" s="14"/>
      <c r="J1218" s="14" t="s">
        <v>61</v>
      </c>
      <c r="K1218" s="12" t="s">
        <v>1301</v>
      </c>
      <c r="L1218" s="15">
        <v>1</v>
      </c>
      <c r="M1218" s="12" t="s">
        <v>150</v>
      </c>
      <c r="N1218" s="12">
        <v>32</v>
      </c>
      <c r="O1218" s="12">
        <v>32</v>
      </c>
      <c r="P1218" s="12">
        <v>0</v>
      </c>
      <c r="Q1218" s="16">
        <v>32</v>
      </c>
      <c r="R1218" s="16">
        <v>2</v>
      </c>
      <c r="S1218" s="16"/>
      <c r="T1218" s="16" t="e">
        <v>#N/A</v>
      </c>
      <c r="U1218" s="16" t="e">
        <v>#N/A</v>
      </c>
    </row>
    <row r="1219" spans="1:21" x14ac:dyDescent="0.25">
      <c r="A1219" s="12" t="s">
        <v>21</v>
      </c>
      <c r="B1219" s="12" t="s">
        <v>1291</v>
      </c>
      <c r="C1219" s="12" t="s">
        <v>23</v>
      </c>
      <c r="D1219" s="15">
        <v>46269.280277777776</v>
      </c>
      <c r="E1219" s="12" t="s">
        <v>266</v>
      </c>
      <c r="F1219" s="12" t="s">
        <v>442</v>
      </c>
      <c r="G1219" s="12">
        <v>100</v>
      </c>
      <c r="H1219" s="12">
        <v>100</v>
      </c>
      <c r="I1219" s="14"/>
      <c r="J1219" s="14" t="s">
        <v>26</v>
      </c>
      <c r="K1219" s="12" t="s">
        <v>27</v>
      </c>
      <c r="L1219" s="15"/>
      <c r="M1219" s="12" t="s">
        <v>28</v>
      </c>
      <c r="N1219" s="12"/>
      <c r="O1219" s="12"/>
      <c r="P1219" s="12"/>
      <c r="Q1219" s="16">
        <v>0</v>
      </c>
      <c r="R1219" s="16">
        <v>0</v>
      </c>
      <c r="S1219" s="16"/>
      <c r="T1219" s="16" t="e">
        <v>#N/A</v>
      </c>
      <c r="U1219" s="16" t="e">
        <v>#N/A</v>
      </c>
    </row>
    <row r="1220" spans="1:21" x14ac:dyDescent="0.25">
      <c r="A1220" s="12" t="s">
        <v>21</v>
      </c>
      <c r="B1220" s="12" t="s">
        <v>1291</v>
      </c>
      <c r="C1220" s="12" t="s">
        <v>23</v>
      </c>
      <c r="D1220" s="15">
        <v>46269.280277777776</v>
      </c>
      <c r="E1220" s="12" t="s">
        <v>266</v>
      </c>
      <c r="F1220" s="12" t="s">
        <v>326</v>
      </c>
      <c r="G1220" s="12">
        <v>40</v>
      </c>
      <c r="H1220" s="12">
        <v>40</v>
      </c>
      <c r="I1220" s="14"/>
      <c r="J1220" s="14" t="s">
        <v>61</v>
      </c>
      <c r="K1220" s="12" t="s">
        <v>1302</v>
      </c>
      <c r="L1220" s="15">
        <v>1</v>
      </c>
      <c r="M1220" s="12" t="s">
        <v>150</v>
      </c>
      <c r="N1220" s="12">
        <v>40</v>
      </c>
      <c r="O1220" s="12">
        <v>40</v>
      </c>
      <c r="P1220" s="12">
        <v>0</v>
      </c>
      <c r="Q1220" s="16">
        <v>40</v>
      </c>
      <c r="R1220" s="16">
        <v>0</v>
      </c>
      <c r="S1220" s="16"/>
      <c r="T1220" s="16" t="e">
        <v>#N/A</v>
      </c>
      <c r="U1220" s="16" t="e">
        <v>#N/A</v>
      </c>
    </row>
    <row r="1221" spans="1:21" x14ac:dyDescent="0.25">
      <c r="A1221" s="12" t="s">
        <v>21</v>
      </c>
      <c r="B1221" s="12" t="s">
        <v>1291</v>
      </c>
      <c r="C1221" s="12" t="s">
        <v>23</v>
      </c>
      <c r="D1221" s="15">
        <v>46269.280277777776</v>
      </c>
      <c r="E1221" s="12" t="s">
        <v>266</v>
      </c>
      <c r="F1221" s="12" t="s">
        <v>1267</v>
      </c>
      <c r="G1221" s="12">
        <v>20</v>
      </c>
      <c r="H1221" s="12">
        <v>20</v>
      </c>
      <c r="I1221" s="14"/>
      <c r="J1221" s="14" t="s">
        <v>61</v>
      </c>
      <c r="K1221" s="12" t="s">
        <v>1303</v>
      </c>
      <c r="L1221" s="15">
        <v>1</v>
      </c>
      <c r="M1221" s="12" t="s">
        <v>150</v>
      </c>
      <c r="N1221" s="12">
        <v>20</v>
      </c>
      <c r="O1221" s="12">
        <v>20</v>
      </c>
      <c r="P1221" s="12">
        <v>0</v>
      </c>
      <c r="Q1221" s="16">
        <v>20</v>
      </c>
      <c r="R1221" s="16">
        <v>0</v>
      </c>
      <c r="S1221" s="16"/>
      <c r="T1221" s="16" t="e">
        <v>#N/A</v>
      </c>
      <c r="U1221" s="16" t="e">
        <v>#N/A</v>
      </c>
    </row>
    <row r="1222" spans="1:21" x14ac:dyDescent="0.25">
      <c r="A1222" s="12" t="s">
        <v>21</v>
      </c>
      <c r="B1222" s="12" t="s">
        <v>1291</v>
      </c>
      <c r="C1222" s="12" t="s">
        <v>23</v>
      </c>
      <c r="D1222" s="15">
        <v>46269.280277777776</v>
      </c>
      <c r="E1222" s="12" t="s">
        <v>266</v>
      </c>
      <c r="F1222" s="12" t="s">
        <v>248</v>
      </c>
      <c r="G1222" s="12">
        <v>50</v>
      </c>
      <c r="H1222" s="12">
        <v>50</v>
      </c>
      <c r="I1222" s="14"/>
      <c r="J1222" s="14" t="s">
        <v>26</v>
      </c>
      <c r="K1222" s="12" t="s">
        <v>27</v>
      </c>
      <c r="L1222" s="15"/>
      <c r="M1222" s="12" t="s">
        <v>28</v>
      </c>
      <c r="N1222" s="12"/>
      <c r="O1222" s="12"/>
      <c r="P1222" s="12"/>
      <c r="Q1222" s="16">
        <v>0</v>
      </c>
      <c r="R1222" s="16">
        <v>2</v>
      </c>
      <c r="S1222" s="16"/>
      <c r="T1222" s="16" t="e">
        <v>#N/A</v>
      </c>
      <c r="U1222" s="16" t="e">
        <v>#N/A</v>
      </c>
    </row>
    <row r="1223" spans="1:21" x14ac:dyDescent="0.25">
      <c r="A1223" s="12" t="s">
        <v>21</v>
      </c>
      <c r="B1223" s="12" t="s">
        <v>1291</v>
      </c>
      <c r="C1223" s="12" t="s">
        <v>23</v>
      </c>
      <c r="D1223" s="15">
        <v>46269.280277777776</v>
      </c>
      <c r="E1223" s="12" t="s">
        <v>266</v>
      </c>
      <c r="F1223" s="12" t="s">
        <v>67</v>
      </c>
      <c r="G1223" s="12">
        <v>30</v>
      </c>
      <c r="H1223" s="12">
        <v>30</v>
      </c>
      <c r="I1223" s="14"/>
      <c r="J1223" s="14" t="s">
        <v>61</v>
      </c>
      <c r="K1223" s="12" t="s">
        <v>1304</v>
      </c>
      <c r="L1223" s="15">
        <v>1</v>
      </c>
      <c r="M1223" s="12" t="s">
        <v>150</v>
      </c>
      <c r="N1223" s="12">
        <v>30</v>
      </c>
      <c r="O1223" s="12">
        <v>30</v>
      </c>
      <c r="P1223" s="12">
        <v>0</v>
      </c>
      <c r="Q1223" s="16">
        <v>30</v>
      </c>
      <c r="R1223" s="16">
        <v>0</v>
      </c>
      <c r="S1223" s="16"/>
      <c r="T1223" s="16" t="e">
        <v>#N/A</v>
      </c>
      <c r="U1223" s="16" t="e">
        <v>#N/A</v>
      </c>
    </row>
    <row r="1224" spans="1:21" x14ac:dyDescent="0.25">
      <c r="A1224" s="12" t="s">
        <v>21</v>
      </c>
      <c r="B1224" s="12" t="s">
        <v>1291</v>
      </c>
      <c r="C1224" s="12" t="s">
        <v>23</v>
      </c>
      <c r="D1224" s="15">
        <v>46269.280277777776</v>
      </c>
      <c r="E1224" s="12" t="s">
        <v>266</v>
      </c>
      <c r="F1224" s="12" t="s">
        <v>582</v>
      </c>
      <c r="G1224" s="12">
        <v>20</v>
      </c>
      <c r="H1224" s="12">
        <v>20</v>
      </c>
      <c r="I1224" s="14"/>
      <c r="J1224" s="14" t="s">
        <v>26</v>
      </c>
      <c r="K1224" s="12" t="s">
        <v>27</v>
      </c>
      <c r="L1224" s="15"/>
      <c r="M1224" s="12" t="s">
        <v>28</v>
      </c>
      <c r="N1224" s="12"/>
      <c r="O1224" s="12"/>
      <c r="P1224" s="12"/>
      <c r="Q1224" s="16">
        <v>0</v>
      </c>
      <c r="R1224" s="16">
        <v>0</v>
      </c>
      <c r="S1224" s="16"/>
      <c r="T1224" s="16" t="e">
        <v>#N/A</v>
      </c>
      <c r="U1224" s="16" t="e">
        <v>#N/A</v>
      </c>
    </row>
    <row r="1225" spans="1:21" x14ac:dyDescent="0.25">
      <c r="A1225" s="12" t="s">
        <v>21</v>
      </c>
      <c r="B1225" s="12" t="s">
        <v>1291</v>
      </c>
      <c r="C1225" s="12" t="s">
        <v>23</v>
      </c>
      <c r="D1225" s="15">
        <v>46269.280277777776</v>
      </c>
      <c r="E1225" s="12" t="s">
        <v>266</v>
      </c>
      <c r="F1225" s="12" t="s">
        <v>735</v>
      </c>
      <c r="G1225" s="12">
        <v>10</v>
      </c>
      <c r="H1225" s="12">
        <v>10</v>
      </c>
      <c r="I1225" s="14"/>
      <c r="J1225" s="14" t="s">
        <v>61</v>
      </c>
      <c r="K1225" s="12" t="s">
        <v>27</v>
      </c>
      <c r="L1225" s="15"/>
      <c r="M1225" s="12" t="s">
        <v>28</v>
      </c>
      <c r="N1225" s="12"/>
      <c r="O1225" s="12"/>
      <c r="P1225" s="12"/>
      <c r="Q1225" s="16">
        <v>10</v>
      </c>
      <c r="R1225" s="16">
        <v>0</v>
      </c>
      <c r="S1225" s="16"/>
      <c r="T1225" s="16" t="e">
        <v>#N/A</v>
      </c>
      <c r="U1225" s="16" t="e">
        <v>#N/A</v>
      </c>
    </row>
    <row r="1226" spans="1:21" x14ac:dyDescent="0.25">
      <c r="A1226" s="12" t="s">
        <v>21</v>
      </c>
      <c r="B1226" s="12" t="s">
        <v>1291</v>
      </c>
      <c r="C1226" s="12" t="s">
        <v>23</v>
      </c>
      <c r="D1226" s="15">
        <v>46269.280277777776</v>
      </c>
      <c r="E1226" s="12" t="s">
        <v>266</v>
      </c>
      <c r="F1226" s="12" t="s">
        <v>252</v>
      </c>
      <c r="G1226" s="12">
        <v>10</v>
      </c>
      <c r="H1226" s="12">
        <v>10</v>
      </c>
      <c r="I1226" s="14"/>
      <c r="J1226" s="14" t="s">
        <v>26</v>
      </c>
      <c r="K1226" s="12" t="s">
        <v>27</v>
      </c>
      <c r="L1226" s="15"/>
      <c r="M1226" s="12" t="s">
        <v>28</v>
      </c>
      <c r="N1226" s="12"/>
      <c r="O1226" s="12"/>
      <c r="P1226" s="12"/>
      <c r="Q1226" s="16">
        <v>0</v>
      </c>
      <c r="R1226" s="16">
        <v>0</v>
      </c>
      <c r="S1226" s="16"/>
      <c r="T1226" s="16" t="e">
        <v>#N/A</v>
      </c>
      <c r="U1226" s="16" t="e">
        <v>#N/A</v>
      </c>
    </row>
    <row r="1227" spans="1:21" x14ac:dyDescent="0.25">
      <c r="A1227" s="12" t="s">
        <v>21</v>
      </c>
      <c r="B1227" s="12" t="s">
        <v>1291</v>
      </c>
      <c r="C1227" s="12" t="s">
        <v>23</v>
      </c>
      <c r="D1227" s="15">
        <v>46269.280277777776</v>
      </c>
      <c r="E1227" s="12" t="s">
        <v>266</v>
      </c>
      <c r="F1227" s="12" t="s">
        <v>253</v>
      </c>
      <c r="G1227" s="12">
        <v>50</v>
      </c>
      <c r="H1227" s="12">
        <v>50</v>
      </c>
      <c r="I1227" s="14"/>
      <c r="J1227" s="14" t="s">
        <v>61</v>
      </c>
      <c r="K1227" s="12" t="s">
        <v>1305</v>
      </c>
      <c r="L1227" s="15">
        <v>1</v>
      </c>
      <c r="M1227" s="12" t="s">
        <v>150</v>
      </c>
      <c r="N1227" s="12">
        <v>50</v>
      </c>
      <c r="O1227" s="12">
        <v>50</v>
      </c>
      <c r="P1227" s="12">
        <v>0</v>
      </c>
      <c r="Q1227" s="16">
        <v>50</v>
      </c>
      <c r="R1227" s="16">
        <v>0</v>
      </c>
      <c r="S1227" s="16"/>
      <c r="T1227" s="16" t="e">
        <v>#N/A</v>
      </c>
      <c r="U1227" s="16" t="e">
        <v>#N/A</v>
      </c>
    </row>
    <row r="1228" spans="1:21" x14ac:dyDescent="0.25">
      <c r="A1228" s="12" t="s">
        <v>21</v>
      </c>
      <c r="B1228" s="12" t="s">
        <v>1291</v>
      </c>
      <c r="C1228" s="12" t="s">
        <v>23</v>
      </c>
      <c r="D1228" s="15">
        <v>46269.280277777776</v>
      </c>
      <c r="E1228" s="12" t="s">
        <v>266</v>
      </c>
      <c r="F1228" s="12" t="s">
        <v>1293</v>
      </c>
      <c r="G1228" s="12">
        <v>10</v>
      </c>
      <c r="H1228" s="12">
        <v>10</v>
      </c>
      <c r="I1228" s="14"/>
      <c r="J1228" s="14" t="s">
        <v>26</v>
      </c>
      <c r="K1228" s="12" t="s">
        <v>27</v>
      </c>
      <c r="L1228" s="15"/>
      <c r="M1228" s="12" t="s">
        <v>28</v>
      </c>
      <c r="N1228" s="12"/>
      <c r="O1228" s="12"/>
      <c r="P1228" s="12"/>
      <c r="Q1228" s="16">
        <v>0</v>
      </c>
      <c r="R1228" s="16">
        <v>1</v>
      </c>
      <c r="S1228" s="16"/>
      <c r="T1228" s="16" t="e">
        <v>#N/A</v>
      </c>
      <c r="U1228" s="16" t="e">
        <v>#N/A</v>
      </c>
    </row>
    <row r="1229" spans="1:21" x14ac:dyDescent="0.25">
      <c r="A1229" s="12" t="s">
        <v>21</v>
      </c>
      <c r="B1229" s="12" t="s">
        <v>1291</v>
      </c>
      <c r="C1229" s="12" t="s">
        <v>23</v>
      </c>
      <c r="D1229" s="15">
        <v>46269.280277777776</v>
      </c>
      <c r="E1229" s="12" t="s">
        <v>266</v>
      </c>
      <c r="F1229" s="12" t="s">
        <v>1022</v>
      </c>
      <c r="G1229" s="12">
        <v>100</v>
      </c>
      <c r="H1229" s="12">
        <v>100</v>
      </c>
      <c r="I1229" s="14"/>
      <c r="J1229" s="14" t="s">
        <v>61</v>
      </c>
      <c r="K1229" s="12" t="s">
        <v>1306</v>
      </c>
      <c r="L1229" s="15">
        <v>1</v>
      </c>
      <c r="M1229" s="12" t="s">
        <v>150</v>
      </c>
      <c r="N1229" s="12">
        <v>100</v>
      </c>
      <c r="O1229" s="12">
        <v>100</v>
      </c>
      <c r="P1229" s="12">
        <v>0</v>
      </c>
      <c r="Q1229" s="16">
        <v>100</v>
      </c>
      <c r="R1229" s="16">
        <v>3</v>
      </c>
      <c r="S1229" s="16"/>
      <c r="T1229" s="16" t="e">
        <v>#N/A</v>
      </c>
      <c r="U1229" s="16" t="e">
        <v>#N/A</v>
      </c>
    </row>
    <row r="1230" spans="1:21" x14ac:dyDescent="0.25">
      <c r="A1230" s="12" t="s">
        <v>21</v>
      </c>
      <c r="B1230" s="12" t="s">
        <v>1291</v>
      </c>
      <c r="C1230" s="12" t="s">
        <v>23</v>
      </c>
      <c r="D1230" s="15">
        <v>46269.280277777776</v>
      </c>
      <c r="E1230" s="12" t="s">
        <v>266</v>
      </c>
      <c r="F1230" s="12" t="s">
        <v>1023</v>
      </c>
      <c r="G1230" s="12">
        <v>40</v>
      </c>
      <c r="H1230" s="12">
        <v>40</v>
      </c>
      <c r="I1230" s="14"/>
      <c r="J1230" s="14" t="s">
        <v>61</v>
      </c>
      <c r="K1230" s="12" t="s">
        <v>1307</v>
      </c>
      <c r="L1230" s="15">
        <v>1</v>
      </c>
      <c r="M1230" s="12" t="s">
        <v>150</v>
      </c>
      <c r="N1230" s="12">
        <v>40</v>
      </c>
      <c r="O1230" s="12">
        <v>40</v>
      </c>
      <c r="P1230" s="12">
        <v>0</v>
      </c>
      <c r="Q1230" s="16">
        <v>40</v>
      </c>
      <c r="R1230" s="16">
        <v>6</v>
      </c>
      <c r="S1230" s="16"/>
      <c r="T1230" s="16" t="e">
        <v>#N/A</v>
      </c>
      <c r="U1230" s="16" t="e">
        <v>#N/A</v>
      </c>
    </row>
    <row r="1231" spans="1:21" x14ac:dyDescent="0.25">
      <c r="A1231" s="12" t="s">
        <v>21</v>
      </c>
      <c r="B1231" s="12" t="s">
        <v>1291</v>
      </c>
      <c r="C1231" s="12" t="s">
        <v>23</v>
      </c>
      <c r="D1231" s="15">
        <v>46269.280277777776</v>
      </c>
      <c r="E1231" s="12" t="s">
        <v>266</v>
      </c>
      <c r="F1231" s="12" t="s">
        <v>572</v>
      </c>
      <c r="G1231" s="12">
        <v>20</v>
      </c>
      <c r="H1231" s="12">
        <v>20</v>
      </c>
      <c r="I1231" s="14"/>
      <c r="J1231" s="14" t="s">
        <v>61</v>
      </c>
      <c r="K1231" s="12" t="s">
        <v>1308</v>
      </c>
      <c r="L1231" s="15">
        <v>1</v>
      </c>
      <c r="M1231" s="12" t="s">
        <v>150</v>
      </c>
      <c r="N1231" s="12">
        <v>20</v>
      </c>
      <c r="O1231" s="12">
        <v>20</v>
      </c>
      <c r="P1231" s="12">
        <v>0</v>
      </c>
      <c r="Q1231" s="16">
        <v>20</v>
      </c>
      <c r="R1231" s="16">
        <v>10</v>
      </c>
      <c r="S1231" s="16"/>
      <c r="T1231" s="16" t="e">
        <v>#N/A</v>
      </c>
      <c r="U1231" s="16" t="e">
        <v>#N/A</v>
      </c>
    </row>
    <row r="1232" spans="1:21" x14ac:dyDescent="0.25">
      <c r="A1232" s="12" t="s">
        <v>21</v>
      </c>
      <c r="B1232" s="12" t="s">
        <v>1291</v>
      </c>
      <c r="C1232" s="12" t="s">
        <v>23</v>
      </c>
      <c r="D1232" s="15">
        <v>46269.280277777776</v>
      </c>
      <c r="E1232" s="12" t="s">
        <v>266</v>
      </c>
      <c r="F1232" s="12" t="s">
        <v>1024</v>
      </c>
      <c r="G1232" s="12">
        <v>30</v>
      </c>
      <c r="H1232" s="12">
        <v>30</v>
      </c>
      <c r="I1232" s="14"/>
      <c r="J1232" s="14" t="s">
        <v>26</v>
      </c>
      <c r="K1232" s="12" t="s">
        <v>27</v>
      </c>
      <c r="L1232" s="15"/>
      <c r="M1232" s="12" t="s">
        <v>28</v>
      </c>
      <c r="N1232" s="12"/>
      <c r="O1232" s="12"/>
      <c r="P1232" s="12"/>
      <c r="Q1232" s="16">
        <v>0</v>
      </c>
      <c r="R1232" s="16">
        <v>0</v>
      </c>
      <c r="S1232" s="16"/>
      <c r="T1232" s="16" t="e">
        <v>#N/A</v>
      </c>
      <c r="U1232" s="16" t="e">
        <v>#N/A</v>
      </c>
    </row>
    <row r="1233" spans="1:21" x14ac:dyDescent="0.25">
      <c r="A1233" s="12" t="s">
        <v>21</v>
      </c>
      <c r="B1233" s="12" t="s">
        <v>1291</v>
      </c>
      <c r="C1233" s="12" t="s">
        <v>23</v>
      </c>
      <c r="D1233" s="15">
        <v>46269.280277777776</v>
      </c>
      <c r="E1233" s="12" t="s">
        <v>266</v>
      </c>
      <c r="F1233" s="12" t="s">
        <v>1294</v>
      </c>
      <c r="G1233" s="12">
        <v>8</v>
      </c>
      <c r="H1233" s="12">
        <v>8</v>
      </c>
      <c r="I1233" s="14"/>
      <c r="J1233" s="14" t="s">
        <v>61</v>
      </c>
      <c r="K1233" s="12" t="s">
        <v>1309</v>
      </c>
      <c r="L1233" s="15">
        <v>1</v>
      </c>
      <c r="M1233" s="12" t="s">
        <v>150</v>
      </c>
      <c r="N1233" s="12">
        <v>8</v>
      </c>
      <c r="O1233" s="12">
        <v>8</v>
      </c>
      <c r="P1233" s="12">
        <v>0</v>
      </c>
      <c r="Q1233" s="16">
        <v>8</v>
      </c>
      <c r="R1233" s="16">
        <v>1</v>
      </c>
      <c r="S1233" s="16"/>
      <c r="T1233" s="16" t="e">
        <v>#N/A</v>
      </c>
      <c r="U1233" s="16" t="e">
        <v>#N/A</v>
      </c>
    </row>
    <row r="1234" spans="1:21" x14ac:dyDescent="0.25">
      <c r="A1234" s="12" t="s">
        <v>21</v>
      </c>
      <c r="B1234" s="12" t="s">
        <v>1292</v>
      </c>
      <c r="C1234" s="12" t="s">
        <v>23</v>
      </c>
      <c r="D1234" s="15">
        <v>46269.281944444447</v>
      </c>
      <c r="E1234" s="12" t="s">
        <v>398</v>
      </c>
      <c r="F1234" s="12" t="s">
        <v>243</v>
      </c>
      <c r="G1234" s="12">
        <v>80</v>
      </c>
      <c r="H1234" s="12">
        <v>80</v>
      </c>
      <c r="I1234" s="14"/>
      <c r="J1234" s="14" t="s">
        <v>61</v>
      </c>
      <c r="K1234" s="12" t="s">
        <v>1310</v>
      </c>
      <c r="L1234" s="15">
        <v>1</v>
      </c>
      <c r="M1234" s="12" t="s">
        <v>150</v>
      </c>
      <c r="N1234" s="12">
        <v>80</v>
      </c>
      <c r="O1234" s="12">
        <v>80</v>
      </c>
      <c r="P1234" s="12">
        <v>0</v>
      </c>
      <c r="Q1234" s="16">
        <v>120</v>
      </c>
      <c r="R1234" s="16">
        <v>1</v>
      </c>
      <c r="S1234" s="16"/>
      <c r="T1234" s="16" t="e">
        <v>#N/A</v>
      </c>
      <c r="U1234" s="16" t="e">
        <v>#N/A</v>
      </c>
    </row>
    <row r="1235" spans="1:21" x14ac:dyDescent="0.25">
      <c r="A1235" s="12" t="s">
        <v>21</v>
      </c>
      <c r="B1235" s="12" t="s">
        <v>1292</v>
      </c>
      <c r="C1235" s="12" t="s">
        <v>23</v>
      </c>
      <c r="D1235" s="15">
        <v>46269.281944444447</v>
      </c>
      <c r="E1235" s="12" t="s">
        <v>398</v>
      </c>
      <c r="F1235" s="12" t="s">
        <v>244</v>
      </c>
      <c r="G1235" s="12">
        <v>20</v>
      </c>
      <c r="H1235" s="12">
        <v>20</v>
      </c>
      <c r="I1235" s="14"/>
      <c r="J1235" s="14" t="s">
        <v>61</v>
      </c>
      <c r="K1235" s="12" t="s">
        <v>1311</v>
      </c>
      <c r="L1235" s="15">
        <v>1</v>
      </c>
      <c r="M1235" s="12" t="s">
        <v>150</v>
      </c>
      <c r="N1235" s="12">
        <v>20</v>
      </c>
      <c r="O1235" s="12">
        <v>20</v>
      </c>
      <c r="P1235" s="12">
        <v>0</v>
      </c>
      <c r="Q1235" s="16">
        <v>20</v>
      </c>
      <c r="R1235" s="16">
        <v>0</v>
      </c>
      <c r="S1235" s="16"/>
      <c r="T1235" s="16" t="e">
        <v>#N/A</v>
      </c>
      <c r="U1235" s="16" t="e">
        <v>#N/A</v>
      </c>
    </row>
    <row r="1236" spans="1:21" x14ac:dyDescent="0.25">
      <c r="A1236" s="12" t="s">
        <v>21</v>
      </c>
      <c r="B1236" s="12" t="s">
        <v>1292</v>
      </c>
      <c r="C1236" s="12" t="s">
        <v>23</v>
      </c>
      <c r="D1236" s="15">
        <v>46269.281944444447</v>
      </c>
      <c r="E1236" s="12" t="s">
        <v>398</v>
      </c>
      <c r="F1236" s="12" t="s">
        <v>158</v>
      </c>
      <c r="G1236" s="12">
        <v>40</v>
      </c>
      <c r="H1236" s="12">
        <v>40</v>
      </c>
      <c r="I1236" s="14"/>
      <c r="J1236" s="14" t="s">
        <v>61</v>
      </c>
      <c r="K1236" s="12" t="s">
        <v>1312</v>
      </c>
      <c r="L1236" s="15">
        <v>1</v>
      </c>
      <c r="M1236" s="12" t="s">
        <v>150</v>
      </c>
      <c r="N1236" s="12">
        <v>40</v>
      </c>
      <c r="O1236" s="12">
        <v>40</v>
      </c>
      <c r="P1236" s="12">
        <v>0</v>
      </c>
      <c r="Q1236" s="16">
        <v>120</v>
      </c>
      <c r="R1236" s="16">
        <v>0</v>
      </c>
      <c r="S1236" s="16"/>
      <c r="T1236" s="16" t="e">
        <v>#N/A</v>
      </c>
      <c r="U1236" s="16" t="e">
        <v>#N/A</v>
      </c>
    </row>
    <row r="1237" spans="1:21" x14ac:dyDescent="0.25">
      <c r="A1237" s="12" t="s">
        <v>21</v>
      </c>
      <c r="B1237" s="12" t="s">
        <v>1292</v>
      </c>
      <c r="C1237" s="12" t="s">
        <v>23</v>
      </c>
      <c r="D1237" s="15">
        <v>46269.281944444447</v>
      </c>
      <c r="E1237" s="12" t="s">
        <v>398</v>
      </c>
      <c r="F1237" s="12" t="s">
        <v>245</v>
      </c>
      <c r="G1237" s="12">
        <v>100</v>
      </c>
      <c r="H1237" s="12">
        <v>100</v>
      </c>
      <c r="I1237" s="14"/>
      <c r="J1237" s="14" t="s">
        <v>61</v>
      </c>
      <c r="K1237" s="12" t="s">
        <v>1313</v>
      </c>
      <c r="L1237" s="15">
        <v>1</v>
      </c>
      <c r="M1237" s="12" t="s">
        <v>150</v>
      </c>
      <c r="N1237" s="12">
        <v>100</v>
      </c>
      <c r="O1237" s="12">
        <v>100</v>
      </c>
      <c r="P1237" s="12">
        <v>0</v>
      </c>
      <c r="Q1237" s="16">
        <v>100</v>
      </c>
      <c r="R1237" s="16">
        <v>0</v>
      </c>
      <c r="S1237" s="16"/>
      <c r="T1237" s="16" t="e">
        <v>#N/A</v>
      </c>
      <c r="U1237" s="16" t="e">
        <v>#N/A</v>
      </c>
    </row>
    <row r="1238" spans="1:21" x14ac:dyDescent="0.25">
      <c r="A1238" s="12" t="s">
        <v>21</v>
      </c>
      <c r="B1238" s="12" t="s">
        <v>1292</v>
      </c>
      <c r="C1238" s="12" t="s">
        <v>23</v>
      </c>
      <c r="D1238" s="15">
        <v>46269.281944444447</v>
      </c>
      <c r="E1238" s="12" t="s">
        <v>398</v>
      </c>
      <c r="F1238" s="12" t="s">
        <v>267</v>
      </c>
      <c r="G1238" s="12">
        <v>6</v>
      </c>
      <c r="H1238" s="12">
        <v>6</v>
      </c>
      <c r="I1238" s="14"/>
      <c r="J1238" s="14" t="s">
        <v>61</v>
      </c>
      <c r="K1238" s="12" t="s">
        <v>1314</v>
      </c>
      <c r="L1238" s="15">
        <v>1</v>
      </c>
      <c r="M1238" s="12" t="s">
        <v>150</v>
      </c>
      <c r="N1238" s="12">
        <v>6</v>
      </c>
      <c r="O1238" s="12">
        <v>6</v>
      </c>
      <c r="P1238" s="12">
        <v>0</v>
      </c>
      <c r="Q1238" s="16">
        <v>15</v>
      </c>
      <c r="R1238" s="16">
        <v>0</v>
      </c>
      <c r="S1238" s="16"/>
      <c r="T1238" s="16" t="e">
        <v>#N/A</v>
      </c>
      <c r="U1238" s="16" t="e">
        <v>#N/A</v>
      </c>
    </row>
    <row r="1239" spans="1:21" x14ac:dyDescent="0.25">
      <c r="A1239" s="12" t="s">
        <v>21</v>
      </c>
      <c r="B1239" s="12" t="s">
        <v>1292</v>
      </c>
      <c r="C1239" s="12" t="s">
        <v>23</v>
      </c>
      <c r="D1239" s="15">
        <v>46269.281944444447</v>
      </c>
      <c r="E1239" s="12" t="s">
        <v>398</v>
      </c>
      <c r="F1239" s="12" t="s">
        <v>373</v>
      </c>
      <c r="G1239" s="12">
        <v>9</v>
      </c>
      <c r="H1239" s="12">
        <v>9</v>
      </c>
      <c r="I1239" s="14"/>
      <c r="J1239" s="14" t="s">
        <v>61</v>
      </c>
      <c r="K1239" s="12" t="s">
        <v>1315</v>
      </c>
      <c r="L1239" s="15">
        <v>1</v>
      </c>
      <c r="M1239" s="12" t="s">
        <v>150</v>
      </c>
      <c r="N1239" s="12">
        <v>9</v>
      </c>
      <c r="O1239" s="12">
        <v>9</v>
      </c>
      <c r="P1239" s="12">
        <v>0</v>
      </c>
      <c r="Q1239" s="16">
        <v>15</v>
      </c>
      <c r="R1239" s="16">
        <v>2</v>
      </c>
      <c r="S1239" s="16"/>
      <c r="T1239" s="16" t="e">
        <v>#N/A</v>
      </c>
      <c r="U1239" s="16" t="e">
        <v>#N/A</v>
      </c>
    </row>
    <row r="1240" spans="1:21" x14ac:dyDescent="0.25">
      <c r="A1240" s="12" t="s">
        <v>21</v>
      </c>
      <c r="B1240" s="12" t="s">
        <v>1292</v>
      </c>
      <c r="C1240" s="12" t="s">
        <v>23</v>
      </c>
      <c r="D1240" s="15">
        <v>46269.281944444447</v>
      </c>
      <c r="E1240" s="12" t="s">
        <v>398</v>
      </c>
      <c r="F1240" s="12" t="s">
        <v>553</v>
      </c>
      <c r="G1240" s="12">
        <v>20</v>
      </c>
      <c r="H1240" s="12">
        <v>20</v>
      </c>
      <c r="I1240" s="14"/>
      <c r="J1240" s="14" t="s">
        <v>61</v>
      </c>
      <c r="K1240" s="12" t="s">
        <v>1316</v>
      </c>
      <c r="L1240" s="15">
        <v>1</v>
      </c>
      <c r="M1240" s="12" t="s">
        <v>150</v>
      </c>
      <c r="N1240" s="12">
        <v>20</v>
      </c>
      <c r="O1240" s="12">
        <v>20</v>
      </c>
      <c r="P1240" s="12">
        <v>0</v>
      </c>
      <c r="Q1240" s="16">
        <v>20</v>
      </c>
      <c r="R1240" s="16">
        <v>2</v>
      </c>
      <c r="S1240" s="16"/>
      <c r="T1240" s="16" t="e">
        <v>#N/A</v>
      </c>
      <c r="U1240" s="16" t="e">
        <v>#N/A</v>
      </c>
    </row>
    <row r="1241" spans="1:21" x14ac:dyDescent="0.25">
      <c r="A1241" s="12" t="s">
        <v>21</v>
      </c>
      <c r="B1241" s="12" t="s">
        <v>1292</v>
      </c>
      <c r="C1241" s="12" t="s">
        <v>23</v>
      </c>
      <c r="D1241" s="15">
        <v>46269.281944444447</v>
      </c>
      <c r="E1241" s="12" t="s">
        <v>398</v>
      </c>
      <c r="F1241" s="12" t="s">
        <v>283</v>
      </c>
      <c r="G1241" s="12">
        <v>28</v>
      </c>
      <c r="H1241" s="12">
        <v>28</v>
      </c>
      <c r="I1241" s="14"/>
      <c r="J1241" s="14" t="s">
        <v>61</v>
      </c>
      <c r="K1241" s="12" t="s">
        <v>1317</v>
      </c>
      <c r="L1241" s="15">
        <v>1</v>
      </c>
      <c r="M1241" s="12" t="s">
        <v>150</v>
      </c>
      <c r="N1241" s="12">
        <v>28</v>
      </c>
      <c r="O1241" s="12">
        <v>28</v>
      </c>
      <c r="P1241" s="12">
        <v>0</v>
      </c>
      <c r="Q1241" s="16">
        <v>28</v>
      </c>
      <c r="R1241" s="16">
        <v>0</v>
      </c>
      <c r="S1241" s="16"/>
      <c r="T1241" s="16" t="e">
        <v>#N/A</v>
      </c>
      <c r="U1241" s="16" t="e">
        <v>#N/A</v>
      </c>
    </row>
    <row r="1242" spans="1:21" x14ac:dyDescent="0.25">
      <c r="A1242" s="12" t="s">
        <v>21</v>
      </c>
      <c r="B1242" s="12" t="s">
        <v>1292</v>
      </c>
      <c r="C1242" s="12" t="s">
        <v>23</v>
      </c>
      <c r="D1242" s="15">
        <v>46269.281944444447</v>
      </c>
      <c r="E1242" s="12" t="s">
        <v>398</v>
      </c>
      <c r="F1242" s="12" t="s">
        <v>401</v>
      </c>
      <c r="G1242" s="12">
        <v>8</v>
      </c>
      <c r="H1242" s="12">
        <v>8</v>
      </c>
      <c r="I1242" s="14"/>
      <c r="J1242" s="14" t="s">
        <v>61</v>
      </c>
      <c r="K1242" s="12" t="s">
        <v>1318</v>
      </c>
      <c r="L1242" s="15">
        <v>1</v>
      </c>
      <c r="M1242" s="12" t="s">
        <v>150</v>
      </c>
      <c r="N1242" s="12">
        <v>8</v>
      </c>
      <c r="O1242" s="12">
        <v>8</v>
      </c>
      <c r="P1242" s="12">
        <v>0</v>
      </c>
      <c r="Q1242" s="16">
        <v>8</v>
      </c>
      <c r="R1242" s="16">
        <v>0</v>
      </c>
      <c r="S1242" s="16"/>
      <c r="T1242" s="16" t="e">
        <v>#N/A</v>
      </c>
      <c r="U1242" s="16" t="e">
        <v>#N/A</v>
      </c>
    </row>
    <row r="1243" spans="1:21" x14ac:dyDescent="0.25">
      <c r="A1243" s="12" t="s">
        <v>21</v>
      </c>
      <c r="B1243" s="12" t="s">
        <v>1292</v>
      </c>
      <c r="C1243" s="12" t="s">
        <v>23</v>
      </c>
      <c r="D1243" s="15">
        <v>46269.281944444447</v>
      </c>
      <c r="E1243" s="12" t="s">
        <v>398</v>
      </c>
      <c r="F1243" s="12" t="s">
        <v>201</v>
      </c>
      <c r="G1243" s="12">
        <v>32</v>
      </c>
      <c r="H1243" s="12">
        <v>32</v>
      </c>
      <c r="I1243" s="14"/>
      <c r="J1243" s="14" t="s">
        <v>61</v>
      </c>
      <c r="K1243" s="12" t="s">
        <v>1319</v>
      </c>
      <c r="L1243" s="15">
        <v>1</v>
      </c>
      <c r="M1243" s="12" t="s">
        <v>150</v>
      </c>
      <c r="N1243" s="12">
        <v>32</v>
      </c>
      <c r="O1243" s="12">
        <v>32</v>
      </c>
      <c r="P1243" s="12">
        <v>0</v>
      </c>
      <c r="Q1243" s="16">
        <v>52</v>
      </c>
      <c r="R1243" s="16">
        <v>0</v>
      </c>
      <c r="S1243" s="16"/>
      <c r="T1243" s="16" t="e">
        <v>#N/A</v>
      </c>
      <c r="U1243" s="16" t="e">
        <v>#N/A</v>
      </c>
    </row>
    <row r="1244" spans="1:21" x14ac:dyDescent="0.25">
      <c r="A1244" s="12" t="s">
        <v>21</v>
      </c>
      <c r="B1244" s="12" t="s">
        <v>1292</v>
      </c>
      <c r="C1244" s="12" t="s">
        <v>23</v>
      </c>
      <c r="D1244" s="15">
        <v>46269.281944444447</v>
      </c>
      <c r="E1244" s="12" t="s">
        <v>398</v>
      </c>
      <c r="F1244" s="12" t="s">
        <v>253</v>
      </c>
      <c r="G1244" s="12">
        <v>20</v>
      </c>
      <c r="H1244" s="12">
        <v>20</v>
      </c>
      <c r="I1244" s="14"/>
      <c r="J1244" s="14" t="s">
        <v>61</v>
      </c>
      <c r="K1244" s="12" t="s">
        <v>1320</v>
      </c>
      <c r="L1244" s="15">
        <v>1</v>
      </c>
      <c r="M1244" s="12" t="s">
        <v>150</v>
      </c>
      <c r="N1244" s="12">
        <v>20</v>
      </c>
      <c r="O1244" s="12">
        <v>20</v>
      </c>
      <c r="P1244" s="12">
        <v>0</v>
      </c>
      <c r="Q1244" s="16">
        <v>52</v>
      </c>
      <c r="R1244" s="16">
        <v>0</v>
      </c>
      <c r="S1244" s="16"/>
      <c r="T1244" s="16" t="e">
        <v>#N/A</v>
      </c>
      <c r="U1244" s="16" t="e">
        <v>#N/A</v>
      </c>
    </row>
    <row r="1245" spans="1:21" x14ac:dyDescent="0.25">
      <c r="A1245" s="12" t="s">
        <v>21</v>
      </c>
      <c r="B1245" s="12" t="s">
        <v>1292</v>
      </c>
      <c r="C1245" s="12" t="s">
        <v>23</v>
      </c>
      <c r="D1245" s="15">
        <v>46269.281944444447</v>
      </c>
      <c r="E1245" s="12" t="s">
        <v>398</v>
      </c>
      <c r="F1245" s="12" t="s">
        <v>134</v>
      </c>
      <c r="G1245" s="12">
        <v>100</v>
      </c>
      <c r="H1245" s="12">
        <v>100</v>
      </c>
      <c r="I1245" s="14"/>
      <c r="J1245" s="14" t="s">
        <v>61</v>
      </c>
      <c r="K1245" s="12" t="s">
        <v>1321</v>
      </c>
      <c r="L1245" s="15">
        <v>1</v>
      </c>
      <c r="M1245" s="12" t="s">
        <v>150</v>
      </c>
      <c r="N1245" s="12">
        <v>100</v>
      </c>
      <c r="O1245" s="12">
        <v>100</v>
      </c>
      <c r="P1245" s="12">
        <v>0</v>
      </c>
      <c r="Q1245" s="16">
        <v>100</v>
      </c>
      <c r="R1245" s="16">
        <v>6</v>
      </c>
      <c r="S1245" s="16"/>
      <c r="T1245" s="16" t="e">
        <v>#N/A</v>
      </c>
      <c r="U1245" s="16" t="e">
        <v>#N/A</v>
      </c>
    </row>
    <row r="1246" spans="1:21" x14ac:dyDescent="0.25">
      <c r="A1246" s="12" t="s">
        <v>21</v>
      </c>
      <c r="B1246" s="12" t="s">
        <v>1322</v>
      </c>
      <c r="C1246" s="12" t="s">
        <v>23</v>
      </c>
      <c r="D1246" s="15">
        <v>46269.305231481485</v>
      </c>
      <c r="E1246" s="12" t="s">
        <v>24</v>
      </c>
      <c r="F1246" s="12" t="s">
        <v>118</v>
      </c>
      <c r="G1246" s="12">
        <v>5</v>
      </c>
      <c r="H1246" s="12">
        <v>5</v>
      </c>
      <c r="I1246" s="14"/>
      <c r="J1246" s="14" t="s">
        <v>61</v>
      </c>
      <c r="K1246" s="12" t="s">
        <v>1326</v>
      </c>
      <c r="L1246" s="15">
        <v>1</v>
      </c>
      <c r="M1246" s="12" t="s">
        <v>150</v>
      </c>
      <c r="N1246" s="12">
        <v>5</v>
      </c>
      <c r="O1246" s="12">
        <v>5</v>
      </c>
      <c r="P1246" s="12">
        <v>0</v>
      </c>
      <c r="Q1246" s="16">
        <v>5</v>
      </c>
      <c r="R1246" s="16">
        <v>0</v>
      </c>
      <c r="S1246" s="16"/>
      <c r="T1246" s="16" t="e">
        <v>#N/A</v>
      </c>
      <c r="U1246" s="16" t="e">
        <v>#N/A</v>
      </c>
    </row>
    <row r="1247" spans="1:21" x14ac:dyDescent="0.25">
      <c r="A1247" s="12" t="s">
        <v>21</v>
      </c>
      <c r="B1247" s="12" t="s">
        <v>1322</v>
      </c>
      <c r="C1247" s="12" t="s">
        <v>23</v>
      </c>
      <c r="D1247" s="15">
        <v>46269.305231481485</v>
      </c>
      <c r="E1247" s="12" t="s">
        <v>24</v>
      </c>
      <c r="F1247" s="12" t="s">
        <v>1323</v>
      </c>
      <c r="G1247" s="12">
        <v>6</v>
      </c>
      <c r="H1247" s="12">
        <v>6</v>
      </c>
      <c r="I1247" s="14"/>
      <c r="J1247" s="14" t="s">
        <v>61</v>
      </c>
      <c r="K1247" s="12" t="s">
        <v>1327</v>
      </c>
      <c r="L1247" s="15">
        <v>1</v>
      </c>
      <c r="M1247" s="12" t="s">
        <v>150</v>
      </c>
      <c r="N1247" s="12">
        <v>6</v>
      </c>
      <c r="O1247" s="12">
        <v>6</v>
      </c>
      <c r="P1247" s="12">
        <v>0</v>
      </c>
      <c r="Q1247" s="16">
        <v>6</v>
      </c>
      <c r="R1247" s="16">
        <v>0</v>
      </c>
      <c r="S1247" s="16"/>
      <c r="T1247" s="16" t="e">
        <v>#N/A</v>
      </c>
      <c r="U1247" s="16" t="e">
        <v>#N/A</v>
      </c>
    </row>
    <row r="1248" spans="1:21" x14ac:dyDescent="0.25">
      <c r="A1248" s="12" t="s">
        <v>21</v>
      </c>
      <c r="B1248" s="12" t="s">
        <v>1322</v>
      </c>
      <c r="C1248" s="12" t="s">
        <v>23</v>
      </c>
      <c r="D1248" s="15">
        <v>46269.305231481485</v>
      </c>
      <c r="E1248" s="12" t="s">
        <v>24</v>
      </c>
      <c r="F1248" s="12" t="s">
        <v>1324</v>
      </c>
      <c r="G1248" s="12">
        <v>5</v>
      </c>
      <c r="H1248" s="12">
        <v>5</v>
      </c>
      <c r="I1248" s="14"/>
      <c r="J1248" s="14" t="s">
        <v>61</v>
      </c>
      <c r="K1248" s="12" t="s">
        <v>1328</v>
      </c>
      <c r="L1248" s="15">
        <v>1</v>
      </c>
      <c r="M1248" s="12" t="s">
        <v>150</v>
      </c>
      <c r="N1248" s="12">
        <v>5</v>
      </c>
      <c r="O1248" s="12">
        <v>5</v>
      </c>
      <c r="P1248" s="12">
        <v>0</v>
      </c>
      <c r="Q1248" s="16">
        <v>5</v>
      </c>
      <c r="R1248" s="16">
        <v>0</v>
      </c>
      <c r="S1248" s="16"/>
      <c r="T1248" s="16" t="e">
        <v>#N/A</v>
      </c>
      <c r="U1248" s="16" t="e">
        <v>#N/A</v>
      </c>
    </row>
    <row r="1249" spans="1:21" x14ac:dyDescent="0.25">
      <c r="A1249" s="12" t="s">
        <v>21</v>
      </c>
      <c r="B1249" s="12" t="s">
        <v>1322</v>
      </c>
      <c r="C1249" s="12" t="s">
        <v>23</v>
      </c>
      <c r="D1249" s="15">
        <v>46269.305231481485</v>
      </c>
      <c r="E1249" s="12" t="s">
        <v>24</v>
      </c>
      <c r="F1249" s="12" t="s">
        <v>1325</v>
      </c>
      <c r="G1249" s="12">
        <v>5</v>
      </c>
      <c r="H1249" s="12">
        <v>5</v>
      </c>
      <c r="I1249" s="14"/>
      <c r="J1249" s="14" t="s">
        <v>61</v>
      </c>
      <c r="K1249" s="12" t="s">
        <v>1329</v>
      </c>
      <c r="L1249" s="15">
        <v>1</v>
      </c>
      <c r="M1249" s="12" t="s">
        <v>150</v>
      </c>
      <c r="N1249" s="12">
        <v>5</v>
      </c>
      <c r="O1249" s="12">
        <v>5</v>
      </c>
      <c r="P1249" s="12">
        <v>0</v>
      </c>
      <c r="Q1249" s="16">
        <v>5</v>
      </c>
      <c r="R1249" s="16">
        <v>0</v>
      </c>
      <c r="S1249" s="16"/>
      <c r="T1249" s="16" t="e">
        <v>#N/A</v>
      </c>
      <c r="U1249" s="16" t="e">
        <v>#N/A</v>
      </c>
    </row>
    <row r="1250" spans="1:21" x14ac:dyDescent="0.25">
      <c r="A1250" s="12" t="s">
        <v>21</v>
      </c>
      <c r="B1250" s="12" t="s">
        <v>1322</v>
      </c>
      <c r="C1250" s="12" t="s">
        <v>23</v>
      </c>
      <c r="D1250" s="15">
        <v>46269.305231481485</v>
      </c>
      <c r="E1250" s="12" t="s">
        <v>24</v>
      </c>
      <c r="F1250" s="12" t="s">
        <v>1330</v>
      </c>
      <c r="G1250" s="12">
        <v>1</v>
      </c>
      <c r="H1250" s="12">
        <v>1</v>
      </c>
      <c r="I1250" s="14"/>
      <c r="J1250" s="14" t="s">
        <v>61</v>
      </c>
      <c r="K1250" s="12" t="s">
        <v>1331</v>
      </c>
      <c r="L1250" s="15">
        <v>1</v>
      </c>
      <c r="M1250" s="12" t="s">
        <v>150</v>
      </c>
      <c r="N1250" s="12">
        <v>1</v>
      </c>
      <c r="O1250" s="12">
        <v>1</v>
      </c>
      <c r="P1250" s="12">
        <v>0</v>
      </c>
      <c r="Q1250" s="16">
        <v>1</v>
      </c>
      <c r="R1250" s="16">
        <v>0</v>
      </c>
      <c r="S1250" s="16"/>
      <c r="T1250" s="16" t="e">
        <v>#N/A</v>
      </c>
      <c r="U1250" s="16" t="e">
        <v>#N/A</v>
      </c>
    </row>
    <row r="1251" spans="1:21" x14ac:dyDescent="0.25">
      <c r="A1251" s="12" t="s">
        <v>21</v>
      </c>
      <c r="B1251" s="12" t="s">
        <v>1332</v>
      </c>
      <c r="C1251" s="12" t="s">
        <v>23</v>
      </c>
      <c r="D1251" s="15">
        <v>46269.364016203705</v>
      </c>
      <c r="E1251" s="12" t="s">
        <v>266</v>
      </c>
      <c r="F1251" s="12" t="s">
        <v>157</v>
      </c>
      <c r="G1251" s="12">
        <v>16</v>
      </c>
      <c r="H1251" s="12">
        <v>16</v>
      </c>
      <c r="I1251" s="14"/>
      <c r="J1251" s="14" t="s">
        <v>26</v>
      </c>
      <c r="K1251" s="12" t="s">
        <v>27</v>
      </c>
      <c r="L1251" s="15"/>
      <c r="M1251" s="12" t="s">
        <v>28</v>
      </c>
      <c r="N1251" s="12"/>
      <c r="O1251" s="12"/>
      <c r="P1251" s="12"/>
      <c r="Q1251" s="16">
        <v>0</v>
      </c>
      <c r="R1251" s="16">
        <v>0</v>
      </c>
      <c r="S1251" s="16"/>
      <c r="T1251" s="16" t="e">
        <v>#N/A</v>
      </c>
      <c r="U1251" s="16" t="e">
        <v>#N/A</v>
      </c>
    </row>
    <row r="1252" spans="1:21" x14ac:dyDescent="0.25">
      <c r="A1252" s="12" t="s">
        <v>21</v>
      </c>
      <c r="B1252" s="12" t="s">
        <v>1332</v>
      </c>
      <c r="C1252" s="12" t="s">
        <v>23</v>
      </c>
      <c r="D1252" s="15">
        <v>46269.364016203705</v>
      </c>
      <c r="E1252" s="12" t="s">
        <v>266</v>
      </c>
      <c r="F1252" s="12" t="s">
        <v>412</v>
      </c>
      <c r="G1252" s="12">
        <v>10</v>
      </c>
      <c r="H1252" s="12">
        <v>10</v>
      </c>
      <c r="I1252" s="14"/>
      <c r="J1252" s="14" t="s">
        <v>26</v>
      </c>
      <c r="K1252" s="12" t="s">
        <v>27</v>
      </c>
      <c r="L1252" s="15"/>
      <c r="M1252" s="12" t="s">
        <v>28</v>
      </c>
      <c r="N1252" s="12"/>
      <c r="O1252" s="12"/>
      <c r="P1252" s="12"/>
      <c r="Q1252" s="16">
        <v>0</v>
      </c>
      <c r="R1252" s="16">
        <v>0</v>
      </c>
      <c r="S1252" s="16"/>
      <c r="T1252" s="16" t="e">
        <v>#N/A</v>
      </c>
      <c r="U1252" s="16" t="e">
        <v>#N/A</v>
      </c>
    </row>
    <row r="1253" spans="1:21" x14ac:dyDescent="0.25">
      <c r="A1253" s="12" t="s">
        <v>21</v>
      </c>
      <c r="B1253" s="12" t="s">
        <v>1332</v>
      </c>
      <c r="C1253" s="12" t="s">
        <v>23</v>
      </c>
      <c r="D1253" s="15">
        <v>46269.364016203705</v>
      </c>
      <c r="E1253" s="12" t="s">
        <v>266</v>
      </c>
      <c r="F1253" s="12" t="s">
        <v>523</v>
      </c>
      <c r="G1253" s="12">
        <v>6</v>
      </c>
      <c r="H1253" s="12">
        <v>6</v>
      </c>
      <c r="I1253" s="14"/>
      <c r="J1253" s="14" t="s">
        <v>26</v>
      </c>
      <c r="K1253" s="12" t="s">
        <v>27</v>
      </c>
      <c r="L1253" s="15"/>
      <c r="M1253" s="12" t="s">
        <v>28</v>
      </c>
      <c r="N1253" s="12"/>
      <c r="O1253" s="12"/>
      <c r="P1253" s="12"/>
      <c r="Q1253" s="16">
        <v>0</v>
      </c>
      <c r="R1253" s="16">
        <v>3</v>
      </c>
      <c r="S1253" s="16"/>
      <c r="T1253" s="16" t="e">
        <v>#N/A</v>
      </c>
      <c r="U1253" s="16" t="e">
        <v>#N/A</v>
      </c>
    </row>
    <row r="1254" spans="1:21" x14ac:dyDescent="0.25">
      <c r="A1254" s="12" t="s">
        <v>21</v>
      </c>
      <c r="B1254" s="12" t="s">
        <v>1332</v>
      </c>
      <c r="C1254" s="12" t="s">
        <v>23</v>
      </c>
      <c r="D1254" s="15">
        <v>46269.364016203705</v>
      </c>
      <c r="E1254" s="12" t="s">
        <v>266</v>
      </c>
      <c r="F1254" s="12" t="s">
        <v>1258</v>
      </c>
      <c r="G1254" s="12">
        <v>10</v>
      </c>
      <c r="H1254" s="12">
        <v>10</v>
      </c>
      <c r="I1254" s="14"/>
      <c r="J1254" s="14" t="s">
        <v>26</v>
      </c>
      <c r="K1254" s="12" t="s">
        <v>27</v>
      </c>
      <c r="L1254" s="15"/>
      <c r="M1254" s="12" t="s">
        <v>28</v>
      </c>
      <c r="N1254" s="12"/>
      <c r="O1254" s="12"/>
      <c r="P1254" s="12"/>
      <c r="Q1254" s="16">
        <v>0</v>
      </c>
      <c r="R1254" s="16">
        <v>2</v>
      </c>
      <c r="S1254" s="16"/>
      <c r="T1254" s="16" t="e">
        <v>#N/A</v>
      </c>
      <c r="U1254" s="16" t="e">
        <v>#N/A</v>
      </c>
    </row>
    <row r="1255" spans="1:21" x14ac:dyDescent="0.25">
      <c r="A1255" s="12" t="s">
        <v>21</v>
      </c>
      <c r="B1255" s="12" t="s">
        <v>1332</v>
      </c>
      <c r="C1255" s="12" t="s">
        <v>23</v>
      </c>
      <c r="D1255" s="15">
        <v>46269.364016203705</v>
      </c>
      <c r="E1255" s="12" t="s">
        <v>266</v>
      </c>
      <c r="F1255" s="12" t="s">
        <v>159</v>
      </c>
      <c r="G1255" s="12">
        <v>24</v>
      </c>
      <c r="H1255" s="12">
        <v>24</v>
      </c>
      <c r="I1255" s="14"/>
      <c r="J1255" s="14" t="s">
        <v>26</v>
      </c>
      <c r="K1255" s="12" t="s">
        <v>27</v>
      </c>
      <c r="L1255" s="15"/>
      <c r="M1255" s="12" t="s">
        <v>28</v>
      </c>
      <c r="N1255" s="12"/>
      <c r="O1255" s="12"/>
      <c r="P1255" s="12"/>
      <c r="Q1255" s="16">
        <v>0</v>
      </c>
      <c r="R1255" s="16">
        <v>0</v>
      </c>
      <c r="S1255" s="16"/>
      <c r="T1255" s="16" t="e">
        <v>#N/A</v>
      </c>
      <c r="U1255" s="16" t="e">
        <v>#N/A</v>
      </c>
    </row>
    <row r="1256" spans="1:21" x14ac:dyDescent="0.25">
      <c r="A1256" s="12" t="s">
        <v>21</v>
      </c>
      <c r="B1256" s="12" t="s">
        <v>1332</v>
      </c>
      <c r="C1256" s="12" t="s">
        <v>23</v>
      </c>
      <c r="D1256" s="15">
        <v>46269.364016203705</v>
      </c>
      <c r="E1256" s="12" t="s">
        <v>266</v>
      </c>
      <c r="F1256" s="12" t="s">
        <v>160</v>
      </c>
      <c r="G1256" s="12">
        <v>40</v>
      </c>
      <c r="H1256" s="12">
        <v>40</v>
      </c>
      <c r="I1256" s="14"/>
      <c r="J1256" s="14" t="s">
        <v>26</v>
      </c>
      <c r="K1256" s="12" t="s">
        <v>27</v>
      </c>
      <c r="L1256" s="15"/>
      <c r="M1256" s="12" t="s">
        <v>28</v>
      </c>
      <c r="N1256" s="12"/>
      <c r="O1256" s="12"/>
      <c r="P1256" s="12"/>
      <c r="Q1256" s="16">
        <v>0</v>
      </c>
      <c r="R1256" s="16">
        <v>0</v>
      </c>
      <c r="S1256" s="16"/>
      <c r="T1256" s="16" t="e">
        <v>#N/A</v>
      </c>
      <c r="U1256" s="16" t="e">
        <v>#N/A</v>
      </c>
    </row>
    <row r="1257" spans="1:21" x14ac:dyDescent="0.25">
      <c r="A1257" s="12" t="s">
        <v>21</v>
      </c>
      <c r="B1257" s="12" t="s">
        <v>1332</v>
      </c>
      <c r="C1257" s="12" t="s">
        <v>23</v>
      </c>
      <c r="D1257" s="15">
        <v>46269.364016203705</v>
      </c>
      <c r="E1257" s="12" t="s">
        <v>266</v>
      </c>
      <c r="F1257" s="12" t="s">
        <v>413</v>
      </c>
      <c r="G1257" s="12">
        <v>8</v>
      </c>
      <c r="H1257" s="12">
        <v>8</v>
      </c>
      <c r="I1257" s="14"/>
      <c r="J1257" s="14" t="s">
        <v>26</v>
      </c>
      <c r="K1257" s="12" t="s">
        <v>27</v>
      </c>
      <c r="L1257" s="15"/>
      <c r="M1257" s="12" t="s">
        <v>28</v>
      </c>
      <c r="N1257" s="12"/>
      <c r="O1257" s="12"/>
      <c r="P1257" s="12"/>
      <c r="Q1257" s="16">
        <v>0</v>
      </c>
      <c r="R1257" s="16">
        <v>5</v>
      </c>
      <c r="S1257" s="16"/>
      <c r="T1257" s="16" t="e">
        <v>#N/A</v>
      </c>
      <c r="U1257" s="16" t="e">
        <v>#N/A</v>
      </c>
    </row>
    <row r="1258" spans="1:21" x14ac:dyDescent="0.25">
      <c r="A1258" s="12" t="s">
        <v>21</v>
      </c>
      <c r="B1258" s="12" t="s">
        <v>1332</v>
      </c>
      <c r="C1258" s="12" t="s">
        <v>23</v>
      </c>
      <c r="D1258" s="15">
        <v>46269.364016203705</v>
      </c>
      <c r="E1258" s="12" t="s">
        <v>266</v>
      </c>
      <c r="F1258" s="12" t="s">
        <v>373</v>
      </c>
      <c r="G1258" s="12">
        <v>18</v>
      </c>
      <c r="H1258" s="12">
        <v>18</v>
      </c>
      <c r="I1258" s="14"/>
      <c r="J1258" s="14" t="s">
        <v>26</v>
      </c>
      <c r="K1258" s="12" t="s">
        <v>27</v>
      </c>
      <c r="L1258" s="15"/>
      <c r="M1258" s="12" t="s">
        <v>28</v>
      </c>
      <c r="N1258" s="12"/>
      <c r="O1258" s="12"/>
      <c r="P1258" s="12"/>
      <c r="Q1258" s="16">
        <v>0</v>
      </c>
      <c r="R1258" s="16">
        <v>2</v>
      </c>
      <c r="S1258" s="16"/>
      <c r="T1258" s="16" t="e">
        <v>#N/A</v>
      </c>
      <c r="U1258" s="16" t="e">
        <v>#N/A</v>
      </c>
    </row>
    <row r="1259" spans="1:21" x14ac:dyDescent="0.25">
      <c r="A1259" s="12" t="s">
        <v>21</v>
      </c>
      <c r="B1259" s="12" t="s">
        <v>1332</v>
      </c>
      <c r="C1259" s="12" t="s">
        <v>23</v>
      </c>
      <c r="D1259" s="15">
        <v>46269.364016203705</v>
      </c>
      <c r="E1259" s="12" t="s">
        <v>266</v>
      </c>
      <c r="F1259" s="12" t="s">
        <v>70</v>
      </c>
      <c r="G1259" s="12">
        <v>50</v>
      </c>
      <c r="H1259" s="12">
        <v>50</v>
      </c>
      <c r="I1259" s="14"/>
      <c r="J1259" s="14" t="s">
        <v>26</v>
      </c>
      <c r="K1259" s="12" t="s">
        <v>27</v>
      </c>
      <c r="L1259" s="15"/>
      <c r="M1259" s="12" t="s">
        <v>28</v>
      </c>
      <c r="N1259" s="12"/>
      <c r="O1259" s="12"/>
      <c r="P1259" s="12"/>
      <c r="Q1259" s="16">
        <v>0</v>
      </c>
      <c r="R1259" s="16">
        <v>0</v>
      </c>
      <c r="S1259" s="16"/>
      <c r="T1259" s="16" t="e">
        <v>#N/A</v>
      </c>
      <c r="U1259" s="16" t="e">
        <v>#N/A</v>
      </c>
    </row>
    <row r="1260" spans="1:21" x14ac:dyDescent="0.25">
      <c r="A1260" s="12" t="s">
        <v>21</v>
      </c>
      <c r="B1260" s="12" t="s">
        <v>1332</v>
      </c>
      <c r="C1260" s="12" t="s">
        <v>23</v>
      </c>
      <c r="D1260" s="15">
        <v>46269.364016203705</v>
      </c>
      <c r="E1260" s="12" t="s">
        <v>266</v>
      </c>
      <c r="F1260" s="12" t="s">
        <v>617</v>
      </c>
      <c r="G1260" s="12">
        <v>10</v>
      </c>
      <c r="H1260" s="12">
        <v>10</v>
      </c>
      <c r="I1260" s="14"/>
      <c r="J1260" s="14" t="s">
        <v>26</v>
      </c>
      <c r="K1260" s="12" t="s">
        <v>27</v>
      </c>
      <c r="L1260" s="15"/>
      <c r="M1260" s="12" t="s">
        <v>28</v>
      </c>
      <c r="N1260" s="12"/>
      <c r="O1260" s="12"/>
      <c r="P1260" s="12"/>
      <c r="Q1260" s="16">
        <v>0</v>
      </c>
      <c r="R1260" s="16">
        <v>0</v>
      </c>
      <c r="S1260" s="16"/>
      <c r="T1260" s="16" t="e">
        <v>#N/A</v>
      </c>
      <c r="U1260" s="16" t="e">
        <v>#N/A</v>
      </c>
    </row>
    <row r="1261" spans="1:21" x14ac:dyDescent="0.25">
      <c r="A1261" s="12" t="s">
        <v>21</v>
      </c>
      <c r="B1261" s="12" t="s">
        <v>1332</v>
      </c>
      <c r="C1261" s="12" t="s">
        <v>23</v>
      </c>
      <c r="D1261" s="15">
        <v>46269.364016203705</v>
      </c>
      <c r="E1261" s="12" t="s">
        <v>266</v>
      </c>
      <c r="F1261" s="12" t="s">
        <v>1333</v>
      </c>
      <c r="G1261" s="12">
        <v>40</v>
      </c>
      <c r="H1261" s="12">
        <v>40</v>
      </c>
      <c r="I1261" s="14"/>
      <c r="J1261" s="14" t="s">
        <v>26</v>
      </c>
      <c r="K1261" s="12" t="s">
        <v>27</v>
      </c>
      <c r="L1261" s="15"/>
      <c r="M1261" s="12" t="s">
        <v>28</v>
      </c>
      <c r="N1261" s="12"/>
      <c r="O1261" s="12"/>
      <c r="P1261" s="12"/>
      <c r="Q1261" s="16">
        <v>0</v>
      </c>
      <c r="R1261" s="16">
        <v>0</v>
      </c>
      <c r="S1261" s="16">
        <v>29</v>
      </c>
      <c r="T1261" s="16" t="e">
        <v>#N/A</v>
      </c>
      <c r="U1261" s="16" t="e">
        <v>#N/A</v>
      </c>
    </row>
    <row r="1262" spans="1:21" x14ac:dyDescent="0.25">
      <c r="A1262" s="12" t="s">
        <v>21</v>
      </c>
      <c r="B1262" s="12" t="s">
        <v>1332</v>
      </c>
      <c r="C1262" s="12" t="s">
        <v>23</v>
      </c>
      <c r="D1262" s="15">
        <v>46269.364016203705</v>
      </c>
      <c r="E1262" s="12" t="s">
        <v>266</v>
      </c>
      <c r="F1262" s="12" t="s">
        <v>71</v>
      </c>
      <c r="G1262" s="12">
        <v>100</v>
      </c>
      <c r="H1262" s="12">
        <v>100</v>
      </c>
      <c r="I1262" s="14"/>
      <c r="J1262" s="14" t="s">
        <v>26</v>
      </c>
      <c r="K1262" s="12" t="s">
        <v>27</v>
      </c>
      <c r="L1262" s="15"/>
      <c r="M1262" s="12" t="s">
        <v>28</v>
      </c>
      <c r="N1262" s="12"/>
      <c r="O1262" s="12"/>
      <c r="P1262" s="12"/>
      <c r="Q1262" s="16">
        <v>0</v>
      </c>
      <c r="R1262" s="16">
        <v>0</v>
      </c>
      <c r="S1262" s="16"/>
      <c r="T1262" s="16" t="e">
        <v>#N/A</v>
      </c>
      <c r="U1262" s="16" t="e">
        <v>#N/A</v>
      </c>
    </row>
    <row r="1263" spans="1:21" x14ac:dyDescent="0.25">
      <c r="A1263" s="12" t="s">
        <v>21</v>
      </c>
      <c r="B1263" s="12" t="s">
        <v>1332</v>
      </c>
      <c r="C1263" s="12" t="s">
        <v>23</v>
      </c>
      <c r="D1263" s="15">
        <v>46269.364016203705</v>
      </c>
      <c r="E1263" s="12" t="s">
        <v>266</v>
      </c>
      <c r="F1263" s="12" t="s">
        <v>283</v>
      </c>
      <c r="G1263" s="12">
        <v>40</v>
      </c>
      <c r="H1263" s="12">
        <v>40</v>
      </c>
      <c r="I1263" s="14"/>
      <c r="J1263" s="14" t="s">
        <v>26</v>
      </c>
      <c r="K1263" s="12" t="s">
        <v>1334</v>
      </c>
      <c r="L1263" s="15">
        <v>1</v>
      </c>
      <c r="M1263" s="12" t="s">
        <v>150</v>
      </c>
      <c r="N1263" s="12">
        <v>40</v>
      </c>
      <c r="O1263" s="12">
        <v>40</v>
      </c>
      <c r="P1263" s="12">
        <v>0</v>
      </c>
      <c r="Q1263" s="16">
        <v>0</v>
      </c>
      <c r="R1263" s="16">
        <v>0</v>
      </c>
      <c r="S1263" s="16"/>
      <c r="T1263" s="16" t="e">
        <v>#N/A</v>
      </c>
      <c r="U1263" s="16" t="e">
        <v>#N/A</v>
      </c>
    </row>
    <row r="1264" spans="1:21" x14ac:dyDescent="0.25">
      <c r="A1264" s="12" t="s">
        <v>21</v>
      </c>
      <c r="B1264" s="12" t="s">
        <v>1332</v>
      </c>
      <c r="C1264" s="12" t="s">
        <v>23</v>
      </c>
      <c r="D1264" s="15">
        <v>46269.364016203705</v>
      </c>
      <c r="E1264" s="12" t="s">
        <v>266</v>
      </c>
      <c r="F1264" s="12" t="s">
        <v>1335</v>
      </c>
      <c r="G1264" s="12">
        <v>15</v>
      </c>
      <c r="H1264" s="12">
        <v>15</v>
      </c>
      <c r="I1264" s="14"/>
      <c r="J1264" s="14" t="s">
        <v>26</v>
      </c>
      <c r="K1264" s="12" t="s">
        <v>27</v>
      </c>
      <c r="L1264" s="15"/>
      <c r="M1264" s="12" t="s">
        <v>28</v>
      </c>
      <c r="N1264" s="12"/>
      <c r="O1264" s="12"/>
      <c r="P1264" s="12"/>
      <c r="Q1264" s="16">
        <v>0</v>
      </c>
      <c r="R1264" s="16">
        <v>0</v>
      </c>
      <c r="S1264" s="16"/>
      <c r="T1264" s="16" t="e">
        <v>#N/A</v>
      </c>
      <c r="U1264" s="16" t="e">
        <v>#N/A</v>
      </c>
    </row>
    <row r="1265" spans="1:21" x14ac:dyDescent="0.25">
      <c r="A1265" s="12" t="s">
        <v>21</v>
      </c>
      <c r="B1265" s="12" t="s">
        <v>1332</v>
      </c>
      <c r="C1265" s="12" t="s">
        <v>23</v>
      </c>
      <c r="D1265" s="15">
        <v>46269.364016203705</v>
      </c>
      <c r="E1265" s="12" t="s">
        <v>266</v>
      </c>
      <c r="F1265" s="12" t="s">
        <v>525</v>
      </c>
      <c r="G1265" s="12">
        <v>60</v>
      </c>
      <c r="H1265" s="12">
        <v>60</v>
      </c>
      <c r="I1265" s="14"/>
      <c r="J1265" s="14" t="s">
        <v>26</v>
      </c>
      <c r="K1265" s="12" t="s">
        <v>27</v>
      </c>
      <c r="L1265" s="15"/>
      <c r="M1265" s="12" t="s">
        <v>28</v>
      </c>
      <c r="N1265" s="12"/>
      <c r="O1265" s="12"/>
      <c r="P1265" s="12"/>
      <c r="Q1265" s="16">
        <v>0</v>
      </c>
      <c r="R1265" s="16">
        <v>0</v>
      </c>
      <c r="S1265" s="16"/>
      <c r="T1265" s="16" t="e">
        <v>#N/A</v>
      </c>
      <c r="U1265" s="16" t="e">
        <v>#N/A</v>
      </c>
    </row>
    <row r="1266" spans="1:21" x14ac:dyDescent="0.25">
      <c r="A1266" s="12" t="s">
        <v>21</v>
      </c>
      <c r="B1266" s="12" t="s">
        <v>1332</v>
      </c>
      <c r="C1266" s="12" t="s">
        <v>23</v>
      </c>
      <c r="D1266" s="15">
        <v>46269.364016203705</v>
      </c>
      <c r="E1266" s="12" t="s">
        <v>266</v>
      </c>
      <c r="F1266" s="12" t="s">
        <v>1259</v>
      </c>
      <c r="G1266" s="12">
        <v>6</v>
      </c>
      <c r="H1266" s="12">
        <v>6</v>
      </c>
      <c r="I1266" s="14"/>
      <c r="J1266" s="14" t="s">
        <v>26</v>
      </c>
      <c r="K1266" s="12" t="s">
        <v>27</v>
      </c>
      <c r="L1266" s="15"/>
      <c r="M1266" s="12" t="s">
        <v>28</v>
      </c>
      <c r="N1266" s="12"/>
      <c r="O1266" s="12"/>
      <c r="P1266" s="12"/>
      <c r="Q1266" s="16">
        <v>0</v>
      </c>
      <c r="R1266" s="16">
        <v>0</v>
      </c>
      <c r="S1266" s="16"/>
      <c r="T1266" s="16" t="e">
        <v>#N/A</v>
      </c>
      <c r="U1266" s="16" t="e">
        <v>#N/A</v>
      </c>
    </row>
    <row r="1267" spans="1:21" x14ac:dyDescent="0.25">
      <c r="A1267" s="12" t="s">
        <v>21</v>
      </c>
      <c r="B1267" s="12" t="s">
        <v>1332</v>
      </c>
      <c r="C1267" s="12" t="s">
        <v>23</v>
      </c>
      <c r="D1267" s="15">
        <v>46269.364016203705</v>
      </c>
      <c r="E1267" s="12" t="s">
        <v>266</v>
      </c>
      <c r="F1267" s="12" t="s">
        <v>259</v>
      </c>
      <c r="G1267" s="12">
        <v>50</v>
      </c>
      <c r="H1267" s="12">
        <v>50</v>
      </c>
      <c r="I1267" s="14"/>
      <c r="J1267" s="14" t="s">
        <v>26</v>
      </c>
      <c r="K1267" s="12" t="s">
        <v>27</v>
      </c>
      <c r="L1267" s="15"/>
      <c r="M1267" s="12" t="s">
        <v>28</v>
      </c>
      <c r="N1267" s="12"/>
      <c r="O1267" s="12"/>
      <c r="P1267" s="12"/>
      <c r="Q1267" s="16">
        <v>0</v>
      </c>
      <c r="R1267" s="16">
        <v>4</v>
      </c>
      <c r="S1267" s="16"/>
      <c r="T1267" s="16" t="e">
        <v>#N/A</v>
      </c>
      <c r="U1267" s="16" t="e">
        <v>#N/A</v>
      </c>
    </row>
    <row r="1268" spans="1:21" x14ac:dyDescent="0.25">
      <c r="A1268" s="12" t="s">
        <v>21</v>
      </c>
      <c r="B1268" s="12" t="s">
        <v>1332</v>
      </c>
      <c r="C1268" s="12" t="s">
        <v>23</v>
      </c>
      <c r="D1268" s="15">
        <v>46269.364016203705</v>
      </c>
      <c r="E1268" s="12" t="s">
        <v>266</v>
      </c>
      <c r="F1268" s="12" t="s">
        <v>201</v>
      </c>
      <c r="G1268" s="12">
        <v>50</v>
      </c>
      <c r="H1268" s="12">
        <v>50</v>
      </c>
      <c r="I1268" s="14"/>
      <c r="J1268" s="14" t="s">
        <v>26</v>
      </c>
      <c r="K1268" s="12" t="s">
        <v>27</v>
      </c>
      <c r="L1268" s="15"/>
      <c r="M1268" s="12" t="s">
        <v>28</v>
      </c>
      <c r="N1268" s="12"/>
      <c r="O1268" s="12"/>
      <c r="P1268" s="12"/>
      <c r="Q1268" s="16">
        <v>0</v>
      </c>
      <c r="R1268" s="16">
        <v>0</v>
      </c>
      <c r="S1268" s="16"/>
      <c r="T1268" s="16" t="e">
        <v>#N/A</v>
      </c>
      <c r="U1268" s="16" t="e">
        <v>#N/A</v>
      </c>
    </row>
    <row r="1269" spans="1:21" x14ac:dyDescent="0.25">
      <c r="A1269" s="12" t="s">
        <v>21</v>
      </c>
      <c r="B1269" s="12" t="s">
        <v>1332</v>
      </c>
      <c r="C1269" s="12" t="s">
        <v>23</v>
      </c>
      <c r="D1269" s="15">
        <v>46269.364016203705</v>
      </c>
      <c r="E1269" s="12" t="s">
        <v>266</v>
      </c>
      <c r="F1269" s="12" t="s">
        <v>443</v>
      </c>
      <c r="G1269" s="12">
        <v>8</v>
      </c>
      <c r="H1269" s="12">
        <v>8</v>
      </c>
      <c r="I1269" s="14"/>
      <c r="J1269" s="14" t="s">
        <v>26</v>
      </c>
      <c r="K1269" s="12" t="s">
        <v>27</v>
      </c>
      <c r="L1269" s="15"/>
      <c r="M1269" s="12" t="s">
        <v>28</v>
      </c>
      <c r="N1269" s="12"/>
      <c r="O1269" s="12"/>
      <c r="P1269" s="12"/>
      <c r="Q1269" s="16">
        <v>0</v>
      </c>
      <c r="R1269" s="16">
        <v>0</v>
      </c>
      <c r="S1269" s="16"/>
      <c r="T1269" s="16" t="e">
        <v>#N/A</v>
      </c>
      <c r="U1269" s="16" t="e">
        <v>#N/A</v>
      </c>
    </row>
    <row r="1270" spans="1:21" x14ac:dyDescent="0.25">
      <c r="A1270" s="12" t="s">
        <v>21</v>
      </c>
      <c r="B1270" s="12" t="s">
        <v>1332</v>
      </c>
      <c r="C1270" s="12" t="s">
        <v>23</v>
      </c>
      <c r="D1270" s="15">
        <v>46269.364016203705</v>
      </c>
      <c r="E1270" s="12" t="s">
        <v>266</v>
      </c>
      <c r="F1270" s="12" t="s">
        <v>1096</v>
      </c>
      <c r="G1270" s="12">
        <v>25</v>
      </c>
      <c r="H1270" s="12">
        <v>25</v>
      </c>
      <c r="I1270" s="14"/>
      <c r="J1270" s="14" t="s">
        <v>26</v>
      </c>
      <c r="K1270" s="12" t="s">
        <v>1336</v>
      </c>
      <c r="L1270" s="15">
        <v>1</v>
      </c>
      <c r="M1270" s="12" t="s">
        <v>150</v>
      </c>
      <c r="N1270" s="12">
        <v>25</v>
      </c>
      <c r="O1270" s="12">
        <v>25</v>
      </c>
      <c r="P1270" s="12">
        <v>0</v>
      </c>
      <c r="Q1270" s="16">
        <v>0</v>
      </c>
      <c r="R1270" s="16">
        <v>0</v>
      </c>
      <c r="S1270" s="16"/>
      <c r="T1270" s="16" t="e">
        <v>#N/A</v>
      </c>
      <c r="U1270" s="16" t="e">
        <v>#N/A</v>
      </c>
    </row>
    <row r="1271" spans="1:21" x14ac:dyDescent="0.25">
      <c r="A1271" s="12" t="s">
        <v>21</v>
      </c>
      <c r="B1271" s="12" t="s">
        <v>1337</v>
      </c>
      <c r="C1271" s="12" t="s">
        <v>23</v>
      </c>
      <c r="D1271" s="15">
        <v>46269.368587962963</v>
      </c>
      <c r="E1271" s="12" t="s">
        <v>522</v>
      </c>
      <c r="F1271" s="12" t="s">
        <v>357</v>
      </c>
      <c r="G1271" s="12">
        <v>10</v>
      </c>
      <c r="H1271" s="12">
        <v>10</v>
      </c>
      <c r="I1271" s="14"/>
      <c r="J1271" s="14" t="s">
        <v>61</v>
      </c>
      <c r="K1271" s="12" t="s">
        <v>1338</v>
      </c>
      <c r="L1271" s="15">
        <v>1</v>
      </c>
      <c r="M1271" s="12" t="s">
        <v>150</v>
      </c>
      <c r="N1271" s="12">
        <v>10</v>
      </c>
      <c r="O1271" s="12">
        <v>10</v>
      </c>
      <c r="P1271" s="12">
        <v>0</v>
      </c>
      <c r="Q1271" s="16">
        <v>10</v>
      </c>
      <c r="R1271" s="16">
        <v>0</v>
      </c>
      <c r="S1271" s="16"/>
      <c r="T1271" s="16" t="e">
        <v>#N/A</v>
      </c>
      <c r="U1271" s="16" t="e">
        <v>#N/A</v>
      </c>
    </row>
    <row r="1272" spans="1:21" x14ac:dyDescent="0.25">
      <c r="A1272" s="12" t="s">
        <v>21</v>
      </c>
      <c r="B1272" s="12" t="s">
        <v>1339</v>
      </c>
      <c r="C1272" s="12" t="s">
        <v>23</v>
      </c>
      <c r="D1272" s="15">
        <v>46269.394733796296</v>
      </c>
      <c r="E1272" s="12" t="s">
        <v>266</v>
      </c>
      <c r="F1272" s="12" t="s">
        <v>478</v>
      </c>
      <c r="G1272" s="12">
        <v>15</v>
      </c>
      <c r="H1272" s="12">
        <v>15</v>
      </c>
      <c r="I1272" s="14"/>
      <c r="J1272" s="14" t="s">
        <v>26</v>
      </c>
      <c r="K1272" s="12" t="s">
        <v>27</v>
      </c>
      <c r="L1272" s="15"/>
      <c r="M1272" s="12" t="s">
        <v>28</v>
      </c>
      <c r="N1272" s="12"/>
      <c r="O1272" s="12"/>
      <c r="P1272" s="12"/>
      <c r="Q1272" s="16">
        <v>0</v>
      </c>
      <c r="R1272" s="16">
        <v>0</v>
      </c>
      <c r="S1272" s="16"/>
      <c r="T1272" s="16" t="e">
        <v>#N/A</v>
      </c>
      <c r="U1272" s="16" t="e">
        <v>#N/A</v>
      </c>
    </row>
    <row r="1273" spans="1:21" x14ac:dyDescent="0.25">
      <c r="A1273" s="12" t="s">
        <v>21</v>
      </c>
      <c r="B1273" s="12" t="s">
        <v>1339</v>
      </c>
      <c r="C1273" s="12" t="s">
        <v>23</v>
      </c>
      <c r="D1273" s="15">
        <v>46269.394733796296</v>
      </c>
      <c r="E1273" s="12" t="s">
        <v>266</v>
      </c>
      <c r="F1273" s="12" t="s">
        <v>289</v>
      </c>
      <c r="G1273" s="12">
        <v>12</v>
      </c>
      <c r="H1273" s="12">
        <v>12</v>
      </c>
      <c r="I1273" s="14"/>
      <c r="J1273" s="14" t="s">
        <v>61</v>
      </c>
      <c r="K1273" s="12" t="s">
        <v>1356</v>
      </c>
      <c r="L1273" s="15">
        <v>1</v>
      </c>
      <c r="M1273" s="12" t="s">
        <v>150</v>
      </c>
      <c r="N1273" s="12">
        <v>12</v>
      </c>
      <c r="O1273" s="12">
        <v>12</v>
      </c>
      <c r="P1273" s="12">
        <v>0</v>
      </c>
      <c r="Q1273" s="16">
        <v>12</v>
      </c>
      <c r="R1273" s="16">
        <v>0</v>
      </c>
      <c r="S1273" s="16"/>
      <c r="T1273" s="16" t="e">
        <v>#N/A</v>
      </c>
      <c r="U1273" s="16" t="e">
        <v>#N/A</v>
      </c>
    </row>
    <row r="1274" spans="1:21" x14ac:dyDescent="0.25">
      <c r="A1274" s="12" t="s">
        <v>21</v>
      </c>
      <c r="B1274" s="12" t="s">
        <v>1339</v>
      </c>
      <c r="C1274" s="12" t="s">
        <v>23</v>
      </c>
      <c r="D1274" s="15">
        <v>46269.394733796296</v>
      </c>
      <c r="E1274" s="12" t="s">
        <v>266</v>
      </c>
      <c r="F1274" s="12" t="s">
        <v>290</v>
      </c>
      <c r="G1274" s="12">
        <v>16</v>
      </c>
      <c r="H1274" s="12">
        <v>16</v>
      </c>
      <c r="I1274" s="14"/>
      <c r="J1274" s="14" t="s">
        <v>26</v>
      </c>
      <c r="K1274" s="12" t="s">
        <v>27</v>
      </c>
      <c r="L1274" s="15"/>
      <c r="M1274" s="12" t="s">
        <v>28</v>
      </c>
      <c r="N1274" s="12"/>
      <c r="O1274" s="12"/>
      <c r="P1274" s="12"/>
      <c r="Q1274" s="16">
        <v>0</v>
      </c>
      <c r="R1274" s="16">
        <v>0</v>
      </c>
      <c r="S1274" s="16"/>
      <c r="T1274" s="16" t="e">
        <v>#N/A</v>
      </c>
      <c r="U1274" s="16" t="e">
        <v>#N/A</v>
      </c>
    </row>
    <row r="1275" spans="1:21" x14ac:dyDescent="0.25">
      <c r="A1275" s="12" t="s">
        <v>21</v>
      </c>
      <c r="B1275" s="12" t="s">
        <v>1339</v>
      </c>
      <c r="C1275" s="12" t="s">
        <v>23</v>
      </c>
      <c r="D1275" s="15">
        <v>46269.394733796296</v>
      </c>
      <c r="E1275" s="12" t="s">
        <v>266</v>
      </c>
      <c r="F1275" s="12" t="s">
        <v>1343</v>
      </c>
      <c r="G1275" s="12">
        <v>2</v>
      </c>
      <c r="H1275" s="12">
        <v>2</v>
      </c>
      <c r="I1275" s="14"/>
      <c r="J1275" s="14" t="s">
        <v>26</v>
      </c>
      <c r="K1275" s="12" t="s">
        <v>27</v>
      </c>
      <c r="L1275" s="15"/>
      <c r="M1275" s="12" t="s">
        <v>28</v>
      </c>
      <c r="N1275" s="12"/>
      <c r="O1275" s="12"/>
      <c r="P1275" s="12"/>
      <c r="Q1275" s="16">
        <v>0</v>
      </c>
      <c r="R1275" s="16">
        <v>0</v>
      </c>
      <c r="S1275" s="16"/>
      <c r="T1275" s="16" t="e">
        <v>#N/A</v>
      </c>
      <c r="U1275" s="16" t="e">
        <v>#N/A</v>
      </c>
    </row>
    <row r="1276" spans="1:21" x14ac:dyDescent="0.25">
      <c r="A1276" s="12" t="s">
        <v>21</v>
      </c>
      <c r="B1276" s="12" t="s">
        <v>1339</v>
      </c>
      <c r="C1276" s="12" t="s">
        <v>23</v>
      </c>
      <c r="D1276" s="15">
        <v>46269.394733796296</v>
      </c>
      <c r="E1276" s="12" t="s">
        <v>266</v>
      </c>
      <c r="F1276" s="12" t="s">
        <v>1344</v>
      </c>
      <c r="G1276" s="12">
        <v>40</v>
      </c>
      <c r="H1276" s="12">
        <v>40</v>
      </c>
      <c r="I1276" s="14"/>
      <c r="J1276" s="14" t="s">
        <v>26</v>
      </c>
      <c r="K1276" s="12" t="s">
        <v>27</v>
      </c>
      <c r="L1276" s="15"/>
      <c r="M1276" s="12" t="s">
        <v>28</v>
      </c>
      <c r="N1276" s="12"/>
      <c r="O1276" s="12"/>
      <c r="P1276" s="12"/>
      <c r="Q1276" s="16">
        <v>0</v>
      </c>
      <c r="R1276" s="16">
        <v>0</v>
      </c>
      <c r="S1276" s="16"/>
      <c r="T1276" s="16" t="e">
        <v>#N/A</v>
      </c>
      <c r="U1276" s="16" t="e">
        <v>#N/A</v>
      </c>
    </row>
    <row r="1277" spans="1:21" x14ac:dyDescent="0.25">
      <c r="A1277" s="12" t="s">
        <v>21</v>
      </c>
      <c r="B1277" s="12" t="s">
        <v>1339</v>
      </c>
      <c r="C1277" s="12" t="s">
        <v>23</v>
      </c>
      <c r="D1277" s="15">
        <v>46269.394733796296</v>
      </c>
      <c r="E1277" s="12" t="s">
        <v>266</v>
      </c>
      <c r="F1277" s="12" t="s">
        <v>1345</v>
      </c>
      <c r="G1277" s="12">
        <v>6</v>
      </c>
      <c r="H1277" s="12">
        <v>6</v>
      </c>
      <c r="I1277" s="14"/>
      <c r="J1277" s="14" t="s">
        <v>26</v>
      </c>
      <c r="K1277" s="12" t="s">
        <v>27</v>
      </c>
      <c r="L1277" s="15"/>
      <c r="M1277" s="12" t="s">
        <v>28</v>
      </c>
      <c r="N1277" s="12"/>
      <c r="O1277" s="12"/>
      <c r="P1277" s="12"/>
      <c r="Q1277" s="16">
        <v>0</v>
      </c>
      <c r="R1277" s="16">
        <v>0</v>
      </c>
      <c r="S1277" s="16"/>
      <c r="T1277" s="16" t="e">
        <v>#N/A</v>
      </c>
      <c r="U1277" s="16" t="e">
        <v>#N/A</v>
      </c>
    </row>
    <row r="1278" spans="1:21" x14ac:dyDescent="0.25">
      <c r="A1278" s="12" t="s">
        <v>21</v>
      </c>
      <c r="B1278" s="12" t="s">
        <v>1339</v>
      </c>
      <c r="C1278" s="12" t="s">
        <v>23</v>
      </c>
      <c r="D1278" s="15">
        <v>46269.394733796296</v>
      </c>
      <c r="E1278" s="12" t="s">
        <v>266</v>
      </c>
      <c r="F1278" s="12" t="s">
        <v>1199</v>
      </c>
      <c r="G1278" s="12">
        <v>6</v>
      </c>
      <c r="H1278" s="12">
        <v>6</v>
      </c>
      <c r="I1278" s="14"/>
      <c r="J1278" s="14" t="s">
        <v>26</v>
      </c>
      <c r="K1278" s="12" t="s">
        <v>27</v>
      </c>
      <c r="L1278" s="15"/>
      <c r="M1278" s="12" t="s">
        <v>28</v>
      </c>
      <c r="N1278" s="12"/>
      <c r="O1278" s="12"/>
      <c r="P1278" s="12"/>
      <c r="Q1278" s="16">
        <v>0</v>
      </c>
      <c r="R1278" s="16">
        <v>0</v>
      </c>
      <c r="S1278" s="16"/>
      <c r="T1278" s="16" t="e">
        <v>#N/A</v>
      </c>
      <c r="U1278" s="16" t="e">
        <v>#N/A</v>
      </c>
    </row>
    <row r="1279" spans="1:21" x14ac:dyDescent="0.25">
      <c r="A1279" s="12" t="s">
        <v>21</v>
      </c>
      <c r="B1279" s="12" t="s">
        <v>1339</v>
      </c>
      <c r="C1279" s="12" t="s">
        <v>23</v>
      </c>
      <c r="D1279" s="15">
        <v>46269.394733796296</v>
      </c>
      <c r="E1279" s="12" t="s">
        <v>266</v>
      </c>
      <c r="F1279" s="12" t="s">
        <v>1200</v>
      </c>
      <c r="G1279" s="12">
        <v>4</v>
      </c>
      <c r="H1279" s="12">
        <v>4</v>
      </c>
      <c r="I1279" s="14"/>
      <c r="J1279" s="14" t="s">
        <v>61</v>
      </c>
      <c r="K1279" s="12" t="s">
        <v>1357</v>
      </c>
      <c r="L1279" s="15">
        <v>1</v>
      </c>
      <c r="M1279" s="12" t="s">
        <v>150</v>
      </c>
      <c r="N1279" s="12">
        <v>4</v>
      </c>
      <c r="O1279" s="12">
        <v>4</v>
      </c>
      <c r="P1279" s="12">
        <v>0</v>
      </c>
      <c r="Q1279" s="16">
        <v>4</v>
      </c>
      <c r="R1279" s="16">
        <v>0</v>
      </c>
      <c r="S1279" s="16"/>
      <c r="T1279" s="16" t="e">
        <v>#N/A</v>
      </c>
      <c r="U1279" s="16" t="e">
        <v>#N/A</v>
      </c>
    </row>
    <row r="1280" spans="1:21" x14ac:dyDescent="0.25">
      <c r="A1280" s="12" t="s">
        <v>21</v>
      </c>
      <c r="B1280" s="12" t="s">
        <v>1339</v>
      </c>
      <c r="C1280" s="12" t="s">
        <v>23</v>
      </c>
      <c r="D1280" s="15">
        <v>46269.394733796296</v>
      </c>
      <c r="E1280" s="12" t="s">
        <v>266</v>
      </c>
      <c r="F1280" s="12" t="s">
        <v>1004</v>
      </c>
      <c r="G1280" s="12">
        <v>12</v>
      </c>
      <c r="H1280" s="12">
        <v>12</v>
      </c>
      <c r="I1280" s="14"/>
      <c r="J1280" s="14" t="s">
        <v>61</v>
      </c>
      <c r="K1280" s="12" t="s">
        <v>1358</v>
      </c>
      <c r="L1280" s="15">
        <v>1</v>
      </c>
      <c r="M1280" s="12" t="s">
        <v>150</v>
      </c>
      <c r="N1280" s="12">
        <v>12</v>
      </c>
      <c r="O1280" s="12">
        <v>12</v>
      </c>
      <c r="P1280" s="12">
        <v>0</v>
      </c>
      <c r="Q1280" s="16">
        <v>12</v>
      </c>
      <c r="R1280" s="16">
        <v>0</v>
      </c>
      <c r="S1280" s="16"/>
      <c r="T1280" s="16" t="e">
        <v>#N/A</v>
      </c>
      <c r="U1280" s="16" t="e">
        <v>#N/A</v>
      </c>
    </row>
    <row r="1281" spans="1:21" x14ac:dyDescent="0.25">
      <c r="A1281" s="12" t="s">
        <v>21</v>
      </c>
      <c r="B1281" s="12" t="s">
        <v>1339</v>
      </c>
      <c r="C1281" s="12" t="s">
        <v>23</v>
      </c>
      <c r="D1281" s="15">
        <v>46269.394733796296</v>
      </c>
      <c r="E1281" s="12" t="s">
        <v>266</v>
      </c>
      <c r="F1281" s="12" t="s">
        <v>1346</v>
      </c>
      <c r="G1281" s="12">
        <v>8</v>
      </c>
      <c r="H1281" s="12">
        <v>8</v>
      </c>
      <c r="I1281" s="14"/>
      <c r="J1281" s="14" t="s">
        <v>26</v>
      </c>
      <c r="K1281" s="12" t="s">
        <v>27</v>
      </c>
      <c r="L1281" s="15"/>
      <c r="M1281" s="12" t="s">
        <v>28</v>
      </c>
      <c r="N1281" s="12"/>
      <c r="O1281" s="12"/>
      <c r="P1281" s="12"/>
      <c r="Q1281" s="16">
        <v>0</v>
      </c>
      <c r="R1281" s="16">
        <v>0</v>
      </c>
      <c r="S1281" s="16"/>
      <c r="T1281" s="16" t="e">
        <v>#N/A</v>
      </c>
      <c r="U1281" s="16" t="e">
        <v>#N/A</v>
      </c>
    </row>
    <row r="1282" spans="1:21" x14ac:dyDescent="0.25">
      <c r="A1282" s="12" t="s">
        <v>21</v>
      </c>
      <c r="B1282" s="12" t="s">
        <v>1339</v>
      </c>
      <c r="C1282" s="12" t="s">
        <v>23</v>
      </c>
      <c r="D1282" s="15">
        <v>46269.394733796296</v>
      </c>
      <c r="E1282" s="12" t="s">
        <v>266</v>
      </c>
      <c r="F1282" s="12" t="s">
        <v>1347</v>
      </c>
      <c r="G1282" s="12">
        <v>16</v>
      </c>
      <c r="H1282" s="12">
        <v>16</v>
      </c>
      <c r="I1282" s="14"/>
      <c r="J1282" s="14" t="s">
        <v>26</v>
      </c>
      <c r="K1282" s="12" t="s">
        <v>27</v>
      </c>
      <c r="L1282" s="15"/>
      <c r="M1282" s="12" t="s">
        <v>28</v>
      </c>
      <c r="N1282" s="12"/>
      <c r="O1282" s="12"/>
      <c r="P1282" s="12"/>
      <c r="Q1282" s="16">
        <v>0</v>
      </c>
      <c r="R1282" s="16">
        <v>0</v>
      </c>
      <c r="S1282" s="16"/>
      <c r="T1282" s="16" t="e">
        <v>#N/A</v>
      </c>
      <c r="U1282" s="16" t="e">
        <v>#N/A</v>
      </c>
    </row>
    <row r="1283" spans="1:21" x14ac:dyDescent="0.25">
      <c r="A1283" s="12" t="s">
        <v>21</v>
      </c>
      <c r="B1283" s="12" t="s">
        <v>1339</v>
      </c>
      <c r="C1283" s="12" t="s">
        <v>23</v>
      </c>
      <c r="D1283" s="15">
        <v>46269.394733796296</v>
      </c>
      <c r="E1283" s="12" t="s">
        <v>266</v>
      </c>
      <c r="F1283" s="12" t="s">
        <v>1088</v>
      </c>
      <c r="G1283" s="12">
        <v>16</v>
      </c>
      <c r="H1283" s="12">
        <v>16</v>
      </c>
      <c r="I1283" s="14"/>
      <c r="J1283" s="14" t="s">
        <v>61</v>
      </c>
      <c r="K1283" s="12" t="s">
        <v>1359</v>
      </c>
      <c r="L1283" s="15">
        <v>1</v>
      </c>
      <c r="M1283" s="12" t="s">
        <v>150</v>
      </c>
      <c r="N1283" s="12">
        <v>16</v>
      </c>
      <c r="O1283" s="12">
        <v>16</v>
      </c>
      <c r="P1283" s="12">
        <v>0</v>
      </c>
      <c r="Q1283" s="16">
        <v>16</v>
      </c>
      <c r="R1283" s="16">
        <v>0</v>
      </c>
      <c r="S1283" s="16"/>
      <c r="T1283" s="16" t="e">
        <v>#N/A</v>
      </c>
      <c r="U1283" s="16" t="e">
        <v>#N/A</v>
      </c>
    </row>
    <row r="1284" spans="1:21" x14ac:dyDescent="0.25">
      <c r="A1284" s="12" t="s">
        <v>21</v>
      </c>
      <c r="B1284" s="12" t="s">
        <v>1339</v>
      </c>
      <c r="C1284" s="12" t="s">
        <v>23</v>
      </c>
      <c r="D1284" s="15">
        <v>46269.394733796296</v>
      </c>
      <c r="E1284" s="12" t="s">
        <v>266</v>
      </c>
      <c r="F1284" s="12" t="s">
        <v>1348</v>
      </c>
      <c r="G1284" s="12">
        <v>10</v>
      </c>
      <c r="H1284" s="12">
        <v>10</v>
      </c>
      <c r="I1284" s="14"/>
      <c r="J1284" s="14" t="s">
        <v>26</v>
      </c>
      <c r="K1284" s="12" t="s">
        <v>27</v>
      </c>
      <c r="L1284" s="15"/>
      <c r="M1284" s="12" t="s">
        <v>28</v>
      </c>
      <c r="N1284" s="12"/>
      <c r="O1284" s="12"/>
      <c r="P1284" s="12"/>
      <c r="Q1284" s="16">
        <v>0</v>
      </c>
      <c r="R1284" s="16">
        <v>0</v>
      </c>
      <c r="S1284" s="16"/>
      <c r="T1284" s="16" t="e">
        <v>#N/A</v>
      </c>
      <c r="U1284" s="16" t="e">
        <v>#N/A</v>
      </c>
    </row>
    <row r="1285" spans="1:21" x14ac:dyDescent="0.25">
      <c r="A1285" s="12" t="s">
        <v>21</v>
      </c>
      <c r="B1285" s="12" t="s">
        <v>1339</v>
      </c>
      <c r="C1285" s="12" t="s">
        <v>23</v>
      </c>
      <c r="D1285" s="15">
        <v>46269.394733796296</v>
      </c>
      <c r="E1285" s="12" t="s">
        <v>266</v>
      </c>
      <c r="F1285" s="12" t="s">
        <v>1349</v>
      </c>
      <c r="G1285" s="12">
        <v>4</v>
      </c>
      <c r="H1285" s="12">
        <v>4</v>
      </c>
      <c r="I1285" s="14"/>
      <c r="J1285" s="14" t="s">
        <v>61</v>
      </c>
      <c r="K1285" s="12" t="s">
        <v>1360</v>
      </c>
      <c r="L1285" s="15">
        <v>1</v>
      </c>
      <c r="M1285" s="12" t="s">
        <v>150</v>
      </c>
      <c r="N1285" s="12">
        <v>4</v>
      </c>
      <c r="O1285" s="12">
        <v>4</v>
      </c>
      <c r="P1285" s="12">
        <v>0</v>
      </c>
      <c r="Q1285" s="16">
        <v>4</v>
      </c>
      <c r="R1285" s="16">
        <v>0</v>
      </c>
      <c r="S1285" s="16"/>
      <c r="T1285" s="16" t="e">
        <v>#N/A</v>
      </c>
      <c r="U1285" s="16" t="e">
        <v>#N/A</v>
      </c>
    </row>
    <row r="1286" spans="1:21" x14ac:dyDescent="0.25">
      <c r="A1286" s="12" t="s">
        <v>21</v>
      </c>
      <c r="B1286" s="12" t="s">
        <v>1339</v>
      </c>
      <c r="C1286" s="12" t="s">
        <v>23</v>
      </c>
      <c r="D1286" s="15">
        <v>46269.394733796296</v>
      </c>
      <c r="E1286" s="12" t="s">
        <v>266</v>
      </c>
      <c r="F1286" s="12" t="s">
        <v>1350</v>
      </c>
      <c r="G1286" s="12">
        <v>5</v>
      </c>
      <c r="H1286" s="12">
        <v>5</v>
      </c>
      <c r="I1286" s="14"/>
      <c r="J1286" s="14" t="s">
        <v>61</v>
      </c>
      <c r="K1286" s="12" t="s">
        <v>1361</v>
      </c>
      <c r="L1286" s="15">
        <v>1</v>
      </c>
      <c r="M1286" s="12" t="s">
        <v>150</v>
      </c>
      <c r="N1286" s="12">
        <v>5</v>
      </c>
      <c r="O1286" s="12">
        <v>5</v>
      </c>
      <c r="P1286" s="12">
        <v>0</v>
      </c>
      <c r="Q1286" s="16">
        <v>5</v>
      </c>
      <c r="R1286" s="16">
        <v>0</v>
      </c>
      <c r="S1286" s="16"/>
      <c r="T1286" s="16" t="e">
        <v>#N/A</v>
      </c>
      <c r="U1286" s="16" t="e">
        <v>#N/A</v>
      </c>
    </row>
    <row r="1287" spans="1:21" x14ac:dyDescent="0.25">
      <c r="A1287" s="12" t="s">
        <v>21</v>
      </c>
      <c r="B1287" s="12" t="s">
        <v>1339</v>
      </c>
      <c r="C1287" s="12" t="s">
        <v>23</v>
      </c>
      <c r="D1287" s="15">
        <v>46269.394733796296</v>
      </c>
      <c r="E1287" s="12" t="s">
        <v>266</v>
      </c>
      <c r="F1287" s="12" t="s">
        <v>1351</v>
      </c>
      <c r="G1287" s="12">
        <v>1</v>
      </c>
      <c r="H1287" s="12">
        <v>1</v>
      </c>
      <c r="I1287" s="14"/>
      <c r="J1287" s="14" t="s">
        <v>61</v>
      </c>
      <c r="K1287" s="12" t="s">
        <v>1362</v>
      </c>
      <c r="L1287" s="15">
        <v>1</v>
      </c>
      <c r="M1287" s="12" t="s">
        <v>150</v>
      </c>
      <c r="N1287" s="12">
        <v>1</v>
      </c>
      <c r="O1287" s="12">
        <v>1</v>
      </c>
      <c r="P1287" s="12">
        <v>0</v>
      </c>
      <c r="Q1287" s="16">
        <v>1</v>
      </c>
      <c r="R1287" s="16">
        <v>0</v>
      </c>
      <c r="S1287" s="16"/>
      <c r="T1287" s="16" t="e">
        <v>#N/A</v>
      </c>
      <c r="U1287" s="16" t="e">
        <v>#N/A</v>
      </c>
    </row>
    <row r="1288" spans="1:21" x14ac:dyDescent="0.25">
      <c r="A1288" s="12" t="s">
        <v>21</v>
      </c>
      <c r="B1288" s="12" t="s">
        <v>1339</v>
      </c>
      <c r="C1288" s="12" t="s">
        <v>23</v>
      </c>
      <c r="D1288" s="15">
        <v>46269.394733796296</v>
      </c>
      <c r="E1288" s="12" t="s">
        <v>266</v>
      </c>
      <c r="F1288" s="12" t="s">
        <v>293</v>
      </c>
      <c r="G1288" s="12">
        <v>30</v>
      </c>
      <c r="H1288" s="12">
        <v>30</v>
      </c>
      <c r="I1288" s="14"/>
      <c r="J1288" s="14" t="s">
        <v>26</v>
      </c>
      <c r="K1288" s="12" t="s">
        <v>27</v>
      </c>
      <c r="L1288" s="15"/>
      <c r="M1288" s="12" t="s">
        <v>28</v>
      </c>
      <c r="N1288" s="12"/>
      <c r="O1288" s="12"/>
      <c r="P1288" s="12"/>
      <c r="Q1288" s="16">
        <v>0</v>
      </c>
      <c r="R1288" s="16">
        <v>0</v>
      </c>
      <c r="S1288" s="16"/>
      <c r="T1288" s="16" t="e">
        <v>#N/A</v>
      </c>
      <c r="U1288" s="16" t="e">
        <v>#N/A</v>
      </c>
    </row>
    <row r="1289" spans="1:21" x14ac:dyDescent="0.25">
      <c r="A1289" s="12" t="s">
        <v>21</v>
      </c>
      <c r="B1289" s="12" t="s">
        <v>1339</v>
      </c>
      <c r="C1289" s="12" t="s">
        <v>23</v>
      </c>
      <c r="D1289" s="15">
        <v>46269.394733796296</v>
      </c>
      <c r="E1289" s="12" t="s">
        <v>266</v>
      </c>
      <c r="F1289" s="12" t="s">
        <v>1352</v>
      </c>
      <c r="G1289" s="12">
        <v>6</v>
      </c>
      <c r="H1289" s="12">
        <v>6</v>
      </c>
      <c r="I1289" s="14"/>
      <c r="J1289" s="14" t="s">
        <v>61</v>
      </c>
      <c r="K1289" s="12" t="s">
        <v>1363</v>
      </c>
      <c r="L1289" s="15">
        <v>1</v>
      </c>
      <c r="M1289" s="12" t="s">
        <v>150</v>
      </c>
      <c r="N1289" s="12">
        <v>6</v>
      </c>
      <c r="O1289" s="12">
        <v>6</v>
      </c>
      <c r="P1289" s="12">
        <v>0</v>
      </c>
      <c r="Q1289" s="16">
        <v>6</v>
      </c>
      <c r="R1289" s="16">
        <v>0</v>
      </c>
      <c r="S1289" s="16"/>
      <c r="T1289" s="16" t="e">
        <v>#N/A</v>
      </c>
      <c r="U1289" s="16" t="e">
        <v>#N/A</v>
      </c>
    </row>
    <row r="1290" spans="1:21" x14ac:dyDescent="0.25">
      <c r="A1290" s="12" t="s">
        <v>21</v>
      </c>
      <c r="B1290" s="12" t="s">
        <v>1339</v>
      </c>
      <c r="C1290" s="12" t="s">
        <v>23</v>
      </c>
      <c r="D1290" s="15">
        <v>46269.394733796296</v>
      </c>
      <c r="E1290" s="12" t="s">
        <v>266</v>
      </c>
      <c r="F1290" s="12" t="s">
        <v>481</v>
      </c>
      <c r="G1290" s="12">
        <v>6</v>
      </c>
      <c r="H1290" s="12">
        <v>6</v>
      </c>
      <c r="I1290" s="14"/>
      <c r="J1290" s="14" t="s">
        <v>61</v>
      </c>
      <c r="K1290" s="12" t="s">
        <v>1364</v>
      </c>
      <c r="L1290" s="15">
        <v>1</v>
      </c>
      <c r="M1290" s="12" t="s">
        <v>150</v>
      </c>
      <c r="N1290" s="12">
        <v>6</v>
      </c>
      <c r="O1290" s="12">
        <v>6</v>
      </c>
      <c r="P1290" s="12">
        <v>0</v>
      </c>
      <c r="Q1290" s="16">
        <v>6</v>
      </c>
      <c r="R1290" s="16">
        <v>0</v>
      </c>
      <c r="S1290" s="16"/>
      <c r="T1290" s="16" t="e">
        <v>#N/A</v>
      </c>
      <c r="U1290" s="16" t="e">
        <v>#N/A</v>
      </c>
    </row>
    <row r="1291" spans="1:21" x14ac:dyDescent="0.25">
      <c r="A1291" s="12" t="s">
        <v>21</v>
      </c>
      <c r="B1291" s="12" t="s">
        <v>1339</v>
      </c>
      <c r="C1291" s="12" t="s">
        <v>23</v>
      </c>
      <c r="D1291" s="15">
        <v>46269.394733796296</v>
      </c>
      <c r="E1291" s="12" t="s">
        <v>266</v>
      </c>
      <c r="F1291" s="12" t="s">
        <v>1091</v>
      </c>
      <c r="G1291" s="12">
        <v>8</v>
      </c>
      <c r="H1291" s="12">
        <v>8</v>
      </c>
      <c r="I1291" s="14"/>
      <c r="J1291" s="14" t="s">
        <v>61</v>
      </c>
      <c r="K1291" s="12" t="s">
        <v>1365</v>
      </c>
      <c r="L1291" s="15">
        <v>1</v>
      </c>
      <c r="M1291" s="12" t="s">
        <v>150</v>
      </c>
      <c r="N1291" s="12">
        <v>8</v>
      </c>
      <c r="O1291" s="12">
        <v>8</v>
      </c>
      <c r="P1291" s="12">
        <v>0</v>
      </c>
      <c r="Q1291" s="16">
        <v>8</v>
      </c>
      <c r="R1291" s="16">
        <v>0</v>
      </c>
      <c r="S1291" s="16"/>
      <c r="T1291" s="16" t="e">
        <v>#N/A</v>
      </c>
      <c r="U1291" s="16" t="e">
        <v>#N/A</v>
      </c>
    </row>
    <row r="1292" spans="1:21" x14ac:dyDescent="0.25">
      <c r="A1292" s="12" t="s">
        <v>21</v>
      </c>
      <c r="B1292" s="12" t="s">
        <v>1339</v>
      </c>
      <c r="C1292" s="12" t="s">
        <v>23</v>
      </c>
      <c r="D1292" s="15">
        <v>46269.394733796296</v>
      </c>
      <c r="E1292" s="12" t="s">
        <v>266</v>
      </c>
      <c r="F1292" s="12" t="s">
        <v>1353</v>
      </c>
      <c r="G1292" s="12">
        <v>8</v>
      </c>
      <c r="H1292" s="12">
        <v>8</v>
      </c>
      <c r="I1292" s="14"/>
      <c r="J1292" s="14" t="s">
        <v>61</v>
      </c>
      <c r="K1292" s="12" t="s">
        <v>1366</v>
      </c>
      <c r="L1292" s="15">
        <v>1</v>
      </c>
      <c r="M1292" s="12" t="s">
        <v>150</v>
      </c>
      <c r="N1292" s="12">
        <v>8</v>
      </c>
      <c r="O1292" s="12">
        <v>8</v>
      </c>
      <c r="P1292" s="12">
        <v>0</v>
      </c>
      <c r="Q1292" s="16">
        <v>8</v>
      </c>
      <c r="R1292" s="16">
        <v>0</v>
      </c>
      <c r="S1292" s="16"/>
      <c r="T1292" s="16" t="e">
        <v>#N/A</v>
      </c>
      <c r="U1292" s="16" t="e">
        <v>#N/A</v>
      </c>
    </row>
    <row r="1293" spans="1:21" x14ac:dyDescent="0.25">
      <c r="A1293" s="12" t="s">
        <v>21</v>
      </c>
      <c r="B1293" s="12" t="s">
        <v>1339</v>
      </c>
      <c r="C1293" s="12" t="s">
        <v>23</v>
      </c>
      <c r="D1293" s="15">
        <v>46269.394733796296</v>
      </c>
      <c r="E1293" s="12" t="s">
        <v>266</v>
      </c>
      <c r="F1293" s="12" t="s">
        <v>1354</v>
      </c>
      <c r="G1293" s="12">
        <v>100</v>
      </c>
      <c r="H1293" s="12">
        <v>100</v>
      </c>
      <c r="I1293" s="14"/>
      <c r="J1293" s="14" t="s">
        <v>61</v>
      </c>
      <c r="K1293" s="12" t="s">
        <v>1367</v>
      </c>
      <c r="L1293" s="15">
        <v>1</v>
      </c>
      <c r="M1293" s="12" t="s">
        <v>150</v>
      </c>
      <c r="N1293" s="12">
        <v>100</v>
      </c>
      <c r="O1293" s="12">
        <v>100</v>
      </c>
      <c r="P1293" s="12">
        <v>0</v>
      </c>
      <c r="Q1293" s="16">
        <v>100</v>
      </c>
      <c r="R1293" s="16">
        <v>0</v>
      </c>
      <c r="S1293" s="16"/>
      <c r="T1293" s="16" t="e">
        <v>#N/A</v>
      </c>
      <c r="U1293" s="16" t="e">
        <v>#N/A</v>
      </c>
    </row>
    <row r="1294" spans="1:21" x14ac:dyDescent="0.25">
      <c r="A1294" s="12" t="s">
        <v>21</v>
      </c>
      <c r="B1294" s="12" t="s">
        <v>1339</v>
      </c>
      <c r="C1294" s="12" t="s">
        <v>23</v>
      </c>
      <c r="D1294" s="15">
        <v>46269.394733796296</v>
      </c>
      <c r="E1294" s="12" t="s">
        <v>266</v>
      </c>
      <c r="F1294" s="12" t="s">
        <v>1355</v>
      </c>
      <c r="G1294" s="12">
        <v>30</v>
      </c>
      <c r="H1294" s="12">
        <v>30</v>
      </c>
      <c r="I1294" s="14"/>
      <c r="J1294" s="14" t="s">
        <v>61</v>
      </c>
      <c r="K1294" s="12" t="s">
        <v>1368</v>
      </c>
      <c r="L1294" s="15">
        <v>1</v>
      </c>
      <c r="M1294" s="12" t="s">
        <v>150</v>
      </c>
      <c r="N1294" s="12">
        <v>30</v>
      </c>
      <c r="O1294" s="12">
        <v>30</v>
      </c>
      <c r="P1294" s="12">
        <v>0</v>
      </c>
      <c r="Q1294" s="16">
        <v>30</v>
      </c>
      <c r="R1294" s="16">
        <v>0</v>
      </c>
      <c r="S1294" s="16"/>
      <c r="T1294" s="16" t="e">
        <v>#N/A</v>
      </c>
      <c r="U1294" s="16" t="e">
        <v>#N/A</v>
      </c>
    </row>
    <row r="1295" spans="1:21" x14ac:dyDescent="0.25">
      <c r="A1295" s="12" t="s">
        <v>21</v>
      </c>
      <c r="B1295" s="12" t="s">
        <v>1339</v>
      </c>
      <c r="C1295" s="12" t="s">
        <v>23</v>
      </c>
      <c r="D1295" s="15">
        <v>46269.394733796296</v>
      </c>
      <c r="E1295" s="12" t="s">
        <v>266</v>
      </c>
      <c r="F1295" s="12" t="s">
        <v>424</v>
      </c>
      <c r="G1295" s="12">
        <v>6</v>
      </c>
      <c r="H1295" s="12">
        <v>6</v>
      </c>
      <c r="I1295" s="14"/>
      <c r="J1295" s="14" t="s">
        <v>26</v>
      </c>
      <c r="K1295" s="12" t="s">
        <v>27</v>
      </c>
      <c r="L1295" s="15"/>
      <c r="M1295" s="12" t="s">
        <v>28</v>
      </c>
      <c r="N1295" s="12"/>
      <c r="O1295" s="12"/>
      <c r="P1295" s="12"/>
      <c r="Q1295" s="16">
        <v>0</v>
      </c>
      <c r="R1295" s="16">
        <v>0</v>
      </c>
      <c r="S1295" s="16"/>
      <c r="T1295" s="16" t="e">
        <v>#N/A</v>
      </c>
      <c r="U1295" s="16" t="e">
        <v>#N/A</v>
      </c>
    </row>
    <row r="1296" spans="1:21" x14ac:dyDescent="0.25">
      <c r="A1296" s="12" t="s">
        <v>21</v>
      </c>
      <c r="B1296" s="12" t="s">
        <v>1339</v>
      </c>
      <c r="C1296" s="12" t="s">
        <v>23</v>
      </c>
      <c r="D1296" s="15">
        <v>46269.394733796296</v>
      </c>
      <c r="E1296" s="12" t="s">
        <v>266</v>
      </c>
      <c r="F1296" s="12" t="s">
        <v>1245</v>
      </c>
      <c r="G1296" s="12">
        <v>24</v>
      </c>
      <c r="H1296" s="12">
        <v>24</v>
      </c>
      <c r="I1296" s="14"/>
      <c r="J1296" s="14" t="s">
        <v>61</v>
      </c>
      <c r="K1296" s="12" t="s">
        <v>1369</v>
      </c>
      <c r="L1296" s="15">
        <v>1</v>
      </c>
      <c r="M1296" s="12" t="s">
        <v>150</v>
      </c>
      <c r="N1296" s="12">
        <v>24</v>
      </c>
      <c r="O1296" s="12">
        <v>24</v>
      </c>
      <c r="P1296" s="12">
        <v>0</v>
      </c>
      <c r="Q1296" s="16">
        <v>24</v>
      </c>
      <c r="R1296" s="16">
        <v>0</v>
      </c>
      <c r="S1296" s="16"/>
      <c r="T1296" s="16" t="e">
        <v>#N/A</v>
      </c>
      <c r="U1296" s="16" t="e">
        <v>#N/A</v>
      </c>
    </row>
    <row r="1297" spans="1:21" x14ac:dyDescent="0.25">
      <c r="A1297" s="12" t="s">
        <v>21</v>
      </c>
      <c r="B1297" s="12" t="s">
        <v>1340</v>
      </c>
      <c r="C1297" s="12" t="s">
        <v>23</v>
      </c>
      <c r="D1297" s="15">
        <v>46269.414375</v>
      </c>
      <c r="E1297" s="12" t="s">
        <v>522</v>
      </c>
      <c r="F1297" s="12" t="s">
        <v>130</v>
      </c>
      <c r="G1297" s="12">
        <v>60</v>
      </c>
      <c r="H1297" s="12">
        <v>60</v>
      </c>
      <c r="I1297" s="14"/>
      <c r="J1297" s="14" t="s">
        <v>26</v>
      </c>
      <c r="K1297" s="12" t="s">
        <v>27</v>
      </c>
      <c r="L1297" s="15"/>
      <c r="M1297" s="12" t="s">
        <v>28</v>
      </c>
      <c r="N1297" s="12"/>
      <c r="O1297" s="12"/>
      <c r="P1297" s="12"/>
      <c r="Q1297" s="16">
        <v>0</v>
      </c>
      <c r="R1297" s="16">
        <v>6</v>
      </c>
      <c r="S1297" s="16"/>
      <c r="T1297" s="16" t="e">
        <v>#N/A</v>
      </c>
      <c r="U1297" s="16" t="e">
        <v>#N/A</v>
      </c>
    </row>
    <row r="1298" spans="1:21" x14ac:dyDescent="0.25">
      <c r="A1298" s="12" t="s">
        <v>21</v>
      </c>
      <c r="B1298" s="12" t="s">
        <v>1341</v>
      </c>
      <c r="C1298" s="12" t="s">
        <v>23</v>
      </c>
      <c r="D1298" s="15">
        <v>46269.468472222223</v>
      </c>
      <c r="E1298" s="12" t="s">
        <v>1342</v>
      </c>
      <c r="F1298" s="12" t="s">
        <v>74</v>
      </c>
      <c r="G1298" s="12">
        <v>1</v>
      </c>
      <c r="H1298" s="12">
        <v>1</v>
      </c>
      <c r="I1298" s="14"/>
      <c r="J1298" s="14" t="s">
        <v>61</v>
      </c>
      <c r="K1298" s="12" t="s">
        <v>1370</v>
      </c>
      <c r="L1298" s="15">
        <v>1</v>
      </c>
      <c r="M1298" s="12" t="s">
        <v>150</v>
      </c>
      <c r="N1298" s="12">
        <v>1</v>
      </c>
      <c r="O1298" s="12">
        <v>1</v>
      </c>
      <c r="P1298" s="12">
        <v>0</v>
      </c>
      <c r="Q1298" s="16">
        <v>1</v>
      </c>
      <c r="R1298" s="16">
        <v>1</v>
      </c>
      <c r="S1298" s="16"/>
      <c r="T1298" s="16" t="e">
        <v>#N/A</v>
      </c>
      <c r="U1298" s="16" t="e">
        <v>#N/A</v>
      </c>
    </row>
    <row r="1299" spans="1:21" x14ac:dyDescent="0.25">
      <c r="A1299" s="12" t="s">
        <v>21</v>
      </c>
      <c r="B1299" s="12" t="s">
        <v>1341</v>
      </c>
      <c r="C1299" s="12" t="s">
        <v>23</v>
      </c>
      <c r="D1299" s="15">
        <v>46269.468472222223</v>
      </c>
      <c r="E1299" s="12" t="s">
        <v>1342</v>
      </c>
      <c r="F1299" s="12" t="s">
        <v>75</v>
      </c>
      <c r="G1299" s="12">
        <v>1</v>
      </c>
      <c r="H1299" s="12">
        <v>1</v>
      </c>
      <c r="I1299" s="14"/>
      <c r="J1299" s="14" t="s">
        <v>61</v>
      </c>
      <c r="K1299" s="12" t="s">
        <v>1371</v>
      </c>
      <c r="L1299" s="15">
        <v>1</v>
      </c>
      <c r="M1299" s="12" t="s">
        <v>150</v>
      </c>
      <c r="N1299" s="12">
        <v>1</v>
      </c>
      <c r="O1299" s="12">
        <v>1</v>
      </c>
      <c r="P1299" s="12">
        <v>0</v>
      </c>
      <c r="Q1299" s="16">
        <v>1</v>
      </c>
      <c r="R1299" s="16">
        <v>0</v>
      </c>
      <c r="S1299" s="16"/>
      <c r="T1299" s="16" t="e">
        <v>#N/A</v>
      </c>
      <c r="U1299" s="16" t="e">
        <v>#N/A</v>
      </c>
    </row>
    <row r="1300" spans="1:21" x14ac:dyDescent="0.25">
      <c r="A1300" s="12" t="s">
        <v>21</v>
      </c>
      <c r="B1300" s="12" t="s">
        <v>1372</v>
      </c>
      <c r="C1300" s="12" t="s">
        <v>23</v>
      </c>
      <c r="D1300" s="15">
        <v>46269.486041666663</v>
      </c>
      <c r="E1300" s="12" t="s">
        <v>340</v>
      </c>
      <c r="F1300" s="12" t="s">
        <v>1373</v>
      </c>
      <c r="G1300" s="12">
        <v>100</v>
      </c>
      <c r="H1300" s="12">
        <v>100</v>
      </c>
      <c r="I1300" s="14"/>
      <c r="J1300" s="14" t="s">
        <v>26</v>
      </c>
      <c r="K1300" s="12" t="s">
        <v>27</v>
      </c>
      <c r="L1300" s="15"/>
      <c r="M1300" s="12" t="s">
        <v>28</v>
      </c>
      <c r="N1300" s="12"/>
      <c r="O1300" s="12"/>
      <c r="P1300" s="12"/>
      <c r="Q1300" s="16">
        <v>0</v>
      </c>
      <c r="R1300" s="16">
        <v>8837</v>
      </c>
      <c r="S1300" s="16"/>
      <c r="T1300" s="16" t="e">
        <v>#N/A</v>
      </c>
      <c r="U1300" s="16" t="e">
        <v>#N/A</v>
      </c>
    </row>
    <row r="1301" spans="1:21" x14ac:dyDescent="0.25">
      <c r="A1301" s="12" t="s">
        <v>21</v>
      </c>
      <c r="B1301" s="12" t="s">
        <v>1372</v>
      </c>
      <c r="C1301" s="12" t="s">
        <v>23</v>
      </c>
      <c r="D1301" s="15">
        <v>46269.486041666663</v>
      </c>
      <c r="E1301" s="12" t="s">
        <v>340</v>
      </c>
      <c r="F1301" s="12" t="s">
        <v>1374</v>
      </c>
      <c r="G1301" s="12">
        <v>100</v>
      </c>
      <c r="H1301" s="12">
        <v>100</v>
      </c>
      <c r="I1301" s="14"/>
      <c r="J1301" s="14" t="s">
        <v>26</v>
      </c>
      <c r="K1301" s="12" t="s">
        <v>27</v>
      </c>
      <c r="L1301" s="15"/>
      <c r="M1301" s="12" t="s">
        <v>28</v>
      </c>
      <c r="N1301" s="12"/>
      <c r="O1301" s="12"/>
      <c r="P1301" s="12"/>
      <c r="Q1301" s="16">
        <v>0</v>
      </c>
      <c r="R1301" s="16">
        <v>8699</v>
      </c>
      <c r="S1301" s="16"/>
      <c r="T1301" s="16" t="e">
        <v>#N/A</v>
      </c>
      <c r="U1301" s="16" t="e">
        <v>#N/A</v>
      </c>
    </row>
    <row r="1302" spans="1:21" x14ac:dyDescent="0.25">
      <c r="A1302" s="12" t="s">
        <v>21</v>
      </c>
      <c r="B1302" s="12" t="s">
        <v>1372</v>
      </c>
      <c r="C1302" s="12" t="s">
        <v>23</v>
      </c>
      <c r="D1302" s="15">
        <v>46269.486041666663</v>
      </c>
      <c r="E1302" s="12" t="s">
        <v>340</v>
      </c>
      <c r="F1302" s="12" t="s">
        <v>320</v>
      </c>
      <c r="G1302" s="12">
        <v>20</v>
      </c>
      <c r="H1302" s="12">
        <v>20</v>
      </c>
      <c r="I1302" s="14"/>
      <c r="J1302" s="14" t="s">
        <v>26</v>
      </c>
      <c r="K1302" s="12" t="s">
        <v>27</v>
      </c>
      <c r="L1302" s="15"/>
      <c r="M1302" s="12" t="s">
        <v>28</v>
      </c>
      <c r="N1302" s="12"/>
      <c r="O1302" s="12"/>
      <c r="P1302" s="12"/>
      <c r="Q1302" s="16">
        <v>0</v>
      </c>
      <c r="R1302" s="16">
        <v>1</v>
      </c>
      <c r="S1302" s="16"/>
      <c r="T1302" s="16" t="e">
        <v>#N/A</v>
      </c>
      <c r="U1302" s="16" t="e">
        <v>#N/A</v>
      </c>
    </row>
    <row r="1303" spans="1:21" x14ac:dyDescent="0.25">
      <c r="A1303" s="12" t="s">
        <v>21</v>
      </c>
      <c r="B1303" s="12" t="s">
        <v>1372</v>
      </c>
      <c r="C1303" s="12" t="s">
        <v>23</v>
      </c>
      <c r="D1303" s="15">
        <v>46269.486041666663</v>
      </c>
      <c r="E1303" s="12" t="s">
        <v>340</v>
      </c>
      <c r="F1303" s="12" t="s">
        <v>130</v>
      </c>
      <c r="G1303" s="12">
        <v>50</v>
      </c>
      <c r="H1303" s="12">
        <v>50</v>
      </c>
      <c r="I1303" s="14"/>
      <c r="J1303" s="14" t="s">
        <v>26</v>
      </c>
      <c r="K1303" s="12" t="s">
        <v>27</v>
      </c>
      <c r="L1303" s="15"/>
      <c r="M1303" s="12" t="s">
        <v>28</v>
      </c>
      <c r="N1303" s="12"/>
      <c r="O1303" s="12"/>
      <c r="P1303" s="12"/>
      <c r="Q1303" s="16">
        <v>0</v>
      </c>
      <c r="R1303" s="16">
        <v>6</v>
      </c>
      <c r="S1303" s="16"/>
      <c r="T1303" s="16" t="e">
        <v>#N/A</v>
      </c>
      <c r="U1303" s="16" t="e">
        <v>#N/A</v>
      </c>
    </row>
    <row r="1304" spans="1:21" x14ac:dyDescent="0.25">
      <c r="A1304" s="12" t="s">
        <v>21</v>
      </c>
      <c r="B1304" s="12" t="s">
        <v>1372</v>
      </c>
      <c r="C1304" s="12" t="s">
        <v>23</v>
      </c>
      <c r="D1304" s="15">
        <v>46269.486041666663</v>
      </c>
      <c r="E1304" s="12" t="s">
        <v>340</v>
      </c>
      <c r="F1304" s="12" t="s">
        <v>262</v>
      </c>
      <c r="G1304" s="12">
        <v>120</v>
      </c>
      <c r="H1304" s="12">
        <v>120</v>
      </c>
      <c r="I1304" s="14"/>
      <c r="J1304" s="14" t="s">
        <v>26</v>
      </c>
      <c r="K1304" s="12" t="s">
        <v>27</v>
      </c>
      <c r="L1304" s="15"/>
      <c r="M1304" s="12" t="s">
        <v>28</v>
      </c>
      <c r="N1304" s="12"/>
      <c r="O1304" s="12"/>
      <c r="P1304" s="12"/>
      <c r="Q1304" s="16">
        <v>0</v>
      </c>
      <c r="R1304" s="16">
        <v>0</v>
      </c>
      <c r="S1304" s="16"/>
      <c r="T1304" s="16" t="e">
        <v>#N/A</v>
      </c>
      <c r="U1304" s="16" t="e">
        <v>#N/A</v>
      </c>
    </row>
    <row r="1305" spans="1:21" x14ac:dyDescent="0.25">
      <c r="A1305" s="12" t="s">
        <v>21</v>
      </c>
      <c r="B1305" s="12" t="s">
        <v>1372</v>
      </c>
      <c r="C1305" s="12" t="s">
        <v>23</v>
      </c>
      <c r="D1305" s="15">
        <v>46269.486041666663</v>
      </c>
      <c r="E1305" s="12" t="s">
        <v>340</v>
      </c>
      <c r="F1305" s="12" t="s">
        <v>134</v>
      </c>
      <c r="G1305" s="12">
        <v>10</v>
      </c>
      <c r="H1305" s="12">
        <v>10</v>
      </c>
      <c r="I1305" s="14"/>
      <c r="J1305" s="14" t="s">
        <v>26</v>
      </c>
      <c r="K1305" s="12" t="s">
        <v>27</v>
      </c>
      <c r="L1305" s="15"/>
      <c r="M1305" s="12" t="s">
        <v>28</v>
      </c>
      <c r="N1305" s="12"/>
      <c r="O1305" s="12"/>
      <c r="P1305" s="12"/>
      <c r="Q1305" s="16">
        <v>0</v>
      </c>
      <c r="R1305" s="16">
        <v>6</v>
      </c>
      <c r="S1305" s="16"/>
      <c r="T1305" s="16" t="e">
        <v>#N/A</v>
      </c>
      <c r="U1305" s="16" t="e">
        <v>#N/A</v>
      </c>
    </row>
    <row r="1306" spans="1:21" x14ac:dyDescent="0.25">
      <c r="A1306" s="12" t="s">
        <v>21</v>
      </c>
      <c r="B1306" s="12" t="s">
        <v>1375</v>
      </c>
      <c r="C1306" s="12" t="s">
        <v>23</v>
      </c>
      <c r="D1306" s="15">
        <v>46269.537164351852</v>
      </c>
      <c r="E1306" s="12" t="s">
        <v>39</v>
      </c>
      <c r="F1306" s="12" t="s">
        <v>1376</v>
      </c>
      <c r="G1306" s="12">
        <v>3</v>
      </c>
      <c r="H1306" s="12">
        <v>3</v>
      </c>
      <c r="I1306" s="14"/>
      <c r="J1306" s="14" t="s">
        <v>26</v>
      </c>
      <c r="K1306" s="12" t="s">
        <v>27</v>
      </c>
      <c r="L1306" s="15"/>
      <c r="M1306" s="12" t="s">
        <v>28</v>
      </c>
      <c r="N1306" s="12"/>
      <c r="O1306" s="12"/>
      <c r="P1306" s="12"/>
      <c r="Q1306" s="16">
        <v>0</v>
      </c>
      <c r="R1306" s="16"/>
      <c r="S1306" s="16"/>
      <c r="T1306" s="16" t="e">
        <v>#N/A</v>
      </c>
      <c r="U1306" s="16" t="e">
        <v>#N/A</v>
      </c>
    </row>
    <row r="1307" spans="1:21" x14ac:dyDescent="0.25">
      <c r="A1307" s="12" t="s">
        <v>21</v>
      </c>
      <c r="B1307" s="12" t="s">
        <v>1377</v>
      </c>
      <c r="C1307" s="12" t="s">
        <v>23</v>
      </c>
      <c r="D1307" s="15">
        <v>46269.590555555558</v>
      </c>
      <c r="E1307" s="12" t="s">
        <v>522</v>
      </c>
      <c r="F1307" s="12" t="s">
        <v>1124</v>
      </c>
      <c r="G1307" s="12">
        <v>4</v>
      </c>
      <c r="H1307" s="12">
        <v>4</v>
      </c>
      <c r="I1307" s="14"/>
      <c r="J1307" s="14" t="s">
        <v>26</v>
      </c>
      <c r="K1307" s="12" t="s">
        <v>1384</v>
      </c>
      <c r="L1307" s="15">
        <v>1</v>
      </c>
      <c r="M1307" s="12" t="s">
        <v>150</v>
      </c>
      <c r="N1307" s="12">
        <v>4</v>
      </c>
      <c r="O1307" s="12">
        <v>4</v>
      </c>
      <c r="P1307" s="12">
        <v>0</v>
      </c>
      <c r="Q1307" s="16">
        <v>0</v>
      </c>
      <c r="R1307" s="16">
        <v>0</v>
      </c>
      <c r="S1307" s="16"/>
      <c r="T1307" s="16" t="e">
        <v>#N/A</v>
      </c>
      <c r="U1307" s="16" t="e">
        <v>#N/A</v>
      </c>
    </row>
    <row r="1308" spans="1:21" x14ac:dyDescent="0.25">
      <c r="A1308" s="12" t="s">
        <v>21</v>
      </c>
      <c r="B1308" s="12" t="s">
        <v>1377</v>
      </c>
      <c r="C1308" s="12" t="s">
        <v>23</v>
      </c>
      <c r="D1308" s="15">
        <v>46269.590555555558</v>
      </c>
      <c r="E1308" s="12" t="s">
        <v>522</v>
      </c>
      <c r="F1308" s="12" t="s">
        <v>1378</v>
      </c>
      <c r="G1308" s="12">
        <v>1</v>
      </c>
      <c r="H1308" s="12">
        <v>1</v>
      </c>
      <c r="I1308" s="14"/>
      <c r="J1308" s="14" t="s">
        <v>26</v>
      </c>
      <c r="K1308" s="12" t="s">
        <v>1385</v>
      </c>
      <c r="L1308" s="15">
        <v>1</v>
      </c>
      <c r="M1308" s="12" t="s">
        <v>150</v>
      </c>
      <c r="N1308" s="12">
        <v>1</v>
      </c>
      <c r="O1308" s="12">
        <v>1</v>
      </c>
      <c r="P1308" s="12">
        <v>0</v>
      </c>
      <c r="Q1308" s="16">
        <v>0</v>
      </c>
      <c r="R1308" s="16">
        <v>0</v>
      </c>
      <c r="S1308" s="16"/>
      <c r="T1308" s="16" t="e">
        <v>#N/A</v>
      </c>
      <c r="U1308" s="16" t="e">
        <v>#N/A</v>
      </c>
    </row>
    <row r="1309" spans="1:21" x14ac:dyDescent="0.25">
      <c r="A1309" s="12" t="s">
        <v>21</v>
      </c>
      <c r="B1309" s="12" t="s">
        <v>1377</v>
      </c>
      <c r="C1309" s="12" t="s">
        <v>23</v>
      </c>
      <c r="D1309" s="15">
        <v>46269.590555555558</v>
      </c>
      <c r="E1309" s="12" t="s">
        <v>522</v>
      </c>
      <c r="F1309" s="12" t="s">
        <v>1154</v>
      </c>
      <c r="G1309" s="12">
        <v>2</v>
      </c>
      <c r="H1309" s="12">
        <v>2</v>
      </c>
      <c r="I1309" s="14"/>
      <c r="J1309" s="14" t="s">
        <v>26</v>
      </c>
      <c r="K1309" s="12" t="s">
        <v>1386</v>
      </c>
      <c r="L1309" s="15">
        <v>1</v>
      </c>
      <c r="M1309" s="12" t="s">
        <v>150</v>
      </c>
      <c r="N1309" s="12">
        <v>2</v>
      </c>
      <c r="O1309" s="12">
        <v>2</v>
      </c>
      <c r="P1309" s="12">
        <v>0</v>
      </c>
      <c r="Q1309" s="16">
        <v>0</v>
      </c>
      <c r="R1309" s="16">
        <v>0</v>
      </c>
      <c r="S1309" s="16"/>
      <c r="T1309" s="16" t="e">
        <v>#N/A</v>
      </c>
      <c r="U1309" s="16" t="e">
        <v>#N/A</v>
      </c>
    </row>
    <row r="1310" spans="1:21" x14ac:dyDescent="0.25">
      <c r="A1310" s="12" t="s">
        <v>21</v>
      </c>
      <c r="B1310" s="12" t="s">
        <v>1377</v>
      </c>
      <c r="C1310" s="12" t="s">
        <v>23</v>
      </c>
      <c r="D1310" s="15">
        <v>46269.590555555558</v>
      </c>
      <c r="E1310" s="12" t="s">
        <v>522</v>
      </c>
      <c r="F1310" s="12" t="s">
        <v>1155</v>
      </c>
      <c r="G1310" s="12">
        <v>4</v>
      </c>
      <c r="H1310" s="12">
        <v>4</v>
      </c>
      <c r="I1310" s="14"/>
      <c r="J1310" s="14" t="s">
        <v>26</v>
      </c>
      <c r="K1310" s="12" t="s">
        <v>1387</v>
      </c>
      <c r="L1310" s="15">
        <v>1</v>
      </c>
      <c r="M1310" s="12" t="s">
        <v>150</v>
      </c>
      <c r="N1310" s="12">
        <v>4</v>
      </c>
      <c r="O1310" s="12">
        <v>4</v>
      </c>
      <c r="P1310" s="12">
        <v>0</v>
      </c>
      <c r="Q1310" s="16">
        <v>0</v>
      </c>
      <c r="R1310" s="16">
        <v>0</v>
      </c>
      <c r="S1310" s="16"/>
      <c r="T1310" s="16" t="e">
        <v>#N/A</v>
      </c>
      <c r="U1310" s="16" t="e">
        <v>#N/A</v>
      </c>
    </row>
    <row r="1311" spans="1:21" x14ac:dyDescent="0.25">
      <c r="A1311" s="12" t="s">
        <v>21</v>
      </c>
      <c r="B1311" s="12" t="s">
        <v>1377</v>
      </c>
      <c r="C1311" s="12" t="s">
        <v>23</v>
      </c>
      <c r="D1311" s="15">
        <v>46269.590555555558</v>
      </c>
      <c r="E1311" s="12" t="s">
        <v>522</v>
      </c>
      <c r="F1311" s="12" t="s">
        <v>1155</v>
      </c>
      <c r="G1311" s="12">
        <v>2</v>
      </c>
      <c r="H1311" s="12">
        <v>2</v>
      </c>
      <c r="I1311" s="14"/>
      <c r="J1311" s="14" t="s">
        <v>26</v>
      </c>
      <c r="K1311" s="12" t="s">
        <v>1388</v>
      </c>
      <c r="L1311" s="15">
        <v>1</v>
      </c>
      <c r="M1311" s="12" t="s">
        <v>150</v>
      </c>
      <c r="N1311" s="12">
        <v>2</v>
      </c>
      <c r="O1311" s="12">
        <v>2</v>
      </c>
      <c r="P1311" s="12">
        <v>0</v>
      </c>
      <c r="Q1311" s="16">
        <v>0</v>
      </c>
      <c r="R1311" s="16">
        <v>0</v>
      </c>
      <c r="S1311" s="16"/>
      <c r="T1311" s="16" t="e">
        <v>#N/A</v>
      </c>
      <c r="U1311" s="16" t="e">
        <v>#N/A</v>
      </c>
    </row>
    <row r="1312" spans="1:21" x14ac:dyDescent="0.25">
      <c r="A1312" s="12" t="s">
        <v>21</v>
      </c>
      <c r="B1312" s="12" t="s">
        <v>1377</v>
      </c>
      <c r="C1312" s="12" t="s">
        <v>23</v>
      </c>
      <c r="D1312" s="15">
        <v>46269.590555555558</v>
      </c>
      <c r="E1312" s="12" t="s">
        <v>522</v>
      </c>
      <c r="F1312" s="12" t="s">
        <v>1156</v>
      </c>
      <c r="G1312" s="12">
        <v>1</v>
      </c>
      <c r="H1312" s="12">
        <v>1</v>
      </c>
      <c r="I1312" s="14"/>
      <c r="J1312" s="14" t="s">
        <v>26</v>
      </c>
      <c r="K1312" s="12" t="s">
        <v>1389</v>
      </c>
      <c r="L1312" s="15">
        <v>1</v>
      </c>
      <c r="M1312" s="12" t="s">
        <v>150</v>
      </c>
      <c r="N1312" s="12">
        <v>1</v>
      </c>
      <c r="O1312" s="12">
        <v>1</v>
      </c>
      <c r="P1312" s="12">
        <v>0</v>
      </c>
      <c r="Q1312" s="16">
        <v>0</v>
      </c>
      <c r="R1312" s="16">
        <v>0</v>
      </c>
      <c r="S1312" s="16"/>
      <c r="T1312" s="16" t="e">
        <v>#N/A</v>
      </c>
      <c r="U1312" s="16" t="e">
        <v>#N/A</v>
      </c>
    </row>
    <row r="1313" spans="1:21" x14ac:dyDescent="0.25">
      <c r="A1313" s="12" t="s">
        <v>21</v>
      </c>
      <c r="B1313" s="12" t="s">
        <v>1377</v>
      </c>
      <c r="C1313" s="12" t="s">
        <v>23</v>
      </c>
      <c r="D1313" s="15">
        <v>46269.590555555558</v>
      </c>
      <c r="E1313" s="12" t="s">
        <v>522</v>
      </c>
      <c r="F1313" s="12" t="s">
        <v>1156</v>
      </c>
      <c r="G1313" s="12">
        <v>3</v>
      </c>
      <c r="H1313" s="12">
        <v>3</v>
      </c>
      <c r="I1313" s="14"/>
      <c r="J1313" s="14" t="s">
        <v>26</v>
      </c>
      <c r="K1313" s="12" t="s">
        <v>1390</v>
      </c>
      <c r="L1313" s="15">
        <v>1</v>
      </c>
      <c r="M1313" s="12" t="s">
        <v>150</v>
      </c>
      <c r="N1313" s="12">
        <v>3</v>
      </c>
      <c r="O1313" s="12">
        <v>3</v>
      </c>
      <c r="P1313" s="12">
        <v>0</v>
      </c>
      <c r="Q1313" s="16">
        <v>0</v>
      </c>
      <c r="R1313" s="16">
        <v>0</v>
      </c>
      <c r="S1313" s="16"/>
      <c r="T1313" s="16" t="e">
        <v>#N/A</v>
      </c>
      <c r="U1313" s="16" t="e">
        <v>#N/A</v>
      </c>
    </row>
    <row r="1314" spans="1:21" x14ac:dyDescent="0.25">
      <c r="A1314" s="12" t="s">
        <v>21</v>
      </c>
      <c r="B1314" s="12" t="s">
        <v>1377</v>
      </c>
      <c r="C1314" s="12" t="s">
        <v>23</v>
      </c>
      <c r="D1314" s="15">
        <v>46269.590555555558</v>
      </c>
      <c r="E1314" s="12" t="s">
        <v>522</v>
      </c>
      <c r="F1314" s="12" t="s">
        <v>1379</v>
      </c>
      <c r="G1314" s="12">
        <v>1</v>
      </c>
      <c r="H1314" s="12">
        <v>1</v>
      </c>
      <c r="I1314" s="14"/>
      <c r="J1314" s="14" t="s">
        <v>26</v>
      </c>
      <c r="K1314" s="12" t="s">
        <v>1391</v>
      </c>
      <c r="L1314" s="15">
        <v>1</v>
      </c>
      <c r="M1314" s="12" t="s">
        <v>150</v>
      </c>
      <c r="N1314" s="12">
        <v>1</v>
      </c>
      <c r="O1314" s="12">
        <v>1</v>
      </c>
      <c r="P1314" s="12">
        <v>0</v>
      </c>
      <c r="Q1314" s="16">
        <v>0</v>
      </c>
      <c r="R1314" s="16">
        <v>0</v>
      </c>
      <c r="S1314" s="16"/>
      <c r="T1314" s="16" t="e">
        <v>#N/A</v>
      </c>
      <c r="U1314" s="16" t="e">
        <v>#N/A</v>
      </c>
    </row>
    <row r="1315" spans="1:21" x14ac:dyDescent="0.25">
      <c r="A1315" s="12" t="s">
        <v>21</v>
      </c>
      <c r="B1315" s="12" t="s">
        <v>1377</v>
      </c>
      <c r="C1315" s="12" t="s">
        <v>23</v>
      </c>
      <c r="D1315" s="15">
        <v>46269.590555555558</v>
      </c>
      <c r="E1315" s="12" t="s">
        <v>522</v>
      </c>
      <c r="F1315" s="12" t="s">
        <v>1380</v>
      </c>
      <c r="G1315" s="12">
        <v>1</v>
      </c>
      <c r="H1315" s="12">
        <v>1</v>
      </c>
      <c r="I1315" s="14"/>
      <c r="J1315" s="14" t="s">
        <v>26</v>
      </c>
      <c r="K1315" s="12" t="s">
        <v>1392</v>
      </c>
      <c r="L1315" s="15">
        <v>1</v>
      </c>
      <c r="M1315" s="12" t="s">
        <v>150</v>
      </c>
      <c r="N1315" s="12">
        <v>1</v>
      </c>
      <c r="O1315" s="12">
        <v>1</v>
      </c>
      <c r="P1315" s="12">
        <v>0</v>
      </c>
      <c r="Q1315" s="16">
        <v>0</v>
      </c>
      <c r="R1315" s="16">
        <v>0</v>
      </c>
      <c r="S1315" s="16"/>
      <c r="T1315" s="16" t="e">
        <v>#N/A</v>
      </c>
      <c r="U1315" s="16" t="e">
        <v>#N/A</v>
      </c>
    </row>
    <row r="1316" spans="1:21" x14ac:dyDescent="0.25">
      <c r="A1316" s="12" t="s">
        <v>21</v>
      </c>
      <c r="B1316" s="12" t="s">
        <v>1377</v>
      </c>
      <c r="C1316" s="12" t="s">
        <v>23</v>
      </c>
      <c r="D1316" s="15">
        <v>46269.590555555558</v>
      </c>
      <c r="E1316" s="12" t="s">
        <v>522</v>
      </c>
      <c r="F1316" s="12" t="s">
        <v>1381</v>
      </c>
      <c r="G1316" s="12">
        <v>3</v>
      </c>
      <c r="H1316" s="12">
        <v>3</v>
      </c>
      <c r="I1316" s="14"/>
      <c r="J1316" s="14" t="s">
        <v>26</v>
      </c>
      <c r="K1316" s="12" t="s">
        <v>1393</v>
      </c>
      <c r="L1316" s="15">
        <v>1</v>
      </c>
      <c r="M1316" s="12" t="s">
        <v>150</v>
      </c>
      <c r="N1316" s="12">
        <v>3</v>
      </c>
      <c r="O1316" s="12">
        <v>3</v>
      </c>
      <c r="P1316" s="12">
        <v>0</v>
      </c>
      <c r="Q1316" s="16">
        <v>0</v>
      </c>
      <c r="R1316" s="16">
        <v>0</v>
      </c>
      <c r="S1316" s="16"/>
      <c r="T1316" s="16" t="e">
        <v>#N/A</v>
      </c>
      <c r="U1316" s="16" t="e">
        <v>#N/A</v>
      </c>
    </row>
    <row r="1317" spans="1:21" x14ac:dyDescent="0.25">
      <c r="A1317" s="12" t="s">
        <v>21</v>
      </c>
      <c r="B1317" s="12" t="s">
        <v>1377</v>
      </c>
      <c r="C1317" s="12" t="s">
        <v>23</v>
      </c>
      <c r="D1317" s="15">
        <v>46269.590555555558</v>
      </c>
      <c r="E1317" s="12" t="s">
        <v>522</v>
      </c>
      <c r="F1317" s="12" t="s">
        <v>1382</v>
      </c>
      <c r="G1317" s="12">
        <v>1</v>
      </c>
      <c r="H1317" s="12">
        <v>1</v>
      </c>
      <c r="I1317" s="14"/>
      <c r="J1317" s="14" t="s">
        <v>26</v>
      </c>
      <c r="K1317" s="12" t="s">
        <v>1394</v>
      </c>
      <c r="L1317" s="15">
        <v>1</v>
      </c>
      <c r="M1317" s="12" t="s">
        <v>150</v>
      </c>
      <c r="N1317" s="12">
        <v>1</v>
      </c>
      <c r="O1317" s="12">
        <v>1</v>
      </c>
      <c r="P1317" s="12">
        <v>0</v>
      </c>
      <c r="Q1317" s="16">
        <v>0</v>
      </c>
      <c r="R1317" s="16">
        <v>0</v>
      </c>
      <c r="S1317" s="16"/>
      <c r="T1317" s="16" t="e">
        <v>#N/A</v>
      </c>
      <c r="U1317" s="16" t="e">
        <v>#N/A</v>
      </c>
    </row>
    <row r="1318" spans="1:21" x14ac:dyDescent="0.25">
      <c r="A1318" s="12" t="s">
        <v>21</v>
      </c>
      <c r="B1318" s="12" t="s">
        <v>1377</v>
      </c>
      <c r="C1318" s="12" t="s">
        <v>23</v>
      </c>
      <c r="D1318" s="15">
        <v>46269.590555555558</v>
      </c>
      <c r="E1318" s="12" t="s">
        <v>522</v>
      </c>
      <c r="F1318" s="12" t="s">
        <v>1383</v>
      </c>
      <c r="G1318" s="12">
        <v>1</v>
      </c>
      <c r="H1318" s="12">
        <v>1</v>
      </c>
      <c r="I1318" s="14"/>
      <c r="J1318" s="14" t="s">
        <v>26</v>
      </c>
      <c r="K1318" s="12" t="s">
        <v>1395</v>
      </c>
      <c r="L1318" s="15">
        <v>1</v>
      </c>
      <c r="M1318" s="12" t="s">
        <v>150</v>
      </c>
      <c r="N1318" s="12">
        <v>1</v>
      </c>
      <c r="O1318" s="12">
        <v>1</v>
      </c>
      <c r="P1318" s="12">
        <v>0</v>
      </c>
      <c r="Q1318" s="16">
        <v>0</v>
      </c>
      <c r="R1318" s="16">
        <v>0</v>
      </c>
      <c r="S1318" s="16"/>
      <c r="T1318" s="16" t="e">
        <v>#N/A</v>
      </c>
      <c r="U1318" s="16" t="e">
        <v>#N/A</v>
      </c>
    </row>
    <row r="1319" spans="1:21" x14ac:dyDescent="0.25">
      <c r="A1319" s="12" t="s">
        <v>21</v>
      </c>
      <c r="B1319" s="12" t="s">
        <v>1377</v>
      </c>
      <c r="C1319" s="12" t="s">
        <v>23</v>
      </c>
      <c r="D1319" s="15">
        <v>46269.590555555558</v>
      </c>
      <c r="E1319" s="12" t="s">
        <v>522</v>
      </c>
      <c r="F1319" s="12" t="s">
        <v>1157</v>
      </c>
      <c r="G1319" s="12">
        <v>1</v>
      </c>
      <c r="H1319" s="12">
        <v>1</v>
      </c>
      <c r="I1319" s="14"/>
      <c r="J1319" s="14" t="s">
        <v>26</v>
      </c>
      <c r="K1319" s="12" t="s">
        <v>1396</v>
      </c>
      <c r="L1319" s="15">
        <v>1</v>
      </c>
      <c r="M1319" s="12" t="s">
        <v>150</v>
      </c>
      <c r="N1319" s="12">
        <v>1</v>
      </c>
      <c r="O1319" s="12">
        <v>1</v>
      </c>
      <c r="P1319" s="12">
        <v>0</v>
      </c>
      <c r="Q1319" s="16">
        <v>0</v>
      </c>
      <c r="R1319" s="16">
        <v>0</v>
      </c>
      <c r="S1319" s="16"/>
      <c r="T1319" s="16" t="e">
        <v>#N/A</v>
      </c>
      <c r="U1319" s="16" t="e">
        <v>#N/A</v>
      </c>
    </row>
    <row r="1320" spans="1:21" x14ac:dyDescent="0.25">
      <c r="A1320" s="12" t="s">
        <v>21</v>
      </c>
      <c r="B1320" s="12" t="s">
        <v>1397</v>
      </c>
      <c r="C1320" s="12" t="s">
        <v>23</v>
      </c>
      <c r="D1320" s="15">
        <v>46269.660694444443</v>
      </c>
      <c r="E1320" s="12" t="s">
        <v>585</v>
      </c>
      <c r="F1320" s="12" t="s">
        <v>551</v>
      </c>
      <c r="G1320" s="12">
        <v>8</v>
      </c>
      <c r="H1320" s="12">
        <v>8</v>
      </c>
      <c r="I1320" s="14"/>
      <c r="J1320" s="14" t="s">
        <v>26</v>
      </c>
      <c r="K1320" s="12" t="s">
        <v>27</v>
      </c>
      <c r="L1320" s="15"/>
      <c r="M1320" s="12" t="s">
        <v>28</v>
      </c>
      <c r="N1320" s="12"/>
      <c r="O1320" s="12"/>
      <c r="P1320" s="12"/>
      <c r="Q1320" s="16">
        <v>0</v>
      </c>
      <c r="R1320" s="16">
        <v>0</v>
      </c>
      <c r="S1320" s="16"/>
      <c r="T1320" s="16" t="e">
        <v>#N/A</v>
      </c>
      <c r="U1320" s="16" t="e">
        <v>#N/A</v>
      </c>
    </row>
    <row r="1321" spans="1:21" x14ac:dyDescent="0.25">
      <c r="A1321" s="12" t="s">
        <v>21</v>
      </c>
      <c r="B1321" s="12" t="s">
        <v>1397</v>
      </c>
      <c r="C1321" s="12" t="s">
        <v>23</v>
      </c>
      <c r="D1321" s="15">
        <v>46269.660694444443</v>
      </c>
      <c r="E1321" s="12" t="s">
        <v>585</v>
      </c>
      <c r="F1321" s="12" t="s">
        <v>1202</v>
      </c>
      <c r="G1321" s="12">
        <v>8</v>
      </c>
      <c r="H1321" s="12">
        <v>8</v>
      </c>
      <c r="I1321" s="14"/>
      <c r="J1321" s="14" t="s">
        <v>26</v>
      </c>
      <c r="K1321" s="12" t="s">
        <v>27</v>
      </c>
      <c r="L1321" s="15"/>
      <c r="M1321" s="12" t="s">
        <v>28</v>
      </c>
      <c r="N1321" s="12"/>
      <c r="O1321" s="12"/>
      <c r="P1321" s="12"/>
      <c r="Q1321" s="16">
        <v>0</v>
      </c>
      <c r="R1321" s="16">
        <v>0</v>
      </c>
      <c r="S1321" s="16"/>
      <c r="T1321" s="16" t="e">
        <v>#N/A</v>
      </c>
      <c r="U1321" s="16" t="e">
        <v>#N/A</v>
      </c>
    </row>
    <row r="1322" spans="1:21" x14ac:dyDescent="0.25">
      <c r="A1322" s="12" t="s">
        <v>21</v>
      </c>
      <c r="B1322" s="12" t="s">
        <v>1397</v>
      </c>
      <c r="C1322" s="12" t="s">
        <v>23</v>
      </c>
      <c r="D1322" s="15">
        <v>46269.660694444443</v>
      </c>
      <c r="E1322" s="12" t="s">
        <v>585</v>
      </c>
      <c r="F1322" s="12" t="s">
        <v>1164</v>
      </c>
      <c r="G1322" s="12">
        <v>20</v>
      </c>
      <c r="H1322" s="12">
        <v>20</v>
      </c>
      <c r="I1322" s="14"/>
      <c r="J1322" s="14" t="s">
        <v>26</v>
      </c>
      <c r="K1322" s="12" t="s">
        <v>27</v>
      </c>
      <c r="L1322" s="15"/>
      <c r="M1322" s="12" t="s">
        <v>28</v>
      </c>
      <c r="N1322" s="12"/>
      <c r="O1322" s="12"/>
      <c r="P1322" s="12"/>
      <c r="Q1322" s="16">
        <v>0</v>
      </c>
      <c r="R1322" s="16">
        <v>0</v>
      </c>
      <c r="S1322" s="16"/>
      <c r="T1322" s="16" t="e">
        <v>#N/A</v>
      </c>
      <c r="U1322" s="16" t="e">
        <v>#N/A</v>
      </c>
    </row>
    <row r="1323" spans="1:21" x14ac:dyDescent="0.25">
      <c r="A1323" s="12" t="s">
        <v>21</v>
      </c>
      <c r="B1323" s="12" t="s">
        <v>1397</v>
      </c>
      <c r="C1323" s="12" t="s">
        <v>23</v>
      </c>
      <c r="D1323" s="15">
        <v>46269.660694444443</v>
      </c>
      <c r="E1323" s="12" t="s">
        <v>585</v>
      </c>
      <c r="F1323" s="12" t="s">
        <v>248</v>
      </c>
      <c r="G1323" s="12">
        <v>80</v>
      </c>
      <c r="H1323" s="12">
        <v>80</v>
      </c>
      <c r="I1323" s="14"/>
      <c r="J1323" s="14" t="s">
        <v>26</v>
      </c>
      <c r="K1323" s="12" t="s">
        <v>27</v>
      </c>
      <c r="L1323" s="15"/>
      <c r="M1323" s="12" t="s">
        <v>28</v>
      </c>
      <c r="N1323" s="12"/>
      <c r="O1323" s="12"/>
      <c r="P1323" s="12"/>
      <c r="Q1323" s="16">
        <v>0</v>
      </c>
      <c r="R1323" s="16">
        <v>2</v>
      </c>
      <c r="S1323" s="16"/>
      <c r="T1323" s="16" t="e">
        <v>#N/A</v>
      </c>
      <c r="U1323" s="16" t="e">
        <v>#N/A</v>
      </c>
    </row>
    <row r="1324" spans="1:21" x14ac:dyDescent="0.25">
      <c r="A1324" s="12" t="s">
        <v>21</v>
      </c>
      <c r="B1324" s="12" t="s">
        <v>1397</v>
      </c>
      <c r="C1324" s="12" t="s">
        <v>23</v>
      </c>
      <c r="D1324" s="15">
        <v>46269.660694444443</v>
      </c>
      <c r="E1324" s="12" t="s">
        <v>585</v>
      </c>
      <c r="F1324" s="12" t="s">
        <v>275</v>
      </c>
      <c r="G1324" s="12">
        <v>20</v>
      </c>
      <c r="H1324" s="12">
        <v>20</v>
      </c>
      <c r="I1324" s="14"/>
      <c r="J1324" s="14" t="s">
        <v>26</v>
      </c>
      <c r="K1324" s="12" t="s">
        <v>27</v>
      </c>
      <c r="L1324" s="15"/>
      <c r="M1324" s="12" t="s">
        <v>28</v>
      </c>
      <c r="N1324" s="12"/>
      <c r="O1324" s="12"/>
      <c r="P1324" s="12"/>
      <c r="Q1324" s="16">
        <v>0</v>
      </c>
      <c r="R1324" s="16">
        <v>0</v>
      </c>
      <c r="S1324" s="16"/>
      <c r="T1324" s="16" t="e">
        <v>#N/A</v>
      </c>
      <c r="U1324" s="16" t="e">
        <v>#N/A</v>
      </c>
    </row>
    <row r="1325" spans="1:21" x14ac:dyDescent="0.25">
      <c r="A1325" s="12" t="s">
        <v>21</v>
      </c>
      <c r="B1325" s="12" t="s">
        <v>1397</v>
      </c>
      <c r="C1325" s="12" t="s">
        <v>23</v>
      </c>
      <c r="D1325" s="15">
        <v>46269.660694444443</v>
      </c>
      <c r="E1325" s="12" t="s">
        <v>585</v>
      </c>
      <c r="F1325" s="12" t="s">
        <v>1398</v>
      </c>
      <c r="G1325" s="12">
        <v>10</v>
      </c>
      <c r="H1325" s="12">
        <v>10</v>
      </c>
      <c r="I1325" s="14"/>
      <c r="J1325" s="14" t="s">
        <v>26</v>
      </c>
      <c r="K1325" s="12" t="s">
        <v>27</v>
      </c>
      <c r="L1325" s="15"/>
      <c r="M1325" s="12" t="s">
        <v>28</v>
      </c>
      <c r="N1325" s="12"/>
      <c r="O1325" s="12"/>
      <c r="P1325" s="12"/>
      <c r="Q1325" s="16">
        <v>0</v>
      </c>
      <c r="R1325" s="16">
        <v>41</v>
      </c>
      <c r="S1325" s="16"/>
      <c r="T1325" s="16" t="e">
        <v>#N/A</v>
      </c>
      <c r="U1325" s="16" t="e">
        <v>#N/A</v>
      </c>
    </row>
    <row r="1326" spans="1:21" x14ac:dyDescent="0.25">
      <c r="A1326" s="12" t="s">
        <v>21</v>
      </c>
      <c r="B1326" s="12" t="s">
        <v>1397</v>
      </c>
      <c r="C1326" s="12" t="s">
        <v>23</v>
      </c>
      <c r="D1326" s="15">
        <v>46269.660694444443</v>
      </c>
      <c r="E1326" s="12" t="s">
        <v>585</v>
      </c>
      <c r="F1326" s="12" t="s">
        <v>1166</v>
      </c>
      <c r="G1326" s="12">
        <v>40</v>
      </c>
      <c r="H1326" s="12">
        <v>40</v>
      </c>
      <c r="I1326" s="14"/>
      <c r="J1326" s="14" t="s">
        <v>26</v>
      </c>
      <c r="K1326" s="12" t="s">
        <v>27</v>
      </c>
      <c r="L1326" s="15"/>
      <c r="M1326" s="12" t="s">
        <v>28</v>
      </c>
      <c r="N1326" s="12"/>
      <c r="O1326" s="12"/>
      <c r="P1326" s="12"/>
      <c r="Q1326" s="16">
        <v>0</v>
      </c>
      <c r="R1326" s="16">
        <v>0</v>
      </c>
      <c r="S1326" s="16"/>
      <c r="T1326" s="16" t="e">
        <v>#N/A</v>
      </c>
      <c r="U1326" s="16" t="e">
        <v>#N/A</v>
      </c>
    </row>
    <row r="1327" spans="1:21" x14ac:dyDescent="0.25">
      <c r="A1327" s="12" t="s">
        <v>21</v>
      </c>
      <c r="B1327" s="12" t="s">
        <v>1397</v>
      </c>
      <c r="C1327" s="12" t="s">
        <v>23</v>
      </c>
      <c r="D1327" s="15">
        <v>46269.660694444443</v>
      </c>
      <c r="E1327" s="12" t="s">
        <v>585</v>
      </c>
      <c r="F1327" s="12" t="s">
        <v>1399</v>
      </c>
      <c r="G1327" s="12">
        <v>30</v>
      </c>
      <c r="H1327" s="12">
        <v>30</v>
      </c>
      <c r="I1327" s="14"/>
      <c r="J1327" s="14" t="s">
        <v>26</v>
      </c>
      <c r="K1327" s="12" t="s">
        <v>27</v>
      </c>
      <c r="L1327" s="15"/>
      <c r="M1327" s="12" t="s">
        <v>28</v>
      </c>
      <c r="N1327" s="12"/>
      <c r="O1327" s="12"/>
      <c r="P1327" s="12"/>
      <c r="Q1327" s="16">
        <v>0</v>
      </c>
      <c r="R1327" s="16">
        <v>0</v>
      </c>
      <c r="S1327" s="16"/>
      <c r="T1327" s="16" t="e">
        <v>#N/A</v>
      </c>
      <c r="U1327" s="16" t="e">
        <v>#N/A</v>
      </c>
    </row>
    <row r="1328" spans="1:21" x14ac:dyDescent="0.25">
      <c r="A1328" s="12" t="s">
        <v>21</v>
      </c>
      <c r="B1328" s="12" t="s">
        <v>1400</v>
      </c>
      <c r="C1328" s="12" t="s">
        <v>23</v>
      </c>
      <c r="D1328" s="15">
        <v>46270.34337962963</v>
      </c>
      <c r="E1328" s="12" t="s">
        <v>24</v>
      </c>
      <c r="F1328" s="12" t="s">
        <v>1401</v>
      </c>
      <c r="G1328" s="12">
        <v>2</v>
      </c>
      <c r="H1328" s="12">
        <v>2</v>
      </c>
      <c r="I1328" s="14"/>
      <c r="J1328" s="14" t="s">
        <v>26</v>
      </c>
      <c r="K1328" s="12" t="s">
        <v>1402</v>
      </c>
      <c r="L1328" s="15">
        <v>1</v>
      </c>
      <c r="M1328" s="12" t="s">
        <v>150</v>
      </c>
      <c r="N1328" s="12">
        <v>2</v>
      </c>
      <c r="O1328" s="12">
        <v>2</v>
      </c>
      <c r="P1328" s="12">
        <v>0</v>
      </c>
      <c r="Q1328" s="16">
        <v>0</v>
      </c>
      <c r="R1328" s="16">
        <v>0</v>
      </c>
      <c r="S1328" s="16"/>
      <c r="T1328" s="16" t="e">
        <v>#N/A</v>
      </c>
      <c r="U1328" s="16" t="e">
        <v>#N/A</v>
      </c>
    </row>
    <row r="1329" spans="1:21" x14ac:dyDescent="0.25">
      <c r="A1329" s="12" t="s">
        <v>21</v>
      </c>
      <c r="B1329" s="12" t="s">
        <v>1403</v>
      </c>
      <c r="C1329" s="12" t="s">
        <v>23</v>
      </c>
      <c r="D1329" s="15">
        <v>46272.543923611112</v>
      </c>
      <c r="E1329" s="12" t="s">
        <v>24</v>
      </c>
      <c r="F1329" s="12" t="s">
        <v>277</v>
      </c>
      <c r="G1329" s="12">
        <v>1</v>
      </c>
      <c r="H1329" s="12">
        <v>1</v>
      </c>
      <c r="I1329" s="14"/>
      <c r="J1329" s="14" t="s">
        <v>26</v>
      </c>
      <c r="K1329" s="12" t="s">
        <v>27</v>
      </c>
      <c r="L1329" s="15"/>
      <c r="M1329" s="12" t="s">
        <v>28</v>
      </c>
      <c r="N1329" s="12"/>
      <c r="O1329" s="12"/>
      <c r="P1329" s="12"/>
      <c r="Q1329" s="16">
        <v>0</v>
      </c>
      <c r="R1329" s="16">
        <v>0</v>
      </c>
      <c r="S1329" s="16"/>
      <c r="T1329" s="16" t="e">
        <v>#N/A</v>
      </c>
      <c r="U1329" s="16" t="e">
        <v>#N/A</v>
      </c>
    </row>
    <row r="1330" spans="1:21" x14ac:dyDescent="0.25">
      <c r="A1330" s="12" t="s">
        <v>21</v>
      </c>
      <c r="B1330" s="12" t="s">
        <v>1404</v>
      </c>
      <c r="C1330" s="12" t="s">
        <v>23</v>
      </c>
      <c r="D1330" s="15">
        <v>46272.553136574075</v>
      </c>
      <c r="E1330" s="12" t="s">
        <v>24</v>
      </c>
      <c r="F1330" s="12" t="s">
        <v>104</v>
      </c>
      <c r="G1330" s="12">
        <v>1</v>
      </c>
      <c r="H1330" s="12">
        <v>1</v>
      </c>
      <c r="I1330" s="14"/>
      <c r="J1330" s="14" t="s">
        <v>26</v>
      </c>
      <c r="K1330" s="12" t="s">
        <v>1408</v>
      </c>
      <c r="L1330" s="15">
        <v>1</v>
      </c>
      <c r="M1330" s="12" t="s">
        <v>150</v>
      </c>
      <c r="N1330" s="12">
        <v>1</v>
      </c>
      <c r="O1330" s="12">
        <v>1</v>
      </c>
      <c r="P1330" s="12">
        <v>0</v>
      </c>
      <c r="Q1330" s="16">
        <v>0</v>
      </c>
      <c r="R1330" s="16">
        <v>0</v>
      </c>
      <c r="S1330" s="16"/>
      <c r="T1330" s="16" t="e">
        <v>#N/A</v>
      </c>
      <c r="U1330" s="16" t="e">
        <v>#N/A</v>
      </c>
    </row>
    <row r="1331" spans="1:21" x14ac:dyDescent="0.25">
      <c r="A1331" s="12" t="s">
        <v>21</v>
      </c>
      <c r="B1331" s="12" t="s">
        <v>1404</v>
      </c>
      <c r="C1331" s="12" t="s">
        <v>23</v>
      </c>
      <c r="D1331" s="15">
        <v>46272.553136574075</v>
      </c>
      <c r="E1331" s="12" t="s">
        <v>24</v>
      </c>
      <c r="F1331" s="12" t="s">
        <v>718</v>
      </c>
      <c r="G1331" s="12">
        <v>10</v>
      </c>
      <c r="H1331" s="12">
        <v>10</v>
      </c>
      <c r="I1331" s="14"/>
      <c r="J1331" s="14" t="s">
        <v>61</v>
      </c>
      <c r="K1331" s="12" t="s">
        <v>1409</v>
      </c>
      <c r="L1331" s="15">
        <v>1</v>
      </c>
      <c r="M1331" s="12" t="s">
        <v>150</v>
      </c>
      <c r="N1331" s="12">
        <v>10</v>
      </c>
      <c r="O1331" s="12">
        <v>10</v>
      </c>
      <c r="P1331" s="12">
        <v>0</v>
      </c>
      <c r="Q1331" s="16">
        <v>10</v>
      </c>
      <c r="R1331" s="16">
        <v>0</v>
      </c>
      <c r="S1331" s="16"/>
      <c r="T1331" s="16" t="e">
        <v>#N/A</v>
      </c>
      <c r="U1331" s="16" t="e">
        <v>#N/A</v>
      </c>
    </row>
    <row r="1332" spans="1:21" x14ac:dyDescent="0.25">
      <c r="A1332" s="12" t="s">
        <v>21</v>
      </c>
      <c r="B1332" s="12" t="s">
        <v>1404</v>
      </c>
      <c r="C1332" s="12" t="s">
        <v>23</v>
      </c>
      <c r="D1332" s="15">
        <v>46272.553136574075</v>
      </c>
      <c r="E1332" s="12" t="s">
        <v>24</v>
      </c>
      <c r="F1332" s="12" t="s">
        <v>122</v>
      </c>
      <c r="G1332" s="12">
        <v>7</v>
      </c>
      <c r="H1332" s="12">
        <v>7</v>
      </c>
      <c r="I1332" s="14"/>
      <c r="J1332" s="14" t="s">
        <v>61</v>
      </c>
      <c r="K1332" s="12" t="s">
        <v>1410</v>
      </c>
      <c r="L1332" s="15">
        <v>1</v>
      </c>
      <c r="M1332" s="12" t="s">
        <v>150</v>
      </c>
      <c r="N1332" s="12">
        <v>7</v>
      </c>
      <c r="O1332" s="12">
        <v>7</v>
      </c>
      <c r="P1332" s="12">
        <v>0</v>
      </c>
      <c r="Q1332" s="16">
        <v>7</v>
      </c>
      <c r="R1332" s="16">
        <v>0</v>
      </c>
      <c r="S1332" s="16"/>
      <c r="T1332" s="16" t="e">
        <v>#N/A</v>
      </c>
      <c r="U1332" s="16" t="e">
        <v>#N/A</v>
      </c>
    </row>
    <row r="1333" spans="1:21" x14ac:dyDescent="0.25">
      <c r="A1333" s="12" t="s">
        <v>21</v>
      </c>
      <c r="B1333" s="12" t="s">
        <v>1404</v>
      </c>
      <c r="C1333" s="12" t="s">
        <v>23</v>
      </c>
      <c r="D1333" s="15">
        <v>46272.553136574075</v>
      </c>
      <c r="E1333" s="12" t="s">
        <v>24</v>
      </c>
      <c r="F1333" s="12" t="s">
        <v>1406</v>
      </c>
      <c r="G1333" s="12">
        <v>8</v>
      </c>
      <c r="H1333" s="12">
        <v>8</v>
      </c>
      <c r="I1333" s="14"/>
      <c r="J1333" s="14" t="s">
        <v>61</v>
      </c>
      <c r="K1333" s="12" t="s">
        <v>1411</v>
      </c>
      <c r="L1333" s="15">
        <v>1</v>
      </c>
      <c r="M1333" s="12" t="s">
        <v>150</v>
      </c>
      <c r="N1333" s="12">
        <v>8</v>
      </c>
      <c r="O1333" s="12">
        <v>8</v>
      </c>
      <c r="P1333" s="12">
        <v>0</v>
      </c>
      <c r="Q1333" s="16">
        <v>8</v>
      </c>
      <c r="R1333" s="16">
        <v>0</v>
      </c>
      <c r="S1333" s="16"/>
      <c r="T1333" s="16" t="e">
        <v>#N/A</v>
      </c>
      <c r="U1333" s="16" t="e">
        <v>#N/A</v>
      </c>
    </row>
    <row r="1334" spans="1:21" x14ac:dyDescent="0.25">
      <c r="A1334" s="12" t="s">
        <v>21</v>
      </c>
      <c r="B1334" s="12" t="s">
        <v>1404</v>
      </c>
      <c r="C1334" s="12" t="s">
        <v>23</v>
      </c>
      <c r="D1334" s="15">
        <v>46272.553136574075</v>
      </c>
      <c r="E1334" s="12" t="s">
        <v>24</v>
      </c>
      <c r="F1334" s="12" t="s">
        <v>1330</v>
      </c>
      <c r="G1334" s="12">
        <v>1</v>
      </c>
      <c r="H1334" s="12">
        <v>1</v>
      </c>
      <c r="I1334" s="14"/>
      <c r="J1334" s="14" t="s">
        <v>61</v>
      </c>
      <c r="K1334" s="12" t="s">
        <v>1412</v>
      </c>
      <c r="L1334" s="15">
        <v>1</v>
      </c>
      <c r="M1334" s="12" t="s">
        <v>150</v>
      </c>
      <c r="N1334" s="12">
        <v>1</v>
      </c>
      <c r="O1334" s="12">
        <v>1</v>
      </c>
      <c r="P1334" s="12">
        <v>0</v>
      </c>
      <c r="Q1334" s="16">
        <v>1</v>
      </c>
      <c r="R1334" s="16">
        <v>0</v>
      </c>
      <c r="S1334" s="16"/>
      <c r="T1334" s="16" t="e">
        <v>#N/A</v>
      </c>
      <c r="U1334" s="16" t="e">
        <v>#N/A</v>
      </c>
    </row>
    <row r="1335" spans="1:21" x14ac:dyDescent="0.25">
      <c r="A1335" s="12" t="s">
        <v>21</v>
      </c>
      <c r="B1335" s="12" t="s">
        <v>1405</v>
      </c>
      <c r="C1335" s="12" t="s">
        <v>23</v>
      </c>
      <c r="D1335" s="15">
        <v>46272.615613425929</v>
      </c>
      <c r="E1335" s="12" t="s">
        <v>24</v>
      </c>
      <c r="F1335" s="12" t="s">
        <v>1407</v>
      </c>
      <c r="G1335" s="12">
        <v>1</v>
      </c>
      <c r="H1335" s="12">
        <v>1</v>
      </c>
      <c r="I1335" s="14"/>
      <c r="J1335" s="14" t="s">
        <v>26</v>
      </c>
      <c r="K1335" s="12" t="s">
        <v>27</v>
      </c>
      <c r="L1335" s="15"/>
      <c r="M1335" s="12" t="s">
        <v>28</v>
      </c>
      <c r="N1335" s="12"/>
      <c r="O1335" s="12"/>
      <c r="P1335" s="12"/>
      <c r="Q1335" s="16">
        <v>0</v>
      </c>
      <c r="R1335" s="16">
        <v>0</v>
      </c>
      <c r="S1335" s="16"/>
      <c r="T1335" s="16" t="e">
        <v>#N/A</v>
      </c>
      <c r="U1335" s="16" t="e">
        <v>#N/A</v>
      </c>
    </row>
    <row r="1336" spans="1:21" x14ac:dyDescent="0.25">
      <c r="A1336" s="12" t="s">
        <v>21</v>
      </c>
      <c r="B1336" s="12" t="s">
        <v>1405</v>
      </c>
      <c r="C1336" s="12" t="s">
        <v>23</v>
      </c>
      <c r="D1336" s="15">
        <v>46272.615613425929</v>
      </c>
      <c r="E1336" s="12" t="s">
        <v>24</v>
      </c>
      <c r="F1336" s="12" t="s">
        <v>1413</v>
      </c>
      <c r="G1336" s="12">
        <v>4</v>
      </c>
      <c r="H1336" s="12">
        <v>4</v>
      </c>
      <c r="I1336" s="14">
        <v>-3</v>
      </c>
      <c r="J1336" s="14" t="s">
        <v>26</v>
      </c>
      <c r="K1336" s="12" t="s">
        <v>27</v>
      </c>
      <c r="L1336" s="15"/>
      <c r="M1336" s="12" t="s">
        <v>28</v>
      </c>
      <c r="N1336" s="12"/>
      <c r="O1336" s="12"/>
      <c r="P1336" s="12"/>
      <c r="Q1336" s="16">
        <v>0</v>
      </c>
      <c r="R1336" s="16">
        <v>0</v>
      </c>
      <c r="S1336" s="16"/>
      <c r="T1336" s="16" t="e">
        <v>#N/A</v>
      </c>
      <c r="U1336" s="16" t="e">
        <v>#N/A</v>
      </c>
    </row>
    <row r="1337" spans="1:21" x14ac:dyDescent="0.25">
      <c r="A1337" s="12" t="s">
        <v>21</v>
      </c>
      <c r="B1337" s="12" t="s">
        <v>1414</v>
      </c>
      <c r="C1337" s="12" t="s">
        <v>23</v>
      </c>
      <c r="D1337" s="15">
        <v>46272.640960648147</v>
      </c>
      <c r="E1337" s="12" t="s">
        <v>661</v>
      </c>
      <c r="F1337" s="12" t="s">
        <v>283</v>
      </c>
      <c r="G1337" s="12">
        <v>30</v>
      </c>
      <c r="H1337" s="12">
        <v>30</v>
      </c>
      <c r="I1337" s="14"/>
      <c r="J1337" s="14" t="s">
        <v>61</v>
      </c>
      <c r="K1337" s="12" t="s">
        <v>1418</v>
      </c>
      <c r="L1337" s="15">
        <v>1</v>
      </c>
      <c r="M1337" s="12" t="s">
        <v>150</v>
      </c>
      <c r="N1337" s="12">
        <v>30</v>
      </c>
      <c r="O1337" s="12">
        <v>30</v>
      </c>
      <c r="P1337" s="12">
        <v>0</v>
      </c>
      <c r="Q1337" s="16">
        <v>30</v>
      </c>
      <c r="R1337" s="16">
        <v>0</v>
      </c>
      <c r="S1337" s="16"/>
      <c r="T1337" s="16" t="e">
        <v>#N/A</v>
      </c>
      <c r="U1337" s="16" t="e">
        <v>#N/A</v>
      </c>
    </row>
    <row r="1338" spans="1:21" x14ac:dyDescent="0.25">
      <c r="A1338" s="12" t="s">
        <v>21</v>
      </c>
      <c r="B1338" s="12" t="s">
        <v>1414</v>
      </c>
      <c r="C1338" s="12" t="s">
        <v>23</v>
      </c>
      <c r="D1338" s="15">
        <v>46272.640960648147</v>
      </c>
      <c r="E1338" s="12" t="s">
        <v>661</v>
      </c>
      <c r="F1338" s="12" t="s">
        <v>201</v>
      </c>
      <c r="G1338" s="12">
        <v>30</v>
      </c>
      <c r="H1338" s="12">
        <v>30</v>
      </c>
      <c r="I1338" s="14"/>
      <c r="J1338" s="14" t="s">
        <v>61</v>
      </c>
      <c r="K1338" s="12" t="s">
        <v>1419</v>
      </c>
      <c r="L1338" s="15">
        <v>1</v>
      </c>
      <c r="M1338" s="12" t="s">
        <v>150</v>
      </c>
      <c r="N1338" s="12">
        <v>30</v>
      </c>
      <c r="O1338" s="12">
        <v>30</v>
      </c>
      <c r="P1338" s="12">
        <v>0</v>
      </c>
      <c r="Q1338" s="16">
        <v>30</v>
      </c>
      <c r="R1338" s="16">
        <v>0</v>
      </c>
      <c r="S1338" s="16"/>
      <c r="T1338" s="16" t="e">
        <v>#N/A</v>
      </c>
      <c r="U1338" s="16" t="e">
        <v>#N/A</v>
      </c>
    </row>
    <row r="1339" spans="1:21" x14ac:dyDescent="0.25">
      <c r="A1339" s="12" t="s">
        <v>21</v>
      </c>
      <c r="B1339" s="12" t="s">
        <v>1415</v>
      </c>
      <c r="C1339" s="12" t="s">
        <v>23</v>
      </c>
      <c r="D1339" s="15">
        <v>46273.296388888892</v>
      </c>
      <c r="E1339" s="12" t="s">
        <v>24</v>
      </c>
      <c r="F1339" s="12" t="s">
        <v>478</v>
      </c>
      <c r="G1339" s="12">
        <v>20</v>
      </c>
      <c r="H1339" s="12">
        <v>20</v>
      </c>
      <c r="I1339" s="14"/>
      <c r="J1339" s="14" t="s">
        <v>26</v>
      </c>
      <c r="K1339" s="12" t="s">
        <v>27</v>
      </c>
      <c r="L1339" s="15"/>
      <c r="M1339" s="12" t="s">
        <v>28</v>
      </c>
      <c r="N1339" s="12"/>
      <c r="O1339" s="12"/>
      <c r="P1339" s="12"/>
      <c r="Q1339" s="16">
        <v>0</v>
      </c>
      <c r="R1339" s="16">
        <v>0</v>
      </c>
      <c r="S1339" s="16"/>
      <c r="T1339" s="16" t="e">
        <v>#N/A</v>
      </c>
      <c r="U1339" s="16" t="e">
        <v>#N/A</v>
      </c>
    </row>
    <row r="1340" spans="1:21" x14ac:dyDescent="0.25">
      <c r="A1340" s="12" t="s">
        <v>21</v>
      </c>
      <c r="B1340" s="12" t="s">
        <v>1415</v>
      </c>
      <c r="C1340" s="12" t="s">
        <v>23</v>
      </c>
      <c r="D1340" s="15">
        <v>46273.296388888892</v>
      </c>
      <c r="E1340" s="12" t="s">
        <v>24</v>
      </c>
      <c r="F1340" s="12" t="s">
        <v>242</v>
      </c>
      <c r="G1340" s="12">
        <v>50</v>
      </c>
      <c r="H1340" s="12">
        <v>50</v>
      </c>
      <c r="I1340" s="14"/>
      <c r="J1340" s="14" t="s">
        <v>26</v>
      </c>
      <c r="K1340" s="12" t="s">
        <v>27</v>
      </c>
      <c r="L1340" s="15"/>
      <c r="M1340" s="12" t="s">
        <v>28</v>
      </c>
      <c r="N1340" s="12"/>
      <c r="O1340" s="12"/>
      <c r="P1340" s="12"/>
      <c r="Q1340" s="16">
        <v>0</v>
      </c>
      <c r="R1340" s="16">
        <v>0</v>
      </c>
      <c r="S1340" s="16"/>
      <c r="T1340" s="16" t="e">
        <v>#N/A</v>
      </c>
      <c r="U1340" s="16" t="e">
        <v>#N/A</v>
      </c>
    </row>
    <row r="1341" spans="1:21" x14ac:dyDescent="0.25">
      <c r="A1341" s="12" t="s">
        <v>21</v>
      </c>
      <c r="B1341" s="12" t="s">
        <v>1415</v>
      </c>
      <c r="C1341" s="12" t="s">
        <v>23</v>
      </c>
      <c r="D1341" s="15">
        <v>46273.296388888892</v>
      </c>
      <c r="E1341" s="12" t="s">
        <v>24</v>
      </c>
      <c r="F1341" s="12" t="s">
        <v>157</v>
      </c>
      <c r="G1341" s="12">
        <v>40</v>
      </c>
      <c r="H1341" s="12">
        <v>40</v>
      </c>
      <c r="I1341" s="14"/>
      <c r="J1341" s="14" t="s">
        <v>61</v>
      </c>
      <c r="K1341" s="12" t="s">
        <v>27</v>
      </c>
      <c r="L1341" s="15"/>
      <c r="M1341" s="12" t="s">
        <v>28</v>
      </c>
      <c r="N1341" s="12"/>
      <c r="O1341" s="12"/>
      <c r="P1341" s="12"/>
      <c r="Q1341" s="16">
        <v>32</v>
      </c>
      <c r="R1341" s="16">
        <v>0</v>
      </c>
      <c r="S1341" s="16"/>
      <c r="T1341" s="16" t="e">
        <v>#N/A</v>
      </c>
      <c r="U1341" s="16" t="e">
        <v>#N/A</v>
      </c>
    </row>
    <row r="1342" spans="1:21" x14ac:dyDescent="0.25">
      <c r="A1342" s="12" t="s">
        <v>21</v>
      </c>
      <c r="B1342" s="12" t="s">
        <v>1415</v>
      </c>
      <c r="C1342" s="12" t="s">
        <v>23</v>
      </c>
      <c r="D1342" s="15">
        <v>46273.296388888892</v>
      </c>
      <c r="E1342" s="12" t="s">
        <v>24</v>
      </c>
      <c r="F1342" s="12" t="s">
        <v>243</v>
      </c>
      <c r="G1342" s="12">
        <v>100</v>
      </c>
      <c r="H1342" s="12">
        <v>100</v>
      </c>
      <c r="I1342" s="14"/>
      <c r="J1342" s="14" t="s">
        <v>61</v>
      </c>
      <c r="K1342" s="12" t="s">
        <v>1420</v>
      </c>
      <c r="L1342" s="15">
        <v>1</v>
      </c>
      <c r="M1342" s="12" t="s">
        <v>150</v>
      </c>
      <c r="N1342" s="12">
        <v>100</v>
      </c>
      <c r="O1342" s="12">
        <v>100</v>
      </c>
      <c r="P1342" s="12">
        <v>0</v>
      </c>
      <c r="Q1342" s="16">
        <v>100</v>
      </c>
      <c r="R1342" s="16">
        <v>1</v>
      </c>
      <c r="S1342" s="16"/>
      <c r="T1342" s="16" t="e">
        <v>#N/A</v>
      </c>
      <c r="U1342" s="16" t="e">
        <v>#N/A</v>
      </c>
    </row>
    <row r="1343" spans="1:21" x14ac:dyDescent="0.25">
      <c r="A1343" s="12" t="s">
        <v>21</v>
      </c>
      <c r="B1343" s="12" t="s">
        <v>1415</v>
      </c>
      <c r="C1343" s="12" t="s">
        <v>23</v>
      </c>
      <c r="D1343" s="15">
        <v>46273.296388888892</v>
      </c>
      <c r="E1343" s="12" t="s">
        <v>24</v>
      </c>
      <c r="F1343" s="12" t="s">
        <v>1416</v>
      </c>
      <c r="G1343" s="12">
        <v>10</v>
      </c>
      <c r="H1343" s="12">
        <v>10</v>
      </c>
      <c r="I1343" s="14"/>
      <c r="J1343" s="14" t="s">
        <v>61</v>
      </c>
      <c r="K1343" s="12" t="s">
        <v>1421</v>
      </c>
      <c r="L1343" s="15">
        <v>1</v>
      </c>
      <c r="M1343" s="12" t="s">
        <v>150</v>
      </c>
      <c r="N1343" s="12">
        <v>10</v>
      </c>
      <c r="O1343" s="12">
        <v>10</v>
      </c>
      <c r="P1343" s="12">
        <v>0</v>
      </c>
      <c r="Q1343" s="16">
        <v>10</v>
      </c>
      <c r="R1343" s="16">
        <v>0</v>
      </c>
      <c r="S1343" s="16"/>
      <c r="T1343" s="16" t="e">
        <v>#N/A</v>
      </c>
      <c r="U1343" s="16" t="e">
        <v>#N/A</v>
      </c>
    </row>
    <row r="1344" spans="1:21" x14ac:dyDescent="0.25">
      <c r="A1344" s="12" t="s">
        <v>21</v>
      </c>
      <c r="B1344" s="12" t="s">
        <v>1415</v>
      </c>
      <c r="C1344" s="12" t="s">
        <v>23</v>
      </c>
      <c r="D1344" s="15">
        <v>46273.296388888892</v>
      </c>
      <c r="E1344" s="12" t="s">
        <v>24</v>
      </c>
      <c r="F1344" s="12" t="s">
        <v>412</v>
      </c>
      <c r="G1344" s="12">
        <v>15</v>
      </c>
      <c r="H1344" s="12">
        <v>15</v>
      </c>
      <c r="I1344" s="14"/>
      <c r="J1344" s="14" t="s">
        <v>26</v>
      </c>
      <c r="K1344" s="12" t="s">
        <v>27</v>
      </c>
      <c r="L1344" s="15"/>
      <c r="M1344" s="12" t="s">
        <v>28</v>
      </c>
      <c r="N1344" s="12"/>
      <c r="O1344" s="12"/>
      <c r="P1344" s="12"/>
      <c r="Q1344" s="16">
        <v>0</v>
      </c>
      <c r="R1344" s="16">
        <v>0</v>
      </c>
      <c r="S1344" s="16"/>
      <c r="T1344" s="16" t="e">
        <v>#N/A</v>
      </c>
      <c r="U1344" s="16" t="e">
        <v>#N/A</v>
      </c>
    </row>
    <row r="1345" spans="1:21" x14ac:dyDescent="0.25">
      <c r="A1345" s="12" t="s">
        <v>21</v>
      </c>
      <c r="B1345" s="12" t="s">
        <v>1415</v>
      </c>
      <c r="C1345" s="12" t="s">
        <v>23</v>
      </c>
      <c r="D1345" s="15">
        <v>46273.296388888892</v>
      </c>
      <c r="E1345" s="12" t="s">
        <v>24</v>
      </c>
      <c r="F1345" s="12" t="s">
        <v>158</v>
      </c>
      <c r="G1345" s="12">
        <v>100</v>
      </c>
      <c r="H1345" s="12">
        <v>75</v>
      </c>
      <c r="I1345" s="14"/>
      <c r="J1345" s="14" t="s">
        <v>61</v>
      </c>
      <c r="K1345" s="12" t="s">
        <v>27</v>
      </c>
      <c r="L1345" s="15"/>
      <c r="M1345" s="12" t="s">
        <v>28</v>
      </c>
      <c r="N1345" s="12"/>
      <c r="O1345" s="12"/>
      <c r="P1345" s="12"/>
      <c r="Q1345" s="16">
        <v>100</v>
      </c>
      <c r="R1345" s="16">
        <v>0</v>
      </c>
      <c r="S1345" s="16"/>
      <c r="T1345" s="16" t="e">
        <v>#N/A</v>
      </c>
      <c r="U1345" s="16" t="e">
        <v>#N/A</v>
      </c>
    </row>
    <row r="1346" spans="1:21" x14ac:dyDescent="0.25">
      <c r="A1346" s="12" t="s">
        <v>21</v>
      </c>
      <c r="B1346" s="12" t="s">
        <v>1415</v>
      </c>
      <c r="C1346" s="12" t="s">
        <v>23</v>
      </c>
      <c r="D1346" s="15">
        <v>46273.296388888892</v>
      </c>
      <c r="E1346" s="12" t="s">
        <v>24</v>
      </c>
      <c r="F1346" s="12" t="s">
        <v>245</v>
      </c>
      <c r="G1346" s="12">
        <v>300</v>
      </c>
      <c r="H1346" s="12">
        <v>300</v>
      </c>
      <c r="I1346" s="14"/>
      <c r="J1346" s="14" t="s">
        <v>61</v>
      </c>
      <c r="K1346" s="12" t="s">
        <v>1422</v>
      </c>
      <c r="L1346" s="15">
        <v>1</v>
      </c>
      <c r="M1346" s="12" t="s">
        <v>150</v>
      </c>
      <c r="N1346" s="12">
        <v>300</v>
      </c>
      <c r="O1346" s="12">
        <v>300</v>
      </c>
      <c r="P1346" s="12">
        <v>0</v>
      </c>
      <c r="Q1346" s="16">
        <v>500</v>
      </c>
      <c r="R1346" s="16">
        <v>0</v>
      </c>
      <c r="S1346" s="16"/>
      <c r="T1346" s="16" t="e">
        <v>#N/A</v>
      </c>
      <c r="U1346" s="16" t="e">
        <v>#N/A</v>
      </c>
    </row>
    <row r="1347" spans="1:21" x14ac:dyDescent="0.25">
      <c r="A1347" s="12" t="s">
        <v>21</v>
      </c>
      <c r="B1347" s="12" t="s">
        <v>1415</v>
      </c>
      <c r="C1347" s="12" t="s">
        <v>23</v>
      </c>
      <c r="D1347" s="15">
        <v>46273.296388888892</v>
      </c>
      <c r="E1347" s="12" t="s">
        <v>24</v>
      </c>
      <c r="F1347" s="12" t="s">
        <v>290</v>
      </c>
      <c r="G1347" s="12">
        <v>30</v>
      </c>
      <c r="H1347" s="12">
        <v>30</v>
      </c>
      <c r="I1347" s="14"/>
      <c r="J1347" s="14" t="s">
        <v>26</v>
      </c>
      <c r="K1347" s="12" t="s">
        <v>27</v>
      </c>
      <c r="L1347" s="15"/>
      <c r="M1347" s="12" t="s">
        <v>28</v>
      </c>
      <c r="N1347" s="12"/>
      <c r="O1347" s="12"/>
      <c r="P1347" s="12"/>
      <c r="Q1347" s="16">
        <v>0</v>
      </c>
      <c r="R1347" s="16">
        <v>2</v>
      </c>
      <c r="S1347" s="16"/>
      <c r="T1347" s="16" t="e">
        <v>#N/A</v>
      </c>
      <c r="U1347" s="16" t="e">
        <v>#N/A</v>
      </c>
    </row>
    <row r="1348" spans="1:21" x14ac:dyDescent="0.25">
      <c r="A1348" s="12" t="s">
        <v>21</v>
      </c>
      <c r="B1348" s="12" t="s">
        <v>1415</v>
      </c>
      <c r="C1348" s="12" t="s">
        <v>23</v>
      </c>
      <c r="D1348" s="15">
        <v>46273.296388888892</v>
      </c>
      <c r="E1348" s="12" t="s">
        <v>24</v>
      </c>
      <c r="F1348" s="12" t="s">
        <v>1258</v>
      </c>
      <c r="G1348" s="12">
        <v>10</v>
      </c>
      <c r="H1348" s="12">
        <v>10</v>
      </c>
      <c r="I1348" s="14"/>
      <c r="J1348" s="14" t="s">
        <v>26</v>
      </c>
      <c r="K1348" s="12" t="s">
        <v>27</v>
      </c>
      <c r="L1348" s="15"/>
      <c r="M1348" s="12" t="s">
        <v>28</v>
      </c>
      <c r="N1348" s="12"/>
      <c r="O1348" s="12"/>
      <c r="P1348" s="12"/>
      <c r="Q1348" s="16">
        <v>0</v>
      </c>
      <c r="R1348" s="16">
        <v>2</v>
      </c>
      <c r="S1348" s="16"/>
      <c r="T1348" s="16" t="e">
        <v>#N/A</v>
      </c>
      <c r="U1348" s="16" t="e">
        <v>#N/A</v>
      </c>
    </row>
    <row r="1349" spans="1:21" x14ac:dyDescent="0.25">
      <c r="A1349" s="12" t="s">
        <v>21</v>
      </c>
      <c r="B1349" s="12" t="s">
        <v>1415</v>
      </c>
      <c r="C1349" s="12" t="s">
        <v>23</v>
      </c>
      <c r="D1349" s="15">
        <v>46273.296388888892</v>
      </c>
      <c r="E1349" s="12" t="s">
        <v>24</v>
      </c>
      <c r="F1349" s="12" t="s">
        <v>159</v>
      </c>
      <c r="G1349" s="12">
        <v>40</v>
      </c>
      <c r="H1349" s="12">
        <v>40</v>
      </c>
      <c r="I1349" s="14"/>
      <c r="J1349" s="14" t="s">
        <v>26</v>
      </c>
      <c r="K1349" s="12" t="s">
        <v>27</v>
      </c>
      <c r="L1349" s="15"/>
      <c r="M1349" s="12" t="s">
        <v>28</v>
      </c>
      <c r="N1349" s="12"/>
      <c r="O1349" s="12"/>
      <c r="P1349" s="12"/>
      <c r="Q1349" s="16">
        <v>0</v>
      </c>
      <c r="R1349" s="16">
        <v>0</v>
      </c>
      <c r="S1349" s="16"/>
      <c r="T1349" s="16" t="e">
        <v>#N/A</v>
      </c>
      <c r="U1349" s="16" t="e">
        <v>#N/A</v>
      </c>
    </row>
    <row r="1350" spans="1:21" x14ac:dyDescent="0.25">
      <c r="A1350" s="12" t="s">
        <v>21</v>
      </c>
      <c r="B1350" s="12" t="s">
        <v>1415</v>
      </c>
      <c r="C1350" s="12" t="s">
        <v>23</v>
      </c>
      <c r="D1350" s="15">
        <v>46273.296388888892</v>
      </c>
      <c r="E1350" s="12" t="s">
        <v>24</v>
      </c>
      <c r="F1350" s="12" t="s">
        <v>452</v>
      </c>
      <c r="G1350" s="12">
        <v>50</v>
      </c>
      <c r="H1350" s="12">
        <v>50</v>
      </c>
      <c r="I1350" s="14"/>
      <c r="J1350" s="14" t="s">
        <v>26</v>
      </c>
      <c r="K1350" s="12" t="s">
        <v>27</v>
      </c>
      <c r="L1350" s="15"/>
      <c r="M1350" s="12" t="s">
        <v>28</v>
      </c>
      <c r="N1350" s="12"/>
      <c r="O1350" s="12"/>
      <c r="P1350" s="12"/>
      <c r="Q1350" s="16">
        <v>0</v>
      </c>
      <c r="R1350" s="16">
        <v>71</v>
      </c>
      <c r="S1350" s="16"/>
      <c r="T1350" s="16" t="e">
        <v>#N/A</v>
      </c>
      <c r="U1350" s="16" t="e">
        <v>#N/A</v>
      </c>
    </row>
    <row r="1351" spans="1:21" x14ac:dyDescent="0.25">
      <c r="A1351" s="12" t="s">
        <v>21</v>
      </c>
      <c r="B1351" s="12" t="s">
        <v>1415</v>
      </c>
      <c r="C1351" s="12" t="s">
        <v>23</v>
      </c>
      <c r="D1351" s="15">
        <v>46273.296388888892</v>
      </c>
      <c r="E1351" s="12" t="s">
        <v>24</v>
      </c>
      <c r="F1351" s="12" t="s">
        <v>1344</v>
      </c>
      <c r="G1351" s="12">
        <v>200</v>
      </c>
      <c r="H1351" s="12">
        <v>200</v>
      </c>
      <c r="I1351" s="14"/>
      <c r="J1351" s="14" t="s">
        <v>61</v>
      </c>
      <c r="K1351" s="12" t="s">
        <v>1423</v>
      </c>
      <c r="L1351" s="15">
        <v>1</v>
      </c>
      <c r="M1351" s="12" t="s">
        <v>150</v>
      </c>
      <c r="N1351" s="12">
        <v>200</v>
      </c>
      <c r="O1351" s="12">
        <v>200</v>
      </c>
      <c r="P1351" s="12">
        <v>0</v>
      </c>
      <c r="Q1351" s="16">
        <v>500</v>
      </c>
      <c r="R1351" s="16">
        <v>1</v>
      </c>
      <c r="S1351" s="16"/>
      <c r="T1351" s="16" t="e">
        <v>#N/A</v>
      </c>
      <c r="U1351" s="16" t="e">
        <v>#N/A</v>
      </c>
    </row>
    <row r="1352" spans="1:21" x14ac:dyDescent="0.25">
      <c r="A1352" s="12" t="s">
        <v>21</v>
      </c>
      <c r="B1352" s="12" t="s">
        <v>1415</v>
      </c>
      <c r="C1352" s="12" t="s">
        <v>23</v>
      </c>
      <c r="D1352" s="15">
        <v>46273.296388888892</v>
      </c>
      <c r="E1352" s="12" t="s">
        <v>24</v>
      </c>
      <c r="F1352" s="12" t="s">
        <v>1417</v>
      </c>
      <c r="G1352" s="12">
        <v>10</v>
      </c>
      <c r="H1352" s="12">
        <v>10</v>
      </c>
      <c r="I1352" s="14"/>
      <c r="J1352" s="14" t="s">
        <v>26</v>
      </c>
      <c r="K1352" s="12" t="s">
        <v>27</v>
      </c>
      <c r="L1352" s="15"/>
      <c r="M1352" s="12" t="s">
        <v>28</v>
      </c>
      <c r="N1352" s="12"/>
      <c r="O1352" s="12"/>
      <c r="P1352" s="12"/>
      <c r="Q1352" s="16">
        <v>0</v>
      </c>
      <c r="R1352" s="16">
        <v>0</v>
      </c>
      <c r="S1352" s="16"/>
      <c r="T1352" s="16" t="e">
        <v>#N/A</v>
      </c>
      <c r="U1352" s="16" t="e">
        <v>#N/A</v>
      </c>
    </row>
    <row r="1353" spans="1:21" x14ac:dyDescent="0.25">
      <c r="A1353" s="12" t="s">
        <v>21</v>
      </c>
      <c r="B1353" s="12" t="s">
        <v>1415</v>
      </c>
      <c r="C1353" s="12" t="s">
        <v>23</v>
      </c>
      <c r="D1353" s="15">
        <v>46273.296388888892</v>
      </c>
      <c r="E1353" s="12" t="s">
        <v>24</v>
      </c>
      <c r="F1353" s="12" t="s">
        <v>1345</v>
      </c>
      <c r="G1353" s="12">
        <v>16</v>
      </c>
      <c r="H1353" s="12">
        <v>16</v>
      </c>
      <c r="I1353" s="14"/>
      <c r="J1353" s="14" t="s">
        <v>26</v>
      </c>
      <c r="K1353" s="12" t="s">
        <v>27</v>
      </c>
      <c r="L1353" s="15"/>
      <c r="M1353" s="12" t="s">
        <v>28</v>
      </c>
      <c r="N1353" s="12"/>
      <c r="O1353" s="12"/>
      <c r="P1353" s="12"/>
      <c r="Q1353" s="16">
        <v>0</v>
      </c>
      <c r="R1353" s="16">
        <v>0</v>
      </c>
      <c r="S1353" s="16"/>
      <c r="T1353" s="16" t="e">
        <v>#N/A</v>
      </c>
      <c r="U1353" s="16" t="e">
        <v>#N/A</v>
      </c>
    </row>
    <row r="1354" spans="1:21" x14ac:dyDescent="0.25">
      <c r="A1354" s="12" t="s">
        <v>21</v>
      </c>
      <c r="B1354" s="12" t="s">
        <v>1415</v>
      </c>
      <c r="C1354" s="12" t="s">
        <v>23</v>
      </c>
      <c r="D1354" s="15">
        <v>46273.296388888892</v>
      </c>
      <c r="E1354" s="12" t="s">
        <v>24</v>
      </c>
      <c r="F1354" s="12" t="s">
        <v>246</v>
      </c>
      <c r="G1354" s="12">
        <v>40</v>
      </c>
      <c r="H1354" s="12">
        <v>40</v>
      </c>
      <c r="I1354" s="14"/>
      <c r="J1354" s="14" t="s">
        <v>26</v>
      </c>
      <c r="K1354" s="12" t="s">
        <v>27</v>
      </c>
      <c r="L1354" s="15"/>
      <c r="M1354" s="12" t="s">
        <v>28</v>
      </c>
      <c r="N1354" s="12"/>
      <c r="O1354" s="12"/>
      <c r="P1354" s="12"/>
      <c r="Q1354" s="16">
        <v>0</v>
      </c>
      <c r="R1354" s="16">
        <v>0</v>
      </c>
      <c r="S1354" s="16"/>
      <c r="T1354" s="16" t="e">
        <v>#N/A</v>
      </c>
      <c r="U1354" s="16" t="e">
        <v>#N/A</v>
      </c>
    </row>
    <row r="1355" spans="1:21" x14ac:dyDescent="0.25">
      <c r="A1355" s="12" t="s">
        <v>21</v>
      </c>
      <c r="B1355" s="12" t="s">
        <v>1415</v>
      </c>
      <c r="C1355" s="12" t="s">
        <v>23</v>
      </c>
      <c r="D1355" s="15">
        <v>46273.296388888892</v>
      </c>
      <c r="E1355" s="12" t="s">
        <v>24</v>
      </c>
      <c r="F1355" s="12" t="s">
        <v>1018</v>
      </c>
      <c r="G1355" s="12">
        <v>15</v>
      </c>
      <c r="H1355" s="12">
        <v>15</v>
      </c>
      <c r="I1355" s="14"/>
      <c r="J1355" s="14" t="s">
        <v>26</v>
      </c>
      <c r="K1355" s="12" t="s">
        <v>27</v>
      </c>
      <c r="L1355" s="15"/>
      <c r="M1355" s="12" t="s">
        <v>28</v>
      </c>
      <c r="N1355" s="12"/>
      <c r="O1355" s="12"/>
      <c r="P1355" s="12"/>
      <c r="Q1355" s="16">
        <v>0</v>
      </c>
      <c r="R1355" s="16">
        <v>0</v>
      </c>
      <c r="S1355" s="16"/>
      <c r="T1355" s="16" t="e">
        <v>#N/A</v>
      </c>
      <c r="U1355" s="16" t="e">
        <v>#N/A</v>
      </c>
    </row>
    <row r="1356" spans="1:21" x14ac:dyDescent="0.25">
      <c r="A1356" s="12" t="s">
        <v>21</v>
      </c>
      <c r="B1356" s="12" t="s">
        <v>1415</v>
      </c>
      <c r="C1356" s="12" t="s">
        <v>23</v>
      </c>
      <c r="D1356" s="15">
        <v>46273.296388888892</v>
      </c>
      <c r="E1356" s="12" t="s">
        <v>24</v>
      </c>
      <c r="F1356" s="12" t="s">
        <v>1164</v>
      </c>
      <c r="G1356" s="12">
        <v>50</v>
      </c>
      <c r="H1356" s="12">
        <v>50</v>
      </c>
      <c r="I1356" s="14"/>
      <c r="J1356" s="14" t="s">
        <v>61</v>
      </c>
      <c r="K1356" s="12" t="s">
        <v>1424</v>
      </c>
      <c r="L1356" s="15">
        <v>1</v>
      </c>
      <c r="M1356" s="12" t="s">
        <v>150</v>
      </c>
      <c r="N1356" s="12">
        <v>50</v>
      </c>
      <c r="O1356" s="12">
        <v>50</v>
      </c>
      <c r="P1356" s="12">
        <v>0</v>
      </c>
      <c r="Q1356" s="16">
        <v>50</v>
      </c>
      <c r="R1356" s="16">
        <v>0</v>
      </c>
      <c r="S1356" s="16"/>
      <c r="T1356" s="16" t="e">
        <v>#N/A</v>
      </c>
      <c r="U1356" s="16" t="e">
        <v>#N/A</v>
      </c>
    </row>
    <row r="1357" spans="1:21" x14ac:dyDescent="0.25">
      <c r="A1357" s="12" t="s">
        <v>21</v>
      </c>
      <c r="B1357" s="12" t="s">
        <v>1415</v>
      </c>
      <c r="C1357" s="12" t="s">
        <v>23</v>
      </c>
      <c r="D1357" s="15">
        <v>46273.296388888892</v>
      </c>
      <c r="E1357" s="12" t="s">
        <v>24</v>
      </c>
      <c r="F1357" s="12" t="s">
        <v>1166</v>
      </c>
      <c r="G1357" s="12">
        <v>80</v>
      </c>
      <c r="H1357" s="12">
        <v>80</v>
      </c>
      <c r="I1357" s="14"/>
      <c r="J1357" s="14" t="s">
        <v>61</v>
      </c>
      <c r="K1357" s="12" t="s">
        <v>1425</v>
      </c>
      <c r="L1357" s="15">
        <v>1</v>
      </c>
      <c r="M1357" s="12" t="s">
        <v>150</v>
      </c>
      <c r="N1357" s="12">
        <v>80</v>
      </c>
      <c r="O1357" s="12">
        <v>80</v>
      </c>
      <c r="P1357" s="12">
        <v>0</v>
      </c>
      <c r="Q1357" s="16">
        <v>220</v>
      </c>
      <c r="R1357" s="16">
        <v>0</v>
      </c>
      <c r="S1357" s="16"/>
      <c r="T1357" s="16" t="e">
        <v>#N/A</v>
      </c>
      <c r="U1357" s="16" t="e">
        <v>#N/A</v>
      </c>
    </row>
    <row r="1358" spans="1:21" x14ac:dyDescent="0.25">
      <c r="A1358" s="12" t="s">
        <v>21</v>
      </c>
      <c r="B1358" s="12" t="s">
        <v>1415</v>
      </c>
      <c r="C1358" s="12" t="s">
        <v>23</v>
      </c>
      <c r="D1358" s="15">
        <v>46273.296388888892</v>
      </c>
      <c r="E1358" s="12" t="s">
        <v>24</v>
      </c>
      <c r="F1358" s="12" t="s">
        <v>201</v>
      </c>
      <c r="G1358" s="12">
        <v>120</v>
      </c>
      <c r="H1358" s="12">
        <v>120</v>
      </c>
      <c r="I1358" s="14"/>
      <c r="J1358" s="14" t="s">
        <v>61</v>
      </c>
      <c r="K1358" s="12" t="s">
        <v>27</v>
      </c>
      <c r="L1358" s="15"/>
      <c r="M1358" s="12" t="s">
        <v>28</v>
      </c>
      <c r="N1358" s="12"/>
      <c r="O1358" s="12"/>
      <c r="P1358" s="12"/>
      <c r="Q1358" s="16">
        <v>220</v>
      </c>
      <c r="R1358" s="16">
        <v>0</v>
      </c>
      <c r="S1358" s="16"/>
      <c r="T1358" s="16" t="e">
        <v>#N/A</v>
      </c>
      <c r="U1358" s="16" t="e">
        <v>#N/A</v>
      </c>
    </row>
    <row r="1359" spans="1:21" x14ac:dyDescent="0.25">
      <c r="A1359" s="12" t="s">
        <v>21</v>
      </c>
      <c r="B1359" s="12" t="s">
        <v>1415</v>
      </c>
      <c r="C1359" s="12" t="s">
        <v>23</v>
      </c>
      <c r="D1359" s="15">
        <v>46273.296388888892</v>
      </c>
      <c r="E1359" s="12" t="s">
        <v>24</v>
      </c>
      <c r="F1359" s="12" t="s">
        <v>253</v>
      </c>
      <c r="G1359" s="12">
        <v>60</v>
      </c>
      <c r="H1359" s="12">
        <v>60</v>
      </c>
      <c r="I1359" s="14"/>
      <c r="J1359" s="14" t="s">
        <v>61</v>
      </c>
      <c r="K1359" s="12" t="s">
        <v>1426</v>
      </c>
      <c r="L1359" s="15">
        <v>1</v>
      </c>
      <c r="M1359" s="12" t="s">
        <v>150</v>
      </c>
      <c r="N1359" s="12">
        <v>60</v>
      </c>
      <c r="O1359" s="12">
        <v>60</v>
      </c>
      <c r="P1359" s="12">
        <v>0</v>
      </c>
      <c r="Q1359" s="16">
        <v>220</v>
      </c>
      <c r="R1359" s="16">
        <v>0</v>
      </c>
      <c r="S1359" s="16"/>
      <c r="T1359" s="16" t="e">
        <v>#N/A</v>
      </c>
      <c r="U1359" s="16" t="e">
        <v>#N/A</v>
      </c>
    </row>
    <row r="1360" spans="1:21" x14ac:dyDescent="0.25">
      <c r="A1360" s="12" t="s">
        <v>21</v>
      </c>
      <c r="B1360" s="12" t="s">
        <v>1415</v>
      </c>
      <c r="C1360" s="12" t="s">
        <v>23</v>
      </c>
      <c r="D1360" s="15">
        <v>46273.296388888892</v>
      </c>
      <c r="E1360" s="12" t="s">
        <v>24</v>
      </c>
      <c r="F1360" s="12" t="s">
        <v>566</v>
      </c>
      <c r="G1360" s="12">
        <v>50</v>
      </c>
      <c r="H1360" s="12">
        <v>50</v>
      </c>
      <c r="I1360" s="14"/>
      <c r="J1360" s="14" t="s">
        <v>61</v>
      </c>
      <c r="K1360" s="12" t="s">
        <v>1427</v>
      </c>
      <c r="L1360" s="15">
        <v>1</v>
      </c>
      <c r="M1360" s="12" t="s">
        <v>150</v>
      </c>
      <c r="N1360" s="12">
        <v>50</v>
      </c>
      <c r="O1360" s="12">
        <v>50</v>
      </c>
      <c r="P1360" s="12">
        <v>0</v>
      </c>
      <c r="Q1360" s="16">
        <v>150</v>
      </c>
      <c r="R1360" s="16">
        <v>0</v>
      </c>
      <c r="S1360" s="16"/>
      <c r="T1360" s="16" t="e">
        <v>#N/A</v>
      </c>
      <c r="U1360" s="16" t="e">
        <v>#N/A</v>
      </c>
    </row>
    <row r="1361" spans="1:21" x14ac:dyDescent="0.25">
      <c r="A1361" s="12" t="s">
        <v>21</v>
      </c>
      <c r="B1361" s="12" t="s">
        <v>1415</v>
      </c>
      <c r="C1361" s="12" t="s">
        <v>23</v>
      </c>
      <c r="D1361" s="15">
        <v>46273.296388888892</v>
      </c>
      <c r="E1361" s="12" t="s">
        <v>24</v>
      </c>
      <c r="F1361" s="12" t="s">
        <v>567</v>
      </c>
      <c r="G1361" s="12">
        <v>50</v>
      </c>
      <c r="H1361" s="12">
        <v>50</v>
      </c>
      <c r="I1361" s="14"/>
      <c r="J1361" s="14" t="s">
        <v>61</v>
      </c>
      <c r="K1361" s="12" t="s">
        <v>1428</v>
      </c>
      <c r="L1361" s="15">
        <v>1</v>
      </c>
      <c r="M1361" s="12" t="s">
        <v>150</v>
      </c>
      <c r="N1361" s="12">
        <v>50</v>
      </c>
      <c r="O1361" s="12">
        <v>50</v>
      </c>
      <c r="P1361" s="12">
        <v>0</v>
      </c>
      <c r="Q1361" s="16">
        <v>150</v>
      </c>
      <c r="R1361" s="16">
        <v>0</v>
      </c>
      <c r="S1361" s="16"/>
      <c r="T1361" s="16" t="e">
        <v>#N/A</v>
      </c>
      <c r="U1361" s="16" t="e">
        <v>#N/A</v>
      </c>
    </row>
    <row r="1362" spans="1:21" x14ac:dyDescent="0.25">
      <c r="A1362" s="12" t="s">
        <v>21</v>
      </c>
      <c r="B1362" s="12" t="s">
        <v>1415</v>
      </c>
      <c r="C1362" s="12" t="s">
        <v>23</v>
      </c>
      <c r="D1362" s="15">
        <v>46273.296388888892</v>
      </c>
      <c r="E1362" s="12" t="s">
        <v>24</v>
      </c>
      <c r="F1362" s="12" t="s">
        <v>1429</v>
      </c>
      <c r="G1362" s="12">
        <v>78</v>
      </c>
      <c r="H1362" s="12">
        <v>39</v>
      </c>
      <c r="I1362" s="14"/>
      <c r="J1362" s="14" t="s">
        <v>26</v>
      </c>
      <c r="K1362" s="12" t="s">
        <v>27</v>
      </c>
      <c r="L1362" s="15"/>
      <c r="M1362" s="12" t="s">
        <v>28</v>
      </c>
      <c r="N1362" s="12"/>
      <c r="O1362" s="12"/>
      <c r="P1362" s="12"/>
      <c r="Q1362" s="16">
        <v>0</v>
      </c>
      <c r="R1362" s="16">
        <v>0</v>
      </c>
      <c r="S1362" s="16"/>
      <c r="T1362" s="16" t="e">
        <v>#N/A</v>
      </c>
      <c r="U1362" s="16" t="e">
        <v>#N/A</v>
      </c>
    </row>
    <row r="1363" spans="1:21" x14ac:dyDescent="0.25">
      <c r="A1363" s="12" t="s">
        <v>21</v>
      </c>
      <c r="B1363" s="12" t="s">
        <v>1415</v>
      </c>
      <c r="C1363" s="12" t="s">
        <v>23</v>
      </c>
      <c r="D1363" s="15">
        <v>46273.296388888892</v>
      </c>
      <c r="E1363" s="12" t="s">
        <v>24</v>
      </c>
      <c r="F1363" s="12" t="s">
        <v>1353</v>
      </c>
      <c r="G1363" s="12">
        <v>32</v>
      </c>
      <c r="H1363" s="12">
        <v>32</v>
      </c>
      <c r="I1363" s="14"/>
      <c r="J1363" s="14" t="s">
        <v>61</v>
      </c>
      <c r="K1363" s="12" t="s">
        <v>1431</v>
      </c>
      <c r="L1363" s="15">
        <v>1</v>
      </c>
      <c r="M1363" s="12" t="s">
        <v>150</v>
      </c>
      <c r="N1363" s="12">
        <v>32</v>
      </c>
      <c r="O1363" s="12">
        <v>32</v>
      </c>
      <c r="P1363" s="12">
        <v>0</v>
      </c>
      <c r="Q1363" s="16">
        <v>32</v>
      </c>
      <c r="R1363" s="16">
        <v>0</v>
      </c>
      <c r="S1363" s="16"/>
      <c r="T1363" s="16" t="e">
        <v>#N/A</v>
      </c>
      <c r="U1363" s="16" t="e">
        <v>#N/A</v>
      </c>
    </row>
    <row r="1364" spans="1:21" x14ac:dyDescent="0.25">
      <c r="A1364" s="12" t="s">
        <v>21</v>
      </c>
      <c r="B1364" s="12" t="s">
        <v>1415</v>
      </c>
      <c r="C1364" s="12" t="s">
        <v>23</v>
      </c>
      <c r="D1364" s="15">
        <v>46273.296388888892</v>
      </c>
      <c r="E1364" s="12" t="s">
        <v>24</v>
      </c>
      <c r="F1364" s="12" t="s">
        <v>320</v>
      </c>
      <c r="G1364" s="12">
        <v>500</v>
      </c>
      <c r="H1364" s="12">
        <v>500</v>
      </c>
      <c r="I1364" s="14"/>
      <c r="J1364" s="14" t="s">
        <v>61</v>
      </c>
      <c r="K1364" s="12" t="s">
        <v>27</v>
      </c>
      <c r="L1364" s="15"/>
      <c r="M1364" s="12" t="s">
        <v>28</v>
      </c>
      <c r="N1364" s="12"/>
      <c r="O1364" s="12"/>
      <c r="P1364" s="12"/>
      <c r="Q1364" s="16">
        <v>150</v>
      </c>
      <c r="R1364" s="16">
        <v>1</v>
      </c>
      <c r="S1364" s="16"/>
      <c r="T1364" s="16" t="e">
        <v>#N/A</v>
      </c>
      <c r="U1364" s="16" t="e">
        <v>#N/A</v>
      </c>
    </row>
    <row r="1365" spans="1:21" x14ac:dyDescent="0.25">
      <c r="A1365" s="12" t="s">
        <v>21</v>
      </c>
      <c r="B1365" s="12" t="s">
        <v>1415</v>
      </c>
      <c r="C1365" s="12" t="s">
        <v>23</v>
      </c>
      <c r="D1365" s="15">
        <v>46273.296388888892</v>
      </c>
      <c r="E1365" s="12" t="s">
        <v>24</v>
      </c>
      <c r="F1365" s="12" t="s">
        <v>1399</v>
      </c>
      <c r="G1365" s="12">
        <v>40</v>
      </c>
      <c r="H1365" s="12">
        <v>40</v>
      </c>
      <c r="I1365" s="14"/>
      <c r="J1365" s="14" t="s">
        <v>61</v>
      </c>
      <c r="K1365" s="12" t="s">
        <v>1432</v>
      </c>
      <c r="L1365" s="15">
        <v>1</v>
      </c>
      <c r="M1365" s="12" t="s">
        <v>150</v>
      </c>
      <c r="N1365" s="12">
        <v>40</v>
      </c>
      <c r="O1365" s="12">
        <v>40</v>
      </c>
      <c r="P1365" s="12">
        <v>0</v>
      </c>
      <c r="Q1365" s="16">
        <v>40</v>
      </c>
      <c r="R1365" s="16">
        <v>0</v>
      </c>
      <c r="S1365" s="16"/>
      <c r="T1365" s="16" t="e">
        <v>#N/A</v>
      </c>
      <c r="U1365" s="16" t="e">
        <v>#N/A</v>
      </c>
    </row>
    <row r="1366" spans="1:21" x14ac:dyDescent="0.25">
      <c r="A1366" s="12" t="s">
        <v>21</v>
      </c>
      <c r="B1366" s="12" t="s">
        <v>1415</v>
      </c>
      <c r="C1366" s="12" t="s">
        <v>23</v>
      </c>
      <c r="D1366" s="15">
        <v>46273.296388888892</v>
      </c>
      <c r="E1366" s="12" t="s">
        <v>24</v>
      </c>
      <c r="F1366" s="12" t="s">
        <v>1245</v>
      </c>
      <c r="G1366" s="12">
        <v>80</v>
      </c>
      <c r="H1366" s="12">
        <v>80</v>
      </c>
      <c r="I1366" s="14"/>
      <c r="J1366" s="14" t="s">
        <v>61</v>
      </c>
      <c r="K1366" s="12" t="s">
        <v>1433</v>
      </c>
      <c r="L1366" s="15">
        <v>1</v>
      </c>
      <c r="M1366" s="12" t="s">
        <v>150</v>
      </c>
      <c r="N1366" s="12">
        <v>80</v>
      </c>
      <c r="O1366" s="12">
        <v>80</v>
      </c>
      <c r="P1366" s="12">
        <v>0</v>
      </c>
      <c r="Q1366" s="16">
        <v>220</v>
      </c>
      <c r="R1366" s="16">
        <v>7</v>
      </c>
      <c r="S1366" s="16"/>
      <c r="T1366" s="16" t="e">
        <v>#N/A</v>
      </c>
      <c r="U1366" s="16" t="e">
        <v>#N/A</v>
      </c>
    </row>
    <row r="1367" spans="1:21" x14ac:dyDescent="0.25">
      <c r="A1367" s="12" t="s">
        <v>21</v>
      </c>
      <c r="B1367" s="12" t="s">
        <v>1415</v>
      </c>
      <c r="C1367" s="12" t="s">
        <v>23</v>
      </c>
      <c r="D1367" s="15">
        <v>46273.296388888892</v>
      </c>
      <c r="E1367" s="12" t="s">
        <v>24</v>
      </c>
      <c r="F1367" s="12" t="s">
        <v>1430</v>
      </c>
      <c r="G1367" s="12">
        <v>50</v>
      </c>
      <c r="H1367" s="12">
        <v>50</v>
      </c>
      <c r="I1367" s="14"/>
      <c r="J1367" s="14" t="s">
        <v>61</v>
      </c>
      <c r="K1367" s="12" t="s">
        <v>1434</v>
      </c>
      <c r="L1367" s="15">
        <v>1</v>
      </c>
      <c r="M1367" s="12" t="s">
        <v>150</v>
      </c>
      <c r="N1367" s="12">
        <v>50</v>
      </c>
      <c r="O1367" s="12">
        <v>50</v>
      </c>
      <c r="P1367" s="12">
        <v>0</v>
      </c>
      <c r="Q1367" s="16">
        <v>150</v>
      </c>
      <c r="R1367" s="16">
        <v>120</v>
      </c>
      <c r="S1367" s="16"/>
      <c r="T1367" s="16" t="e">
        <v>#N/A</v>
      </c>
      <c r="U1367" s="16" t="e">
        <v>#N/A</v>
      </c>
    </row>
    <row r="1368" spans="1:21" x14ac:dyDescent="0.25">
      <c r="A1368" s="12" t="s">
        <v>21</v>
      </c>
      <c r="B1368" s="12" t="s">
        <v>1415</v>
      </c>
      <c r="C1368" s="12" t="s">
        <v>23</v>
      </c>
      <c r="D1368" s="15">
        <v>46273.296388888892</v>
      </c>
      <c r="E1368" s="12" t="s">
        <v>24</v>
      </c>
      <c r="F1368" s="12" t="s">
        <v>573</v>
      </c>
      <c r="G1368" s="12">
        <v>300</v>
      </c>
      <c r="H1368" s="12">
        <v>300</v>
      </c>
      <c r="I1368" s="14"/>
      <c r="J1368" s="14" t="s">
        <v>61</v>
      </c>
      <c r="K1368" s="12" t="s">
        <v>27</v>
      </c>
      <c r="L1368" s="15"/>
      <c r="M1368" s="12" t="s">
        <v>28</v>
      </c>
      <c r="N1368" s="12"/>
      <c r="O1368" s="12"/>
      <c r="P1368" s="12"/>
      <c r="Q1368" s="16">
        <v>40</v>
      </c>
      <c r="R1368" s="16">
        <v>4</v>
      </c>
      <c r="S1368" s="16"/>
      <c r="T1368" s="16" t="e">
        <v>#N/A</v>
      </c>
      <c r="U1368" s="16" t="e">
        <v>#N/A</v>
      </c>
    </row>
    <row r="1369" spans="1:21" x14ac:dyDescent="0.25">
      <c r="A1369" s="12" t="s">
        <v>21</v>
      </c>
      <c r="B1369" s="12" t="s">
        <v>1435</v>
      </c>
      <c r="C1369" s="12" t="s">
        <v>23</v>
      </c>
      <c r="D1369" s="15">
        <v>46273.406053240738</v>
      </c>
      <c r="E1369" s="12" t="s">
        <v>258</v>
      </c>
      <c r="F1369" s="12" t="s">
        <v>657</v>
      </c>
      <c r="G1369" s="12">
        <v>60</v>
      </c>
      <c r="H1369" s="12">
        <v>60</v>
      </c>
      <c r="I1369" s="14"/>
      <c r="J1369" s="14" t="s">
        <v>61</v>
      </c>
      <c r="K1369" s="12" t="s">
        <v>1442</v>
      </c>
      <c r="L1369" s="15">
        <v>1</v>
      </c>
      <c r="M1369" s="12" t="s">
        <v>150</v>
      </c>
      <c r="N1369" s="12">
        <v>60</v>
      </c>
      <c r="O1369" s="12">
        <v>60</v>
      </c>
      <c r="P1369" s="12">
        <v>0</v>
      </c>
      <c r="Q1369" s="16">
        <v>60</v>
      </c>
      <c r="R1369" s="16">
        <v>0</v>
      </c>
      <c r="S1369" s="16"/>
      <c r="T1369" s="16" t="e">
        <v>#N/A</v>
      </c>
      <c r="U1369" s="16" t="e">
        <v>#N/A</v>
      </c>
    </row>
    <row r="1370" spans="1:21" x14ac:dyDescent="0.25">
      <c r="A1370" s="12" t="s">
        <v>21</v>
      </c>
      <c r="B1370" s="12" t="s">
        <v>1436</v>
      </c>
      <c r="C1370" s="12" t="s">
        <v>23</v>
      </c>
      <c r="D1370" s="15">
        <v>46273.416817129626</v>
      </c>
      <c r="E1370" s="12" t="s">
        <v>1439</v>
      </c>
      <c r="F1370" s="12" t="s">
        <v>438</v>
      </c>
      <c r="G1370" s="12">
        <v>200</v>
      </c>
      <c r="H1370" s="12">
        <v>200</v>
      </c>
      <c r="I1370" s="14"/>
      <c r="J1370" s="14" t="s">
        <v>26</v>
      </c>
      <c r="K1370" s="12" t="s">
        <v>27</v>
      </c>
      <c r="L1370" s="15"/>
      <c r="M1370" s="12" t="s">
        <v>28</v>
      </c>
      <c r="N1370" s="12"/>
      <c r="O1370" s="12"/>
      <c r="P1370" s="12"/>
      <c r="Q1370" s="16">
        <v>0</v>
      </c>
      <c r="R1370" s="16">
        <v>0</v>
      </c>
      <c r="S1370" s="16"/>
      <c r="T1370" s="16" t="e">
        <v>#N/A</v>
      </c>
      <c r="U1370" s="16" t="e">
        <v>#N/A</v>
      </c>
    </row>
    <row r="1371" spans="1:21" x14ac:dyDescent="0.25">
      <c r="A1371" s="12" t="s">
        <v>21</v>
      </c>
      <c r="B1371" s="12" t="s">
        <v>1436</v>
      </c>
      <c r="C1371" s="12" t="s">
        <v>23</v>
      </c>
      <c r="D1371" s="15">
        <v>46273.416817129626</v>
      </c>
      <c r="E1371" s="12" t="s">
        <v>1439</v>
      </c>
      <c r="F1371" s="12" t="s">
        <v>535</v>
      </c>
      <c r="G1371" s="12">
        <v>160</v>
      </c>
      <c r="H1371" s="12">
        <v>160</v>
      </c>
      <c r="I1371" s="14"/>
      <c r="J1371" s="14" t="s">
        <v>26</v>
      </c>
      <c r="K1371" s="12" t="s">
        <v>27</v>
      </c>
      <c r="L1371" s="15"/>
      <c r="M1371" s="12" t="s">
        <v>28</v>
      </c>
      <c r="N1371" s="12"/>
      <c r="O1371" s="12"/>
      <c r="P1371" s="12"/>
      <c r="Q1371" s="16">
        <v>0</v>
      </c>
      <c r="R1371" s="16">
        <v>0</v>
      </c>
      <c r="S1371" s="16"/>
      <c r="T1371" s="16" t="e">
        <v>#N/A</v>
      </c>
      <c r="U1371" s="16" t="e">
        <v>#N/A</v>
      </c>
    </row>
    <row r="1372" spans="1:21" x14ac:dyDescent="0.25">
      <c r="A1372" s="12" t="s">
        <v>21</v>
      </c>
      <c r="B1372" s="12" t="s">
        <v>1437</v>
      </c>
      <c r="C1372" s="12" t="s">
        <v>23</v>
      </c>
      <c r="D1372" s="15">
        <v>46273.419074074074</v>
      </c>
      <c r="E1372" s="12" t="s">
        <v>258</v>
      </c>
      <c r="F1372" s="12" t="s">
        <v>1440</v>
      </c>
      <c r="G1372" s="12">
        <v>2</v>
      </c>
      <c r="H1372" s="12">
        <v>2</v>
      </c>
      <c r="I1372" s="14"/>
      <c r="J1372" s="14" t="s">
        <v>61</v>
      </c>
      <c r="K1372" s="12" t="s">
        <v>1443</v>
      </c>
      <c r="L1372" s="15">
        <v>1</v>
      </c>
      <c r="M1372" s="12" t="s">
        <v>150</v>
      </c>
      <c r="N1372" s="12">
        <v>2</v>
      </c>
      <c r="O1372" s="12">
        <v>2</v>
      </c>
      <c r="P1372" s="12">
        <v>0</v>
      </c>
      <c r="Q1372" s="16">
        <v>2</v>
      </c>
      <c r="R1372" s="16">
        <v>0</v>
      </c>
      <c r="S1372" s="16"/>
      <c r="T1372" s="16" t="e">
        <v>#N/A</v>
      </c>
      <c r="U1372" s="16" t="e">
        <v>#N/A</v>
      </c>
    </row>
    <row r="1373" spans="1:21" x14ac:dyDescent="0.25">
      <c r="A1373" s="12" t="s">
        <v>21</v>
      </c>
      <c r="B1373" s="12" t="s">
        <v>1438</v>
      </c>
      <c r="C1373" s="12" t="s">
        <v>23</v>
      </c>
      <c r="D1373" s="15">
        <v>46273.420740740738</v>
      </c>
      <c r="E1373" s="12" t="s">
        <v>717</v>
      </c>
      <c r="F1373" s="12" t="s">
        <v>1441</v>
      </c>
      <c r="G1373" s="12">
        <v>600</v>
      </c>
      <c r="H1373" s="12">
        <v>600</v>
      </c>
      <c r="I1373" s="14"/>
      <c r="J1373" s="14" t="s">
        <v>26</v>
      </c>
      <c r="K1373" s="12" t="s">
        <v>1444</v>
      </c>
      <c r="L1373" s="15">
        <v>1</v>
      </c>
      <c r="M1373" s="12" t="s">
        <v>150</v>
      </c>
      <c r="N1373" s="12">
        <v>600</v>
      </c>
      <c r="O1373" s="12">
        <v>600</v>
      </c>
      <c r="P1373" s="12">
        <v>0</v>
      </c>
      <c r="Q1373" s="16">
        <v>0</v>
      </c>
      <c r="R1373" s="16">
        <v>28863</v>
      </c>
      <c r="S1373" s="16"/>
      <c r="T1373" s="16" t="e">
        <v>#N/A</v>
      </c>
      <c r="U1373" s="16" t="e">
        <v>#N/A</v>
      </c>
    </row>
    <row r="1374" spans="1:21" x14ac:dyDescent="0.25">
      <c r="A1374" s="12" t="s">
        <v>21</v>
      </c>
      <c r="B1374" s="12" t="s">
        <v>1438</v>
      </c>
      <c r="C1374" s="12" t="s">
        <v>23</v>
      </c>
      <c r="D1374" s="15">
        <v>46273.420740740738</v>
      </c>
      <c r="E1374" s="12" t="s">
        <v>717</v>
      </c>
      <c r="F1374" s="12" t="s">
        <v>320</v>
      </c>
      <c r="G1374" s="12">
        <v>26</v>
      </c>
      <c r="H1374" s="12">
        <v>26</v>
      </c>
      <c r="I1374" s="14"/>
      <c r="J1374" s="14" t="s">
        <v>61</v>
      </c>
      <c r="K1374" s="12" t="s">
        <v>1445</v>
      </c>
      <c r="L1374" s="15">
        <v>1</v>
      </c>
      <c r="M1374" s="12" t="s">
        <v>150</v>
      </c>
      <c r="N1374" s="12">
        <v>26</v>
      </c>
      <c r="O1374" s="12">
        <v>26</v>
      </c>
      <c r="P1374" s="12">
        <v>0</v>
      </c>
      <c r="Q1374" s="16">
        <v>26</v>
      </c>
      <c r="R1374" s="16">
        <v>1</v>
      </c>
      <c r="S1374" s="16"/>
      <c r="T1374" s="16" t="e">
        <v>#N/A</v>
      </c>
      <c r="U1374" s="16" t="e">
        <v>#N/A</v>
      </c>
    </row>
    <row r="1375" spans="1:21" x14ac:dyDescent="0.25">
      <c r="A1375" s="12" t="s">
        <v>21</v>
      </c>
      <c r="B1375" s="12" t="s">
        <v>1438</v>
      </c>
      <c r="C1375" s="12" t="s">
        <v>23</v>
      </c>
      <c r="D1375" s="15">
        <v>46273.420740740738</v>
      </c>
      <c r="E1375" s="12" t="s">
        <v>717</v>
      </c>
      <c r="F1375" s="12" t="s">
        <v>134</v>
      </c>
      <c r="G1375" s="12">
        <v>140</v>
      </c>
      <c r="H1375" s="12">
        <v>140</v>
      </c>
      <c r="I1375" s="14"/>
      <c r="J1375" s="14" t="s">
        <v>26</v>
      </c>
      <c r="K1375" s="12" t="s">
        <v>27</v>
      </c>
      <c r="L1375" s="15"/>
      <c r="M1375" s="12" t="s">
        <v>28</v>
      </c>
      <c r="N1375" s="12"/>
      <c r="O1375" s="12"/>
      <c r="P1375" s="12"/>
      <c r="Q1375" s="16">
        <v>0</v>
      </c>
      <c r="R1375" s="16">
        <v>6</v>
      </c>
      <c r="S1375" s="16"/>
      <c r="T1375" s="16" t="e">
        <v>#N/A</v>
      </c>
      <c r="U1375" s="16" t="e">
        <v>#N/A</v>
      </c>
    </row>
    <row r="1376" spans="1:21" x14ac:dyDescent="0.25">
      <c r="A1376" s="12" t="s">
        <v>21</v>
      </c>
      <c r="B1376" s="12" t="s">
        <v>1438</v>
      </c>
      <c r="C1376" s="12" t="s">
        <v>23</v>
      </c>
      <c r="D1376" s="15">
        <v>46273.420740740738</v>
      </c>
      <c r="E1376" s="12" t="s">
        <v>717</v>
      </c>
      <c r="F1376" s="12" t="s">
        <v>371</v>
      </c>
      <c r="G1376" s="12">
        <v>450</v>
      </c>
      <c r="H1376" s="12">
        <v>450</v>
      </c>
      <c r="I1376" s="14"/>
      <c r="J1376" s="14" t="s">
        <v>26</v>
      </c>
      <c r="K1376" s="12" t="s">
        <v>27</v>
      </c>
      <c r="L1376" s="15"/>
      <c r="M1376" s="12" t="s">
        <v>28</v>
      </c>
      <c r="N1376" s="12"/>
      <c r="O1376" s="12"/>
      <c r="P1376" s="12"/>
      <c r="Q1376" s="16">
        <v>0</v>
      </c>
      <c r="R1376" s="16">
        <v>1</v>
      </c>
      <c r="S1376" s="16"/>
      <c r="T1376" s="16" t="e">
        <v>#N/A</v>
      </c>
      <c r="U1376" s="16" t="e">
        <v>#N/A</v>
      </c>
    </row>
    <row r="1377" spans="1:21" x14ac:dyDescent="0.25">
      <c r="A1377" s="12" t="s">
        <v>21</v>
      </c>
      <c r="B1377" s="12" t="s">
        <v>1438</v>
      </c>
      <c r="C1377" s="12" t="s">
        <v>23</v>
      </c>
      <c r="D1377" s="15">
        <v>46273.420740740738</v>
      </c>
      <c r="E1377" s="12" t="s">
        <v>717</v>
      </c>
      <c r="F1377" s="12" t="s">
        <v>573</v>
      </c>
      <c r="G1377" s="12">
        <v>11</v>
      </c>
      <c r="H1377" s="12">
        <v>11</v>
      </c>
      <c r="I1377" s="14"/>
      <c r="J1377" s="14" t="s">
        <v>61</v>
      </c>
      <c r="K1377" s="12" t="s">
        <v>1446</v>
      </c>
      <c r="L1377" s="15">
        <v>1</v>
      </c>
      <c r="M1377" s="12" t="s">
        <v>150</v>
      </c>
      <c r="N1377" s="12">
        <v>11</v>
      </c>
      <c r="O1377" s="12">
        <v>11</v>
      </c>
      <c r="P1377" s="12">
        <v>0</v>
      </c>
      <c r="Q1377" s="16">
        <v>11</v>
      </c>
      <c r="R1377" s="16">
        <v>4</v>
      </c>
      <c r="S1377" s="16"/>
      <c r="T1377" s="16" t="e">
        <v>#N/A</v>
      </c>
      <c r="U1377" s="16" t="e">
        <v>#N/A</v>
      </c>
    </row>
    <row r="1378" spans="1:21" x14ac:dyDescent="0.25">
      <c r="A1378" s="12" t="s">
        <v>21</v>
      </c>
      <c r="B1378" s="12" t="s">
        <v>1447</v>
      </c>
      <c r="C1378" s="12" t="s">
        <v>23</v>
      </c>
      <c r="D1378" s="15">
        <v>46273.421990740739</v>
      </c>
      <c r="E1378" s="12" t="s">
        <v>717</v>
      </c>
      <c r="F1378" s="12" t="s">
        <v>320</v>
      </c>
      <c r="G1378" s="12">
        <v>10</v>
      </c>
      <c r="H1378" s="12">
        <v>10</v>
      </c>
      <c r="I1378" s="14"/>
      <c r="J1378" s="14" t="s">
        <v>61</v>
      </c>
      <c r="K1378" s="12" t="s">
        <v>1448</v>
      </c>
      <c r="L1378" s="15">
        <v>1</v>
      </c>
      <c r="M1378" s="12" t="s">
        <v>150</v>
      </c>
      <c r="N1378" s="12">
        <v>10</v>
      </c>
      <c r="O1378" s="12">
        <v>10</v>
      </c>
      <c r="P1378" s="12">
        <v>0</v>
      </c>
      <c r="Q1378" s="16">
        <v>10</v>
      </c>
      <c r="R1378" s="16">
        <v>1</v>
      </c>
      <c r="S1378" s="16"/>
      <c r="T1378" s="16" t="e">
        <v>#N/A</v>
      </c>
      <c r="U1378" s="16" t="e">
        <v>#N/A</v>
      </c>
    </row>
    <row r="1379" spans="1:21" x14ac:dyDescent="0.25">
      <c r="A1379" s="12" t="s">
        <v>21</v>
      </c>
      <c r="B1379" s="12" t="s">
        <v>1449</v>
      </c>
      <c r="C1379" s="12" t="s">
        <v>23</v>
      </c>
      <c r="D1379" s="15">
        <v>46273.493506944447</v>
      </c>
      <c r="E1379" s="12" t="s">
        <v>24</v>
      </c>
      <c r="F1379" s="12" t="s">
        <v>40</v>
      </c>
      <c r="G1379" s="12">
        <v>6</v>
      </c>
      <c r="H1379" s="12">
        <v>6</v>
      </c>
      <c r="I1379" s="14"/>
      <c r="J1379" s="14" t="s">
        <v>26</v>
      </c>
      <c r="K1379" s="12" t="s">
        <v>27</v>
      </c>
      <c r="L1379" s="15"/>
      <c r="M1379" s="12" t="s">
        <v>28</v>
      </c>
      <c r="N1379" s="12"/>
      <c r="O1379" s="12"/>
      <c r="P1379" s="12"/>
      <c r="Q1379" s="16">
        <v>0</v>
      </c>
      <c r="R1379" s="16">
        <v>934</v>
      </c>
      <c r="S1379" s="16"/>
      <c r="T1379" s="16" t="e">
        <v>#N/A</v>
      </c>
      <c r="U1379" s="16" t="e">
        <v>#N/A</v>
      </c>
    </row>
    <row r="1380" spans="1:21" x14ac:dyDescent="0.25">
      <c r="A1380" s="12" t="s">
        <v>21</v>
      </c>
      <c r="B1380" s="12" t="s">
        <v>1449</v>
      </c>
      <c r="C1380" s="12" t="s">
        <v>23</v>
      </c>
      <c r="D1380" s="15">
        <v>46273.493506944447</v>
      </c>
      <c r="E1380" s="12" t="s">
        <v>24</v>
      </c>
      <c r="F1380" s="12" t="s">
        <v>297</v>
      </c>
      <c r="G1380" s="12">
        <v>2</v>
      </c>
      <c r="H1380" s="12">
        <v>2</v>
      </c>
      <c r="I1380" s="14"/>
      <c r="J1380" s="14" t="s">
        <v>26</v>
      </c>
      <c r="K1380" s="12" t="s">
        <v>27</v>
      </c>
      <c r="L1380" s="15"/>
      <c r="M1380" s="12" t="s">
        <v>28</v>
      </c>
      <c r="N1380" s="12"/>
      <c r="O1380" s="12"/>
      <c r="P1380" s="12"/>
      <c r="Q1380" s="16">
        <v>0</v>
      </c>
      <c r="R1380" s="16">
        <v>535</v>
      </c>
      <c r="S1380" s="16"/>
      <c r="T1380" s="16" t="e">
        <v>#N/A</v>
      </c>
      <c r="U1380" s="16" t="e">
        <v>#N/A</v>
      </c>
    </row>
    <row r="1381" spans="1:21" x14ac:dyDescent="0.25">
      <c r="A1381" s="12" t="s">
        <v>21</v>
      </c>
      <c r="B1381" s="12" t="s">
        <v>1449</v>
      </c>
      <c r="C1381" s="12" t="s">
        <v>23</v>
      </c>
      <c r="D1381" s="15">
        <v>46273.493506944447</v>
      </c>
      <c r="E1381" s="12" t="s">
        <v>24</v>
      </c>
      <c r="F1381" s="12" t="s">
        <v>42</v>
      </c>
      <c r="G1381" s="12">
        <v>2</v>
      </c>
      <c r="H1381" s="12">
        <v>2</v>
      </c>
      <c r="I1381" s="14"/>
      <c r="J1381" s="14" t="s">
        <v>26</v>
      </c>
      <c r="K1381" s="12" t="s">
        <v>27</v>
      </c>
      <c r="L1381" s="15"/>
      <c r="M1381" s="12" t="s">
        <v>28</v>
      </c>
      <c r="N1381" s="12"/>
      <c r="O1381" s="12"/>
      <c r="P1381" s="12"/>
      <c r="Q1381" s="16">
        <v>0</v>
      </c>
      <c r="R1381" s="16">
        <v>0</v>
      </c>
      <c r="S1381" s="16"/>
      <c r="T1381" s="16" t="e">
        <v>#N/A</v>
      </c>
      <c r="U1381" s="16" t="e">
        <v>#N/A</v>
      </c>
    </row>
    <row r="1382" spans="1:21" x14ac:dyDescent="0.25">
      <c r="A1382" s="12" t="s">
        <v>21</v>
      </c>
      <c r="B1382" s="12" t="s">
        <v>1449</v>
      </c>
      <c r="C1382" s="12" t="s">
        <v>23</v>
      </c>
      <c r="D1382" s="15">
        <v>46273.493506944447</v>
      </c>
      <c r="E1382" s="12" t="s">
        <v>24</v>
      </c>
      <c r="F1382" s="12" t="s">
        <v>298</v>
      </c>
      <c r="G1382" s="12">
        <v>2</v>
      </c>
      <c r="H1382" s="12">
        <v>2</v>
      </c>
      <c r="I1382" s="14"/>
      <c r="J1382" s="14" t="s">
        <v>26</v>
      </c>
      <c r="K1382" s="12" t="s">
        <v>27</v>
      </c>
      <c r="L1382" s="15"/>
      <c r="M1382" s="12" t="s">
        <v>28</v>
      </c>
      <c r="N1382" s="12"/>
      <c r="O1382" s="12"/>
      <c r="P1382" s="12"/>
      <c r="Q1382" s="16">
        <v>0</v>
      </c>
      <c r="R1382" s="16">
        <v>848</v>
      </c>
      <c r="S1382" s="16"/>
      <c r="T1382" s="16" t="e">
        <v>#N/A</v>
      </c>
      <c r="U1382" s="16" t="e">
        <v>#N/A</v>
      </c>
    </row>
    <row r="1383" spans="1:21" x14ac:dyDescent="0.25">
      <c r="A1383" s="12" t="s">
        <v>21</v>
      </c>
      <c r="B1383" s="12" t="s">
        <v>1449</v>
      </c>
      <c r="C1383" s="12" t="s">
        <v>23</v>
      </c>
      <c r="D1383" s="15">
        <v>46273.493506944447</v>
      </c>
      <c r="E1383" s="12" t="s">
        <v>24</v>
      </c>
      <c r="F1383" s="12" t="s">
        <v>1450</v>
      </c>
      <c r="G1383" s="12">
        <v>8</v>
      </c>
      <c r="H1383" s="12">
        <v>8</v>
      </c>
      <c r="I1383" s="14"/>
      <c r="J1383" s="14" t="s">
        <v>26</v>
      </c>
      <c r="K1383" s="12" t="s">
        <v>27</v>
      </c>
      <c r="L1383" s="15"/>
      <c r="M1383" s="12" t="s">
        <v>28</v>
      </c>
      <c r="N1383" s="12"/>
      <c r="O1383" s="12"/>
      <c r="P1383" s="12"/>
      <c r="Q1383" s="16">
        <v>0</v>
      </c>
      <c r="R1383" s="16">
        <v>375</v>
      </c>
      <c r="S1383" s="16"/>
      <c r="T1383" s="16" t="e">
        <v>#N/A</v>
      </c>
      <c r="U1383" s="16" t="e">
        <v>#N/A</v>
      </c>
    </row>
    <row r="1384" spans="1:21" x14ac:dyDescent="0.25">
      <c r="A1384" s="12" t="s">
        <v>21</v>
      </c>
      <c r="B1384" s="12" t="s">
        <v>1449</v>
      </c>
      <c r="C1384" s="12" t="s">
        <v>23</v>
      </c>
      <c r="D1384" s="15">
        <v>46273.493506944447</v>
      </c>
      <c r="E1384" s="12" t="s">
        <v>24</v>
      </c>
      <c r="F1384" s="12" t="s">
        <v>1451</v>
      </c>
      <c r="G1384" s="12">
        <v>4</v>
      </c>
      <c r="H1384" s="12">
        <v>4</v>
      </c>
      <c r="I1384" s="14"/>
      <c r="J1384" s="14" t="s">
        <v>26</v>
      </c>
      <c r="K1384" s="12" t="s">
        <v>27</v>
      </c>
      <c r="L1384" s="15"/>
      <c r="M1384" s="12" t="s">
        <v>28</v>
      </c>
      <c r="N1384" s="12"/>
      <c r="O1384" s="12"/>
      <c r="P1384" s="12"/>
      <c r="Q1384" s="16">
        <v>0</v>
      </c>
      <c r="R1384" s="16">
        <v>127</v>
      </c>
      <c r="S1384" s="16"/>
      <c r="T1384" s="16" t="e">
        <v>#N/A</v>
      </c>
      <c r="U1384" s="16" t="e">
        <v>#N/A</v>
      </c>
    </row>
    <row r="1385" spans="1:21" x14ac:dyDescent="0.25">
      <c r="A1385" s="12" t="s">
        <v>21</v>
      </c>
      <c r="B1385" s="12" t="s">
        <v>1449</v>
      </c>
      <c r="C1385" s="12" t="s">
        <v>23</v>
      </c>
      <c r="D1385" s="15">
        <v>46273.493506944447</v>
      </c>
      <c r="E1385" s="12" t="s">
        <v>24</v>
      </c>
      <c r="F1385" s="12" t="s">
        <v>1452</v>
      </c>
      <c r="G1385" s="12">
        <v>4</v>
      </c>
      <c r="H1385" s="12">
        <v>4</v>
      </c>
      <c r="I1385" s="14"/>
      <c r="J1385" s="14" t="s">
        <v>26</v>
      </c>
      <c r="K1385" s="12" t="s">
        <v>27</v>
      </c>
      <c r="L1385" s="15"/>
      <c r="M1385" s="12" t="s">
        <v>28</v>
      </c>
      <c r="N1385" s="12"/>
      <c r="O1385" s="12"/>
      <c r="P1385" s="12"/>
      <c r="Q1385" s="16">
        <v>0</v>
      </c>
      <c r="R1385" s="16">
        <v>179</v>
      </c>
      <c r="S1385" s="16"/>
      <c r="T1385" s="16" t="e">
        <v>#N/A</v>
      </c>
      <c r="U1385" s="16" t="e">
        <v>#N/A</v>
      </c>
    </row>
    <row r="1386" spans="1:21" x14ac:dyDescent="0.25">
      <c r="A1386" s="12" t="s">
        <v>21</v>
      </c>
      <c r="B1386" s="12" t="s">
        <v>1449</v>
      </c>
      <c r="C1386" s="12" t="s">
        <v>23</v>
      </c>
      <c r="D1386" s="15">
        <v>46273.493506944447</v>
      </c>
      <c r="E1386" s="12" t="s">
        <v>24</v>
      </c>
      <c r="F1386" s="12" t="s">
        <v>1453</v>
      </c>
      <c r="G1386" s="12">
        <v>2</v>
      </c>
      <c r="H1386" s="12">
        <v>2</v>
      </c>
      <c r="I1386" s="14"/>
      <c r="J1386" s="14" t="s">
        <v>26</v>
      </c>
      <c r="K1386" s="12" t="s">
        <v>27</v>
      </c>
      <c r="L1386" s="15"/>
      <c r="M1386" s="12" t="s">
        <v>28</v>
      </c>
      <c r="N1386" s="12"/>
      <c r="O1386" s="12"/>
      <c r="P1386" s="12"/>
      <c r="Q1386" s="16">
        <v>0</v>
      </c>
      <c r="R1386" s="16">
        <v>30</v>
      </c>
      <c r="S1386" s="16"/>
      <c r="T1386" s="16" t="e">
        <v>#N/A</v>
      </c>
      <c r="U1386" s="16" t="e">
        <v>#N/A</v>
      </c>
    </row>
    <row r="1387" spans="1:21" x14ac:dyDescent="0.25">
      <c r="A1387" s="12" t="s">
        <v>21</v>
      </c>
      <c r="B1387" s="12" t="s">
        <v>1449</v>
      </c>
      <c r="C1387" s="12" t="s">
        <v>23</v>
      </c>
      <c r="D1387" s="15">
        <v>46273.493506944447</v>
      </c>
      <c r="E1387" s="12" t="s">
        <v>24</v>
      </c>
      <c r="F1387" s="12" t="s">
        <v>1454</v>
      </c>
      <c r="G1387" s="12">
        <v>4</v>
      </c>
      <c r="H1387" s="12">
        <v>4</v>
      </c>
      <c r="I1387" s="14"/>
      <c r="J1387" s="14" t="s">
        <v>26</v>
      </c>
      <c r="K1387" s="12" t="s">
        <v>27</v>
      </c>
      <c r="L1387" s="15"/>
      <c r="M1387" s="12" t="s">
        <v>28</v>
      </c>
      <c r="N1387" s="12"/>
      <c r="O1387" s="12"/>
      <c r="P1387" s="12"/>
      <c r="Q1387" s="16">
        <v>0</v>
      </c>
      <c r="R1387" s="16">
        <v>565</v>
      </c>
      <c r="S1387" s="16"/>
      <c r="T1387" s="16" t="e">
        <v>#N/A</v>
      </c>
      <c r="U1387" s="16" t="e">
        <v>#N/A</v>
      </c>
    </row>
    <row r="1388" spans="1:21" x14ac:dyDescent="0.25">
      <c r="A1388" s="12" t="s">
        <v>21</v>
      </c>
      <c r="B1388" s="12" t="s">
        <v>1449</v>
      </c>
      <c r="C1388" s="12" t="s">
        <v>23</v>
      </c>
      <c r="D1388" s="15">
        <v>46273.493506944447</v>
      </c>
      <c r="E1388" s="12" t="s">
        <v>24</v>
      </c>
      <c r="F1388" s="12" t="s">
        <v>44</v>
      </c>
      <c r="G1388" s="12">
        <v>50</v>
      </c>
      <c r="H1388" s="12">
        <v>50</v>
      </c>
      <c r="I1388" s="14"/>
      <c r="J1388" s="14" t="s">
        <v>26</v>
      </c>
      <c r="K1388" s="12" t="s">
        <v>27</v>
      </c>
      <c r="L1388" s="15"/>
      <c r="M1388" s="12" t="s">
        <v>28</v>
      </c>
      <c r="N1388" s="12"/>
      <c r="O1388" s="12"/>
      <c r="P1388" s="12"/>
      <c r="Q1388" s="16">
        <v>0</v>
      </c>
      <c r="R1388" s="16">
        <v>75</v>
      </c>
      <c r="S1388" s="16"/>
      <c r="T1388" s="16" t="e">
        <v>#N/A</v>
      </c>
      <c r="U1388" s="16" t="e">
        <v>#N/A</v>
      </c>
    </row>
    <row r="1389" spans="1:21" x14ac:dyDescent="0.25">
      <c r="A1389" s="12" t="s">
        <v>21</v>
      </c>
      <c r="B1389" s="12" t="s">
        <v>1449</v>
      </c>
      <c r="C1389" s="12" t="s">
        <v>23</v>
      </c>
      <c r="D1389" s="15">
        <v>46273.493506944447</v>
      </c>
      <c r="E1389" s="12" t="s">
        <v>24</v>
      </c>
      <c r="F1389" s="12" t="s">
        <v>1455</v>
      </c>
      <c r="G1389" s="12">
        <v>8</v>
      </c>
      <c r="H1389" s="12">
        <v>8</v>
      </c>
      <c r="I1389" s="14"/>
      <c r="J1389" s="14" t="s">
        <v>26</v>
      </c>
      <c r="K1389" s="12" t="s">
        <v>27</v>
      </c>
      <c r="L1389" s="15"/>
      <c r="M1389" s="12" t="s">
        <v>28</v>
      </c>
      <c r="N1389" s="12"/>
      <c r="O1389" s="12"/>
      <c r="P1389" s="12"/>
      <c r="Q1389" s="16">
        <v>0</v>
      </c>
      <c r="R1389" s="16">
        <v>231</v>
      </c>
      <c r="S1389" s="16"/>
      <c r="T1389" s="16" t="e">
        <v>#N/A</v>
      </c>
      <c r="U1389" s="16" t="e">
        <v>#N/A</v>
      </c>
    </row>
    <row r="1390" spans="1:21" x14ac:dyDescent="0.25">
      <c r="A1390" s="12" t="s">
        <v>21</v>
      </c>
      <c r="B1390" s="12" t="s">
        <v>1449</v>
      </c>
      <c r="C1390" s="12" t="s">
        <v>23</v>
      </c>
      <c r="D1390" s="15">
        <v>46273.493506944447</v>
      </c>
      <c r="E1390" s="12" t="s">
        <v>24</v>
      </c>
      <c r="F1390" s="12" t="s">
        <v>1456</v>
      </c>
      <c r="G1390" s="12">
        <v>50</v>
      </c>
      <c r="H1390" s="12">
        <v>50</v>
      </c>
      <c r="I1390" s="14"/>
      <c r="J1390" s="14" t="s">
        <v>26</v>
      </c>
      <c r="K1390" s="12" t="s">
        <v>27</v>
      </c>
      <c r="L1390" s="15"/>
      <c r="M1390" s="12" t="s">
        <v>28</v>
      </c>
      <c r="N1390" s="12"/>
      <c r="O1390" s="12"/>
      <c r="P1390" s="12"/>
      <c r="Q1390" s="16">
        <v>0</v>
      </c>
      <c r="R1390" s="16">
        <v>8031</v>
      </c>
      <c r="S1390" s="16"/>
      <c r="T1390" s="16" t="e">
        <v>#N/A</v>
      </c>
      <c r="U1390" s="16" t="e">
        <v>#N/A</v>
      </c>
    </row>
    <row r="1391" spans="1:21" x14ac:dyDescent="0.25">
      <c r="A1391" s="12" t="s">
        <v>21</v>
      </c>
      <c r="B1391" s="12" t="s">
        <v>1449</v>
      </c>
      <c r="C1391" s="12" t="s">
        <v>23</v>
      </c>
      <c r="D1391" s="15">
        <v>46273.493506944447</v>
      </c>
      <c r="E1391" s="12" t="s">
        <v>24</v>
      </c>
      <c r="F1391" s="12" t="s">
        <v>1457</v>
      </c>
      <c r="G1391" s="12">
        <v>8</v>
      </c>
      <c r="H1391" s="12">
        <v>8</v>
      </c>
      <c r="I1391" s="14"/>
      <c r="J1391" s="14" t="s">
        <v>26</v>
      </c>
      <c r="K1391" s="12" t="s">
        <v>27</v>
      </c>
      <c r="L1391" s="15"/>
      <c r="M1391" s="12" t="s">
        <v>28</v>
      </c>
      <c r="N1391" s="12"/>
      <c r="O1391" s="12"/>
      <c r="P1391" s="12"/>
      <c r="Q1391" s="16">
        <v>0</v>
      </c>
      <c r="R1391" s="16">
        <v>2461</v>
      </c>
      <c r="S1391" s="16"/>
      <c r="T1391" s="16" t="e">
        <v>#N/A</v>
      </c>
      <c r="U1391" s="16" t="e">
        <v>#N/A</v>
      </c>
    </row>
    <row r="1392" spans="1:21" x14ac:dyDescent="0.25">
      <c r="A1392" s="12" t="s">
        <v>21</v>
      </c>
      <c r="B1392" s="12" t="s">
        <v>1449</v>
      </c>
      <c r="C1392" s="12" t="s">
        <v>23</v>
      </c>
      <c r="D1392" s="15">
        <v>46273.493506944447</v>
      </c>
      <c r="E1392" s="12" t="s">
        <v>24</v>
      </c>
      <c r="F1392" s="12" t="s">
        <v>1458</v>
      </c>
      <c r="G1392" s="12">
        <v>12</v>
      </c>
      <c r="H1392" s="12">
        <v>12</v>
      </c>
      <c r="I1392" s="14"/>
      <c r="J1392" s="14" t="s">
        <v>26</v>
      </c>
      <c r="K1392" s="12" t="s">
        <v>27</v>
      </c>
      <c r="L1392" s="15"/>
      <c r="M1392" s="12" t="s">
        <v>28</v>
      </c>
      <c r="N1392" s="12"/>
      <c r="O1392" s="12"/>
      <c r="P1392" s="12"/>
      <c r="Q1392" s="16">
        <v>0</v>
      </c>
      <c r="R1392" s="16">
        <v>3452</v>
      </c>
      <c r="S1392" s="16"/>
      <c r="T1392" s="16" t="e">
        <v>#N/A</v>
      </c>
      <c r="U1392" s="16" t="e">
        <v>#N/A</v>
      </c>
    </row>
    <row r="1393" spans="1:21" x14ac:dyDescent="0.25">
      <c r="A1393" s="12" t="s">
        <v>21</v>
      </c>
      <c r="B1393" s="12" t="s">
        <v>1449</v>
      </c>
      <c r="C1393" s="12" t="s">
        <v>23</v>
      </c>
      <c r="D1393" s="15">
        <v>46273.493506944447</v>
      </c>
      <c r="E1393" s="12" t="s">
        <v>24</v>
      </c>
      <c r="F1393" s="12" t="s">
        <v>1459</v>
      </c>
      <c r="G1393" s="12">
        <v>8</v>
      </c>
      <c r="H1393" s="12">
        <v>8</v>
      </c>
      <c r="I1393" s="14"/>
      <c r="J1393" s="14" t="s">
        <v>26</v>
      </c>
      <c r="K1393" s="12" t="s">
        <v>27</v>
      </c>
      <c r="L1393" s="15"/>
      <c r="M1393" s="12" t="s">
        <v>28</v>
      </c>
      <c r="N1393" s="12"/>
      <c r="O1393" s="12"/>
      <c r="P1393" s="12"/>
      <c r="Q1393" s="16">
        <v>0</v>
      </c>
      <c r="R1393" s="16">
        <v>2298</v>
      </c>
      <c r="S1393" s="16"/>
      <c r="T1393" s="16" t="e">
        <v>#N/A</v>
      </c>
      <c r="U1393" s="16" t="e">
        <v>#N/A</v>
      </c>
    </row>
    <row r="1394" spans="1:21" x14ac:dyDescent="0.25">
      <c r="A1394" s="12" t="s">
        <v>21</v>
      </c>
      <c r="B1394" s="12" t="s">
        <v>1449</v>
      </c>
      <c r="C1394" s="12" t="s">
        <v>23</v>
      </c>
      <c r="D1394" s="15">
        <v>46273.493506944447</v>
      </c>
      <c r="E1394" s="12" t="s">
        <v>24</v>
      </c>
      <c r="F1394" s="12" t="s">
        <v>313</v>
      </c>
      <c r="G1394" s="12">
        <v>40</v>
      </c>
      <c r="H1394" s="12">
        <v>40</v>
      </c>
      <c r="I1394" s="14"/>
      <c r="J1394" s="14" t="s">
        <v>26</v>
      </c>
      <c r="K1394" s="12" t="s">
        <v>27</v>
      </c>
      <c r="L1394" s="15"/>
      <c r="M1394" s="12" t="s">
        <v>28</v>
      </c>
      <c r="N1394" s="12"/>
      <c r="O1394" s="12"/>
      <c r="P1394" s="12"/>
      <c r="Q1394" s="16">
        <v>0</v>
      </c>
      <c r="R1394" s="16">
        <v>25</v>
      </c>
      <c r="S1394" s="16"/>
      <c r="T1394" s="16" t="e">
        <v>#N/A</v>
      </c>
      <c r="U1394" s="16" t="e">
        <v>#N/A</v>
      </c>
    </row>
    <row r="1395" spans="1:21" x14ac:dyDescent="0.25">
      <c r="A1395" s="12" t="s">
        <v>21</v>
      </c>
      <c r="B1395" s="12" t="s">
        <v>1449</v>
      </c>
      <c r="C1395" s="12" t="s">
        <v>23</v>
      </c>
      <c r="D1395" s="15">
        <v>46273.493506944447</v>
      </c>
      <c r="E1395" s="12" t="s">
        <v>24</v>
      </c>
      <c r="F1395" s="12" t="s">
        <v>314</v>
      </c>
      <c r="G1395" s="12">
        <v>100</v>
      </c>
      <c r="H1395" s="12">
        <v>100</v>
      </c>
      <c r="I1395" s="14"/>
      <c r="J1395" s="14" t="s">
        <v>26</v>
      </c>
      <c r="K1395" s="12" t="s">
        <v>27</v>
      </c>
      <c r="L1395" s="15"/>
      <c r="M1395" s="12" t="s">
        <v>28</v>
      </c>
      <c r="N1395" s="12"/>
      <c r="O1395" s="12"/>
      <c r="P1395" s="12"/>
      <c r="Q1395" s="16">
        <v>0</v>
      </c>
      <c r="R1395" s="16">
        <v>24390</v>
      </c>
      <c r="S1395" s="16"/>
      <c r="T1395" s="16" t="e">
        <v>#N/A</v>
      </c>
      <c r="U1395" s="16" t="e">
        <v>#N/A</v>
      </c>
    </row>
    <row r="1396" spans="1:21" x14ac:dyDescent="0.25">
      <c r="A1396" s="12" t="s">
        <v>21</v>
      </c>
      <c r="B1396" s="12" t="s">
        <v>1449</v>
      </c>
      <c r="C1396" s="12" t="s">
        <v>23</v>
      </c>
      <c r="D1396" s="15">
        <v>46273.493506944447</v>
      </c>
      <c r="E1396" s="12" t="s">
        <v>24</v>
      </c>
      <c r="F1396" s="12" t="s">
        <v>1460</v>
      </c>
      <c r="G1396" s="12">
        <v>2</v>
      </c>
      <c r="H1396" s="12">
        <v>2</v>
      </c>
      <c r="I1396" s="14"/>
      <c r="J1396" s="14" t="s">
        <v>26</v>
      </c>
      <c r="K1396" s="12" t="s">
        <v>27</v>
      </c>
      <c r="L1396" s="15"/>
      <c r="M1396" s="12" t="s">
        <v>28</v>
      </c>
      <c r="N1396" s="12"/>
      <c r="O1396" s="12"/>
      <c r="P1396" s="12"/>
      <c r="Q1396" s="16">
        <v>0</v>
      </c>
      <c r="R1396" s="16">
        <v>1</v>
      </c>
      <c r="S1396" s="16"/>
      <c r="T1396" s="16" t="e">
        <v>#N/A</v>
      </c>
      <c r="U1396" s="16" t="e">
        <v>#N/A</v>
      </c>
    </row>
    <row r="1397" spans="1:21" x14ac:dyDescent="0.25">
      <c r="A1397" s="12" t="s">
        <v>21</v>
      </c>
      <c r="B1397" s="12" t="s">
        <v>1449</v>
      </c>
      <c r="C1397" s="12" t="s">
        <v>23</v>
      </c>
      <c r="D1397" s="15">
        <v>46273.493506944447</v>
      </c>
      <c r="E1397" s="12" t="s">
        <v>24</v>
      </c>
      <c r="F1397" s="12" t="s">
        <v>1461</v>
      </c>
      <c r="G1397" s="12">
        <v>2</v>
      </c>
      <c r="H1397" s="12">
        <v>2</v>
      </c>
      <c r="I1397" s="14"/>
      <c r="J1397" s="14" t="s">
        <v>26</v>
      </c>
      <c r="K1397" s="12" t="s">
        <v>27</v>
      </c>
      <c r="L1397" s="15"/>
      <c r="M1397" s="12" t="s">
        <v>28</v>
      </c>
      <c r="N1397" s="12"/>
      <c r="O1397" s="12"/>
      <c r="P1397" s="12"/>
      <c r="Q1397" s="16">
        <v>0</v>
      </c>
      <c r="R1397" s="16">
        <v>0</v>
      </c>
      <c r="S1397" s="16"/>
      <c r="T1397" s="16" t="e">
        <v>#N/A</v>
      </c>
      <c r="U1397" s="16" t="e">
        <v>#N/A</v>
      </c>
    </row>
    <row r="1398" spans="1:21" x14ac:dyDescent="0.25">
      <c r="A1398" s="12" t="s">
        <v>21</v>
      </c>
      <c r="B1398" s="12" t="s">
        <v>1449</v>
      </c>
      <c r="C1398" s="12" t="s">
        <v>23</v>
      </c>
      <c r="D1398" s="15">
        <v>46273.493506944447</v>
      </c>
      <c r="E1398" s="12" t="s">
        <v>24</v>
      </c>
      <c r="F1398" s="12" t="s">
        <v>1462</v>
      </c>
      <c r="G1398" s="12">
        <v>2</v>
      </c>
      <c r="H1398" s="12">
        <v>2</v>
      </c>
      <c r="I1398" s="14"/>
      <c r="J1398" s="14" t="s">
        <v>26</v>
      </c>
      <c r="K1398" s="12" t="s">
        <v>27</v>
      </c>
      <c r="L1398" s="15"/>
      <c r="M1398" s="12" t="s">
        <v>28</v>
      </c>
      <c r="N1398" s="12"/>
      <c r="O1398" s="12"/>
      <c r="P1398" s="12"/>
      <c r="Q1398" s="16">
        <v>0</v>
      </c>
      <c r="R1398" s="16">
        <v>0</v>
      </c>
      <c r="S1398" s="16"/>
      <c r="T1398" s="16" t="e">
        <v>#N/A</v>
      </c>
      <c r="U1398" s="16" t="e">
        <v>#N/A</v>
      </c>
    </row>
    <row r="1399" spans="1:21" x14ac:dyDescent="0.25">
      <c r="A1399" s="12" t="s">
        <v>21</v>
      </c>
      <c r="B1399" s="12" t="s">
        <v>1449</v>
      </c>
      <c r="C1399" s="12" t="s">
        <v>23</v>
      </c>
      <c r="D1399" s="15">
        <v>46273.493506944447</v>
      </c>
      <c r="E1399" s="12" t="s">
        <v>24</v>
      </c>
      <c r="F1399" s="12" t="s">
        <v>1463</v>
      </c>
      <c r="G1399" s="12">
        <v>1</v>
      </c>
      <c r="H1399" s="12">
        <v>1</v>
      </c>
      <c r="I1399" s="14"/>
      <c r="J1399" s="14" t="s">
        <v>26</v>
      </c>
      <c r="K1399" s="12" t="s">
        <v>27</v>
      </c>
      <c r="L1399" s="15"/>
      <c r="M1399" s="12" t="s">
        <v>28</v>
      </c>
      <c r="N1399" s="12"/>
      <c r="O1399" s="12"/>
      <c r="P1399" s="12"/>
      <c r="Q1399" s="16">
        <v>0</v>
      </c>
      <c r="R1399" s="16">
        <v>0</v>
      </c>
      <c r="S1399" s="16"/>
      <c r="T1399" s="16" t="e">
        <v>#N/A</v>
      </c>
      <c r="U1399" s="16" t="e">
        <v>#N/A</v>
      </c>
    </row>
    <row r="1400" spans="1:21" x14ac:dyDescent="0.25">
      <c r="A1400" s="12" t="s">
        <v>21</v>
      </c>
      <c r="B1400" s="12" t="s">
        <v>1464</v>
      </c>
      <c r="C1400" s="12" t="s">
        <v>23</v>
      </c>
      <c r="D1400" s="15">
        <v>46273.501516203702</v>
      </c>
      <c r="E1400" s="12" t="s">
        <v>1466</v>
      </c>
      <c r="F1400" s="12" t="s">
        <v>1467</v>
      </c>
      <c r="G1400" s="12">
        <v>270</v>
      </c>
      <c r="H1400" s="12">
        <v>270</v>
      </c>
      <c r="I1400" s="14"/>
      <c r="J1400" s="14" t="s">
        <v>26</v>
      </c>
      <c r="K1400" s="12" t="s">
        <v>1471</v>
      </c>
      <c r="L1400" s="15">
        <v>1</v>
      </c>
      <c r="M1400" s="12" t="s">
        <v>150</v>
      </c>
      <c r="N1400" s="12">
        <v>270</v>
      </c>
      <c r="O1400" s="12">
        <v>270</v>
      </c>
      <c r="P1400" s="12">
        <v>0</v>
      </c>
      <c r="Q1400" s="16">
        <v>0</v>
      </c>
      <c r="R1400" s="16">
        <v>0</v>
      </c>
      <c r="S1400" s="16"/>
      <c r="T1400" s="16" t="e">
        <v>#N/A</v>
      </c>
      <c r="U1400" s="16" t="e">
        <v>#N/A</v>
      </c>
    </row>
    <row r="1401" spans="1:21" x14ac:dyDescent="0.25">
      <c r="A1401" s="12" t="s">
        <v>21</v>
      </c>
      <c r="B1401" s="12" t="s">
        <v>1464</v>
      </c>
      <c r="C1401" s="12" t="s">
        <v>23</v>
      </c>
      <c r="D1401" s="15">
        <v>46273.501516203702</v>
      </c>
      <c r="E1401" s="12" t="s">
        <v>1466</v>
      </c>
      <c r="F1401" s="12" t="s">
        <v>1468</v>
      </c>
      <c r="G1401" s="12">
        <v>150</v>
      </c>
      <c r="H1401" s="12">
        <v>150</v>
      </c>
      <c r="I1401" s="14"/>
      <c r="J1401" s="14" t="s">
        <v>26</v>
      </c>
      <c r="K1401" s="12" t="s">
        <v>1472</v>
      </c>
      <c r="L1401" s="15">
        <v>1</v>
      </c>
      <c r="M1401" s="12" t="s">
        <v>150</v>
      </c>
      <c r="N1401" s="12">
        <v>150</v>
      </c>
      <c r="O1401" s="12">
        <v>150</v>
      </c>
      <c r="P1401" s="12">
        <v>0</v>
      </c>
      <c r="Q1401" s="16">
        <v>0</v>
      </c>
      <c r="R1401" s="16">
        <v>0</v>
      </c>
      <c r="S1401" s="16"/>
      <c r="T1401" s="16" t="e">
        <v>#N/A</v>
      </c>
      <c r="U1401" s="16" t="e">
        <v>#N/A</v>
      </c>
    </row>
    <row r="1402" spans="1:21" x14ac:dyDescent="0.25">
      <c r="A1402" s="12" t="s">
        <v>21</v>
      </c>
      <c r="B1402" s="12" t="s">
        <v>1464</v>
      </c>
      <c r="C1402" s="12" t="s">
        <v>23</v>
      </c>
      <c r="D1402" s="15">
        <v>46273.501516203702</v>
      </c>
      <c r="E1402" s="12" t="s">
        <v>1466</v>
      </c>
      <c r="F1402" s="12" t="s">
        <v>1469</v>
      </c>
      <c r="G1402" s="12">
        <v>150</v>
      </c>
      <c r="H1402" s="12">
        <v>150</v>
      </c>
      <c r="I1402" s="14"/>
      <c r="J1402" s="14" t="s">
        <v>26</v>
      </c>
      <c r="K1402" s="12" t="s">
        <v>1473</v>
      </c>
      <c r="L1402" s="15">
        <v>1</v>
      </c>
      <c r="M1402" s="12" t="s">
        <v>150</v>
      </c>
      <c r="N1402" s="12">
        <v>150</v>
      </c>
      <c r="O1402" s="12">
        <v>150</v>
      </c>
      <c r="P1402" s="12">
        <v>0</v>
      </c>
      <c r="Q1402" s="16">
        <v>0</v>
      </c>
      <c r="R1402" s="16">
        <v>0</v>
      </c>
      <c r="S1402" s="16"/>
      <c r="T1402" s="16" t="e">
        <v>#N/A</v>
      </c>
      <c r="U1402" s="16" t="e">
        <v>#N/A</v>
      </c>
    </row>
    <row r="1403" spans="1:21" x14ac:dyDescent="0.25">
      <c r="A1403" s="12" t="s">
        <v>21</v>
      </c>
      <c r="B1403" s="12" t="s">
        <v>1465</v>
      </c>
      <c r="C1403" s="12" t="s">
        <v>23</v>
      </c>
      <c r="D1403" s="15">
        <v>46273.502928240741</v>
      </c>
      <c r="E1403" s="12" t="s">
        <v>1466</v>
      </c>
      <c r="F1403" s="12" t="s">
        <v>1470</v>
      </c>
      <c r="G1403" s="12">
        <v>20</v>
      </c>
      <c r="H1403" s="12">
        <v>20</v>
      </c>
      <c r="I1403" s="14"/>
      <c r="J1403" s="14" t="s">
        <v>26</v>
      </c>
      <c r="K1403" s="12" t="s">
        <v>1474</v>
      </c>
      <c r="L1403" s="15">
        <v>1</v>
      </c>
      <c r="M1403" s="12" t="s">
        <v>150</v>
      </c>
      <c r="N1403" s="12">
        <v>20</v>
      </c>
      <c r="O1403" s="12">
        <v>20</v>
      </c>
      <c r="P1403" s="12">
        <v>0</v>
      </c>
      <c r="Q1403" s="16">
        <v>0</v>
      </c>
      <c r="R1403" s="16">
        <v>0</v>
      </c>
      <c r="S1403" s="16"/>
      <c r="T1403" s="16" t="e">
        <v>#N/A</v>
      </c>
      <c r="U1403" s="16" t="e">
        <v>#N/A</v>
      </c>
    </row>
    <row r="1404" spans="1:21" x14ac:dyDescent="0.25">
      <c r="A1404" s="12" t="s">
        <v>21</v>
      </c>
      <c r="B1404" s="12" t="s">
        <v>1465</v>
      </c>
      <c r="C1404" s="12" t="s">
        <v>23</v>
      </c>
      <c r="D1404" s="15">
        <v>46273.502928240741</v>
      </c>
      <c r="E1404" s="12" t="s">
        <v>1466</v>
      </c>
      <c r="F1404" s="12" t="s">
        <v>1467</v>
      </c>
      <c r="G1404" s="12">
        <v>70</v>
      </c>
      <c r="H1404" s="12">
        <v>70</v>
      </c>
      <c r="I1404" s="14"/>
      <c r="J1404" s="14" t="s">
        <v>26</v>
      </c>
      <c r="K1404" s="12" t="s">
        <v>1475</v>
      </c>
      <c r="L1404" s="15">
        <v>1</v>
      </c>
      <c r="M1404" s="12" t="s">
        <v>150</v>
      </c>
      <c r="N1404" s="12">
        <v>70</v>
      </c>
      <c r="O1404" s="12">
        <v>70</v>
      </c>
      <c r="P1404" s="12">
        <v>0</v>
      </c>
      <c r="Q1404" s="16">
        <v>0</v>
      </c>
      <c r="R1404" s="16">
        <v>0</v>
      </c>
      <c r="S1404" s="16"/>
      <c r="T1404" s="16" t="e">
        <v>#N/A</v>
      </c>
      <c r="U1404" s="16" t="e">
        <v>#N/A</v>
      </c>
    </row>
    <row r="1405" spans="1:21" x14ac:dyDescent="0.25">
      <c r="A1405" s="12" t="s">
        <v>21</v>
      </c>
      <c r="B1405" s="12" t="s">
        <v>1465</v>
      </c>
      <c r="C1405" s="12" t="s">
        <v>23</v>
      </c>
      <c r="D1405" s="15">
        <v>46273.502928240741</v>
      </c>
      <c r="E1405" s="12" t="s">
        <v>1466</v>
      </c>
      <c r="F1405" s="12" t="s">
        <v>1468</v>
      </c>
      <c r="G1405" s="12">
        <v>30</v>
      </c>
      <c r="H1405" s="12">
        <v>30</v>
      </c>
      <c r="I1405" s="14"/>
      <c r="J1405" s="14" t="s">
        <v>26</v>
      </c>
      <c r="K1405" s="12" t="s">
        <v>1476</v>
      </c>
      <c r="L1405" s="15">
        <v>1</v>
      </c>
      <c r="M1405" s="12" t="s">
        <v>150</v>
      </c>
      <c r="N1405" s="12">
        <v>30</v>
      </c>
      <c r="O1405" s="12">
        <v>30</v>
      </c>
      <c r="P1405" s="12">
        <v>0</v>
      </c>
      <c r="Q1405" s="16">
        <v>0</v>
      </c>
      <c r="R1405" s="16">
        <v>0</v>
      </c>
      <c r="S1405" s="16"/>
      <c r="T1405" s="16" t="e">
        <v>#N/A</v>
      </c>
      <c r="U1405" s="16" t="e">
        <v>#N/A</v>
      </c>
    </row>
    <row r="1406" spans="1:21" x14ac:dyDescent="0.25">
      <c r="A1406" s="12" t="s">
        <v>21</v>
      </c>
      <c r="B1406" s="12" t="s">
        <v>1465</v>
      </c>
      <c r="C1406" s="12" t="s">
        <v>23</v>
      </c>
      <c r="D1406" s="15">
        <v>46273.502928240741</v>
      </c>
      <c r="E1406" s="12" t="s">
        <v>1466</v>
      </c>
      <c r="F1406" s="12" t="s">
        <v>1469</v>
      </c>
      <c r="G1406" s="12">
        <v>30</v>
      </c>
      <c r="H1406" s="12">
        <v>30</v>
      </c>
      <c r="I1406" s="14"/>
      <c r="J1406" s="14" t="s">
        <v>26</v>
      </c>
      <c r="K1406" s="12" t="s">
        <v>1477</v>
      </c>
      <c r="L1406" s="15">
        <v>1</v>
      </c>
      <c r="M1406" s="12" t="s">
        <v>150</v>
      </c>
      <c r="N1406" s="12">
        <v>30</v>
      </c>
      <c r="O1406" s="12">
        <v>30</v>
      </c>
      <c r="P1406" s="12">
        <v>0</v>
      </c>
      <c r="Q1406" s="16">
        <v>0</v>
      </c>
      <c r="R1406" s="16">
        <v>0</v>
      </c>
      <c r="S1406" s="16"/>
      <c r="T1406" s="16" t="e">
        <v>#N/A</v>
      </c>
      <c r="U1406" s="16" t="e">
        <v>#N/A</v>
      </c>
    </row>
    <row r="1407" spans="1:21" x14ac:dyDescent="0.25">
      <c r="A1407" s="12" t="s">
        <v>21</v>
      </c>
      <c r="B1407" s="12" t="s">
        <v>1478</v>
      </c>
      <c r="C1407" s="12" t="s">
        <v>23</v>
      </c>
      <c r="D1407" s="15">
        <v>46273.566331018519</v>
      </c>
      <c r="E1407" s="12" t="s">
        <v>1466</v>
      </c>
      <c r="F1407" s="12" t="s">
        <v>1479</v>
      </c>
      <c r="G1407" s="12">
        <v>100</v>
      </c>
      <c r="H1407" s="12">
        <v>100</v>
      </c>
      <c r="I1407" s="14"/>
      <c r="J1407" s="14" t="s">
        <v>26</v>
      </c>
      <c r="K1407" s="12" t="s">
        <v>1481</v>
      </c>
      <c r="L1407" s="15">
        <v>1</v>
      </c>
      <c r="M1407" s="12" t="s">
        <v>150</v>
      </c>
      <c r="N1407" s="12">
        <v>100</v>
      </c>
      <c r="O1407" s="12">
        <v>100</v>
      </c>
      <c r="P1407" s="12">
        <v>0</v>
      </c>
      <c r="Q1407" s="16">
        <v>0</v>
      </c>
      <c r="R1407" s="16">
        <v>0</v>
      </c>
      <c r="S1407" s="16"/>
      <c r="T1407" s="16" t="e">
        <v>#N/A</v>
      </c>
      <c r="U1407" s="16" t="e">
        <v>#N/A</v>
      </c>
    </row>
    <row r="1408" spans="1:21" x14ac:dyDescent="0.25">
      <c r="A1408" s="12" t="s">
        <v>21</v>
      </c>
      <c r="B1408" s="12" t="s">
        <v>1478</v>
      </c>
      <c r="C1408" s="12" t="s">
        <v>23</v>
      </c>
      <c r="D1408" s="15">
        <v>46273.566331018519</v>
      </c>
      <c r="E1408" s="12" t="s">
        <v>1466</v>
      </c>
      <c r="F1408" s="12" t="s">
        <v>1480</v>
      </c>
      <c r="G1408" s="12">
        <v>150</v>
      </c>
      <c r="H1408" s="12">
        <v>150</v>
      </c>
      <c r="I1408" s="14"/>
      <c r="J1408" s="14" t="s">
        <v>26</v>
      </c>
      <c r="K1408" s="12" t="s">
        <v>1482</v>
      </c>
      <c r="L1408" s="15">
        <v>1</v>
      </c>
      <c r="M1408" s="12" t="s">
        <v>150</v>
      </c>
      <c r="N1408" s="12">
        <v>150</v>
      </c>
      <c r="O1408" s="12">
        <v>150</v>
      </c>
      <c r="P1408" s="12">
        <v>0</v>
      </c>
      <c r="Q1408" s="16">
        <v>0</v>
      </c>
      <c r="R1408" s="16">
        <v>0</v>
      </c>
      <c r="S1408" s="16"/>
      <c r="T1408" s="16" t="e">
        <v>#N/A</v>
      </c>
      <c r="U1408" s="16" t="e">
        <v>#N/A</v>
      </c>
    </row>
    <row r="1409" spans="1:21" x14ac:dyDescent="0.25">
      <c r="A1409" s="12" t="s">
        <v>21</v>
      </c>
      <c r="B1409" s="12" t="s">
        <v>1483</v>
      </c>
      <c r="C1409" s="12" t="s">
        <v>23</v>
      </c>
      <c r="D1409" s="15">
        <v>46273.577222222222</v>
      </c>
      <c r="E1409" s="12" t="s">
        <v>1466</v>
      </c>
      <c r="F1409" s="12" t="s">
        <v>1485</v>
      </c>
      <c r="G1409" s="12">
        <v>100</v>
      </c>
      <c r="H1409" s="12">
        <v>100</v>
      </c>
      <c r="I1409" s="14"/>
      <c r="J1409" s="14" t="s">
        <v>26</v>
      </c>
      <c r="K1409" s="12" t="s">
        <v>1486</v>
      </c>
      <c r="L1409" s="15">
        <v>1</v>
      </c>
      <c r="M1409" s="12" t="s">
        <v>150</v>
      </c>
      <c r="N1409" s="12">
        <v>100</v>
      </c>
      <c r="O1409" s="12">
        <v>100</v>
      </c>
      <c r="P1409" s="12">
        <v>0</v>
      </c>
      <c r="Q1409" s="16">
        <v>0</v>
      </c>
      <c r="R1409" s="16">
        <v>0</v>
      </c>
      <c r="S1409" s="16"/>
      <c r="T1409" s="16" t="e">
        <v>#N/A</v>
      </c>
      <c r="U1409" s="16" t="e">
        <v>#N/A</v>
      </c>
    </row>
    <row r="1410" spans="1:21" x14ac:dyDescent="0.25">
      <c r="A1410" s="12" t="s">
        <v>21</v>
      </c>
      <c r="B1410" s="12" t="s">
        <v>1483</v>
      </c>
      <c r="C1410" s="12" t="s">
        <v>23</v>
      </c>
      <c r="D1410" s="15">
        <v>46273.577222222222</v>
      </c>
      <c r="E1410" s="12" t="s">
        <v>1466</v>
      </c>
      <c r="F1410" s="12" t="s">
        <v>1479</v>
      </c>
      <c r="G1410" s="12">
        <v>200</v>
      </c>
      <c r="H1410" s="12">
        <v>200</v>
      </c>
      <c r="I1410" s="14"/>
      <c r="J1410" s="14" t="s">
        <v>26</v>
      </c>
      <c r="K1410" s="12" t="s">
        <v>1487</v>
      </c>
      <c r="L1410" s="15">
        <v>1</v>
      </c>
      <c r="M1410" s="12" t="s">
        <v>150</v>
      </c>
      <c r="N1410" s="12">
        <v>200</v>
      </c>
      <c r="O1410" s="12">
        <v>200</v>
      </c>
      <c r="P1410" s="12">
        <v>0</v>
      </c>
      <c r="Q1410" s="16">
        <v>0</v>
      </c>
      <c r="R1410" s="16">
        <v>0</v>
      </c>
      <c r="S1410" s="16"/>
      <c r="T1410" s="16" t="e">
        <v>#N/A</v>
      </c>
      <c r="U1410" s="16" t="e">
        <v>#N/A</v>
      </c>
    </row>
    <row r="1411" spans="1:21" x14ac:dyDescent="0.25">
      <c r="A1411" s="12" t="s">
        <v>21</v>
      </c>
      <c r="B1411" s="12" t="s">
        <v>1483</v>
      </c>
      <c r="C1411" s="12" t="s">
        <v>23</v>
      </c>
      <c r="D1411" s="15">
        <v>46273.577222222222</v>
      </c>
      <c r="E1411" s="12" t="s">
        <v>1466</v>
      </c>
      <c r="F1411" s="12" t="s">
        <v>1480</v>
      </c>
      <c r="G1411" s="12">
        <v>300</v>
      </c>
      <c r="H1411" s="12">
        <v>300</v>
      </c>
      <c r="I1411" s="14"/>
      <c r="J1411" s="14" t="s">
        <v>26</v>
      </c>
      <c r="K1411" s="12" t="s">
        <v>1488</v>
      </c>
      <c r="L1411" s="15">
        <v>1</v>
      </c>
      <c r="M1411" s="12" t="s">
        <v>150</v>
      </c>
      <c r="N1411" s="12">
        <v>300</v>
      </c>
      <c r="O1411" s="12">
        <v>300</v>
      </c>
      <c r="P1411" s="12">
        <v>0</v>
      </c>
      <c r="Q1411" s="16">
        <v>0</v>
      </c>
      <c r="R1411" s="16">
        <v>0</v>
      </c>
      <c r="S1411" s="16"/>
      <c r="T1411" s="16" t="e">
        <v>#N/A</v>
      </c>
      <c r="U1411" s="16" t="e">
        <v>#N/A</v>
      </c>
    </row>
    <row r="1412" spans="1:21" x14ac:dyDescent="0.25">
      <c r="A1412" s="12" t="s">
        <v>21</v>
      </c>
      <c r="B1412" s="12" t="s">
        <v>1484</v>
      </c>
      <c r="C1412" s="12" t="s">
        <v>23</v>
      </c>
      <c r="D1412" s="15">
        <v>46273.583854166667</v>
      </c>
      <c r="E1412" s="12" t="s">
        <v>1466</v>
      </c>
      <c r="F1412" s="12" t="s">
        <v>1467</v>
      </c>
      <c r="G1412" s="12">
        <v>30</v>
      </c>
      <c r="H1412" s="12">
        <v>30</v>
      </c>
      <c r="I1412" s="14"/>
      <c r="J1412" s="14" t="s">
        <v>26</v>
      </c>
      <c r="K1412" s="12" t="s">
        <v>1489</v>
      </c>
      <c r="L1412" s="15">
        <v>1</v>
      </c>
      <c r="M1412" s="12" t="s">
        <v>150</v>
      </c>
      <c r="N1412" s="12">
        <v>30</v>
      </c>
      <c r="O1412" s="12">
        <v>30</v>
      </c>
      <c r="P1412" s="12">
        <v>0</v>
      </c>
      <c r="Q1412" s="16">
        <v>0</v>
      </c>
      <c r="R1412" s="16">
        <v>0</v>
      </c>
      <c r="S1412" s="16"/>
      <c r="T1412" s="16" t="e">
        <v>#N/A</v>
      </c>
      <c r="U1412" s="16" t="e">
        <v>#N/A</v>
      </c>
    </row>
    <row r="1413" spans="1:21" x14ac:dyDescent="0.25">
      <c r="A1413" s="12" t="s">
        <v>21</v>
      </c>
      <c r="B1413" s="12" t="s">
        <v>1490</v>
      </c>
      <c r="C1413" s="12" t="s">
        <v>23</v>
      </c>
      <c r="D1413" s="15">
        <v>46273.595729166664</v>
      </c>
      <c r="E1413" s="12" t="s">
        <v>24</v>
      </c>
      <c r="F1413" s="12" t="s">
        <v>566</v>
      </c>
      <c r="G1413" s="12">
        <v>100</v>
      </c>
      <c r="H1413" s="12">
        <v>100</v>
      </c>
      <c r="I1413" s="14"/>
      <c r="J1413" s="14" t="s">
        <v>61</v>
      </c>
      <c r="K1413" s="12" t="s">
        <v>1497</v>
      </c>
      <c r="L1413" s="15">
        <v>1</v>
      </c>
      <c r="M1413" s="12" t="s">
        <v>150</v>
      </c>
      <c r="N1413" s="12">
        <v>100</v>
      </c>
      <c r="O1413" s="12">
        <v>100</v>
      </c>
      <c r="P1413" s="12">
        <v>0</v>
      </c>
      <c r="Q1413" s="16">
        <v>300</v>
      </c>
      <c r="R1413" s="16">
        <v>0</v>
      </c>
      <c r="S1413" s="16"/>
      <c r="T1413" s="16" t="e">
        <v>#N/A</v>
      </c>
      <c r="U1413" s="16" t="e">
        <v>#N/A</v>
      </c>
    </row>
    <row r="1414" spans="1:21" x14ac:dyDescent="0.25">
      <c r="A1414" s="12" t="s">
        <v>21</v>
      </c>
      <c r="B1414" s="12" t="s">
        <v>1490</v>
      </c>
      <c r="C1414" s="12" t="s">
        <v>23</v>
      </c>
      <c r="D1414" s="15">
        <v>46273.595729166664</v>
      </c>
      <c r="E1414" s="12" t="s">
        <v>24</v>
      </c>
      <c r="F1414" s="12" t="s">
        <v>567</v>
      </c>
      <c r="G1414" s="12">
        <v>100</v>
      </c>
      <c r="H1414" s="12">
        <v>100</v>
      </c>
      <c r="I1414" s="14"/>
      <c r="J1414" s="14" t="s">
        <v>61</v>
      </c>
      <c r="K1414" s="12" t="s">
        <v>1498</v>
      </c>
      <c r="L1414" s="15">
        <v>1</v>
      </c>
      <c r="M1414" s="12" t="s">
        <v>150</v>
      </c>
      <c r="N1414" s="12">
        <v>100</v>
      </c>
      <c r="O1414" s="12">
        <v>100</v>
      </c>
      <c r="P1414" s="12">
        <v>0</v>
      </c>
      <c r="Q1414" s="16">
        <v>300</v>
      </c>
      <c r="R1414" s="16">
        <v>0</v>
      </c>
      <c r="S1414" s="16"/>
      <c r="T1414" s="16" t="e">
        <v>#N/A</v>
      </c>
      <c r="U1414" s="16" t="e">
        <v>#N/A</v>
      </c>
    </row>
    <row r="1415" spans="1:21" x14ac:dyDescent="0.25">
      <c r="A1415" s="12" t="s">
        <v>21</v>
      </c>
      <c r="B1415" s="12" t="s">
        <v>1490</v>
      </c>
      <c r="C1415" s="12" t="s">
        <v>23</v>
      </c>
      <c r="D1415" s="15">
        <v>46273.595729166664</v>
      </c>
      <c r="E1415" s="12" t="s">
        <v>24</v>
      </c>
      <c r="F1415" s="12" t="s">
        <v>320</v>
      </c>
      <c r="G1415" s="12">
        <v>700</v>
      </c>
      <c r="H1415" s="12">
        <v>700</v>
      </c>
      <c r="I1415" s="14"/>
      <c r="J1415" s="14" t="s">
        <v>61</v>
      </c>
      <c r="K1415" s="12" t="s">
        <v>27</v>
      </c>
      <c r="L1415" s="15"/>
      <c r="M1415" s="12" t="s">
        <v>28</v>
      </c>
      <c r="N1415" s="12"/>
      <c r="O1415" s="12"/>
      <c r="P1415" s="12"/>
      <c r="Q1415" s="16">
        <v>300</v>
      </c>
      <c r="R1415" s="16">
        <v>1</v>
      </c>
      <c r="S1415" s="16"/>
      <c r="T1415" s="16" t="e">
        <v>#N/A</v>
      </c>
      <c r="U1415" s="16" t="e">
        <v>#N/A</v>
      </c>
    </row>
    <row r="1416" spans="1:21" x14ac:dyDescent="0.25">
      <c r="A1416" s="12" t="s">
        <v>21</v>
      </c>
      <c r="B1416" s="12" t="s">
        <v>1490</v>
      </c>
      <c r="C1416" s="12" t="s">
        <v>23</v>
      </c>
      <c r="D1416" s="15">
        <v>46273.595729166664</v>
      </c>
      <c r="E1416" s="12" t="s">
        <v>24</v>
      </c>
      <c r="F1416" s="12" t="s">
        <v>1430</v>
      </c>
      <c r="G1416" s="12">
        <v>100</v>
      </c>
      <c r="H1416" s="12">
        <v>100</v>
      </c>
      <c r="I1416" s="14"/>
      <c r="J1416" s="14" t="s">
        <v>61</v>
      </c>
      <c r="K1416" s="12" t="s">
        <v>1499</v>
      </c>
      <c r="L1416" s="15">
        <v>1</v>
      </c>
      <c r="M1416" s="12" t="s">
        <v>150</v>
      </c>
      <c r="N1416" s="12">
        <v>100</v>
      </c>
      <c r="O1416" s="12">
        <v>100</v>
      </c>
      <c r="P1416" s="12">
        <v>0</v>
      </c>
      <c r="Q1416" s="16">
        <v>300</v>
      </c>
      <c r="R1416" s="16">
        <v>120</v>
      </c>
      <c r="S1416" s="16"/>
      <c r="T1416" s="16" t="e">
        <v>#N/A</v>
      </c>
      <c r="U1416" s="16" t="e">
        <v>#N/A</v>
      </c>
    </row>
    <row r="1417" spans="1:21" x14ac:dyDescent="0.25">
      <c r="A1417" s="12" t="s">
        <v>21</v>
      </c>
      <c r="B1417" s="12" t="s">
        <v>1491</v>
      </c>
      <c r="C1417" s="12" t="s">
        <v>23</v>
      </c>
      <c r="D1417" s="15">
        <v>46273.608587962961</v>
      </c>
      <c r="E1417" s="12" t="s">
        <v>502</v>
      </c>
      <c r="F1417" s="12" t="s">
        <v>1493</v>
      </c>
      <c r="G1417" s="12">
        <v>47</v>
      </c>
      <c r="H1417" s="12">
        <v>47</v>
      </c>
      <c r="I1417" s="14"/>
      <c r="J1417" s="14" t="s">
        <v>61</v>
      </c>
      <c r="K1417" s="12" t="s">
        <v>1500</v>
      </c>
      <c r="L1417" s="15">
        <v>1</v>
      </c>
      <c r="M1417" s="12" t="s">
        <v>150</v>
      </c>
      <c r="N1417" s="12">
        <v>47</v>
      </c>
      <c r="O1417" s="12">
        <v>47</v>
      </c>
      <c r="P1417" s="12">
        <v>0</v>
      </c>
      <c r="Q1417" s="16">
        <v>47</v>
      </c>
      <c r="R1417" s="16">
        <v>0</v>
      </c>
      <c r="S1417" s="16"/>
      <c r="T1417" s="16" t="e">
        <v>#N/A</v>
      </c>
      <c r="U1417" s="16" t="e">
        <v>#N/A</v>
      </c>
    </row>
    <row r="1418" spans="1:21" x14ac:dyDescent="0.25">
      <c r="A1418" s="12" t="s">
        <v>21</v>
      </c>
      <c r="B1418" s="12" t="s">
        <v>1491</v>
      </c>
      <c r="C1418" s="12" t="s">
        <v>23</v>
      </c>
      <c r="D1418" s="15">
        <v>46273.608587962961</v>
      </c>
      <c r="E1418" s="12" t="s">
        <v>502</v>
      </c>
      <c r="F1418" s="12" t="s">
        <v>1494</v>
      </c>
      <c r="G1418" s="12">
        <v>2</v>
      </c>
      <c r="H1418" s="12">
        <v>2</v>
      </c>
      <c r="I1418" s="14"/>
      <c r="J1418" s="14" t="s">
        <v>61</v>
      </c>
      <c r="K1418" s="12" t="s">
        <v>1501</v>
      </c>
      <c r="L1418" s="15">
        <v>1</v>
      </c>
      <c r="M1418" s="12" t="s">
        <v>150</v>
      </c>
      <c r="N1418" s="12">
        <v>2</v>
      </c>
      <c r="O1418" s="12">
        <v>2</v>
      </c>
      <c r="P1418" s="12">
        <v>0</v>
      </c>
      <c r="Q1418" s="16">
        <v>2</v>
      </c>
      <c r="R1418" s="16">
        <v>0</v>
      </c>
      <c r="S1418" s="16"/>
      <c r="T1418" s="16" t="e">
        <v>#N/A</v>
      </c>
      <c r="U1418" s="16" t="e">
        <v>#N/A</v>
      </c>
    </row>
    <row r="1419" spans="1:21" x14ac:dyDescent="0.25">
      <c r="A1419" s="12" t="s">
        <v>21</v>
      </c>
      <c r="B1419" s="12" t="s">
        <v>1492</v>
      </c>
      <c r="C1419" s="12" t="s">
        <v>23</v>
      </c>
      <c r="D1419" s="15">
        <v>46273.61005787037</v>
      </c>
      <c r="E1419" s="12" t="s">
        <v>266</v>
      </c>
      <c r="F1419" s="12" t="s">
        <v>668</v>
      </c>
      <c r="G1419" s="12">
        <v>15</v>
      </c>
      <c r="H1419" s="12">
        <v>15</v>
      </c>
      <c r="I1419" s="14"/>
      <c r="J1419" s="14" t="s">
        <v>61</v>
      </c>
      <c r="K1419" s="12" t="s">
        <v>1502</v>
      </c>
      <c r="L1419" s="15">
        <v>1</v>
      </c>
      <c r="M1419" s="12" t="s">
        <v>150</v>
      </c>
      <c r="N1419" s="12">
        <v>15</v>
      </c>
      <c r="O1419" s="12">
        <v>15</v>
      </c>
      <c r="P1419" s="12">
        <v>0</v>
      </c>
      <c r="Q1419" s="16">
        <v>15</v>
      </c>
      <c r="R1419" s="16">
        <v>0</v>
      </c>
      <c r="S1419" s="16"/>
      <c r="T1419" s="16" t="e">
        <v>#N/A</v>
      </c>
      <c r="U1419" s="16" t="e">
        <v>#N/A</v>
      </c>
    </row>
    <row r="1420" spans="1:21" x14ac:dyDescent="0.25">
      <c r="A1420" s="12" t="s">
        <v>21</v>
      </c>
      <c r="B1420" s="12" t="s">
        <v>1492</v>
      </c>
      <c r="C1420" s="12" t="s">
        <v>23</v>
      </c>
      <c r="D1420" s="15">
        <v>46273.61005787037</v>
      </c>
      <c r="E1420" s="12" t="s">
        <v>266</v>
      </c>
      <c r="F1420" s="12" t="s">
        <v>670</v>
      </c>
      <c r="G1420" s="12">
        <v>30</v>
      </c>
      <c r="H1420" s="12">
        <v>30</v>
      </c>
      <c r="I1420" s="14"/>
      <c r="J1420" s="14" t="s">
        <v>61</v>
      </c>
      <c r="K1420" s="12" t="s">
        <v>1503</v>
      </c>
      <c r="L1420" s="15">
        <v>1</v>
      </c>
      <c r="M1420" s="12" t="s">
        <v>150</v>
      </c>
      <c r="N1420" s="12">
        <v>30</v>
      </c>
      <c r="O1420" s="12">
        <v>30</v>
      </c>
      <c r="P1420" s="12">
        <v>0</v>
      </c>
      <c r="Q1420" s="16">
        <v>30</v>
      </c>
      <c r="R1420" s="16">
        <v>0</v>
      </c>
      <c r="S1420" s="16"/>
      <c r="T1420" s="16" t="e">
        <v>#N/A</v>
      </c>
      <c r="U1420" s="16" t="e">
        <v>#N/A</v>
      </c>
    </row>
    <row r="1421" spans="1:21" x14ac:dyDescent="0.25">
      <c r="A1421" s="12" t="s">
        <v>21</v>
      </c>
      <c r="B1421" s="12" t="s">
        <v>1492</v>
      </c>
      <c r="C1421" s="12" t="s">
        <v>23</v>
      </c>
      <c r="D1421" s="15">
        <v>46273.61005787037</v>
      </c>
      <c r="E1421" s="12" t="s">
        <v>266</v>
      </c>
      <c r="F1421" s="12" t="s">
        <v>671</v>
      </c>
      <c r="G1421" s="12">
        <v>80</v>
      </c>
      <c r="H1421" s="12">
        <v>80</v>
      </c>
      <c r="I1421" s="14"/>
      <c r="J1421" s="14" t="s">
        <v>61</v>
      </c>
      <c r="K1421" s="12" t="s">
        <v>1504</v>
      </c>
      <c r="L1421" s="15">
        <v>1</v>
      </c>
      <c r="M1421" s="12" t="s">
        <v>150</v>
      </c>
      <c r="N1421" s="12">
        <v>80</v>
      </c>
      <c r="O1421" s="12">
        <v>80</v>
      </c>
      <c r="P1421" s="12">
        <v>0</v>
      </c>
      <c r="Q1421" s="16">
        <v>80</v>
      </c>
      <c r="R1421" s="16">
        <v>1</v>
      </c>
      <c r="S1421" s="16"/>
      <c r="T1421" s="16" t="e">
        <v>#N/A</v>
      </c>
      <c r="U1421" s="16" t="e">
        <v>#N/A</v>
      </c>
    </row>
    <row r="1422" spans="1:21" x14ac:dyDescent="0.25">
      <c r="A1422" s="12" t="s">
        <v>21</v>
      </c>
      <c r="B1422" s="12" t="s">
        <v>1492</v>
      </c>
      <c r="C1422" s="12" t="s">
        <v>23</v>
      </c>
      <c r="D1422" s="15">
        <v>46273.61005787037</v>
      </c>
      <c r="E1422" s="12" t="s">
        <v>266</v>
      </c>
      <c r="F1422" s="12" t="s">
        <v>549</v>
      </c>
      <c r="G1422" s="12">
        <v>18</v>
      </c>
      <c r="H1422" s="12">
        <v>18</v>
      </c>
      <c r="I1422" s="14"/>
      <c r="J1422" s="14" t="s">
        <v>61</v>
      </c>
      <c r="K1422" s="12" t="s">
        <v>1505</v>
      </c>
      <c r="L1422" s="15">
        <v>1</v>
      </c>
      <c r="M1422" s="12" t="s">
        <v>150</v>
      </c>
      <c r="N1422" s="12">
        <v>18</v>
      </c>
      <c r="O1422" s="12">
        <v>18</v>
      </c>
      <c r="P1422" s="12">
        <v>0</v>
      </c>
      <c r="Q1422" s="16">
        <v>18</v>
      </c>
      <c r="R1422" s="16">
        <v>1</v>
      </c>
      <c r="S1422" s="16"/>
      <c r="T1422" s="16" t="e">
        <v>#N/A</v>
      </c>
      <c r="U1422" s="16" t="e">
        <v>#N/A</v>
      </c>
    </row>
    <row r="1423" spans="1:21" x14ac:dyDescent="0.25">
      <c r="A1423" s="12" t="s">
        <v>21</v>
      </c>
      <c r="B1423" s="12" t="s">
        <v>1492</v>
      </c>
      <c r="C1423" s="12" t="s">
        <v>23</v>
      </c>
      <c r="D1423" s="15">
        <v>46273.61005787037</v>
      </c>
      <c r="E1423" s="12" t="s">
        <v>266</v>
      </c>
      <c r="F1423" s="12" t="s">
        <v>551</v>
      </c>
      <c r="G1423" s="12">
        <v>4</v>
      </c>
      <c r="H1423" s="12">
        <v>4</v>
      </c>
      <c r="I1423" s="14"/>
      <c r="J1423" s="14" t="s">
        <v>61</v>
      </c>
      <c r="K1423" s="12" t="s">
        <v>1506</v>
      </c>
      <c r="L1423" s="15">
        <v>1</v>
      </c>
      <c r="M1423" s="12" t="s">
        <v>150</v>
      </c>
      <c r="N1423" s="12">
        <v>4</v>
      </c>
      <c r="O1423" s="12">
        <v>4</v>
      </c>
      <c r="P1423" s="12">
        <v>0</v>
      </c>
      <c r="Q1423" s="16">
        <v>4</v>
      </c>
      <c r="R1423" s="16">
        <v>0</v>
      </c>
      <c r="S1423" s="16"/>
      <c r="T1423" s="16" t="e">
        <v>#N/A</v>
      </c>
      <c r="U1423" s="16" t="e">
        <v>#N/A</v>
      </c>
    </row>
    <row r="1424" spans="1:21" x14ac:dyDescent="0.25">
      <c r="A1424" s="12" t="s">
        <v>21</v>
      </c>
      <c r="B1424" s="12" t="s">
        <v>1492</v>
      </c>
      <c r="C1424" s="12" t="s">
        <v>23</v>
      </c>
      <c r="D1424" s="15">
        <v>46273.61005787037</v>
      </c>
      <c r="E1424" s="12" t="s">
        <v>266</v>
      </c>
      <c r="F1424" s="12" t="s">
        <v>552</v>
      </c>
      <c r="G1424" s="12">
        <v>20</v>
      </c>
      <c r="H1424" s="12">
        <v>20</v>
      </c>
      <c r="I1424" s="14"/>
      <c r="J1424" s="14" t="s">
        <v>61</v>
      </c>
      <c r="K1424" s="12" t="s">
        <v>1507</v>
      </c>
      <c r="L1424" s="15">
        <v>1</v>
      </c>
      <c r="M1424" s="12" t="s">
        <v>150</v>
      </c>
      <c r="N1424" s="12">
        <v>20</v>
      </c>
      <c r="O1424" s="12">
        <v>20</v>
      </c>
      <c r="P1424" s="12">
        <v>0</v>
      </c>
      <c r="Q1424" s="16">
        <v>20</v>
      </c>
      <c r="R1424" s="16">
        <v>0</v>
      </c>
      <c r="S1424" s="16"/>
      <c r="T1424" s="16" t="e">
        <v>#N/A</v>
      </c>
      <c r="U1424" s="16" t="e">
        <v>#N/A</v>
      </c>
    </row>
    <row r="1425" spans="1:21" x14ac:dyDescent="0.25">
      <c r="A1425" s="12" t="s">
        <v>21</v>
      </c>
      <c r="B1425" s="12" t="s">
        <v>1492</v>
      </c>
      <c r="C1425" s="12" t="s">
        <v>23</v>
      </c>
      <c r="D1425" s="15">
        <v>46273.61005787037</v>
      </c>
      <c r="E1425" s="12" t="s">
        <v>266</v>
      </c>
      <c r="F1425" s="12" t="s">
        <v>1202</v>
      </c>
      <c r="G1425" s="12">
        <v>6</v>
      </c>
      <c r="H1425" s="12">
        <v>6</v>
      </c>
      <c r="I1425" s="14"/>
      <c r="J1425" s="14" t="s">
        <v>61</v>
      </c>
      <c r="K1425" s="12" t="s">
        <v>1508</v>
      </c>
      <c r="L1425" s="15">
        <v>1</v>
      </c>
      <c r="M1425" s="12" t="s">
        <v>150</v>
      </c>
      <c r="N1425" s="12">
        <v>6</v>
      </c>
      <c r="O1425" s="12">
        <v>6</v>
      </c>
      <c r="P1425" s="12">
        <v>0</v>
      </c>
      <c r="Q1425" s="16">
        <v>6</v>
      </c>
      <c r="R1425" s="16">
        <v>0</v>
      </c>
      <c r="S1425" s="16"/>
      <c r="T1425" s="16" t="e">
        <v>#N/A</v>
      </c>
      <c r="U1425" s="16" t="e">
        <v>#N/A</v>
      </c>
    </row>
    <row r="1426" spans="1:21" x14ac:dyDescent="0.25">
      <c r="A1426" s="12" t="s">
        <v>21</v>
      </c>
      <c r="B1426" s="12" t="s">
        <v>1492</v>
      </c>
      <c r="C1426" s="12" t="s">
        <v>23</v>
      </c>
      <c r="D1426" s="15">
        <v>46273.61005787037</v>
      </c>
      <c r="E1426" s="12" t="s">
        <v>266</v>
      </c>
      <c r="F1426" s="12" t="s">
        <v>559</v>
      </c>
      <c r="G1426" s="12">
        <v>60</v>
      </c>
      <c r="H1426" s="12">
        <v>60</v>
      </c>
      <c r="I1426" s="14"/>
      <c r="J1426" s="14" t="s">
        <v>61</v>
      </c>
      <c r="K1426" s="12" t="s">
        <v>1509</v>
      </c>
      <c r="L1426" s="15">
        <v>1</v>
      </c>
      <c r="M1426" s="12" t="s">
        <v>150</v>
      </c>
      <c r="N1426" s="12">
        <v>60</v>
      </c>
      <c r="O1426" s="12">
        <v>60</v>
      </c>
      <c r="P1426" s="12">
        <v>0</v>
      </c>
      <c r="Q1426" s="16">
        <v>60</v>
      </c>
      <c r="R1426" s="16">
        <v>0</v>
      </c>
      <c r="S1426" s="16"/>
      <c r="T1426" s="16" t="e">
        <v>#N/A</v>
      </c>
      <c r="U1426" s="16" t="e">
        <v>#N/A</v>
      </c>
    </row>
    <row r="1427" spans="1:21" x14ac:dyDescent="0.25">
      <c r="A1427" s="12" t="s">
        <v>21</v>
      </c>
      <c r="B1427" s="12" t="s">
        <v>1492</v>
      </c>
      <c r="C1427" s="12" t="s">
        <v>23</v>
      </c>
      <c r="D1427" s="15">
        <v>46273.61005787037</v>
      </c>
      <c r="E1427" s="12" t="s">
        <v>266</v>
      </c>
      <c r="F1427" s="12" t="s">
        <v>1164</v>
      </c>
      <c r="G1427" s="12">
        <v>15</v>
      </c>
      <c r="H1427" s="12">
        <v>15</v>
      </c>
      <c r="I1427" s="14"/>
      <c r="J1427" s="14" t="s">
        <v>61</v>
      </c>
      <c r="K1427" s="12" t="s">
        <v>1510</v>
      </c>
      <c r="L1427" s="15">
        <v>1</v>
      </c>
      <c r="M1427" s="12" t="s">
        <v>150</v>
      </c>
      <c r="N1427" s="12">
        <v>15</v>
      </c>
      <c r="O1427" s="12">
        <v>15</v>
      </c>
      <c r="P1427" s="12">
        <v>0</v>
      </c>
      <c r="Q1427" s="16">
        <v>15</v>
      </c>
      <c r="R1427" s="16">
        <v>0</v>
      </c>
      <c r="S1427" s="16"/>
      <c r="T1427" s="16" t="e">
        <v>#N/A</v>
      </c>
      <c r="U1427" s="16" t="e">
        <v>#N/A</v>
      </c>
    </row>
    <row r="1428" spans="1:21" x14ac:dyDescent="0.25">
      <c r="A1428" s="12" t="s">
        <v>21</v>
      </c>
      <c r="B1428" s="12" t="s">
        <v>1492</v>
      </c>
      <c r="C1428" s="12" t="s">
        <v>23</v>
      </c>
      <c r="D1428" s="15">
        <v>46273.61005787037</v>
      </c>
      <c r="E1428" s="12" t="s">
        <v>266</v>
      </c>
      <c r="F1428" s="12" t="s">
        <v>346</v>
      </c>
      <c r="G1428" s="12">
        <v>20</v>
      </c>
      <c r="H1428" s="12">
        <v>20</v>
      </c>
      <c r="I1428" s="14"/>
      <c r="J1428" s="14" t="s">
        <v>61</v>
      </c>
      <c r="K1428" s="12" t="s">
        <v>1511</v>
      </c>
      <c r="L1428" s="15">
        <v>1</v>
      </c>
      <c r="M1428" s="12" t="s">
        <v>150</v>
      </c>
      <c r="N1428" s="12">
        <v>20</v>
      </c>
      <c r="O1428" s="12">
        <v>20</v>
      </c>
      <c r="P1428" s="12">
        <v>0</v>
      </c>
      <c r="Q1428" s="16">
        <v>20</v>
      </c>
      <c r="R1428" s="16">
        <v>0</v>
      </c>
      <c r="S1428" s="16"/>
      <c r="T1428" s="16" t="e">
        <v>#N/A</v>
      </c>
      <c r="U1428" s="16" t="e">
        <v>#N/A</v>
      </c>
    </row>
    <row r="1429" spans="1:21" x14ac:dyDescent="0.25">
      <c r="A1429" s="12" t="s">
        <v>21</v>
      </c>
      <c r="B1429" s="12" t="s">
        <v>1492</v>
      </c>
      <c r="C1429" s="12" t="s">
        <v>23</v>
      </c>
      <c r="D1429" s="15">
        <v>46273.61005787037</v>
      </c>
      <c r="E1429" s="12" t="s">
        <v>266</v>
      </c>
      <c r="F1429" s="12" t="s">
        <v>275</v>
      </c>
      <c r="G1429" s="12">
        <v>100</v>
      </c>
      <c r="H1429" s="12">
        <v>100</v>
      </c>
      <c r="I1429" s="14"/>
      <c r="J1429" s="14" t="s">
        <v>61</v>
      </c>
      <c r="K1429" s="12" t="s">
        <v>1512</v>
      </c>
      <c r="L1429" s="15">
        <v>1</v>
      </c>
      <c r="M1429" s="12" t="s">
        <v>150</v>
      </c>
      <c r="N1429" s="12">
        <v>100</v>
      </c>
      <c r="O1429" s="12">
        <v>100</v>
      </c>
      <c r="P1429" s="12">
        <v>0</v>
      </c>
      <c r="Q1429" s="16">
        <v>100</v>
      </c>
      <c r="R1429" s="16">
        <v>0</v>
      </c>
      <c r="S1429" s="16"/>
      <c r="T1429" s="16" t="e">
        <v>#N/A</v>
      </c>
      <c r="U1429" s="16" t="e">
        <v>#N/A</v>
      </c>
    </row>
    <row r="1430" spans="1:21" x14ac:dyDescent="0.25">
      <c r="A1430" s="12" t="s">
        <v>21</v>
      </c>
      <c r="B1430" s="12" t="s">
        <v>1492</v>
      </c>
      <c r="C1430" s="12" t="s">
        <v>23</v>
      </c>
      <c r="D1430" s="15">
        <v>46273.61005787037</v>
      </c>
      <c r="E1430" s="12" t="s">
        <v>266</v>
      </c>
      <c r="F1430" s="12" t="s">
        <v>1166</v>
      </c>
      <c r="G1430" s="12">
        <v>60</v>
      </c>
      <c r="H1430" s="12">
        <v>60</v>
      </c>
      <c r="I1430" s="14"/>
      <c r="J1430" s="14" t="s">
        <v>61</v>
      </c>
      <c r="K1430" s="12" t="s">
        <v>1513</v>
      </c>
      <c r="L1430" s="15">
        <v>1</v>
      </c>
      <c r="M1430" s="12" t="s">
        <v>150</v>
      </c>
      <c r="N1430" s="12">
        <v>60</v>
      </c>
      <c r="O1430" s="12">
        <v>60</v>
      </c>
      <c r="P1430" s="12">
        <v>0</v>
      </c>
      <c r="Q1430" s="16">
        <v>60</v>
      </c>
      <c r="R1430" s="16">
        <v>0</v>
      </c>
      <c r="S1430" s="16"/>
      <c r="T1430" s="16" t="e">
        <v>#N/A</v>
      </c>
      <c r="U1430" s="16" t="e">
        <v>#N/A</v>
      </c>
    </row>
    <row r="1431" spans="1:21" x14ac:dyDescent="0.25">
      <c r="A1431" s="12" t="s">
        <v>21</v>
      </c>
      <c r="B1431" s="12" t="s">
        <v>1492</v>
      </c>
      <c r="C1431" s="12" t="s">
        <v>23</v>
      </c>
      <c r="D1431" s="15">
        <v>46273.61005787037</v>
      </c>
      <c r="E1431" s="12" t="s">
        <v>266</v>
      </c>
      <c r="F1431" s="12" t="s">
        <v>1495</v>
      </c>
      <c r="G1431" s="12">
        <v>20</v>
      </c>
      <c r="H1431" s="12">
        <v>20</v>
      </c>
      <c r="I1431" s="14"/>
      <c r="J1431" s="14" t="s">
        <v>61</v>
      </c>
      <c r="K1431" s="12" t="s">
        <v>1514</v>
      </c>
      <c r="L1431" s="15">
        <v>1</v>
      </c>
      <c r="M1431" s="12" t="s">
        <v>150</v>
      </c>
      <c r="N1431" s="12">
        <v>20</v>
      </c>
      <c r="O1431" s="12">
        <v>20</v>
      </c>
      <c r="P1431" s="12">
        <v>0</v>
      </c>
      <c r="Q1431" s="16">
        <v>20</v>
      </c>
      <c r="R1431" s="16">
        <v>6</v>
      </c>
      <c r="S1431" s="16"/>
      <c r="T1431" s="16" t="e">
        <v>#N/A</v>
      </c>
      <c r="U1431" s="16" t="e">
        <v>#N/A</v>
      </c>
    </row>
    <row r="1432" spans="1:21" x14ac:dyDescent="0.25">
      <c r="A1432" s="12" t="s">
        <v>21</v>
      </c>
      <c r="B1432" s="12" t="s">
        <v>1492</v>
      </c>
      <c r="C1432" s="12" t="s">
        <v>23</v>
      </c>
      <c r="D1432" s="15">
        <v>46273.61005787037</v>
      </c>
      <c r="E1432" s="12" t="s">
        <v>266</v>
      </c>
      <c r="F1432" s="12" t="s">
        <v>955</v>
      </c>
      <c r="G1432" s="12">
        <v>30</v>
      </c>
      <c r="H1432" s="12">
        <v>30</v>
      </c>
      <c r="I1432" s="14"/>
      <c r="J1432" s="14" t="s">
        <v>61</v>
      </c>
      <c r="K1432" s="12" t="s">
        <v>1515</v>
      </c>
      <c r="L1432" s="15">
        <v>1</v>
      </c>
      <c r="M1432" s="12" t="s">
        <v>150</v>
      </c>
      <c r="N1432" s="12">
        <v>30</v>
      </c>
      <c r="O1432" s="12">
        <v>30</v>
      </c>
      <c r="P1432" s="12">
        <v>0</v>
      </c>
      <c r="Q1432" s="16">
        <v>30</v>
      </c>
      <c r="R1432" s="16">
        <v>0</v>
      </c>
      <c r="S1432" s="16"/>
      <c r="T1432" s="16" t="e">
        <v>#N/A</v>
      </c>
      <c r="U1432" s="16" t="e">
        <v>#N/A</v>
      </c>
    </row>
    <row r="1433" spans="1:21" x14ac:dyDescent="0.25">
      <c r="A1433" s="12" t="s">
        <v>21</v>
      </c>
      <c r="B1433" s="12" t="s">
        <v>1492</v>
      </c>
      <c r="C1433" s="12" t="s">
        <v>23</v>
      </c>
      <c r="D1433" s="15">
        <v>46273.61005787037</v>
      </c>
      <c r="E1433" s="12" t="s">
        <v>266</v>
      </c>
      <c r="F1433" s="12" t="s">
        <v>1496</v>
      </c>
      <c r="G1433" s="12">
        <v>24</v>
      </c>
      <c r="H1433" s="12">
        <v>24</v>
      </c>
      <c r="I1433" s="14"/>
      <c r="J1433" s="14" t="s">
        <v>61</v>
      </c>
      <c r="K1433" s="12" t="s">
        <v>1516</v>
      </c>
      <c r="L1433" s="15">
        <v>1</v>
      </c>
      <c r="M1433" s="12" t="s">
        <v>150</v>
      </c>
      <c r="N1433" s="12">
        <v>24</v>
      </c>
      <c r="O1433" s="12">
        <v>24</v>
      </c>
      <c r="P1433" s="12">
        <v>0</v>
      </c>
      <c r="Q1433" s="16">
        <v>24</v>
      </c>
      <c r="R1433" s="16">
        <v>0</v>
      </c>
      <c r="S1433" s="16"/>
      <c r="T1433" s="16" t="e">
        <v>#N/A</v>
      </c>
      <c r="U1433" s="16" t="e">
        <v>#N/A</v>
      </c>
    </row>
    <row r="1434" spans="1:21" x14ac:dyDescent="0.25">
      <c r="A1434" s="12" t="s">
        <v>21</v>
      </c>
      <c r="B1434" s="12" t="s">
        <v>1517</v>
      </c>
      <c r="C1434" s="12" t="s">
        <v>23</v>
      </c>
      <c r="D1434" s="15">
        <v>46273.621770833335</v>
      </c>
      <c r="E1434" s="12" t="s">
        <v>258</v>
      </c>
      <c r="F1434" s="12" t="s">
        <v>1518</v>
      </c>
      <c r="G1434" s="12">
        <v>6</v>
      </c>
      <c r="H1434" s="12">
        <v>6</v>
      </c>
      <c r="I1434" s="14"/>
      <c r="J1434" s="14" t="s">
        <v>61</v>
      </c>
      <c r="K1434" s="12" t="s">
        <v>1519</v>
      </c>
      <c r="L1434" s="15">
        <v>1</v>
      </c>
      <c r="M1434" s="12" t="s">
        <v>150</v>
      </c>
      <c r="N1434" s="12">
        <v>6</v>
      </c>
      <c r="O1434" s="12">
        <v>6</v>
      </c>
      <c r="P1434" s="12">
        <v>0</v>
      </c>
      <c r="Q1434" s="16">
        <v>6</v>
      </c>
      <c r="R1434" s="16">
        <v>0</v>
      </c>
      <c r="S1434" s="16"/>
      <c r="T1434" s="16" t="e">
        <v>#N/A</v>
      </c>
      <c r="U1434" s="16" t="e">
        <v>#N/A</v>
      </c>
    </row>
    <row r="1435" spans="1:21" x14ac:dyDescent="0.25">
      <c r="A1435" s="12" t="s">
        <v>21</v>
      </c>
      <c r="B1435" s="12" t="s">
        <v>1520</v>
      </c>
      <c r="C1435" s="12" t="s">
        <v>23</v>
      </c>
      <c r="D1435" s="15">
        <v>46273.653969907406</v>
      </c>
      <c r="E1435" s="12" t="s">
        <v>69</v>
      </c>
      <c r="F1435" s="12" t="s">
        <v>1521</v>
      </c>
      <c r="G1435" s="12">
        <v>2</v>
      </c>
      <c r="H1435" s="12">
        <v>2</v>
      </c>
      <c r="I1435" s="14"/>
      <c r="J1435" s="14" t="s">
        <v>61</v>
      </c>
      <c r="K1435" s="12" t="s">
        <v>1522</v>
      </c>
      <c r="L1435" s="15">
        <v>1</v>
      </c>
      <c r="M1435" s="12" t="s">
        <v>150</v>
      </c>
      <c r="N1435" s="12">
        <v>2</v>
      </c>
      <c r="O1435" s="12">
        <v>2</v>
      </c>
      <c r="P1435" s="12">
        <v>0</v>
      </c>
      <c r="Q1435" s="16">
        <v>2</v>
      </c>
      <c r="R1435" s="16">
        <v>0</v>
      </c>
      <c r="S1435" s="16"/>
      <c r="T1435" s="16" t="e">
        <v>#N/A</v>
      </c>
      <c r="U1435" s="16" t="e">
        <v>#N/A</v>
      </c>
    </row>
    <row r="1436" spans="1:21" x14ac:dyDescent="0.25">
      <c r="A1436" s="12" t="s">
        <v>21</v>
      </c>
      <c r="B1436" s="12" t="s">
        <v>1523</v>
      </c>
      <c r="C1436" s="12" t="s">
        <v>23</v>
      </c>
      <c r="D1436" s="15">
        <v>46274.287824074076</v>
      </c>
      <c r="E1436" s="12" t="s">
        <v>258</v>
      </c>
      <c r="F1436" s="12" t="s">
        <v>1526</v>
      </c>
      <c r="G1436" s="12">
        <v>30</v>
      </c>
      <c r="H1436" s="12">
        <v>30</v>
      </c>
      <c r="I1436" s="14"/>
      <c r="J1436" s="14" t="s">
        <v>61</v>
      </c>
      <c r="K1436" s="12" t="s">
        <v>1528</v>
      </c>
      <c r="L1436" s="15">
        <v>1</v>
      </c>
      <c r="M1436" s="12" t="s">
        <v>150</v>
      </c>
      <c r="N1436" s="12">
        <v>30</v>
      </c>
      <c r="O1436" s="12">
        <v>30</v>
      </c>
      <c r="P1436" s="12">
        <v>0</v>
      </c>
      <c r="Q1436" s="16">
        <v>30</v>
      </c>
      <c r="R1436" s="16">
        <v>0</v>
      </c>
      <c r="S1436" s="16"/>
      <c r="T1436" s="16" t="e">
        <v>#N/A</v>
      </c>
      <c r="U1436" s="16" t="e">
        <v>#N/A</v>
      </c>
    </row>
    <row r="1437" spans="1:21" x14ac:dyDescent="0.25">
      <c r="A1437" s="12" t="s">
        <v>21</v>
      </c>
      <c r="B1437" s="12" t="s">
        <v>1524</v>
      </c>
      <c r="C1437" s="12" t="s">
        <v>23</v>
      </c>
      <c r="D1437" s="15">
        <v>46274.348136574074</v>
      </c>
      <c r="E1437" s="12" t="s">
        <v>502</v>
      </c>
      <c r="F1437" s="12" t="s">
        <v>1527</v>
      </c>
      <c r="G1437" s="12">
        <v>8</v>
      </c>
      <c r="H1437" s="12">
        <v>8</v>
      </c>
      <c r="I1437" s="14"/>
      <c r="J1437" s="14" t="s">
        <v>61</v>
      </c>
      <c r="K1437" s="12" t="s">
        <v>1529</v>
      </c>
      <c r="L1437" s="15">
        <v>1</v>
      </c>
      <c r="M1437" s="12" t="s">
        <v>150</v>
      </c>
      <c r="N1437" s="12">
        <v>8</v>
      </c>
      <c r="O1437" s="12">
        <v>8</v>
      </c>
      <c r="P1437" s="12">
        <v>0</v>
      </c>
      <c r="Q1437" s="16">
        <v>8</v>
      </c>
      <c r="R1437" s="16">
        <v>0</v>
      </c>
      <c r="S1437" s="16"/>
      <c r="T1437" s="16" t="e">
        <v>#N/A</v>
      </c>
      <c r="U1437" s="16" t="e">
        <v>#N/A</v>
      </c>
    </row>
    <row r="1438" spans="1:21" x14ac:dyDescent="0.25">
      <c r="A1438" s="12" t="s">
        <v>21</v>
      </c>
      <c r="B1438" s="12" t="s">
        <v>1525</v>
      </c>
      <c r="C1438" s="12" t="s">
        <v>23</v>
      </c>
      <c r="D1438" s="15">
        <v>46274.351990740739</v>
      </c>
      <c r="E1438" s="12" t="s">
        <v>484</v>
      </c>
      <c r="F1438" s="12" t="s">
        <v>262</v>
      </c>
      <c r="G1438" s="12">
        <v>4000</v>
      </c>
      <c r="H1438" s="12">
        <v>4000</v>
      </c>
      <c r="I1438" s="14"/>
      <c r="J1438" s="14" t="s">
        <v>26</v>
      </c>
      <c r="K1438" s="12" t="s">
        <v>27</v>
      </c>
      <c r="L1438" s="15"/>
      <c r="M1438" s="12" t="s">
        <v>28</v>
      </c>
      <c r="N1438" s="12"/>
      <c r="O1438" s="12"/>
      <c r="P1438" s="12"/>
      <c r="Q1438" s="16">
        <v>0</v>
      </c>
      <c r="R1438" s="16">
        <v>0</v>
      </c>
      <c r="S1438" s="16">
        <v>500</v>
      </c>
      <c r="T1438" s="16" t="e">
        <v>#N/A</v>
      </c>
      <c r="U1438" s="16" t="e">
        <v>#N/A</v>
      </c>
    </row>
    <row r="1439" spans="1:21" x14ac:dyDescent="0.25">
      <c r="A1439" s="12" t="s">
        <v>21</v>
      </c>
      <c r="B1439" s="12" t="s">
        <v>1530</v>
      </c>
      <c r="C1439" s="12" t="s">
        <v>23</v>
      </c>
      <c r="D1439" s="15">
        <v>46274.377534722225</v>
      </c>
      <c r="E1439" s="12" t="s">
        <v>24</v>
      </c>
      <c r="F1439" s="12" t="s">
        <v>130</v>
      </c>
      <c r="G1439" s="12">
        <v>2000</v>
      </c>
      <c r="H1439" s="12">
        <v>2000</v>
      </c>
      <c r="I1439" s="14"/>
      <c r="J1439" s="14" t="s">
        <v>26</v>
      </c>
      <c r="K1439" s="12" t="s">
        <v>27</v>
      </c>
      <c r="L1439" s="15"/>
      <c r="M1439" s="12" t="s">
        <v>28</v>
      </c>
      <c r="N1439" s="12"/>
      <c r="O1439" s="12"/>
      <c r="P1439" s="12"/>
      <c r="Q1439" s="16">
        <v>0</v>
      </c>
      <c r="R1439" s="16">
        <v>6</v>
      </c>
      <c r="S1439" s="16"/>
      <c r="T1439" s="16" t="e">
        <v>#N/A</v>
      </c>
      <c r="U1439" s="16" t="e">
        <v>#N/A</v>
      </c>
    </row>
    <row r="1440" spans="1:21" x14ac:dyDescent="0.25">
      <c r="A1440" s="12" t="s">
        <v>21</v>
      </c>
      <c r="B1440" s="12" t="s">
        <v>1530</v>
      </c>
      <c r="C1440" s="12" t="s">
        <v>23</v>
      </c>
      <c r="D1440" s="15">
        <v>46274.377534722225</v>
      </c>
      <c r="E1440" s="12" t="s">
        <v>24</v>
      </c>
      <c r="F1440" s="12" t="s">
        <v>134</v>
      </c>
      <c r="G1440" s="12">
        <v>400</v>
      </c>
      <c r="H1440" s="12">
        <v>400</v>
      </c>
      <c r="I1440" s="14"/>
      <c r="J1440" s="14" t="s">
        <v>26</v>
      </c>
      <c r="K1440" s="12" t="s">
        <v>27</v>
      </c>
      <c r="L1440" s="15"/>
      <c r="M1440" s="12" t="s">
        <v>28</v>
      </c>
      <c r="N1440" s="12"/>
      <c r="O1440" s="12"/>
      <c r="P1440" s="12"/>
      <c r="Q1440" s="16">
        <v>0</v>
      </c>
      <c r="R1440" s="16">
        <v>6</v>
      </c>
      <c r="S1440" s="16"/>
      <c r="T1440" s="16" t="e">
        <v>#N/A</v>
      </c>
      <c r="U1440" s="16" t="e">
        <v>#N/A</v>
      </c>
    </row>
    <row r="1441" spans="1:21" x14ac:dyDescent="0.25">
      <c r="A1441" s="12" t="s">
        <v>21</v>
      </c>
      <c r="B1441" s="12" t="s">
        <v>1531</v>
      </c>
      <c r="C1441" s="12" t="s">
        <v>23</v>
      </c>
      <c r="D1441" s="15">
        <v>46274.508414351854</v>
      </c>
      <c r="E1441" s="12" t="s">
        <v>1466</v>
      </c>
      <c r="F1441" s="12" t="s">
        <v>1532</v>
      </c>
      <c r="G1441" s="12">
        <v>150</v>
      </c>
      <c r="H1441" s="12">
        <v>150</v>
      </c>
      <c r="I1441" s="14"/>
      <c r="J1441" s="14" t="s">
        <v>26</v>
      </c>
      <c r="K1441" s="12" t="s">
        <v>1533</v>
      </c>
      <c r="L1441" s="15">
        <v>1</v>
      </c>
      <c r="M1441" s="12" t="s">
        <v>150</v>
      </c>
      <c r="N1441" s="12">
        <v>150</v>
      </c>
      <c r="O1441" s="12">
        <v>150</v>
      </c>
      <c r="P1441" s="12">
        <v>0</v>
      </c>
      <c r="Q1441" s="16">
        <v>0</v>
      </c>
      <c r="R1441" s="16">
        <v>0</v>
      </c>
      <c r="S1441" s="16"/>
      <c r="T1441" s="16" t="e">
        <v>#N/A</v>
      </c>
      <c r="U1441" s="16" t="e">
        <v>#N/A</v>
      </c>
    </row>
    <row r="1442" spans="1:21" x14ac:dyDescent="0.25">
      <c r="A1442" s="12" t="s">
        <v>21</v>
      </c>
      <c r="B1442" s="12" t="s">
        <v>1534</v>
      </c>
      <c r="C1442" s="12" t="s">
        <v>23</v>
      </c>
      <c r="D1442" s="15">
        <v>46274.525567129633</v>
      </c>
      <c r="E1442" s="12" t="s">
        <v>1536</v>
      </c>
      <c r="F1442" s="12" t="s">
        <v>527</v>
      </c>
      <c r="G1442" s="12">
        <v>600</v>
      </c>
      <c r="H1442" s="12">
        <v>600</v>
      </c>
      <c r="I1442" s="14"/>
      <c r="J1442" s="14" t="s">
        <v>26</v>
      </c>
      <c r="K1442" s="12" t="s">
        <v>27</v>
      </c>
      <c r="L1442" s="15"/>
      <c r="M1442" s="12" t="s">
        <v>28</v>
      </c>
      <c r="N1442" s="12"/>
      <c r="O1442" s="12"/>
      <c r="P1442" s="12"/>
      <c r="Q1442" s="16">
        <v>0</v>
      </c>
      <c r="R1442" s="16">
        <v>0</v>
      </c>
      <c r="S1442" s="16"/>
      <c r="T1442" s="16" t="e">
        <v>#N/A</v>
      </c>
      <c r="U1442" s="16" t="e">
        <v>#N/A</v>
      </c>
    </row>
    <row r="1443" spans="1:21" x14ac:dyDescent="0.25">
      <c r="A1443" s="12" t="s">
        <v>21</v>
      </c>
      <c r="B1443" s="12" t="s">
        <v>1535</v>
      </c>
      <c r="C1443" s="12" t="s">
        <v>23</v>
      </c>
      <c r="D1443" s="15">
        <v>46274.537615740737</v>
      </c>
      <c r="E1443" s="12" t="s">
        <v>398</v>
      </c>
      <c r="F1443" s="12" t="s">
        <v>354</v>
      </c>
      <c r="G1443" s="12">
        <v>12</v>
      </c>
      <c r="H1443" s="12">
        <v>12</v>
      </c>
      <c r="I1443" s="14"/>
      <c r="J1443" s="14" t="s">
        <v>61</v>
      </c>
      <c r="K1443" s="12" t="s">
        <v>1537</v>
      </c>
      <c r="L1443" s="15">
        <v>1</v>
      </c>
      <c r="M1443" s="12" t="s">
        <v>150</v>
      </c>
      <c r="N1443" s="12">
        <v>12</v>
      </c>
      <c r="O1443" s="12">
        <v>12</v>
      </c>
      <c r="P1443" s="12">
        <v>0</v>
      </c>
      <c r="Q1443" s="16">
        <v>12</v>
      </c>
      <c r="R1443" s="16">
        <v>0</v>
      </c>
      <c r="S1443" s="16"/>
      <c r="T1443" s="16" t="e">
        <v>#N/A</v>
      </c>
      <c r="U1443" s="16" t="e">
        <v>#N/A</v>
      </c>
    </row>
    <row r="1444" spans="1:21" x14ac:dyDescent="0.25">
      <c r="A1444" s="12" t="s">
        <v>21</v>
      </c>
      <c r="B1444" s="12" t="s">
        <v>1535</v>
      </c>
      <c r="C1444" s="12" t="s">
        <v>23</v>
      </c>
      <c r="D1444" s="15">
        <v>46274.537615740737</v>
      </c>
      <c r="E1444" s="12" t="s">
        <v>398</v>
      </c>
      <c r="F1444" s="12" t="s">
        <v>261</v>
      </c>
      <c r="G1444" s="12">
        <v>24</v>
      </c>
      <c r="H1444" s="12">
        <v>24</v>
      </c>
      <c r="I1444" s="14"/>
      <c r="J1444" s="14" t="s">
        <v>61</v>
      </c>
      <c r="K1444" s="12" t="s">
        <v>1538</v>
      </c>
      <c r="L1444" s="15">
        <v>1</v>
      </c>
      <c r="M1444" s="12" t="s">
        <v>150</v>
      </c>
      <c r="N1444" s="12">
        <v>24</v>
      </c>
      <c r="O1444" s="12">
        <v>24</v>
      </c>
      <c r="P1444" s="12">
        <v>0</v>
      </c>
      <c r="Q1444" s="16">
        <v>24</v>
      </c>
      <c r="R1444" s="16">
        <v>0</v>
      </c>
      <c r="S1444" s="16"/>
      <c r="T1444" s="16" t="e">
        <v>#N/A</v>
      </c>
      <c r="U1444" s="16" t="e">
        <v>#N/A</v>
      </c>
    </row>
    <row r="1445" spans="1:21" x14ac:dyDescent="0.25">
      <c r="A1445" s="12" t="s">
        <v>21</v>
      </c>
      <c r="B1445" s="12" t="s">
        <v>1535</v>
      </c>
      <c r="C1445" s="12" t="s">
        <v>23</v>
      </c>
      <c r="D1445" s="15">
        <v>46274.537615740737</v>
      </c>
      <c r="E1445" s="12" t="s">
        <v>398</v>
      </c>
      <c r="F1445" s="12" t="s">
        <v>374</v>
      </c>
      <c r="G1445" s="12">
        <v>20</v>
      </c>
      <c r="H1445" s="12">
        <v>20</v>
      </c>
      <c r="I1445" s="14"/>
      <c r="J1445" s="14" t="s">
        <v>61</v>
      </c>
      <c r="K1445" s="12" t="s">
        <v>1539</v>
      </c>
      <c r="L1445" s="15">
        <v>1</v>
      </c>
      <c r="M1445" s="12" t="s">
        <v>150</v>
      </c>
      <c r="N1445" s="12">
        <v>20</v>
      </c>
      <c r="O1445" s="12">
        <v>20</v>
      </c>
      <c r="P1445" s="12">
        <v>0</v>
      </c>
      <c r="Q1445" s="16">
        <v>20</v>
      </c>
      <c r="R1445" s="16">
        <v>0</v>
      </c>
      <c r="S1445" s="16"/>
      <c r="T1445" s="16" t="e">
        <v>#N/A</v>
      </c>
      <c r="U1445" s="16" t="e">
        <v>#N/A</v>
      </c>
    </row>
    <row r="1446" spans="1:21" x14ac:dyDescent="0.25">
      <c r="A1446" s="12" t="s">
        <v>21</v>
      </c>
      <c r="B1446" s="12" t="s">
        <v>1535</v>
      </c>
      <c r="C1446" s="12" t="s">
        <v>23</v>
      </c>
      <c r="D1446" s="15">
        <v>46274.537615740737</v>
      </c>
      <c r="E1446" s="12" t="s">
        <v>398</v>
      </c>
      <c r="F1446" s="12" t="s">
        <v>70</v>
      </c>
      <c r="G1446" s="12">
        <v>120</v>
      </c>
      <c r="H1446" s="12">
        <v>120</v>
      </c>
      <c r="I1446" s="14"/>
      <c r="J1446" s="14" t="s">
        <v>61</v>
      </c>
      <c r="K1446" s="12" t="s">
        <v>1540</v>
      </c>
      <c r="L1446" s="15">
        <v>1</v>
      </c>
      <c r="M1446" s="12" t="s">
        <v>150</v>
      </c>
      <c r="N1446" s="12">
        <v>120</v>
      </c>
      <c r="O1446" s="12">
        <v>120</v>
      </c>
      <c r="P1446" s="12">
        <v>0</v>
      </c>
      <c r="Q1446" s="16">
        <v>120</v>
      </c>
      <c r="R1446" s="16">
        <v>0</v>
      </c>
      <c r="S1446" s="16"/>
      <c r="T1446" s="16" t="e">
        <v>#N/A</v>
      </c>
      <c r="U1446" s="16" t="e">
        <v>#N/A</v>
      </c>
    </row>
    <row r="1447" spans="1:21" x14ac:dyDescent="0.25">
      <c r="A1447" s="12" t="s">
        <v>21</v>
      </c>
      <c r="B1447" s="12" t="s">
        <v>1535</v>
      </c>
      <c r="C1447" s="12" t="s">
        <v>23</v>
      </c>
      <c r="D1447" s="15">
        <v>46274.537615740737</v>
      </c>
      <c r="E1447" s="12" t="s">
        <v>398</v>
      </c>
      <c r="F1447" s="12" t="s">
        <v>71</v>
      </c>
      <c r="G1447" s="12">
        <v>100</v>
      </c>
      <c r="H1447" s="12">
        <v>100</v>
      </c>
      <c r="I1447" s="14"/>
      <c r="J1447" s="14" t="s">
        <v>61</v>
      </c>
      <c r="K1447" s="12" t="s">
        <v>1541</v>
      </c>
      <c r="L1447" s="15">
        <v>1</v>
      </c>
      <c r="M1447" s="12" t="s">
        <v>150</v>
      </c>
      <c r="N1447" s="12">
        <v>100</v>
      </c>
      <c r="O1447" s="12">
        <v>100</v>
      </c>
      <c r="P1447" s="12">
        <v>0</v>
      </c>
      <c r="Q1447" s="16">
        <v>120</v>
      </c>
      <c r="R1447" s="16">
        <v>0</v>
      </c>
      <c r="S1447" s="16"/>
      <c r="T1447" s="16" t="e">
        <v>#N/A</v>
      </c>
      <c r="U1447" s="16" t="e">
        <v>#N/A</v>
      </c>
    </row>
    <row r="1448" spans="1:21" x14ac:dyDescent="0.25">
      <c r="A1448" s="12" t="s">
        <v>21</v>
      </c>
      <c r="B1448" s="12" t="s">
        <v>1535</v>
      </c>
      <c r="C1448" s="12" t="s">
        <v>23</v>
      </c>
      <c r="D1448" s="15">
        <v>46274.537615740737</v>
      </c>
      <c r="E1448" s="12" t="s">
        <v>398</v>
      </c>
      <c r="F1448" s="12" t="s">
        <v>558</v>
      </c>
      <c r="G1448" s="12">
        <v>20</v>
      </c>
      <c r="H1448" s="12">
        <v>20</v>
      </c>
      <c r="I1448" s="14"/>
      <c r="J1448" s="14" t="s">
        <v>61</v>
      </c>
      <c r="K1448" s="12" t="s">
        <v>1542</v>
      </c>
      <c r="L1448" s="15">
        <v>1</v>
      </c>
      <c r="M1448" s="12" t="s">
        <v>150</v>
      </c>
      <c r="N1448" s="12">
        <v>20</v>
      </c>
      <c r="O1448" s="12">
        <v>20</v>
      </c>
      <c r="P1448" s="12">
        <v>0</v>
      </c>
      <c r="Q1448" s="16">
        <v>120</v>
      </c>
      <c r="R1448" s="16">
        <v>0</v>
      </c>
      <c r="S1448" s="16"/>
      <c r="T1448" s="16" t="e">
        <v>#N/A</v>
      </c>
      <c r="U1448" s="16" t="e">
        <v>#N/A</v>
      </c>
    </row>
    <row r="1449" spans="1:21" x14ac:dyDescent="0.25">
      <c r="A1449" s="12" t="s">
        <v>21</v>
      </c>
      <c r="B1449" s="12" t="s">
        <v>1535</v>
      </c>
      <c r="C1449" s="12" t="s">
        <v>23</v>
      </c>
      <c r="D1449" s="15">
        <v>46274.537615740737</v>
      </c>
      <c r="E1449" s="12" t="s">
        <v>398</v>
      </c>
      <c r="F1449" s="12" t="s">
        <v>924</v>
      </c>
      <c r="G1449" s="12">
        <v>20</v>
      </c>
      <c r="H1449" s="12">
        <v>20</v>
      </c>
      <c r="I1449" s="14"/>
      <c r="J1449" s="14" t="s">
        <v>61</v>
      </c>
      <c r="K1449" s="12" t="s">
        <v>1543</v>
      </c>
      <c r="L1449" s="15">
        <v>1</v>
      </c>
      <c r="M1449" s="12" t="s">
        <v>150</v>
      </c>
      <c r="N1449" s="12">
        <v>20</v>
      </c>
      <c r="O1449" s="12">
        <v>20</v>
      </c>
      <c r="P1449" s="12">
        <v>0</v>
      </c>
      <c r="Q1449" s="16">
        <v>20</v>
      </c>
      <c r="R1449" s="16">
        <v>0</v>
      </c>
      <c r="S1449" s="16"/>
      <c r="T1449" s="16" t="e">
        <v>#N/A</v>
      </c>
      <c r="U1449" s="16" t="e">
        <v>#N/A</v>
      </c>
    </row>
    <row r="1450" spans="1:21" x14ac:dyDescent="0.25">
      <c r="A1450" s="12" t="s">
        <v>21</v>
      </c>
      <c r="B1450" s="12" t="s">
        <v>1535</v>
      </c>
      <c r="C1450" s="12" t="s">
        <v>23</v>
      </c>
      <c r="D1450" s="15">
        <v>46274.537615740737</v>
      </c>
      <c r="E1450" s="12" t="s">
        <v>398</v>
      </c>
      <c r="F1450" s="12" t="s">
        <v>1335</v>
      </c>
      <c r="G1450" s="12">
        <v>20</v>
      </c>
      <c r="H1450" s="12">
        <v>20</v>
      </c>
      <c r="I1450" s="14"/>
      <c r="J1450" s="14" t="s">
        <v>61</v>
      </c>
      <c r="K1450" s="12" t="s">
        <v>1544</v>
      </c>
      <c r="L1450" s="15">
        <v>1</v>
      </c>
      <c r="M1450" s="12" t="s">
        <v>150</v>
      </c>
      <c r="N1450" s="12">
        <v>20</v>
      </c>
      <c r="O1450" s="12">
        <v>20</v>
      </c>
      <c r="P1450" s="12">
        <v>0</v>
      </c>
      <c r="Q1450" s="16">
        <v>20</v>
      </c>
      <c r="R1450" s="16">
        <v>0</v>
      </c>
      <c r="S1450" s="16"/>
      <c r="T1450" s="16" t="e">
        <v>#N/A</v>
      </c>
      <c r="U1450" s="16" t="e">
        <v>#N/A</v>
      </c>
    </row>
    <row r="1451" spans="1:21" x14ac:dyDescent="0.25">
      <c r="A1451" s="12" t="s">
        <v>21</v>
      </c>
      <c r="B1451" s="12" t="s">
        <v>1535</v>
      </c>
      <c r="C1451" s="12" t="s">
        <v>23</v>
      </c>
      <c r="D1451" s="15">
        <v>46274.537615740737</v>
      </c>
      <c r="E1451" s="12" t="s">
        <v>398</v>
      </c>
      <c r="F1451" s="12" t="s">
        <v>525</v>
      </c>
      <c r="G1451" s="12">
        <v>28</v>
      </c>
      <c r="H1451" s="12">
        <v>28</v>
      </c>
      <c r="I1451" s="14"/>
      <c r="J1451" s="14" t="s">
        <v>61</v>
      </c>
      <c r="K1451" s="12" t="s">
        <v>1545</v>
      </c>
      <c r="L1451" s="15">
        <v>1</v>
      </c>
      <c r="M1451" s="12" t="s">
        <v>150</v>
      </c>
      <c r="N1451" s="12">
        <v>28</v>
      </c>
      <c r="O1451" s="12">
        <v>28</v>
      </c>
      <c r="P1451" s="12">
        <v>0</v>
      </c>
      <c r="Q1451" s="16">
        <v>28</v>
      </c>
      <c r="R1451" s="16">
        <v>0</v>
      </c>
      <c r="S1451" s="16"/>
      <c r="T1451" s="16" t="e">
        <v>#N/A</v>
      </c>
      <c r="U1451" s="16" t="e">
        <v>#N/A</v>
      </c>
    </row>
    <row r="1452" spans="1:21" x14ac:dyDescent="0.25">
      <c r="A1452" s="12" t="s">
        <v>21</v>
      </c>
      <c r="B1452" s="12" t="s">
        <v>1535</v>
      </c>
      <c r="C1452" s="12" t="s">
        <v>23</v>
      </c>
      <c r="D1452" s="15">
        <v>46274.537615740737</v>
      </c>
      <c r="E1452" s="12" t="s">
        <v>398</v>
      </c>
      <c r="F1452" s="12" t="s">
        <v>162</v>
      </c>
      <c r="G1452" s="12">
        <v>20</v>
      </c>
      <c r="H1452" s="12">
        <v>20</v>
      </c>
      <c r="I1452" s="14"/>
      <c r="J1452" s="14" t="s">
        <v>26</v>
      </c>
      <c r="K1452" s="12" t="s">
        <v>27</v>
      </c>
      <c r="L1452" s="15"/>
      <c r="M1452" s="12" t="s">
        <v>28</v>
      </c>
      <c r="N1452" s="12"/>
      <c r="O1452" s="12"/>
      <c r="P1452" s="12"/>
      <c r="Q1452" s="16">
        <v>0</v>
      </c>
      <c r="R1452" s="16">
        <v>0</v>
      </c>
      <c r="S1452" s="16"/>
      <c r="T1452" s="16" t="e">
        <v>#N/A</v>
      </c>
      <c r="U1452" s="16" t="e">
        <v>#N/A</v>
      </c>
    </row>
    <row r="1453" spans="1:21" x14ac:dyDescent="0.25">
      <c r="A1453" s="12" t="s">
        <v>21</v>
      </c>
      <c r="B1453" s="12" t="s">
        <v>1535</v>
      </c>
      <c r="C1453" s="12" t="s">
        <v>23</v>
      </c>
      <c r="D1453" s="15">
        <v>46274.537615740737</v>
      </c>
      <c r="E1453" s="12" t="s">
        <v>398</v>
      </c>
      <c r="F1453" s="12" t="s">
        <v>454</v>
      </c>
      <c r="G1453" s="12">
        <v>60</v>
      </c>
      <c r="H1453" s="12">
        <v>60</v>
      </c>
      <c r="I1453" s="14"/>
      <c r="J1453" s="14" t="s">
        <v>61</v>
      </c>
      <c r="K1453" s="12" t="s">
        <v>1546</v>
      </c>
      <c r="L1453" s="15">
        <v>1</v>
      </c>
      <c r="M1453" s="12" t="s">
        <v>150</v>
      </c>
      <c r="N1453" s="12">
        <v>60</v>
      </c>
      <c r="O1453" s="12">
        <v>60</v>
      </c>
      <c r="P1453" s="12">
        <v>0</v>
      </c>
      <c r="Q1453" s="16">
        <v>60</v>
      </c>
      <c r="R1453" s="16">
        <v>0</v>
      </c>
      <c r="S1453" s="16"/>
      <c r="T1453" s="16" t="e">
        <v>#N/A</v>
      </c>
      <c r="U1453" s="16" t="e">
        <v>#N/A</v>
      </c>
    </row>
    <row r="1454" spans="1:21" x14ac:dyDescent="0.25">
      <c r="A1454" s="12" t="s">
        <v>21</v>
      </c>
      <c r="B1454" s="12" t="s">
        <v>1535</v>
      </c>
      <c r="C1454" s="12" t="s">
        <v>23</v>
      </c>
      <c r="D1454" s="15">
        <v>46274.537615740737</v>
      </c>
      <c r="E1454" s="12" t="s">
        <v>398</v>
      </c>
      <c r="F1454" s="12" t="s">
        <v>252</v>
      </c>
      <c r="G1454" s="12">
        <v>10</v>
      </c>
      <c r="H1454" s="12">
        <v>10</v>
      </c>
      <c r="I1454" s="14"/>
      <c r="J1454" s="14" t="s">
        <v>26</v>
      </c>
      <c r="K1454" s="12" t="s">
        <v>27</v>
      </c>
      <c r="L1454" s="15"/>
      <c r="M1454" s="12" t="s">
        <v>28</v>
      </c>
      <c r="N1454" s="12"/>
      <c r="O1454" s="12"/>
      <c r="P1454" s="12"/>
      <c r="Q1454" s="16">
        <v>0</v>
      </c>
      <c r="R1454" s="16">
        <v>0</v>
      </c>
      <c r="S1454" s="16"/>
      <c r="T1454" s="16" t="e">
        <v>#N/A</v>
      </c>
      <c r="U1454" s="16" t="e">
        <v>#N/A</v>
      </c>
    </row>
    <row r="1455" spans="1:21" x14ac:dyDescent="0.25">
      <c r="A1455" s="12" t="s">
        <v>21</v>
      </c>
      <c r="B1455" s="12" t="s">
        <v>1535</v>
      </c>
      <c r="C1455" s="12" t="s">
        <v>23</v>
      </c>
      <c r="D1455" s="15">
        <v>46274.537615740737</v>
      </c>
      <c r="E1455" s="12" t="s">
        <v>398</v>
      </c>
      <c r="F1455" s="12" t="s">
        <v>252</v>
      </c>
      <c r="G1455" s="12">
        <v>10</v>
      </c>
      <c r="H1455" s="12">
        <v>10</v>
      </c>
      <c r="I1455" s="14"/>
      <c r="J1455" s="14" t="s">
        <v>26</v>
      </c>
      <c r="K1455" s="12" t="s">
        <v>27</v>
      </c>
      <c r="L1455" s="15"/>
      <c r="M1455" s="12" t="s">
        <v>28</v>
      </c>
      <c r="N1455" s="12"/>
      <c r="O1455" s="12"/>
      <c r="P1455" s="12"/>
      <c r="Q1455" s="16">
        <v>0</v>
      </c>
      <c r="R1455" s="16">
        <v>0</v>
      </c>
      <c r="S1455" s="16"/>
      <c r="T1455" s="16" t="e">
        <v>#N/A</v>
      </c>
      <c r="U1455" s="16" t="e">
        <v>#N/A</v>
      </c>
    </row>
    <row r="1456" spans="1:21" x14ac:dyDescent="0.25">
      <c r="A1456" s="12" t="s">
        <v>21</v>
      </c>
      <c r="B1456" s="12" t="s">
        <v>1535</v>
      </c>
      <c r="C1456" s="12" t="s">
        <v>23</v>
      </c>
      <c r="D1456" s="15">
        <v>46274.537615740737</v>
      </c>
      <c r="E1456" s="12" t="s">
        <v>398</v>
      </c>
      <c r="F1456" s="12" t="s">
        <v>443</v>
      </c>
      <c r="G1456" s="12">
        <v>20</v>
      </c>
      <c r="H1456" s="12">
        <v>20</v>
      </c>
      <c r="I1456" s="14"/>
      <c r="J1456" s="14" t="s">
        <v>61</v>
      </c>
      <c r="K1456" s="12" t="s">
        <v>1547</v>
      </c>
      <c r="L1456" s="15">
        <v>1</v>
      </c>
      <c r="M1456" s="12" t="s">
        <v>150</v>
      </c>
      <c r="N1456" s="12">
        <v>20</v>
      </c>
      <c r="O1456" s="12">
        <v>20</v>
      </c>
      <c r="P1456" s="12">
        <v>0</v>
      </c>
      <c r="Q1456" s="16">
        <v>20</v>
      </c>
      <c r="R1456" s="16">
        <v>0</v>
      </c>
      <c r="S1456" s="16"/>
      <c r="T1456" s="16" t="e">
        <v>#N/A</v>
      </c>
      <c r="U1456" s="16" t="e">
        <v>#N/A</v>
      </c>
    </row>
    <row r="1457" spans="1:21" x14ac:dyDescent="0.25">
      <c r="A1457" s="12" t="s">
        <v>21</v>
      </c>
      <c r="B1457" s="12" t="s">
        <v>1535</v>
      </c>
      <c r="C1457" s="12" t="s">
        <v>23</v>
      </c>
      <c r="D1457" s="15">
        <v>46274.537615740737</v>
      </c>
      <c r="E1457" s="12" t="s">
        <v>398</v>
      </c>
      <c r="F1457" s="12" t="s">
        <v>320</v>
      </c>
      <c r="G1457" s="12">
        <v>100</v>
      </c>
      <c r="H1457" s="12">
        <v>100</v>
      </c>
      <c r="I1457" s="14"/>
      <c r="J1457" s="14" t="s">
        <v>61</v>
      </c>
      <c r="K1457" s="12" t="s">
        <v>1548</v>
      </c>
      <c r="L1457" s="15">
        <v>1</v>
      </c>
      <c r="M1457" s="12" t="s">
        <v>150</v>
      </c>
      <c r="N1457" s="12">
        <v>100</v>
      </c>
      <c r="O1457" s="12">
        <v>100</v>
      </c>
      <c r="P1457" s="12">
        <v>0</v>
      </c>
      <c r="Q1457" s="16">
        <v>100</v>
      </c>
      <c r="R1457" s="16">
        <v>1</v>
      </c>
      <c r="S1457" s="16"/>
      <c r="T1457" s="16" t="e">
        <v>#N/A</v>
      </c>
      <c r="U1457" s="16" t="e">
        <v>#N/A</v>
      </c>
    </row>
    <row r="1458" spans="1:21" x14ac:dyDescent="0.25">
      <c r="A1458" s="12" t="s">
        <v>21</v>
      </c>
      <c r="B1458" s="12" t="s">
        <v>1549</v>
      </c>
      <c r="C1458" s="12" t="s">
        <v>23</v>
      </c>
      <c r="D1458" s="15">
        <v>46274.600347222222</v>
      </c>
      <c r="E1458" s="12" t="s">
        <v>465</v>
      </c>
      <c r="F1458" s="12" t="s">
        <v>668</v>
      </c>
      <c r="G1458" s="12">
        <v>15</v>
      </c>
      <c r="H1458" s="12">
        <v>15</v>
      </c>
      <c r="I1458" s="14"/>
      <c r="J1458" s="14" t="s">
        <v>61</v>
      </c>
      <c r="K1458" s="12" t="s">
        <v>1550</v>
      </c>
      <c r="L1458" s="15">
        <v>1</v>
      </c>
      <c r="M1458" s="12" t="s">
        <v>150</v>
      </c>
      <c r="N1458" s="12">
        <v>15</v>
      </c>
      <c r="O1458" s="12">
        <v>15</v>
      </c>
      <c r="P1458" s="12">
        <v>0</v>
      </c>
      <c r="Q1458" s="16">
        <v>15</v>
      </c>
      <c r="R1458" s="16">
        <v>0</v>
      </c>
      <c r="S1458" s="16"/>
      <c r="T1458" s="16" t="e">
        <v>#N/A</v>
      </c>
      <c r="U1458" s="16" t="e">
        <v>#N/A</v>
      </c>
    </row>
    <row r="1459" spans="1:21" x14ac:dyDescent="0.25">
      <c r="A1459" s="12" t="s">
        <v>21</v>
      </c>
      <c r="B1459" s="12" t="s">
        <v>1549</v>
      </c>
      <c r="C1459" s="12" t="s">
        <v>23</v>
      </c>
      <c r="D1459" s="15">
        <v>46274.600347222222</v>
      </c>
      <c r="E1459" s="12" t="s">
        <v>465</v>
      </c>
      <c r="F1459" s="12" t="s">
        <v>157</v>
      </c>
      <c r="G1459" s="12">
        <v>30</v>
      </c>
      <c r="H1459" s="12">
        <v>30</v>
      </c>
      <c r="I1459" s="14"/>
      <c r="J1459" s="14" t="s">
        <v>61</v>
      </c>
      <c r="K1459" s="12" t="s">
        <v>27</v>
      </c>
      <c r="L1459" s="15"/>
      <c r="M1459" s="12" t="s">
        <v>28</v>
      </c>
      <c r="N1459" s="12"/>
      <c r="O1459" s="12"/>
      <c r="P1459" s="12"/>
      <c r="Q1459" s="16">
        <v>15</v>
      </c>
      <c r="R1459" s="16">
        <v>0</v>
      </c>
      <c r="S1459" s="16"/>
      <c r="T1459" s="16" t="e">
        <v>#N/A</v>
      </c>
      <c r="U1459" s="16" t="e">
        <v>#N/A</v>
      </c>
    </row>
    <row r="1460" spans="1:21" x14ac:dyDescent="0.25">
      <c r="A1460" s="12" t="s">
        <v>21</v>
      </c>
      <c r="B1460" s="12" t="s">
        <v>1549</v>
      </c>
      <c r="C1460" s="12" t="s">
        <v>23</v>
      </c>
      <c r="D1460" s="15">
        <v>46274.600347222222</v>
      </c>
      <c r="E1460" s="12" t="s">
        <v>465</v>
      </c>
      <c r="F1460" s="12" t="s">
        <v>245</v>
      </c>
      <c r="G1460" s="12">
        <v>40</v>
      </c>
      <c r="H1460" s="12">
        <v>40</v>
      </c>
      <c r="I1460" s="14"/>
      <c r="J1460" s="14" t="s">
        <v>61</v>
      </c>
      <c r="K1460" s="12" t="s">
        <v>1551</v>
      </c>
      <c r="L1460" s="15">
        <v>1</v>
      </c>
      <c r="M1460" s="12" t="s">
        <v>150</v>
      </c>
      <c r="N1460" s="12">
        <v>40</v>
      </c>
      <c r="O1460" s="12">
        <v>40</v>
      </c>
      <c r="P1460" s="12">
        <v>0</v>
      </c>
      <c r="Q1460" s="16">
        <v>40</v>
      </c>
      <c r="R1460" s="16">
        <v>0</v>
      </c>
      <c r="S1460" s="16"/>
      <c r="T1460" s="16" t="e">
        <v>#N/A</v>
      </c>
      <c r="U1460" s="16" t="e">
        <v>#N/A</v>
      </c>
    </row>
    <row r="1461" spans="1:21" x14ac:dyDescent="0.25">
      <c r="A1461" s="12" t="s">
        <v>21</v>
      </c>
      <c r="B1461" s="12" t="s">
        <v>1549</v>
      </c>
      <c r="C1461" s="12" t="s">
        <v>23</v>
      </c>
      <c r="D1461" s="15">
        <v>46274.600347222222</v>
      </c>
      <c r="E1461" s="12" t="s">
        <v>465</v>
      </c>
      <c r="F1461" s="12" t="s">
        <v>159</v>
      </c>
      <c r="G1461" s="12">
        <v>30</v>
      </c>
      <c r="H1461" s="12">
        <v>30</v>
      </c>
      <c r="I1461" s="14"/>
      <c r="J1461" s="14" t="s">
        <v>26</v>
      </c>
      <c r="K1461" s="12" t="s">
        <v>27</v>
      </c>
      <c r="L1461" s="15"/>
      <c r="M1461" s="12" t="s">
        <v>28</v>
      </c>
      <c r="N1461" s="12"/>
      <c r="O1461" s="12"/>
      <c r="P1461" s="12"/>
      <c r="Q1461" s="16">
        <v>0</v>
      </c>
      <c r="R1461" s="16">
        <v>0</v>
      </c>
      <c r="S1461" s="16"/>
      <c r="T1461" s="16" t="e">
        <v>#N/A</v>
      </c>
      <c r="U1461" s="16" t="e">
        <v>#N/A</v>
      </c>
    </row>
    <row r="1462" spans="1:21" x14ac:dyDescent="0.25">
      <c r="A1462" s="12" t="s">
        <v>21</v>
      </c>
      <c r="B1462" s="12" t="s">
        <v>1549</v>
      </c>
      <c r="C1462" s="12" t="s">
        <v>23</v>
      </c>
      <c r="D1462" s="15">
        <v>46274.600347222222</v>
      </c>
      <c r="E1462" s="12" t="s">
        <v>465</v>
      </c>
      <c r="F1462" s="12" t="s">
        <v>354</v>
      </c>
      <c r="G1462" s="12">
        <v>28</v>
      </c>
      <c r="H1462" s="12">
        <v>28</v>
      </c>
      <c r="I1462" s="14"/>
      <c r="J1462" s="14" t="s">
        <v>61</v>
      </c>
      <c r="K1462" s="12" t="s">
        <v>27</v>
      </c>
      <c r="L1462" s="15"/>
      <c r="M1462" s="12" t="s">
        <v>28</v>
      </c>
      <c r="N1462" s="12"/>
      <c r="O1462" s="12"/>
      <c r="P1462" s="12"/>
      <c r="Q1462" s="16">
        <v>12</v>
      </c>
      <c r="R1462" s="16">
        <v>0</v>
      </c>
      <c r="S1462" s="16"/>
      <c r="T1462" s="16" t="e">
        <v>#N/A</v>
      </c>
      <c r="U1462" s="16" t="e">
        <v>#N/A</v>
      </c>
    </row>
    <row r="1463" spans="1:21" x14ac:dyDescent="0.25">
      <c r="A1463" s="12" t="s">
        <v>21</v>
      </c>
      <c r="B1463" s="12" t="s">
        <v>1549</v>
      </c>
      <c r="C1463" s="12" t="s">
        <v>23</v>
      </c>
      <c r="D1463" s="15">
        <v>46274.600347222222</v>
      </c>
      <c r="E1463" s="12" t="s">
        <v>465</v>
      </c>
      <c r="F1463" s="12" t="s">
        <v>261</v>
      </c>
      <c r="G1463" s="12">
        <v>40</v>
      </c>
      <c r="H1463" s="12">
        <v>40</v>
      </c>
      <c r="I1463" s="14"/>
      <c r="J1463" s="14" t="s">
        <v>26</v>
      </c>
      <c r="K1463" s="12" t="s">
        <v>27</v>
      </c>
      <c r="L1463" s="15"/>
      <c r="M1463" s="12" t="s">
        <v>28</v>
      </c>
      <c r="N1463" s="12"/>
      <c r="O1463" s="12"/>
      <c r="P1463" s="12"/>
      <c r="Q1463" s="16">
        <v>0</v>
      </c>
      <c r="R1463" s="16">
        <v>0</v>
      </c>
      <c r="S1463" s="16">
        <v>12</v>
      </c>
      <c r="T1463" s="16" t="e">
        <v>#N/A</v>
      </c>
      <c r="U1463" s="16" t="e">
        <v>#N/A</v>
      </c>
    </row>
    <row r="1464" spans="1:21" x14ac:dyDescent="0.25">
      <c r="A1464" s="12" t="s">
        <v>21</v>
      </c>
      <c r="B1464" s="12" t="s">
        <v>1549</v>
      </c>
      <c r="C1464" s="12" t="s">
        <v>23</v>
      </c>
      <c r="D1464" s="15">
        <v>46274.600347222222</v>
      </c>
      <c r="E1464" s="12" t="s">
        <v>465</v>
      </c>
      <c r="F1464" s="12" t="s">
        <v>373</v>
      </c>
      <c r="G1464" s="12">
        <v>12</v>
      </c>
      <c r="H1464" s="12">
        <v>12</v>
      </c>
      <c r="I1464" s="14"/>
      <c r="J1464" s="14" t="s">
        <v>61</v>
      </c>
      <c r="K1464" s="12" t="s">
        <v>27</v>
      </c>
      <c r="L1464" s="15"/>
      <c r="M1464" s="12" t="s">
        <v>28</v>
      </c>
      <c r="N1464" s="12"/>
      <c r="O1464" s="12"/>
      <c r="P1464" s="12"/>
      <c r="Q1464" s="16">
        <v>9</v>
      </c>
      <c r="R1464" s="16">
        <v>2</v>
      </c>
      <c r="S1464" s="16"/>
      <c r="T1464" s="16" t="e">
        <v>#N/A</v>
      </c>
      <c r="U1464" s="16" t="e">
        <v>#N/A</v>
      </c>
    </row>
    <row r="1465" spans="1:21" x14ac:dyDescent="0.25">
      <c r="A1465" s="12" t="s">
        <v>21</v>
      </c>
      <c r="B1465" s="12" t="s">
        <v>1549</v>
      </c>
      <c r="C1465" s="12" t="s">
        <v>23</v>
      </c>
      <c r="D1465" s="15">
        <v>46274.600347222222</v>
      </c>
      <c r="E1465" s="12" t="s">
        <v>465</v>
      </c>
      <c r="F1465" s="12" t="s">
        <v>550</v>
      </c>
      <c r="G1465" s="12">
        <v>12</v>
      </c>
      <c r="H1465" s="12">
        <v>12</v>
      </c>
      <c r="I1465" s="14"/>
      <c r="J1465" s="14" t="s">
        <v>61</v>
      </c>
      <c r="K1465" s="12" t="s">
        <v>1552</v>
      </c>
      <c r="L1465" s="15">
        <v>1</v>
      </c>
      <c r="M1465" s="12" t="s">
        <v>150</v>
      </c>
      <c r="N1465" s="12">
        <v>12</v>
      </c>
      <c r="O1465" s="12">
        <v>12</v>
      </c>
      <c r="P1465" s="12">
        <v>0</v>
      </c>
      <c r="Q1465" s="16">
        <v>12</v>
      </c>
      <c r="R1465" s="16">
        <v>0</v>
      </c>
      <c r="S1465" s="16"/>
      <c r="T1465" s="16" t="e">
        <v>#N/A</v>
      </c>
      <c r="U1465" s="16" t="e">
        <v>#N/A</v>
      </c>
    </row>
    <row r="1466" spans="1:21" x14ac:dyDescent="0.25">
      <c r="A1466" s="12" t="s">
        <v>21</v>
      </c>
      <c r="B1466" s="12" t="s">
        <v>1549</v>
      </c>
      <c r="C1466" s="12" t="s">
        <v>23</v>
      </c>
      <c r="D1466" s="15">
        <v>46274.600347222222</v>
      </c>
      <c r="E1466" s="12" t="s">
        <v>465</v>
      </c>
      <c r="F1466" s="12" t="s">
        <v>472</v>
      </c>
      <c r="G1466" s="12">
        <v>40</v>
      </c>
      <c r="H1466" s="12">
        <v>40</v>
      </c>
      <c r="I1466" s="14"/>
      <c r="J1466" s="14" t="s">
        <v>61</v>
      </c>
      <c r="K1466" s="12" t="s">
        <v>1553</v>
      </c>
      <c r="L1466" s="15">
        <v>1</v>
      </c>
      <c r="M1466" s="12" t="s">
        <v>150</v>
      </c>
      <c r="N1466" s="12">
        <v>40</v>
      </c>
      <c r="O1466" s="12">
        <v>40</v>
      </c>
      <c r="P1466" s="12">
        <v>0</v>
      </c>
      <c r="Q1466" s="16">
        <v>40</v>
      </c>
      <c r="R1466" s="16">
        <v>0</v>
      </c>
      <c r="S1466" s="16"/>
      <c r="T1466" s="16" t="e">
        <v>#N/A</v>
      </c>
      <c r="U1466" s="16" t="e">
        <v>#N/A</v>
      </c>
    </row>
    <row r="1467" spans="1:21" x14ac:dyDescent="0.25">
      <c r="A1467" s="12" t="s">
        <v>21</v>
      </c>
      <c r="B1467" s="12" t="s">
        <v>1549</v>
      </c>
      <c r="C1467" s="12" t="s">
        <v>23</v>
      </c>
      <c r="D1467" s="15">
        <v>46274.600347222222</v>
      </c>
      <c r="E1467" s="12" t="s">
        <v>465</v>
      </c>
      <c r="F1467" s="12" t="s">
        <v>71</v>
      </c>
      <c r="G1467" s="12">
        <v>200</v>
      </c>
      <c r="H1467" s="12">
        <v>200</v>
      </c>
      <c r="I1467" s="14"/>
      <c r="J1467" s="14" t="s">
        <v>61</v>
      </c>
      <c r="K1467" s="12" t="s">
        <v>27</v>
      </c>
      <c r="L1467" s="15"/>
      <c r="M1467" s="12" t="s">
        <v>28</v>
      </c>
      <c r="N1467" s="12"/>
      <c r="O1467" s="12"/>
      <c r="P1467" s="12"/>
      <c r="Q1467" s="16">
        <v>40</v>
      </c>
      <c r="R1467" s="16">
        <v>0</v>
      </c>
      <c r="S1467" s="16"/>
      <c r="T1467" s="16" t="e">
        <v>#N/A</v>
      </c>
      <c r="U1467" s="16" t="e">
        <v>#N/A</v>
      </c>
    </row>
    <row r="1468" spans="1:21" x14ac:dyDescent="0.25">
      <c r="A1468" s="12" t="s">
        <v>21</v>
      </c>
      <c r="B1468" s="12" t="s">
        <v>1549</v>
      </c>
      <c r="C1468" s="12" t="s">
        <v>23</v>
      </c>
      <c r="D1468" s="15">
        <v>46274.600347222222</v>
      </c>
      <c r="E1468" s="12" t="s">
        <v>465</v>
      </c>
      <c r="F1468" s="12" t="s">
        <v>1335</v>
      </c>
      <c r="G1468" s="12">
        <v>40</v>
      </c>
      <c r="H1468" s="12">
        <v>40</v>
      </c>
      <c r="I1468" s="14"/>
      <c r="J1468" s="14" t="s">
        <v>26</v>
      </c>
      <c r="K1468" s="12" t="s">
        <v>27</v>
      </c>
      <c r="L1468" s="15"/>
      <c r="M1468" s="12" t="s">
        <v>28</v>
      </c>
      <c r="N1468" s="12"/>
      <c r="O1468" s="12"/>
      <c r="P1468" s="12"/>
      <c r="Q1468" s="16">
        <v>0</v>
      </c>
      <c r="R1468" s="16">
        <v>0</v>
      </c>
      <c r="S1468" s="16">
        <v>9</v>
      </c>
      <c r="T1468" s="16" t="e">
        <v>#N/A</v>
      </c>
      <c r="U1468" s="16" t="e">
        <v>#N/A</v>
      </c>
    </row>
    <row r="1469" spans="1:21" x14ac:dyDescent="0.25">
      <c r="A1469" s="12" t="s">
        <v>21</v>
      </c>
      <c r="B1469" s="12" t="s">
        <v>1549</v>
      </c>
      <c r="C1469" s="12" t="s">
        <v>23</v>
      </c>
      <c r="D1469" s="15">
        <v>46274.600347222222</v>
      </c>
      <c r="E1469" s="12" t="s">
        <v>465</v>
      </c>
      <c r="F1469" s="12" t="s">
        <v>248</v>
      </c>
      <c r="G1469" s="12">
        <v>30</v>
      </c>
      <c r="H1469" s="12">
        <v>30</v>
      </c>
      <c r="I1469" s="14"/>
      <c r="J1469" s="14" t="s">
        <v>61</v>
      </c>
      <c r="K1469" s="12" t="s">
        <v>1555</v>
      </c>
      <c r="L1469" s="15">
        <v>1</v>
      </c>
      <c r="M1469" s="12" t="s">
        <v>150</v>
      </c>
      <c r="N1469" s="12">
        <v>30</v>
      </c>
      <c r="O1469" s="12">
        <v>30</v>
      </c>
      <c r="P1469" s="12">
        <v>0</v>
      </c>
      <c r="Q1469" s="16">
        <v>30</v>
      </c>
      <c r="R1469" s="16">
        <v>2</v>
      </c>
      <c r="S1469" s="16"/>
      <c r="T1469" s="16" t="e">
        <v>#N/A</v>
      </c>
      <c r="U1469" s="16" t="e">
        <v>#N/A</v>
      </c>
    </row>
    <row r="1470" spans="1:21" x14ac:dyDescent="0.25">
      <c r="A1470" s="12" t="s">
        <v>21</v>
      </c>
      <c r="B1470" s="12" t="s">
        <v>1549</v>
      </c>
      <c r="C1470" s="12" t="s">
        <v>23</v>
      </c>
      <c r="D1470" s="15">
        <v>46274.600347222222</v>
      </c>
      <c r="E1470" s="12" t="s">
        <v>465</v>
      </c>
      <c r="F1470" s="12" t="s">
        <v>1244</v>
      </c>
      <c r="G1470" s="12">
        <v>10</v>
      </c>
      <c r="H1470" s="12">
        <v>10</v>
      </c>
      <c r="I1470" s="14"/>
      <c r="J1470" s="14" t="s">
        <v>26</v>
      </c>
      <c r="K1470" s="12" t="s">
        <v>27</v>
      </c>
      <c r="L1470" s="15"/>
      <c r="M1470" s="12" t="s">
        <v>28</v>
      </c>
      <c r="N1470" s="12"/>
      <c r="O1470" s="12"/>
      <c r="P1470" s="12"/>
      <c r="Q1470" s="16">
        <v>0</v>
      </c>
      <c r="R1470" s="16">
        <v>3</v>
      </c>
      <c r="S1470" s="16"/>
      <c r="T1470" s="16" t="e">
        <v>#N/A</v>
      </c>
      <c r="U1470" s="16" t="e">
        <v>#N/A</v>
      </c>
    </row>
    <row r="1471" spans="1:21" x14ac:dyDescent="0.25">
      <c r="A1471" s="12" t="s">
        <v>21</v>
      </c>
      <c r="B1471" s="12" t="s">
        <v>1549</v>
      </c>
      <c r="C1471" s="12" t="s">
        <v>23</v>
      </c>
      <c r="D1471" s="15">
        <v>46274.600347222222</v>
      </c>
      <c r="E1471" s="12" t="s">
        <v>465</v>
      </c>
      <c r="F1471" s="12" t="s">
        <v>252</v>
      </c>
      <c r="G1471" s="12">
        <v>10</v>
      </c>
      <c r="H1471" s="12">
        <v>10</v>
      </c>
      <c r="I1471" s="14"/>
      <c r="J1471" s="14" t="s">
        <v>26</v>
      </c>
      <c r="K1471" s="12" t="s">
        <v>1556</v>
      </c>
      <c r="L1471" s="15">
        <v>1</v>
      </c>
      <c r="M1471" s="12" t="s">
        <v>150</v>
      </c>
      <c r="N1471" s="12">
        <v>10</v>
      </c>
      <c r="O1471" s="12">
        <v>10</v>
      </c>
      <c r="P1471" s="12">
        <v>0</v>
      </c>
      <c r="Q1471" s="16">
        <v>0</v>
      </c>
      <c r="R1471" s="16">
        <v>0</v>
      </c>
      <c r="S1471" s="16"/>
      <c r="T1471" s="16" t="e">
        <v>#N/A</v>
      </c>
      <c r="U1471" s="16" t="e">
        <v>#N/A</v>
      </c>
    </row>
    <row r="1472" spans="1:21" x14ac:dyDescent="0.25">
      <c r="A1472" s="12" t="s">
        <v>21</v>
      </c>
      <c r="B1472" s="12" t="s">
        <v>1549</v>
      </c>
      <c r="C1472" s="12" t="s">
        <v>23</v>
      </c>
      <c r="D1472" s="15">
        <v>46274.600347222222</v>
      </c>
      <c r="E1472" s="12" t="s">
        <v>465</v>
      </c>
      <c r="F1472" s="12" t="s">
        <v>1166</v>
      </c>
      <c r="G1472" s="12">
        <v>40</v>
      </c>
      <c r="H1472" s="12">
        <v>40</v>
      </c>
      <c r="I1472" s="14"/>
      <c r="J1472" s="14" t="s">
        <v>61</v>
      </c>
      <c r="K1472" s="12" t="s">
        <v>1557</v>
      </c>
      <c r="L1472" s="15">
        <v>1</v>
      </c>
      <c r="M1472" s="12" t="s">
        <v>150</v>
      </c>
      <c r="N1472" s="12">
        <v>40</v>
      </c>
      <c r="O1472" s="12">
        <v>40</v>
      </c>
      <c r="P1472" s="12">
        <v>0</v>
      </c>
      <c r="Q1472" s="16">
        <v>60</v>
      </c>
      <c r="R1472" s="16">
        <v>0</v>
      </c>
      <c r="S1472" s="16"/>
      <c r="T1472" s="16" t="e">
        <v>#N/A</v>
      </c>
      <c r="U1472" s="16" t="e">
        <v>#N/A</v>
      </c>
    </row>
    <row r="1473" spans="1:21" x14ac:dyDescent="0.25">
      <c r="A1473" s="12" t="s">
        <v>21</v>
      </c>
      <c r="B1473" s="12" t="s">
        <v>1549</v>
      </c>
      <c r="C1473" s="12" t="s">
        <v>23</v>
      </c>
      <c r="D1473" s="15">
        <v>46274.600347222222</v>
      </c>
      <c r="E1473" s="12" t="s">
        <v>465</v>
      </c>
      <c r="F1473" s="12" t="s">
        <v>253</v>
      </c>
      <c r="G1473" s="12">
        <v>20</v>
      </c>
      <c r="H1473" s="12">
        <v>20</v>
      </c>
      <c r="I1473" s="14"/>
      <c r="J1473" s="14" t="s">
        <v>61</v>
      </c>
      <c r="K1473" s="12" t="s">
        <v>1558</v>
      </c>
      <c r="L1473" s="15">
        <v>1</v>
      </c>
      <c r="M1473" s="12" t="s">
        <v>150</v>
      </c>
      <c r="N1473" s="12">
        <v>20</v>
      </c>
      <c r="O1473" s="12">
        <v>20</v>
      </c>
      <c r="P1473" s="12">
        <v>0</v>
      </c>
      <c r="Q1473" s="16">
        <v>60</v>
      </c>
      <c r="R1473" s="16">
        <v>0</v>
      </c>
      <c r="S1473" s="16"/>
      <c r="T1473" s="16" t="e">
        <v>#N/A</v>
      </c>
      <c r="U1473" s="16" t="e">
        <v>#N/A</v>
      </c>
    </row>
    <row r="1474" spans="1:21" x14ac:dyDescent="0.25">
      <c r="A1474" s="12" t="s">
        <v>21</v>
      </c>
      <c r="B1474" s="12" t="s">
        <v>1549</v>
      </c>
      <c r="C1474" s="12" t="s">
        <v>23</v>
      </c>
      <c r="D1474" s="15">
        <v>46274.600347222222</v>
      </c>
      <c r="E1474" s="12" t="s">
        <v>465</v>
      </c>
      <c r="F1474" s="12" t="s">
        <v>623</v>
      </c>
      <c r="G1474" s="12">
        <v>10</v>
      </c>
      <c r="H1474" s="12">
        <v>10</v>
      </c>
      <c r="I1474" s="14"/>
      <c r="J1474" s="14" t="s">
        <v>61</v>
      </c>
      <c r="K1474" s="12" t="s">
        <v>1559</v>
      </c>
      <c r="L1474" s="15">
        <v>1</v>
      </c>
      <c r="M1474" s="12" t="s">
        <v>150</v>
      </c>
      <c r="N1474" s="12">
        <v>10</v>
      </c>
      <c r="O1474" s="12">
        <v>10</v>
      </c>
      <c r="P1474" s="12">
        <v>0</v>
      </c>
      <c r="Q1474" s="16">
        <v>10</v>
      </c>
      <c r="R1474" s="16">
        <v>0</v>
      </c>
      <c r="S1474" s="16"/>
      <c r="T1474" s="16" t="e">
        <v>#N/A</v>
      </c>
      <c r="U1474" s="16" t="e">
        <v>#N/A</v>
      </c>
    </row>
    <row r="1475" spans="1:21" x14ac:dyDescent="0.25">
      <c r="A1475" s="12" t="s">
        <v>21</v>
      </c>
      <c r="B1475" s="12" t="s">
        <v>1549</v>
      </c>
      <c r="C1475" s="12" t="s">
        <v>23</v>
      </c>
      <c r="D1475" s="15">
        <v>46274.600347222222</v>
      </c>
      <c r="E1475" s="12" t="s">
        <v>465</v>
      </c>
      <c r="F1475" s="12" t="s">
        <v>1554</v>
      </c>
      <c r="G1475" s="12">
        <v>15</v>
      </c>
      <c r="H1475" s="12">
        <v>15</v>
      </c>
      <c r="I1475" s="14"/>
      <c r="J1475" s="14" t="s">
        <v>61</v>
      </c>
      <c r="K1475" s="12" t="s">
        <v>1560</v>
      </c>
      <c r="L1475" s="15">
        <v>1</v>
      </c>
      <c r="M1475" s="12" t="s">
        <v>150</v>
      </c>
      <c r="N1475" s="12">
        <v>15</v>
      </c>
      <c r="O1475" s="12">
        <v>15</v>
      </c>
      <c r="P1475" s="12">
        <v>0</v>
      </c>
      <c r="Q1475" s="16">
        <v>15</v>
      </c>
      <c r="R1475" s="16">
        <v>12</v>
      </c>
      <c r="S1475" s="16"/>
      <c r="T1475" s="16" t="e">
        <v>#N/A</v>
      </c>
      <c r="U1475" s="16" t="e">
        <v>#N/A</v>
      </c>
    </row>
    <row r="1476" spans="1:21" x14ac:dyDescent="0.25">
      <c r="A1476" s="12" t="s">
        <v>21</v>
      </c>
      <c r="B1476" s="12" t="s">
        <v>1549</v>
      </c>
      <c r="C1476" s="12" t="s">
        <v>23</v>
      </c>
      <c r="D1476" s="15">
        <v>46274.600347222222</v>
      </c>
      <c r="E1476" s="12" t="s">
        <v>465</v>
      </c>
      <c r="F1476" s="12" t="s">
        <v>375</v>
      </c>
      <c r="G1476" s="12">
        <v>9</v>
      </c>
      <c r="H1476" s="12">
        <v>9</v>
      </c>
      <c r="I1476" s="14"/>
      <c r="J1476" s="14" t="s">
        <v>61</v>
      </c>
      <c r="K1476" s="12" t="s">
        <v>1561</v>
      </c>
      <c r="L1476" s="15">
        <v>1</v>
      </c>
      <c r="M1476" s="12" t="s">
        <v>150</v>
      </c>
      <c r="N1476" s="12">
        <v>9</v>
      </c>
      <c r="O1476" s="12">
        <v>9</v>
      </c>
      <c r="P1476" s="12">
        <v>0</v>
      </c>
      <c r="Q1476" s="16">
        <v>9</v>
      </c>
      <c r="R1476" s="16">
        <v>0</v>
      </c>
      <c r="S1476" s="16"/>
      <c r="T1476" s="16" t="e">
        <v>#N/A</v>
      </c>
      <c r="U1476" s="16" t="e">
        <v>#N/A</v>
      </c>
    </row>
    <row r="1477" spans="1:21" x14ac:dyDescent="0.25">
      <c r="A1477" s="12" t="s">
        <v>21</v>
      </c>
      <c r="B1477" s="12" t="s">
        <v>1549</v>
      </c>
      <c r="C1477" s="12" t="s">
        <v>23</v>
      </c>
      <c r="D1477" s="15">
        <v>46274.600347222222</v>
      </c>
      <c r="E1477" s="12" t="s">
        <v>465</v>
      </c>
      <c r="F1477" s="12" t="s">
        <v>277</v>
      </c>
      <c r="G1477" s="12">
        <v>10</v>
      </c>
      <c r="H1477" s="12">
        <v>10</v>
      </c>
      <c r="I1477" s="14"/>
      <c r="J1477" s="14" t="s">
        <v>26</v>
      </c>
      <c r="K1477" s="12" t="s">
        <v>27</v>
      </c>
      <c r="L1477" s="15"/>
      <c r="M1477" s="12" t="s">
        <v>28</v>
      </c>
      <c r="N1477" s="12"/>
      <c r="O1477" s="12"/>
      <c r="P1477" s="12"/>
      <c r="Q1477" s="16">
        <v>0</v>
      </c>
      <c r="R1477" s="16">
        <v>0</v>
      </c>
      <c r="S1477" s="16"/>
      <c r="T1477" s="16" t="e">
        <v>#N/A</v>
      </c>
      <c r="U1477" s="16" t="e">
        <v>#N/A</v>
      </c>
    </row>
    <row r="1478" spans="1:21" x14ac:dyDescent="0.25">
      <c r="A1478" s="12" t="s">
        <v>21</v>
      </c>
      <c r="B1478" s="12" t="s">
        <v>1562</v>
      </c>
      <c r="C1478" s="12" t="s">
        <v>23</v>
      </c>
      <c r="D1478" s="15">
        <v>46274.635497685187</v>
      </c>
      <c r="E1478" s="12" t="s">
        <v>484</v>
      </c>
      <c r="F1478" s="12" t="s">
        <v>158</v>
      </c>
      <c r="G1478" s="12">
        <v>50</v>
      </c>
      <c r="H1478" s="12">
        <v>50</v>
      </c>
      <c r="I1478" s="14"/>
      <c r="J1478" s="14" t="s">
        <v>26</v>
      </c>
      <c r="K1478" s="12" t="s">
        <v>27</v>
      </c>
      <c r="L1478" s="15"/>
      <c r="M1478" s="12" t="s">
        <v>28</v>
      </c>
      <c r="N1478" s="12"/>
      <c r="O1478" s="12"/>
      <c r="P1478" s="12"/>
      <c r="Q1478" s="16">
        <v>0</v>
      </c>
      <c r="R1478" s="16">
        <v>0</v>
      </c>
      <c r="S1478" s="16"/>
      <c r="T1478" s="16" t="e">
        <v>#N/A</v>
      </c>
      <c r="U1478" s="16" t="e">
        <v>#N/A</v>
      </c>
    </row>
    <row r="1479" spans="1:21" x14ac:dyDescent="0.25">
      <c r="A1479" s="12" t="s">
        <v>21</v>
      </c>
      <c r="B1479" s="12" t="s">
        <v>1562</v>
      </c>
      <c r="C1479" s="12" t="s">
        <v>23</v>
      </c>
      <c r="D1479" s="15">
        <v>46274.635497685187</v>
      </c>
      <c r="E1479" s="12" t="s">
        <v>484</v>
      </c>
      <c r="F1479" s="12" t="s">
        <v>245</v>
      </c>
      <c r="G1479" s="12">
        <v>30</v>
      </c>
      <c r="H1479" s="12">
        <v>30</v>
      </c>
      <c r="I1479" s="14"/>
      <c r="J1479" s="14" t="s">
        <v>61</v>
      </c>
      <c r="K1479" s="12" t="s">
        <v>1563</v>
      </c>
      <c r="L1479" s="15">
        <v>1</v>
      </c>
      <c r="M1479" s="12" t="s">
        <v>150</v>
      </c>
      <c r="N1479" s="12">
        <v>30</v>
      </c>
      <c r="O1479" s="12">
        <v>30</v>
      </c>
      <c r="P1479" s="12">
        <v>0</v>
      </c>
      <c r="Q1479" s="16">
        <v>30</v>
      </c>
      <c r="R1479" s="16">
        <v>0</v>
      </c>
      <c r="S1479" s="16"/>
      <c r="T1479" s="16" t="e">
        <v>#N/A</v>
      </c>
      <c r="U1479" s="16" t="e">
        <v>#N/A</v>
      </c>
    </row>
    <row r="1480" spans="1:21" x14ac:dyDescent="0.25">
      <c r="A1480" s="12" t="s">
        <v>21</v>
      </c>
      <c r="B1480" s="12" t="s">
        <v>1562</v>
      </c>
      <c r="C1480" s="12" t="s">
        <v>23</v>
      </c>
      <c r="D1480" s="15">
        <v>46274.635497685187</v>
      </c>
      <c r="E1480" s="12" t="s">
        <v>484</v>
      </c>
      <c r="F1480" s="12" t="s">
        <v>760</v>
      </c>
      <c r="G1480" s="12">
        <v>20</v>
      </c>
      <c r="H1480" s="12">
        <v>20</v>
      </c>
      <c r="I1480" s="14"/>
      <c r="J1480" s="14" t="s">
        <v>61</v>
      </c>
      <c r="K1480" s="12" t="s">
        <v>1564</v>
      </c>
      <c r="L1480" s="15">
        <v>1</v>
      </c>
      <c r="M1480" s="12" t="s">
        <v>150</v>
      </c>
      <c r="N1480" s="12">
        <v>20</v>
      </c>
      <c r="O1480" s="12">
        <v>20</v>
      </c>
      <c r="P1480" s="12">
        <v>0</v>
      </c>
      <c r="Q1480" s="16">
        <v>20</v>
      </c>
      <c r="R1480" s="16">
        <v>0</v>
      </c>
      <c r="S1480" s="16"/>
      <c r="T1480" s="16" t="e">
        <v>#N/A</v>
      </c>
      <c r="U1480" s="16" t="e">
        <v>#N/A</v>
      </c>
    </row>
    <row r="1481" spans="1:21" x14ac:dyDescent="0.25">
      <c r="A1481" s="12" t="s">
        <v>21</v>
      </c>
      <c r="B1481" s="12" t="s">
        <v>1562</v>
      </c>
      <c r="C1481" s="12" t="s">
        <v>23</v>
      </c>
      <c r="D1481" s="15">
        <v>46274.635497685187</v>
      </c>
      <c r="E1481" s="12" t="s">
        <v>484</v>
      </c>
      <c r="F1481" s="12" t="s">
        <v>354</v>
      </c>
      <c r="G1481" s="12">
        <v>20</v>
      </c>
      <c r="H1481" s="12">
        <v>20</v>
      </c>
      <c r="I1481" s="14"/>
      <c r="J1481" s="14" t="s">
        <v>26</v>
      </c>
      <c r="K1481" s="12" t="s">
        <v>27</v>
      </c>
      <c r="L1481" s="15"/>
      <c r="M1481" s="12" t="s">
        <v>28</v>
      </c>
      <c r="N1481" s="12"/>
      <c r="O1481" s="12"/>
      <c r="P1481" s="12"/>
      <c r="Q1481" s="16">
        <v>0</v>
      </c>
      <c r="R1481" s="16">
        <v>0</v>
      </c>
      <c r="S1481" s="16"/>
      <c r="T1481" s="16" t="e">
        <v>#N/A</v>
      </c>
      <c r="U1481" s="16" t="e">
        <v>#N/A</v>
      </c>
    </row>
    <row r="1482" spans="1:21" x14ac:dyDescent="0.25">
      <c r="A1482" s="12" t="s">
        <v>21</v>
      </c>
      <c r="B1482" s="12" t="s">
        <v>1562</v>
      </c>
      <c r="C1482" s="12" t="s">
        <v>23</v>
      </c>
      <c r="D1482" s="15">
        <v>46274.635497685187</v>
      </c>
      <c r="E1482" s="12" t="s">
        <v>484</v>
      </c>
      <c r="F1482" s="12" t="s">
        <v>373</v>
      </c>
      <c r="G1482" s="12">
        <v>20</v>
      </c>
      <c r="H1482" s="12">
        <v>20</v>
      </c>
      <c r="I1482" s="14"/>
      <c r="J1482" s="14" t="s">
        <v>26</v>
      </c>
      <c r="K1482" s="12" t="s">
        <v>27</v>
      </c>
      <c r="L1482" s="15"/>
      <c r="M1482" s="12" t="s">
        <v>28</v>
      </c>
      <c r="N1482" s="12"/>
      <c r="O1482" s="12"/>
      <c r="P1482" s="12"/>
      <c r="Q1482" s="16">
        <v>0</v>
      </c>
      <c r="R1482" s="16">
        <v>2</v>
      </c>
      <c r="S1482" s="16"/>
      <c r="T1482" s="16" t="e">
        <v>#N/A</v>
      </c>
      <c r="U1482" s="16" t="e">
        <v>#N/A</v>
      </c>
    </row>
    <row r="1483" spans="1:21" x14ac:dyDescent="0.25">
      <c r="A1483" s="12" t="s">
        <v>21</v>
      </c>
      <c r="B1483" s="12" t="s">
        <v>1562</v>
      </c>
      <c r="C1483" s="12" t="s">
        <v>23</v>
      </c>
      <c r="D1483" s="15">
        <v>46274.635497685187</v>
      </c>
      <c r="E1483" s="12" t="s">
        <v>484</v>
      </c>
      <c r="F1483" s="12" t="s">
        <v>374</v>
      </c>
      <c r="G1483" s="12">
        <v>10</v>
      </c>
      <c r="H1483" s="12">
        <v>10</v>
      </c>
      <c r="I1483" s="14"/>
      <c r="J1483" s="14" t="s">
        <v>26</v>
      </c>
      <c r="K1483" s="12" t="s">
        <v>27</v>
      </c>
      <c r="L1483" s="15"/>
      <c r="M1483" s="12" t="s">
        <v>28</v>
      </c>
      <c r="N1483" s="12"/>
      <c r="O1483" s="12"/>
      <c r="P1483" s="12"/>
      <c r="Q1483" s="16">
        <v>0</v>
      </c>
      <c r="R1483" s="16">
        <v>0</v>
      </c>
      <c r="S1483" s="16"/>
      <c r="T1483" s="16" t="e">
        <v>#N/A</v>
      </c>
      <c r="U1483" s="16" t="e">
        <v>#N/A</v>
      </c>
    </row>
    <row r="1484" spans="1:21" x14ac:dyDescent="0.25">
      <c r="A1484" s="12" t="s">
        <v>21</v>
      </c>
      <c r="B1484" s="12" t="s">
        <v>1562</v>
      </c>
      <c r="C1484" s="12" t="s">
        <v>23</v>
      </c>
      <c r="D1484" s="15">
        <v>46274.635497685187</v>
      </c>
      <c r="E1484" s="12" t="s">
        <v>484</v>
      </c>
      <c r="F1484" s="12" t="s">
        <v>70</v>
      </c>
      <c r="G1484" s="12">
        <v>100</v>
      </c>
      <c r="H1484" s="12">
        <v>100</v>
      </c>
      <c r="I1484" s="14"/>
      <c r="J1484" s="14" t="s">
        <v>61</v>
      </c>
      <c r="K1484" s="12" t="s">
        <v>27</v>
      </c>
      <c r="L1484" s="15"/>
      <c r="M1484" s="12" t="s">
        <v>28</v>
      </c>
      <c r="N1484" s="12"/>
      <c r="O1484" s="12"/>
      <c r="P1484" s="12"/>
      <c r="Q1484" s="16">
        <v>50</v>
      </c>
      <c r="R1484" s="16">
        <v>0</v>
      </c>
      <c r="S1484" s="16"/>
      <c r="T1484" s="16" t="e">
        <v>#N/A</v>
      </c>
      <c r="U1484" s="16" t="e">
        <v>#N/A</v>
      </c>
    </row>
    <row r="1485" spans="1:21" x14ac:dyDescent="0.25">
      <c r="A1485" s="12" t="s">
        <v>21</v>
      </c>
      <c r="B1485" s="12" t="s">
        <v>1562</v>
      </c>
      <c r="C1485" s="12" t="s">
        <v>23</v>
      </c>
      <c r="D1485" s="15">
        <v>46274.635497685187</v>
      </c>
      <c r="E1485" s="12" t="s">
        <v>484</v>
      </c>
      <c r="F1485" s="12" t="s">
        <v>71</v>
      </c>
      <c r="G1485" s="12">
        <v>100</v>
      </c>
      <c r="H1485" s="12">
        <v>100</v>
      </c>
      <c r="I1485" s="14"/>
      <c r="J1485" s="14" t="s">
        <v>26</v>
      </c>
      <c r="K1485" s="12" t="s">
        <v>27</v>
      </c>
      <c r="L1485" s="15"/>
      <c r="M1485" s="12" t="s">
        <v>28</v>
      </c>
      <c r="N1485" s="12"/>
      <c r="O1485" s="12"/>
      <c r="P1485" s="12"/>
      <c r="Q1485" s="16">
        <v>0</v>
      </c>
      <c r="R1485" s="16">
        <v>0</v>
      </c>
      <c r="S1485" s="16"/>
      <c r="T1485" s="16" t="e">
        <v>#N/A</v>
      </c>
      <c r="U1485" s="16" t="e">
        <v>#N/A</v>
      </c>
    </row>
    <row r="1486" spans="1:21" x14ac:dyDescent="0.25">
      <c r="A1486" s="12" t="s">
        <v>21</v>
      </c>
      <c r="B1486" s="12" t="s">
        <v>1562</v>
      </c>
      <c r="C1486" s="12" t="s">
        <v>23</v>
      </c>
      <c r="D1486" s="15">
        <v>46274.635497685187</v>
      </c>
      <c r="E1486" s="12" t="s">
        <v>484</v>
      </c>
      <c r="F1486" s="12" t="s">
        <v>283</v>
      </c>
      <c r="G1486" s="12">
        <v>50</v>
      </c>
      <c r="H1486" s="12">
        <v>50</v>
      </c>
      <c r="I1486" s="14"/>
      <c r="J1486" s="14" t="s">
        <v>61</v>
      </c>
      <c r="K1486" s="12" t="s">
        <v>27</v>
      </c>
      <c r="L1486" s="15"/>
      <c r="M1486" s="12" t="s">
        <v>28</v>
      </c>
      <c r="N1486" s="12"/>
      <c r="O1486" s="12"/>
      <c r="P1486" s="12"/>
      <c r="Q1486" s="16">
        <v>50</v>
      </c>
      <c r="R1486" s="16">
        <v>0</v>
      </c>
      <c r="S1486" s="16"/>
      <c r="T1486" s="16" t="e">
        <v>#N/A</v>
      </c>
      <c r="U1486" s="16" t="e">
        <v>#N/A</v>
      </c>
    </row>
    <row r="1487" spans="1:21" x14ac:dyDescent="0.25">
      <c r="A1487" s="12" t="s">
        <v>21</v>
      </c>
      <c r="B1487" s="12" t="s">
        <v>1562</v>
      </c>
      <c r="C1487" s="12" t="s">
        <v>23</v>
      </c>
      <c r="D1487" s="15">
        <v>46274.635497685187</v>
      </c>
      <c r="E1487" s="12" t="s">
        <v>484</v>
      </c>
      <c r="F1487" s="12" t="s">
        <v>326</v>
      </c>
      <c r="G1487" s="12">
        <v>30</v>
      </c>
      <c r="H1487" s="12">
        <v>30</v>
      </c>
      <c r="I1487" s="14"/>
      <c r="J1487" s="14" t="s">
        <v>61</v>
      </c>
      <c r="K1487" s="12" t="s">
        <v>1565</v>
      </c>
      <c r="L1487" s="15">
        <v>1</v>
      </c>
      <c r="M1487" s="12" t="s">
        <v>150</v>
      </c>
      <c r="N1487" s="12">
        <v>30</v>
      </c>
      <c r="O1487" s="12">
        <v>30</v>
      </c>
      <c r="P1487" s="12">
        <v>0</v>
      </c>
      <c r="Q1487" s="16">
        <v>30</v>
      </c>
      <c r="R1487" s="16">
        <v>0</v>
      </c>
      <c r="S1487" s="16"/>
      <c r="T1487" s="16" t="e">
        <v>#N/A</v>
      </c>
      <c r="U1487" s="16" t="e">
        <v>#N/A</v>
      </c>
    </row>
    <row r="1488" spans="1:21" x14ac:dyDescent="0.25">
      <c r="A1488" s="12" t="s">
        <v>21</v>
      </c>
      <c r="B1488" s="12" t="s">
        <v>1562</v>
      </c>
      <c r="C1488" s="12" t="s">
        <v>23</v>
      </c>
      <c r="D1488" s="15">
        <v>46274.635497685187</v>
      </c>
      <c r="E1488" s="12" t="s">
        <v>484</v>
      </c>
      <c r="F1488" s="12" t="s">
        <v>1267</v>
      </c>
      <c r="G1488" s="12">
        <v>30</v>
      </c>
      <c r="H1488" s="12">
        <v>30</v>
      </c>
      <c r="I1488" s="14"/>
      <c r="J1488" s="14" t="s">
        <v>61</v>
      </c>
      <c r="K1488" s="12" t="s">
        <v>1566</v>
      </c>
      <c r="L1488" s="15">
        <v>1</v>
      </c>
      <c r="M1488" s="12" t="s">
        <v>150</v>
      </c>
      <c r="N1488" s="12">
        <v>30</v>
      </c>
      <c r="O1488" s="12">
        <v>30</v>
      </c>
      <c r="P1488" s="12">
        <v>0</v>
      </c>
      <c r="Q1488" s="16">
        <v>30</v>
      </c>
      <c r="R1488" s="16">
        <v>0</v>
      </c>
      <c r="S1488" s="16"/>
      <c r="T1488" s="16" t="e">
        <v>#N/A</v>
      </c>
      <c r="U1488" s="16" t="e">
        <v>#N/A</v>
      </c>
    </row>
    <row r="1489" spans="1:21" x14ac:dyDescent="0.25">
      <c r="A1489" s="12" t="s">
        <v>21</v>
      </c>
      <c r="B1489" s="12" t="s">
        <v>1562</v>
      </c>
      <c r="C1489" s="12" t="s">
        <v>23</v>
      </c>
      <c r="D1489" s="15">
        <v>46274.635497685187</v>
      </c>
      <c r="E1489" s="12" t="s">
        <v>484</v>
      </c>
      <c r="F1489" s="12" t="s">
        <v>248</v>
      </c>
      <c r="G1489" s="12">
        <v>30</v>
      </c>
      <c r="H1489" s="12">
        <v>30</v>
      </c>
      <c r="I1489" s="14"/>
      <c r="J1489" s="14" t="s">
        <v>61</v>
      </c>
      <c r="K1489" s="12" t="s">
        <v>1567</v>
      </c>
      <c r="L1489" s="15">
        <v>1</v>
      </c>
      <c r="M1489" s="12" t="s">
        <v>150</v>
      </c>
      <c r="N1489" s="12">
        <v>30</v>
      </c>
      <c r="O1489" s="12">
        <v>30</v>
      </c>
      <c r="P1489" s="12">
        <v>0</v>
      </c>
      <c r="Q1489" s="16">
        <v>30</v>
      </c>
      <c r="R1489" s="16">
        <v>2</v>
      </c>
      <c r="S1489" s="16"/>
      <c r="T1489" s="16" t="e">
        <v>#N/A</v>
      </c>
      <c r="U1489" s="16" t="e">
        <v>#N/A</v>
      </c>
    </row>
    <row r="1490" spans="1:21" x14ac:dyDescent="0.25">
      <c r="A1490" s="12" t="s">
        <v>21</v>
      </c>
      <c r="B1490" s="12" t="s">
        <v>1562</v>
      </c>
      <c r="C1490" s="12" t="s">
        <v>23</v>
      </c>
      <c r="D1490" s="15">
        <v>46274.635497685187</v>
      </c>
      <c r="E1490" s="12" t="s">
        <v>484</v>
      </c>
      <c r="F1490" s="12" t="s">
        <v>67</v>
      </c>
      <c r="G1490" s="12">
        <v>50</v>
      </c>
      <c r="H1490" s="12">
        <v>50</v>
      </c>
      <c r="I1490" s="14"/>
      <c r="J1490" s="14" t="s">
        <v>61</v>
      </c>
      <c r="K1490" s="12" t="s">
        <v>1568</v>
      </c>
      <c r="L1490" s="15">
        <v>1</v>
      </c>
      <c r="M1490" s="12" t="s">
        <v>150</v>
      </c>
      <c r="N1490" s="12">
        <v>50</v>
      </c>
      <c r="O1490" s="12">
        <v>50</v>
      </c>
      <c r="P1490" s="12">
        <v>0</v>
      </c>
      <c r="Q1490" s="16">
        <v>50</v>
      </c>
      <c r="R1490" s="16">
        <v>0</v>
      </c>
      <c r="S1490" s="16"/>
      <c r="T1490" s="16" t="e">
        <v>#N/A</v>
      </c>
      <c r="U1490" s="16" t="e">
        <v>#N/A</v>
      </c>
    </row>
    <row r="1491" spans="1:21" x14ac:dyDescent="0.25">
      <c r="A1491" s="12" t="s">
        <v>21</v>
      </c>
      <c r="B1491" s="12" t="s">
        <v>1562</v>
      </c>
      <c r="C1491" s="12" t="s">
        <v>23</v>
      </c>
      <c r="D1491" s="15">
        <v>46274.635497685187</v>
      </c>
      <c r="E1491" s="12" t="s">
        <v>484</v>
      </c>
      <c r="F1491" s="12" t="s">
        <v>582</v>
      </c>
      <c r="G1491" s="12">
        <v>10</v>
      </c>
      <c r="H1491" s="12">
        <v>10</v>
      </c>
      <c r="I1491" s="14"/>
      <c r="J1491" s="14" t="s">
        <v>61</v>
      </c>
      <c r="K1491" s="12" t="s">
        <v>1569</v>
      </c>
      <c r="L1491" s="15">
        <v>1</v>
      </c>
      <c r="M1491" s="12" t="s">
        <v>150</v>
      </c>
      <c r="N1491" s="12">
        <v>10</v>
      </c>
      <c r="O1491" s="12">
        <v>10</v>
      </c>
      <c r="P1491" s="12">
        <v>0</v>
      </c>
      <c r="Q1491" s="16">
        <v>10</v>
      </c>
      <c r="R1491" s="16">
        <v>0</v>
      </c>
      <c r="S1491" s="16"/>
      <c r="T1491" s="16" t="e">
        <v>#N/A</v>
      </c>
      <c r="U1491" s="16" t="e">
        <v>#N/A</v>
      </c>
    </row>
    <row r="1492" spans="1:21" x14ac:dyDescent="0.25">
      <c r="A1492" s="12" t="s">
        <v>21</v>
      </c>
      <c r="B1492" s="12" t="s">
        <v>1562</v>
      </c>
      <c r="C1492" s="12" t="s">
        <v>23</v>
      </c>
      <c r="D1492" s="15">
        <v>46274.635497685187</v>
      </c>
      <c r="E1492" s="12" t="s">
        <v>484</v>
      </c>
      <c r="F1492" s="12" t="s">
        <v>259</v>
      </c>
      <c r="G1492" s="12">
        <v>30</v>
      </c>
      <c r="H1492" s="12">
        <v>30</v>
      </c>
      <c r="I1492" s="14"/>
      <c r="J1492" s="14" t="s">
        <v>61</v>
      </c>
      <c r="K1492" s="12" t="s">
        <v>27</v>
      </c>
      <c r="L1492" s="15"/>
      <c r="M1492" s="12" t="s">
        <v>28</v>
      </c>
      <c r="N1492" s="12"/>
      <c r="O1492" s="12"/>
      <c r="P1492" s="12"/>
      <c r="Q1492" s="16">
        <v>30</v>
      </c>
      <c r="R1492" s="16">
        <v>4</v>
      </c>
      <c r="S1492" s="16"/>
      <c r="T1492" s="16" t="e">
        <v>#N/A</v>
      </c>
      <c r="U1492" s="16" t="e">
        <v>#N/A</v>
      </c>
    </row>
    <row r="1493" spans="1:21" x14ac:dyDescent="0.25">
      <c r="A1493" s="12" t="s">
        <v>21</v>
      </c>
      <c r="B1493" s="12" t="s">
        <v>1562</v>
      </c>
      <c r="C1493" s="12" t="s">
        <v>23</v>
      </c>
      <c r="D1493" s="15">
        <v>46274.635497685187</v>
      </c>
      <c r="E1493" s="12" t="s">
        <v>484</v>
      </c>
      <c r="F1493" s="12" t="s">
        <v>201</v>
      </c>
      <c r="G1493" s="12">
        <v>50</v>
      </c>
      <c r="H1493" s="12">
        <v>50</v>
      </c>
      <c r="I1493" s="14"/>
      <c r="J1493" s="14" t="s">
        <v>61</v>
      </c>
      <c r="K1493" s="12" t="s">
        <v>27</v>
      </c>
      <c r="L1493" s="15"/>
      <c r="M1493" s="12" t="s">
        <v>28</v>
      </c>
      <c r="N1493" s="12"/>
      <c r="O1493" s="12"/>
      <c r="P1493" s="12"/>
      <c r="Q1493" s="16">
        <v>50</v>
      </c>
      <c r="R1493" s="16">
        <v>0</v>
      </c>
      <c r="S1493" s="16"/>
      <c r="T1493" s="16" t="e">
        <v>#N/A</v>
      </c>
      <c r="U1493" s="16" t="e">
        <v>#N/A</v>
      </c>
    </row>
    <row r="1494" spans="1:21" x14ac:dyDescent="0.25">
      <c r="A1494" s="12" t="s">
        <v>21</v>
      </c>
      <c r="B1494" s="12" t="s">
        <v>1562</v>
      </c>
      <c r="C1494" s="12" t="s">
        <v>23</v>
      </c>
      <c r="D1494" s="15">
        <v>46274.635497685187</v>
      </c>
      <c r="E1494" s="12" t="s">
        <v>484</v>
      </c>
      <c r="F1494" s="12" t="s">
        <v>253</v>
      </c>
      <c r="G1494" s="12">
        <v>50</v>
      </c>
      <c r="H1494" s="12">
        <v>50</v>
      </c>
      <c r="I1494" s="14"/>
      <c r="J1494" s="14" t="s">
        <v>61</v>
      </c>
      <c r="K1494" s="12" t="s">
        <v>1573</v>
      </c>
      <c r="L1494" s="15">
        <v>1</v>
      </c>
      <c r="M1494" s="12" t="s">
        <v>150</v>
      </c>
      <c r="N1494" s="12">
        <v>50</v>
      </c>
      <c r="O1494" s="12">
        <v>50</v>
      </c>
      <c r="P1494" s="12">
        <v>0</v>
      </c>
      <c r="Q1494" s="16">
        <v>50</v>
      </c>
      <c r="R1494" s="16">
        <v>0</v>
      </c>
      <c r="S1494" s="16"/>
      <c r="T1494" s="16" t="e">
        <v>#N/A</v>
      </c>
      <c r="U1494" s="16" t="e">
        <v>#N/A</v>
      </c>
    </row>
    <row r="1495" spans="1:21" x14ac:dyDescent="0.25">
      <c r="A1495" s="12" t="s">
        <v>21</v>
      </c>
      <c r="B1495" s="12" t="s">
        <v>1562</v>
      </c>
      <c r="C1495" s="12" t="s">
        <v>23</v>
      </c>
      <c r="D1495" s="15">
        <v>46274.635497685187</v>
      </c>
      <c r="E1495" s="12" t="s">
        <v>484</v>
      </c>
      <c r="F1495" s="12" t="s">
        <v>572</v>
      </c>
      <c r="G1495" s="12">
        <v>50</v>
      </c>
      <c r="H1495" s="12">
        <v>50</v>
      </c>
      <c r="I1495" s="14"/>
      <c r="J1495" s="14" t="s">
        <v>61</v>
      </c>
      <c r="K1495" s="12" t="s">
        <v>1574</v>
      </c>
      <c r="L1495" s="15">
        <v>1</v>
      </c>
      <c r="M1495" s="12" t="s">
        <v>150</v>
      </c>
      <c r="N1495" s="12">
        <v>50</v>
      </c>
      <c r="O1495" s="12">
        <v>50</v>
      </c>
      <c r="P1495" s="12">
        <v>0</v>
      </c>
      <c r="Q1495" s="16">
        <v>50</v>
      </c>
      <c r="R1495" s="16">
        <v>10</v>
      </c>
      <c r="S1495" s="16"/>
      <c r="T1495" s="16" t="e">
        <v>#N/A</v>
      </c>
      <c r="U1495" s="16" t="e">
        <v>#N/A</v>
      </c>
    </row>
    <row r="1496" spans="1:21" x14ac:dyDescent="0.25">
      <c r="A1496" s="12" t="s">
        <v>21</v>
      </c>
      <c r="B1496" s="12" t="s">
        <v>1562</v>
      </c>
      <c r="C1496" s="12" t="s">
        <v>23</v>
      </c>
      <c r="D1496" s="15">
        <v>46274.635497685187</v>
      </c>
      <c r="E1496" s="12" t="s">
        <v>484</v>
      </c>
      <c r="F1496" s="12" t="s">
        <v>1024</v>
      </c>
      <c r="G1496" s="12">
        <v>20</v>
      </c>
      <c r="H1496" s="12">
        <v>20</v>
      </c>
      <c r="I1496" s="14"/>
      <c r="J1496" s="14" t="s">
        <v>26</v>
      </c>
      <c r="K1496" s="12" t="s">
        <v>27</v>
      </c>
      <c r="L1496" s="15"/>
      <c r="M1496" s="12" t="s">
        <v>28</v>
      </c>
      <c r="N1496" s="12"/>
      <c r="O1496" s="12"/>
      <c r="P1496" s="12"/>
      <c r="Q1496" s="16">
        <v>0</v>
      </c>
      <c r="R1496" s="16">
        <v>0</v>
      </c>
      <c r="S1496" s="16"/>
      <c r="T1496" s="16" t="e">
        <v>#N/A</v>
      </c>
      <c r="U1496" s="16" t="e">
        <v>#N/A</v>
      </c>
    </row>
    <row r="1497" spans="1:21" x14ac:dyDescent="0.25">
      <c r="A1497" s="12" t="s">
        <v>21</v>
      </c>
      <c r="B1497" s="12" t="s">
        <v>1562</v>
      </c>
      <c r="C1497" s="12" t="s">
        <v>23</v>
      </c>
      <c r="D1497" s="15">
        <v>46274.635497685187</v>
      </c>
      <c r="E1497" s="12" t="s">
        <v>484</v>
      </c>
      <c r="F1497" s="12" t="s">
        <v>277</v>
      </c>
      <c r="G1497" s="12">
        <v>10</v>
      </c>
      <c r="H1497" s="12">
        <v>10</v>
      </c>
      <c r="I1497" s="14"/>
      <c r="J1497" s="14" t="s">
        <v>26</v>
      </c>
      <c r="K1497" s="12" t="s">
        <v>27</v>
      </c>
      <c r="L1497" s="15"/>
      <c r="M1497" s="12" t="s">
        <v>28</v>
      </c>
      <c r="N1497" s="12"/>
      <c r="O1497" s="12"/>
      <c r="P1497" s="12"/>
      <c r="Q1497" s="16">
        <v>0</v>
      </c>
      <c r="R1497" s="16">
        <v>0</v>
      </c>
      <c r="S1497" s="16"/>
      <c r="T1497" s="16" t="e">
        <v>#N/A</v>
      </c>
      <c r="U1497" s="16" t="e">
        <v>#N/A</v>
      </c>
    </row>
    <row r="1498" spans="1:21" x14ac:dyDescent="0.25">
      <c r="A1498" s="12" t="s">
        <v>21</v>
      </c>
      <c r="B1498" s="12" t="s">
        <v>1570</v>
      </c>
      <c r="C1498" s="12" t="s">
        <v>23</v>
      </c>
      <c r="D1498" s="15">
        <v>46274.654050925928</v>
      </c>
      <c r="E1498" s="12" t="s">
        <v>24</v>
      </c>
      <c r="F1498" s="12" t="s">
        <v>1571</v>
      </c>
      <c r="G1498" s="12">
        <v>4</v>
      </c>
      <c r="H1498" s="12">
        <v>4</v>
      </c>
      <c r="I1498" s="14"/>
      <c r="J1498" s="14" t="s">
        <v>26</v>
      </c>
      <c r="K1498" s="12" t="s">
        <v>1575</v>
      </c>
      <c r="L1498" s="15">
        <v>1</v>
      </c>
      <c r="M1498" s="12" t="s">
        <v>150</v>
      </c>
      <c r="N1498" s="12">
        <v>4</v>
      </c>
      <c r="O1498" s="12">
        <v>4</v>
      </c>
      <c r="P1498" s="12">
        <v>0</v>
      </c>
      <c r="Q1498" s="16">
        <v>0</v>
      </c>
      <c r="R1498" s="16">
        <v>1</v>
      </c>
      <c r="S1498" s="16"/>
      <c r="T1498" s="16" t="e">
        <v>#N/A</v>
      </c>
      <c r="U1498" s="16" t="e">
        <v>#N/A</v>
      </c>
    </row>
    <row r="1499" spans="1:21" x14ac:dyDescent="0.25">
      <c r="A1499" s="12" t="s">
        <v>21</v>
      </c>
      <c r="B1499" s="12" t="s">
        <v>1570</v>
      </c>
      <c r="C1499" s="12" t="s">
        <v>23</v>
      </c>
      <c r="D1499" s="15">
        <v>46274.654050925928</v>
      </c>
      <c r="E1499" s="12" t="s">
        <v>24</v>
      </c>
      <c r="F1499" s="12" t="s">
        <v>1572</v>
      </c>
      <c r="G1499" s="12">
        <v>4</v>
      </c>
      <c r="H1499" s="12">
        <v>4</v>
      </c>
      <c r="I1499" s="14"/>
      <c r="J1499" s="14" t="s">
        <v>26</v>
      </c>
      <c r="K1499" s="12" t="s">
        <v>1576</v>
      </c>
      <c r="L1499" s="15">
        <v>1</v>
      </c>
      <c r="M1499" s="12" t="s">
        <v>150</v>
      </c>
      <c r="N1499" s="12">
        <v>4</v>
      </c>
      <c r="O1499" s="12">
        <v>4</v>
      </c>
      <c r="P1499" s="12">
        <v>0</v>
      </c>
      <c r="Q1499" s="16">
        <v>0</v>
      </c>
      <c r="R1499" s="16">
        <v>2</v>
      </c>
      <c r="S1499" s="16"/>
      <c r="T1499" s="16" t="e">
        <v>#N/A</v>
      </c>
      <c r="U1499" s="16" t="e">
        <v>#N/A</v>
      </c>
    </row>
    <row r="1500" spans="1:21" x14ac:dyDescent="0.25">
      <c r="A1500" s="12" t="s">
        <v>21</v>
      </c>
      <c r="B1500" s="12" t="s">
        <v>1570</v>
      </c>
      <c r="C1500" s="12" t="s">
        <v>23</v>
      </c>
      <c r="D1500" s="15">
        <v>46274.654050925928</v>
      </c>
      <c r="E1500" s="12" t="s">
        <v>24</v>
      </c>
      <c r="F1500" s="12" t="s">
        <v>59</v>
      </c>
      <c r="G1500" s="12">
        <v>2</v>
      </c>
      <c r="H1500" s="12">
        <v>2</v>
      </c>
      <c r="I1500" s="14"/>
      <c r="J1500" s="14" t="s">
        <v>26</v>
      </c>
      <c r="K1500" s="12" t="s">
        <v>27</v>
      </c>
      <c r="L1500" s="15"/>
      <c r="M1500" s="12" t="s">
        <v>28</v>
      </c>
      <c r="N1500" s="12"/>
      <c r="O1500" s="12"/>
      <c r="P1500" s="12"/>
      <c r="Q1500" s="16">
        <v>0</v>
      </c>
      <c r="R1500" s="16">
        <v>0</v>
      </c>
      <c r="S1500" s="16"/>
      <c r="T1500" s="16" t="e">
        <v>#N/A</v>
      </c>
      <c r="U1500" s="16" t="e">
        <v>#N/A</v>
      </c>
    </row>
    <row r="1501" spans="1:21" x14ac:dyDescent="0.25">
      <c r="A1501" s="12" t="s">
        <v>21</v>
      </c>
      <c r="B1501" s="12" t="s">
        <v>1570</v>
      </c>
      <c r="C1501" s="12" t="s">
        <v>23</v>
      </c>
      <c r="D1501" s="15">
        <v>46274.654050925928</v>
      </c>
      <c r="E1501" s="12" t="s">
        <v>24</v>
      </c>
      <c r="F1501" s="12" t="s">
        <v>1577</v>
      </c>
      <c r="G1501" s="12">
        <v>1</v>
      </c>
      <c r="H1501" s="12">
        <v>1</v>
      </c>
      <c r="I1501" s="14"/>
      <c r="J1501" s="14" t="s">
        <v>61</v>
      </c>
      <c r="K1501" s="12" t="s">
        <v>1586</v>
      </c>
      <c r="L1501" s="15">
        <v>1</v>
      </c>
      <c r="M1501" s="12" t="s">
        <v>150</v>
      </c>
      <c r="N1501" s="12">
        <v>1</v>
      </c>
      <c r="O1501" s="12">
        <v>1</v>
      </c>
      <c r="P1501" s="12">
        <v>0</v>
      </c>
      <c r="Q1501" s="16">
        <v>1</v>
      </c>
      <c r="R1501" s="16">
        <v>0</v>
      </c>
      <c r="S1501" s="16"/>
      <c r="T1501" s="16" t="e">
        <v>#N/A</v>
      </c>
      <c r="U1501" s="16" t="e">
        <v>#N/A</v>
      </c>
    </row>
    <row r="1502" spans="1:21" x14ac:dyDescent="0.25">
      <c r="A1502" s="12" t="s">
        <v>21</v>
      </c>
      <c r="B1502" s="12" t="s">
        <v>1570</v>
      </c>
      <c r="C1502" s="12" t="s">
        <v>23</v>
      </c>
      <c r="D1502" s="15">
        <v>46274.654050925928</v>
      </c>
      <c r="E1502" s="12" t="s">
        <v>24</v>
      </c>
      <c r="F1502" s="12" t="s">
        <v>1578</v>
      </c>
      <c r="G1502" s="12">
        <v>2</v>
      </c>
      <c r="H1502" s="12">
        <v>2</v>
      </c>
      <c r="I1502" s="14"/>
      <c r="J1502" s="14" t="s">
        <v>61</v>
      </c>
      <c r="K1502" s="12" t="s">
        <v>1587</v>
      </c>
      <c r="L1502" s="15">
        <v>1</v>
      </c>
      <c r="M1502" s="12" t="s">
        <v>150</v>
      </c>
      <c r="N1502" s="12">
        <v>2</v>
      </c>
      <c r="O1502" s="12">
        <v>2</v>
      </c>
      <c r="P1502" s="12">
        <v>0</v>
      </c>
      <c r="Q1502" s="16">
        <v>2</v>
      </c>
      <c r="R1502" s="16">
        <v>0</v>
      </c>
      <c r="S1502" s="16"/>
      <c r="T1502" s="16" t="e">
        <v>#N/A</v>
      </c>
      <c r="U1502" s="16" t="e">
        <v>#N/A</v>
      </c>
    </row>
    <row r="1503" spans="1:21" x14ac:dyDescent="0.25">
      <c r="A1503" s="12" t="s">
        <v>21</v>
      </c>
      <c r="B1503" s="12" t="s">
        <v>1570</v>
      </c>
      <c r="C1503" s="12" t="s">
        <v>23</v>
      </c>
      <c r="D1503" s="15">
        <v>46274.654050925928</v>
      </c>
      <c r="E1503" s="12" t="s">
        <v>24</v>
      </c>
      <c r="F1503" s="12" t="s">
        <v>1579</v>
      </c>
      <c r="G1503" s="12">
        <v>1</v>
      </c>
      <c r="H1503" s="12">
        <v>1</v>
      </c>
      <c r="I1503" s="14"/>
      <c r="J1503" s="14" t="s">
        <v>61</v>
      </c>
      <c r="K1503" s="12" t="s">
        <v>1588</v>
      </c>
      <c r="L1503" s="15">
        <v>1</v>
      </c>
      <c r="M1503" s="12" t="s">
        <v>150</v>
      </c>
      <c r="N1503" s="12">
        <v>1</v>
      </c>
      <c r="O1503" s="12">
        <v>1</v>
      </c>
      <c r="P1503" s="12">
        <v>0</v>
      </c>
      <c r="Q1503" s="16">
        <v>1</v>
      </c>
      <c r="R1503" s="16">
        <v>1</v>
      </c>
      <c r="S1503" s="16"/>
      <c r="T1503" s="16" t="e">
        <v>#N/A</v>
      </c>
      <c r="U1503" s="16" t="e">
        <v>#N/A</v>
      </c>
    </row>
    <row r="1504" spans="1:21" x14ac:dyDescent="0.25">
      <c r="A1504" s="12" t="s">
        <v>21</v>
      </c>
      <c r="B1504" s="12" t="s">
        <v>1570</v>
      </c>
      <c r="C1504" s="12" t="s">
        <v>23</v>
      </c>
      <c r="D1504" s="15">
        <v>46274.654050925928</v>
      </c>
      <c r="E1504" s="12" t="s">
        <v>24</v>
      </c>
      <c r="F1504" s="12" t="s">
        <v>1580</v>
      </c>
      <c r="G1504" s="12">
        <v>2</v>
      </c>
      <c r="H1504" s="12">
        <v>2</v>
      </c>
      <c r="I1504" s="14"/>
      <c r="J1504" s="14" t="s">
        <v>61</v>
      </c>
      <c r="K1504" s="12" t="s">
        <v>1589</v>
      </c>
      <c r="L1504" s="15">
        <v>1</v>
      </c>
      <c r="M1504" s="12" t="s">
        <v>150</v>
      </c>
      <c r="N1504" s="12">
        <v>2</v>
      </c>
      <c r="O1504" s="12">
        <v>2</v>
      </c>
      <c r="P1504" s="12">
        <v>0</v>
      </c>
      <c r="Q1504" s="16">
        <v>2</v>
      </c>
      <c r="R1504" s="16">
        <v>0</v>
      </c>
      <c r="S1504" s="16"/>
      <c r="T1504" s="16" t="e">
        <v>#N/A</v>
      </c>
      <c r="U1504" s="16" t="e">
        <v>#N/A</v>
      </c>
    </row>
    <row r="1505" spans="1:21" x14ac:dyDescent="0.25">
      <c r="A1505" s="12" t="s">
        <v>21</v>
      </c>
      <c r="B1505" s="12" t="s">
        <v>1570</v>
      </c>
      <c r="C1505" s="12" t="s">
        <v>23</v>
      </c>
      <c r="D1505" s="15">
        <v>46274.654050925928</v>
      </c>
      <c r="E1505" s="12" t="s">
        <v>24</v>
      </c>
      <c r="F1505" s="12" t="s">
        <v>1581</v>
      </c>
      <c r="G1505" s="12">
        <v>1</v>
      </c>
      <c r="H1505" s="12">
        <v>1</v>
      </c>
      <c r="I1505" s="14"/>
      <c r="J1505" s="14" t="s">
        <v>61</v>
      </c>
      <c r="K1505" s="12" t="s">
        <v>1590</v>
      </c>
      <c r="L1505" s="15">
        <v>1</v>
      </c>
      <c r="M1505" s="12" t="s">
        <v>150</v>
      </c>
      <c r="N1505" s="12">
        <v>1</v>
      </c>
      <c r="O1505" s="12">
        <v>1</v>
      </c>
      <c r="P1505" s="12">
        <v>0</v>
      </c>
      <c r="Q1505" s="16">
        <v>1</v>
      </c>
      <c r="R1505" s="16">
        <v>0</v>
      </c>
      <c r="S1505" s="16"/>
      <c r="T1505" s="16" t="e">
        <v>#N/A</v>
      </c>
      <c r="U1505" s="16" t="e">
        <v>#N/A</v>
      </c>
    </row>
    <row r="1506" spans="1:21" x14ac:dyDescent="0.25">
      <c r="A1506" s="12" t="s">
        <v>21</v>
      </c>
      <c r="B1506" s="12" t="s">
        <v>1570</v>
      </c>
      <c r="C1506" s="12" t="s">
        <v>23</v>
      </c>
      <c r="D1506" s="15">
        <v>46274.654050925928</v>
      </c>
      <c r="E1506" s="12" t="s">
        <v>24</v>
      </c>
      <c r="F1506" s="12" t="s">
        <v>1582</v>
      </c>
      <c r="G1506" s="12">
        <v>4</v>
      </c>
      <c r="H1506" s="12">
        <v>4</v>
      </c>
      <c r="I1506" s="14"/>
      <c r="J1506" s="14" t="s">
        <v>61</v>
      </c>
      <c r="K1506" s="12" t="s">
        <v>1591</v>
      </c>
      <c r="L1506" s="15">
        <v>1</v>
      </c>
      <c r="M1506" s="12" t="s">
        <v>150</v>
      </c>
      <c r="N1506" s="12">
        <v>4</v>
      </c>
      <c r="O1506" s="12">
        <v>4</v>
      </c>
      <c r="P1506" s="12">
        <v>0</v>
      </c>
      <c r="Q1506" s="16">
        <v>4</v>
      </c>
      <c r="R1506" s="16">
        <v>0</v>
      </c>
      <c r="S1506" s="16"/>
      <c r="T1506" s="16" t="e">
        <v>#N/A</v>
      </c>
      <c r="U1506" s="16" t="e">
        <v>#N/A</v>
      </c>
    </row>
    <row r="1507" spans="1:21" x14ac:dyDescent="0.25">
      <c r="A1507" s="12" t="s">
        <v>21</v>
      </c>
      <c r="B1507" s="12" t="s">
        <v>1570</v>
      </c>
      <c r="C1507" s="12" t="s">
        <v>23</v>
      </c>
      <c r="D1507" s="15">
        <v>46274.654050925928</v>
      </c>
      <c r="E1507" s="12" t="s">
        <v>24</v>
      </c>
      <c r="F1507" s="12" t="s">
        <v>1583</v>
      </c>
      <c r="G1507" s="12">
        <v>4</v>
      </c>
      <c r="H1507" s="12">
        <v>4</v>
      </c>
      <c r="I1507" s="14"/>
      <c r="J1507" s="14" t="s">
        <v>61</v>
      </c>
      <c r="K1507" s="12" t="s">
        <v>1592</v>
      </c>
      <c r="L1507" s="15">
        <v>1</v>
      </c>
      <c r="M1507" s="12" t="s">
        <v>150</v>
      </c>
      <c r="N1507" s="12">
        <v>4</v>
      </c>
      <c r="O1507" s="12">
        <v>4</v>
      </c>
      <c r="P1507" s="12">
        <v>0</v>
      </c>
      <c r="Q1507" s="16">
        <v>4</v>
      </c>
      <c r="R1507" s="16">
        <v>0</v>
      </c>
      <c r="S1507" s="16"/>
      <c r="T1507" s="16" t="e">
        <v>#N/A</v>
      </c>
      <c r="U1507" s="16" t="e">
        <v>#N/A</v>
      </c>
    </row>
    <row r="1508" spans="1:21" x14ac:dyDescent="0.25">
      <c r="A1508" s="12" t="s">
        <v>21</v>
      </c>
      <c r="B1508" s="12" t="s">
        <v>1570</v>
      </c>
      <c r="C1508" s="12" t="s">
        <v>23</v>
      </c>
      <c r="D1508" s="15">
        <v>46274.654050925928</v>
      </c>
      <c r="E1508" s="12" t="s">
        <v>24</v>
      </c>
      <c r="F1508" s="12" t="s">
        <v>1584</v>
      </c>
      <c r="G1508" s="12">
        <v>5</v>
      </c>
      <c r="H1508" s="12">
        <v>5</v>
      </c>
      <c r="I1508" s="14"/>
      <c r="J1508" s="14" t="s">
        <v>61</v>
      </c>
      <c r="K1508" s="12" t="s">
        <v>1593</v>
      </c>
      <c r="L1508" s="15">
        <v>1</v>
      </c>
      <c r="M1508" s="12" t="s">
        <v>150</v>
      </c>
      <c r="N1508" s="12">
        <v>5</v>
      </c>
      <c r="O1508" s="12">
        <v>5</v>
      </c>
      <c r="P1508" s="12">
        <v>0</v>
      </c>
      <c r="Q1508" s="16">
        <v>5</v>
      </c>
      <c r="R1508" s="16">
        <v>0</v>
      </c>
      <c r="S1508" s="16"/>
      <c r="T1508" s="16" t="e">
        <v>#N/A</v>
      </c>
      <c r="U1508" s="16" t="e">
        <v>#N/A</v>
      </c>
    </row>
    <row r="1509" spans="1:21" x14ac:dyDescent="0.25">
      <c r="A1509" s="12" t="s">
        <v>21</v>
      </c>
      <c r="B1509" s="12" t="s">
        <v>1570</v>
      </c>
      <c r="C1509" s="12" t="s">
        <v>23</v>
      </c>
      <c r="D1509" s="15">
        <v>46274.654050925928</v>
      </c>
      <c r="E1509" s="12" t="s">
        <v>24</v>
      </c>
      <c r="F1509" s="12" t="s">
        <v>1585</v>
      </c>
      <c r="G1509" s="12">
        <v>4</v>
      </c>
      <c r="H1509" s="12">
        <v>4</v>
      </c>
      <c r="I1509" s="14"/>
      <c r="J1509" s="14" t="s">
        <v>61</v>
      </c>
      <c r="K1509" s="12" t="s">
        <v>1594</v>
      </c>
      <c r="L1509" s="15">
        <v>1</v>
      </c>
      <c r="M1509" s="12" t="s">
        <v>150</v>
      </c>
      <c r="N1509" s="12">
        <v>4</v>
      </c>
      <c r="O1509" s="12">
        <v>4</v>
      </c>
      <c r="P1509" s="12">
        <v>0</v>
      </c>
      <c r="Q1509" s="16">
        <v>4</v>
      </c>
      <c r="R1509" s="16">
        <v>0</v>
      </c>
      <c r="S1509" s="16"/>
      <c r="T1509" s="16" t="e">
        <v>#N/A</v>
      </c>
      <c r="U1509" s="16" t="e">
        <v>#N/A</v>
      </c>
    </row>
    <row r="1510" spans="1:21" x14ac:dyDescent="0.25">
      <c r="A1510" s="12" t="s">
        <v>21</v>
      </c>
      <c r="B1510" s="12" t="s">
        <v>1570</v>
      </c>
      <c r="C1510" s="12" t="s">
        <v>23</v>
      </c>
      <c r="D1510" s="15">
        <v>46274.654050925928</v>
      </c>
      <c r="E1510" s="12" t="s">
        <v>24</v>
      </c>
      <c r="F1510" s="12" t="s">
        <v>1595</v>
      </c>
      <c r="G1510" s="12">
        <v>2</v>
      </c>
      <c r="H1510" s="12">
        <v>2</v>
      </c>
      <c r="I1510" s="14"/>
      <c r="J1510" s="14" t="s">
        <v>61</v>
      </c>
      <c r="K1510" s="12" t="s">
        <v>1597</v>
      </c>
      <c r="L1510" s="15">
        <v>1</v>
      </c>
      <c r="M1510" s="12" t="s">
        <v>150</v>
      </c>
      <c r="N1510" s="12">
        <v>2</v>
      </c>
      <c r="O1510" s="12">
        <v>2</v>
      </c>
      <c r="P1510" s="12">
        <v>0</v>
      </c>
      <c r="Q1510" s="16">
        <v>2</v>
      </c>
      <c r="R1510" s="16">
        <v>0</v>
      </c>
      <c r="S1510" s="16"/>
      <c r="T1510" s="16" t="e">
        <v>#N/A</v>
      </c>
      <c r="U1510" s="16" t="e">
        <v>#N/A</v>
      </c>
    </row>
    <row r="1511" spans="1:21" x14ac:dyDescent="0.25">
      <c r="A1511" s="12" t="s">
        <v>21</v>
      </c>
      <c r="B1511" s="12" t="s">
        <v>1570</v>
      </c>
      <c r="C1511" s="12" t="s">
        <v>23</v>
      </c>
      <c r="D1511" s="15">
        <v>46274.654050925928</v>
      </c>
      <c r="E1511" s="12" t="s">
        <v>24</v>
      </c>
      <c r="F1511" s="12" t="s">
        <v>1596</v>
      </c>
      <c r="G1511" s="12">
        <v>2</v>
      </c>
      <c r="H1511" s="12">
        <v>2</v>
      </c>
      <c r="I1511" s="14"/>
      <c r="J1511" s="14" t="s">
        <v>61</v>
      </c>
      <c r="K1511" s="12" t="s">
        <v>1598</v>
      </c>
      <c r="L1511" s="15">
        <v>1</v>
      </c>
      <c r="M1511" s="12" t="s">
        <v>150</v>
      </c>
      <c r="N1511" s="12">
        <v>2</v>
      </c>
      <c r="O1511" s="12">
        <v>2</v>
      </c>
      <c r="P1511" s="12">
        <v>0</v>
      </c>
      <c r="Q1511" s="16">
        <v>2</v>
      </c>
      <c r="R1511" s="16">
        <v>0</v>
      </c>
      <c r="S1511" s="16"/>
      <c r="T1511" s="16" t="e">
        <v>#N/A</v>
      </c>
      <c r="U1511" s="16" t="e">
        <v>#N/A</v>
      </c>
    </row>
    <row r="1512" spans="1:21" x14ac:dyDescent="0.25">
      <c r="A1512" s="12" t="s">
        <v>21</v>
      </c>
      <c r="B1512" s="12" t="s">
        <v>1570</v>
      </c>
      <c r="C1512" s="12" t="s">
        <v>23</v>
      </c>
      <c r="D1512" s="15">
        <v>46274.654050925928</v>
      </c>
      <c r="E1512" s="12" t="s">
        <v>24</v>
      </c>
      <c r="F1512" s="12" t="s">
        <v>1603</v>
      </c>
      <c r="G1512" s="12">
        <v>2</v>
      </c>
      <c r="H1512" s="12">
        <v>2</v>
      </c>
      <c r="I1512" s="14"/>
      <c r="J1512" s="14" t="s">
        <v>61</v>
      </c>
      <c r="K1512" s="12" t="s">
        <v>1617</v>
      </c>
      <c r="L1512" s="15">
        <v>1</v>
      </c>
      <c r="M1512" s="12" t="s">
        <v>150</v>
      </c>
      <c r="N1512" s="12">
        <v>2</v>
      </c>
      <c r="O1512" s="12">
        <v>2</v>
      </c>
      <c r="P1512" s="12">
        <v>0</v>
      </c>
      <c r="Q1512" s="16">
        <v>2</v>
      </c>
      <c r="R1512" s="16">
        <v>0</v>
      </c>
      <c r="S1512" s="16"/>
      <c r="T1512" s="16" t="e">
        <v>#N/A</v>
      </c>
      <c r="U1512" s="16" t="e">
        <v>#N/A</v>
      </c>
    </row>
    <row r="1513" spans="1:21" x14ac:dyDescent="0.25">
      <c r="A1513" s="12" t="s">
        <v>21</v>
      </c>
      <c r="B1513" s="12" t="s">
        <v>1570</v>
      </c>
      <c r="C1513" s="12" t="s">
        <v>23</v>
      </c>
      <c r="D1513" s="15">
        <v>46274.654050925928</v>
      </c>
      <c r="E1513" s="12" t="s">
        <v>24</v>
      </c>
      <c r="F1513" s="12" t="s">
        <v>1604</v>
      </c>
      <c r="G1513" s="12">
        <v>19</v>
      </c>
      <c r="H1513" s="12">
        <v>19</v>
      </c>
      <c r="I1513" s="14"/>
      <c r="J1513" s="14" t="s">
        <v>61</v>
      </c>
      <c r="K1513" s="12" t="s">
        <v>1618</v>
      </c>
      <c r="L1513" s="15">
        <v>1</v>
      </c>
      <c r="M1513" s="12" t="s">
        <v>150</v>
      </c>
      <c r="N1513" s="12">
        <v>19</v>
      </c>
      <c r="O1513" s="12">
        <v>19</v>
      </c>
      <c r="P1513" s="12">
        <v>0</v>
      </c>
      <c r="Q1513" s="16">
        <v>19</v>
      </c>
      <c r="R1513" s="16">
        <v>1</v>
      </c>
      <c r="S1513" s="16"/>
      <c r="T1513" s="16" t="e">
        <v>#N/A</v>
      </c>
      <c r="U1513" s="16" t="e">
        <v>#N/A</v>
      </c>
    </row>
    <row r="1514" spans="1:21" x14ac:dyDescent="0.25">
      <c r="A1514" s="12" t="s">
        <v>21</v>
      </c>
      <c r="B1514" s="12" t="s">
        <v>1570</v>
      </c>
      <c r="C1514" s="12" t="s">
        <v>23</v>
      </c>
      <c r="D1514" s="15">
        <v>46274.654050925928</v>
      </c>
      <c r="E1514" s="12" t="s">
        <v>24</v>
      </c>
      <c r="F1514" s="12" t="s">
        <v>1605</v>
      </c>
      <c r="G1514" s="12">
        <v>16</v>
      </c>
      <c r="H1514" s="12">
        <v>16</v>
      </c>
      <c r="I1514" s="14"/>
      <c r="J1514" s="14" t="s">
        <v>26</v>
      </c>
      <c r="K1514" s="12" t="s">
        <v>1619</v>
      </c>
      <c r="L1514" s="15">
        <v>1</v>
      </c>
      <c r="M1514" s="12" t="s">
        <v>150</v>
      </c>
      <c r="N1514" s="12">
        <v>16</v>
      </c>
      <c r="O1514" s="12">
        <v>16</v>
      </c>
      <c r="P1514" s="12">
        <v>0</v>
      </c>
      <c r="Q1514" s="16">
        <v>0</v>
      </c>
      <c r="R1514" s="16">
        <v>0</v>
      </c>
      <c r="S1514" s="16"/>
      <c r="T1514" s="16" t="e">
        <v>#N/A</v>
      </c>
      <c r="U1514" s="16" t="e">
        <v>#N/A</v>
      </c>
    </row>
    <row r="1515" spans="1:21" x14ac:dyDescent="0.25">
      <c r="A1515" s="12" t="s">
        <v>21</v>
      </c>
      <c r="B1515" s="12" t="s">
        <v>1570</v>
      </c>
      <c r="C1515" s="12" t="s">
        <v>23</v>
      </c>
      <c r="D1515" s="15">
        <v>46274.654050925928</v>
      </c>
      <c r="E1515" s="12" t="s">
        <v>24</v>
      </c>
      <c r="F1515" s="12" t="s">
        <v>1606</v>
      </c>
      <c r="G1515" s="12">
        <v>1</v>
      </c>
      <c r="H1515" s="12">
        <v>1</v>
      </c>
      <c r="I1515" s="14"/>
      <c r="J1515" s="14" t="s">
        <v>61</v>
      </c>
      <c r="K1515" s="12" t="s">
        <v>1620</v>
      </c>
      <c r="L1515" s="15">
        <v>1</v>
      </c>
      <c r="M1515" s="12" t="s">
        <v>150</v>
      </c>
      <c r="N1515" s="12">
        <v>1</v>
      </c>
      <c r="O1515" s="12">
        <v>1</v>
      </c>
      <c r="P1515" s="12">
        <v>0</v>
      </c>
      <c r="Q1515" s="16">
        <v>1</v>
      </c>
      <c r="R1515" s="16">
        <v>0</v>
      </c>
      <c r="S1515" s="16"/>
      <c r="T1515" s="16" t="e">
        <v>#N/A</v>
      </c>
      <c r="U1515" s="16" t="e">
        <v>#N/A</v>
      </c>
    </row>
    <row r="1516" spans="1:21" x14ac:dyDescent="0.25">
      <c r="A1516" s="12" t="s">
        <v>21</v>
      </c>
      <c r="B1516" s="12" t="s">
        <v>1570</v>
      </c>
      <c r="C1516" s="12" t="s">
        <v>23</v>
      </c>
      <c r="D1516" s="15">
        <v>46274.654050925928</v>
      </c>
      <c r="E1516" s="12" t="s">
        <v>24</v>
      </c>
      <c r="F1516" s="12" t="s">
        <v>1607</v>
      </c>
      <c r="G1516" s="12">
        <v>55</v>
      </c>
      <c r="H1516" s="12">
        <v>55</v>
      </c>
      <c r="I1516" s="14"/>
      <c r="J1516" s="14" t="s">
        <v>61</v>
      </c>
      <c r="K1516" s="12" t="s">
        <v>1621</v>
      </c>
      <c r="L1516" s="15">
        <v>1</v>
      </c>
      <c r="M1516" s="12" t="s">
        <v>150</v>
      </c>
      <c r="N1516" s="12">
        <v>55</v>
      </c>
      <c r="O1516" s="12">
        <v>55</v>
      </c>
      <c r="P1516" s="12">
        <v>0</v>
      </c>
      <c r="Q1516" s="16">
        <v>55</v>
      </c>
      <c r="R1516" s="16">
        <v>0</v>
      </c>
      <c r="S1516" s="16"/>
      <c r="T1516" s="16" t="e">
        <v>#N/A</v>
      </c>
      <c r="U1516" s="16" t="e">
        <v>#N/A</v>
      </c>
    </row>
    <row r="1517" spans="1:21" x14ac:dyDescent="0.25">
      <c r="A1517" s="12" t="s">
        <v>21</v>
      </c>
      <c r="B1517" s="12" t="s">
        <v>1599</v>
      </c>
      <c r="C1517" s="12" t="s">
        <v>23</v>
      </c>
      <c r="D1517" s="15">
        <v>46275.327615740738</v>
      </c>
      <c r="E1517" s="12" t="s">
        <v>195</v>
      </c>
      <c r="F1517" s="12" t="s">
        <v>245</v>
      </c>
      <c r="G1517" s="12">
        <v>1</v>
      </c>
      <c r="H1517" s="12">
        <v>1</v>
      </c>
      <c r="I1517" s="14"/>
      <c r="J1517" s="14" t="s">
        <v>26</v>
      </c>
      <c r="K1517" s="12" t="s">
        <v>27</v>
      </c>
      <c r="L1517" s="15"/>
      <c r="M1517" s="12" t="s">
        <v>28</v>
      </c>
      <c r="N1517" s="12"/>
      <c r="O1517" s="12"/>
      <c r="P1517" s="12"/>
      <c r="Q1517" s="16">
        <v>0</v>
      </c>
      <c r="R1517" s="16">
        <v>0</v>
      </c>
      <c r="S1517" s="16"/>
      <c r="T1517" s="16" t="e">
        <v>#N/A</v>
      </c>
      <c r="U1517" s="16" t="e">
        <v>#N/A</v>
      </c>
    </row>
    <row r="1518" spans="1:21" x14ac:dyDescent="0.25">
      <c r="A1518" s="12" t="s">
        <v>21</v>
      </c>
      <c r="B1518" s="12" t="s">
        <v>1600</v>
      </c>
      <c r="C1518" s="12" t="s">
        <v>23</v>
      </c>
      <c r="D1518" s="15">
        <v>46275.377118055556</v>
      </c>
      <c r="E1518" s="12" t="s">
        <v>24</v>
      </c>
      <c r="F1518" s="12" t="s">
        <v>1608</v>
      </c>
      <c r="G1518" s="12">
        <v>1</v>
      </c>
      <c r="H1518" s="12">
        <v>1</v>
      </c>
      <c r="I1518" s="14"/>
      <c r="J1518" s="14" t="s">
        <v>61</v>
      </c>
      <c r="K1518" s="12" t="s">
        <v>1622</v>
      </c>
      <c r="L1518" s="15">
        <v>1</v>
      </c>
      <c r="M1518" s="12" t="s">
        <v>150</v>
      </c>
      <c r="N1518" s="12">
        <v>1</v>
      </c>
      <c r="O1518" s="12">
        <v>1</v>
      </c>
      <c r="P1518" s="12">
        <v>0</v>
      </c>
      <c r="Q1518" s="16">
        <v>1</v>
      </c>
      <c r="R1518" s="16">
        <v>4</v>
      </c>
      <c r="S1518" s="16"/>
      <c r="T1518" s="16" t="e">
        <v>#N/A</v>
      </c>
      <c r="U1518" s="16" t="e">
        <v>#N/A</v>
      </c>
    </row>
    <row r="1519" spans="1:21" x14ac:dyDescent="0.25">
      <c r="A1519" s="12" t="s">
        <v>21</v>
      </c>
      <c r="B1519" s="12" t="s">
        <v>1600</v>
      </c>
      <c r="C1519" s="12" t="s">
        <v>23</v>
      </c>
      <c r="D1519" s="15">
        <v>46275.377118055556</v>
      </c>
      <c r="E1519" s="12" t="s">
        <v>24</v>
      </c>
      <c r="F1519" s="12" t="s">
        <v>1116</v>
      </c>
      <c r="G1519" s="12">
        <v>67</v>
      </c>
      <c r="H1519" s="12">
        <v>67</v>
      </c>
      <c r="I1519" s="14"/>
      <c r="J1519" s="14" t="s">
        <v>61</v>
      </c>
      <c r="K1519" s="12" t="s">
        <v>1623</v>
      </c>
      <c r="L1519" s="15">
        <v>1</v>
      </c>
      <c r="M1519" s="12" t="s">
        <v>150</v>
      </c>
      <c r="N1519" s="12">
        <v>67</v>
      </c>
      <c r="O1519" s="12">
        <v>67</v>
      </c>
      <c r="P1519" s="12">
        <v>0</v>
      </c>
      <c r="Q1519" s="16">
        <v>67</v>
      </c>
      <c r="R1519" s="16">
        <v>0</v>
      </c>
      <c r="S1519" s="16"/>
      <c r="T1519" s="16" t="e">
        <v>#N/A</v>
      </c>
      <c r="U1519" s="16" t="e">
        <v>#N/A</v>
      </c>
    </row>
    <row r="1520" spans="1:21" x14ac:dyDescent="0.25">
      <c r="A1520" s="12" t="s">
        <v>21</v>
      </c>
      <c r="B1520" s="12" t="s">
        <v>1600</v>
      </c>
      <c r="C1520" s="12" t="s">
        <v>23</v>
      </c>
      <c r="D1520" s="15">
        <v>46275.377118055556</v>
      </c>
      <c r="E1520" s="12" t="s">
        <v>24</v>
      </c>
      <c r="F1520" s="12" t="s">
        <v>1117</v>
      </c>
      <c r="G1520" s="12">
        <v>4</v>
      </c>
      <c r="H1520" s="12">
        <v>4</v>
      </c>
      <c r="I1520" s="14"/>
      <c r="J1520" s="14" t="s">
        <v>61</v>
      </c>
      <c r="K1520" s="12" t="s">
        <v>1624</v>
      </c>
      <c r="L1520" s="15">
        <v>1</v>
      </c>
      <c r="M1520" s="12" t="s">
        <v>150</v>
      </c>
      <c r="N1520" s="12">
        <v>4</v>
      </c>
      <c r="O1520" s="12">
        <v>4</v>
      </c>
      <c r="P1520" s="12">
        <v>0</v>
      </c>
      <c r="Q1520" s="16">
        <v>4</v>
      </c>
      <c r="R1520" s="16">
        <v>0</v>
      </c>
      <c r="S1520" s="16"/>
      <c r="T1520" s="16" t="e">
        <v>#N/A</v>
      </c>
      <c r="U1520" s="16" t="e">
        <v>#N/A</v>
      </c>
    </row>
    <row r="1521" spans="1:21" x14ac:dyDescent="0.25">
      <c r="A1521" s="12" t="s">
        <v>21</v>
      </c>
      <c r="B1521" s="12" t="s">
        <v>1600</v>
      </c>
      <c r="C1521" s="12" t="s">
        <v>23</v>
      </c>
      <c r="D1521" s="15">
        <v>46275.377118055556</v>
      </c>
      <c r="E1521" s="12" t="s">
        <v>24</v>
      </c>
      <c r="F1521" s="12" t="s">
        <v>1609</v>
      </c>
      <c r="G1521" s="12">
        <v>21</v>
      </c>
      <c r="H1521" s="12">
        <v>21</v>
      </c>
      <c r="I1521" s="14"/>
      <c r="J1521" s="14" t="s">
        <v>61</v>
      </c>
      <c r="K1521" s="12" t="s">
        <v>1625</v>
      </c>
      <c r="L1521" s="15">
        <v>1</v>
      </c>
      <c r="M1521" s="12" t="s">
        <v>150</v>
      </c>
      <c r="N1521" s="12">
        <v>21</v>
      </c>
      <c r="O1521" s="12">
        <v>21</v>
      </c>
      <c r="P1521" s="12">
        <v>0</v>
      </c>
      <c r="Q1521" s="16">
        <v>21</v>
      </c>
      <c r="R1521" s="16">
        <v>1</v>
      </c>
      <c r="S1521" s="16"/>
      <c r="T1521" s="16" t="e">
        <v>#N/A</v>
      </c>
      <c r="U1521" s="16" t="e">
        <v>#N/A</v>
      </c>
    </row>
    <row r="1522" spans="1:21" x14ac:dyDescent="0.25">
      <c r="A1522" s="12" t="s">
        <v>21</v>
      </c>
      <c r="B1522" s="12" t="s">
        <v>1601</v>
      </c>
      <c r="C1522" s="12" t="s">
        <v>23</v>
      </c>
      <c r="D1522" s="15">
        <v>46275.382719907408</v>
      </c>
      <c r="E1522" s="12" t="s">
        <v>24</v>
      </c>
      <c r="F1522" s="12" t="s">
        <v>1610</v>
      </c>
      <c r="G1522" s="12">
        <v>1</v>
      </c>
      <c r="H1522" s="12">
        <v>1</v>
      </c>
      <c r="I1522" s="14"/>
      <c r="J1522" s="14" t="s">
        <v>61</v>
      </c>
      <c r="K1522" s="12" t="s">
        <v>1626</v>
      </c>
      <c r="L1522" s="15">
        <v>1</v>
      </c>
      <c r="M1522" s="12" t="s">
        <v>150</v>
      </c>
      <c r="N1522" s="12">
        <v>1</v>
      </c>
      <c r="O1522" s="12">
        <v>1</v>
      </c>
      <c r="P1522" s="12">
        <v>0</v>
      </c>
      <c r="Q1522" s="16">
        <v>1</v>
      </c>
      <c r="R1522" s="16">
        <v>0</v>
      </c>
      <c r="S1522" s="16"/>
      <c r="T1522" s="16" t="e">
        <v>#N/A</v>
      </c>
      <c r="U1522" s="16" t="e">
        <v>#N/A</v>
      </c>
    </row>
    <row r="1523" spans="1:21" x14ac:dyDescent="0.25">
      <c r="A1523" s="12" t="s">
        <v>21</v>
      </c>
      <c r="B1523" s="12" t="s">
        <v>1601</v>
      </c>
      <c r="C1523" s="12" t="s">
        <v>23</v>
      </c>
      <c r="D1523" s="15">
        <v>46275.382719907408</v>
      </c>
      <c r="E1523" s="12" t="s">
        <v>24</v>
      </c>
      <c r="F1523" s="12" t="s">
        <v>1611</v>
      </c>
      <c r="G1523" s="12">
        <v>6</v>
      </c>
      <c r="H1523" s="12">
        <v>6</v>
      </c>
      <c r="I1523" s="14"/>
      <c r="J1523" s="14" t="s">
        <v>61</v>
      </c>
      <c r="K1523" s="12" t="s">
        <v>1627</v>
      </c>
      <c r="L1523" s="15">
        <v>1</v>
      </c>
      <c r="M1523" s="12" t="s">
        <v>150</v>
      </c>
      <c r="N1523" s="12">
        <v>6</v>
      </c>
      <c r="O1523" s="12">
        <v>6</v>
      </c>
      <c r="P1523" s="12">
        <v>0</v>
      </c>
      <c r="Q1523" s="16">
        <v>10</v>
      </c>
      <c r="R1523" s="16">
        <v>0</v>
      </c>
      <c r="S1523" s="16"/>
      <c r="T1523" s="16" t="e">
        <v>#N/A</v>
      </c>
      <c r="U1523" s="16" t="e">
        <v>#N/A</v>
      </c>
    </row>
    <row r="1524" spans="1:21" x14ac:dyDescent="0.25">
      <c r="A1524" s="12" t="s">
        <v>21</v>
      </c>
      <c r="B1524" s="12" t="s">
        <v>1601</v>
      </c>
      <c r="C1524" s="12" t="s">
        <v>23</v>
      </c>
      <c r="D1524" s="15">
        <v>46275.382719907408</v>
      </c>
      <c r="E1524" s="12" t="s">
        <v>24</v>
      </c>
      <c r="F1524" s="12" t="s">
        <v>1612</v>
      </c>
      <c r="G1524" s="12">
        <v>4</v>
      </c>
      <c r="H1524" s="12">
        <v>4</v>
      </c>
      <c r="I1524" s="14"/>
      <c r="J1524" s="14" t="s">
        <v>61</v>
      </c>
      <c r="K1524" s="12" t="s">
        <v>1628</v>
      </c>
      <c r="L1524" s="15">
        <v>1</v>
      </c>
      <c r="M1524" s="12" t="s">
        <v>150</v>
      </c>
      <c r="N1524" s="12">
        <v>4</v>
      </c>
      <c r="O1524" s="12">
        <v>4</v>
      </c>
      <c r="P1524" s="12">
        <v>0</v>
      </c>
      <c r="Q1524" s="16">
        <v>9</v>
      </c>
      <c r="R1524" s="16">
        <v>0</v>
      </c>
      <c r="S1524" s="16"/>
      <c r="T1524" s="16" t="e">
        <v>#N/A</v>
      </c>
      <c r="U1524" s="16" t="e">
        <v>#N/A</v>
      </c>
    </row>
    <row r="1525" spans="1:21" x14ac:dyDescent="0.25">
      <c r="A1525" s="12" t="s">
        <v>21</v>
      </c>
      <c r="B1525" s="12" t="s">
        <v>1601</v>
      </c>
      <c r="C1525" s="12" t="s">
        <v>23</v>
      </c>
      <c r="D1525" s="15">
        <v>46275.382719907408</v>
      </c>
      <c r="E1525" s="12" t="s">
        <v>24</v>
      </c>
      <c r="F1525" s="12" t="s">
        <v>1613</v>
      </c>
      <c r="G1525" s="12">
        <v>4</v>
      </c>
      <c r="H1525" s="12">
        <v>4</v>
      </c>
      <c r="I1525" s="14"/>
      <c r="J1525" s="14" t="s">
        <v>61</v>
      </c>
      <c r="K1525" s="12" t="s">
        <v>1629</v>
      </c>
      <c r="L1525" s="15">
        <v>1</v>
      </c>
      <c r="M1525" s="12" t="s">
        <v>150</v>
      </c>
      <c r="N1525" s="12">
        <v>4</v>
      </c>
      <c r="O1525" s="12">
        <v>4</v>
      </c>
      <c r="P1525" s="12">
        <v>0</v>
      </c>
      <c r="Q1525" s="16">
        <v>10</v>
      </c>
      <c r="R1525" s="16">
        <v>0</v>
      </c>
      <c r="S1525" s="16"/>
      <c r="T1525" s="16" t="e">
        <v>#N/A</v>
      </c>
      <c r="U1525" s="16" t="e">
        <v>#N/A</v>
      </c>
    </row>
    <row r="1526" spans="1:21" x14ac:dyDescent="0.25">
      <c r="A1526" s="12" t="s">
        <v>21</v>
      </c>
      <c r="B1526" s="12" t="s">
        <v>1601</v>
      </c>
      <c r="C1526" s="12" t="s">
        <v>23</v>
      </c>
      <c r="D1526" s="15">
        <v>46275.382719907408</v>
      </c>
      <c r="E1526" s="12" t="s">
        <v>24</v>
      </c>
      <c r="F1526" s="12" t="s">
        <v>1614</v>
      </c>
      <c r="G1526" s="12">
        <v>5</v>
      </c>
      <c r="H1526" s="12">
        <v>5</v>
      </c>
      <c r="I1526" s="14"/>
      <c r="J1526" s="14" t="s">
        <v>61</v>
      </c>
      <c r="K1526" s="12" t="s">
        <v>1630</v>
      </c>
      <c r="L1526" s="15">
        <v>1</v>
      </c>
      <c r="M1526" s="12" t="s">
        <v>150</v>
      </c>
      <c r="N1526" s="12">
        <v>5</v>
      </c>
      <c r="O1526" s="12">
        <v>5</v>
      </c>
      <c r="P1526" s="12">
        <v>0</v>
      </c>
      <c r="Q1526" s="16">
        <v>9</v>
      </c>
      <c r="R1526" s="16">
        <v>0</v>
      </c>
      <c r="S1526" s="16"/>
      <c r="T1526" s="16" t="e">
        <v>#N/A</v>
      </c>
      <c r="U1526" s="16" t="e">
        <v>#N/A</v>
      </c>
    </row>
    <row r="1527" spans="1:21" x14ac:dyDescent="0.25">
      <c r="A1527" s="12" t="s">
        <v>21</v>
      </c>
      <c r="B1527" s="12" t="s">
        <v>1602</v>
      </c>
      <c r="C1527" s="12" t="s">
        <v>23</v>
      </c>
      <c r="D1527" s="15">
        <v>46275.386006944442</v>
      </c>
      <c r="E1527" s="12" t="s">
        <v>1439</v>
      </c>
      <c r="F1527" s="12" t="s">
        <v>1615</v>
      </c>
      <c r="G1527" s="12">
        <v>3</v>
      </c>
      <c r="H1527" s="12">
        <v>3</v>
      </c>
      <c r="I1527" s="14"/>
      <c r="J1527" s="14" t="s">
        <v>26</v>
      </c>
      <c r="K1527" s="12" t="s">
        <v>1631</v>
      </c>
      <c r="L1527" s="15">
        <v>1</v>
      </c>
      <c r="M1527" s="12" t="s">
        <v>150</v>
      </c>
      <c r="N1527" s="12">
        <v>3</v>
      </c>
      <c r="O1527" s="12">
        <v>3</v>
      </c>
      <c r="P1527" s="12">
        <v>0</v>
      </c>
      <c r="Q1527" s="16">
        <v>0</v>
      </c>
      <c r="R1527" s="16">
        <v>0</v>
      </c>
      <c r="S1527" s="16"/>
      <c r="T1527" s="16" t="e">
        <v>#N/A</v>
      </c>
      <c r="U1527" s="16" t="e">
        <v>#N/A</v>
      </c>
    </row>
    <row r="1528" spans="1:21" x14ac:dyDescent="0.25">
      <c r="A1528" s="12" t="s">
        <v>21</v>
      </c>
      <c r="B1528" s="12" t="s">
        <v>1602</v>
      </c>
      <c r="C1528" s="12" t="s">
        <v>23</v>
      </c>
      <c r="D1528" s="15">
        <v>46275.386006944442</v>
      </c>
      <c r="E1528" s="12" t="s">
        <v>1439</v>
      </c>
      <c r="F1528" s="12" t="s">
        <v>1616</v>
      </c>
      <c r="G1528" s="12">
        <v>2</v>
      </c>
      <c r="H1528" s="12">
        <v>2</v>
      </c>
      <c r="I1528" s="14"/>
      <c r="J1528" s="14" t="s">
        <v>26</v>
      </c>
      <c r="K1528" s="12" t="s">
        <v>1632</v>
      </c>
      <c r="L1528" s="15">
        <v>1</v>
      </c>
      <c r="M1528" s="12" t="s">
        <v>150</v>
      </c>
      <c r="N1528" s="12">
        <v>2</v>
      </c>
      <c r="O1528" s="12">
        <v>2</v>
      </c>
      <c r="P1528" s="12">
        <v>0</v>
      </c>
      <c r="Q1528" s="16">
        <v>0</v>
      </c>
      <c r="R1528" s="16">
        <v>0</v>
      </c>
      <c r="S1528" s="16"/>
      <c r="T1528" s="16" t="e">
        <v>#N/A</v>
      </c>
      <c r="U1528" s="16" t="e">
        <v>#N/A</v>
      </c>
    </row>
    <row r="1529" spans="1:21" x14ac:dyDescent="0.25">
      <c r="A1529" s="12" t="s">
        <v>21</v>
      </c>
      <c r="B1529" s="12" t="s">
        <v>1633</v>
      </c>
      <c r="C1529" s="12" t="s">
        <v>23</v>
      </c>
      <c r="D1529" s="15">
        <v>46275.388206018521</v>
      </c>
      <c r="E1529" s="12" t="s">
        <v>340</v>
      </c>
      <c r="F1529" s="12" t="s">
        <v>159</v>
      </c>
      <c r="G1529" s="12">
        <v>3</v>
      </c>
      <c r="H1529" s="12">
        <v>3</v>
      </c>
      <c r="I1529" s="14"/>
      <c r="J1529" s="14" t="s">
        <v>26</v>
      </c>
      <c r="K1529" s="12" t="s">
        <v>27</v>
      </c>
      <c r="L1529" s="15"/>
      <c r="M1529" s="12" t="s">
        <v>28</v>
      </c>
      <c r="N1529" s="12"/>
      <c r="O1529" s="12"/>
      <c r="P1529" s="12"/>
      <c r="Q1529" s="16">
        <v>0</v>
      </c>
      <c r="R1529" s="16">
        <v>0</v>
      </c>
      <c r="S1529" s="16"/>
      <c r="T1529" s="16" t="e">
        <v>#N/A</v>
      </c>
      <c r="U1529" s="16" t="e">
        <v>#N/A</v>
      </c>
    </row>
    <row r="1530" spans="1:21" x14ac:dyDescent="0.25">
      <c r="A1530" s="12" t="s">
        <v>21</v>
      </c>
      <c r="B1530" s="12" t="s">
        <v>1634</v>
      </c>
      <c r="C1530" s="12" t="s">
        <v>23</v>
      </c>
      <c r="D1530" s="15">
        <v>46275.391180555554</v>
      </c>
      <c r="E1530" s="12" t="s">
        <v>24</v>
      </c>
      <c r="F1530" s="12" t="s">
        <v>371</v>
      </c>
      <c r="G1530" s="12">
        <v>210</v>
      </c>
      <c r="H1530" s="12">
        <v>210</v>
      </c>
      <c r="I1530" s="14"/>
      <c r="J1530" s="14" t="s">
        <v>26</v>
      </c>
      <c r="K1530" s="12" t="s">
        <v>27</v>
      </c>
      <c r="L1530" s="15"/>
      <c r="M1530" s="12" t="s">
        <v>28</v>
      </c>
      <c r="N1530" s="12"/>
      <c r="O1530" s="12"/>
      <c r="P1530" s="12"/>
      <c r="Q1530" s="16">
        <v>0</v>
      </c>
      <c r="R1530" s="16">
        <v>1</v>
      </c>
      <c r="S1530" s="16"/>
      <c r="T1530" s="16" t="e">
        <v>#N/A</v>
      </c>
      <c r="U1530" s="16" t="e">
        <v>#N/A</v>
      </c>
    </row>
    <row r="1531" spans="1:21" x14ac:dyDescent="0.25">
      <c r="A1531" s="12" t="s">
        <v>21</v>
      </c>
      <c r="B1531" s="12" t="s">
        <v>1635</v>
      </c>
      <c r="C1531" s="12" t="s">
        <v>23</v>
      </c>
      <c r="D1531" s="15">
        <v>46275.398229166669</v>
      </c>
      <c r="E1531" s="12" t="s">
        <v>1636</v>
      </c>
      <c r="F1531" s="12" t="s">
        <v>669</v>
      </c>
      <c r="G1531" s="12">
        <v>1</v>
      </c>
      <c r="H1531" s="12">
        <v>1</v>
      </c>
      <c r="I1531" s="14"/>
      <c r="J1531" s="14" t="s">
        <v>61</v>
      </c>
      <c r="K1531" s="12" t="s">
        <v>1638</v>
      </c>
      <c r="L1531" s="15">
        <v>1</v>
      </c>
      <c r="M1531" s="12" t="s">
        <v>150</v>
      </c>
      <c r="N1531" s="12">
        <v>1</v>
      </c>
      <c r="O1531" s="12">
        <v>1</v>
      </c>
      <c r="P1531" s="12">
        <v>0</v>
      </c>
      <c r="Q1531" s="16">
        <v>1</v>
      </c>
      <c r="R1531" s="16">
        <v>0</v>
      </c>
      <c r="S1531" s="16"/>
      <c r="T1531" s="16" t="e">
        <v>#N/A</v>
      </c>
      <c r="U1531" s="16" t="e">
        <v>#N/A</v>
      </c>
    </row>
    <row r="1532" spans="1:21" x14ac:dyDescent="0.25">
      <c r="A1532" s="12" t="s">
        <v>21</v>
      </c>
      <c r="B1532" s="12" t="s">
        <v>1635</v>
      </c>
      <c r="C1532" s="12" t="s">
        <v>23</v>
      </c>
      <c r="D1532" s="15">
        <v>46275.398229166669</v>
      </c>
      <c r="E1532" s="12" t="s">
        <v>1636</v>
      </c>
      <c r="F1532" s="12" t="s">
        <v>845</v>
      </c>
      <c r="G1532" s="12">
        <v>8</v>
      </c>
      <c r="H1532" s="12">
        <v>8</v>
      </c>
      <c r="I1532" s="14"/>
      <c r="J1532" s="14" t="s">
        <v>61</v>
      </c>
      <c r="K1532" s="12" t="s">
        <v>1639</v>
      </c>
      <c r="L1532" s="15">
        <v>1</v>
      </c>
      <c r="M1532" s="12" t="s">
        <v>150</v>
      </c>
      <c r="N1532" s="12">
        <v>8</v>
      </c>
      <c r="O1532" s="12">
        <v>8</v>
      </c>
      <c r="P1532" s="12">
        <v>0</v>
      </c>
      <c r="Q1532" s="16">
        <v>8</v>
      </c>
      <c r="R1532" s="16">
        <v>0</v>
      </c>
      <c r="S1532" s="16"/>
      <c r="T1532" s="16" t="e">
        <v>#N/A</v>
      </c>
      <c r="U1532" s="16" t="e">
        <v>#N/A</v>
      </c>
    </row>
    <row r="1533" spans="1:21" x14ac:dyDescent="0.25">
      <c r="A1533" s="12" t="s">
        <v>21</v>
      </c>
      <c r="B1533" s="12" t="s">
        <v>1635</v>
      </c>
      <c r="C1533" s="12" t="s">
        <v>23</v>
      </c>
      <c r="D1533" s="15">
        <v>46275.398229166669</v>
      </c>
      <c r="E1533" s="12" t="s">
        <v>1636</v>
      </c>
      <c r="F1533" s="12" t="s">
        <v>381</v>
      </c>
      <c r="G1533" s="12">
        <v>2</v>
      </c>
      <c r="H1533" s="12">
        <v>2</v>
      </c>
      <c r="I1533" s="14"/>
      <c r="J1533" s="14" t="s">
        <v>61</v>
      </c>
      <c r="K1533" s="12" t="s">
        <v>1640</v>
      </c>
      <c r="L1533" s="15">
        <v>1</v>
      </c>
      <c r="M1533" s="12" t="s">
        <v>150</v>
      </c>
      <c r="N1533" s="12">
        <v>2</v>
      </c>
      <c r="O1533" s="12">
        <v>2</v>
      </c>
      <c r="P1533" s="12">
        <v>0</v>
      </c>
      <c r="Q1533" s="16">
        <v>2</v>
      </c>
      <c r="R1533" s="16">
        <v>0</v>
      </c>
      <c r="S1533" s="16"/>
      <c r="T1533" s="16" t="e">
        <v>#N/A</v>
      </c>
      <c r="U1533" s="16" t="e">
        <v>#N/A</v>
      </c>
    </row>
    <row r="1534" spans="1:21" x14ac:dyDescent="0.25">
      <c r="A1534" s="12" t="s">
        <v>21</v>
      </c>
      <c r="B1534" s="12" t="s">
        <v>1635</v>
      </c>
      <c r="C1534" s="12" t="s">
        <v>23</v>
      </c>
      <c r="D1534" s="15">
        <v>46275.398229166669</v>
      </c>
      <c r="E1534" s="12" t="s">
        <v>1636</v>
      </c>
      <c r="F1534" s="12" t="s">
        <v>356</v>
      </c>
      <c r="G1534" s="12">
        <v>1</v>
      </c>
      <c r="H1534" s="12">
        <v>1</v>
      </c>
      <c r="I1534" s="14"/>
      <c r="J1534" s="14" t="s">
        <v>26</v>
      </c>
      <c r="K1534" s="12" t="s">
        <v>27</v>
      </c>
      <c r="L1534" s="15"/>
      <c r="M1534" s="12" t="s">
        <v>28</v>
      </c>
      <c r="N1534" s="12"/>
      <c r="O1534" s="12"/>
      <c r="P1534" s="12"/>
      <c r="Q1534" s="16">
        <v>0</v>
      </c>
      <c r="R1534" s="16">
        <v>0</v>
      </c>
      <c r="S1534" s="16"/>
      <c r="T1534" s="16" t="e">
        <v>#N/A</v>
      </c>
      <c r="U1534" s="16" t="e">
        <v>#N/A</v>
      </c>
    </row>
    <row r="1535" spans="1:21" x14ac:dyDescent="0.25">
      <c r="A1535" s="12" t="s">
        <v>21</v>
      </c>
      <c r="B1535" s="12" t="s">
        <v>1635</v>
      </c>
      <c r="C1535" s="12" t="s">
        <v>23</v>
      </c>
      <c r="D1535" s="15">
        <v>46275.398229166669</v>
      </c>
      <c r="E1535" s="12" t="s">
        <v>1636</v>
      </c>
      <c r="F1535" s="12" t="s">
        <v>967</v>
      </c>
      <c r="G1535" s="12">
        <v>1</v>
      </c>
      <c r="H1535" s="12">
        <v>1</v>
      </c>
      <c r="I1535" s="14"/>
      <c r="J1535" s="14" t="s">
        <v>61</v>
      </c>
      <c r="K1535" s="12" t="s">
        <v>1641</v>
      </c>
      <c r="L1535" s="15">
        <v>1</v>
      </c>
      <c r="M1535" s="12" t="s">
        <v>150</v>
      </c>
      <c r="N1535" s="12">
        <v>1</v>
      </c>
      <c r="O1535" s="12">
        <v>1</v>
      </c>
      <c r="P1535" s="12">
        <v>0</v>
      </c>
      <c r="Q1535" s="16">
        <v>1</v>
      </c>
      <c r="R1535" s="16">
        <v>0</v>
      </c>
      <c r="S1535" s="16"/>
      <c r="T1535" s="16" t="e">
        <v>#N/A</v>
      </c>
      <c r="U1535" s="16" t="e">
        <v>#N/A</v>
      </c>
    </row>
    <row r="1536" spans="1:21" x14ac:dyDescent="0.25">
      <c r="A1536" s="12" t="s">
        <v>21</v>
      </c>
      <c r="B1536" s="12" t="s">
        <v>1635</v>
      </c>
      <c r="C1536" s="12" t="s">
        <v>23</v>
      </c>
      <c r="D1536" s="15">
        <v>46275.398229166669</v>
      </c>
      <c r="E1536" s="12" t="s">
        <v>1636</v>
      </c>
      <c r="F1536" s="12" t="s">
        <v>357</v>
      </c>
      <c r="G1536" s="12">
        <v>8</v>
      </c>
      <c r="H1536" s="12">
        <v>8</v>
      </c>
      <c r="I1536" s="14"/>
      <c r="J1536" s="14" t="s">
        <v>61</v>
      </c>
      <c r="K1536" s="12" t="s">
        <v>1642</v>
      </c>
      <c r="L1536" s="15">
        <v>1</v>
      </c>
      <c r="M1536" s="12" t="s">
        <v>150</v>
      </c>
      <c r="N1536" s="12">
        <v>8</v>
      </c>
      <c r="O1536" s="12">
        <v>8</v>
      </c>
      <c r="P1536" s="12">
        <v>0</v>
      </c>
      <c r="Q1536" s="16">
        <v>8</v>
      </c>
      <c r="R1536" s="16">
        <v>0</v>
      </c>
      <c r="S1536" s="16"/>
      <c r="T1536" s="16" t="e">
        <v>#N/A</v>
      </c>
      <c r="U1536" s="16" t="e">
        <v>#N/A</v>
      </c>
    </row>
    <row r="1537" spans="1:21" x14ac:dyDescent="0.25">
      <c r="A1537" s="12" t="s">
        <v>21</v>
      </c>
      <c r="B1537" s="12" t="s">
        <v>1635</v>
      </c>
      <c r="C1537" s="12" t="s">
        <v>23</v>
      </c>
      <c r="D1537" s="15">
        <v>46275.398229166669</v>
      </c>
      <c r="E1537" s="12" t="s">
        <v>1636</v>
      </c>
      <c r="F1537" s="12" t="s">
        <v>1637</v>
      </c>
      <c r="G1537" s="12">
        <v>9</v>
      </c>
      <c r="H1537" s="12">
        <v>9</v>
      </c>
      <c r="I1537" s="14"/>
      <c r="J1537" s="14" t="s">
        <v>61</v>
      </c>
      <c r="K1537" s="12" t="s">
        <v>1643</v>
      </c>
      <c r="L1537" s="15">
        <v>1</v>
      </c>
      <c r="M1537" s="12" t="s">
        <v>150</v>
      </c>
      <c r="N1537" s="12">
        <v>9</v>
      </c>
      <c r="O1537" s="12">
        <v>9</v>
      </c>
      <c r="P1537" s="12">
        <v>0</v>
      </c>
      <c r="Q1537" s="16">
        <v>9</v>
      </c>
      <c r="R1537" s="16">
        <v>0</v>
      </c>
      <c r="S1537" s="16"/>
      <c r="T1537" s="16" t="e">
        <v>#N/A</v>
      </c>
      <c r="U1537" s="16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03A29-C122-4457-9698-32A61D0892F4}">
  <dimension ref="A1:XEP1537"/>
  <sheetViews>
    <sheetView topLeftCell="A1510" workbookViewId="0">
      <selection activeCell="A68" sqref="A68:XFD1537"/>
    </sheetView>
  </sheetViews>
  <sheetFormatPr baseColWidth="10" defaultColWidth="9.140625" defaultRowHeight="15" x14ac:dyDescent="0.25"/>
  <cols>
    <col min="1" max="1" width="12.42578125" customWidth="1"/>
    <col min="2" max="2" width="16.5703125" customWidth="1"/>
    <col min="3" max="3" width="20.5703125" bestFit="1" customWidth="1"/>
    <col min="4" max="4" width="23.140625" style="55" customWidth="1"/>
    <col min="5" max="5" width="38.7109375" customWidth="1"/>
    <col min="6" max="6" width="27.7109375" bestFit="1" customWidth="1"/>
    <col min="7" max="7" width="11.5703125" customWidth="1"/>
    <col min="8" max="8" width="9.5703125" customWidth="1"/>
    <col min="9" max="9" width="7.85546875" bestFit="1" customWidth="1"/>
    <col min="10" max="10" width="9.28515625" customWidth="1"/>
    <col min="11" max="11" width="12.85546875" bestFit="1" customWidth="1"/>
    <col min="12" max="12" width="17.140625" bestFit="1" customWidth="1"/>
    <col min="13" max="13" width="11.42578125" customWidth="1"/>
    <col min="14" max="14" width="9.28515625" customWidth="1"/>
    <col min="15" max="15" width="13" customWidth="1"/>
    <col min="16" max="16" width="10.42578125" customWidth="1"/>
    <col min="17" max="17" width="13.5703125" customWidth="1"/>
    <col min="18" max="18" width="11.5703125" customWidth="1"/>
    <col min="19" max="19" width="11.7109375" customWidth="1"/>
    <col min="20" max="20" width="13.140625" customWidth="1"/>
    <col min="21" max="21" width="12.28515625" customWidth="1"/>
  </cols>
  <sheetData>
    <row r="1" spans="1:16370" ht="58.5" customHeight="1" x14ac:dyDescent="0.25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5" t="s">
        <v>5</v>
      </c>
      <c r="G1" s="4" t="s">
        <v>6</v>
      </c>
      <c r="H1" s="4" t="s">
        <v>7</v>
      </c>
      <c r="I1" s="6" t="s">
        <v>8</v>
      </c>
      <c r="J1" s="7" t="s">
        <v>1651</v>
      </c>
      <c r="K1" s="3" t="s">
        <v>10</v>
      </c>
      <c r="L1" s="8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9" t="s">
        <v>16</v>
      </c>
      <c r="R1" s="10" t="s">
        <v>17</v>
      </c>
      <c r="S1" s="11" t="s">
        <v>18</v>
      </c>
      <c r="T1" s="10" t="s">
        <v>19</v>
      </c>
      <c r="U1" s="10" t="s">
        <v>20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</row>
    <row r="2" spans="1:16370" x14ac:dyDescent="0.25">
      <c r="A2" s="12" t="s">
        <v>21</v>
      </c>
      <c r="B2" s="12" t="s">
        <v>22</v>
      </c>
      <c r="C2" s="12" t="s">
        <v>23</v>
      </c>
      <c r="D2" s="13">
        <v>45682.429386574076</v>
      </c>
      <c r="E2" s="12" t="s">
        <v>24</v>
      </c>
      <c r="F2" s="12" t="s">
        <v>25</v>
      </c>
      <c r="G2" s="12">
        <v>150</v>
      </c>
      <c r="H2" s="12">
        <v>150</v>
      </c>
      <c r="I2" s="14"/>
      <c r="J2" s="14" t="s">
        <v>26</v>
      </c>
      <c r="K2" s="12" t="s">
        <v>27</v>
      </c>
      <c r="L2" s="15"/>
      <c r="M2" s="12" t="s">
        <v>28</v>
      </c>
      <c r="N2" s="12"/>
      <c r="O2" s="12"/>
      <c r="P2" s="12"/>
      <c r="Q2" s="16">
        <v>0</v>
      </c>
      <c r="R2" s="16">
        <v>0</v>
      </c>
      <c r="S2" s="16"/>
      <c r="T2" s="16" t="e">
        <v>#N/A</v>
      </c>
      <c r="U2" s="16" t="e">
        <v>#N/A</v>
      </c>
    </row>
    <row r="3" spans="1:16370" x14ac:dyDescent="0.25">
      <c r="A3" s="12" t="s">
        <v>21</v>
      </c>
      <c r="B3" s="12" t="s">
        <v>29</v>
      </c>
      <c r="C3" s="12" t="s">
        <v>23</v>
      </c>
      <c r="D3" s="13">
        <v>45736.346145833333</v>
      </c>
      <c r="E3" s="12" t="s">
        <v>24</v>
      </c>
      <c r="F3" s="12" t="s">
        <v>30</v>
      </c>
      <c r="G3" s="12">
        <v>2</v>
      </c>
      <c r="H3" s="12">
        <v>-2</v>
      </c>
      <c r="I3" s="14"/>
      <c r="J3" s="14" t="s">
        <v>26</v>
      </c>
      <c r="K3" s="12" t="s">
        <v>27</v>
      </c>
      <c r="L3" s="15"/>
      <c r="M3" s="12" t="s">
        <v>28</v>
      </c>
      <c r="N3" s="12"/>
      <c r="O3" s="12"/>
      <c r="P3" s="12"/>
      <c r="Q3" s="16">
        <v>0</v>
      </c>
      <c r="R3" s="16">
        <v>0</v>
      </c>
      <c r="S3" s="16"/>
      <c r="T3" s="16" t="e">
        <v>#N/A</v>
      </c>
      <c r="U3" s="16" t="e">
        <v>#N/A</v>
      </c>
    </row>
    <row r="4" spans="1:16370" x14ac:dyDescent="0.25">
      <c r="A4" s="12" t="s">
        <v>21</v>
      </c>
      <c r="B4" s="12" t="s">
        <v>29</v>
      </c>
      <c r="C4" s="12" t="s">
        <v>23</v>
      </c>
      <c r="D4" s="13">
        <v>45736.346145833333</v>
      </c>
      <c r="E4" s="12" t="s">
        <v>24</v>
      </c>
      <c r="F4" s="12" t="s">
        <v>31</v>
      </c>
      <c r="G4" s="12">
        <v>2</v>
      </c>
      <c r="H4" s="12">
        <v>-2</v>
      </c>
      <c r="I4" s="14"/>
      <c r="J4" s="14" t="s">
        <v>26</v>
      </c>
      <c r="K4" s="12" t="s">
        <v>27</v>
      </c>
      <c r="L4" s="15"/>
      <c r="M4" s="12" t="s">
        <v>28</v>
      </c>
      <c r="N4" s="12"/>
      <c r="O4" s="12"/>
      <c r="P4" s="12"/>
      <c r="Q4" s="16">
        <v>0</v>
      </c>
      <c r="R4" s="16">
        <v>0</v>
      </c>
      <c r="S4" s="16"/>
      <c r="T4" s="16" t="e">
        <v>#N/A</v>
      </c>
      <c r="U4" s="16" t="e">
        <v>#N/A</v>
      </c>
    </row>
    <row r="5" spans="1:16370" x14ac:dyDescent="0.25">
      <c r="A5" s="12" t="s">
        <v>21</v>
      </c>
      <c r="B5" s="12" t="s">
        <v>29</v>
      </c>
      <c r="C5" s="12" t="s">
        <v>23</v>
      </c>
      <c r="D5" s="13">
        <v>45736.346145833333</v>
      </c>
      <c r="E5" s="12" t="s">
        <v>24</v>
      </c>
      <c r="F5" s="12" t="s">
        <v>32</v>
      </c>
      <c r="G5" s="12">
        <v>1</v>
      </c>
      <c r="H5" s="12">
        <v>-1</v>
      </c>
      <c r="I5" s="14"/>
      <c r="J5" s="14" t="s">
        <v>26</v>
      </c>
      <c r="K5" s="12" t="s">
        <v>27</v>
      </c>
      <c r="L5" s="15"/>
      <c r="M5" s="12" t="s">
        <v>28</v>
      </c>
      <c r="N5" s="12"/>
      <c r="O5" s="12"/>
      <c r="P5" s="12"/>
      <c r="Q5" s="16">
        <v>0</v>
      </c>
      <c r="R5" s="16">
        <v>174</v>
      </c>
      <c r="S5" s="16"/>
      <c r="T5" s="16" t="e">
        <v>#N/A</v>
      </c>
      <c r="U5" s="16" t="e">
        <v>#N/A</v>
      </c>
    </row>
    <row r="6" spans="1:16370" x14ac:dyDescent="0.25">
      <c r="A6" s="12" t="s">
        <v>21</v>
      </c>
      <c r="B6" s="12" t="s">
        <v>33</v>
      </c>
      <c r="C6" s="12" t="s">
        <v>23</v>
      </c>
      <c r="D6" s="13">
        <v>45820.325219907405</v>
      </c>
      <c r="E6" s="12" t="s">
        <v>24</v>
      </c>
      <c r="F6" s="12" t="s">
        <v>34</v>
      </c>
      <c r="G6" s="12">
        <v>17</v>
      </c>
      <c r="H6" s="12">
        <v>17</v>
      </c>
      <c r="I6" s="14"/>
      <c r="J6" s="14" t="s">
        <v>26</v>
      </c>
      <c r="K6" s="12" t="s">
        <v>27</v>
      </c>
      <c r="L6" s="15"/>
      <c r="M6" s="12" t="s">
        <v>28</v>
      </c>
      <c r="N6" s="12"/>
      <c r="O6" s="12"/>
      <c r="P6" s="12"/>
      <c r="Q6" s="16">
        <v>0</v>
      </c>
      <c r="R6" s="16">
        <v>324</v>
      </c>
      <c r="S6" s="16"/>
      <c r="T6" s="16" t="e">
        <v>#N/A</v>
      </c>
      <c r="U6" s="16" t="e">
        <v>#N/A</v>
      </c>
    </row>
    <row r="7" spans="1:16370" x14ac:dyDescent="0.25">
      <c r="A7" s="12" t="s">
        <v>21</v>
      </c>
      <c r="B7" s="12" t="s">
        <v>35</v>
      </c>
      <c r="C7" s="12" t="s">
        <v>23</v>
      </c>
      <c r="D7" s="13">
        <v>45821.315266203703</v>
      </c>
      <c r="E7" s="12" t="s">
        <v>24</v>
      </c>
      <c r="F7" s="12" t="s">
        <v>36</v>
      </c>
      <c r="G7" s="12">
        <v>30</v>
      </c>
      <c r="H7" s="12">
        <v>5</v>
      </c>
      <c r="I7" s="14"/>
      <c r="J7" s="14" t="s">
        <v>26</v>
      </c>
      <c r="K7" s="12" t="s">
        <v>27</v>
      </c>
      <c r="L7" s="15"/>
      <c r="M7" s="12" t="s">
        <v>28</v>
      </c>
      <c r="N7" s="12"/>
      <c r="O7" s="12"/>
      <c r="P7" s="12"/>
      <c r="Q7" s="16">
        <v>0</v>
      </c>
      <c r="R7" s="16">
        <v>0</v>
      </c>
      <c r="S7" s="16"/>
      <c r="T7" s="16" t="e">
        <v>#N/A</v>
      </c>
      <c r="U7" s="16" t="e">
        <v>#N/A</v>
      </c>
    </row>
    <row r="8" spans="1:16370" x14ac:dyDescent="0.25">
      <c r="A8" s="12" t="s">
        <v>21</v>
      </c>
      <c r="B8" s="12" t="s">
        <v>35</v>
      </c>
      <c r="C8" s="12" t="s">
        <v>23</v>
      </c>
      <c r="D8" s="13">
        <v>45821.315266203703</v>
      </c>
      <c r="E8" s="12" t="s">
        <v>24</v>
      </c>
      <c r="F8" s="12" t="s">
        <v>37</v>
      </c>
      <c r="G8" s="12">
        <v>40</v>
      </c>
      <c r="H8" s="12">
        <v>1</v>
      </c>
      <c r="I8" s="14"/>
      <c r="J8" s="14" t="s">
        <v>26</v>
      </c>
      <c r="K8" s="12" t="s">
        <v>27</v>
      </c>
      <c r="L8" s="15"/>
      <c r="M8" s="12" t="s">
        <v>28</v>
      </c>
      <c r="N8" s="12"/>
      <c r="O8" s="12"/>
      <c r="P8" s="12"/>
      <c r="Q8" s="16">
        <v>0</v>
      </c>
      <c r="R8" s="16">
        <v>0</v>
      </c>
      <c r="S8" s="16"/>
      <c r="T8" s="16" t="e">
        <v>#N/A</v>
      </c>
      <c r="U8" s="16" t="e">
        <v>#N/A</v>
      </c>
    </row>
    <row r="9" spans="1:16370" x14ac:dyDescent="0.25">
      <c r="A9" s="12" t="s">
        <v>21</v>
      </c>
      <c r="B9" s="12" t="s">
        <v>38</v>
      </c>
      <c r="C9" s="12" t="s">
        <v>23</v>
      </c>
      <c r="D9" s="13">
        <v>46013.521527777775</v>
      </c>
      <c r="E9" s="12" t="s">
        <v>39</v>
      </c>
      <c r="F9" s="12" t="s">
        <v>40</v>
      </c>
      <c r="G9" s="12">
        <v>500</v>
      </c>
      <c r="H9" s="12">
        <v>72</v>
      </c>
      <c r="I9" s="14"/>
      <c r="J9" s="14" t="s">
        <v>26</v>
      </c>
      <c r="K9" s="12" t="s">
        <v>27</v>
      </c>
      <c r="L9" s="15"/>
      <c r="M9" s="12" t="s">
        <v>28</v>
      </c>
      <c r="N9" s="12"/>
      <c r="O9" s="12"/>
      <c r="P9" s="12"/>
      <c r="Q9" s="16">
        <v>0</v>
      </c>
      <c r="R9" s="16">
        <v>934</v>
      </c>
      <c r="S9" s="16"/>
      <c r="T9" s="16" t="e">
        <v>#N/A</v>
      </c>
      <c r="U9" s="16" t="e">
        <v>#N/A</v>
      </c>
    </row>
    <row r="10" spans="1:16370" x14ac:dyDescent="0.25">
      <c r="A10" s="12" t="s">
        <v>21</v>
      </c>
      <c r="B10" s="12" t="s">
        <v>38</v>
      </c>
      <c r="C10" s="12" t="s">
        <v>23</v>
      </c>
      <c r="D10" s="13">
        <v>46013.521527777775</v>
      </c>
      <c r="E10" s="12" t="s">
        <v>39</v>
      </c>
      <c r="F10" s="12" t="s">
        <v>40</v>
      </c>
      <c r="G10" s="12">
        <v>313</v>
      </c>
      <c r="H10" s="12">
        <v>34</v>
      </c>
      <c r="I10" s="14"/>
      <c r="J10" s="14" t="s">
        <v>26</v>
      </c>
      <c r="K10" s="12" t="s">
        <v>27</v>
      </c>
      <c r="L10" s="15"/>
      <c r="M10" s="12" t="s">
        <v>28</v>
      </c>
      <c r="N10" s="12"/>
      <c r="O10" s="12"/>
      <c r="P10" s="12"/>
      <c r="Q10" s="16">
        <v>0</v>
      </c>
      <c r="R10" s="16">
        <v>934</v>
      </c>
      <c r="S10" s="16"/>
      <c r="T10" s="16" t="e">
        <v>#N/A</v>
      </c>
      <c r="U10" s="16" t="e">
        <v>#N/A</v>
      </c>
    </row>
    <row r="11" spans="1:16370" x14ac:dyDescent="0.25">
      <c r="A11" s="12" t="s">
        <v>21</v>
      </c>
      <c r="B11" s="12" t="s">
        <v>38</v>
      </c>
      <c r="C11" s="12" t="s">
        <v>23</v>
      </c>
      <c r="D11" s="13">
        <v>46013.521527777775</v>
      </c>
      <c r="E11" s="12" t="s">
        <v>39</v>
      </c>
      <c r="F11" s="12" t="s">
        <v>41</v>
      </c>
      <c r="G11" s="12">
        <v>28</v>
      </c>
      <c r="H11" s="12">
        <v>28</v>
      </c>
      <c r="I11" s="14"/>
      <c r="J11" s="14" t="s">
        <v>26</v>
      </c>
      <c r="K11" s="12" t="s">
        <v>27</v>
      </c>
      <c r="L11" s="15"/>
      <c r="M11" s="12" t="s">
        <v>28</v>
      </c>
      <c r="N11" s="12"/>
      <c r="O11" s="12"/>
      <c r="P11" s="12"/>
      <c r="Q11" s="16">
        <v>0</v>
      </c>
      <c r="R11" s="16">
        <v>125</v>
      </c>
      <c r="S11" s="16"/>
      <c r="T11" s="16" t="e">
        <v>#N/A</v>
      </c>
      <c r="U11" s="16" t="e">
        <v>#N/A</v>
      </c>
    </row>
    <row r="12" spans="1:16370" x14ac:dyDescent="0.25">
      <c r="A12" s="12" t="s">
        <v>21</v>
      </c>
      <c r="B12" s="12" t="s">
        <v>38</v>
      </c>
      <c r="C12" s="12" t="s">
        <v>23</v>
      </c>
      <c r="D12" s="13">
        <v>46013.521527777775</v>
      </c>
      <c r="E12" s="12" t="s">
        <v>39</v>
      </c>
      <c r="F12" s="12" t="s">
        <v>42</v>
      </c>
      <c r="G12" s="12">
        <v>16</v>
      </c>
      <c r="H12" s="12">
        <v>14</v>
      </c>
      <c r="I12" s="14"/>
      <c r="J12" s="14" t="s">
        <v>26</v>
      </c>
      <c r="K12" s="12" t="s">
        <v>27</v>
      </c>
      <c r="L12" s="15"/>
      <c r="M12" s="12" t="s">
        <v>28</v>
      </c>
      <c r="N12" s="12"/>
      <c r="O12" s="12"/>
      <c r="P12" s="12"/>
      <c r="Q12" s="16">
        <v>0</v>
      </c>
      <c r="R12" s="16">
        <v>0</v>
      </c>
      <c r="S12" s="16"/>
      <c r="T12" s="16" t="e">
        <v>#N/A</v>
      </c>
      <c r="U12" s="16" t="e">
        <v>#N/A</v>
      </c>
    </row>
    <row r="13" spans="1:16370" x14ac:dyDescent="0.25">
      <c r="A13" s="12" t="s">
        <v>21</v>
      </c>
      <c r="B13" s="12" t="s">
        <v>38</v>
      </c>
      <c r="C13" s="12" t="s">
        <v>23</v>
      </c>
      <c r="D13" s="13">
        <v>46013.521527777775</v>
      </c>
      <c r="E13" s="12" t="s">
        <v>39</v>
      </c>
      <c r="F13" s="12" t="s">
        <v>43</v>
      </c>
      <c r="G13" s="12">
        <v>614</v>
      </c>
      <c r="H13" s="12">
        <v>614</v>
      </c>
      <c r="I13" s="14"/>
      <c r="J13" s="14" t="s">
        <v>26</v>
      </c>
      <c r="K13" s="12" t="s">
        <v>27</v>
      </c>
      <c r="L13" s="15"/>
      <c r="M13" s="12" t="s">
        <v>28</v>
      </c>
      <c r="N13" s="12"/>
      <c r="O13" s="12"/>
      <c r="P13" s="12"/>
      <c r="Q13" s="16">
        <v>0</v>
      </c>
      <c r="R13" s="16">
        <v>0</v>
      </c>
      <c r="S13" s="16"/>
      <c r="T13" s="16" t="e">
        <v>#N/A</v>
      </c>
      <c r="U13" s="16" t="e">
        <v>#N/A</v>
      </c>
    </row>
    <row r="14" spans="1:16370" x14ac:dyDescent="0.25">
      <c r="A14" s="12" t="s">
        <v>21</v>
      </c>
      <c r="B14" s="12" t="s">
        <v>38</v>
      </c>
      <c r="C14" s="12" t="s">
        <v>23</v>
      </c>
      <c r="D14" s="13">
        <v>46013.521527777775</v>
      </c>
      <c r="E14" s="12" t="s">
        <v>39</v>
      </c>
      <c r="F14" s="12" t="s">
        <v>44</v>
      </c>
      <c r="G14" s="12">
        <v>120</v>
      </c>
      <c r="H14" s="12">
        <v>71</v>
      </c>
      <c r="I14" s="14"/>
      <c r="J14" s="14" t="s">
        <v>26</v>
      </c>
      <c r="K14" s="12" t="s">
        <v>27</v>
      </c>
      <c r="L14" s="15"/>
      <c r="M14" s="12" t="s">
        <v>28</v>
      </c>
      <c r="N14" s="12"/>
      <c r="O14" s="12"/>
      <c r="P14" s="12"/>
      <c r="Q14" s="16">
        <v>0</v>
      </c>
      <c r="R14" s="16">
        <v>75</v>
      </c>
      <c r="S14" s="16"/>
      <c r="T14" s="16" t="e">
        <v>#N/A</v>
      </c>
      <c r="U14" s="16" t="e">
        <v>#N/A</v>
      </c>
    </row>
    <row r="15" spans="1:16370" x14ac:dyDescent="0.25">
      <c r="A15" s="12" t="s">
        <v>21</v>
      </c>
      <c r="B15" s="12" t="s">
        <v>38</v>
      </c>
      <c r="C15" s="12" t="s">
        <v>23</v>
      </c>
      <c r="D15" s="13">
        <v>46013.521527777775</v>
      </c>
      <c r="E15" s="12" t="s">
        <v>39</v>
      </c>
      <c r="F15" s="12" t="s">
        <v>45</v>
      </c>
      <c r="G15" s="12">
        <v>580</v>
      </c>
      <c r="H15" s="12">
        <v>11</v>
      </c>
      <c r="I15" s="14"/>
      <c r="J15" s="14" t="s">
        <v>26</v>
      </c>
      <c r="K15" s="12" t="s">
        <v>27</v>
      </c>
      <c r="L15" s="15"/>
      <c r="M15" s="12" t="s">
        <v>28</v>
      </c>
      <c r="N15" s="12"/>
      <c r="O15" s="12"/>
      <c r="P15" s="12"/>
      <c r="Q15" s="16">
        <v>0</v>
      </c>
      <c r="R15" s="16">
        <v>0</v>
      </c>
      <c r="S15" s="16"/>
      <c r="T15" s="16" t="e">
        <v>#N/A</v>
      </c>
      <c r="U15" s="16" t="e">
        <v>#N/A</v>
      </c>
    </row>
    <row r="16" spans="1:16370" x14ac:dyDescent="0.25">
      <c r="A16" s="12" t="s">
        <v>21</v>
      </c>
      <c r="B16" s="12" t="s">
        <v>38</v>
      </c>
      <c r="C16" s="12" t="s">
        <v>23</v>
      </c>
      <c r="D16" s="13">
        <v>46013.521527777775</v>
      </c>
      <c r="E16" s="12" t="s">
        <v>39</v>
      </c>
      <c r="F16" s="12" t="s">
        <v>46</v>
      </c>
      <c r="G16" s="12">
        <v>380</v>
      </c>
      <c r="H16" s="12">
        <v>380</v>
      </c>
      <c r="I16" s="14"/>
      <c r="J16" s="14" t="s">
        <v>26</v>
      </c>
      <c r="K16" s="12" t="s">
        <v>27</v>
      </c>
      <c r="L16" s="15"/>
      <c r="M16" s="12" t="s">
        <v>28</v>
      </c>
      <c r="N16" s="12"/>
      <c r="O16" s="12"/>
      <c r="P16" s="12"/>
      <c r="Q16" s="16">
        <v>0</v>
      </c>
      <c r="R16" s="16">
        <v>30184</v>
      </c>
      <c r="S16" s="16"/>
      <c r="T16" s="16" t="e">
        <v>#N/A</v>
      </c>
      <c r="U16" s="16" t="e">
        <v>#N/A</v>
      </c>
    </row>
    <row r="17" spans="1:21" x14ac:dyDescent="0.25">
      <c r="A17" s="12" t="s">
        <v>21</v>
      </c>
      <c r="B17" s="12" t="s">
        <v>38</v>
      </c>
      <c r="C17" s="12" t="s">
        <v>23</v>
      </c>
      <c r="D17" s="13">
        <v>46013.521527777775</v>
      </c>
      <c r="E17" s="12" t="s">
        <v>39</v>
      </c>
      <c r="F17" s="12" t="s">
        <v>47</v>
      </c>
      <c r="G17" s="12">
        <v>1000</v>
      </c>
      <c r="H17" s="12">
        <v>1000</v>
      </c>
      <c r="I17" s="14"/>
      <c r="J17" s="14" t="s">
        <v>26</v>
      </c>
      <c r="K17" s="12" t="s">
        <v>27</v>
      </c>
      <c r="L17" s="15"/>
      <c r="M17" s="12" t="s">
        <v>28</v>
      </c>
      <c r="N17" s="12"/>
      <c r="O17" s="12"/>
      <c r="P17" s="12"/>
      <c r="Q17" s="16">
        <v>0</v>
      </c>
      <c r="R17" s="16">
        <v>0</v>
      </c>
      <c r="S17" s="16"/>
      <c r="T17" s="16" t="e">
        <v>#N/A</v>
      </c>
      <c r="U17" s="16" t="e">
        <v>#N/A</v>
      </c>
    </row>
    <row r="18" spans="1:21" x14ac:dyDescent="0.25">
      <c r="A18" s="12" t="s">
        <v>21</v>
      </c>
      <c r="B18" s="12" t="s">
        <v>38</v>
      </c>
      <c r="C18" s="12" t="s">
        <v>23</v>
      </c>
      <c r="D18" s="13">
        <v>46013.521527777775</v>
      </c>
      <c r="E18" s="12" t="s">
        <v>39</v>
      </c>
      <c r="F18" s="12" t="s">
        <v>48</v>
      </c>
      <c r="G18" s="12">
        <v>1856</v>
      </c>
      <c r="H18" s="12">
        <v>1856</v>
      </c>
      <c r="I18" s="14"/>
      <c r="J18" s="14" t="s">
        <v>26</v>
      </c>
      <c r="K18" s="12" t="s">
        <v>27</v>
      </c>
      <c r="L18" s="15"/>
      <c r="M18" s="12" t="s">
        <v>28</v>
      </c>
      <c r="N18" s="12"/>
      <c r="O18" s="12"/>
      <c r="P18" s="12"/>
      <c r="Q18" s="16">
        <v>0</v>
      </c>
      <c r="R18" s="16">
        <v>3758</v>
      </c>
      <c r="S18" s="16">
        <v>345</v>
      </c>
      <c r="T18" s="16" t="e">
        <v>#N/A</v>
      </c>
      <c r="U18" s="16" t="e">
        <v>#N/A</v>
      </c>
    </row>
    <row r="19" spans="1:21" x14ac:dyDescent="0.25">
      <c r="A19" s="12" t="s">
        <v>21</v>
      </c>
      <c r="B19" s="12" t="s">
        <v>49</v>
      </c>
      <c r="C19" s="12" t="s">
        <v>23</v>
      </c>
      <c r="D19" s="13">
        <v>46014.435949074075</v>
      </c>
      <c r="E19" s="12" t="s">
        <v>39</v>
      </c>
      <c r="F19" s="12" t="s">
        <v>50</v>
      </c>
      <c r="G19" s="12">
        <v>131</v>
      </c>
      <c r="H19" s="12">
        <v>26</v>
      </c>
      <c r="I19" s="14"/>
      <c r="J19" s="14" t="s">
        <v>26</v>
      </c>
      <c r="K19" s="12" t="s">
        <v>27</v>
      </c>
      <c r="L19" s="15"/>
      <c r="M19" s="12" t="s">
        <v>28</v>
      </c>
      <c r="N19" s="12"/>
      <c r="O19" s="12"/>
      <c r="P19" s="12"/>
      <c r="Q19" s="16">
        <v>0</v>
      </c>
      <c r="R19" s="16">
        <v>0</v>
      </c>
      <c r="S19" s="16"/>
      <c r="T19" s="16" t="e">
        <v>#N/A</v>
      </c>
      <c r="U19" s="16" t="e">
        <v>#N/A</v>
      </c>
    </row>
    <row r="20" spans="1:21" x14ac:dyDescent="0.25">
      <c r="A20" s="12" t="s">
        <v>21</v>
      </c>
      <c r="B20" s="12" t="s">
        <v>49</v>
      </c>
      <c r="C20" s="12" t="s">
        <v>23</v>
      </c>
      <c r="D20" s="13">
        <v>46014.435949074075</v>
      </c>
      <c r="E20" s="12" t="s">
        <v>39</v>
      </c>
      <c r="F20" s="12" t="s">
        <v>51</v>
      </c>
      <c r="G20" s="12">
        <v>788</v>
      </c>
      <c r="H20" s="12">
        <v>788</v>
      </c>
      <c r="I20" s="14"/>
      <c r="J20" s="14" t="s">
        <v>26</v>
      </c>
      <c r="K20" s="12" t="s">
        <v>27</v>
      </c>
      <c r="L20" s="15"/>
      <c r="M20" s="12" t="s">
        <v>28</v>
      </c>
      <c r="N20" s="12"/>
      <c r="O20" s="12"/>
      <c r="P20" s="12"/>
      <c r="Q20" s="16">
        <v>0</v>
      </c>
      <c r="R20" s="16">
        <v>0</v>
      </c>
      <c r="S20" s="16"/>
      <c r="T20" s="16" t="e">
        <v>#N/A</v>
      </c>
      <c r="U20" s="16" t="e">
        <v>#N/A</v>
      </c>
    </row>
    <row r="21" spans="1:21" x14ac:dyDescent="0.25">
      <c r="A21" s="12" t="s">
        <v>21</v>
      </c>
      <c r="B21" s="12" t="s">
        <v>49</v>
      </c>
      <c r="C21" s="12" t="s">
        <v>23</v>
      </c>
      <c r="D21" s="13">
        <v>46014.435949074075</v>
      </c>
      <c r="E21" s="12" t="s">
        <v>39</v>
      </c>
      <c r="F21" s="12" t="s">
        <v>52</v>
      </c>
      <c r="G21" s="12">
        <v>5</v>
      </c>
      <c r="H21" s="12">
        <v>2</v>
      </c>
      <c r="I21" s="14"/>
      <c r="J21" s="14" t="s">
        <v>26</v>
      </c>
      <c r="K21" s="12" t="s">
        <v>27</v>
      </c>
      <c r="L21" s="15"/>
      <c r="M21" s="12" t="s">
        <v>28</v>
      </c>
      <c r="N21" s="12"/>
      <c r="O21" s="12"/>
      <c r="P21" s="12"/>
      <c r="Q21" s="16">
        <v>0</v>
      </c>
      <c r="R21" s="16">
        <v>0</v>
      </c>
      <c r="S21" s="16"/>
      <c r="T21" s="16" t="e">
        <v>#N/A</v>
      </c>
      <c r="U21" s="16" t="e">
        <v>#N/A</v>
      </c>
    </row>
    <row r="22" spans="1:21" x14ac:dyDescent="0.25">
      <c r="A22" s="12" t="s">
        <v>21</v>
      </c>
      <c r="B22" s="12" t="s">
        <v>49</v>
      </c>
      <c r="C22" s="12" t="s">
        <v>23</v>
      </c>
      <c r="D22" s="13">
        <v>46014.435949074075</v>
      </c>
      <c r="E22" s="12" t="s">
        <v>39</v>
      </c>
      <c r="F22" s="12" t="s">
        <v>53</v>
      </c>
      <c r="G22" s="12">
        <v>588</v>
      </c>
      <c r="H22" s="12">
        <v>588</v>
      </c>
      <c r="I22" s="14"/>
      <c r="J22" s="14" t="s">
        <v>26</v>
      </c>
      <c r="K22" s="12" t="s">
        <v>27</v>
      </c>
      <c r="L22" s="15"/>
      <c r="M22" s="12" t="s">
        <v>28</v>
      </c>
      <c r="N22" s="12"/>
      <c r="O22" s="12"/>
      <c r="P22" s="12"/>
      <c r="Q22" s="16">
        <v>0</v>
      </c>
      <c r="R22" s="16">
        <v>0</v>
      </c>
      <c r="S22" s="16"/>
      <c r="T22" s="16" t="e">
        <v>#N/A</v>
      </c>
      <c r="U22" s="16" t="e">
        <v>#N/A</v>
      </c>
    </row>
    <row r="23" spans="1:21" x14ac:dyDescent="0.25">
      <c r="A23" s="12" t="s">
        <v>21</v>
      </c>
      <c r="B23" s="12" t="s">
        <v>49</v>
      </c>
      <c r="C23" s="12" t="s">
        <v>23</v>
      </c>
      <c r="D23" s="13">
        <v>46014.435949074075</v>
      </c>
      <c r="E23" s="12" t="s">
        <v>39</v>
      </c>
      <c r="F23" s="12" t="s">
        <v>54</v>
      </c>
      <c r="G23" s="12">
        <v>5</v>
      </c>
      <c r="H23" s="12">
        <v>5</v>
      </c>
      <c r="I23" s="14"/>
      <c r="J23" s="14" t="s">
        <v>26</v>
      </c>
      <c r="K23" s="12" t="s">
        <v>27</v>
      </c>
      <c r="L23" s="15"/>
      <c r="M23" s="12" t="s">
        <v>28</v>
      </c>
      <c r="N23" s="12"/>
      <c r="O23" s="12"/>
      <c r="P23" s="12"/>
      <c r="Q23" s="16">
        <v>0</v>
      </c>
      <c r="R23" s="16">
        <v>0</v>
      </c>
      <c r="S23" s="16"/>
      <c r="T23" s="16" t="e">
        <v>#N/A</v>
      </c>
      <c r="U23" s="16" t="e">
        <v>#N/A</v>
      </c>
    </row>
    <row r="24" spans="1:21" x14ac:dyDescent="0.25">
      <c r="A24" s="12" t="s">
        <v>21</v>
      </c>
      <c r="B24" s="12" t="s">
        <v>49</v>
      </c>
      <c r="C24" s="12" t="s">
        <v>23</v>
      </c>
      <c r="D24" s="13">
        <v>46014.435949074075</v>
      </c>
      <c r="E24" s="12" t="s">
        <v>39</v>
      </c>
      <c r="F24" s="12" t="s">
        <v>55</v>
      </c>
      <c r="G24" s="12">
        <v>9408</v>
      </c>
      <c r="H24" s="12">
        <v>9408</v>
      </c>
      <c r="I24" s="14"/>
      <c r="J24" s="14" t="s">
        <v>26</v>
      </c>
      <c r="K24" s="12" t="s">
        <v>27</v>
      </c>
      <c r="L24" s="15"/>
      <c r="M24" s="12" t="s">
        <v>28</v>
      </c>
      <c r="N24" s="12"/>
      <c r="O24" s="12"/>
      <c r="P24" s="12"/>
      <c r="Q24" s="16">
        <v>0</v>
      </c>
      <c r="R24" s="16">
        <v>0</v>
      </c>
      <c r="S24" s="16"/>
      <c r="T24" s="16" t="e">
        <v>#N/A</v>
      </c>
      <c r="U24" s="16" t="e">
        <v>#N/A</v>
      </c>
    </row>
    <row r="25" spans="1:21" x14ac:dyDescent="0.25">
      <c r="A25" s="12" t="s">
        <v>21</v>
      </c>
      <c r="B25" s="12" t="s">
        <v>56</v>
      </c>
      <c r="C25" s="12" t="s">
        <v>23</v>
      </c>
      <c r="D25" s="13">
        <v>46036.409189814818</v>
      </c>
      <c r="E25" s="12" t="s">
        <v>39</v>
      </c>
      <c r="F25" s="12" t="s">
        <v>57</v>
      </c>
      <c r="G25" s="12">
        <v>282</v>
      </c>
      <c r="H25" s="12">
        <v>10</v>
      </c>
      <c r="I25" s="14"/>
      <c r="J25" s="14" t="s">
        <v>26</v>
      </c>
      <c r="K25" s="12" t="s">
        <v>27</v>
      </c>
      <c r="L25" s="15"/>
      <c r="M25" s="12" t="s">
        <v>28</v>
      </c>
      <c r="N25" s="12"/>
      <c r="O25" s="12"/>
      <c r="P25" s="12"/>
      <c r="Q25" s="16">
        <v>0</v>
      </c>
      <c r="R25" s="16">
        <v>630</v>
      </c>
      <c r="S25" s="16"/>
      <c r="T25" s="16" t="e">
        <v>#N/A</v>
      </c>
      <c r="U25" s="16" t="e">
        <v>#N/A</v>
      </c>
    </row>
    <row r="26" spans="1:21" x14ac:dyDescent="0.25">
      <c r="A26" s="12" t="s">
        <v>21</v>
      </c>
      <c r="B26" s="12" t="s">
        <v>58</v>
      </c>
      <c r="C26" s="12" t="s">
        <v>23</v>
      </c>
      <c r="D26" s="13">
        <v>46055.306273148148</v>
      </c>
      <c r="E26" s="12" t="s">
        <v>24</v>
      </c>
      <c r="F26" s="12" t="s">
        <v>59</v>
      </c>
      <c r="G26" s="12">
        <v>18</v>
      </c>
      <c r="H26" s="12">
        <v>18</v>
      </c>
      <c r="I26" s="14"/>
      <c r="J26" s="14" t="s">
        <v>26</v>
      </c>
      <c r="K26" s="12" t="s">
        <v>27</v>
      </c>
      <c r="L26" s="15"/>
      <c r="M26" s="12" t="s">
        <v>28</v>
      </c>
      <c r="N26" s="12"/>
      <c r="O26" s="12"/>
      <c r="P26" s="12"/>
      <c r="Q26" s="16">
        <v>0</v>
      </c>
      <c r="R26" s="16">
        <v>0</v>
      </c>
      <c r="S26" s="16">
        <v>17</v>
      </c>
      <c r="T26" s="16" t="e">
        <v>#N/A</v>
      </c>
      <c r="U26" s="16" t="e">
        <v>#N/A</v>
      </c>
    </row>
    <row r="27" spans="1:21" x14ac:dyDescent="0.25">
      <c r="A27" s="12" t="s">
        <v>21</v>
      </c>
      <c r="B27" s="12" t="s">
        <v>58</v>
      </c>
      <c r="C27" s="12" t="s">
        <v>23</v>
      </c>
      <c r="D27" s="13">
        <v>46055.306273148148</v>
      </c>
      <c r="E27" s="12" t="s">
        <v>24</v>
      </c>
      <c r="F27" s="12" t="s">
        <v>47</v>
      </c>
      <c r="G27" s="12">
        <v>50</v>
      </c>
      <c r="H27" s="12">
        <v>50</v>
      </c>
      <c r="I27" s="14"/>
      <c r="J27" s="14" t="s">
        <v>26</v>
      </c>
      <c r="K27" s="12" t="s">
        <v>27</v>
      </c>
      <c r="L27" s="15"/>
      <c r="M27" s="12" t="s">
        <v>28</v>
      </c>
      <c r="N27" s="12"/>
      <c r="O27" s="12"/>
      <c r="P27" s="12"/>
      <c r="Q27" s="16">
        <v>0</v>
      </c>
      <c r="R27" s="16">
        <v>0</v>
      </c>
      <c r="S27" s="16"/>
      <c r="T27" s="16" t="e">
        <v>#N/A</v>
      </c>
      <c r="U27" s="16" t="e">
        <v>#N/A</v>
      </c>
    </row>
    <row r="28" spans="1:21" x14ac:dyDescent="0.25">
      <c r="A28" s="12" t="s">
        <v>21</v>
      </c>
      <c r="B28" s="12" t="s">
        <v>58</v>
      </c>
      <c r="C28" s="12" t="s">
        <v>23</v>
      </c>
      <c r="D28" s="13">
        <v>46055.306273148148</v>
      </c>
      <c r="E28" s="12" t="s">
        <v>24</v>
      </c>
      <c r="F28" s="12" t="s">
        <v>60</v>
      </c>
      <c r="G28" s="12">
        <v>6</v>
      </c>
      <c r="H28" s="12">
        <v>6</v>
      </c>
      <c r="I28" s="14"/>
      <c r="J28" s="14" t="s">
        <v>61</v>
      </c>
      <c r="K28" s="12" t="s">
        <v>27</v>
      </c>
      <c r="L28" s="15"/>
      <c r="M28" s="12" t="s">
        <v>28</v>
      </c>
      <c r="N28" s="12"/>
      <c r="O28" s="12"/>
      <c r="P28" s="12"/>
      <c r="Q28" s="16">
        <v>12</v>
      </c>
      <c r="R28" s="16">
        <v>0</v>
      </c>
      <c r="S28" s="16"/>
      <c r="T28" s="16" t="e">
        <v>#N/A</v>
      </c>
      <c r="U28" s="16" t="e">
        <v>#N/A</v>
      </c>
    </row>
    <row r="29" spans="1:21" x14ac:dyDescent="0.25">
      <c r="A29" s="12" t="s">
        <v>21</v>
      </c>
      <c r="B29" s="12" t="s">
        <v>62</v>
      </c>
      <c r="C29" s="12" t="s">
        <v>23</v>
      </c>
      <c r="D29" s="13">
        <v>46092.283194444448</v>
      </c>
      <c r="E29" s="12" t="s">
        <v>63</v>
      </c>
      <c r="F29" s="12" t="s">
        <v>64</v>
      </c>
      <c r="G29" s="12">
        <v>11</v>
      </c>
      <c r="H29" s="12">
        <v>11</v>
      </c>
      <c r="I29" s="14">
        <v>-8</v>
      </c>
      <c r="J29" s="14" t="s">
        <v>26</v>
      </c>
      <c r="K29" s="12" t="s">
        <v>27</v>
      </c>
      <c r="L29" s="15"/>
      <c r="M29" s="12" t="s">
        <v>28</v>
      </c>
      <c r="N29" s="12"/>
      <c r="O29" s="12"/>
      <c r="P29" s="12"/>
      <c r="Q29" s="16">
        <v>0</v>
      </c>
      <c r="R29" s="16">
        <v>0</v>
      </c>
      <c r="S29" s="16"/>
      <c r="T29" s="16" t="e">
        <v>#N/A</v>
      </c>
      <c r="U29" s="16" t="e">
        <v>#N/A</v>
      </c>
    </row>
    <row r="30" spans="1:21" x14ac:dyDescent="0.25">
      <c r="A30" s="12" t="s">
        <v>21</v>
      </c>
      <c r="B30" s="12" t="s">
        <v>65</v>
      </c>
      <c r="C30" s="12" t="s">
        <v>23</v>
      </c>
      <c r="D30" s="13">
        <v>46107.339641203704</v>
      </c>
      <c r="E30" s="12" t="s">
        <v>66</v>
      </c>
      <c r="F30" s="12" t="s">
        <v>67</v>
      </c>
      <c r="G30" s="12">
        <v>700</v>
      </c>
      <c r="H30" s="12">
        <v>700</v>
      </c>
      <c r="I30" s="14"/>
      <c r="J30" s="14" t="s">
        <v>61</v>
      </c>
      <c r="K30" s="12" t="s">
        <v>27</v>
      </c>
      <c r="L30" s="15"/>
      <c r="M30" s="12" t="s">
        <v>28</v>
      </c>
      <c r="N30" s="12"/>
      <c r="O30" s="12"/>
      <c r="P30" s="12"/>
      <c r="Q30" s="16">
        <v>960</v>
      </c>
      <c r="R30" s="16">
        <v>0</v>
      </c>
      <c r="S30" s="16"/>
      <c r="T30" s="16" t="e">
        <v>#N/A</v>
      </c>
      <c r="U30" s="16" t="e">
        <v>#N/A</v>
      </c>
    </row>
    <row r="31" spans="1:21" x14ac:dyDescent="0.25">
      <c r="A31" s="12" t="s">
        <v>21</v>
      </c>
      <c r="B31" s="12" t="s">
        <v>68</v>
      </c>
      <c r="C31" s="12" t="s">
        <v>23</v>
      </c>
      <c r="D31" s="13">
        <v>46111.451840277776</v>
      </c>
      <c r="E31" s="12" t="s">
        <v>69</v>
      </c>
      <c r="F31" s="12" t="s">
        <v>70</v>
      </c>
      <c r="G31" s="12">
        <v>300</v>
      </c>
      <c r="H31" s="12">
        <v>80</v>
      </c>
      <c r="I31" s="14"/>
      <c r="J31" s="14" t="s">
        <v>26</v>
      </c>
      <c r="K31" s="12" t="s">
        <v>27</v>
      </c>
      <c r="L31" s="15"/>
      <c r="M31" s="12" t="s">
        <v>28</v>
      </c>
      <c r="N31" s="12"/>
      <c r="O31" s="12"/>
      <c r="P31" s="12"/>
      <c r="Q31" s="16">
        <v>0</v>
      </c>
      <c r="R31" s="16">
        <v>0</v>
      </c>
      <c r="S31" s="16"/>
      <c r="T31" s="16" t="e">
        <v>#N/A</v>
      </c>
      <c r="U31" s="16" t="e">
        <v>#N/A</v>
      </c>
    </row>
    <row r="32" spans="1:21" x14ac:dyDescent="0.25">
      <c r="A32" s="12" t="s">
        <v>21</v>
      </c>
      <c r="B32" s="12" t="s">
        <v>68</v>
      </c>
      <c r="C32" s="12" t="s">
        <v>23</v>
      </c>
      <c r="D32" s="13">
        <v>46111.451840277776</v>
      </c>
      <c r="E32" s="12" t="s">
        <v>69</v>
      </c>
      <c r="F32" s="12" t="s">
        <v>71</v>
      </c>
      <c r="G32" s="12">
        <v>300</v>
      </c>
      <c r="H32" s="12">
        <v>150</v>
      </c>
      <c r="I32" s="14">
        <v>-50</v>
      </c>
      <c r="J32" s="14" t="s">
        <v>26</v>
      </c>
      <c r="K32" s="12" t="s">
        <v>27</v>
      </c>
      <c r="L32" s="15"/>
      <c r="M32" s="12" t="s">
        <v>28</v>
      </c>
      <c r="N32" s="12"/>
      <c r="O32" s="12"/>
      <c r="P32" s="12"/>
      <c r="Q32" s="16">
        <v>0</v>
      </c>
      <c r="R32" s="16">
        <v>0</v>
      </c>
      <c r="S32" s="16"/>
      <c r="T32" s="16" t="e">
        <v>#N/A</v>
      </c>
      <c r="U32" s="16" t="e">
        <v>#N/A</v>
      </c>
    </row>
    <row r="33" spans="1:21" x14ac:dyDescent="0.25">
      <c r="A33" s="12" t="s">
        <v>21</v>
      </c>
      <c r="B33" s="12" t="s">
        <v>72</v>
      </c>
      <c r="C33" s="12" t="s">
        <v>23</v>
      </c>
      <c r="D33" s="13">
        <v>46112.557199074072</v>
      </c>
      <c r="E33" s="12" t="s">
        <v>24</v>
      </c>
      <c r="F33" s="12" t="s">
        <v>73</v>
      </c>
      <c r="G33" s="12">
        <v>5</v>
      </c>
      <c r="H33" s="12">
        <v>5</v>
      </c>
      <c r="I33" s="14"/>
      <c r="J33" s="14" t="s">
        <v>26</v>
      </c>
      <c r="K33" s="12" t="s">
        <v>27</v>
      </c>
      <c r="L33" s="15"/>
      <c r="M33" s="12" t="s">
        <v>28</v>
      </c>
      <c r="N33" s="12"/>
      <c r="O33" s="12"/>
      <c r="P33" s="12"/>
      <c r="Q33" s="16">
        <v>0</v>
      </c>
      <c r="R33" s="16">
        <v>0</v>
      </c>
      <c r="S33" s="16"/>
      <c r="T33" s="16" t="e">
        <v>#N/A</v>
      </c>
      <c r="U33" s="16" t="e">
        <v>#N/A</v>
      </c>
    </row>
    <row r="34" spans="1:21" x14ac:dyDescent="0.25">
      <c r="A34" s="12" t="s">
        <v>21</v>
      </c>
      <c r="B34" s="12" t="s">
        <v>72</v>
      </c>
      <c r="C34" s="12" t="s">
        <v>23</v>
      </c>
      <c r="D34" s="13">
        <v>46112.557199074072</v>
      </c>
      <c r="E34" s="12" t="s">
        <v>24</v>
      </c>
      <c r="F34" s="12" t="s">
        <v>74</v>
      </c>
      <c r="G34" s="12">
        <v>2</v>
      </c>
      <c r="H34" s="12">
        <v>2</v>
      </c>
      <c r="I34" s="14"/>
      <c r="J34" s="14" t="s">
        <v>61</v>
      </c>
      <c r="K34" s="12" t="s">
        <v>27</v>
      </c>
      <c r="L34" s="15"/>
      <c r="M34" s="12" t="s">
        <v>28</v>
      </c>
      <c r="N34" s="12"/>
      <c r="O34" s="12"/>
      <c r="P34" s="12"/>
      <c r="Q34" s="16">
        <v>2</v>
      </c>
      <c r="R34" s="16">
        <v>1</v>
      </c>
      <c r="S34" s="16"/>
      <c r="T34" s="16" t="e">
        <v>#N/A</v>
      </c>
      <c r="U34" s="16" t="e">
        <v>#N/A</v>
      </c>
    </row>
    <row r="35" spans="1:21" x14ac:dyDescent="0.25">
      <c r="A35" s="12" t="s">
        <v>21</v>
      </c>
      <c r="B35" s="12" t="s">
        <v>72</v>
      </c>
      <c r="C35" s="12" t="s">
        <v>23</v>
      </c>
      <c r="D35" s="13">
        <v>46112.557199074072</v>
      </c>
      <c r="E35" s="12" t="s">
        <v>24</v>
      </c>
      <c r="F35" s="12" t="s">
        <v>75</v>
      </c>
      <c r="G35" s="12">
        <v>2</v>
      </c>
      <c r="H35" s="12">
        <v>2</v>
      </c>
      <c r="I35" s="14"/>
      <c r="J35" s="14" t="s">
        <v>61</v>
      </c>
      <c r="K35" s="12" t="s">
        <v>27</v>
      </c>
      <c r="L35" s="15"/>
      <c r="M35" s="12" t="s">
        <v>28</v>
      </c>
      <c r="N35" s="12"/>
      <c r="O35" s="12"/>
      <c r="P35" s="12"/>
      <c r="Q35" s="16">
        <v>2</v>
      </c>
      <c r="R35" s="16">
        <v>0</v>
      </c>
      <c r="S35" s="16"/>
      <c r="T35" s="16" t="e">
        <v>#N/A</v>
      </c>
      <c r="U35" s="16" t="e">
        <v>#N/A</v>
      </c>
    </row>
    <row r="36" spans="1:21" x14ac:dyDescent="0.25">
      <c r="A36" s="12" t="s">
        <v>21</v>
      </c>
      <c r="B36" s="12" t="s">
        <v>72</v>
      </c>
      <c r="C36" s="12" t="s">
        <v>23</v>
      </c>
      <c r="D36" s="13">
        <v>46112.557199074072</v>
      </c>
      <c r="E36" s="12" t="s">
        <v>24</v>
      </c>
      <c r="F36" s="12" t="s">
        <v>76</v>
      </c>
      <c r="G36" s="12">
        <v>1</v>
      </c>
      <c r="H36" s="12">
        <v>1</v>
      </c>
      <c r="I36" s="14"/>
      <c r="J36" s="14" t="s">
        <v>61</v>
      </c>
      <c r="K36" s="12" t="s">
        <v>27</v>
      </c>
      <c r="L36" s="15"/>
      <c r="M36" s="12" t="s">
        <v>28</v>
      </c>
      <c r="N36" s="12"/>
      <c r="O36" s="12"/>
      <c r="P36" s="12"/>
      <c r="Q36" s="16">
        <v>1</v>
      </c>
      <c r="R36" s="16">
        <v>0</v>
      </c>
      <c r="S36" s="16"/>
      <c r="T36" s="16" t="e">
        <v>#N/A</v>
      </c>
      <c r="U36" s="16" t="e">
        <v>#N/A</v>
      </c>
    </row>
    <row r="37" spans="1:21" x14ac:dyDescent="0.25">
      <c r="A37" s="12" t="s">
        <v>21</v>
      </c>
      <c r="B37" s="12" t="s">
        <v>77</v>
      </c>
      <c r="C37" s="12" t="s">
        <v>23</v>
      </c>
      <c r="D37" s="13">
        <v>46112.557824074072</v>
      </c>
      <c r="E37" s="12" t="s">
        <v>24</v>
      </c>
      <c r="F37" s="12" t="s">
        <v>78</v>
      </c>
      <c r="G37" s="12">
        <v>107</v>
      </c>
      <c r="H37" s="12">
        <v>107</v>
      </c>
      <c r="I37" s="14"/>
      <c r="J37" s="14" t="s">
        <v>26</v>
      </c>
      <c r="K37" s="12" t="s">
        <v>27</v>
      </c>
      <c r="L37" s="15"/>
      <c r="M37" s="12" t="s">
        <v>28</v>
      </c>
      <c r="N37" s="12"/>
      <c r="O37" s="12"/>
      <c r="P37" s="12"/>
      <c r="Q37" s="16">
        <v>0</v>
      </c>
      <c r="R37" s="16">
        <v>-7</v>
      </c>
      <c r="S37" s="16"/>
      <c r="T37" s="16" t="e">
        <v>#N/A</v>
      </c>
      <c r="U37" s="16" t="e">
        <v>#N/A</v>
      </c>
    </row>
    <row r="38" spans="1:21" x14ac:dyDescent="0.25">
      <c r="A38" s="12" t="s">
        <v>21</v>
      </c>
      <c r="B38" s="12" t="s">
        <v>79</v>
      </c>
      <c r="C38" s="12" t="s">
        <v>23</v>
      </c>
      <c r="D38" s="13">
        <v>46112.559282407405</v>
      </c>
      <c r="E38" s="12" t="s">
        <v>24</v>
      </c>
      <c r="F38" s="12" t="s">
        <v>80</v>
      </c>
      <c r="G38" s="12">
        <v>50</v>
      </c>
      <c r="H38" s="12">
        <v>50</v>
      </c>
      <c r="I38" s="14"/>
      <c r="J38" s="14" t="s">
        <v>26</v>
      </c>
      <c r="K38" s="12" t="s">
        <v>27</v>
      </c>
      <c r="L38" s="15"/>
      <c r="M38" s="12" t="s">
        <v>28</v>
      </c>
      <c r="N38" s="12"/>
      <c r="O38" s="12"/>
      <c r="P38" s="12"/>
      <c r="Q38" s="16">
        <v>0</v>
      </c>
      <c r="R38" s="16">
        <v>0</v>
      </c>
      <c r="S38" s="16"/>
      <c r="T38" s="16" t="e">
        <v>#N/A</v>
      </c>
      <c r="U38" s="16" t="e">
        <v>#N/A</v>
      </c>
    </row>
    <row r="39" spans="1:21" x14ac:dyDescent="0.25">
      <c r="A39" s="12" t="s">
        <v>21</v>
      </c>
      <c r="B39" s="12" t="s">
        <v>79</v>
      </c>
      <c r="C39" s="12" t="s">
        <v>23</v>
      </c>
      <c r="D39" s="13">
        <v>46112.559282407405</v>
      </c>
      <c r="E39" s="12" t="s">
        <v>24</v>
      </c>
      <c r="F39" s="12" t="s">
        <v>81</v>
      </c>
      <c r="G39" s="12">
        <v>12</v>
      </c>
      <c r="H39" s="12">
        <v>12</v>
      </c>
      <c r="I39" s="14"/>
      <c r="J39" s="14" t="s">
        <v>26</v>
      </c>
      <c r="K39" s="12" t="s">
        <v>27</v>
      </c>
      <c r="L39" s="15"/>
      <c r="M39" s="12" t="s">
        <v>28</v>
      </c>
      <c r="N39" s="12"/>
      <c r="O39" s="12"/>
      <c r="P39" s="12"/>
      <c r="Q39" s="16">
        <v>0</v>
      </c>
      <c r="R39" s="16">
        <v>0</v>
      </c>
      <c r="S39" s="16"/>
      <c r="T39" s="16" t="e">
        <v>#N/A</v>
      </c>
      <c r="U39" s="16" t="e">
        <v>#N/A</v>
      </c>
    </row>
    <row r="40" spans="1:21" x14ac:dyDescent="0.25">
      <c r="A40" s="12" t="s">
        <v>21</v>
      </c>
      <c r="B40" s="12" t="s">
        <v>79</v>
      </c>
      <c r="C40" s="12" t="s">
        <v>23</v>
      </c>
      <c r="D40" s="13">
        <v>46112.559282407405</v>
      </c>
      <c r="E40" s="12" t="s">
        <v>24</v>
      </c>
      <c r="F40" s="12" t="s">
        <v>82</v>
      </c>
      <c r="G40" s="12">
        <v>3</v>
      </c>
      <c r="H40" s="12">
        <v>3</v>
      </c>
      <c r="I40" s="14"/>
      <c r="J40" s="14" t="s">
        <v>61</v>
      </c>
      <c r="K40" s="12" t="s">
        <v>27</v>
      </c>
      <c r="L40" s="15"/>
      <c r="M40" s="12" t="s">
        <v>28</v>
      </c>
      <c r="N40" s="12"/>
      <c r="O40" s="12"/>
      <c r="P40" s="12"/>
      <c r="Q40" s="16">
        <v>3</v>
      </c>
      <c r="R40" s="16">
        <v>0</v>
      </c>
      <c r="S40" s="16"/>
      <c r="T40" s="16" t="e">
        <v>#N/A</v>
      </c>
      <c r="U40" s="16" t="e">
        <v>#N/A</v>
      </c>
    </row>
    <row r="41" spans="1:21" x14ac:dyDescent="0.25">
      <c r="A41" s="12" t="s">
        <v>21</v>
      </c>
      <c r="B41" s="12" t="s">
        <v>79</v>
      </c>
      <c r="C41" s="12" t="s">
        <v>23</v>
      </c>
      <c r="D41" s="13">
        <v>46112.559282407405</v>
      </c>
      <c r="E41" s="12" t="s">
        <v>24</v>
      </c>
      <c r="F41" s="12" t="s">
        <v>83</v>
      </c>
      <c r="G41" s="12">
        <v>8</v>
      </c>
      <c r="H41" s="12">
        <v>8</v>
      </c>
      <c r="I41" s="14"/>
      <c r="J41" s="14" t="s">
        <v>61</v>
      </c>
      <c r="K41" s="12" t="s">
        <v>27</v>
      </c>
      <c r="L41" s="15"/>
      <c r="M41" s="12" t="s">
        <v>28</v>
      </c>
      <c r="N41" s="12"/>
      <c r="O41" s="12"/>
      <c r="P41" s="12"/>
      <c r="Q41" s="16">
        <v>8</v>
      </c>
      <c r="R41" s="16">
        <v>0</v>
      </c>
      <c r="S41" s="16"/>
      <c r="T41" s="16" t="e">
        <v>#N/A</v>
      </c>
      <c r="U41" s="16" t="e">
        <v>#N/A</v>
      </c>
    </row>
    <row r="42" spans="1:21" x14ac:dyDescent="0.25">
      <c r="A42" s="12" t="s">
        <v>21</v>
      </c>
      <c r="B42" s="12" t="s">
        <v>79</v>
      </c>
      <c r="C42" s="12" t="s">
        <v>23</v>
      </c>
      <c r="D42" s="13">
        <v>46112.559282407405</v>
      </c>
      <c r="E42" s="12" t="s">
        <v>24</v>
      </c>
      <c r="F42" s="12" t="s">
        <v>84</v>
      </c>
      <c r="G42" s="12">
        <v>4</v>
      </c>
      <c r="H42" s="12">
        <v>4</v>
      </c>
      <c r="I42" s="14"/>
      <c r="J42" s="14" t="s">
        <v>61</v>
      </c>
      <c r="K42" s="12" t="s">
        <v>27</v>
      </c>
      <c r="L42" s="15"/>
      <c r="M42" s="12" t="s">
        <v>28</v>
      </c>
      <c r="N42" s="12"/>
      <c r="O42" s="12"/>
      <c r="P42" s="12"/>
      <c r="Q42" s="16">
        <v>4</v>
      </c>
      <c r="R42" s="16">
        <v>0</v>
      </c>
      <c r="S42" s="16"/>
      <c r="T42" s="16" t="e">
        <v>#N/A</v>
      </c>
      <c r="U42" s="16" t="e">
        <v>#N/A</v>
      </c>
    </row>
    <row r="43" spans="1:21" x14ac:dyDescent="0.25">
      <c r="A43" s="12" t="s">
        <v>21</v>
      </c>
      <c r="B43" s="12" t="s">
        <v>85</v>
      </c>
      <c r="C43" s="12" t="s">
        <v>23</v>
      </c>
      <c r="D43" s="13">
        <v>46113.311643518522</v>
      </c>
      <c r="E43" s="12" t="s">
        <v>24</v>
      </c>
      <c r="F43" s="12" t="s">
        <v>40</v>
      </c>
      <c r="G43" s="12">
        <v>6</v>
      </c>
      <c r="H43" s="12">
        <v>6</v>
      </c>
      <c r="I43" s="14"/>
      <c r="J43" s="14" t="s">
        <v>26</v>
      </c>
      <c r="K43" s="12" t="s">
        <v>27</v>
      </c>
      <c r="L43" s="15"/>
      <c r="M43" s="12" t="s">
        <v>28</v>
      </c>
      <c r="N43" s="12"/>
      <c r="O43" s="12"/>
      <c r="P43" s="12"/>
      <c r="Q43" s="16">
        <v>0</v>
      </c>
      <c r="R43" s="16">
        <v>934</v>
      </c>
      <c r="S43" s="16"/>
      <c r="T43" s="16" t="e">
        <v>#N/A</v>
      </c>
      <c r="U43" s="16" t="e">
        <v>#N/A</v>
      </c>
    </row>
    <row r="44" spans="1:21" x14ac:dyDescent="0.25">
      <c r="A44" s="12" t="s">
        <v>21</v>
      </c>
      <c r="B44" s="12" t="s">
        <v>85</v>
      </c>
      <c r="C44" s="12" t="s">
        <v>23</v>
      </c>
      <c r="D44" s="13">
        <v>46113.311643518522</v>
      </c>
      <c r="E44" s="12" t="s">
        <v>24</v>
      </c>
      <c r="F44" s="12" t="s">
        <v>86</v>
      </c>
      <c r="G44" s="12">
        <v>34</v>
      </c>
      <c r="H44" s="12">
        <v>34</v>
      </c>
      <c r="I44" s="14"/>
      <c r="J44" s="14" t="s">
        <v>26</v>
      </c>
      <c r="K44" s="12" t="s">
        <v>27</v>
      </c>
      <c r="L44" s="15"/>
      <c r="M44" s="12" t="s">
        <v>28</v>
      </c>
      <c r="N44" s="12"/>
      <c r="O44" s="12"/>
      <c r="P44" s="12"/>
      <c r="Q44" s="16">
        <v>0</v>
      </c>
      <c r="R44" s="16">
        <v>0</v>
      </c>
      <c r="S44" s="16">
        <v>4</v>
      </c>
      <c r="T44" s="16" t="e">
        <v>#N/A</v>
      </c>
      <c r="U44" s="16" t="e">
        <v>#N/A</v>
      </c>
    </row>
    <row r="45" spans="1:21" x14ac:dyDescent="0.25">
      <c r="A45" s="12" t="s">
        <v>21</v>
      </c>
      <c r="B45" s="12" t="s">
        <v>85</v>
      </c>
      <c r="C45" s="12" t="s">
        <v>23</v>
      </c>
      <c r="D45" s="13">
        <v>46113.311643518522</v>
      </c>
      <c r="E45" s="12" t="s">
        <v>24</v>
      </c>
      <c r="F45" s="12" t="s">
        <v>87</v>
      </c>
      <c r="G45" s="12">
        <v>42</v>
      </c>
      <c r="H45" s="12">
        <v>42</v>
      </c>
      <c r="I45" s="14"/>
      <c r="J45" s="14" t="s">
        <v>26</v>
      </c>
      <c r="K45" s="12" t="s">
        <v>27</v>
      </c>
      <c r="L45" s="15"/>
      <c r="M45" s="12" t="s">
        <v>28</v>
      </c>
      <c r="N45" s="12"/>
      <c r="O45" s="12"/>
      <c r="P45" s="12"/>
      <c r="Q45" s="16">
        <v>0</v>
      </c>
      <c r="R45" s="16">
        <v>165</v>
      </c>
      <c r="S45" s="16">
        <v>40</v>
      </c>
      <c r="T45" s="16" t="e">
        <v>#N/A</v>
      </c>
      <c r="U45" s="16" t="e">
        <v>#N/A</v>
      </c>
    </row>
    <row r="46" spans="1:21" x14ac:dyDescent="0.25">
      <c r="A46" s="12" t="s">
        <v>21</v>
      </c>
      <c r="B46" s="12" t="s">
        <v>85</v>
      </c>
      <c r="C46" s="12" t="s">
        <v>23</v>
      </c>
      <c r="D46" s="13">
        <v>46113.311643518522</v>
      </c>
      <c r="E46" s="12" t="s">
        <v>24</v>
      </c>
      <c r="F46" s="12" t="s">
        <v>88</v>
      </c>
      <c r="G46" s="12">
        <v>36</v>
      </c>
      <c r="H46" s="12">
        <v>36</v>
      </c>
      <c r="I46" s="14"/>
      <c r="J46" s="14" t="s">
        <v>26</v>
      </c>
      <c r="K46" s="12" t="s">
        <v>27</v>
      </c>
      <c r="L46" s="15"/>
      <c r="M46" s="12" t="s">
        <v>28</v>
      </c>
      <c r="N46" s="12"/>
      <c r="O46" s="12"/>
      <c r="P46" s="12"/>
      <c r="Q46" s="16">
        <v>0</v>
      </c>
      <c r="R46" s="16">
        <v>0</v>
      </c>
      <c r="S46" s="16">
        <v>26</v>
      </c>
      <c r="T46" s="16" t="e">
        <v>#N/A</v>
      </c>
      <c r="U46" s="16" t="e">
        <v>#N/A</v>
      </c>
    </row>
    <row r="47" spans="1:21" x14ac:dyDescent="0.25">
      <c r="A47" s="12" t="s">
        <v>21</v>
      </c>
      <c r="B47" s="12" t="s">
        <v>85</v>
      </c>
      <c r="C47" s="12" t="s">
        <v>23</v>
      </c>
      <c r="D47" s="13">
        <v>46113.311643518522</v>
      </c>
      <c r="E47" s="12" t="s">
        <v>24</v>
      </c>
      <c r="F47" s="12" t="s">
        <v>89</v>
      </c>
      <c r="G47" s="12">
        <v>34</v>
      </c>
      <c r="H47" s="12">
        <v>34</v>
      </c>
      <c r="I47" s="14"/>
      <c r="J47" s="14" t="s">
        <v>26</v>
      </c>
      <c r="K47" s="12" t="s">
        <v>27</v>
      </c>
      <c r="L47" s="15"/>
      <c r="M47" s="12" t="s">
        <v>28</v>
      </c>
      <c r="N47" s="12"/>
      <c r="O47" s="12"/>
      <c r="P47" s="12"/>
      <c r="Q47" s="16">
        <v>0</v>
      </c>
      <c r="R47" s="16">
        <v>0</v>
      </c>
      <c r="S47" s="16"/>
      <c r="T47" s="16" t="e">
        <v>#N/A</v>
      </c>
      <c r="U47" s="16" t="e">
        <v>#N/A</v>
      </c>
    </row>
    <row r="48" spans="1:21" x14ac:dyDescent="0.25">
      <c r="A48" s="12" t="s">
        <v>21</v>
      </c>
      <c r="B48" s="12" t="s">
        <v>85</v>
      </c>
      <c r="C48" s="12" t="s">
        <v>23</v>
      </c>
      <c r="D48" s="13">
        <v>46113.311643518522</v>
      </c>
      <c r="E48" s="12" t="s">
        <v>24</v>
      </c>
      <c r="F48" s="12" t="s">
        <v>90</v>
      </c>
      <c r="G48" s="12">
        <v>28</v>
      </c>
      <c r="H48" s="12">
        <v>28</v>
      </c>
      <c r="I48" s="14"/>
      <c r="J48" s="14" t="s">
        <v>26</v>
      </c>
      <c r="K48" s="12" t="s">
        <v>27</v>
      </c>
      <c r="L48" s="15"/>
      <c r="M48" s="12" t="s">
        <v>28</v>
      </c>
      <c r="N48" s="12"/>
      <c r="O48" s="12"/>
      <c r="P48" s="12"/>
      <c r="Q48" s="16">
        <v>0</v>
      </c>
      <c r="R48" s="16">
        <v>0</v>
      </c>
      <c r="S48" s="16">
        <v>23</v>
      </c>
      <c r="T48" s="16" t="e">
        <v>#N/A</v>
      </c>
      <c r="U48" s="16" t="e">
        <v>#N/A</v>
      </c>
    </row>
    <row r="49" spans="1:21" x14ac:dyDescent="0.25">
      <c r="A49" s="12" t="s">
        <v>21</v>
      </c>
      <c r="B49" s="12" t="s">
        <v>85</v>
      </c>
      <c r="C49" s="12" t="s">
        <v>23</v>
      </c>
      <c r="D49" s="13">
        <v>46113.311643518522</v>
      </c>
      <c r="E49" s="12" t="s">
        <v>24</v>
      </c>
      <c r="F49" s="12" t="s">
        <v>91</v>
      </c>
      <c r="G49" s="12">
        <v>34</v>
      </c>
      <c r="H49" s="12">
        <v>34</v>
      </c>
      <c r="I49" s="14"/>
      <c r="J49" s="14" t="s">
        <v>26</v>
      </c>
      <c r="K49" s="12" t="s">
        <v>27</v>
      </c>
      <c r="L49" s="15"/>
      <c r="M49" s="12" t="s">
        <v>28</v>
      </c>
      <c r="N49" s="12"/>
      <c r="O49" s="12"/>
      <c r="P49" s="12"/>
      <c r="Q49" s="16">
        <v>0</v>
      </c>
      <c r="R49" s="16">
        <v>0</v>
      </c>
      <c r="S49" s="16">
        <v>2</v>
      </c>
      <c r="T49" s="16" t="e">
        <v>#N/A</v>
      </c>
      <c r="U49" s="16" t="e">
        <v>#N/A</v>
      </c>
    </row>
    <row r="50" spans="1:21" x14ac:dyDescent="0.25">
      <c r="A50" s="12" t="s">
        <v>21</v>
      </c>
      <c r="B50" s="12" t="s">
        <v>85</v>
      </c>
      <c r="C50" s="12" t="s">
        <v>23</v>
      </c>
      <c r="D50" s="13">
        <v>46113.311643518522</v>
      </c>
      <c r="E50" s="12" t="s">
        <v>24</v>
      </c>
      <c r="F50" s="12" t="s">
        <v>92</v>
      </c>
      <c r="G50" s="12">
        <v>34</v>
      </c>
      <c r="H50" s="12">
        <v>34</v>
      </c>
      <c r="I50" s="14"/>
      <c r="J50" s="14" t="s">
        <v>26</v>
      </c>
      <c r="K50" s="12" t="s">
        <v>27</v>
      </c>
      <c r="L50" s="15"/>
      <c r="M50" s="12" t="s">
        <v>28</v>
      </c>
      <c r="N50" s="12"/>
      <c r="O50" s="12"/>
      <c r="P50" s="12"/>
      <c r="Q50" s="16">
        <v>0</v>
      </c>
      <c r="R50" s="16">
        <v>0</v>
      </c>
      <c r="S50" s="16">
        <v>6</v>
      </c>
      <c r="T50" s="16" t="e">
        <v>#N/A</v>
      </c>
      <c r="U50" s="16" t="e">
        <v>#N/A</v>
      </c>
    </row>
    <row r="51" spans="1:21" x14ac:dyDescent="0.25">
      <c r="A51" s="12" t="s">
        <v>21</v>
      </c>
      <c r="B51" s="12" t="s">
        <v>85</v>
      </c>
      <c r="C51" s="12" t="s">
        <v>23</v>
      </c>
      <c r="D51" s="13">
        <v>46113.311643518522</v>
      </c>
      <c r="E51" s="12" t="s">
        <v>24</v>
      </c>
      <c r="F51" s="12" t="s">
        <v>93</v>
      </c>
      <c r="G51" s="12">
        <v>100</v>
      </c>
      <c r="H51" s="12">
        <v>100</v>
      </c>
      <c r="I51" s="14"/>
      <c r="J51" s="14" t="s">
        <v>26</v>
      </c>
      <c r="K51" s="12" t="s">
        <v>27</v>
      </c>
      <c r="L51" s="15"/>
      <c r="M51" s="12" t="s">
        <v>28</v>
      </c>
      <c r="N51" s="12"/>
      <c r="O51" s="12"/>
      <c r="P51" s="12"/>
      <c r="Q51" s="16">
        <v>0</v>
      </c>
      <c r="R51" s="16">
        <v>12</v>
      </c>
      <c r="S51" s="16"/>
      <c r="T51" s="16" t="e">
        <v>#N/A</v>
      </c>
      <c r="U51" s="16" t="e">
        <v>#N/A</v>
      </c>
    </row>
    <row r="52" spans="1:21" x14ac:dyDescent="0.25">
      <c r="A52" s="12" t="s">
        <v>21</v>
      </c>
      <c r="B52" s="12" t="s">
        <v>85</v>
      </c>
      <c r="C52" s="12" t="s">
        <v>23</v>
      </c>
      <c r="D52" s="13">
        <v>46113.311643518522</v>
      </c>
      <c r="E52" s="12" t="s">
        <v>24</v>
      </c>
      <c r="F52" s="12" t="s">
        <v>94</v>
      </c>
      <c r="G52" s="12">
        <v>170</v>
      </c>
      <c r="H52" s="12">
        <v>170</v>
      </c>
      <c r="I52" s="14"/>
      <c r="J52" s="14" t="s">
        <v>26</v>
      </c>
      <c r="K52" s="12" t="s">
        <v>27</v>
      </c>
      <c r="L52" s="15"/>
      <c r="M52" s="12" t="s">
        <v>28</v>
      </c>
      <c r="N52" s="12"/>
      <c r="O52" s="12"/>
      <c r="P52" s="12"/>
      <c r="Q52" s="16">
        <v>0</v>
      </c>
      <c r="R52" s="16">
        <v>100</v>
      </c>
      <c r="S52" s="16">
        <v>53</v>
      </c>
      <c r="T52" s="16" t="e">
        <v>#N/A</v>
      </c>
      <c r="U52" s="16" t="e">
        <v>#N/A</v>
      </c>
    </row>
    <row r="53" spans="1:21" x14ac:dyDescent="0.25">
      <c r="A53" s="12" t="s">
        <v>21</v>
      </c>
      <c r="B53" s="12" t="s">
        <v>85</v>
      </c>
      <c r="C53" s="12" t="s">
        <v>23</v>
      </c>
      <c r="D53" s="13">
        <v>46113.311643518522</v>
      </c>
      <c r="E53" s="12" t="s">
        <v>24</v>
      </c>
      <c r="F53" s="12" t="s">
        <v>95</v>
      </c>
      <c r="G53" s="12">
        <v>15</v>
      </c>
      <c r="H53" s="12">
        <v>15</v>
      </c>
      <c r="I53" s="14"/>
      <c r="J53" s="14" t="s">
        <v>26</v>
      </c>
      <c r="K53" s="12" t="s">
        <v>27</v>
      </c>
      <c r="L53" s="15"/>
      <c r="M53" s="12" t="s">
        <v>28</v>
      </c>
      <c r="N53" s="12"/>
      <c r="O53" s="12"/>
      <c r="P53" s="12"/>
      <c r="Q53" s="16">
        <v>0</v>
      </c>
      <c r="R53" s="16">
        <v>553</v>
      </c>
      <c r="S53" s="16"/>
      <c r="T53" s="16" t="e">
        <v>#N/A</v>
      </c>
      <c r="U53" s="16" t="e">
        <v>#N/A</v>
      </c>
    </row>
    <row r="54" spans="1:21" x14ac:dyDescent="0.25">
      <c r="A54" s="12" t="s">
        <v>21</v>
      </c>
      <c r="B54" s="12" t="s">
        <v>85</v>
      </c>
      <c r="C54" s="12" t="s">
        <v>23</v>
      </c>
      <c r="D54" s="13">
        <v>46113.311643518522</v>
      </c>
      <c r="E54" s="12" t="s">
        <v>24</v>
      </c>
      <c r="F54" s="12" t="s">
        <v>96</v>
      </c>
      <c r="G54" s="12">
        <v>43</v>
      </c>
      <c r="H54" s="12">
        <v>43</v>
      </c>
      <c r="I54" s="14"/>
      <c r="J54" s="14" t="s">
        <v>61</v>
      </c>
      <c r="K54" s="12" t="s">
        <v>27</v>
      </c>
      <c r="L54" s="15"/>
      <c r="M54" s="12" t="s">
        <v>28</v>
      </c>
      <c r="N54" s="12"/>
      <c r="O54" s="12"/>
      <c r="P54" s="12"/>
      <c r="Q54" s="16">
        <v>43</v>
      </c>
      <c r="R54" s="16">
        <v>8</v>
      </c>
      <c r="S54" s="16"/>
      <c r="T54" s="16" t="e">
        <v>#N/A</v>
      </c>
      <c r="U54" s="16" t="e">
        <v>#N/A</v>
      </c>
    </row>
    <row r="55" spans="1:21" x14ac:dyDescent="0.25">
      <c r="A55" s="12" t="s">
        <v>21</v>
      </c>
      <c r="B55" s="12" t="s">
        <v>85</v>
      </c>
      <c r="C55" s="12" t="s">
        <v>23</v>
      </c>
      <c r="D55" s="13">
        <v>46113.311643518522</v>
      </c>
      <c r="E55" s="12" t="s">
        <v>24</v>
      </c>
      <c r="F55" s="12" t="s">
        <v>97</v>
      </c>
      <c r="G55" s="12">
        <v>21</v>
      </c>
      <c r="H55" s="12">
        <v>21</v>
      </c>
      <c r="I55" s="14"/>
      <c r="J55" s="14" t="s">
        <v>26</v>
      </c>
      <c r="K55" s="12" t="s">
        <v>27</v>
      </c>
      <c r="L55" s="15"/>
      <c r="M55" s="12" t="s">
        <v>28</v>
      </c>
      <c r="N55" s="12"/>
      <c r="O55" s="12"/>
      <c r="P55" s="12"/>
      <c r="Q55" s="16">
        <v>0</v>
      </c>
      <c r="R55" s="16">
        <v>0</v>
      </c>
      <c r="S55" s="16">
        <v>8</v>
      </c>
      <c r="T55" s="16" t="e">
        <v>#N/A</v>
      </c>
      <c r="U55" s="16" t="e">
        <v>#N/A</v>
      </c>
    </row>
    <row r="56" spans="1:21" x14ac:dyDescent="0.25">
      <c r="A56" s="12" t="s">
        <v>21</v>
      </c>
      <c r="B56" s="12" t="s">
        <v>85</v>
      </c>
      <c r="C56" s="12" t="s">
        <v>23</v>
      </c>
      <c r="D56" s="13">
        <v>46113.311643518522</v>
      </c>
      <c r="E56" s="12" t="s">
        <v>24</v>
      </c>
      <c r="F56" s="12" t="s">
        <v>98</v>
      </c>
      <c r="G56" s="12">
        <v>33</v>
      </c>
      <c r="H56" s="12">
        <v>33</v>
      </c>
      <c r="I56" s="14"/>
      <c r="J56" s="14" t="s">
        <v>26</v>
      </c>
      <c r="K56" s="12" t="s">
        <v>27</v>
      </c>
      <c r="L56" s="15"/>
      <c r="M56" s="12" t="s">
        <v>28</v>
      </c>
      <c r="N56" s="12"/>
      <c r="O56" s="12"/>
      <c r="P56" s="12"/>
      <c r="Q56" s="16">
        <v>0</v>
      </c>
      <c r="R56" s="16">
        <v>0</v>
      </c>
      <c r="S56" s="16">
        <v>5</v>
      </c>
      <c r="T56" s="16" t="e">
        <v>#N/A</v>
      </c>
      <c r="U56" s="16" t="e">
        <v>#N/A</v>
      </c>
    </row>
    <row r="57" spans="1:21" x14ac:dyDescent="0.25">
      <c r="A57" s="12" t="s">
        <v>21</v>
      </c>
      <c r="B57" s="12" t="s">
        <v>85</v>
      </c>
      <c r="C57" s="12" t="s">
        <v>23</v>
      </c>
      <c r="D57" s="13">
        <v>46113.311643518522</v>
      </c>
      <c r="E57" s="12" t="s">
        <v>24</v>
      </c>
      <c r="F57" s="12" t="s">
        <v>99</v>
      </c>
      <c r="G57" s="12">
        <v>17</v>
      </c>
      <c r="H57" s="12">
        <v>17</v>
      </c>
      <c r="I57" s="14"/>
      <c r="J57" s="14" t="s">
        <v>61</v>
      </c>
      <c r="K57" s="12" t="s">
        <v>27</v>
      </c>
      <c r="L57" s="15"/>
      <c r="M57" s="12" t="s">
        <v>28</v>
      </c>
      <c r="N57" s="12"/>
      <c r="O57" s="12"/>
      <c r="P57" s="12"/>
      <c r="Q57" s="16">
        <v>17</v>
      </c>
      <c r="R57" s="16">
        <v>0</v>
      </c>
      <c r="S57" s="16"/>
      <c r="T57" s="16" t="e">
        <v>#N/A</v>
      </c>
      <c r="U57" s="16" t="e">
        <v>#N/A</v>
      </c>
    </row>
    <row r="58" spans="1:21" x14ac:dyDescent="0.25">
      <c r="A58" s="12" t="s">
        <v>21</v>
      </c>
      <c r="B58" s="12" t="s">
        <v>85</v>
      </c>
      <c r="C58" s="12" t="s">
        <v>23</v>
      </c>
      <c r="D58" s="13">
        <v>46113.311643518522</v>
      </c>
      <c r="E58" s="12" t="s">
        <v>24</v>
      </c>
      <c r="F58" s="12" t="s">
        <v>100</v>
      </c>
      <c r="G58" s="12">
        <v>17</v>
      </c>
      <c r="H58" s="12">
        <v>17</v>
      </c>
      <c r="I58" s="14"/>
      <c r="J58" s="14" t="s">
        <v>61</v>
      </c>
      <c r="K58" s="12" t="s">
        <v>27</v>
      </c>
      <c r="L58" s="15"/>
      <c r="M58" s="12" t="s">
        <v>28</v>
      </c>
      <c r="N58" s="12"/>
      <c r="O58" s="12"/>
      <c r="P58" s="12"/>
      <c r="Q58" s="16">
        <v>17</v>
      </c>
      <c r="R58" s="16">
        <v>0</v>
      </c>
      <c r="S58" s="16"/>
      <c r="T58" s="16" t="e">
        <v>#N/A</v>
      </c>
      <c r="U58" s="16" t="e">
        <v>#N/A</v>
      </c>
    </row>
    <row r="59" spans="1:21" x14ac:dyDescent="0.25">
      <c r="A59" s="12" t="s">
        <v>21</v>
      </c>
      <c r="B59" s="12" t="s">
        <v>85</v>
      </c>
      <c r="C59" s="12" t="s">
        <v>23</v>
      </c>
      <c r="D59" s="13">
        <v>46113.311643518522</v>
      </c>
      <c r="E59" s="12" t="s">
        <v>24</v>
      </c>
      <c r="F59" s="12" t="s">
        <v>101</v>
      </c>
      <c r="G59" s="12">
        <v>17</v>
      </c>
      <c r="H59" s="12">
        <v>17</v>
      </c>
      <c r="I59" s="14"/>
      <c r="J59" s="14" t="s">
        <v>61</v>
      </c>
      <c r="K59" s="12" t="s">
        <v>27</v>
      </c>
      <c r="L59" s="15"/>
      <c r="M59" s="12" t="s">
        <v>28</v>
      </c>
      <c r="N59" s="12"/>
      <c r="O59" s="12"/>
      <c r="P59" s="12"/>
      <c r="Q59" s="16">
        <v>17</v>
      </c>
      <c r="R59" s="16">
        <v>2</v>
      </c>
      <c r="S59" s="16"/>
      <c r="T59" s="16" t="e">
        <v>#N/A</v>
      </c>
      <c r="U59" s="16" t="e">
        <v>#N/A</v>
      </c>
    </row>
    <row r="60" spans="1:21" x14ac:dyDescent="0.25">
      <c r="A60" s="12" t="s">
        <v>21</v>
      </c>
      <c r="B60" s="12" t="s">
        <v>85</v>
      </c>
      <c r="C60" s="12" t="s">
        <v>23</v>
      </c>
      <c r="D60" s="13">
        <v>46113.311643518522</v>
      </c>
      <c r="E60" s="12" t="s">
        <v>24</v>
      </c>
      <c r="F60" s="12" t="s">
        <v>102</v>
      </c>
      <c r="G60" s="12">
        <v>17</v>
      </c>
      <c r="H60" s="12">
        <v>17</v>
      </c>
      <c r="I60" s="14"/>
      <c r="J60" s="14" t="s">
        <v>26</v>
      </c>
      <c r="K60" s="12" t="s">
        <v>27</v>
      </c>
      <c r="L60" s="15"/>
      <c r="M60" s="12" t="s">
        <v>28</v>
      </c>
      <c r="N60" s="12"/>
      <c r="O60" s="12"/>
      <c r="P60" s="12"/>
      <c r="Q60" s="16">
        <v>0</v>
      </c>
      <c r="R60" s="16">
        <v>0</v>
      </c>
      <c r="S60" s="16">
        <v>4</v>
      </c>
      <c r="T60" s="16" t="e">
        <v>#N/A</v>
      </c>
      <c r="U60" s="16" t="e">
        <v>#N/A</v>
      </c>
    </row>
    <row r="61" spans="1:21" x14ac:dyDescent="0.25">
      <c r="A61" s="12" t="s">
        <v>21</v>
      </c>
      <c r="B61" s="12" t="s">
        <v>85</v>
      </c>
      <c r="C61" s="12" t="s">
        <v>23</v>
      </c>
      <c r="D61" s="13">
        <v>46113.311643518522</v>
      </c>
      <c r="E61" s="12" t="s">
        <v>24</v>
      </c>
      <c r="F61" s="12" t="s">
        <v>103</v>
      </c>
      <c r="G61" s="12">
        <v>15</v>
      </c>
      <c r="H61" s="12">
        <v>15</v>
      </c>
      <c r="I61" s="14"/>
      <c r="J61" s="14" t="s">
        <v>26</v>
      </c>
      <c r="K61" s="12" t="s">
        <v>27</v>
      </c>
      <c r="L61" s="15"/>
      <c r="M61" s="12" t="s">
        <v>28</v>
      </c>
      <c r="N61" s="12"/>
      <c r="O61" s="12"/>
      <c r="P61" s="12"/>
      <c r="Q61" s="16">
        <v>0</v>
      </c>
      <c r="R61" s="16">
        <v>100</v>
      </c>
      <c r="S61" s="16"/>
      <c r="T61" s="16" t="e">
        <v>#N/A</v>
      </c>
      <c r="U61" s="16" t="e">
        <v>#N/A</v>
      </c>
    </row>
    <row r="62" spans="1:21" x14ac:dyDescent="0.25">
      <c r="A62" s="12" t="s">
        <v>21</v>
      </c>
      <c r="B62" s="12" t="s">
        <v>85</v>
      </c>
      <c r="C62" s="12" t="s">
        <v>23</v>
      </c>
      <c r="D62" s="13">
        <v>46113.311643518522</v>
      </c>
      <c r="E62" s="12" t="s">
        <v>24</v>
      </c>
      <c r="F62" s="12" t="s">
        <v>104</v>
      </c>
      <c r="G62" s="12">
        <v>1</v>
      </c>
      <c r="H62" s="12">
        <v>1</v>
      </c>
      <c r="I62" s="14"/>
      <c r="J62" s="14" t="s">
        <v>61</v>
      </c>
      <c r="K62" s="12" t="s">
        <v>27</v>
      </c>
      <c r="L62" s="15"/>
      <c r="M62" s="12" t="s">
        <v>28</v>
      </c>
      <c r="N62" s="12"/>
      <c r="O62" s="12"/>
      <c r="P62" s="12"/>
      <c r="Q62" s="16">
        <v>1</v>
      </c>
      <c r="R62" s="16">
        <v>0</v>
      </c>
      <c r="S62" s="16"/>
      <c r="T62" s="16" t="e">
        <v>#N/A</v>
      </c>
      <c r="U62" s="16" t="e">
        <v>#N/A</v>
      </c>
    </row>
    <row r="63" spans="1:21" x14ac:dyDescent="0.25">
      <c r="A63" s="12" t="s">
        <v>21</v>
      </c>
      <c r="B63" s="12" t="s">
        <v>85</v>
      </c>
      <c r="C63" s="12" t="s">
        <v>23</v>
      </c>
      <c r="D63" s="13">
        <v>46113.311643518522</v>
      </c>
      <c r="E63" s="12" t="s">
        <v>24</v>
      </c>
      <c r="F63" s="12" t="s">
        <v>105</v>
      </c>
      <c r="G63" s="12">
        <v>2</v>
      </c>
      <c r="H63" s="12">
        <v>2</v>
      </c>
      <c r="I63" s="14"/>
      <c r="J63" s="14" t="s">
        <v>61</v>
      </c>
      <c r="K63" s="12" t="s">
        <v>27</v>
      </c>
      <c r="L63" s="15"/>
      <c r="M63" s="12" t="s">
        <v>28</v>
      </c>
      <c r="N63" s="12"/>
      <c r="O63" s="12"/>
      <c r="P63" s="12"/>
      <c r="Q63" s="16">
        <v>2</v>
      </c>
      <c r="R63" s="16">
        <v>0</v>
      </c>
      <c r="S63" s="16"/>
      <c r="T63" s="16" t="e">
        <v>#N/A</v>
      </c>
      <c r="U63" s="16" t="e">
        <v>#N/A</v>
      </c>
    </row>
    <row r="64" spans="1:21" x14ac:dyDescent="0.25">
      <c r="A64" s="12" t="s">
        <v>21</v>
      </c>
      <c r="B64" s="12" t="s">
        <v>85</v>
      </c>
      <c r="C64" s="12" t="s">
        <v>23</v>
      </c>
      <c r="D64" s="13">
        <v>46113.311643518522</v>
      </c>
      <c r="E64" s="12" t="s">
        <v>24</v>
      </c>
      <c r="F64" s="12" t="s">
        <v>106</v>
      </c>
      <c r="G64" s="12">
        <v>3</v>
      </c>
      <c r="H64" s="12">
        <v>3</v>
      </c>
      <c r="I64" s="14"/>
      <c r="J64" s="14" t="s">
        <v>61</v>
      </c>
      <c r="K64" s="12" t="s">
        <v>27</v>
      </c>
      <c r="L64" s="15"/>
      <c r="M64" s="12" t="s">
        <v>28</v>
      </c>
      <c r="N64" s="12"/>
      <c r="O64" s="12"/>
      <c r="P64" s="12"/>
      <c r="Q64" s="16">
        <v>3</v>
      </c>
      <c r="R64" s="16">
        <v>0</v>
      </c>
      <c r="S64" s="16"/>
      <c r="T64" s="16" t="e">
        <v>#N/A</v>
      </c>
      <c r="U64" s="16" t="e">
        <v>#N/A</v>
      </c>
    </row>
    <row r="65" spans="1:21" x14ac:dyDescent="0.25">
      <c r="A65" s="12" t="s">
        <v>21</v>
      </c>
      <c r="B65" s="12" t="s">
        <v>85</v>
      </c>
      <c r="C65" s="12" t="s">
        <v>23</v>
      </c>
      <c r="D65" s="13">
        <v>46113.311643518522</v>
      </c>
      <c r="E65" s="12" t="s">
        <v>24</v>
      </c>
      <c r="F65" s="12" t="s">
        <v>107</v>
      </c>
      <c r="G65" s="12">
        <v>3</v>
      </c>
      <c r="H65" s="12">
        <v>3</v>
      </c>
      <c r="I65" s="14"/>
      <c r="J65" s="14" t="s">
        <v>61</v>
      </c>
      <c r="K65" s="12" t="s">
        <v>27</v>
      </c>
      <c r="L65" s="15"/>
      <c r="M65" s="12" t="s">
        <v>28</v>
      </c>
      <c r="N65" s="12"/>
      <c r="O65" s="12"/>
      <c r="P65" s="12"/>
      <c r="Q65" s="16">
        <v>3</v>
      </c>
      <c r="R65" s="16">
        <v>0</v>
      </c>
      <c r="S65" s="16"/>
      <c r="T65" s="16" t="e">
        <v>#N/A</v>
      </c>
      <c r="U65" s="16" t="e">
        <v>#N/A</v>
      </c>
    </row>
    <row r="66" spans="1:21" x14ac:dyDescent="0.25">
      <c r="A66" s="12" t="s">
        <v>21</v>
      </c>
      <c r="B66" s="12" t="s">
        <v>85</v>
      </c>
      <c r="C66" s="12" t="s">
        <v>23</v>
      </c>
      <c r="D66" s="13">
        <v>46113.311643518522</v>
      </c>
      <c r="E66" s="12" t="s">
        <v>24</v>
      </c>
      <c r="F66" s="12" t="s">
        <v>108</v>
      </c>
      <c r="G66" s="12">
        <v>5</v>
      </c>
      <c r="H66" s="12">
        <v>5</v>
      </c>
      <c r="I66" s="14"/>
      <c r="J66" s="14" t="s">
        <v>61</v>
      </c>
      <c r="K66" s="12" t="s">
        <v>27</v>
      </c>
      <c r="L66" s="15"/>
      <c r="M66" s="12" t="s">
        <v>28</v>
      </c>
      <c r="N66" s="12"/>
      <c r="O66" s="12"/>
      <c r="P66" s="12"/>
      <c r="Q66" s="16">
        <v>5</v>
      </c>
      <c r="R66" s="16">
        <v>0</v>
      </c>
      <c r="S66" s="16"/>
      <c r="T66" s="16" t="e">
        <v>#N/A</v>
      </c>
      <c r="U66" s="16" t="e">
        <v>#N/A</v>
      </c>
    </row>
    <row r="67" spans="1:21" x14ac:dyDescent="0.25">
      <c r="A67" s="12" t="s">
        <v>21</v>
      </c>
      <c r="B67" s="12" t="s">
        <v>85</v>
      </c>
      <c r="C67" s="12" t="s">
        <v>23</v>
      </c>
      <c r="D67" s="13">
        <v>46113.311643518522</v>
      </c>
      <c r="E67" s="12" t="s">
        <v>24</v>
      </c>
      <c r="F67" s="12" t="s">
        <v>109</v>
      </c>
      <c r="G67" s="12">
        <v>2</v>
      </c>
      <c r="H67" s="12">
        <v>2</v>
      </c>
      <c r="I67" s="14"/>
      <c r="J67" s="14" t="s">
        <v>61</v>
      </c>
      <c r="K67" s="12" t="s">
        <v>27</v>
      </c>
      <c r="L67" s="15"/>
      <c r="M67" s="12" t="s">
        <v>28</v>
      </c>
      <c r="N67" s="12"/>
      <c r="O67" s="12"/>
      <c r="P67" s="12"/>
      <c r="Q67" s="16">
        <v>2</v>
      </c>
      <c r="R67" s="16">
        <v>1</v>
      </c>
      <c r="S67" s="16"/>
      <c r="T67" s="16" t="e">
        <v>#N/A</v>
      </c>
      <c r="U67" s="16" t="e">
        <v>#N/A</v>
      </c>
    </row>
    <row r="68" spans="1:21" x14ac:dyDescent="0.25">
      <c r="A68" s="12" t="s">
        <v>21</v>
      </c>
      <c r="B68" s="12" t="s">
        <v>85</v>
      </c>
      <c r="C68" s="12" t="s">
        <v>23</v>
      </c>
      <c r="D68" s="13">
        <v>46113.311643518522</v>
      </c>
      <c r="E68" s="12" t="s">
        <v>24</v>
      </c>
      <c r="F68" s="12" t="s">
        <v>110</v>
      </c>
      <c r="G68" s="12">
        <v>2</v>
      </c>
      <c r="H68" s="12">
        <v>2</v>
      </c>
      <c r="I68" s="14"/>
      <c r="J68" s="14" t="s">
        <v>61</v>
      </c>
      <c r="K68" s="12" t="s">
        <v>27</v>
      </c>
      <c r="L68" s="15"/>
      <c r="M68" s="12" t="s">
        <v>28</v>
      </c>
      <c r="N68" s="12"/>
      <c r="O68" s="12"/>
      <c r="P68" s="12"/>
      <c r="Q68" s="16">
        <v>2</v>
      </c>
      <c r="R68" s="16">
        <v>0</v>
      </c>
      <c r="S68" s="16"/>
      <c r="T68" s="16" t="e">
        <v>#N/A</v>
      </c>
      <c r="U68" s="16" t="e">
        <v>#N/A</v>
      </c>
    </row>
    <row r="69" spans="1:21" x14ac:dyDescent="0.25">
      <c r="A69" s="12" t="s">
        <v>21</v>
      </c>
      <c r="B69" s="12" t="s">
        <v>85</v>
      </c>
      <c r="C69" s="12" t="s">
        <v>23</v>
      </c>
      <c r="D69" s="13">
        <v>46113.311643518522</v>
      </c>
      <c r="E69" s="12" t="s">
        <v>24</v>
      </c>
      <c r="F69" s="12" t="s">
        <v>111</v>
      </c>
      <c r="G69" s="12">
        <v>1</v>
      </c>
      <c r="H69" s="12">
        <v>1</v>
      </c>
      <c r="I69" s="14"/>
      <c r="J69" s="14" t="s">
        <v>61</v>
      </c>
      <c r="K69" s="12" t="s">
        <v>27</v>
      </c>
      <c r="L69" s="15"/>
      <c r="M69" s="12" t="s">
        <v>28</v>
      </c>
      <c r="N69" s="12"/>
      <c r="O69" s="12"/>
      <c r="P69" s="12"/>
      <c r="Q69" s="16">
        <v>1</v>
      </c>
      <c r="R69" s="16">
        <v>0</v>
      </c>
      <c r="S69" s="16"/>
      <c r="T69" s="16" t="e">
        <v>#N/A</v>
      </c>
      <c r="U69" s="16" t="e">
        <v>#N/A</v>
      </c>
    </row>
    <row r="70" spans="1:21" x14ac:dyDescent="0.25">
      <c r="A70" s="12" t="s">
        <v>21</v>
      </c>
      <c r="B70" s="12" t="s">
        <v>85</v>
      </c>
      <c r="C70" s="12" t="s">
        <v>23</v>
      </c>
      <c r="D70" s="13">
        <v>46113.311643518522</v>
      </c>
      <c r="E70" s="12" t="s">
        <v>24</v>
      </c>
      <c r="F70" s="12" t="s">
        <v>112</v>
      </c>
      <c r="G70" s="12">
        <v>6</v>
      </c>
      <c r="H70" s="12">
        <v>6</v>
      </c>
      <c r="I70" s="14"/>
      <c r="J70" s="14" t="s">
        <v>26</v>
      </c>
      <c r="K70" s="12" t="s">
        <v>27</v>
      </c>
      <c r="L70" s="15"/>
      <c r="M70" s="12" t="s">
        <v>28</v>
      </c>
      <c r="N70" s="12"/>
      <c r="O70" s="12"/>
      <c r="P70" s="12"/>
      <c r="Q70" s="16">
        <v>0</v>
      </c>
      <c r="R70" s="16">
        <v>991</v>
      </c>
      <c r="S70" s="16"/>
      <c r="T70" s="16" t="e">
        <v>#N/A</v>
      </c>
      <c r="U70" s="16" t="e">
        <v>#N/A</v>
      </c>
    </row>
    <row r="71" spans="1:21" x14ac:dyDescent="0.25">
      <c r="A71" s="12" t="s">
        <v>21</v>
      </c>
      <c r="B71" s="12" t="s">
        <v>85</v>
      </c>
      <c r="C71" s="12" t="s">
        <v>23</v>
      </c>
      <c r="D71" s="13">
        <v>46113.311643518522</v>
      </c>
      <c r="E71" s="12" t="s">
        <v>24</v>
      </c>
      <c r="F71" s="12" t="s">
        <v>113</v>
      </c>
      <c r="G71" s="12">
        <v>5</v>
      </c>
      <c r="H71" s="12">
        <v>5</v>
      </c>
      <c r="I71" s="14"/>
      <c r="J71" s="14" t="s">
        <v>61</v>
      </c>
      <c r="K71" s="12" t="s">
        <v>27</v>
      </c>
      <c r="L71" s="15"/>
      <c r="M71" s="12" t="s">
        <v>28</v>
      </c>
      <c r="N71" s="12"/>
      <c r="O71" s="12"/>
      <c r="P71" s="12"/>
      <c r="Q71" s="16">
        <v>5</v>
      </c>
      <c r="R71" s="16">
        <v>0</v>
      </c>
      <c r="S71" s="16"/>
      <c r="T71" s="16" t="e">
        <v>#N/A</v>
      </c>
      <c r="U71" s="16" t="e">
        <v>#N/A</v>
      </c>
    </row>
    <row r="72" spans="1:21" x14ac:dyDescent="0.25">
      <c r="A72" s="12" t="s">
        <v>21</v>
      </c>
      <c r="B72" s="12" t="s">
        <v>85</v>
      </c>
      <c r="C72" s="12" t="s">
        <v>23</v>
      </c>
      <c r="D72" s="13">
        <v>46113.311643518522</v>
      </c>
      <c r="E72" s="12" t="s">
        <v>24</v>
      </c>
      <c r="F72" s="12" t="s">
        <v>114</v>
      </c>
      <c r="G72" s="12">
        <v>1</v>
      </c>
      <c r="H72" s="12">
        <v>1</v>
      </c>
      <c r="I72" s="14"/>
      <c r="J72" s="14" t="s">
        <v>61</v>
      </c>
      <c r="K72" s="12" t="s">
        <v>27</v>
      </c>
      <c r="L72" s="15"/>
      <c r="M72" s="12" t="s">
        <v>28</v>
      </c>
      <c r="N72" s="12"/>
      <c r="O72" s="12"/>
      <c r="P72" s="12"/>
      <c r="Q72" s="16">
        <v>1</v>
      </c>
      <c r="R72" s="16">
        <v>0</v>
      </c>
      <c r="S72" s="16"/>
      <c r="T72" s="16" t="e">
        <v>#N/A</v>
      </c>
      <c r="U72" s="16" t="e">
        <v>#N/A</v>
      </c>
    </row>
    <row r="73" spans="1:21" x14ac:dyDescent="0.25">
      <c r="A73" s="12" t="s">
        <v>21</v>
      </c>
      <c r="B73" s="12" t="s">
        <v>85</v>
      </c>
      <c r="C73" s="12" t="s">
        <v>23</v>
      </c>
      <c r="D73" s="13">
        <v>46113.311643518522</v>
      </c>
      <c r="E73" s="12" t="s">
        <v>24</v>
      </c>
      <c r="F73" s="12" t="s">
        <v>115</v>
      </c>
      <c r="G73" s="12">
        <v>1</v>
      </c>
      <c r="H73" s="12">
        <v>1</v>
      </c>
      <c r="I73" s="14"/>
      <c r="J73" s="14" t="s">
        <v>61</v>
      </c>
      <c r="K73" s="12" t="s">
        <v>27</v>
      </c>
      <c r="L73" s="15"/>
      <c r="M73" s="12" t="s">
        <v>28</v>
      </c>
      <c r="N73" s="12"/>
      <c r="O73" s="12"/>
      <c r="P73" s="12"/>
      <c r="Q73" s="16">
        <v>1</v>
      </c>
      <c r="R73" s="16">
        <v>0</v>
      </c>
      <c r="S73" s="16"/>
      <c r="T73" s="16" t="e">
        <v>#N/A</v>
      </c>
      <c r="U73" s="16" t="e">
        <v>#N/A</v>
      </c>
    </row>
    <row r="74" spans="1:21" x14ac:dyDescent="0.25">
      <c r="A74" s="12" t="s">
        <v>21</v>
      </c>
      <c r="B74" s="12" t="s">
        <v>85</v>
      </c>
      <c r="C74" s="12" t="s">
        <v>23</v>
      </c>
      <c r="D74" s="13">
        <v>46113.311643518522</v>
      </c>
      <c r="E74" s="12" t="s">
        <v>24</v>
      </c>
      <c r="F74" s="12" t="s">
        <v>116</v>
      </c>
      <c r="G74" s="12">
        <v>3</v>
      </c>
      <c r="H74" s="12">
        <v>3</v>
      </c>
      <c r="I74" s="14"/>
      <c r="J74" s="14" t="s">
        <v>61</v>
      </c>
      <c r="K74" s="12" t="s">
        <v>27</v>
      </c>
      <c r="L74" s="15"/>
      <c r="M74" s="12" t="s">
        <v>28</v>
      </c>
      <c r="N74" s="12"/>
      <c r="O74" s="12"/>
      <c r="P74" s="12"/>
      <c r="Q74" s="16">
        <v>3</v>
      </c>
      <c r="R74" s="16">
        <v>1</v>
      </c>
      <c r="S74" s="16"/>
      <c r="T74" s="16" t="e">
        <v>#N/A</v>
      </c>
      <c r="U74" s="16" t="e">
        <v>#N/A</v>
      </c>
    </row>
    <row r="75" spans="1:21" x14ac:dyDescent="0.25">
      <c r="A75" s="12" t="s">
        <v>21</v>
      </c>
      <c r="B75" s="12" t="s">
        <v>85</v>
      </c>
      <c r="C75" s="12" t="s">
        <v>23</v>
      </c>
      <c r="D75" s="13">
        <v>46113.311643518522</v>
      </c>
      <c r="E75" s="12" t="s">
        <v>24</v>
      </c>
      <c r="F75" s="12" t="s">
        <v>117</v>
      </c>
      <c r="G75" s="12">
        <v>3</v>
      </c>
      <c r="H75" s="12">
        <v>3</v>
      </c>
      <c r="I75" s="14"/>
      <c r="J75" s="14" t="s">
        <v>61</v>
      </c>
      <c r="K75" s="12" t="s">
        <v>27</v>
      </c>
      <c r="L75" s="15"/>
      <c r="M75" s="12" t="s">
        <v>28</v>
      </c>
      <c r="N75" s="12"/>
      <c r="O75" s="12"/>
      <c r="P75" s="12"/>
      <c r="Q75" s="16">
        <v>3</v>
      </c>
      <c r="R75" s="16">
        <v>0</v>
      </c>
      <c r="S75" s="16"/>
      <c r="T75" s="16" t="e">
        <v>#N/A</v>
      </c>
      <c r="U75" s="16" t="e">
        <v>#N/A</v>
      </c>
    </row>
    <row r="76" spans="1:21" x14ac:dyDescent="0.25">
      <c r="A76" s="12" t="s">
        <v>21</v>
      </c>
      <c r="B76" s="12" t="s">
        <v>85</v>
      </c>
      <c r="C76" s="12" t="s">
        <v>23</v>
      </c>
      <c r="D76" s="13">
        <v>46113.311643518522</v>
      </c>
      <c r="E76" s="12" t="s">
        <v>24</v>
      </c>
      <c r="F76" s="12" t="s">
        <v>118</v>
      </c>
      <c r="G76" s="12">
        <v>2</v>
      </c>
      <c r="H76" s="12">
        <v>2</v>
      </c>
      <c r="I76" s="14"/>
      <c r="J76" s="14" t="s">
        <v>61</v>
      </c>
      <c r="K76" s="12" t="s">
        <v>27</v>
      </c>
      <c r="L76" s="15"/>
      <c r="M76" s="12" t="s">
        <v>28</v>
      </c>
      <c r="N76" s="12"/>
      <c r="O76" s="12"/>
      <c r="P76" s="12"/>
      <c r="Q76" s="16">
        <v>2</v>
      </c>
      <c r="R76" s="16">
        <v>0</v>
      </c>
      <c r="S76" s="16"/>
      <c r="T76" s="16" t="e">
        <v>#N/A</v>
      </c>
      <c r="U76" s="16" t="e">
        <v>#N/A</v>
      </c>
    </row>
    <row r="77" spans="1:21" x14ac:dyDescent="0.25">
      <c r="A77" s="12" t="s">
        <v>21</v>
      </c>
      <c r="B77" s="12" t="s">
        <v>85</v>
      </c>
      <c r="C77" s="12" t="s">
        <v>23</v>
      </c>
      <c r="D77" s="13">
        <v>46113.311643518522</v>
      </c>
      <c r="E77" s="12" t="s">
        <v>24</v>
      </c>
      <c r="F77" s="12" t="s">
        <v>119</v>
      </c>
      <c r="G77" s="12">
        <v>28</v>
      </c>
      <c r="H77" s="12">
        <v>28</v>
      </c>
      <c r="I77" s="14"/>
      <c r="J77" s="14" t="s">
        <v>26</v>
      </c>
      <c r="K77" s="12" t="s">
        <v>27</v>
      </c>
      <c r="L77" s="15"/>
      <c r="M77" s="12" t="s">
        <v>28</v>
      </c>
      <c r="N77" s="12"/>
      <c r="O77" s="12"/>
      <c r="P77" s="12"/>
      <c r="Q77" s="16">
        <v>0</v>
      </c>
      <c r="R77" s="16">
        <v>0</v>
      </c>
      <c r="S77" s="16">
        <v>13</v>
      </c>
      <c r="T77" s="16" t="e">
        <v>#N/A</v>
      </c>
      <c r="U77" s="16" t="e">
        <v>#N/A</v>
      </c>
    </row>
    <row r="78" spans="1:21" x14ac:dyDescent="0.25">
      <c r="A78" s="12" t="s">
        <v>21</v>
      </c>
      <c r="B78" s="12" t="s">
        <v>85</v>
      </c>
      <c r="C78" s="12" t="s">
        <v>23</v>
      </c>
      <c r="D78" s="13">
        <v>46113.311643518522</v>
      </c>
      <c r="E78" s="12" t="s">
        <v>24</v>
      </c>
      <c r="F78" s="12" t="s">
        <v>120</v>
      </c>
      <c r="G78" s="12">
        <v>11</v>
      </c>
      <c r="H78" s="12">
        <v>11</v>
      </c>
      <c r="I78" s="14"/>
      <c r="J78" s="14" t="s">
        <v>61</v>
      </c>
      <c r="K78" s="12" t="s">
        <v>27</v>
      </c>
      <c r="L78" s="15"/>
      <c r="M78" s="12" t="s">
        <v>28</v>
      </c>
      <c r="N78" s="12"/>
      <c r="O78" s="12"/>
      <c r="P78" s="12"/>
      <c r="Q78" s="16">
        <v>11</v>
      </c>
      <c r="R78" s="16">
        <v>4</v>
      </c>
      <c r="S78" s="16"/>
      <c r="T78" s="16" t="e">
        <v>#N/A</v>
      </c>
      <c r="U78" s="16" t="e">
        <v>#N/A</v>
      </c>
    </row>
    <row r="79" spans="1:21" x14ac:dyDescent="0.25">
      <c r="A79" s="12" t="s">
        <v>21</v>
      </c>
      <c r="B79" s="12" t="s">
        <v>85</v>
      </c>
      <c r="C79" s="12" t="s">
        <v>23</v>
      </c>
      <c r="D79" s="13">
        <v>46113.311643518522</v>
      </c>
      <c r="E79" s="12" t="s">
        <v>24</v>
      </c>
      <c r="F79" s="12" t="s">
        <v>121</v>
      </c>
      <c r="G79" s="12">
        <v>10</v>
      </c>
      <c r="H79" s="12">
        <v>10</v>
      </c>
      <c r="I79" s="14"/>
      <c r="J79" s="14" t="s">
        <v>26</v>
      </c>
      <c r="K79" s="12" t="s">
        <v>27</v>
      </c>
      <c r="L79" s="15"/>
      <c r="M79" s="12" t="s">
        <v>28</v>
      </c>
      <c r="N79" s="12"/>
      <c r="O79" s="12"/>
      <c r="P79" s="12"/>
      <c r="Q79" s="16">
        <v>0</v>
      </c>
      <c r="R79" s="16">
        <v>0</v>
      </c>
      <c r="S79" s="16"/>
      <c r="T79" s="16" t="e">
        <v>#N/A</v>
      </c>
      <c r="U79" s="16" t="e">
        <v>#N/A</v>
      </c>
    </row>
    <row r="80" spans="1:21" x14ac:dyDescent="0.25">
      <c r="A80" s="12" t="s">
        <v>21</v>
      </c>
      <c r="B80" s="12" t="s">
        <v>85</v>
      </c>
      <c r="C80" s="12" t="s">
        <v>23</v>
      </c>
      <c r="D80" s="13">
        <v>46113.311643518522</v>
      </c>
      <c r="E80" s="12" t="s">
        <v>24</v>
      </c>
      <c r="F80" s="12" t="s">
        <v>122</v>
      </c>
      <c r="G80" s="12">
        <v>13</v>
      </c>
      <c r="H80" s="12">
        <v>13</v>
      </c>
      <c r="I80" s="14"/>
      <c r="J80" s="14" t="s">
        <v>61</v>
      </c>
      <c r="K80" s="12" t="s">
        <v>27</v>
      </c>
      <c r="L80" s="15"/>
      <c r="M80" s="12" t="s">
        <v>28</v>
      </c>
      <c r="N80" s="12"/>
      <c r="O80" s="12"/>
      <c r="P80" s="12"/>
      <c r="Q80" s="16">
        <v>13</v>
      </c>
      <c r="R80" s="16">
        <v>0</v>
      </c>
      <c r="S80" s="16"/>
      <c r="T80" s="16" t="e">
        <v>#N/A</v>
      </c>
      <c r="U80" s="16" t="e">
        <v>#N/A</v>
      </c>
    </row>
    <row r="81" spans="1:21" x14ac:dyDescent="0.25">
      <c r="A81" s="12" t="s">
        <v>21</v>
      </c>
      <c r="B81" s="12" t="s">
        <v>85</v>
      </c>
      <c r="C81" s="12" t="s">
        <v>23</v>
      </c>
      <c r="D81" s="13">
        <v>46113.311643518522</v>
      </c>
      <c r="E81" s="12" t="s">
        <v>24</v>
      </c>
      <c r="F81" s="12" t="s">
        <v>123</v>
      </c>
      <c r="G81" s="12">
        <v>13</v>
      </c>
      <c r="H81" s="12">
        <v>13</v>
      </c>
      <c r="I81" s="14"/>
      <c r="J81" s="14" t="s">
        <v>61</v>
      </c>
      <c r="K81" s="12" t="s">
        <v>27</v>
      </c>
      <c r="L81" s="15"/>
      <c r="M81" s="12" t="s">
        <v>28</v>
      </c>
      <c r="N81" s="12"/>
      <c r="O81" s="12"/>
      <c r="P81" s="12"/>
      <c r="Q81" s="16">
        <v>13</v>
      </c>
      <c r="R81" s="16">
        <v>0</v>
      </c>
      <c r="S81" s="16"/>
      <c r="T81" s="16" t="e">
        <v>#N/A</v>
      </c>
      <c r="U81" s="16" t="e">
        <v>#N/A</v>
      </c>
    </row>
    <row r="82" spans="1:21" x14ac:dyDescent="0.25">
      <c r="A82" s="12" t="s">
        <v>21</v>
      </c>
      <c r="B82" s="12" t="s">
        <v>85</v>
      </c>
      <c r="C82" s="12" t="s">
        <v>23</v>
      </c>
      <c r="D82" s="13">
        <v>46113.311643518522</v>
      </c>
      <c r="E82" s="12" t="s">
        <v>24</v>
      </c>
      <c r="F82" s="12" t="s">
        <v>124</v>
      </c>
      <c r="G82" s="12">
        <v>2</v>
      </c>
      <c r="H82" s="12">
        <v>2</v>
      </c>
      <c r="I82" s="14"/>
      <c r="J82" s="14" t="s">
        <v>61</v>
      </c>
      <c r="K82" s="12" t="s">
        <v>27</v>
      </c>
      <c r="L82" s="15"/>
      <c r="M82" s="12" t="s">
        <v>28</v>
      </c>
      <c r="N82" s="12"/>
      <c r="O82" s="12"/>
      <c r="P82" s="12"/>
      <c r="Q82" s="16">
        <v>2</v>
      </c>
      <c r="R82" s="16">
        <v>0</v>
      </c>
      <c r="S82" s="16"/>
      <c r="T82" s="16" t="e">
        <v>#N/A</v>
      </c>
      <c r="U82" s="16" t="e">
        <v>#N/A</v>
      </c>
    </row>
    <row r="83" spans="1:21" x14ac:dyDescent="0.25">
      <c r="A83" s="12" t="s">
        <v>21</v>
      </c>
      <c r="B83" s="12" t="s">
        <v>85</v>
      </c>
      <c r="C83" s="12" t="s">
        <v>23</v>
      </c>
      <c r="D83" s="13">
        <v>46113.311643518522</v>
      </c>
      <c r="E83" s="12" t="s">
        <v>24</v>
      </c>
      <c r="F83" s="12" t="s">
        <v>125</v>
      </c>
      <c r="G83" s="12">
        <v>10</v>
      </c>
      <c r="H83" s="12">
        <v>10</v>
      </c>
      <c r="I83" s="14"/>
      <c r="J83" s="14" t="s">
        <v>61</v>
      </c>
      <c r="K83" s="12" t="s">
        <v>27</v>
      </c>
      <c r="L83" s="15"/>
      <c r="M83" s="12" t="s">
        <v>28</v>
      </c>
      <c r="N83" s="12"/>
      <c r="O83" s="12"/>
      <c r="P83" s="12"/>
      <c r="Q83" s="16">
        <v>10</v>
      </c>
      <c r="R83" s="16">
        <v>0</v>
      </c>
      <c r="S83" s="16"/>
      <c r="T83" s="16" t="e">
        <v>#N/A</v>
      </c>
      <c r="U83" s="16" t="e">
        <v>#N/A</v>
      </c>
    </row>
    <row r="84" spans="1:21" x14ac:dyDescent="0.25">
      <c r="A84" s="12" t="s">
        <v>21</v>
      </c>
      <c r="B84" s="12" t="s">
        <v>85</v>
      </c>
      <c r="C84" s="12" t="s">
        <v>23</v>
      </c>
      <c r="D84" s="13">
        <v>46113.311643518522</v>
      </c>
      <c r="E84" s="12" t="s">
        <v>24</v>
      </c>
      <c r="F84" s="12" t="s">
        <v>126</v>
      </c>
      <c r="G84" s="12">
        <v>463</v>
      </c>
      <c r="H84" s="12">
        <v>463</v>
      </c>
      <c r="I84" s="14"/>
      <c r="J84" s="14" t="s">
        <v>26</v>
      </c>
      <c r="K84" s="12" t="s">
        <v>27</v>
      </c>
      <c r="L84" s="15"/>
      <c r="M84" s="12" t="s">
        <v>28</v>
      </c>
      <c r="N84" s="12"/>
      <c r="O84" s="12"/>
      <c r="P84" s="12"/>
      <c r="Q84" s="16">
        <v>0</v>
      </c>
      <c r="R84" s="16">
        <v>0</v>
      </c>
      <c r="S84" s="16"/>
      <c r="T84" s="16" t="e">
        <v>#N/A</v>
      </c>
      <c r="U84" s="16" t="e">
        <v>#N/A</v>
      </c>
    </row>
    <row r="85" spans="1:21" x14ac:dyDescent="0.25">
      <c r="A85" s="12" t="s">
        <v>21</v>
      </c>
      <c r="B85" s="12" t="s">
        <v>85</v>
      </c>
      <c r="C85" s="12" t="s">
        <v>23</v>
      </c>
      <c r="D85" s="13">
        <v>46113.311643518522</v>
      </c>
      <c r="E85" s="12" t="s">
        <v>24</v>
      </c>
      <c r="F85" s="12" t="s">
        <v>127</v>
      </c>
      <c r="G85" s="12">
        <v>107</v>
      </c>
      <c r="H85" s="12">
        <v>107</v>
      </c>
      <c r="I85" s="14"/>
      <c r="J85" s="14" t="s">
        <v>26</v>
      </c>
      <c r="K85" s="12" t="s">
        <v>27</v>
      </c>
      <c r="L85" s="15"/>
      <c r="M85" s="12" t="s">
        <v>28</v>
      </c>
      <c r="N85" s="12"/>
      <c r="O85" s="12"/>
      <c r="P85" s="12"/>
      <c r="Q85" s="16">
        <v>0</v>
      </c>
      <c r="R85" s="16">
        <v>0</v>
      </c>
      <c r="S85" s="16">
        <v>43</v>
      </c>
      <c r="T85" s="16" t="e">
        <v>#N/A</v>
      </c>
      <c r="U85" s="16" t="e">
        <v>#N/A</v>
      </c>
    </row>
    <row r="86" spans="1:21" x14ac:dyDescent="0.25">
      <c r="A86" s="12" t="s">
        <v>21</v>
      </c>
      <c r="B86" s="12" t="s">
        <v>85</v>
      </c>
      <c r="C86" s="12" t="s">
        <v>23</v>
      </c>
      <c r="D86" s="13">
        <v>46113.311643518522</v>
      </c>
      <c r="E86" s="12" t="s">
        <v>24</v>
      </c>
      <c r="F86" s="12" t="s">
        <v>128</v>
      </c>
      <c r="G86" s="12">
        <v>364</v>
      </c>
      <c r="H86" s="12">
        <v>364</v>
      </c>
      <c r="I86" s="14"/>
      <c r="J86" s="14" t="s">
        <v>26</v>
      </c>
      <c r="K86" s="12" t="s">
        <v>27</v>
      </c>
      <c r="L86" s="15"/>
      <c r="M86" s="12" t="s">
        <v>28</v>
      </c>
      <c r="N86" s="12"/>
      <c r="O86" s="12"/>
      <c r="P86" s="12"/>
      <c r="Q86" s="16">
        <v>0</v>
      </c>
      <c r="R86" s="16">
        <v>0</v>
      </c>
      <c r="S86" s="16"/>
      <c r="T86" s="16" t="e">
        <v>#N/A</v>
      </c>
      <c r="U86" s="16" t="e">
        <v>#N/A</v>
      </c>
    </row>
    <row r="87" spans="1:21" x14ac:dyDescent="0.25">
      <c r="A87" s="12" t="s">
        <v>21</v>
      </c>
      <c r="B87" s="12" t="s">
        <v>85</v>
      </c>
      <c r="C87" s="12" t="s">
        <v>23</v>
      </c>
      <c r="D87" s="13">
        <v>46113.311643518522</v>
      </c>
      <c r="E87" s="12" t="s">
        <v>24</v>
      </c>
      <c r="F87" s="12" t="s">
        <v>129</v>
      </c>
      <c r="G87" s="12">
        <v>2</v>
      </c>
      <c r="H87" s="12">
        <v>2</v>
      </c>
      <c r="I87" s="14"/>
      <c r="J87" s="14" t="s">
        <v>26</v>
      </c>
      <c r="K87" s="12" t="s">
        <v>27</v>
      </c>
      <c r="L87" s="15"/>
      <c r="M87" s="12" t="s">
        <v>28</v>
      </c>
      <c r="N87" s="12"/>
      <c r="O87" s="12"/>
      <c r="P87" s="12"/>
      <c r="Q87" s="16">
        <v>0</v>
      </c>
      <c r="R87" s="16">
        <v>0</v>
      </c>
      <c r="S87" s="16"/>
      <c r="T87" s="16" t="e">
        <v>#N/A</v>
      </c>
      <c r="U87" s="16" t="e">
        <v>#N/A</v>
      </c>
    </row>
    <row r="88" spans="1:21" x14ac:dyDescent="0.25">
      <c r="A88" s="12" t="s">
        <v>21</v>
      </c>
      <c r="B88" s="12" t="s">
        <v>85</v>
      </c>
      <c r="C88" s="12" t="s">
        <v>23</v>
      </c>
      <c r="D88" s="13">
        <v>46113.311643518522</v>
      </c>
      <c r="E88" s="12" t="s">
        <v>24</v>
      </c>
      <c r="F88" s="12" t="s">
        <v>130</v>
      </c>
      <c r="G88" s="12">
        <v>69</v>
      </c>
      <c r="H88" s="12">
        <v>69</v>
      </c>
      <c r="I88" s="14"/>
      <c r="J88" s="14" t="s">
        <v>61</v>
      </c>
      <c r="K88" s="12" t="s">
        <v>27</v>
      </c>
      <c r="L88" s="15"/>
      <c r="M88" s="12" t="s">
        <v>28</v>
      </c>
      <c r="N88" s="12"/>
      <c r="O88" s="12"/>
      <c r="P88" s="12"/>
      <c r="Q88" s="16">
        <v>69</v>
      </c>
      <c r="R88" s="16">
        <v>6</v>
      </c>
      <c r="S88" s="16"/>
      <c r="T88" s="16" t="e">
        <v>#N/A</v>
      </c>
      <c r="U88" s="16" t="e">
        <v>#N/A</v>
      </c>
    </row>
    <row r="89" spans="1:21" x14ac:dyDescent="0.25">
      <c r="A89" s="12" t="s">
        <v>21</v>
      </c>
      <c r="B89" s="12" t="s">
        <v>85</v>
      </c>
      <c r="C89" s="12" t="s">
        <v>23</v>
      </c>
      <c r="D89" s="13">
        <v>46113.311643518522</v>
      </c>
      <c r="E89" s="12" t="s">
        <v>24</v>
      </c>
      <c r="F89" s="12" t="s">
        <v>131</v>
      </c>
      <c r="G89" s="12">
        <v>1</v>
      </c>
      <c r="H89" s="12">
        <v>1</v>
      </c>
      <c r="I89" s="14"/>
      <c r="J89" s="14" t="s">
        <v>26</v>
      </c>
      <c r="K89" s="12" t="s">
        <v>27</v>
      </c>
      <c r="L89" s="15"/>
      <c r="M89" s="12" t="s">
        <v>28</v>
      </c>
      <c r="N89" s="12"/>
      <c r="O89" s="12"/>
      <c r="P89" s="12"/>
      <c r="Q89" s="16">
        <v>0</v>
      </c>
      <c r="R89" s="16">
        <v>0</v>
      </c>
      <c r="S89" s="16"/>
      <c r="T89" s="16" t="e">
        <v>#N/A</v>
      </c>
      <c r="U89" s="16" t="e">
        <v>#N/A</v>
      </c>
    </row>
    <row r="90" spans="1:21" x14ac:dyDescent="0.25">
      <c r="A90" s="12" t="s">
        <v>21</v>
      </c>
      <c r="B90" s="12" t="s">
        <v>85</v>
      </c>
      <c r="C90" s="12" t="s">
        <v>23</v>
      </c>
      <c r="D90" s="13">
        <v>46113.311643518522</v>
      </c>
      <c r="E90" s="12" t="s">
        <v>24</v>
      </c>
      <c r="F90" s="12" t="s">
        <v>132</v>
      </c>
      <c r="G90" s="12">
        <v>390</v>
      </c>
      <c r="H90" s="12">
        <v>390</v>
      </c>
      <c r="I90" s="14"/>
      <c r="J90" s="14" t="s">
        <v>26</v>
      </c>
      <c r="K90" s="12" t="s">
        <v>27</v>
      </c>
      <c r="L90" s="15"/>
      <c r="M90" s="12" t="s">
        <v>28</v>
      </c>
      <c r="N90" s="12"/>
      <c r="O90" s="12"/>
      <c r="P90" s="12"/>
      <c r="Q90" s="16">
        <v>0</v>
      </c>
      <c r="R90" s="16">
        <v>19</v>
      </c>
      <c r="S90" s="16">
        <v>35</v>
      </c>
      <c r="T90" s="16" t="e">
        <v>#N/A</v>
      </c>
      <c r="U90" s="16" t="e">
        <v>#N/A</v>
      </c>
    </row>
    <row r="91" spans="1:21" x14ac:dyDescent="0.25">
      <c r="A91" s="12" t="s">
        <v>21</v>
      </c>
      <c r="B91" s="12" t="s">
        <v>85</v>
      </c>
      <c r="C91" s="12" t="s">
        <v>23</v>
      </c>
      <c r="D91" s="13">
        <v>46113.311643518522</v>
      </c>
      <c r="E91" s="12" t="s">
        <v>24</v>
      </c>
      <c r="F91" s="12" t="s">
        <v>133</v>
      </c>
      <c r="G91" s="12">
        <v>4</v>
      </c>
      <c r="H91" s="12">
        <v>4</v>
      </c>
      <c r="I91" s="14"/>
      <c r="J91" s="14" t="s">
        <v>61</v>
      </c>
      <c r="K91" s="12" t="s">
        <v>27</v>
      </c>
      <c r="L91" s="15"/>
      <c r="M91" s="12" t="s">
        <v>28</v>
      </c>
      <c r="N91" s="12"/>
      <c r="O91" s="12"/>
      <c r="P91" s="12"/>
      <c r="Q91" s="16">
        <v>4</v>
      </c>
      <c r="R91" s="16">
        <v>19</v>
      </c>
      <c r="S91" s="16"/>
      <c r="T91" s="16" t="e">
        <v>#N/A</v>
      </c>
      <c r="U91" s="16" t="e">
        <v>#N/A</v>
      </c>
    </row>
    <row r="92" spans="1:21" x14ac:dyDescent="0.25">
      <c r="A92" s="12" t="s">
        <v>21</v>
      </c>
      <c r="B92" s="12" t="s">
        <v>85</v>
      </c>
      <c r="C92" s="12" t="s">
        <v>23</v>
      </c>
      <c r="D92" s="13">
        <v>46113.311643518522</v>
      </c>
      <c r="E92" s="12" t="s">
        <v>24</v>
      </c>
      <c r="F92" s="12" t="s">
        <v>134</v>
      </c>
      <c r="G92" s="12">
        <v>23</v>
      </c>
      <c r="H92" s="12">
        <v>23</v>
      </c>
      <c r="I92" s="14"/>
      <c r="J92" s="14" t="s">
        <v>61</v>
      </c>
      <c r="K92" s="12" t="s">
        <v>27</v>
      </c>
      <c r="L92" s="15"/>
      <c r="M92" s="12" t="s">
        <v>28</v>
      </c>
      <c r="N92" s="12"/>
      <c r="O92" s="12"/>
      <c r="P92" s="12"/>
      <c r="Q92" s="16">
        <v>23</v>
      </c>
      <c r="R92" s="16">
        <v>6</v>
      </c>
      <c r="S92" s="16">
        <v>8</v>
      </c>
      <c r="T92" s="16" t="e">
        <v>#N/A</v>
      </c>
      <c r="U92" s="16" t="e">
        <v>#N/A</v>
      </c>
    </row>
    <row r="93" spans="1:21" x14ac:dyDescent="0.25">
      <c r="A93" s="12" t="s">
        <v>21</v>
      </c>
      <c r="B93" s="12" t="s">
        <v>85</v>
      </c>
      <c r="C93" s="12" t="s">
        <v>23</v>
      </c>
      <c r="D93" s="13">
        <v>46113.311643518522</v>
      </c>
      <c r="E93" s="12" t="s">
        <v>24</v>
      </c>
      <c r="F93" s="12" t="s">
        <v>135</v>
      </c>
      <c r="G93" s="12">
        <v>11</v>
      </c>
      <c r="H93" s="12">
        <v>11</v>
      </c>
      <c r="I93" s="14"/>
      <c r="J93" s="14" t="s">
        <v>26</v>
      </c>
      <c r="K93" s="12" t="s">
        <v>27</v>
      </c>
      <c r="L93" s="15"/>
      <c r="M93" s="12" t="s">
        <v>28</v>
      </c>
      <c r="N93" s="12"/>
      <c r="O93" s="12"/>
      <c r="P93" s="12"/>
      <c r="Q93" s="16">
        <v>0</v>
      </c>
      <c r="R93" s="16">
        <v>224</v>
      </c>
      <c r="S93" s="16">
        <v>7</v>
      </c>
      <c r="T93" s="16" t="e">
        <v>#N/A</v>
      </c>
      <c r="U93" s="16" t="e">
        <v>#N/A</v>
      </c>
    </row>
    <row r="94" spans="1:21" x14ac:dyDescent="0.25">
      <c r="A94" s="12" t="s">
        <v>21</v>
      </c>
      <c r="B94" s="12" t="s">
        <v>85</v>
      </c>
      <c r="C94" s="12" t="s">
        <v>23</v>
      </c>
      <c r="D94" s="13">
        <v>46113.311643518522</v>
      </c>
      <c r="E94" s="12" t="s">
        <v>24</v>
      </c>
      <c r="F94" s="12" t="s">
        <v>48</v>
      </c>
      <c r="G94" s="12">
        <v>76</v>
      </c>
      <c r="H94" s="12">
        <v>76</v>
      </c>
      <c r="I94" s="14"/>
      <c r="J94" s="14" t="s">
        <v>26</v>
      </c>
      <c r="K94" s="12" t="s">
        <v>27</v>
      </c>
      <c r="L94" s="15"/>
      <c r="M94" s="12" t="s">
        <v>28</v>
      </c>
      <c r="N94" s="12"/>
      <c r="O94" s="12"/>
      <c r="P94" s="12"/>
      <c r="Q94" s="16">
        <v>0</v>
      </c>
      <c r="R94" s="16">
        <v>3758</v>
      </c>
      <c r="S94" s="16">
        <v>50</v>
      </c>
      <c r="T94" s="16" t="e">
        <v>#N/A</v>
      </c>
      <c r="U94" s="16" t="e">
        <v>#N/A</v>
      </c>
    </row>
    <row r="95" spans="1:21" x14ac:dyDescent="0.25">
      <c r="A95" s="12" t="s">
        <v>21</v>
      </c>
      <c r="B95" s="12" t="s">
        <v>85</v>
      </c>
      <c r="C95" s="12" t="s">
        <v>23</v>
      </c>
      <c r="D95" s="13">
        <v>46113.311643518522</v>
      </c>
      <c r="E95" s="12" t="s">
        <v>24</v>
      </c>
      <c r="F95" s="12" t="s">
        <v>136</v>
      </c>
      <c r="G95" s="12">
        <v>20</v>
      </c>
      <c r="H95" s="12">
        <v>20</v>
      </c>
      <c r="I95" s="14"/>
      <c r="J95" s="14" t="s">
        <v>61</v>
      </c>
      <c r="K95" s="12" t="s">
        <v>27</v>
      </c>
      <c r="L95" s="15"/>
      <c r="M95" s="12" t="s">
        <v>28</v>
      </c>
      <c r="N95" s="12"/>
      <c r="O95" s="12"/>
      <c r="P95" s="12"/>
      <c r="Q95" s="16">
        <v>20</v>
      </c>
      <c r="R95" s="16">
        <v>48</v>
      </c>
      <c r="S95" s="16"/>
      <c r="T95" s="16" t="e">
        <v>#N/A</v>
      </c>
      <c r="U95" s="16" t="e">
        <v>#N/A</v>
      </c>
    </row>
    <row r="96" spans="1:21" x14ac:dyDescent="0.25">
      <c r="A96" s="12" t="s">
        <v>21</v>
      </c>
      <c r="B96" s="12" t="s">
        <v>85</v>
      </c>
      <c r="C96" s="12" t="s">
        <v>23</v>
      </c>
      <c r="D96" s="13">
        <v>46113.311643518522</v>
      </c>
      <c r="E96" s="12" t="s">
        <v>24</v>
      </c>
      <c r="F96" s="12" t="s">
        <v>137</v>
      </c>
      <c r="G96" s="12">
        <v>1</v>
      </c>
      <c r="H96" s="12">
        <v>1</v>
      </c>
      <c r="I96" s="14"/>
      <c r="J96" s="14" t="s">
        <v>26</v>
      </c>
      <c r="K96" s="12" t="s">
        <v>27</v>
      </c>
      <c r="L96" s="15"/>
      <c r="M96" s="12" t="s">
        <v>28</v>
      </c>
      <c r="N96" s="12"/>
      <c r="O96" s="12"/>
      <c r="P96" s="12"/>
      <c r="Q96" s="16">
        <v>0</v>
      </c>
      <c r="R96" s="16">
        <v>0</v>
      </c>
      <c r="S96" s="16"/>
      <c r="T96" s="16" t="e">
        <v>#N/A</v>
      </c>
      <c r="U96" s="16" t="e">
        <v>#N/A</v>
      </c>
    </row>
    <row r="97" spans="1:21" x14ac:dyDescent="0.25">
      <c r="A97" s="12" t="s">
        <v>21</v>
      </c>
      <c r="B97" s="12" t="s">
        <v>138</v>
      </c>
      <c r="C97" s="12" t="s">
        <v>23</v>
      </c>
      <c r="D97" s="13">
        <v>46115.37605324074</v>
      </c>
      <c r="E97" s="12" t="s">
        <v>139</v>
      </c>
      <c r="F97" s="12" t="s">
        <v>109</v>
      </c>
      <c r="G97" s="12">
        <v>17</v>
      </c>
      <c r="H97" s="12">
        <v>1</v>
      </c>
      <c r="I97" s="14"/>
      <c r="J97" s="14" t="s">
        <v>61</v>
      </c>
      <c r="K97" s="12" t="s">
        <v>27</v>
      </c>
      <c r="L97" s="15"/>
      <c r="M97" s="12" t="s">
        <v>28</v>
      </c>
      <c r="N97" s="12"/>
      <c r="O97" s="12"/>
      <c r="P97" s="12"/>
      <c r="Q97" s="16">
        <v>18</v>
      </c>
      <c r="R97" s="16">
        <v>1</v>
      </c>
      <c r="S97" s="16"/>
      <c r="T97" s="16" t="e">
        <v>#N/A</v>
      </c>
      <c r="U97" s="16" t="e">
        <v>#N/A</v>
      </c>
    </row>
    <row r="98" spans="1:21" x14ac:dyDescent="0.25">
      <c r="A98" s="12" t="s">
        <v>21</v>
      </c>
      <c r="B98" s="12" t="s">
        <v>140</v>
      </c>
      <c r="C98" s="12" t="s">
        <v>23</v>
      </c>
      <c r="D98" s="13">
        <v>46133.355590277781</v>
      </c>
      <c r="E98" s="12" t="s">
        <v>24</v>
      </c>
      <c r="F98" s="12" t="s">
        <v>41</v>
      </c>
      <c r="G98" s="12">
        <v>23</v>
      </c>
      <c r="H98" s="12">
        <v>23</v>
      </c>
      <c r="I98" s="14"/>
      <c r="J98" s="14" t="s">
        <v>26</v>
      </c>
      <c r="K98" s="12" t="s">
        <v>27</v>
      </c>
      <c r="L98" s="15"/>
      <c r="M98" s="12" t="s">
        <v>28</v>
      </c>
      <c r="N98" s="12"/>
      <c r="O98" s="12"/>
      <c r="P98" s="12"/>
      <c r="Q98" s="16">
        <v>0</v>
      </c>
      <c r="R98" s="16">
        <v>125</v>
      </c>
      <c r="S98" s="16"/>
      <c r="T98" s="16" t="e">
        <v>#N/A</v>
      </c>
      <c r="U98" s="16" t="e">
        <v>#N/A</v>
      </c>
    </row>
    <row r="99" spans="1:21" x14ac:dyDescent="0.25">
      <c r="A99" s="12" t="s">
        <v>21</v>
      </c>
      <c r="B99" s="12" t="s">
        <v>140</v>
      </c>
      <c r="C99" s="12" t="s">
        <v>23</v>
      </c>
      <c r="D99" s="13">
        <v>46133.355590277781</v>
      </c>
      <c r="E99" s="12" t="s">
        <v>24</v>
      </c>
      <c r="F99" s="12" t="s">
        <v>141</v>
      </c>
      <c r="G99" s="12">
        <v>4</v>
      </c>
      <c r="H99" s="12">
        <v>4</v>
      </c>
      <c r="I99" s="14"/>
      <c r="J99" s="14" t="s">
        <v>26</v>
      </c>
      <c r="K99" s="12" t="s">
        <v>27</v>
      </c>
      <c r="L99" s="15"/>
      <c r="M99" s="12" t="s">
        <v>28</v>
      </c>
      <c r="N99" s="12"/>
      <c r="O99" s="12"/>
      <c r="P99" s="12"/>
      <c r="Q99" s="16">
        <v>0</v>
      </c>
      <c r="R99" s="16">
        <v>0</v>
      </c>
      <c r="S99" s="16"/>
      <c r="T99" s="16" t="e">
        <v>#N/A</v>
      </c>
      <c r="U99" s="16" t="e">
        <v>#N/A</v>
      </c>
    </row>
    <row r="100" spans="1:21" x14ac:dyDescent="0.25">
      <c r="A100" s="12" t="s">
        <v>21</v>
      </c>
      <c r="B100" s="12" t="s">
        <v>140</v>
      </c>
      <c r="C100" s="12" t="s">
        <v>23</v>
      </c>
      <c r="D100" s="13">
        <v>46133.355590277781</v>
      </c>
      <c r="E100" s="12" t="s">
        <v>24</v>
      </c>
      <c r="F100" s="12" t="s">
        <v>126</v>
      </c>
      <c r="G100" s="12">
        <v>220</v>
      </c>
      <c r="H100" s="12">
        <v>220</v>
      </c>
      <c r="I100" s="14">
        <v>-218</v>
      </c>
      <c r="J100" s="14" t="s">
        <v>26</v>
      </c>
      <c r="K100" s="12" t="s">
        <v>27</v>
      </c>
      <c r="L100" s="15"/>
      <c r="M100" s="12" t="s">
        <v>28</v>
      </c>
      <c r="N100" s="12"/>
      <c r="O100" s="12"/>
      <c r="P100" s="12"/>
      <c r="Q100" s="16">
        <v>0</v>
      </c>
      <c r="R100" s="16">
        <v>0</v>
      </c>
      <c r="S100" s="16"/>
      <c r="T100" s="16" t="e">
        <v>#N/A</v>
      </c>
      <c r="U100" s="16" t="e">
        <v>#N/A</v>
      </c>
    </row>
    <row r="101" spans="1:21" x14ac:dyDescent="0.25">
      <c r="A101" s="12" t="s">
        <v>21</v>
      </c>
      <c r="B101" s="12" t="s">
        <v>140</v>
      </c>
      <c r="C101" s="12" t="s">
        <v>23</v>
      </c>
      <c r="D101" s="13">
        <v>46133.355590277781</v>
      </c>
      <c r="E101" s="12" t="s">
        <v>24</v>
      </c>
      <c r="F101" s="12" t="s">
        <v>142</v>
      </c>
      <c r="G101" s="12">
        <v>20</v>
      </c>
      <c r="H101" s="12">
        <v>20</v>
      </c>
      <c r="I101" s="14"/>
      <c r="J101" s="14" t="s">
        <v>26</v>
      </c>
      <c r="K101" s="12" t="s">
        <v>27</v>
      </c>
      <c r="L101" s="15"/>
      <c r="M101" s="12" t="s">
        <v>28</v>
      </c>
      <c r="N101" s="12"/>
      <c r="O101" s="12"/>
      <c r="P101" s="12"/>
      <c r="Q101" s="16">
        <v>0</v>
      </c>
      <c r="R101" s="16">
        <v>0</v>
      </c>
      <c r="S101" s="16"/>
      <c r="T101" s="16" t="e">
        <v>#N/A</v>
      </c>
      <c r="U101" s="16" t="e">
        <v>#N/A</v>
      </c>
    </row>
    <row r="102" spans="1:21" x14ac:dyDescent="0.25">
      <c r="A102" s="12" t="s">
        <v>21</v>
      </c>
      <c r="B102" s="12" t="s">
        <v>143</v>
      </c>
      <c r="C102" s="12" t="s">
        <v>23</v>
      </c>
      <c r="D102" s="13">
        <v>46133.585949074077</v>
      </c>
      <c r="E102" s="12" t="s">
        <v>24</v>
      </c>
      <c r="F102" s="12" t="s">
        <v>41</v>
      </c>
      <c r="G102" s="12">
        <v>4</v>
      </c>
      <c r="H102" s="12">
        <v>4</v>
      </c>
      <c r="I102" s="14"/>
      <c r="J102" s="14" t="s">
        <v>26</v>
      </c>
      <c r="K102" s="12" t="s">
        <v>27</v>
      </c>
      <c r="L102" s="15"/>
      <c r="M102" s="12" t="s">
        <v>28</v>
      </c>
      <c r="N102" s="12"/>
      <c r="O102" s="12"/>
      <c r="P102" s="12"/>
      <c r="Q102" s="16">
        <v>0</v>
      </c>
      <c r="R102" s="16">
        <v>125</v>
      </c>
      <c r="S102" s="16"/>
      <c r="T102" s="16" t="e">
        <v>#N/A</v>
      </c>
      <c r="U102" s="16" t="e">
        <v>#N/A</v>
      </c>
    </row>
    <row r="103" spans="1:21" x14ac:dyDescent="0.25">
      <c r="A103" s="12" t="s">
        <v>21</v>
      </c>
      <c r="B103" s="12" t="s">
        <v>143</v>
      </c>
      <c r="C103" s="12" t="s">
        <v>23</v>
      </c>
      <c r="D103" s="13">
        <v>46133.585949074077</v>
      </c>
      <c r="E103" s="12" t="s">
        <v>24</v>
      </c>
      <c r="F103" s="12" t="s">
        <v>144</v>
      </c>
      <c r="G103" s="12">
        <v>1</v>
      </c>
      <c r="H103" s="12">
        <v>1</v>
      </c>
      <c r="I103" s="14"/>
      <c r="J103" s="14" t="s">
        <v>26</v>
      </c>
      <c r="K103" s="12" t="s">
        <v>27</v>
      </c>
      <c r="L103" s="15"/>
      <c r="M103" s="12" t="s">
        <v>28</v>
      </c>
      <c r="N103" s="12"/>
      <c r="O103" s="12"/>
      <c r="P103" s="12"/>
      <c r="Q103" s="16">
        <v>0</v>
      </c>
      <c r="R103" s="16">
        <v>7</v>
      </c>
      <c r="S103" s="16"/>
      <c r="T103" s="16" t="e">
        <v>#N/A</v>
      </c>
      <c r="U103" s="16" t="e">
        <v>#N/A</v>
      </c>
    </row>
    <row r="104" spans="1:21" x14ac:dyDescent="0.25">
      <c r="A104" s="12" t="s">
        <v>21</v>
      </c>
      <c r="B104" s="12" t="s">
        <v>143</v>
      </c>
      <c r="C104" s="12" t="s">
        <v>23</v>
      </c>
      <c r="D104" s="13">
        <v>46133.585949074077</v>
      </c>
      <c r="E104" s="12" t="s">
        <v>24</v>
      </c>
      <c r="F104" s="12" t="s">
        <v>145</v>
      </c>
      <c r="G104" s="12">
        <v>126</v>
      </c>
      <c r="H104" s="12">
        <v>126</v>
      </c>
      <c r="I104" s="14"/>
      <c r="J104" s="14" t="s">
        <v>26</v>
      </c>
      <c r="K104" s="12" t="s">
        <v>27</v>
      </c>
      <c r="L104" s="15"/>
      <c r="M104" s="12" t="s">
        <v>28</v>
      </c>
      <c r="N104" s="12"/>
      <c r="O104" s="12"/>
      <c r="P104" s="12"/>
      <c r="Q104" s="16">
        <v>0</v>
      </c>
      <c r="R104" s="16">
        <v>0</v>
      </c>
      <c r="S104" s="16">
        <v>25</v>
      </c>
      <c r="T104" s="16" t="e">
        <v>#N/A</v>
      </c>
      <c r="U104" s="16" t="e">
        <v>#N/A</v>
      </c>
    </row>
    <row r="105" spans="1:21" x14ac:dyDescent="0.25">
      <c r="A105" s="12" t="s">
        <v>21</v>
      </c>
      <c r="B105" s="12" t="s">
        <v>143</v>
      </c>
      <c r="C105" s="12" t="s">
        <v>23</v>
      </c>
      <c r="D105" s="13">
        <v>46133.585949074077</v>
      </c>
      <c r="E105" s="12" t="s">
        <v>24</v>
      </c>
      <c r="F105" s="12" t="s">
        <v>146</v>
      </c>
      <c r="G105" s="12">
        <v>1</v>
      </c>
      <c r="H105" s="12">
        <v>1</v>
      </c>
      <c r="I105" s="14"/>
      <c r="J105" s="14" t="s">
        <v>26</v>
      </c>
      <c r="K105" s="12" t="s">
        <v>27</v>
      </c>
      <c r="L105" s="15"/>
      <c r="M105" s="12" t="s">
        <v>28</v>
      </c>
      <c r="N105" s="12"/>
      <c r="O105" s="12"/>
      <c r="P105" s="12"/>
      <c r="Q105" s="16">
        <v>0</v>
      </c>
      <c r="R105" s="16">
        <v>0</v>
      </c>
      <c r="S105" s="16"/>
      <c r="T105" s="16" t="e">
        <v>#N/A</v>
      </c>
      <c r="U105" s="16" t="e">
        <v>#N/A</v>
      </c>
    </row>
    <row r="106" spans="1:21" x14ac:dyDescent="0.25">
      <c r="A106" s="12" t="s">
        <v>21</v>
      </c>
      <c r="B106" s="12" t="s">
        <v>143</v>
      </c>
      <c r="C106" s="12" t="s">
        <v>23</v>
      </c>
      <c r="D106" s="13">
        <v>46133.585949074077</v>
      </c>
      <c r="E106" s="12" t="s">
        <v>24</v>
      </c>
      <c r="F106" s="12" t="s">
        <v>126</v>
      </c>
      <c r="G106" s="12">
        <v>40</v>
      </c>
      <c r="H106" s="12">
        <v>40</v>
      </c>
      <c r="I106" s="14"/>
      <c r="J106" s="14" t="s">
        <v>26</v>
      </c>
      <c r="K106" s="12" t="s">
        <v>27</v>
      </c>
      <c r="L106" s="15"/>
      <c r="M106" s="12" t="s">
        <v>28</v>
      </c>
      <c r="N106" s="12"/>
      <c r="O106" s="12"/>
      <c r="P106" s="12"/>
      <c r="Q106" s="16">
        <v>0</v>
      </c>
      <c r="R106" s="16">
        <v>0</v>
      </c>
      <c r="S106" s="16"/>
      <c r="T106" s="16" t="e">
        <v>#N/A</v>
      </c>
      <c r="U106" s="16" t="e">
        <v>#N/A</v>
      </c>
    </row>
    <row r="107" spans="1:21" x14ac:dyDescent="0.25">
      <c r="A107" s="12" t="s">
        <v>21</v>
      </c>
      <c r="B107" s="12" t="s">
        <v>143</v>
      </c>
      <c r="C107" s="12" t="s">
        <v>23</v>
      </c>
      <c r="D107" s="13">
        <v>46133.585949074077</v>
      </c>
      <c r="E107" s="12" t="s">
        <v>24</v>
      </c>
      <c r="F107" s="12" t="s">
        <v>147</v>
      </c>
      <c r="G107" s="12">
        <v>5</v>
      </c>
      <c r="H107" s="12">
        <v>5</v>
      </c>
      <c r="I107" s="14"/>
      <c r="J107" s="14" t="s">
        <v>26</v>
      </c>
      <c r="K107" s="12" t="s">
        <v>27</v>
      </c>
      <c r="L107" s="15"/>
      <c r="M107" s="12" t="s">
        <v>28</v>
      </c>
      <c r="N107" s="12"/>
      <c r="O107" s="12"/>
      <c r="P107" s="12"/>
      <c r="Q107" s="16">
        <v>0</v>
      </c>
      <c r="R107" s="16">
        <v>2450</v>
      </c>
      <c r="S107" s="16"/>
      <c r="T107" s="16" t="e">
        <v>#N/A</v>
      </c>
      <c r="U107" s="16" t="e">
        <v>#N/A</v>
      </c>
    </row>
    <row r="108" spans="1:21" x14ac:dyDescent="0.25">
      <c r="A108" s="12" t="s">
        <v>21</v>
      </c>
      <c r="B108" s="12" t="s">
        <v>143</v>
      </c>
      <c r="C108" s="12" t="s">
        <v>23</v>
      </c>
      <c r="D108" s="13">
        <v>46133.585949074077</v>
      </c>
      <c r="E108" s="12" t="s">
        <v>24</v>
      </c>
      <c r="F108" s="12" t="s">
        <v>45</v>
      </c>
      <c r="G108" s="12">
        <v>17</v>
      </c>
      <c r="H108" s="12">
        <v>17</v>
      </c>
      <c r="I108" s="14"/>
      <c r="J108" s="14" t="s">
        <v>26</v>
      </c>
      <c r="K108" s="12" t="s">
        <v>27</v>
      </c>
      <c r="L108" s="15"/>
      <c r="M108" s="12" t="s">
        <v>28</v>
      </c>
      <c r="N108" s="12"/>
      <c r="O108" s="12"/>
      <c r="P108" s="12"/>
      <c r="Q108" s="16">
        <v>0</v>
      </c>
      <c r="R108" s="16">
        <v>0</v>
      </c>
      <c r="S108" s="16"/>
      <c r="T108" s="16" t="e">
        <v>#N/A</v>
      </c>
      <c r="U108" s="16" t="e">
        <v>#N/A</v>
      </c>
    </row>
    <row r="109" spans="1:21" x14ac:dyDescent="0.25">
      <c r="A109" s="12" t="s">
        <v>21</v>
      </c>
      <c r="B109" s="12" t="s">
        <v>143</v>
      </c>
      <c r="C109" s="12" t="s">
        <v>23</v>
      </c>
      <c r="D109" s="13">
        <v>46133.585949074077</v>
      </c>
      <c r="E109" s="12" t="s">
        <v>24</v>
      </c>
      <c r="F109" s="12" t="s">
        <v>148</v>
      </c>
      <c r="G109" s="12">
        <v>2</v>
      </c>
      <c r="H109" s="12">
        <v>2</v>
      </c>
      <c r="I109" s="14"/>
      <c r="J109" s="14" t="s">
        <v>26</v>
      </c>
      <c r="K109" s="12" t="s">
        <v>149</v>
      </c>
      <c r="L109" s="15">
        <v>1</v>
      </c>
      <c r="M109" s="12" t="s">
        <v>150</v>
      </c>
      <c r="N109" s="12">
        <v>2</v>
      </c>
      <c r="O109" s="12">
        <v>2</v>
      </c>
      <c r="P109" s="12">
        <v>0</v>
      </c>
      <c r="Q109" s="16">
        <v>0</v>
      </c>
      <c r="R109" s="16">
        <v>1</v>
      </c>
      <c r="S109" s="16"/>
      <c r="T109" s="16" t="e">
        <v>#N/A</v>
      </c>
      <c r="U109" s="16" t="e">
        <v>#N/A</v>
      </c>
    </row>
    <row r="110" spans="1:21" x14ac:dyDescent="0.25">
      <c r="A110" s="12" t="s">
        <v>21</v>
      </c>
      <c r="B110" s="12" t="s">
        <v>143</v>
      </c>
      <c r="C110" s="12" t="s">
        <v>23</v>
      </c>
      <c r="D110" s="13">
        <v>46133.585949074077</v>
      </c>
      <c r="E110" s="12" t="s">
        <v>24</v>
      </c>
      <c r="F110" s="12" t="s">
        <v>151</v>
      </c>
      <c r="G110" s="12">
        <v>1</v>
      </c>
      <c r="H110" s="12">
        <v>1</v>
      </c>
      <c r="I110" s="14"/>
      <c r="J110" s="14" t="s">
        <v>26</v>
      </c>
      <c r="K110" s="12" t="s">
        <v>27</v>
      </c>
      <c r="L110" s="15"/>
      <c r="M110" s="12" t="s">
        <v>28</v>
      </c>
      <c r="N110" s="12"/>
      <c r="O110" s="12"/>
      <c r="P110" s="12"/>
      <c r="Q110" s="16">
        <v>0</v>
      </c>
      <c r="R110" s="16">
        <v>924</v>
      </c>
      <c r="S110" s="16"/>
      <c r="T110" s="16" t="e">
        <v>#N/A</v>
      </c>
      <c r="U110" s="16" t="e">
        <v>#N/A</v>
      </c>
    </row>
    <row r="111" spans="1:21" x14ac:dyDescent="0.25">
      <c r="A111" s="12" t="s">
        <v>21</v>
      </c>
      <c r="B111" s="12" t="s">
        <v>143</v>
      </c>
      <c r="C111" s="12" t="s">
        <v>23</v>
      </c>
      <c r="D111" s="13">
        <v>46133.585949074077</v>
      </c>
      <c r="E111" s="12" t="s">
        <v>24</v>
      </c>
      <c r="F111" s="12" t="s">
        <v>152</v>
      </c>
      <c r="G111" s="12">
        <v>20</v>
      </c>
      <c r="H111" s="12">
        <v>20</v>
      </c>
      <c r="I111" s="14">
        <v>-19</v>
      </c>
      <c r="J111" s="14" t="s">
        <v>26</v>
      </c>
      <c r="K111" s="12" t="s">
        <v>27</v>
      </c>
      <c r="L111" s="15"/>
      <c r="M111" s="12" t="s">
        <v>28</v>
      </c>
      <c r="N111" s="12"/>
      <c r="O111" s="12"/>
      <c r="P111" s="12"/>
      <c r="Q111" s="16">
        <v>0</v>
      </c>
      <c r="R111" s="16">
        <v>0</v>
      </c>
      <c r="S111" s="16"/>
      <c r="T111" s="16" t="e">
        <v>#N/A</v>
      </c>
      <c r="U111" s="16" t="e">
        <v>#N/A</v>
      </c>
    </row>
    <row r="112" spans="1:21" x14ac:dyDescent="0.25">
      <c r="A112" s="12" t="s">
        <v>21</v>
      </c>
      <c r="B112" s="12" t="s">
        <v>153</v>
      </c>
      <c r="C112" s="12" t="s">
        <v>23</v>
      </c>
      <c r="D112" s="13">
        <v>46136.274409722224</v>
      </c>
      <c r="E112" s="12" t="s">
        <v>24</v>
      </c>
      <c r="F112" s="12" t="s">
        <v>126</v>
      </c>
      <c r="G112" s="12">
        <v>20</v>
      </c>
      <c r="H112" s="12">
        <v>20</v>
      </c>
      <c r="I112" s="14"/>
      <c r="J112" s="14" t="s">
        <v>26</v>
      </c>
      <c r="K112" s="12" t="s">
        <v>27</v>
      </c>
      <c r="L112" s="15"/>
      <c r="M112" s="12" t="s">
        <v>28</v>
      </c>
      <c r="N112" s="12"/>
      <c r="O112" s="12"/>
      <c r="P112" s="12"/>
      <c r="Q112" s="16">
        <v>0</v>
      </c>
      <c r="R112" s="16">
        <v>0</v>
      </c>
      <c r="S112" s="16"/>
      <c r="T112" s="16" t="e">
        <v>#N/A</v>
      </c>
      <c r="U112" s="16" t="e">
        <v>#N/A</v>
      </c>
    </row>
    <row r="113" spans="1:21" x14ac:dyDescent="0.25">
      <c r="A113" s="12" t="s">
        <v>21</v>
      </c>
      <c r="B113" s="12" t="s">
        <v>153</v>
      </c>
      <c r="C113" s="12" t="s">
        <v>23</v>
      </c>
      <c r="D113" s="13">
        <v>46136.274409722224</v>
      </c>
      <c r="E113" s="12" t="s">
        <v>24</v>
      </c>
      <c r="F113" s="12" t="s">
        <v>154</v>
      </c>
      <c r="G113" s="12">
        <v>1</v>
      </c>
      <c r="H113" s="12">
        <v>1</v>
      </c>
      <c r="I113" s="14"/>
      <c r="J113" s="14" t="s">
        <v>26</v>
      </c>
      <c r="K113" s="12" t="s">
        <v>27</v>
      </c>
      <c r="L113" s="15"/>
      <c r="M113" s="12" t="s">
        <v>28</v>
      </c>
      <c r="N113" s="12"/>
      <c r="O113" s="12"/>
      <c r="P113" s="12"/>
      <c r="Q113" s="16">
        <v>0</v>
      </c>
      <c r="R113" s="16">
        <v>0</v>
      </c>
      <c r="S113" s="16"/>
      <c r="T113" s="16" t="e">
        <v>#N/A</v>
      </c>
      <c r="U113" s="16" t="e">
        <v>#N/A</v>
      </c>
    </row>
    <row r="114" spans="1:21" x14ac:dyDescent="0.25">
      <c r="A114" s="12" t="s">
        <v>21</v>
      </c>
      <c r="B114" s="12" t="s">
        <v>155</v>
      </c>
      <c r="C114" s="12" t="s">
        <v>23</v>
      </c>
      <c r="D114" s="13">
        <v>46140.308958333335</v>
      </c>
      <c r="E114" s="12" t="s">
        <v>156</v>
      </c>
      <c r="F114" s="12" t="s">
        <v>157</v>
      </c>
      <c r="G114" s="12">
        <v>30</v>
      </c>
      <c r="H114" s="12">
        <v>25</v>
      </c>
      <c r="I114" s="14"/>
      <c r="J114" s="14" t="s">
        <v>26</v>
      </c>
      <c r="K114" s="12" t="s">
        <v>27</v>
      </c>
      <c r="L114" s="15"/>
      <c r="M114" s="12" t="s">
        <v>28</v>
      </c>
      <c r="N114" s="12"/>
      <c r="O114" s="12"/>
      <c r="P114" s="12"/>
      <c r="Q114" s="16">
        <v>0</v>
      </c>
      <c r="R114" s="16">
        <v>0</v>
      </c>
      <c r="S114" s="16"/>
      <c r="T114" s="16" t="e">
        <v>#N/A</v>
      </c>
      <c r="U114" s="16" t="e">
        <v>#N/A</v>
      </c>
    </row>
    <row r="115" spans="1:21" x14ac:dyDescent="0.25">
      <c r="A115" s="12" t="s">
        <v>21</v>
      </c>
      <c r="B115" s="12" t="s">
        <v>155</v>
      </c>
      <c r="C115" s="12" t="s">
        <v>23</v>
      </c>
      <c r="D115" s="13">
        <v>46140.308958333335</v>
      </c>
      <c r="E115" s="12" t="s">
        <v>156</v>
      </c>
      <c r="F115" s="12" t="s">
        <v>158</v>
      </c>
      <c r="G115" s="12">
        <v>100</v>
      </c>
      <c r="H115" s="12">
        <v>89</v>
      </c>
      <c r="I115" s="14"/>
      <c r="J115" s="14" t="s">
        <v>26</v>
      </c>
      <c r="K115" s="12" t="s">
        <v>27</v>
      </c>
      <c r="L115" s="15"/>
      <c r="M115" s="12" t="s">
        <v>28</v>
      </c>
      <c r="N115" s="12"/>
      <c r="O115" s="12"/>
      <c r="P115" s="12"/>
      <c r="Q115" s="16">
        <v>0</v>
      </c>
      <c r="R115" s="16">
        <v>0</v>
      </c>
      <c r="S115" s="16"/>
      <c r="T115" s="16" t="e">
        <v>#N/A</v>
      </c>
      <c r="U115" s="16" t="e">
        <v>#N/A</v>
      </c>
    </row>
    <row r="116" spans="1:21" x14ac:dyDescent="0.25">
      <c r="A116" s="12" t="s">
        <v>21</v>
      </c>
      <c r="B116" s="12" t="s">
        <v>155</v>
      </c>
      <c r="C116" s="12" t="s">
        <v>23</v>
      </c>
      <c r="D116" s="13">
        <v>46140.308958333335</v>
      </c>
      <c r="E116" s="12" t="s">
        <v>156</v>
      </c>
      <c r="F116" s="12" t="s">
        <v>159</v>
      </c>
      <c r="G116" s="12">
        <v>20</v>
      </c>
      <c r="H116" s="12">
        <v>20</v>
      </c>
      <c r="I116" s="14"/>
      <c r="J116" s="14" t="s">
        <v>26</v>
      </c>
      <c r="K116" s="12" t="s">
        <v>27</v>
      </c>
      <c r="L116" s="15"/>
      <c r="M116" s="12" t="s">
        <v>28</v>
      </c>
      <c r="N116" s="12"/>
      <c r="O116" s="12"/>
      <c r="P116" s="12"/>
      <c r="Q116" s="16">
        <v>0</v>
      </c>
      <c r="R116" s="16">
        <v>0</v>
      </c>
      <c r="S116" s="16"/>
      <c r="T116" s="16" t="e">
        <v>#N/A</v>
      </c>
      <c r="U116" s="16" t="e">
        <v>#N/A</v>
      </c>
    </row>
    <row r="117" spans="1:21" x14ac:dyDescent="0.25">
      <c r="A117" s="12" t="s">
        <v>21</v>
      </c>
      <c r="B117" s="12" t="s">
        <v>155</v>
      </c>
      <c r="C117" s="12" t="s">
        <v>23</v>
      </c>
      <c r="D117" s="13">
        <v>46140.308958333335</v>
      </c>
      <c r="E117" s="12" t="s">
        <v>156</v>
      </c>
      <c r="F117" s="12" t="s">
        <v>160</v>
      </c>
      <c r="G117" s="12">
        <v>250</v>
      </c>
      <c r="H117" s="12">
        <v>210</v>
      </c>
      <c r="I117" s="14"/>
      <c r="J117" s="14" t="s">
        <v>26</v>
      </c>
      <c r="K117" s="12" t="s">
        <v>27</v>
      </c>
      <c r="L117" s="15"/>
      <c r="M117" s="12" t="s">
        <v>28</v>
      </c>
      <c r="N117" s="12"/>
      <c r="O117" s="12"/>
      <c r="P117" s="12"/>
      <c r="Q117" s="16">
        <v>0</v>
      </c>
      <c r="R117" s="16">
        <v>0</v>
      </c>
      <c r="S117" s="16">
        <v>81</v>
      </c>
      <c r="T117" s="16" t="e">
        <v>#N/A</v>
      </c>
      <c r="U117" s="16" t="e">
        <v>#N/A</v>
      </c>
    </row>
    <row r="118" spans="1:21" x14ac:dyDescent="0.25">
      <c r="A118" s="12" t="s">
        <v>21</v>
      </c>
      <c r="B118" s="12" t="s">
        <v>155</v>
      </c>
      <c r="C118" s="12" t="s">
        <v>23</v>
      </c>
      <c r="D118" s="13">
        <v>46140.308958333335</v>
      </c>
      <c r="E118" s="12" t="s">
        <v>156</v>
      </c>
      <c r="F118" s="12" t="s">
        <v>161</v>
      </c>
      <c r="G118" s="12">
        <v>50</v>
      </c>
      <c r="H118" s="12">
        <v>41</v>
      </c>
      <c r="I118" s="14"/>
      <c r="J118" s="14" t="s">
        <v>26</v>
      </c>
      <c r="K118" s="12" t="s">
        <v>27</v>
      </c>
      <c r="L118" s="15"/>
      <c r="M118" s="12" t="s">
        <v>28</v>
      </c>
      <c r="N118" s="12"/>
      <c r="O118" s="12"/>
      <c r="P118" s="12"/>
      <c r="Q118" s="16">
        <v>0</v>
      </c>
      <c r="R118" s="16">
        <v>7</v>
      </c>
      <c r="S118" s="16"/>
      <c r="T118" s="16" t="e">
        <v>#N/A</v>
      </c>
      <c r="U118" s="16" t="e">
        <v>#N/A</v>
      </c>
    </row>
    <row r="119" spans="1:21" x14ac:dyDescent="0.25">
      <c r="A119" s="12" t="s">
        <v>21</v>
      </c>
      <c r="B119" s="12" t="s">
        <v>155</v>
      </c>
      <c r="C119" s="12" t="s">
        <v>23</v>
      </c>
      <c r="D119" s="13">
        <v>46140.308958333335</v>
      </c>
      <c r="E119" s="12" t="s">
        <v>156</v>
      </c>
      <c r="F119" s="12" t="s">
        <v>162</v>
      </c>
      <c r="G119" s="12">
        <v>20</v>
      </c>
      <c r="H119" s="12">
        <v>15</v>
      </c>
      <c r="I119" s="14"/>
      <c r="J119" s="14" t="s">
        <v>26</v>
      </c>
      <c r="K119" s="12" t="s">
        <v>27</v>
      </c>
      <c r="L119" s="15"/>
      <c r="M119" s="12" t="s">
        <v>28</v>
      </c>
      <c r="N119" s="12"/>
      <c r="O119" s="12"/>
      <c r="P119" s="12"/>
      <c r="Q119" s="16">
        <v>0</v>
      </c>
      <c r="R119" s="16">
        <v>0</v>
      </c>
      <c r="S119" s="16">
        <v>14</v>
      </c>
      <c r="T119" s="16" t="e">
        <v>#N/A</v>
      </c>
      <c r="U119" s="16" t="e">
        <v>#N/A</v>
      </c>
    </row>
    <row r="120" spans="1:21" x14ac:dyDescent="0.25">
      <c r="A120" s="12" t="s">
        <v>21</v>
      </c>
      <c r="B120" s="12" t="s">
        <v>163</v>
      </c>
      <c r="C120" s="12" t="s">
        <v>23</v>
      </c>
      <c r="D120" s="13">
        <v>46144.422951388886</v>
      </c>
      <c r="E120" s="12" t="s">
        <v>24</v>
      </c>
      <c r="F120" s="12" t="s">
        <v>95</v>
      </c>
      <c r="G120" s="12">
        <v>3</v>
      </c>
      <c r="H120" s="12">
        <v>3</v>
      </c>
      <c r="I120" s="14"/>
      <c r="J120" s="14" t="s">
        <v>26</v>
      </c>
      <c r="K120" s="12" t="s">
        <v>27</v>
      </c>
      <c r="L120" s="15"/>
      <c r="M120" s="12" t="s">
        <v>28</v>
      </c>
      <c r="N120" s="12"/>
      <c r="O120" s="12"/>
      <c r="P120" s="12"/>
      <c r="Q120" s="16">
        <v>0</v>
      </c>
      <c r="R120" s="16">
        <v>553</v>
      </c>
      <c r="S120" s="16"/>
      <c r="T120" s="16" t="e">
        <v>#N/A</v>
      </c>
      <c r="U120" s="16" t="e">
        <v>#N/A</v>
      </c>
    </row>
    <row r="121" spans="1:21" x14ac:dyDescent="0.25">
      <c r="A121" s="12" t="s">
        <v>21</v>
      </c>
      <c r="B121" s="12" t="s">
        <v>163</v>
      </c>
      <c r="C121" s="12" t="s">
        <v>23</v>
      </c>
      <c r="D121" s="13">
        <v>46144.422951388886</v>
      </c>
      <c r="E121" s="12" t="s">
        <v>24</v>
      </c>
      <c r="F121" s="12" t="s">
        <v>103</v>
      </c>
      <c r="G121" s="12">
        <v>19</v>
      </c>
      <c r="H121" s="12">
        <v>19</v>
      </c>
      <c r="I121" s="14"/>
      <c r="J121" s="14" t="s">
        <v>26</v>
      </c>
      <c r="K121" s="12" t="s">
        <v>27</v>
      </c>
      <c r="L121" s="15"/>
      <c r="M121" s="12" t="s">
        <v>28</v>
      </c>
      <c r="N121" s="12"/>
      <c r="O121" s="12"/>
      <c r="P121" s="12"/>
      <c r="Q121" s="16">
        <v>0</v>
      </c>
      <c r="R121" s="16">
        <v>100</v>
      </c>
      <c r="S121" s="16"/>
      <c r="T121" s="16" t="e">
        <v>#N/A</v>
      </c>
      <c r="U121" s="16" t="e">
        <v>#N/A</v>
      </c>
    </row>
    <row r="122" spans="1:21" x14ac:dyDescent="0.25">
      <c r="A122" s="12" t="s">
        <v>21</v>
      </c>
      <c r="B122" s="12" t="s">
        <v>163</v>
      </c>
      <c r="C122" s="12" t="s">
        <v>23</v>
      </c>
      <c r="D122" s="13">
        <v>46144.422951388886</v>
      </c>
      <c r="E122" s="12" t="s">
        <v>24</v>
      </c>
      <c r="F122" s="12" t="s">
        <v>164</v>
      </c>
      <c r="G122" s="12">
        <v>5</v>
      </c>
      <c r="H122" s="12">
        <v>5</v>
      </c>
      <c r="I122" s="14"/>
      <c r="J122" s="14" t="s">
        <v>61</v>
      </c>
      <c r="K122" s="12" t="s">
        <v>27</v>
      </c>
      <c r="L122" s="15"/>
      <c r="M122" s="12" t="s">
        <v>28</v>
      </c>
      <c r="N122" s="12"/>
      <c r="O122" s="12"/>
      <c r="P122" s="12"/>
      <c r="Q122" s="16">
        <v>5</v>
      </c>
      <c r="R122" s="16">
        <v>0</v>
      </c>
      <c r="S122" s="16"/>
      <c r="T122" s="16" t="e">
        <v>#N/A</v>
      </c>
      <c r="U122" s="16" t="e">
        <v>#N/A</v>
      </c>
    </row>
    <row r="123" spans="1:21" x14ac:dyDescent="0.25">
      <c r="A123" s="12" t="s">
        <v>21</v>
      </c>
      <c r="B123" s="12" t="s">
        <v>163</v>
      </c>
      <c r="C123" s="12" t="s">
        <v>23</v>
      </c>
      <c r="D123" s="13">
        <v>46144.422951388886</v>
      </c>
      <c r="E123" s="12" t="s">
        <v>24</v>
      </c>
      <c r="F123" s="12" t="s">
        <v>165</v>
      </c>
      <c r="G123" s="12">
        <v>5</v>
      </c>
      <c r="H123" s="12">
        <v>5</v>
      </c>
      <c r="I123" s="14"/>
      <c r="J123" s="14" t="s">
        <v>61</v>
      </c>
      <c r="K123" s="12" t="s">
        <v>27</v>
      </c>
      <c r="L123" s="15"/>
      <c r="M123" s="12" t="s">
        <v>28</v>
      </c>
      <c r="N123" s="12"/>
      <c r="O123" s="12"/>
      <c r="P123" s="12"/>
      <c r="Q123" s="16">
        <v>5</v>
      </c>
      <c r="R123" s="16">
        <v>0</v>
      </c>
      <c r="S123" s="16"/>
      <c r="T123" s="16" t="e">
        <v>#N/A</v>
      </c>
      <c r="U123" s="16" t="e">
        <v>#N/A</v>
      </c>
    </row>
    <row r="124" spans="1:21" x14ac:dyDescent="0.25">
      <c r="A124" s="12" t="s">
        <v>21</v>
      </c>
      <c r="B124" s="12" t="s">
        <v>163</v>
      </c>
      <c r="C124" s="12" t="s">
        <v>23</v>
      </c>
      <c r="D124" s="13">
        <v>46144.422951388886</v>
      </c>
      <c r="E124" s="12" t="s">
        <v>24</v>
      </c>
      <c r="F124" s="12" t="s">
        <v>166</v>
      </c>
      <c r="G124" s="12">
        <v>5</v>
      </c>
      <c r="H124" s="12">
        <v>5</v>
      </c>
      <c r="I124" s="14"/>
      <c r="J124" s="14" t="s">
        <v>61</v>
      </c>
      <c r="K124" s="12" t="s">
        <v>27</v>
      </c>
      <c r="L124" s="15"/>
      <c r="M124" s="12" t="s">
        <v>28</v>
      </c>
      <c r="N124" s="12"/>
      <c r="O124" s="12"/>
      <c r="P124" s="12"/>
      <c r="Q124" s="16">
        <v>5</v>
      </c>
      <c r="R124" s="16">
        <v>0</v>
      </c>
      <c r="S124" s="16"/>
      <c r="T124" s="16" t="e">
        <v>#N/A</v>
      </c>
      <c r="U124" s="16" t="e">
        <v>#N/A</v>
      </c>
    </row>
    <row r="125" spans="1:21" x14ac:dyDescent="0.25">
      <c r="A125" s="12" t="s">
        <v>21</v>
      </c>
      <c r="B125" s="12" t="s">
        <v>163</v>
      </c>
      <c r="C125" s="12" t="s">
        <v>23</v>
      </c>
      <c r="D125" s="13">
        <v>46144.422951388886</v>
      </c>
      <c r="E125" s="12" t="s">
        <v>24</v>
      </c>
      <c r="F125" s="12" t="s">
        <v>167</v>
      </c>
      <c r="G125" s="12">
        <v>9</v>
      </c>
      <c r="H125" s="12">
        <v>9</v>
      </c>
      <c r="I125" s="14"/>
      <c r="J125" s="14" t="s">
        <v>61</v>
      </c>
      <c r="K125" s="12" t="s">
        <v>27</v>
      </c>
      <c r="L125" s="15"/>
      <c r="M125" s="12" t="s">
        <v>28</v>
      </c>
      <c r="N125" s="12"/>
      <c r="O125" s="12"/>
      <c r="P125" s="12"/>
      <c r="Q125" s="16">
        <v>9</v>
      </c>
      <c r="R125" s="16">
        <v>0</v>
      </c>
      <c r="S125" s="16"/>
      <c r="T125" s="16" t="e">
        <v>#N/A</v>
      </c>
      <c r="U125" s="16" t="e">
        <v>#N/A</v>
      </c>
    </row>
    <row r="126" spans="1:21" x14ac:dyDescent="0.25">
      <c r="A126" s="12" t="s">
        <v>21</v>
      </c>
      <c r="B126" s="12" t="s">
        <v>163</v>
      </c>
      <c r="C126" s="12" t="s">
        <v>23</v>
      </c>
      <c r="D126" s="13">
        <v>46144.422951388886</v>
      </c>
      <c r="E126" s="12" t="s">
        <v>24</v>
      </c>
      <c r="F126" s="12" t="s">
        <v>168</v>
      </c>
      <c r="G126" s="12">
        <v>1</v>
      </c>
      <c r="H126" s="12">
        <v>1</v>
      </c>
      <c r="I126" s="14"/>
      <c r="J126" s="14" t="s">
        <v>61</v>
      </c>
      <c r="K126" s="12" t="s">
        <v>27</v>
      </c>
      <c r="L126" s="15"/>
      <c r="M126" s="12" t="s">
        <v>28</v>
      </c>
      <c r="N126" s="12"/>
      <c r="O126" s="12"/>
      <c r="P126" s="12"/>
      <c r="Q126" s="16">
        <v>1</v>
      </c>
      <c r="R126" s="16">
        <v>0</v>
      </c>
      <c r="S126" s="16"/>
      <c r="T126" s="16" t="e">
        <v>#N/A</v>
      </c>
      <c r="U126" s="16" t="e">
        <v>#N/A</v>
      </c>
    </row>
    <row r="127" spans="1:21" x14ac:dyDescent="0.25">
      <c r="A127" s="12" t="s">
        <v>21</v>
      </c>
      <c r="B127" s="12" t="s">
        <v>163</v>
      </c>
      <c r="C127" s="12" t="s">
        <v>23</v>
      </c>
      <c r="D127" s="13">
        <v>46144.422951388886</v>
      </c>
      <c r="E127" s="12" t="s">
        <v>24</v>
      </c>
      <c r="F127" s="12" t="s">
        <v>169</v>
      </c>
      <c r="G127" s="12">
        <v>5</v>
      </c>
      <c r="H127" s="12">
        <v>5</v>
      </c>
      <c r="I127" s="14"/>
      <c r="J127" s="14" t="s">
        <v>61</v>
      </c>
      <c r="K127" s="12" t="s">
        <v>27</v>
      </c>
      <c r="L127" s="15"/>
      <c r="M127" s="12" t="s">
        <v>28</v>
      </c>
      <c r="N127" s="12"/>
      <c r="O127" s="12"/>
      <c r="P127" s="12"/>
      <c r="Q127" s="16">
        <v>5</v>
      </c>
      <c r="R127" s="16">
        <v>5</v>
      </c>
      <c r="S127" s="16"/>
      <c r="T127" s="16" t="e">
        <v>#N/A</v>
      </c>
      <c r="U127" s="16" t="e">
        <v>#N/A</v>
      </c>
    </row>
    <row r="128" spans="1:21" x14ac:dyDescent="0.25">
      <c r="A128" s="12" t="s">
        <v>21</v>
      </c>
      <c r="B128" s="12" t="s">
        <v>163</v>
      </c>
      <c r="C128" s="12" t="s">
        <v>23</v>
      </c>
      <c r="D128" s="13">
        <v>46144.422951388886</v>
      </c>
      <c r="E128" s="12" t="s">
        <v>24</v>
      </c>
      <c r="F128" s="12" t="s">
        <v>170</v>
      </c>
      <c r="G128" s="12">
        <v>5</v>
      </c>
      <c r="H128" s="12">
        <v>5</v>
      </c>
      <c r="I128" s="14"/>
      <c r="J128" s="14" t="s">
        <v>61</v>
      </c>
      <c r="K128" s="12" t="s">
        <v>27</v>
      </c>
      <c r="L128" s="15"/>
      <c r="M128" s="12" t="s">
        <v>28</v>
      </c>
      <c r="N128" s="12"/>
      <c r="O128" s="12"/>
      <c r="P128" s="12"/>
      <c r="Q128" s="16">
        <v>5</v>
      </c>
      <c r="R128" s="16">
        <v>4</v>
      </c>
      <c r="S128" s="16"/>
      <c r="T128" s="16" t="e">
        <v>#N/A</v>
      </c>
      <c r="U128" s="16" t="e">
        <v>#N/A</v>
      </c>
    </row>
    <row r="129" spans="1:21" x14ac:dyDescent="0.25">
      <c r="A129" s="12" t="s">
        <v>21</v>
      </c>
      <c r="B129" s="12" t="s">
        <v>163</v>
      </c>
      <c r="C129" s="12" t="s">
        <v>23</v>
      </c>
      <c r="D129" s="13">
        <v>46144.422951388886</v>
      </c>
      <c r="E129" s="12" t="s">
        <v>24</v>
      </c>
      <c r="F129" s="12" t="s">
        <v>171</v>
      </c>
      <c r="G129" s="12">
        <v>1</v>
      </c>
      <c r="H129" s="12">
        <v>1</v>
      </c>
      <c r="I129" s="14"/>
      <c r="J129" s="14" t="s">
        <v>61</v>
      </c>
      <c r="K129" s="12" t="s">
        <v>27</v>
      </c>
      <c r="L129" s="15"/>
      <c r="M129" s="12" t="s">
        <v>28</v>
      </c>
      <c r="N129" s="12"/>
      <c r="O129" s="12"/>
      <c r="P129" s="12"/>
      <c r="Q129" s="16">
        <v>1</v>
      </c>
      <c r="R129" s="16">
        <v>0</v>
      </c>
      <c r="S129" s="16"/>
      <c r="T129" s="16" t="e">
        <v>#N/A</v>
      </c>
      <c r="U129" s="16" t="e">
        <v>#N/A</v>
      </c>
    </row>
    <row r="130" spans="1:21" x14ac:dyDescent="0.25">
      <c r="A130" s="12" t="s">
        <v>21</v>
      </c>
      <c r="B130" s="12" t="s">
        <v>163</v>
      </c>
      <c r="C130" s="12" t="s">
        <v>23</v>
      </c>
      <c r="D130" s="13">
        <v>46144.422951388886</v>
      </c>
      <c r="E130" s="12" t="s">
        <v>24</v>
      </c>
      <c r="F130" s="12" t="s">
        <v>172</v>
      </c>
      <c r="G130" s="12">
        <v>30</v>
      </c>
      <c r="H130" s="12">
        <v>30</v>
      </c>
      <c r="I130" s="14"/>
      <c r="J130" s="14" t="s">
        <v>61</v>
      </c>
      <c r="K130" s="12" t="s">
        <v>27</v>
      </c>
      <c r="L130" s="15"/>
      <c r="M130" s="12" t="s">
        <v>28</v>
      </c>
      <c r="N130" s="12"/>
      <c r="O130" s="12"/>
      <c r="P130" s="12"/>
      <c r="Q130" s="16">
        <v>30</v>
      </c>
      <c r="R130" s="16">
        <v>1</v>
      </c>
      <c r="S130" s="16"/>
      <c r="T130" s="16" t="e">
        <v>#N/A</v>
      </c>
      <c r="U130" s="16" t="e">
        <v>#N/A</v>
      </c>
    </row>
    <row r="131" spans="1:21" x14ac:dyDescent="0.25">
      <c r="A131" s="12" t="s">
        <v>21</v>
      </c>
      <c r="B131" s="12" t="s">
        <v>163</v>
      </c>
      <c r="C131" s="12" t="s">
        <v>23</v>
      </c>
      <c r="D131" s="13">
        <v>46144.422951388886</v>
      </c>
      <c r="E131" s="12" t="s">
        <v>24</v>
      </c>
      <c r="F131" s="12" t="s">
        <v>173</v>
      </c>
      <c r="G131" s="12">
        <v>9</v>
      </c>
      <c r="H131" s="12">
        <v>9</v>
      </c>
      <c r="I131" s="14"/>
      <c r="J131" s="14" t="s">
        <v>61</v>
      </c>
      <c r="K131" s="12" t="s">
        <v>27</v>
      </c>
      <c r="L131" s="15"/>
      <c r="M131" s="12" t="s">
        <v>28</v>
      </c>
      <c r="N131" s="12"/>
      <c r="O131" s="12"/>
      <c r="P131" s="12"/>
      <c r="Q131" s="16">
        <v>9</v>
      </c>
      <c r="R131" s="16">
        <v>0</v>
      </c>
      <c r="S131" s="16"/>
      <c r="T131" s="16" t="e">
        <v>#N/A</v>
      </c>
      <c r="U131" s="16" t="e">
        <v>#N/A</v>
      </c>
    </row>
    <row r="132" spans="1:21" x14ac:dyDescent="0.25">
      <c r="A132" s="12" t="s">
        <v>21</v>
      </c>
      <c r="B132" s="12" t="s">
        <v>163</v>
      </c>
      <c r="C132" s="12" t="s">
        <v>23</v>
      </c>
      <c r="D132" s="13">
        <v>46144.422951388886</v>
      </c>
      <c r="E132" s="12" t="s">
        <v>24</v>
      </c>
      <c r="F132" s="12" t="s">
        <v>174</v>
      </c>
      <c r="G132" s="12">
        <v>2</v>
      </c>
      <c r="H132" s="12">
        <v>2</v>
      </c>
      <c r="I132" s="14"/>
      <c r="J132" s="14" t="s">
        <v>61</v>
      </c>
      <c r="K132" s="12" t="s">
        <v>27</v>
      </c>
      <c r="L132" s="15"/>
      <c r="M132" s="12" t="s">
        <v>28</v>
      </c>
      <c r="N132" s="12"/>
      <c r="O132" s="12"/>
      <c r="P132" s="12"/>
      <c r="Q132" s="16">
        <v>2</v>
      </c>
      <c r="R132" s="16">
        <v>0</v>
      </c>
      <c r="S132" s="16"/>
      <c r="T132" s="16" t="e">
        <v>#N/A</v>
      </c>
      <c r="U132" s="16" t="e">
        <v>#N/A</v>
      </c>
    </row>
    <row r="133" spans="1:21" x14ac:dyDescent="0.25">
      <c r="A133" s="12" t="s">
        <v>21</v>
      </c>
      <c r="B133" s="12" t="s">
        <v>163</v>
      </c>
      <c r="C133" s="12" t="s">
        <v>23</v>
      </c>
      <c r="D133" s="13">
        <v>46144.422951388886</v>
      </c>
      <c r="E133" s="12" t="s">
        <v>24</v>
      </c>
      <c r="F133" s="12" t="s">
        <v>175</v>
      </c>
      <c r="G133" s="12">
        <v>2</v>
      </c>
      <c r="H133" s="12">
        <v>2</v>
      </c>
      <c r="I133" s="14"/>
      <c r="J133" s="14" t="s">
        <v>61</v>
      </c>
      <c r="K133" s="12" t="s">
        <v>27</v>
      </c>
      <c r="L133" s="15"/>
      <c r="M133" s="12" t="s">
        <v>28</v>
      </c>
      <c r="N133" s="12"/>
      <c r="O133" s="12"/>
      <c r="P133" s="12"/>
      <c r="Q133" s="16">
        <v>2</v>
      </c>
      <c r="R133" s="16">
        <v>2</v>
      </c>
      <c r="S133" s="16"/>
      <c r="T133" s="16" t="e">
        <v>#N/A</v>
      </c>
      <c r="U133" s="16" t="e">
        <v>#N/A</v>
      </c>
    </row>
    <row r="134" spans="1:21" x14ac:dyDescent="0.25">
      <c r="A134" s="12" t="s">
        <v>21</v>
      </c>
      <c r="B134" s="12" t="s">
        <v>163</v>
      </c>
      <c r="C134" s="12" t="s">
        <v>23</v>
      </c>
      <c r="D134" s="13">
        <v>46144.422951388886</v>
      </c>
      <c r="E134" s="12" t="s">
        <v>24</v>
      </c>
      <c r="F134" s="12" t="s">
        <v>176</v>
      </c>
      <c r="G134" s="12">
        <v>22</v>
      </c>
      <c r="H134" s="12">
        <v>22</v>
      </c>
      <c r="I134" s="14"/>
      <c r="J134" s="14" t="s">
        <v>61</v>
      </c>
      <c r="K134" s="12" t="s">
        <v>27</v>
      </c>
      <c r="L134" s="15"/>
      <c r="M134" s="12" t="s">
        <v>28</v>
      </c>
      <c r="N134" s="12"/>
      <c r="O134" s="12"/>
      <c r="P134" s="12"/>
      <c r="Q134" s="16">
        <v>22</v>
      </c>
      <c r="R134" s="16">
        <v>0</v>
      </c>
      <c r="S134" s="16"/>
      <c r="T134" s="16" t="e">
        <v>#N/A</v>
      </c>
      <c r="U134" s="16" t="e">
        <v>#N/A</v>
      </c>
    </row>
    <row r="135" spans="1:21" x14ac:dyDescent="0.25">
      <c r="A135" s="12" t="s">
        <v>21</v>
      </c>
      <c r="B135" s="12" t="s">
        <v>163</v>
      </c>
      <c r="C135" s="12" t="s">
        <v>23</v>
      </c>
      <c r="D135" s="13">
        <v>46144.422951388886</v>
      </c>
      <c r="E135" s="12" t="s">
        <v>24</v>
      </c>
      <c r="F135" s="12" t="s">
        <v>177</v>
      </c>
      <c r="G135" s="12">
        <v>7</v>
      </c>
      <c r="H135" s="12">
        <v>7</v>
      </c>
      <c r="I135" s="14"/>
      <c r="J135" s="14" t="s">
        <v>61</v>
      </c>
      <c r="K135" s="12" t="s">
        <v>27</v>
      </c>
      <c r="L135" s="15"/>
      <c r="M135" s="12" t="s">
        <v>28</v>
      </c>
      <c r="N135" s="12"/>
      <c r="O135" s="12"/>
      <c r="P135" s="12"/>
      <c r="Q135" s="16">
        <v>7</v>
      </c>
      <c r="R135" s="16">
        <v>0</v>
      </c>
      <c r="S135" s="16"/>
      <c r="T135" s="16" t="e">
        <v>#N/A</v>
      </c>
      <c r="U135" s="16" t="e">
        <v>#N/A</v>
      </c>
    </row>
    <row r="136" spans="1:21" x14ac:dyDescent="0.25">
      <c r="A136" s="12" t="s">
        <v>21</v>
      </c>
      <c r="B136" s="12" t="s">
        <v>163</v>
      </c>
      <c r="C136" s="12" t="s">
        <v>23</v>
      </c>
      <c r="D136" s="13">
        <v>46144.422951388886</v>
      </c>
      <c r="E136" s="12" t="s">
        <v>24</v>
      </c>
      <c r="F136" s="12" t="s">
        <v>178</v>
      </c>
      <c r="G136" s="12">
        <v>1</v>
      </c>
      <c r="H136" s="12">
        <v>1</v>
      </c>
      <c r="I136" s="14"/>
      <c r="J136" s="14" t="s">
        <v>61</v>
      </c>
      <c r="K136" s="12" t="s">
        <v>27</v>
      </c>
      <c r="L136" s="15"/>
      <c r="M136" s="12" t="s">
        <v>28</v>
      </c>
      <c r="N136" s="12"/>
      <c r="O136" s="12"/>
      <c r="P136" s="12"/>
      <c r="Q136" s="16">
        <v>1</v>
      </c>
      <c r="R136" s="16">
        <v>0</v>
      </c>
      <c r="S136" s="16"/>
      <c r="T136" s="16" t="e">
        <v>#N/A</v>
      </c>
      <c r="U136" s="16" t="e">
        <v>#N/A</v>
      </c>
    </row>
    <row r="137" spans="1:21" x14ac:dyDescent="0.25">
      <c r="A137" s="12" t="s">
        <v>21</v>
      </c>
      <c r="B137" s="12" t="s">
        <v>163</v>
      </c>
      <c r="C137" s="12" t="s">
        <v>23</v>
      </c>
      <c r="D137" s="13">
        <v>46144.422951388886</v>
      </c>
      <c r="E137" s="12" t="s">
        <v>24</v>
      </c>
      <c r="F137" s="12" t="s">
        <v>179</v>
      </c>
      <c r="G137" s="12">
        <v>3</v>
      </c>
      <c r="H137" s="12">
        <v>3</v>
      </c>
      <c r="I137" s="14"/>
      <c r="J137" s="14" t="s">
        <v>61</v>
      </c>
      <c r="K137" s="12" t="s">
        <v>27</v>
      </c>
      <c r="L137" s="15"/>
      <c r="M137" s="12" t="s">
        <v>28</v>
      </c>
      <c r="N137" s="12"/>
      <c r="O137" s="12"/>
      <c r="P137" s="12"/>
      <c r="Q137" s="16">
        <v>3</v>
      </c>
      <c r="R137" s="16">
        <v>0</v>
      </c>
      <c r="S137" s="16"/>
      <c r="T137" s="16" t="e">
        <v>#N/A</v>
      </c>
      <c r="U137" s="16" t="e">
        <v>#N/A</v>
      </c>
    </row>
    <row r="138" spans="1:21" x14ac:dyDescent="0.25">
      <c r="A138" s="12" t="s">
        <v>21</v>
      </c>
      <c r="B138" s="12" t="s">
        <v>163</v>
      </c>
      <c r="C138" s="12" t="s">
        <v>23</v>
      </c>
      <c r="D138" s="13">
        <v>46144.422951388886</v>
      </c>
      <c r="E138" s="12" t="s">
        <v>24</v>
      </c>
      <c r="F138" s="12" t="s">
        <v>180</v>
      </c>
      <c r="G138" s="12">
        <v>9</v>
      </c>
      <c r="H138" s="12">
        <v>9</v>
      </c>
      <c r="I138" s="14"/>
      <c r="J138" s="14" t="s">
        <v>61</v>
      </c>
      <c r="K138" s="12" t="s">
        <v>27</v>
      </c>
      <c r="L138" s="15"/>
      <c r="M138" s="12" t="s">
        <v>28</v>
      </c>
      <c r="N138" s="12"/>
      <c r="O138" s="12"/>
      <c r="P138" s="12"/>
      <c r="Q138" s="16">
        <v>9</v>
      </c>
      <c r="R138" s="16">
        <v>0</v>
      </c>
      <c r="S138" s="16"/>
      <c r="T138" s="16" t="e">
        <v>#N/A</v>
      </c>
      <c r="U138" s="16" t="e">
        <v>#N/A</v>
      </c>
    </row>
    <row r="139" spans="1:21" x14ac:dyDescent="0.25">
      <c r="A139" s="12" t="s">
        <v>21</v>
      </c>
      <c r="B139" s="12" t="s">
        <v>163</v>
      </c>
      <c r="C139" s="12" t="s">
        <v>23</v>
      </c>
      <c r="D139" s="13">
        <v>46144.422951388886</v>
      </c>
      <c r="E139" s="12" t="s">
        <v>24</v>
      </c>
      <c r="F139" s="12" t="s">
        <v>181</v>
      </c>
      <c r="G139" s="12">
        <v>1</v>
      </c>
      <c r="H139" s="12">
        <v>1</v>
      </c>
      <c r="I139" s="14"/>
      <c r="J139" s="14" t="s">
        <v>61</v>
      </c>
      <c r="K139" s="12" t="s">
        <v>27</v>
      </c>
      <c r="L139" s="15"/>
      <c r="M139" s="12" t="s">
        <v>28</v>
      </c>
      <c r="N139" s="12"/>
      <c r="O139" s="12"/>
      <c r="P139" s="12"/>
      <c r="Q139" s="16">
        <v>1</v>
      </c>
      <c r="R139" s="16">
        <v>0</v>
      </c>
      <c r="S139" s="16"/>
      <c r="T139" s="16" t="e">
        <v>#N/A</v>
      </c>
      <c r="U139" s="16" t="e">
        <v>#N/A</v>
      </c>
    </row>
    <row r="140" spans="1:21" x14ac:dyDescent="0.25">
      <c r="A140" s="12" t="s">
        <v>21</v>
      </c>
      <c r="B140" s="12" t="s">
        <v>163</v>
      </c>
      <c r="C140" s="12" t="s">
        <v>23</v>
      </c>
      <c r="D140" s="13">
        <v>46144.422951388886</v>
      </c>
      <c r="E140" s="12" t="s">
        <v>24</v>
      </c>
      <c r="F140" s="12" t="s">
        <v>182</v>
      </c>
      <c r="G140" s="12">
        <v>13</v>
      </c>
      <c r="H140" s="12">
        <v>13</v>
      </c>
      <c r="I140" s="14"/>
      <c r="J140" s="14" t="s">
        <v>61</v>
      </c>
      <c r="K140" s="12" t="s">
        <v>27</v>
      </c>
      <c r="L140" s="15"/>
      <c r="M140" s="12" t="s">
        <v>28</v>
      </c>
      <c r="N140" s="12"/>
      <c r="O140" s="12"/>
      <c r="P140" s="12"/>
      <c r="Q140" s="16">
        <v>13</v>
      </c>
      <c r="R140" s="16">
        <v>0</v>
      </c>
      <c r="S140" s="16"/>
      <c r="T140" s="16" t="e">
        <v>#N/A</v>
      </c>
      <c r="U140" s="16" t="e">
        <v>#N/A</v>
      </c>
    </row>
    <row r="141" spans="1:21" x14ac:dyDescent="0.25">
      <c r="A141" s="12" t="s">
        <v>21</v>
      </c>
      <c r="B141" s="12" t="s">
        <v>163</v>
      </c>
      <c r="C141" s="12" t="s">
        <v>23</v>
      </c>
      <c r="D141" s="13">
        <v>46144.422951388886</v>
      </c>
      <c r="E141" s="12" t="s">
        <v>24</v>
      </c>
      <c r="F141" s="12" t="s">
        <v>130</v>
      </c>
      <c r="G141" s="12">
        <v>134</v>
      </c>
      <c r="H141" s="12">
        <v>134</v>
      </c>
      <c r="I141" s="14"/>
      <c r="J141" s="14" t="s">
        <v>61</v>
      </c>
      <c r="K141" s="12" t="s">
        <v>27</v>
      </c>
      <c r="L141" s="15"/>
      <c r="M141" s="12" t="s">
        <v>28</v>
      </c>
      <c r="N141" s="12"/>
      <c r="O141" s="12"/>
      <c r="P141" s="12"/>
      <c r="Q141" s="16">
        <v>134</v>
      </c>
      <c r="R141" s="16">
        <v>6</v>
      </c>
      <c r="S141" s="16">
        <v>78</v>
      </c>
      <c r="T141" s="16" t="e">
        <v>#N/A</v>
      </c>
      <c r="U141" s="16" t="e">
        <v>#N/A</v>
      </c>
    </row>
    <row r="142" spans="1:21" x14ac:dyDescent="0.25">
      <c r="A142" s="12" t="s">
        <v>21</v>
      </c>
      <c r="B142" s="12" t="s">
        <v>163</v>
      </c>
      <c r="C142" s="12" t="s">
        <v>23</v>
      </c>
      <c r="D142" s="13">
        <v>46144.422951388886</v>
      </c>
      <c r="E142" s="12" t="s">
        <v>24</v>
      </c>
      <c r="F142" s="12" t="s">
        <v>134</v>
      </c>
      <c r="G142" s="12">
        <v>50</v>
      </c>
      <c r="H142" s="12">
        <v>50</v>
      </c>
      <c r="I142" s="14"/>
      <c r="J142" s="14" t="s">
        <v>61</v>
      </c>
      <c r="K142" s="12" t="s">
        <v>27</v>
      </c>
      <c r="L142" s="15"/>
      <c r="M142" s="12" t="s">
        <v>28</v>
      </c>
      <c r="N142" s="12"/>
      <c r="O142" s="12"/>
      <c r="P142" s="12"/>
      <c r="Q142" s="16">
        <v>100</v>
      </c>
      <c r="R142" s="16">
        <v>6</v>
      </c>
      <c r="S142" s="16">
        <v>10</v>
      </c>
      <c r="T142" s="16" t="e">
        <v>#N/A</v>
      </c>
      <c r="U142" s="16" t="e">
        <v>#N/A</v>
      </c>
    </row>
    <row r="143" spans="1:21" x14ac:dyDescent="0.25">
      <c r="A143" s="12" t="s">
        <v>21</v>
      </c>
      <c r="B143" s="12" t="s">
        <v>163</v>
      </c>
      <c r="C143" s="12" t="s">
        <v>23</v>
      </c>
      <c r="D143" s="13">
        <v>46144.422951388886</v>
      </c>
      <c r="E143" s="12" t="s">
        <v>24</v>
      </c>
      <c r="F143" s="12" t="s">
        <v>183</v>
      </c>
      <c r="G143" s="12">
        <v>1</v>
      </c>
      <c r="H143" s="12">
        <v>1</v>
      </c>
      <c r="I143" s="14"/>
      <c r="J143" s="14" t="s">
        <v>26</v>
      </c>
      <c r="K143" s="12" t="s">
        <v>27</v>
      </c>
      <c r="L143" s="15"/>
      <c r="M143" s="12" t="s">
        <v>28</v>
      </c>
      <c r="N143" s="12"/>
      <c r="O143" s="12"/>
      <c r="P143" s="12"/>
      <c r="Q143" s="16">
        <v>0</v>
      </c>
      <c r="R143" s="16">
        <v>0</v>
      </c>
      <c r="S143" s="16"/>
      <c r="T143" s="16" t="e">
        <v>#N/A</v>
      </c>
      <c r="U143" s="16" t="e">
        <v>#N/A</v>
      </c>
    </row>
    <row r="144" spans="1:21" x14ac:dyDescent="0.25">
      <c r="A144" s="12" t="s">
        <v>21</v>
      </c>
      <c r="B144" s="12" t="s">
        <v>163</v>
      </c>
      <c r="C144" s="12" t="s">
        <v>23</v>
      </c>
      <c r="D144" s="13">
        <v>46144.422951388886</v>
      </c>
      <c r="E144" s="12" t="s">
        <v>24</v>
      </c>
      <c r="F144" s="12" t="s">
        <v>184</v>
      </c>
      <c r="G144" s="12">
        <v>2</v>
      </c>
      <c r="H144" s="12">
        <v>2</v>
      </c>
      <c r="I144" s="14"/>
      <c r="J144" s="14" t="s">
        <v>61</v>
      </c>
      <c r="K144" s="12" t="s">
        <v>27</v>
      </c>
      <c r="L144" s="15"/>
      <c r="M144" s="12" t="s">
        <v>28</v>
      </c>
      <c r="N144" s="12"/>
      <c r="O144" s="12"/>
      <c r="P144" s="12"/>
      <c r="Q144" s="16">
        <v>2</v>
      </c>
      <c r="R144" s="16">
        <v>0</v>
      </c>
      <c r="S144" s="16"/>
      <c r="T144" s="16" t="e">
        <v>#N/A</v>
      </c>
      <c r="U144" s="16" t="e">
        <v>#N/A</v>
      </c>
    </row>
    <row r="145" spans="1:21" x14ac:dyDescent="0.25">
      <c r="A145" s="12" t="s">
        <v>21</v>
      </c>
      <c r="B145" s="12" t="s">
        <v>163</v>
      </c>
      <c r="C145" s="12" t="s">
        <v>23</v>
      </c>
      <c r="D145" s="13">
        <v>46144.422951388886</v>
      </c>
      <c r="E145" s="12" t="s">
        <v>24</v>
      </c>
      <c r="F145" s="12" t="s">
        <v>185</v>
      </c>
      <c r="G145" s="12">
        <v>13</v>
      </c>
      <c r="H145" s="12">
        <v>13</v>
      </c>
      <c r="I145" s="14"/>
      <c r="J145" s="14" t="s">
        <v>61</v>
      </c>
      <c r="K145" s="12" t="s">
        <v>27</v>
      </c>
      <c r="L145" s="15"/>
      <c r="M145" s="12" t="s">
        <v>28</v>
      </c>
      <c r="N145" s="12"/>
      <c r="O145" s="12"/>
      <c r="P145" s="12"/>
      <c r="Q145" s="16">
        <v>13</v>
      </c>
      <c r="R145" s="16">
        <v>0</v>
      </c>
      <c r="S145" s="16"/>
      <c r="T145" s="16" t="e">
        <v>#N/A</v>
      </c>
      <c r="U145" s="16" t="e">
        <v>#N/A</v>
      </c>
    </row>
    <row r="146" spans="1:21" x14ac:dyDescent="0.25">
      <c r="A146" s="12" t="s">
        <v>21</v>
      </c>
      <c r="B146" s="12" t="s">
        <v>186</v>
      </c>
      <c r="C146" s="12" t="s">
        <v>23</v>
      </c>
      <c r="D146" s="13">
        <v>46148.526655092595</v>
      </c>
      <c r="E146" s="12" t="s">
        <v>187</v>
      </c>
      <c r="F146" s="12" t="s">
        <v>188</v>
      </c>
      <c r="G146" s="12">
        <v>35000</v>
      </c>
      <c r="H146" s="12">
        <v>35000</v>
      </c>
      <c r="I146" s="14"/>
      <c r="J146" s="14" t="s">
        <v>26</v>
      </c>
      <c r="K146" s="12" t="s">
        <v>190</v>
      </c>
      <c r="L146" s="15">
        <v>1</v>
      </c>
      <c r="M146" s="12" t="s">
        <v>150</v>
      </c>
      <c r="N146" s="12">
        <v>35000</v>
      </c>
      <c r="O146" s="12">
        <v>35000</v>
      </c>
      <c r="P146" s="12">
        <v>0</v>
      </c>
      <c r="Q146" s="16">
        <v>0</v>
      </c>
      <c r="R146" s="16">
        <v>0</v>
      </c>
      <c r="S146" s="16"/>
      <c r="T146" s="16" t="e">
        <v>#N/A</v>
      </c>
      <c r="U146" s="16" t="e">
        <v>#N/A</v>
      </c>
    </row>
    <row r="147" spans="1:21" x14ac:dyDescent="0.25">
      <c r="A147" s="12" t="s">
        <v>21</v>
      </c>
      <c r="B147" s="12" t="s">
        <v>186</v>
      </c>
      <c r="C147" s="12" t="s">
        <v>23</v>
      </c>
      <c r="D147" s="13">
        <v>46148.526655092595</v>
      </c>
      <c r="E147" s="12" t="s">
        <v>187</v>
      </c>
      <c r="F147" s="12" t="s">
        <v>189</v>
      </c>
      <c r="G147" s="12">
        <v>4200</v>
      </c>
      <c r="H147" s="12">
        <v>4200</v>
      </c>
      <c r="I147" s="14"/>
      <c r="J147" s="14" t="s">
        <v>26</v>
      </c>
      <c r="K147" s="12" t="s">
        <v>191</v>
      </c>
      <c r="L147" s="15">
        <v>1</v>
      </c>
      <c r="M147" s="12" t="s">
        <v>150</v>
      </c>
      <c r="N147" s="12">
        <v>4200</v>
      </c>
      <c r="O147" s="12">
        <v>4200</v>
      </c>
      <c r="P147" s="12">
        <v>0</v>
      </c>
      <c r="Q147" s="16">
        <v>0</v>
      </c>
      <c r="R147" s="16">
        <v>0</v>
      </c>
      <c r="S147" s="16"/>
      <c r="T147" s="16" t="e">
        <v>#N/A</v>
      </c>
      <c r="U147" s="16" t="e">
        <v>#N/A</v>
      </c>
    </row>
    <row r="148" spans="1:21" x14ac:dyDescent="0.25">
      <c r="A148" s="12" t="s">
        <v>21</v>
      </c>
      <c r="B148" s="12" t="s">
        <v>192</v>
      </c>
      <c r="C148" s="12" t="s">
        <v>23</v>
      </c>
      <c r="D148" s="13">
        <v>46150.403587962966</v>
      </c>
      <c r="E148" s="12" t="s">
        <v>193</v>
      </c>
      <c r="F148" s="12" t="s">
        <v>70</v>
      </c>
      <c r="G148" s="12">
        <v>50</v>
      </c>
      <c r="H148" s="12">
        <v>20</v>
      </c>
      <c r="I148" s="14"/>
      <c r="J148" s="14" t="s">
        <v>26</v>
      </c>
      <c r="K148" s="12" t="s">
        <v>27</v>
      </c>
      <c r="L148" s="15"/>
      <c r="M148" s="12" t="s">
        <v>28</v>
      </c>
      <c r="N148" s="12"/>
      <c r="O148" s="12"/>
      <c r="P148" s="12"/>
      <c r="Q148" s="16">
        <v>0</v>
      </c>
      <c r="R148" s="16">
        <v>0</v>
      </c>
      <c r="S148" s="16"/>
      <c r="T148" s="16" t="e">
        <v>#N/A</v>
      </c>
      <c r="U148" s="16" t="e">
        <v>#N/A</v>
      </c>
    </row>
    <row r="149" spans="1:21" x14ac:dyDescent="0.25">
      <c r="A149" s="12" t="s">
        <v>21</v>
      </c>
      <c r="B149" s="12" t="s">
        <v>194</v>
      </c>
      <c r="C149" s="12" t="s">
        <v>23</v>
      </c>
      <c r="D149" s="13">
        <v>46153.504027777781</v>
      </c>
      <c r="E149" s="12" t="s">
        <v>195</v>
      </c>
      <c r="F149" s="12" t="s">
        <v>40</v>
      </c>
      <c r="G149" s="12">
        <v>11</v>
      </c>
      <c r="H149" s="12">
        <v>11</v>
      </c>
      <c r="I149" s="14"/>
      <c r="J149" s="14" t="s">
        <v>26</v>
      </c>
      <c r="K149" s="12" t="s">
        <v>27</v>
      </c>
      <c r="L149" s="15"/>
      <c r="M149" s="12" t="s">
        <v>28</v>
      </c>
      <c r="N149" s="12"/>
      <c r="O149" s="12"/>
      <c r="P149" s="12"/>
      <c r="Q149" s="16">
        <v>0</v>
      </c>
      <c r="R149" s="16">
        <v>934</v>
      </c>
      <c r="S149" s="16"/>
      <c r="T149" s="16" t="e">
        <v>#N/A</v>
      </c>
      <c r="U149" s="16" t="e">
        <v>#N/A</v>
      </c>
    </row>
    <row r="150" spans="1:21" x14ac:dyDescent="0.25">
      <c r="A150" s="12" t="s">
        <v>21</v>
      </c>
      <c r="B150" s="12" t="s">
        <v>194</v>
      </c>
      <c r="C150" s="12" t="s">
        <v>23</v>
      </c>
      <c r="D150" s="13">
        <v>46153.504027777781</v>
      </c>
      <c r="E150" s="12" t="s">
        <v>195</v>
      </c>
      <c r="F150" s="12" t="s">
        <v>42</v>
      </c>
      <c r="G150" s="12">
        <v>17</v>
      </c>
      <c r="H150" s="12">
        <v>17</v>
      </c>
      <c r="I150" s="14"/>
      <c r="J150" s="14" t="s">
        <v>26</v>
      </c>
      <c r="K150" s="12" t="s">
        <v>27</v>
      </c>
      <c r="L150" s="15"/>
      <c r="M150" s="12" t="s">
        <v>28</v>
      </c>
      <c r="N150" s="12"/>
      <c r="O150" s="12"/>
      <c r="P150" s="12"/>
      <c r="Q150" s="16">
        <v>0</v>
      </c>
      <c r="R150" s="16">
        <v>0</v>
      </c>
      <c r="S150" s="16"/>
      <c r="T150" s="16" t="e">
        <v>#N/A</v>
      </c>
      <c r="U150" s="16" t="e">
        <v>#N/A</v>
      </c>
    </row>
    <row r="151" spans="1:21" x14ac:dyDescent="0.25">
      <c r="A151" s="12" t="s">
        <v>21</v>
      </c>
      <c r="B151" s="12" t="s">
        <v>194</v>
      </c>
      <c r="C151" s="12" t="s">
        <v>23</v>
      </c>
      <c r="D151" s="13">
        <v>46153.504027777781</v>
      </c>
      <c r="E151" s="12" t="s">
        <v>195</v>
      </c>
      <c r="F151" s="12" t="s">
        <v>145</v>
      </c>
      <c r="G151" s="12">
        <v>244</v>
      </c>
      <c r="H151" s="12">
        <v>244</v>
      </c>
      <c r="I151" s="14"/>
      <c r="J151" s="14" t="s">
        <v>26</v>
      </c>
      <c r="K151" s="12" t="s">
        <v>27</v>
      </c>
      <c r="L151" s="15"/>
      <c r="M151" s="12" t="s">
        <v>28</v>
      </c>
      <c r="N151" s="12"/>
      <c r="O151" s="12"/>
      <c r="P151" s="12"/>
      <c r="Q151" s="16">
        <v>0</v>
      </c>
      <c r="R151" s="16">
        <v>0</v>
      </c>
      <c r="S151" s="16"/>
      <c r="T151" s="16" t="e">
        <v>#N/A</v>
      </c>
      <c r="U151" s="16" t="e">
        <v>#N/A</v>
      </c>
    </row>
    <row r="152" spans="1:21" x14ac:dyDescent="0.25">
      <c r="A152" s="12" t="s">
        <v>21</v>
      </c>
      <c r="B152" s="12" t="s">
        <v>194</v>
      </c>
      <c r="C152" s="12" t="s">
        <v>23</v>
      </c>
      <c r="D152" s="13">
        <v>46153.504027777781</v>
      </c>
      <c r="E152" s="12" t="s">
        <v>195</v>
      </c>
      <c r="F152" s="12" t="s">
        <v>196</v>
      </c>
      <c r="G152" s="12">
        <v>2</v>
      </c>
      <c r="H152" s="12">
        <v>2</v>
      </c>
      <c r="I152" s="14"/>
      <c r="J152" s="14" t="s">
        <v>26</v>
      </c>
      <c r="K152" s="12" t="s">
        <v>27</v>
      </c>
      <c r="L152" s="15"/>
      <c r="M152" s="12" t="s">
        <v>28</v>
      </c>
      <c r="N152" s="12"/>
      <c r="O152" s="12"/>
      <c r="P152" s="12"/>
      <c r="Q152" s="16">
        <v>0</v>
      </c>
      <c r="R152" s="16">
        <v>0</v>
      </c>
      <c r="S152" s="16"/>
      <c r="T152" s="16" t="e">
        <v>#N/A</v>
      </c>
      <c r="U152" s="16" t="e">
        <v>#N/A</v>
      </c>
    </row>
    <row r="153" spans="1:21" x14ac:dyDescent="0.25">
      <c r="A153" s="12" t="s">
        <v>21</v>
      </c>
      <c r="B153" s="12" t="s">
        <v>194</v>
      </c>
      <c r="C153" s="12" t="s">
        <v>23</v>
      </c>
      <c r="D153" s="13">
        <v>46153.504027777781</v>
      </c>
      <c r="E153" s="12" t="s">
        <v>195</v>
      </c>
      <c r="F153" s="12" t="s">
        <v>44</v>
      </c>
      <c r="G153" s="12">
        <v>187</v>
      </c>
      <c r="H153" s="12">
        <v>187</v>
      </c>
      <c r="I153" s="14"/>
      <c r="J153" s="14" t="s">
        <v>26</v>
      </c>
      <c r="K153" s="12" t="s">
        <v>27</v>
      </c>
      <c r="L153" s="15"/>
      <c r="M153" s="12" t="s">
        <v>28</v>
      </c>
      <c r="N153" s="12"/>
      <c r="O153" s="12"/>
      <c r="P153" s="12"/>
      <c r="Q153" s="16">
        <v>0</v>
      </c>
      <c r="R153" s="16">
        <v>75</v>
      </c>
      <c r="S153" s="16"/>
      <c r="T153" s="16" t="e">
        <v>#N/A</v>
      </c>
      <c r="U153" s="16" t="e">
        <v>#N/A</v>
      </c>
    </row>
    <row r="154" spans="1:21" x14ac:dyDescent="0.25">
      <c r="A154" s="12" t="s">
        <v>21</v>
      </c>
      <c r="B154" s="12" t="s">
        <v>194</v>
      </c>
      <c r="C154" s="12" t="s">
        <v>23</v>
      </c>
      <c r="D154" s="13">
        <v>46153.504027777781</v>
      </c>
      <c r="E154" s="12" t="s">
        <v>195</v>
      </c>
      <c r="F154" s="12" t="s">
        <v>47</v>
      </c>
      <c r="G154" s="12">
        <v>100</v>
      </c>
      <c r="H154" s="12">
        <v>100</v>
      </c>
      <c r="I154" s="14"/>
      <c r="J154" s="14" t="s">
        <v>26</v>
      </c>
      <c r="K154" s="12" t="s">
        <v>27</v>
      </c>
      <c r="L154" s="15"/>
      <c r="M154" s="12" t="s">
        <v>28</v>
      </c>
      <c r="N154" s="12"/>
      <c r="O154" s="12"/>
      <c r="P154" s="12"/>
      <c r="Q154" s="16">
        <v>0</v>
      </c>
      <c r="R154" s="16">
        <v>0</v>
      </c>
      <c r="S154" s="16"/>
      <c r="T154" s="16" t="e">
        <v>#N/A</v>
      </c>
      <c r="U154" s="16" t="e">
        <v>#N/A</v>
      </c>
    </row>
    <row r="155" spans="1:21" x14ac:dyDescent="0.25">
      <c r="A155" s="12" t="s">
        <v>21</v>
      </c>
      <c r="B155" s="12" t="s">
        <v>197</v>
      </c>
      <c r="C155" s="12" t="s">
        <v>23</v>
      </c>
      <c r="D155" s="13">
        <v>46154.373402777775</v>
      </c>
      <c r="E155" s="12" t="s">
        <v>198</v>
      </c>
      <c r="F155" s="12" t="s">
        <v>199</v>
      </c>
      <c r="G155" s="12">
        <v>1</v>
      </c>
      <c r="H155" s="12">
        <v>1</v>
      </c>
      <c r="I155" s="14"/>
      <c r="J155" s="14" t="s">
        <v>26</v>
      </c>
      <c r="K155" s="12" t="s">
        <v>27</v>
      </c>
      <c r="L155" s="15"/>
      <c r="M155" s="12" t="s">
        <v>28</v>
      </c>
      <c r="N155" s="12"/>
      <c r="O155" s="12"/>
      <c r="P155" s="12"/>
      <c r="Q155" s="16">
        <v>0</v>
      </c>
      <c r="R155" s="16">
        <v>0</v>
      </c>
      <c r="S155" s="16"/>
      <c r="T155" s="16" t="e">
        <v>#N/A</v>
      </c>
      <c r="U155" s="16" t="e">
        <v>#N/A</v>
      </c>
    </row>
    <row r="156" spans="1:21" x14ac:dyDescent="0.25">
      <c r="A156" s="12" t="s">
        <v>21</v>
      </c>
      <c r="B156" s="12" t="s">
        <v>200</v>
      </c>
      <c r="C156" s="12" t="s">
        <v>23</v>
      </c>
      <c r="D156" s="13">
        <v>46154.424583333333</v>
      </c>
      <c r="E156" s="12" t="s">
        <v>198</v>
      </c>
      <c r="F156" s="12" t="s">
        <v>159</v>
      </c>
      <c r="G156" s="12">
        <v>20</v>
      </c>
      <c r="H156" s="12">
        <v>9</v>
      </c>
      <c r="I156" s="14"/>
      <c r="J156" s="14" t="s">
        <v>26</v>
      </c>
      <c r="K156" s="12" t="s">
        <v>27</v>
      </c>
      <c r="L156" s="15"/>
      <c r="M156" s="12" t="s">
        <v>28</v>
      </c>
      <c r="N156" s="12"/>
      <c r="O156" s="12"/>
      <c r="P156" s="12"/>
      <c r="Q156" s="16">
        <v>0</v>
      </c>
      <c r="R156" s="16">
        <v>0</v>
      </c>
      <c r="S156" s="16"/>
      <c r="T156" s="16" t="e">
        <v>#N/A</v>
      </c>
      <c r="U156" s="16" t="e">
        <v>#N/A</v>
      </c>
    </row>
    <row r="157" spans="1:21" x14ac:dyDescent="0.25">
      <c r="A157" s="12" t="s">
        <v>21</v>
      </c>
      <c r="B157" s="12" t="s">
        <v>200</v>
      </c>
      <c r="C157" s="12" t="s">
        <v>23</v>
      </c>
      <c r="D157" s="13">
        <v>46154.424583333333</v>
      </c>
      <c r="E157" s="12" t="s">
        <v>198</v>
      </c>
      <c r="F157" s="12" t="s">
        <v>201</v>
      </c>
      <c r="G157" s="12">
        <v>60</v>
      </c>
      <c r="H157" s="12">
        <v>50</v>
      </c>
      <c r="I157" s="14"/>
      <c r="J157" s="14" t="s">
        <v>26</v>
      </c>
      <c r="K157" s="12" t="s">
        <v>27</v>
      </c>
      <c r="L157" s="15"/>
      <c r="M157" s="12" t="s">
        <v>28</v>
      </c>
      <c r="N157" s="12"/>
      <c r="O157" s="12"/>
      <c r="P157" s="12"/>
      <c r="Q157" s="16">
        <v>0</v>
      </c>
      <c r="R157" s="16">
        <v>0</v>
      </c>
      <c r="S157" s="16">
        <v>9</v>
      </c>
      <c r="T157" s="16" t="e">
        <v>#N/A</v>
      </c>
      <c r="U157" s="16" t="e">
        <v>#N/A</v>
      </c>
    </row>
    <row r="158" spans="1:21" x14ac:dyDescent="0.25">
      <c r="A158" s="12" t="s">
        <v>21</v>
      </c>
      <c r="B158" s="12" t="s">
        <v>202</v>
      </c>
      <c r="C158" s="12" t="s">
        <v>23</v>
      </c>
      <c r="D158" s="13">
        <v>46155.295949074076</v>
      </c>
      <c r="E158" s="12" t="s">
        <v>198</v>
      </c>
      <c r="F158" s="12" t="s">
        <v>103</v>
      </c>
      <c r="G158" s="12">
        <v>20</v>
      </c>
      <c r="H158" s="12">
        <v>2</v>
      </c>
      <c r="I158" s="14"/>
      <c r="J158" s="14" t="s">
        <v>26</v>
      </c>
      <c r="K158" s="12" t="s">
        <v>27</v>
      </c>
      <c r="L158" s="15"/>
      <c r="M158" s="12" t="s">
        <v>28</v>
      </c>
      <c r="N158" s="12"/>
      <c r="O158" s="12"/>
      <c r="P158" s="12"/>
      <c r="Q158" s="16">
        <v>0</v>
      </c>
      <c r="R158" s="16">
        <v>100</v>
      </c>
      <c r="S158" s="16"/>
      <c r="T158" s="16" t="e">
        <v>#N/A</v>
      </c>
      <c r="U158" s="16" t="e">
        <v>#N/A</v>
      </c>
    </row>
    <row r="159" spans="1:21" x14ac:dyDescent="0.25">
      <c r="A159" s="12" t="s">
        <v>21</v>
      </c>
      <c r="B159" s="12" t="s">
        <v>203</v>
      </c>
      <c r="C159" s="12" t="s">
        <v>23</v>
      </c>
      <c r="D159" s="13">
        <v>46155.357118055559</v>
      </c>
      <c r="E159" s="12" t="s">
        <v>195</v>
      </c>
      <c r="F159" s="12" t="s">
        <v>204</v>
      </c>
      <c r="G159" s="12">
        <v>3</v>
      </c>
      <c r="H159" s="12">
        <v>3</v>
      </c>
      <c r="I159" s="14"/>
      <c r="J159" s="14" t="s">
        <v>26</v>
      </c>
      <c r="K159" s="12" t="s">
        <v>27</v>
      </c>
      <c r="L159" s="15"/>
      <c r="M159" s="12" t="s">
        <v>28</v>
      </c>
      <c r="N159" s="12"/>
      <c r="O159" s="12"/>
      <c r="P159" s="12"/>
      <c r="Q159" s="16">
        <v>0</v>
      </c>
      <c r="R159" s="16">
        <v>80</v>
      </c>
      <c r="S159" s="16"/>
      <c r="T159" s="16" t="e">
        <v>#N/A</v>
      </c>
      <c r="U159" s="16" t="e">
        <v>#N/A</v>
      </c>
    </row>
    <row r="160" spans="1:21" x14ac:dyDescent="0.25">
      <c r="A160" s="12" t="s">
        <v>21</v>
      </c>
      <c r="B160" s="12" t="s">
        <v>203</v>
      </c>
      <c r="C160" s="12" t="s">
        <v>23</v>
      </c>
      <c r="D160" s="13">
        <v>46155.357118055559</v>
      </c>
      <c r="E160" s="12" t="s">
        <v>195</v>
      </c>
      <c r="F160" s="12" t="s">
        <v>40</v>
      </c>
      <c r="G160" s="12">
        <v>26</v>
      </c>
      <c r="H160" s="12">
        <v>26</v>
      </c>
      <c r="I160" s="14"/>
      <c r="J160" s="14" t="s">
        <v>26</v>
      </c>
      <c r="K160" s="12" t="s">
        <v>27</v>
      </c>
      <c r="L160" s="15"/>
      <c r="M160" s="12" t="s">
        <v>28</v>
      </c>
      <c r="N160" s="12"/>
      <c r="O160" s="12"/>
      <c r="P160" s="12"/>
      <c r="Q160" s="16">
        <v>0</v>
      </c>
      <c r="R160" s="16">
        <v>934</v>
      </c>
      <c r="S160" s="16"/>
      <c r="T160" s="16" t="e">
        <v>#N/A</v>
      </c>
      <c r="U160" s="16" t="e">
        <v>#N/A</v>
      </c>
    </row>
    <row r="161" spans="1:21" x14ac:dyDescent="0.25">
      <c r="A161" s="12" t="s">
        <v>21</v>
      </c>
      <c r="B161" s="12" t="s">
        <v>203</v>
      </c>
      <c r="C161" s="12" t="s">
        <v>23</v>
      </c>
      <c r="D161" s="13">
        <v>46155.357118055559</v>
      </c>
      <c r="E161" s="12" t="s">
        <v>195</v>
      </c>
      <c r="F161" s="12" t="s">
        <v>205</v>
      </c>
      <c r="G161" s="12">
        <v>24</v>
      </c>
      <c r="H161" s="12">
        <v>24</v>
      </c>
      <c r="I161" s="14"/>
      <c r="J161" s="14" t="s">
        <v>26</v>
      </c>
      <c r="K161" s="12" t="s">
        <v>27</v>
      </c>
      <c r="L161" s="15"/>
      <c r="M161" s="12" t="s">
        <v>28</v>
      </c>
      <c r="N161" s="12"/>
      <c r="O161" s="12"/>
      <c r="P161" s="12"/>
      <c r="Q161" s="16">
        <v>0</v>
      </c>
      <c r="R161" s="16">
        <v>439</v>
      </c>
      <c r="S161" s="16">
        <v>23</v>
      </c>
      <c r="T161" s="16" t="e">
        <v>#N/A</v>
      </c>
      <c r="U161" s="16" t="e">
        <v>#N/A</v>
      </c>
    </row>
    <row r="162" spans="1:21" x14ac:dyDescent="0.25">
      <c r="A162" s="12" t="s">
        <v>21</v>
      </c>
      <c r="B162" s="12" t="s">
        <v>203</v>
      </c>
      <c r="C162" s="12" t="s">
        <v>23</v>
      </c>
      <c r="D162" s="13">
        <v>46155.357118055559</v>
      </c>
      <c r="E162" s="12" t="s">
        <v>195</v>
      </c>
      <c r="F162" s="12" t="s">
        <v>144</v>
      </c>
      <c r="G162" s="12">
        <v>1</v>
      </c>
      <c r="H162" s="12">
        <v>1</v>
      </c>
      <c r="I162" s="14"/>
      <c r="J162" s="14" t="s">
        <v>26</v>
      </c>
      <c r="K162" s="12" t="s">
        <v>27</v>
      </c>
      <c r="L162" s="15"/>
      <c r="M162" s="12" t="s">
        <v>28</v>
      </c>
      <c r="N162" s="12"/>
      <c r="O162" s="12"/>
      <c r="P162" s="12"/>
      <c r="Q162" s="16">
        <v>0</v>
      </c>
      <c r="R162" s="16">
        <v>7</v>
      </c>
      <c r="S162" s="16"/>
      <c r="T162" s="16" t="e">
        <v>#N/A</v>
      </c>
      <c r="U162" s="16" t="e">
        <v>#N/A</v>
      </c>
    </row>
    <row r="163" spans="1:21" x14ac:dyDescent="0.25">
      <c r="A163" s="12" t="s">
        <v>21</v>
      </c>
      <c r="B163" s="12" t="s">
        <v>203</v>
      </c>
      <c r="C163" s="12" t="s">
        <v>23</v>
      </c>
      <c r="D163" s="13">
        <v>46155.357118055559</v>
      </c>
      <c r="E163" s="12" t="s">
        <v>195</v>
      </c>
      <c r="F163" s="12" t="s">
        <v>206</v>
      </c>
      <c r="G163" s="12">
        <v>2</v>
      </c>
      <c r="H163" s="12">
        <v>2</v>
      </c>
      <c r="I163" s="14"/>
      <c r="J163" s="14" t="s">
        <v>26</v>
      </c>
      <c r="K163" s="12" t="s">
        <v>27</v>
      </c>
      <c r="L163" s="15"/>
      <c r="M163" s="12" t="s">
        <v>28</v>
      </c>
      <c r="N163" s="12"/>
      <c r="O163" s="12"/>
      <c r="P163" s="12"/>
      <c r="Q163" s="16">
        <v>0</v>
      </c>
      <c r="R163" s="16">
        <v>9</v>
      </c>
      <c r="S163" s="16"/>
      <c r="T163" s="16" t="e">
        <v>#N/A</v>
      </c>
      <c r="U163" s="16" t="e">
        <v>#N/A</v>
      </c>
    </row>
    <row r="164" spans="1:21" x14ac:dyDescent="0.25">
      <c r="A164" s="12" t="s">
        <v>21</v>
      </c>
      <c r="B164" s="12" t="s">
        <v>203</v>
      </c>
      <c r="C164" s="12" t="s">
        <v>23</v>
      </c>
      <c r="D164" s="13">
        <v>46155.357118055559</v>
      </c>
      <c r="E164" s="12" t="s">
        <v>195</v>
      </c>
      <c r="F164" s="12" t="s">
        <v>42</v>
      </c>
      <c r="G164" s="12">
        <v>16</v>
      </c>
      <c r="H164" s="12">
        <v>16</v>
      </c>
      <c r="I164" s="14"/>
      <c r="J164" s="14" t="s">
        <v>26</v>
      </c>
      <c r="K164" s="12" t="s">
        <v>27</v>
      </c>
      <c r="L164" s="15"/>
      <c r="M164" s="12" t="s">
        <v>28</v>
      </c>
      <c r="N164" s="12"/>
      <c r="O164" s="12"/>
      <c r="P164" s="12"/>
      <c r="Q164" s="16">
        <v>0</v>
      </c>
      <c r="R164" s="16">
        <v>0</v>
      </c>
      <c r="S164" s="16"/>
      <c r="T164" s="16" t="e">
        <v>#N/A</v>
      </c>
      <c r="U164" s="16" t="e">
        <v>#N/A</v>
      </c>
    </row>
    <row r="165" spans="1:21" x14ac:dyDescent="0.25">
      <c r="A165" s="12" t="s">
        <v>21</v>
      </c>
      <c r="B165" s="12" t="s">
        <v>203</v>
      </c>
      <c r="C165" s="12" t="s">
        <v>23</v>
      </c>
      <c r="D165" s="13">
        <v>46155.357118055559</v>
      </c>
      <c r="E165" s="12" t="s">
        <v>195</v>
      </c>
      <c r="F165" s="12" t="s">
        <v>207</v>
      </c>
      <c r="G165" s="12">
        <v>8</v>
      </c>
      <c r="H165" s="12">
        <v>8</v>
      </c>
      <c r="I165" s="14"/>
      <c r="J165" s="14" t="s">
        <v>26</v>
      </c>
      <c r="K165" s="12" t="s">
        <v>27</v>
      </c>
      <c r="L165" s="15"/>
      <c r="M165" s="12" t="s">
        <v>28</v>
      </c>
      <c r="N165" s="12"/>
      <c r="O165" s="12"/>
      <c r="P165" s="12"/>
      <c r="Q165" s="16">
        <v>0</v>
      </c>
      <c r="R165" s="16">
        <v>0</v>
      </c>
      <c r="S165" s="16"/>
      <c r="T165" s="16" t="e">
        <v>#N/A</v>
      </c>
      <c r="U165" s="16" t="e">
        <v>#N/A</v>
      </c>
    </row>
    <row r="166" spans="1:21" x14ac:dyDescent="0.25">
      <c r="A166" s="12" t="s">
        <v>21</v>
      </c>
      <c r="B166" s="12" t="s">
        <v>203</v>
      </c>
      <c r="C166" s="12" t="s">
        <v>23</v>
      </c>
      <c r="D166" s="13">
        <v>46155.357118055559</v>
      </c>
      <c r="E166" s="12" t="s">
        <v>195</v>
      </c>
      <c r="F166" s="12" t="s">
        <v>208</v>
      </c>
      <c r="G166" s="12">
        <v>12</v>
      </c>
      <c r="H166" s="12">
        <v>12</v>
      </c>
      <c r="I166" s="14"/>
      <c r="J166" s="14" t="s">
        <v>26</v>
      </c>
      <c r="K166" s="12" t="s">
        <v>27</v>
      </c>
      <c r="L166" s="15"/>
      <c r="M166" s="12" t="s">
        <v>28</v>
      </c>
      <c r="N166" s="12"/>
      <c r="O166" s="12"/>
      <c r="P166" s="12"/>
      <c r="Q166" s="16">
        <v>0</v>
      </c>
      <c r="R166" s="16">
        <v>0</v>
      </c>
      <c r="S166" s="16"/>
      <c r="T166" s="16" t="e">
        <v>#N/A</v>
      </c>
      <c r="U166" s="16" t="e">
        <v>#N/A</v>
      </c>
    </row>
    <row r="167" spans="1:21" x14ac:dyDescent="0.25">
      <c r="A167" s="12" t="s">
        <v>21</v>
      </c>
      <c r="B167" s="12" t="s">
        <v>203</v>
      </c>
      <c r="C167" s="12" t="s">
        <v>23</v>
      </c>
      <c r="D167" s="13">
        <v>46155.357118055559</v>
      </c>
      <c r="E167" s="12" t="s">
        <v>195</v>
      </c>
      <c r="F167" s="12" t="s">
        <v>209</v>
      </c>
      <c r="G167" s="12">
        <v>1</v>
      </c>
      <c r="H167" s="12">
        <v>1</v>
      </c>
      <c r="I167" s="14"/>
      <c r="J167" s="14" t="s">
        <v>26</v>
      </c>
      <c r="K167" s="12" t="s">
        <v>27</v>
      </c>
      <c r="L167" s="15"/>
      <c r="M167" s="12" t="s">
        <v>28</v>
      </c>
      <c r="N167" s="12"/>
      <c r="O167" s="12"/>
      <c r="P167" s="12"/>
      <c r="Q167" s="16">
        <v>0</v>
      </c>
      <c r="R167" s="16">
        <v>0</v>
      </c>
      <c r="S167" s="16"/>
      <c r="T167" s="16" t="e">
        <v>#N/A</v>
      </c>
      <c r="U167" s="16" t="e">
        <v>#N/A</v>
      </c>
    </row>
    <row r="168" spans="1:21" x14ac:dyDescent="0.25">
      <c r="A168" s="12" t="s">
        <v>21</v>
      </c>
      <c r="B168" s="12" t="s">
        <v>210</v>
      </c>
      <c r="C168" s="12" t="s">
        <v>23</v>
      </c>
      <c r="D168" s="13">
        <v>46155.377951388888</v>
      </c>
      <c r="E168" s="12" t="s">
        <v>195</v>
      </c>
      <c r="F168" s="12" t="s">
        <v>145</v>
      </c>
      <c r="G168" s="12">
        <v>272</v>
      </c>
      <c r="H168" s="12">
        <v>272</v>
      </c>
      <c r="I168" s="14"/>
      <c r="J168" s="14" t="s">
        <v>26</v>
      </c>
      <c r="K168" s="12" t="s">
        <v>27</v>
      </c>
      <c r="L168" s="15"/>
      <c r="M168" s="12" t="s">
        <v>28</v>
      </c>
      <c r="N168" s="12"/>
      <c r="O168" s="12"/>
      <c r="P168" s="12"/>
      <c r="Q168" s="16">
        <v>0</v>
      </c>
      <c r="R168" s="16">
        <v>0</v>
      </c>
      <c r="S168" s="16"/>
      <c r="T168" s="16" t="e">
        <v>#N/A</v>
      </c>
      <c r="U168" s="16" t="e">
        <v>#N/A</v>
      </c>
    </row>
    <row r="169" spans="1:21" x14ac:dyDescent="0.25">
      <c r="A169" s="12" t="s">
        <v>21</v>
      </c>
      <c r="B169" s="12" t="s">
        <v>210</v>
      </c>
      <c r="C169" s="12" t="s">
        <v>23</v>
      </c>
      <c r="D169" s="13">
        <v>46155.377951388888</v>
      </c>
      <c r="E169" s="12" t="s">
        <v>195</v>
      </c>
      <c r="F169" s="12" t="s">
        <v>211</v>
      </c>
      <c r="G169" s="12">
        <v>2</v>
      </c>
      <c r="H169" s="12">
        <v>2</v>
      </c>
      <c r="I169" s="14"/>
      <c r="J169" s="14" t="s">
        <v>26</v>
      </c>
      <c r="K169" s="12" t="s">
        <v>27</v>
      </c>
      <c r="L169" s="15"/>
      <c r="M169" s="12" t="s">
        <v>28</v>
      </c>
      <c r="N169" s="12"/>
      <c r="O169" s="12"/>
      <c r="P169" s="12"/>
      <c r="Q169" s="16">
        <v>0</v>
      </c>
      <c r="R169" s="16">
        <v>0</v>
      </c>
      <c r="S169" s="16"/>
      <c r="T169" s="16" t="e">
        <v>#N/A</v>
      </c>
      <c r="U169" s="16" t="e">
        <v>#N/A</v>
      </c>
    </row>
    <row r="170" spans="1:21" x14ac:dyDescent="0.25">
      <c r="A170" s="12" t="s">
        <v>21</v>
      </c>
      <c r="B170" s="12" t="s">
        <v>210</v>
      </c>
      <c r="C170" s="12" t="s">
        <v>23</v>
      </c>
      <c r="D170" s="13">
        <v>46155.377951388888</v>
      </c>
      <c r="E170" s="12" t="s">
        <v>195</v>
      </c>
      <c r="F170" s="12" t="s">
        <v>44</v>
      </c>
      <c r="G170" s="12">
        <v>134</v>
      </c>
      <c r="H170" s="12">
        <v>134</v>
      </c>
      <c r="I170" s="14"/>
      <c r="J170" s="14" t="s">
        <v>26</v>
      </c>
      <c r="K170" s="12" t="s">
        <v>27</v>
      </c>
      <c r="L170" s="15"/>
      <c r="M170" s="12" t="s">
        <v>28</v>
      </c>
      <c r="N170" s="12"/>
      <c r="O170" s="12"/>
      <c r="P170" s="12"/>
      <c r="Q170" s="16">
        <v>0</v>
      </c>
      <c r="R170" s="16">
        <v>75</v>
      </c>
      <c r="S170" s="16"/>
      <c r="T170" s="16" t="e">
        <v>#N/A</v>
      </c>
      <c r="U170" s="16" t="e">
        <v>#N/A</v>
      </c>
    </row>
    <row r="171" spans="1:21" x14ac:dyDescent="0.25">
      <c r="A171" s="12" t="s">
        <v>21</v>
      </c>
      <c r="B171" s="12" t="s">
        <v>210</v>
      </c>
      <c r="C171" s="12" t="s">
        <v>23</v>
      </c>
      <c r="D171" s="13">
        <v>46155.377951388888</v>
      </c>
      <c r="E171" s="12" t="s">
        <v>195</v>
      </c>
      <c r="F171" s="12" t="s">
        <v>48</v>
      </c>
      <c r="G171" s="12">
        <v>138</v>
      </c>
      <c r="H171" s="12">
        <v>138</v>
      </c>
      <c r="I171" s="14"/>
      <c r="J171" s="14" t="s">
        <v>26</v>
      </c>
      <c r="K171" s="12" t="s">
        <v>27</v>
      </c>
      <c r="L171" s="15"/>
      <c r="M171" s="12" t="s">
        <v>28</v>
      </c>
      <c r="N171" s="12"/>
      <c r="O171" s="12"/>
      <c r="P171" s="12"/>
      <c r="Q171" s="16">
        <v>0</v>
      </c>
      <c r="R171" s="16">
        <v>3758</v>
      </c>
      <c r="S171" s="16">
        <v>38</v>
      </c>
      <c r="T171" s="16" t="e">
        <v>#N/A</v>
      </c>
      <c r="U171" s="16" t="e">
        <v>#N/A</v>
      </c>
    </row>
    <row r="172" spans="1:21" x14ac:dyDescent="0.25">
      <c r="A172" s="12" t="s">
        <v>21</v>
      </c>
      <c r="B172" s="12" t="s">
        <v>212</v>
      </c>
      <c r="C172" s="12" t="s">
        <v>23</v>
      </c>
      <c r="D172" s="13">
        <v>46155.388773148145</v>
      </c>
      <c r="E172" s="12" t="s">
        <v>195</v>
      </c>
      <c r="F172" s="12" t="s">
        <v>40</v>
      </c>
      <c r="G172" s="12">
        <v>19</v>
      </c>
      <c r="H172" s="12">
        <v>19</v>
      </c>
      <c r="I172" s="14"/>
      <c r="J172" s="14" t="s">
        <v>26</v>
      </c>
      <c r="K172" s="12" t="s">
        <v>27</v>
      </c>
      <c r="L172" s="15"/>
      <c r="M172" s="12" t="s">
        <v>28</v>
      </c>
      <c r="N172" s="12"/>
      <c r="O172" s="12"/>
      <c r="P172" s="12"/>
      <c r="Q172" s="16">
        <v>0</v>
      </c>
      <c r="R172" s="16">
        <v>934</v>
      </c>
      <c r="S172" s="16"/>
      <c r="T172" s="16" t="e">
        <v>#N/A</v>
      </c>
      <c r="U172" s="16" t="e">
        <v>#N/A</v>
      </c>
    </row>
    <row r="173" spans="1:21" x14ac:dyDescent="0.25">
      <c r="A173" s="12" t="s">
        <v>21</v>
      </c>
      <c r="B173" s="12" t="s">
        <v>212</v>
      </c>
      <c r="C173" s="12" t="s">
        <v>23</v>
      </c>
      <c r="D173" s="13">
        <v>46155.388773148145</v>
      </c>
      <c r="E173" s="12" t="s">
        <v>195</v>
      </c>
      <c r="F173" s="12" t="s">
        <v>86</v>
      </c>
      <c r="G173" s="12">
        <v>4</v>
      </c>
      <c r="H173" s="12">
        <v>4</v>
      </c>
      <c r="I173" s="14"/>
      <c r="J173" s="14" t="s">
        <v>26</v>
      </c>
      <c r="K173" s="12" t="s">
        <v>27</v>
      </c>
      <c r="L173" s="15"/>
      <c r="M173" s="12" t="s">
        <v>28</v>
      </c>
      <c r="N173" s="12"/>
      <c r="O173" s="12"/>
      <c r="P173" s="12"/>
      <c r="Q173" s="16">
        <v>0</v>
      </c>
      <c r="R173" s="16">
        <v>0</v>
      </c>
      <c r="S173" s="16"/>
      <c r="T173" s="16" t="e">
        <v>#N/A</v>
      </c>
      <c r="U173" s="16" t="e">
        <v>#N/A</v>
      </c>
    </row>
    <row r="174" spans="1:21" x14ac:dyDescent="0.25">
      <c r="A174" s="12" t="s">
        <v>21</v>
      </c>
      <c r="B174" s="12" t="s">
        <v>212</v>
      </c>
      <c r="C174" s="12" t="s">
        <v>23</v>
      </c>
      <c r="D174" s="13">
        <v>46155.388773148145</v>
      </c>
      <c r="E174" s="12" t="s">
        <v>195</v>
      </c>
      <c r="F174" s="12" t="s">
        <v>144</v>
      </c>
      <c r="G174" s="12">
        <v>1</v>
      </c>
      <c r="H174" s="12">
        <v>1</v>
      </c>
      <c r="I174" s="14"/>
      <c r="J174" s="14" t="s">
        <v>26</v>
      </c>
      <c r="K174" s="12" t="s">
        <v>27</v>
      </c>
      <c r="L174" s="15"/>
      <c r="M174" s="12" t="s">
        <v>28</v>
      </c>
      <c r="N174" s="12"/>
      <c r="O174" s="12"/>
      <c r="P174" s="12"/>
      <c r="Q174" s="16">
        <v>0</v>
      </c>
      <c r="R174" s="16">
        <v>7</v>
      </c>
      <c r="S174" s="16"/>
      <c r="T174" s="16" t="e">
        <v>#N/A</v>
      </c>
      <c r="U174" s="16" t="e">
        <v>#N/A</v>
      </c>
    </row>
    <row r="175" spans="1:21" x14ac:dyDescent="0.25">
      <c r="A175" s="12" t="s">
        <v>21</v>
      </c>
      <c r="B175" s="12" t="s">
        <v>212</v>
      </c>
      <c r="C175" s="12" t="s">
        <v>23</v>
      </c>
      <c r="D175" s="13">
        <v>46155.388773148145</v>
      </c>
      <c r="E175" s="12" t="s">
        <v>195</v>
      </c>
      <c r="F175" s="12" t="s">
        <v>42</v>
      </c>
      <c r="G175" s="12">
        <v>6</v>
      </c>
      <c r="H175" s="12">
        <v>6</v>
      </c>
      <c r="I175" s="14"/>
      <c r="J175" s="14" t="s">
        <v>26</v>
      </c>
      <c r="K175" s="12" t="s">
        <v>27</v>
      </c>
      <c r="L175" s="15"/>
      <c r="M175" s="12" t="s">
        <v>28</v>
      </c>
      <c r="N175" s="12"/>
      <c r="O175" s="12"/>
      <c r="P175" s="12"/>
      <c r="Q175" s="16">
        <v>0</v>
      </c>
      <c r="R175" s="16">
        <v>0</v>
      </c>
      <c r="S175" s="16"/>
      <c r="T175" s="16" t="e">
        <v>#N/A</v>
      </c>
      <c r="U175" s="16" t="e">
        <v>#N/A</v>
      </c>
    </row>
    <row r="176" spans="1:21" x14ac:dyDescent="0.25">
      <c r="A176" s="12" t="s">
        <v>21</v>
      </c>
      <c r="B176" s="12" t="s">
        <v>212</v>
      </c>
      <c r="C176" s="12" t="s">
        <v>23</v>
      </c>
      <c r="D176" s="13">
        <v>46155.388773148145</v>
      </c>
      <c r="E176" s="12" t="s">
        <v>195</v>
      </c>
      <c r="F176" s="12" t="s">
        <v>145</v>
      </c>
      <c r="G176" s="12">
        <v>134</v>
      </c>
      <c r="H176" s="12">
        <v>134</v>
      </c>
      <c r="I176" s="14"/>
      <c r="J176" s="14" t="s">
        <v>26</v>
      </c>
      <c r="K176" s="12" t="s">
        <v>27</v>
      </c>
      <c r="L176" s="15"/>
      <c r="M176" s="12" t="s">
        <v>28</v>
      </c>
      <c r="N176" s="12"/>
      <c r="O176" s="12"/>
      <c r="P176" s="12"/>
      <c r="Q176" s="16">
        <v>0</v>
      </c>
      <c r="R176" s="16">
        <v>0</v>
      </c>
      <c r="S176" s="16"/>
      <c r="T176" s="16" t="e">
        <v>#N/A</v>
      </c>
      <c r="U176" s="16" t="e">
        <v>#N/A</v>
      </c>
    </row>
    <row r="177" spans="1:21" x14ac:dyDescent="0.25">
      <c r="A177" s="12" t="s">
        <v>21</v>
      </c>
      <c r="B177" s="12" t="s">
        <v>212</v>
      </c>
      <c r="C177" s="12" t="s">
        <v>23</v>
      </c>
      <c r="D177" s="13">
        <v>46155.388773148145</v>
      </c>
      <c r="E177" s="12" t="s">
        <v>195</v>
      </c>
      <c r="F177" s="12" t="s">
        <v>213</v>
      </c>
      <c r="G177" s="12">
        <v>4</v>
      </c>
      <c r="H177" s="12">
        <v>4</v>
      </c>
      <c r="I177" s="14"/>
      <c r="J177" s="14" t="s">
        <v>26</v>
      </c>
      <c r="K177" s="12" t="s">
        <v>27</v>
      </c>
      <c r="L177" s="15"/>
      <c r="M177" s="12" t="s">
        <v>28</v>
      </c>
      <c r="N177" s="12"/>
      <c r="O177" s="12"/>
      <c r="P177" s="12"/>
      <c r="Q177" s="16">
        <v>0</v>
      </c>
      <c r="R177" s="16">
        <v>0</v>
      </c>
      <c r="S177" s="16"/>
      <c r="T177" s="16" t="e">
        <v>#N/A</v>
      </c>
      <c r="U177" s="16" t="e">
        <v>#N/A</v>
      </c>
    </row>
    <row r="178" spans="1:21" x14ac:dyDescent="0.25">
      <c r="A178" s="12" t="s">
        <v>21</v>
      </c>
      <c r="B178" s="12" t="s">
        <v>212</v>
      </c>
      <c r="C178" s="12" t="s">
        <v>23</v>
      </c>
      <c r="D178" s="13">
        <v>46155.388773148145</v>
      </c>
      <c r="E178" s="12" t="s">
        <v>195</v>
      </c>
      <c r="F178" s="12" t="s">
        <v>89</v>
      </c>
      <c r="G178" s="12">
        <v>4</v>
      </c>
      <c r="H178" s="12">
        <v>4</v>
      </c>
      <c r="I178" s="14"/>
      <c r="J178" s="14" t="s">
        <v>26</v>
      </c>
      <c r="K178" s="12" t="s">
        <v>27</v>
      </c>
      <c r="L178" s="15"/>
      <c r="M178" s="12" t="s">
        <v>28</v>
      </c>
      <c r="N178" s="12"/>
      <c r="O178" s="12"/>
      <c r="P178" s="12"/>
      <c r="Q178" s="16">
        <v>0</v>
      </c>
      <c r="R178" s="16">
        <v>0</v>
      </c>
      <c r="S178" s="16"/>
      <c r="T178" s="16" t="e">
        <v>#N/A</v>
      </c>
      <c r="U178" s="16" t="e">
        <v>#N/A</v>
      </c>
    </row>
    <row r="179" spans="1:21" x14ac:dyDescent="0.25">
      <c r="A179" s="12" t="s">
        <v>21</v>
      </c>
      <c r="B179" s="12" t="s">
        <v>212</v>
      </c>
      <c r="C179" s="12" t="s">
        <v>23</v>
      </c>
      <c r="D179" s="13">
        <v>46155.388773148145</v>
      </c>
      <c r="E179" s="12" t="s">
        <v>195</v>
      </c>
      <c r="F179" s="12" t="s">
        <v>214</v>
      </c>
      <c r="G179" s="12">
        <v>4</v>
      </c>
      <c r="H179" s="12">
        <v>4</v>
      </c>
      <c r="I179" s="14"/>
      <c r="J179" s="14" t="s">
        <v>26</v>
      </c>
      <c r="K179" s="12" t="s">
        <v>27</v>
      </c>
      <c r="L179" s="15"/>
      <c r="M179" s="12" t="s">
        <v>28</v>
      </c>
      <c r="N179" s="12"/>
      <c r="O179" s="12"/>
      <c r="P179" s="12"/>
      <c r="Q179" s="16">
        <v>0</v>
      </c>
      <c r="R179" s="16">
        <v>270</v>
      </c>
      <c r="S179" s="16">
        <v>3</v>
      </c>
      <c r="T179" s="16" t="e">
        <v>#N/A</v>
      </c>
      <c r="U179" s="16" t="e">
        <v>#N/A</v>
      </c>
    </row>
    <row r="180" spans="1:21" x14ac:dyDescent="0.25">
      <c r="A180" s="12" t="s">
        <v>21</v>
      </c>
      <c r="B180" s="12" t="s">
        <v>212</v>
      </c>
      <c r="C180" s="12" t="s">
        <v>23</v>
      </c>
      <c r="D180" s="13">
        <v>46155.388773148145</v>
      </c>
      <c r="E180" s="12" t="s">
        <v>195</v>
      </c>
      <c r="F180" s="12" t="s">
        <v>91</v>
      </c>
      <c r="G180" s="12">
        <v>4</v>
      </c>
      <c r="H180" s="12">
        <v>4</v>
      </c>
      <c r="I180" s="14"/>
      <c r="J180" s="14" t="s">
        <v>26</v>
      </c>
      <c r="K180" s="12" t="s">
        <v>27</v>
      </c>
      <c r="L180" s="15"/>
      <c r="M180" s="12" t="s">
        <v>28</v>
      </c>
      <c r="N180" s="12"/>
      <c r="O180" s="12"/>
      <c r="P180" s="12"/>
      <c r="Q180" s="16">
        <v>0</v>
      </c>
      <c r="R180" s="16">
        <v>0</v>
      </c>
      <c r="S180" s="16"/>
      <c r="T180" s="16" t="e">
        <v>#N/A</v>
      </c>
      <c r="U180" s="16" t="e">
        <v>#N/A</v>
      </c>
    </row>
    <row r="181" spans="1:21" x14ac:dyDescent="0.25">
      <c r="A181" s="12" t="s">
        <v>21</v>
      </c>
      <c r="B181" s="12" t="s">
        <v>212</v>
      </c>
      <c r="C181" s="12" t="s">
        <v>23</v>
      </c>
      <c r="D181" s="13">
        <v>46155.388773148145</v>
      </c>
      <c r="E181" s="12" t="s">
        <v>195</v>
      </c>
      <c r="F181" s="12" t="s">
        <v>92</v>
      </c>
      <c r="G181" s="12">
        <v>4</v>
      </c>
      <c r="H181" s="12">
        <v>4</v>
      </c>
      <c r="I181" s="14"/>
      <c r="J181" s="14" t="s">
        <v>26</v>
      </c>
      <c r="K181" s="12" t="s">
        <v>27</v>
      </c>
      <c r="L181" s="15"/>
      <c r="M181" s="12" t="s">
        <v>28</v>
      </c>
      <c r="N181" s="12"/>
      <c r="O181" s="12"/>
      <c r="P181" s="12"/>
      <c r="Q181" s="16">
        <v>0</v>
      </c>
      <c r="R181" s="16">
        <v>0</v>
      </c>
      <c r="S181" s="16"/>
      <c r="T181" s="16" t="e">
        <v>#N/A</v>
      </c>
      <c r="U181" s="16" t="e">
        <v>#N/A</v>
      </c>
    </row>
    <row r="182" spans="1:21" x14ac:dyDescent="0.25">
      <c r="A182" s="12" t="s">
        <v>21</v>
      </c>
      <c r="B182" s="12" t="s">
        <v>212</v>
      </c>
      <c r="C182" s="12" t="s">
        <v>23</v>
      </c>
      <c r="D182" s="13">
        <v>46155.388773148145</v>
      </c>
      <c r="E182" s="12" t="s">
        <v>195</v>
      </c>
      <c r="F182" s="12" t="s">
        <v>215</v>
      </c>
      <c r="G182" s="12">
        <v>4</v>
      </c>
      <c r="H182" s="12">
        <v>4</v>
      </c>
      <c r="I182" s="14"/>
      <c r="J182" s="14" t="s">
        <v>26</v>
      </c>
      <c r="K182" s="12" t="s">
        <v>27</v>
      </c>
      <c r="L182" s="15"/>
      <c r="M182" s="12" t="s">
        <v>28</v>
      </c>
      <c r="N182" s="12"/>
      <c r="O182" s="12"/>
      <c r="P182" s="12"/>
      <c r="Q182" s="16">
        <v>0</v>
      </c>
      <c r="R182" s="16">
        <v>1</v>
      </c>
      <c r="S182" s="16"/>
      <c r="T182" s="16" t="e">
        <v>#N/A</v>
      </c>
      <c r="U182" s="16" t="e">
        <v>#N/A</v>
      </c>
    </row>
    <row r="183" spans="1:21" x14ac:dyDescent="0.25">
      <c r="A183" s="12" t="s">
        <v>21</v>
      </c>
      <c r="B183" s="12" t="s">
        <v>212</v>
      </c>
      <c r="C183" s="12" t="s">
        <v>23</v>
      </c>
      <c r="D183" s="13">
        <v>46155.388773148145</v>
      </c>
      <c r="E183" s="12" t="s">
        <v>195</v>
      </c>
      <c r="F183" s="12" t="s">
        <v>196</v>
      </c>
      <c r="G183" s="12">
        <v>4</v>
      </c>
      <c r="H183" s="12">
        <v>4</v>
      </c>
      <c r="I183" s="14"/>
      <c r="J183" s="14" t="s">
        <v>26</v>
      </c>
      <c r="K183" s="12" t="s">
        <v>27</v>
      </c>
      <c r="L183" s="15"/>
      <c r="M183" s="12" t="s">
        <v>28</v>
      </c>
      <c r="N183" s="12"/>
      <c r="O183" s="12"/>
      <c r="P183" s="12"/>
      <c r="Q183" s="16">
        <v>0</v>
      </c>
      <c r="R183" s="16">
        <v>0</v>
      </c>
      <c r="S183" s="16"/>
      <c r="T183" s="16" t="e">
        <v>#N/A</v>
      </c>
      <c r="U183" s="16" t="e">
        <v>#N/A</v>
      </c>
    </row>
    <row r="184" spans="1:21" x14ac:dyDescent="0.25">
      <c r="A184" s="12" t="s">
        <v>21</v>
      </c>
      <c r="B184" s="12" t="s">
        <v>212</v>
      </c>
      <c r="C184" s="12" t="s">
        <v>23</v>
      </c>
      <c r="D184" s="13">
        <v>46155.388773148145</v>
      </c>
      <c r="E184" s="12" t="s">
        <v>195</v>
      </c>
      <c r="F184" s="12" t="s">
        <v>94</v>
      </c>
      <c r="G184" s="12">
        <v>20</v>
      </c>
      <c r="H184" s="12">
        <v>20</v>
      </c>
      <c r="I184" s="14"/>
      <c r="J184" s="14" t="s">
        <v>26</v>
      </c>
      <c r="K184" s="12" t="s">
        <v>27</v>
      </c>
      <c r="L184" s="15"/>
      <c r="M184" s="12" t="s">
        <v>28</v>
      </c>
      <c r="N184" s="12"/>
      <c r="O184" s="12"/>
      <c r="P184" s="12"/>
      <c r="Q184" s="16">
        <v>0</v>
      </c>
      <c r="R184" s="16">
        <v>100</v>
      </c>
      <c r="S184" s="16"/>
      <c r="T184" s="16" t="e">
        <v>#N/A</v>
      </c>
      <c r="U184" s="16" t="e">
        <v>#N/A</v>
      </c>
    </row>
    <row r="185" spans="1:21" x14ac:dyDescent="0.25">
      <c r="A185" s="12" t="s">
        <v>21</v>
      </c>
      <c r="B185" s="12" t="s">
        <v>212</v>
      </c>
      <c r="C185" s="12" t="s">
        <v>23</v>
      </c>
      <c r="D185" s="13">
        <v>46155.388773148145</v>
      </c>
      <c r="E185" s="12" t="s">
        <v>195</v>
      </c>
      <c r="F185" s="12" t="s">
        <v>207</v>
      </c>
      <c r="G185" s="12">
        <v>4</v>
      </c>
      <c r="H185" s="12">
        <v>4</v>
      </c>
      <c r="I185" s="14"/>
      <c r="J185" s="14" t="s">
        <v>26</v>
      </c>
      <c r="K185" s="12" t="s">
        <v>27</v>
      </c>
      <c r="L185" s="15"/>
      <c r="M185" s="12" t="s">
        <v>28</v>
      </c>
      <c r="N185" s="12"/>
      <c r="O185" s="12"/>
      <c r="P185" s="12"/>
      <c r="Q185" s="16">
        <v>0</v>
      </c>
      <c r="R185" s="16">
        <v>0</v>
      </c>
      <c r="S185" s="16"/>
      <c r="T185" s="16" t="e">
        <v>#N/A</v>
      </c>
      <c r="U185" s="16" t="e">
        <v>#N/A</v>
      </c>
    </row>
    <row r="186" spans="1:21" x14ac:dyDescent="0.25">
      <c r="A186" s="12" t="s">
        <v>21</v>
      </c>
      <c r="B186" s="12" t="s">
        <v>212</v>
      </c>
      <c r="C186" s="12" t="s">
        <v>23</v>
      </c>
      <c r="D186" s="13">
        <v>46155.388773148145</v>
      </c>
      <c r="E186" s="12" t="s">
        <v>195</v>
      </c>
      <c r="F186" s="12" t="s">
        <v>209</v>
      </c>
      <c r="G186" s="12">
        <v>1</v>
      </c>
      <c r="H186" s="12">
        <v>1</v>
      </c>
      <c r="I186" s="14"/>
      <c r="J186" s="14" t="s">
        <v>26</v>
      </c>
      <c r="K186" s="12" t="s">
        <v>27</v>
      </c>
      <c r="L186" s="15"/>
      <c r="M186" s="12" t="s">
        <v>28</v>
      </c>
      <c r="N186" s="12"/>
      <c r="O186" s="12"/>
      <c r="P186" s="12"/>
      <c r="Q186" s="16">
        <v>0</v>
      </c>
      <c r="R186" s="16">
        <v>0</v>
      </c>
      <c r="S186" s="16"/>
      <c r="T186" s="16" t="e">
        <v>#N/A</v>
      </c>
      <c r="U186" s="16" t="e">
        <v>#N/A</v>
      </c>
    </row>
    <row r="187" spans="1:21" x14ac:dyDescent="0.25">
      <c r="A187" s="12" t="s">
        <v>21</v>
      </c>
      <c r="B187" s="12" t="s">
        <v>216</v>
      </c>
      <c r="C187" s="12" t="s">
        <v>23</v>
      </c>
      <c r="D187" s="13">
        <v>46155.477210648147</v>
      </c>
      <c r="E187" s="12" t="s">
        <v>195</v>
      </c>
      <c r="F187" s="12" t="s">
        <v>44</v>
      </c>
      <c r="G187" s="12">
        <v>51</v>
      </c>
      <c r="H187" s="12">
        <v>51</v>
      </c>
      <c r="I187" s="14"/>
      <c r="J187" s="14" t="s">
        <v>26</v>
      </c>
      <c r="K187" s="12" t="s">
        <v>27</v>
      </c>
      <c r="L187" s="15"/>
      <c r="M187" s="12" t="s">
        <v>28</v>
      </c>
      <c r="N187" s="12"/>
      <c r="O187" s="12"/>
      <c r="P187" s="12"/>
      <c r="Q187" s="16">
        <v>0</v>
      </c>
      <c r="R187" s="16">
        <v>75</v>
      </c>
      <c r="S187" s="16"/>
      <c r="T187" s="16" t="e">
        <v>#N/A</v>
      </c>
      <c r="U187" s="16" t="e">
        <v>#N/A</v>
      </c>
    </row>
    <row r="188" spans="1:21" x14ac:dyDescent="0.25">
      <c r="A188" s="12" t="s">
        <v>21</v>
      </c>
      <c r="B188" s="12" t="s">
        <v>216</v>
      </c>
      <c r="C188" s="12" t="s">
        <v>23</v>
      </c>
      <c r="D188" s="13">
        <v>46155.477210648147</v>
      </c>
      <c r="E188" s="12" t="s">
        <v>195</v>
      </c>
      <c r="F188" s="12" t="s">
        <v>126</v>
      </c>
      <c r="G188" s="12">
        <v>73</v>
      </c>
      <c r="H188" s="12">
        <v>73</v>
      </c>
      <c r="I188" s="14"/>
      <c r="J188" s="14" t="s">
        <v>26</v>
      </c>
      <c r="K188" s="12" t="s">
        <v>27</v>
      </c>
      <c r="L188" s="15"/>
      <c r="M188" s="12" t="s">
        <v>28</v>
      </c>
      <c r="N188" s="12"/>
      <c r="O188" s="12"/>
      <c r="P188" s="12"/>
      <c r="Q188" s="16">
        <v>0</v>
      </c>
      <c r="R188" s="16">
        <v>0</v>
      </c>
      <c r="S188" s="16"/>
      <c r="T188" s="16" t="e">
        <v>#N/A</v>
      </c>
      <c r="U188" s="16" t="e">
        <v>#N/A</v>
      </c>
    </row>
    <row r="189" spans="1:21" x14ac:dyDescent="0.25">
      <c r="A189" s="12" t="s">
        <v>21</v>
      </c>
      <c r="B189" s="12" t="s">
        <v>216</v>
      </c>
      <c r="C189" s="12" t="s">
        <v>23</v>
      </c>
      <c r="D189" s="13">
        <v>46155.477210648147</v>
      </c>
      <c r="E189" s="12" t="s">
        <v>195</v>
      </c>
      <c r="F189" s="12" t="s">
        <v>127</v>
      </c>
      <c r="G189" s="12">
        <v>18</v>
      </c>
      <c r="H189" s="12">
        <v>18</v>
      </c>
      <c r="I189" s="14"/>
      <c r="J189" s="14" t="s">
        <v>26</v>
      </c>
      <c r="K189" s="12" t="s">
        <v>27</v>
      </c>
      <c r="L189" s="15"/>
      <c r="M189" s="12" t="s">
        <v>28</v>
      </c>
      <c r="N189" s="12"/>
      <c r="O189" s="12"/>
      <c r="P189" s="12"/>
      <c r="Q189" s="16">
        <v>0</v>
      </c>
      <c r="R189" s="16">
        <v>0</v>
      </c>
      <c r="S189" s="16"/>
      <c r="T189" s="16" t="e">
        <v>#N/A</v>
      </c>
      <c r="U189" s="16" t="e">
        <v>#N/A</v>
      </c>
    </row>
    <row r="190" spans="1:21" x14ac:dyDescent="0.25">
      <c r="A190" s="12" t="s">
        <v>21</v>
      </c>
      <c r="B190" s="12" t="s">
        <v>216</v>
      </c>
      <c r="C190" s="12" t="s">
        <v>23</v>
      </c>
      <c r="D190" s="13">
        <v>46155.477210648147</v>
      </c>
      <c r="E190" s="12" t="s">
        <v>195</v>
      </c>
      <c r="F190" s="12" t="s">
        <v>47</v>
      </c>
      <c r="G190" s="12">
        <v>100</v>
      </c>
      <c r="H190" s="12">
        <v>100</v>
      </c>
      <c r="I190" s="14"/>
      <c r="J190" s="14" t="s">
        <v>26</v>
      </c>
      <c r="K190" s="12" t="s">
        <v>27</v>
      </c>
      <c r="L190" s="15"/>
      <c r="M190" s="12" t="s">
        <v>28</v>
      </c>
      <c r="N190" s="12"/>
      <c r="O190" s="12"/>
      <c r="P190" s="12"/>
      <c r="Q190" s="16">
        <v>0</v>
      </c>
      <c r="R190" s="16">
        <v>0</v>
      </c>
      <c r="S190" s="16"/>
      <c r="T190" s="16" t="e">
        <v>#N/A</v>
      </c>
      <c r="U190" s="16" t="e">
        <v>#N/A</v>
      </c>
    </row>
    <row r="191" spans="1:21" x14ac:dyDescent="0.25">
      <c r="A191" s="12" t="s">
        <v>21</v>
      </c>
      <c r="B191" s="12" t="s">
        <v>217</v>
      </c>
      <c r="C191" s="12" t="s">
        <v>23</v>
      </c>
      <c r="D191" s="13">
        <v>46155.514236111114</v>
      </c>
      <c r="E191" s="12" t="s">
        <v>218</v>
      </c>
      <c r="F191" s="12" t="s">
        <v>219</v>
      </c>
      <c r="G191" s="12">
        <v>200</v>
      </c>
      <c r="H191" s="12">
        <v>200</v>
      </c>
      <c r="I191" s="14"/>
      <c r="J191" s="14" t="s">
        <v>26</v>
      </c>
      <c r="K191" s="12" t="s">
        <v>27</v>
      </c>
      <c r="L191" s="15"/>
      <c r="M191" s="12" t="s">
        <v>28</v>
      </c>
      <c r="N191" s="12"/>
      <c r="O191" s="12"/>
      <c r="P191" s="12"/>
      <c r="Q191" s="16">
        <v>0</v>
      </c>
      <c r="R191" s="16">
        <v>637</v>
      </c>
      <c r="S191" s="16"/>
      <c r="T191" s="16" t="e">
        <v>#N/A</v>
      </c>
      <c r="U191" s="16" t="e">
        <v>#N/A</v>
      </c>
    </row>
    <row r="192" spans="1:21" x14ac:dyDescent="0.25">
      <c r="A192" s="12" t="s">
        <v>21</v>
      </c>
      <c r="B192" s="12" t="s">
        <v>220</v>
      </c>
      <c r="C192" s="12" t="s">
        <v>23</v>
      </c>
      <c r="D192" s="13">
        <v>46156.311805555553</v>
      </c>
      <c r="E192" s="12" t="s">
        <v>187</v>
      </c>
      <c r="F192" s="12" t="s">
        <v>221</v>
      </c>
      <c r="G192" s="12">
        <v>7500</v>
      </c>
      <c r="H192" s="12">
        <v>7500</v>
      </c>
      <c r="I192" s="14"/>
      <c r="J192" s="14" t="s">
        <v>26</v>
      </c>
      <c r="K192" s="12" t="s">
        <v>224</v>
      </c>
      <c r="L192" s="15">
        <v>1</v>
      </c>
      <c r="M192" s="12" t="s">
        <v>150</v>
      </c>
      <c r="N192" s="12">
        <v>7500</v>
      </c>
      <c r="O192" s="12">
        <v>7500</v>
      </c>
      <c r="P192" s="12">
        <v>0</v>
      </c>
      <c r="Q192" s="16">
        <v>0</v>
      </c>
      <c r="R192" s="16">
        <v>0</v>
      </c>
      <c r="S192" s="16"/>
      <c r="T192" s="16" t="e">
        <v>#N/A</v>
      </c>
      <c r="U192" s="16" t="e">
        <v>#N/A</v>
      </c>
    </row>
    <row r="193" spans="1:21" x14ac:dyDescent="0.25">
      <c r="A193" s="12" t="s">
        <v>21</v>
      </c>
      <c r="B193" s="12" t="s">
        <v>220</v>
      </c>
      <c r="C193" s="12" t="s">
        <v>23</v>
      </c>
      <c r="D193" s="13">
        <v>46156.311805555553</v>
      </c>
      <c r="E193" s="12" t="s">
        <v>187</v>
      </c>
      <c r="F193" s="12" t="s">
        <v>222</v>
      </c>
      <c r="G193" s="12">
        <v>500</v>
      </c>
      <c r="H193" s="12">
        <v>500</v>
      </c>
      <c r="I193" s="14"/>
      <c r="J193" s="14" t="s">
        <v>26</v>
      </c>
      <c r="K193" s="12" t="s">
        <v>225</v>
      </c>
      <c r="L193" s="15">
        <v>1</v>
      </c>
      <c r="M193" s="12" t="s">
        <v>150</v>
      </c>
      <c r="N193" s="12">
        <v>500</v>
      </c>
      <c r="O193" s="12">
        <v>500</v>
      </c>
      <c r="P193" s="12">
        <v>0</v>
      </c>
      <c r="Q193" s="16">
        <v>0</v>
      </c>
      <c r="R193" s="16">
        <v>0</v>
      </c>
      <c r="S193" s="16"/>
      <c r="T193" s="16" t="e">
        <v>#N/A</v>
      </c>
      <c r="U193" s="16" t="e">
        <v>#N/A</v>
      </c>
    </row>
    <row r="194" spans="1:21" x14ac:dyDescent="0.25">
      <c r="A194" s="12" t="s">
        <v>21</v>
      </c>
      <c r="B194" s="12" t="s">
        <v>220</v>
      </c>
      <c r="C194" s="12" t="s">
        <v>23</v>
      </c>
      <c r="D194" s="13">
        <v>46156.311805555553</v>
      </c>
      <c r="E194" s="12" t="s">
        <v>187</v>
      </c>
      <c r="F194" s="12" t="s">
        <v>223</v>
      </c>
      <c r="G194" s="12">
        <v>6900</v>
      </c>
      <c r="H194" s="12">
        <v>6900</v>
      </c>
      <c r="I194" s="14"/>
      <c r="J194" s="14" t="s">
        <v>26</v>
      </c>
      <c r="K194" s="12" t="s">
        <v>226</v>
      </c>
      <c r="L194" s="15">
        <v>1</v>
      </c>
      <c r="M194" s="12" t="s">
        <v>150</v>
      </c>
      <c r="N194" s="12">
        <v>6900</v>
      </c>
      <c r="O194" s="12">
        <v>6900</v>
      </c>
      <c r="P194" s="12">
        <v>0</v>
      </c>
      <c r="Q194" s="16">
        <v>0</v>
      </c>
      <c r="R194" s="16">
        <v>0</v>
      </c>
      <c r="S194" s="16"/>
      <c r="T194" s="16" t="e">
        <v>#N/A</v>
      </c>
      <c r="U194" s="16" t="e">
        <v>#N/A</v>
      </c>
    </row>
    <row r="195" spans="1:21" x14ac:dyDescent="0.25">
      <c r="A195" s="12" t="s">
        <v>21</v>
      </c>
      <c r="B195" s="12" t="s">
        <v>227</v>
      </c>
      <c r="C195" s="12" t="s">
        <v>23</v>
      </c>
      <c r="D195" s="13">
        <v>46157.365972222222</v>
      </c>
      <c r="E195" s="12" t="s">
        <v>228</v>
      </c>
      <c r="F195" s="12" t="s">
        <v>201</v>
      </c>
      <c r="G195" s="12">
        <v>40</v>
      </c>
      <c r="H195" s="12">
        <v>40</v>
      </c>
      <c r="I195" s="14"/>
      <c r="J195" s="14" t="s">
        <v>26</v>
      </c>
      <c r="K195" s="12" t="s">
        <v>27</v>
      </c>
      <c r="L195" s="15"/>
      <c r="M195" s="12" t="s">
        <v>28</v>
      </c>
      <c r="N195" s="12"/>
      <c r="O195" s="12"/>
      <c r="P195" s="12"/>
      <c r="Q195" s="16">
        <v>0</v>
      </c>
      <c r="R195" s="16">
        <v>0</v>
      </c>
      <c r="S195" s="16"/>
      <c r="T195" s="16" t="e">
        <v>#N/A</v>
      </c>
      <c r="U195" s="16" t="e">
        <v>#N/A</v>
      </c>
    </row>
    <row r="196" spans="1:21" x14ac:dyDescent="0.25">
      <c r="A196" s="12" t="s">
        <v>21</v>
      </c>
      <c r="B196" s="12" t="s">
        <v>229</v>
      </c>
      <c r="C196" s="12" t="s">
        <v>23</v>
      </c>
      <c r="D196" s="13">
        <v>46161.323379629626</v>
      </c>
      <c r="E196" s="12" t="s">
        <v>24</v>
      </c>
      <c r="F196" s="12" t="s">
        <v>78</v>
      </c>
      <c r="G196" s="12">
        <v>41</v>
      </c>
      <c r="H196" s="12">
        <v>41</v>
      </c>
      <c r="I196" s="14"/>
      <c r="J196" s="14" t="s">
        <v>26</v>
      </c>
      <c r="K196" s="12" t="s">
        <v>27</v>
      </c>
      <c r="L196" s="15"/>
      <c r="M196" s="12" t="s">
        <v>28</v>
      </c>
      <c r="N196" s="12"/>
      <c r="O196" s="12"/>
      <c r="P196" s="12"/>
      <c r="Q196" s="16">
        <v>0</v>
      </c>
      <c r="R196" s="16">
        <v>-7</v>
      </c>
      <c r="S196" s="16"/>
      <c r="T196" s="16" t="e">
        <v>#N/A</v>
      </c>
      <c r="U196" s="16" t="e">
        <v>#N/A</v>
      </c>
    </row>
    <row r="197" spans="1:21" x14ac:dyDescent="0.25">
      <c r="A197" s="12" t="s">
        <v>21</v>
      </c>
      <c r="B197" s="12" t="s">
        <v>230</v>
      </c>
      <c r="C197" s="12" t="s">
        <v>23</v>
      </c>
      <c r="D197" s="13">
        <v>46162.352094907408</v>
      </c>
      <c r="E197" s="12" t="s">
        <v>198</v>
      </c>
      <c r="F197" s="12" t="s">
        <v>205</v>
      </c>
      <c r="G197" s="12">
        <v>8</v>
      </c>
      <c r="H197" s="12">
        <v>8</v>
      </c>
      <c r="I197" s="14"/>
      <c r="J197" s="14" t="s">
        <v>26</v>
      </c>
      <c r="K197" s="12" t="s">
        <v>27</v>
      </c>
      <c r="L197" s="15"/>
      <c r="M197" s="12" t="s">
        <v>28</v>
      </c>
      <c r="N197" s="12"/>
      <c r="O197" s="12"/>
      <c r="P197" s="12"/>
      <c r="Q197" s="16">
        <v>0</v>
      </c>
      <c r="R197" s="16">
        <v>439</v>
      </c>
      <c r="S197" s="16"/>
      <c r="T197" s="16" t="e">
        <v>#N/A</v>
      </c>
      <c r="U197" s="16" t="e">
        <v>#N/A</v>
      </c>
    </row>
    <row r="198" spans="1:21" x14ac:dyDescent="0.25">
      <c r="A198" s="12" t="s">
        <v>21</v>
      </c>
      <c r="B198" s="12" t="s">
        <v>231</v>
      </c>
      <c r="C198" s="12" t="s">
        <v>23</v>
      </c>
      <c r="D198" s="13">
        <v>46163.532210648147</v>
      </c>
      <c r="E198" s="12" t="s">
        <v>195</v>
      </c>
      <c r="F198" s="12" t="s">
        <v>232</v>
      </c>
      <c r="G198" s="12">
        <v>814</v>
      </c>
      <c r="H198" s="12">
        <v>201</v>
      </c>
      <c r="I198" s="14"/>
      <c r="J198" s="14" t="s">
        <v>26</v>
      </c>
      <c r="K198" s="12" t="s">
        <v>27</v>
      </c>
      <c r="L198" s="15"/>
      <c r="M198" s="12" t="s">
        <v>28</v>
      </c>
      <c r="N198" s="12"/>
      <c r="O198" s="12"/>
      <c r="P198" s="12"/>
      <c r="Q198" s="16">
        <v>0</v>
      </c>
      <c r="R198" s="16">
        <v>0</v>
      </c>
      <c r="S198" s="16"/>
      <c r="T198" s="16" t="e">
        <v>#N/A</v>
      </c>
      <c r="U198" s="16" t="e">
        <v>#N/A</v>
      </c>
    </row>
    <row r="199" spans="1:21" x14ac:dyDescent="0.25">
      <c r="A199" s="12" t="s">
        <v>21</v>
      </c>
      <c r="B199" s="12" t="s">
        <v>231</v>
      </c>
      <c r="C199" s="12" t="s">
        <v>23</v>
      </c>
      <c r="D199" s="13">
        <v>46163.532210648147</v>
      </c>
      <c r="E199" s="12" t="s">
        <v>195</v>
      </c>
      <c r="F199" s="12" t="s">
        <v>233</v>
      </c>
      <c r="G199" s="12">
        <v>581</v>
      </c>
      <c r="H199" s="12">
        <v>381</v>
      </c>
      <c r="I199" s="14"/>
      <c r="J199" s="14" t="s">
        <v>26</v>
      </c>
      <c r="K199" s="12" t="s">
        <v>27</v>
      </c>
      <c r="L199" s="15"/>
      <c r="M199" s="12" t="s">
        <v>28</v>
      </c>
      <c r="N199" s="12"/>
      <c r="O199" s="12"/>
      <c r="P199" s="12"/>
      <c r="Q199" s="16">
        <v>0</v>
      </c>
      <c r="R199" s="16">
        <v>0</v>
      </c>
      <c r="S199" s="16"/>
      <c r="T199" s="16" t="e">
        <v>#N/A</v>
      </c>
      <c r="U199" s="16" t="e">
        <v>#N/A</v>
      </c>
    </row>
    <row r="200" spans="1:21" x14ac:dyDescent="0.25">
      <c r="A200" s="12" t="s">
        <v>21</v>
      </c>
      <c r="B200" s="12" t="s">
        <v>231</v>
      </c>
      <c r="C200" s="12" t="s">
        <v>23</v>
      </c>
      <c r="D200" s="13">
        <v>46163.532210648147</v>
      </c>
      <c r="E200" s="12" t="s">
        <v>195</v>
      </c>
      <c r="F200" s="12" t="s">
        <v>233</v>
      </c>
      <c r="G200" s="12">
        <v>2442</v>
      </c>
      <c r="H200" s="12">
        <v>1992</v>
      </c>
      <c r="I200" s="14"/>
      <c r="J200" s="14" t="s">
        <v>26</v>
      </c>
      <c r="K200" s="12" t="s">
        <v>27</v>
      </c>
      <c r="L200" s="15"/>
      <c r="M200" s="12" t="s">
        <v>28</v>
      </c>
      <c r="N200" s="12"/>
      <c r="O200" s="12"/>
      <c r="P200" s="12"/>
      <c r="Q200" s="16">
        <v>0</v>
      </c>
      <c r="R200" s="16">
        <v>0</v>
      </c>
      <c r="S200" s="16"/>
      <c r="T200" s="16" t="e">
        <v>#N/A</v>
      </c>
      <c r="U200" s="16" t="e">
        <v>#N/A</v>
      </c>
    </row>
    <row r="201" spans="1:21" x14ac:dyDescent="0.25">
      <c r="A201" s="12" t="s">
        <v>21</v>
      </c>
      <c r="B201" s="12" t="s">
        <v>231</v>
      </c>
      <c r="C201" s="12" t="s">
        <v>23</v>
      </c>
      <c r="D201" s="13">
        <v>46163.532210648147</v>
      </c>
      <c r="E201" s="12" t="s">
        <v>195</v>
      </c>
      <c r="F201" s="12" t="s">
        <v>234</v>
      </c>
      <c r="G201" s="12">
        <v>1601</v>
      </c>
      <c r="H201" s="12">
        <v>460</v>
      </c>
      <c r="I201" s="14"/>
      <c r="J201" s="14" t="s">
        <v>26</v>
      </c>
      <c r="K201" s="12" t="s">
        <v>27</v>
      </c>
      <c r="L201" s="15"/>
      <c r="M201" s="12" t="s">
        <v>28</v>
      </c>
      <c r="N201" s="12"/>
      <c r="O201" s="12"/>
      <c r="P201" s="12"/>
      <c r="Q201" s="16">
        <v>0</v>
      </c>
      <c r="R201" s="16">
        <v>0</v>
      </c>
      <c r="S201" s="16">
        <v>59</v>
      </c>
      <c r="T201" s="16" t="e">
        <v>#N/A</v>
      </c>
      <c r="U201" s="16" t="e">
        <v>#N/A</v>
      </c>
    </row>
    <row r="202" spans="1:21" x14ac:dyDescent="0.25">
      <c r="A202" s="12" t="s">
        <v>21</v>
      </c>
      <c r="B202" s="12" t="s">
        <v>231</v>
      </c>
      <c r="C202" s="12" t="s">
        <v>23</v>
      </c>
      <c r="D202" s="13">
        <v>46163.532210648147</v>
      </c>
      <c r="E202" s="12" t="s">
        <v>195</v>
      </c>
      <c r="F202" s="12" t="s">
        <v>80</v>
      </c>
      <c r="G202" s="12">
        <v>1177</v>
      </c>
      <c r="H202" s="12">
        <v>933</v>
      </c>
      <c r="I202" s="14"/>
      <c r="J202" s="14" t="s">
        <v>26</v>
      </c>
      <c r="K202" s="12" t="s">
        <v>27</v>
      </c>
      <c r="L202" s="15"/>
      <c r="M202" s="12" t="s">
        <v>28</v>
      </c>
      <c r="N202" s="12"/>
      <c r="O202" s="12"/>
      <c r="P202" s="12"/>
      <c r="Q202" s="16">
        <v>0</v>
      </c>
      <c r="R202" s="16">
        <v>0</v>
      </c>
      <c r="S202" s="16">
        <v>6</v>
      </c>
      <c r="T202" s="16" t="e">
        <v>#N/A</v>
      </c>
      <c r="U202" s="16" t="e">
        <v>#N/A</v>
      </c>
    </row>
    <row r="203" spans="1:21" x14ac:dyDescent="0.25">
      <c r="A203" s="12" t="s">
        <v>21</v>
      </c>
      <c r="B203" s="12" t="s">
        <v>231</v>
      </c>
      <c r="C203" s="12" t="s">
        <v>23</v>
      </c>
      <c r="D203" s="13">
        <v>46163.532210648147</v>
      </c>
      <c r="E203" s="12" t="s">
        <v>195</v>
      </c>
      <c r="F203" s="12" t="s">
        <v>235</v>
      </c>
      <c r="G203" s="12">
        <v>858</v>
      </c>
      <c r="H203" s="12">
        <v>858</v>
      </c>
      <c r="I203" s="14"/>
      <c r="J203" s="14" t="s">
        <v>26</v>
      </c>
      <c r="K203" s="12" t="s">
        <v>27</v>
      </c>
      <c r="L203" s="15"/>
      <c r="M203" s="12" t="s">
        <v>28</v>
      </c>
      <c r="N203" s="12"/>
      <c r="O203" s="12"/>
      <c r="P203" s="12"/>
      <c r="Q203" s="16">
        <v>0</v>
      </c>
      <c r="R203" s="16">
        <v>66</v>
      </c>
      <c r="S203" s="16"/>
      <c r="T203" s="16" t="e">
        <v>#N/A</v>
      </c>
      <c r="U203" s="16" t="e">
        <v>#N/A</v>
      </c>
    </row>
    <row r="204" spans="1:21" x14ac:dyDescent="0.25">
      <c r="A204" s="12" t="s">
        <v>21</v>
      </c>
      <c r="B204" s="12" t="s">
        <v>231</v>
      </c>
      <c r="C204" s="12" t="s">
        <v>23</v>
      </c>
      <c r="D204" s="13">
        <v>46163.532210648147</v>
      </c>
      <c r="E204" s="12" t="s">
        <v>195</v>
      </c>
      <c r="F204" s="12" t="s">
        <v>236</v>
      </c>
      <c r="G204" s="12">
        <v>220</v>
      </c>
      <c r="H204" s="12">
        <v>55</v>
      </c>
      <c r="I204" s="14"/>
      <c r="J204" s="14" t="s">
        <v>26</v>
      </c>
      <c r="K204" s="12" t="s">
        <v>27</v>
      </c>
      <c r="L204" s="15"/>
      <c r="M204" s="12" t="s">
        <v>28</v>
      </c>
      <c r="N204" s="12"/>
      <c r="O204" s="12"/>
      <c r="P204" s="12"/>
      <c r="Q204" s="16">
        <v>0</v>
      </c>
      <c r="R204" s="16">
        <v>0</v>
      </c>
      <c r="S204" s="16"/>
      <c r="T204" s="16" t="e">
        <v>#N/A</v>
      </c>
      <c r="U204" s="16" t="e">
        <v>#N/A</v>
      </c>
    </row>
    <row r="205" spans="1:21" x14ac:dyDescent="0.25">
      <c r="A205" s="12" t="s">
        <v>21</v>
      </c>
      <c r="B205" s="12" t="s">
        <v>231</v>
      </c>
      <c r="C205" s="12" t="s">
        <v>23</v>
      </c>
      <c r="D205" s="13">
        <v>46163.532210648147</v>
      </c>
      <c r="E205" s="12" t="s">
        <v>195</v>
      </c>
      <c r="F205" s="12" t="s">
        <v>237</v>
      </c>
      <c r="G205" s="12">
        <v>715</v>
      </c>
      <c r="H205" s="12">
        <v>167</v>
      </c>
      <c r="I205" s="14"/>
      <c r="J205" s="14" t="s">
        <v>26</v>
      </c>
      <c r="K205" s="12" t="s">
        <v>27</v>
      </c>
      <c r="L205" s="15"/>
      <c r="M205" s="12" t="s">
        <v>28</v>
      </c>
      <c r="N205" s="12"/>
      <c r="O205" s="12"/>
      <c r="P205" s="12"/>
      <c r="Q205" s="16">
        <v>0</v>
      </c>
      <c r="R205" s="16">
        <v>0</v>
      </c>
      <c r="S205" s="16"/>
      <c r="T205" s="16" t="e">
        <v>#N/A</v>
      </c>
      <c r="U205" s="16" t="e">
        <v>#N/A</v>
      </c>
    </row>
    <row r="206" spans="1:21" x14ac:dyDescent="0.25">
      <c r="A206" s="12" t="s">
        <v>21</v>
      </c>
      <c r="B206" s="12" t="s">
        <v>231</v>
      </c>
      <c r="C206" s="12" t="s">
        <v>23</v>
      </c>
      <c r="D206" s="13">
        <v>46163.532210648147</v>
      </c>
      <c r="E206" s="12" t="s">
        <v>195</v>
      </c>
      <c r="F206" s="12" t="s">
        <v>238</v>
      </c>
      <c r="G206" s="12">
        <v>1309</v>
      </c>
      <c r="H206" s="12">
        <v>1135</v>
      </c>
      <c r="I206" s="14"/>
      <c r="J206" s="14" t="s">
        <v>26</v>
      </c>
      <c r="K206" s="12" t="s">
        <v>27</v>
      </c>
      <c r="L206" s="15"/>
      <c r="M206" s="12" t="s">
        <v>28</v>
      </c>
      <c r="N206" s="12"/>
      <c r="O206" s="12"/>
      <c r="P206" s="12"/>
      <c r="Q206" s="16">
        <v>0</v>
      </c>
      <c r="R206" s="16">
        <v>0</v>
      </c>
      <c r="S206" s="16">
        <v>326</v>
      </c>
      <c r="T206" s="16" t="e">
        <v>#N/A</v>
      </c>
      <c r="U206" s="16" t="e">
        <v>#N/A</v>
      </c>
    </row>
    <row r="207" spans="1:21" x14ac:dyDescent="0.25">
      <c r="A207" s="12" t="s">
        <v>21</v>
      </c>
      <c r="B207" s="12" t="s">
        <v>239</v>
      </c>
      <c r="C207" s="12" t="s">
        <v>23</v>
      </c>
      <c r="D207" s="13">
        <v>46164.654872685183</v>
      </c>
      <c r="E207" s="12" t="s">
        <v>240</v>
      </c>
      <c r="F207" s="12" t="s">
        <v>241</v>
      </c>
      <c r="G207" s="12">
        <v>2</v>
      </c>
      <c r="H207" s="12">
        <v>2</v>
      </c>
      <c r="I207" s="14"/>
      <c r="J207" s="14" t="s">
        <v>26</v>
      </c>
      <c r="K207" s="12" t="s">
        <v>27</v>
      </c>
      <c r="L207" s="15"/>
      <c r="M207" s="12" t="s">
        <v>28</v>
      </c>
      <c r="N207" s="12"/>
      <c r="O207" s="12"/>
      <c r="P207" s="12"/>
      <c r="Q207" s="16">
        <v>0</v>
      </c>
      <c r="R207" s="16">
        <v>953</v>
      </c>
      <c r="S207" s="16"/>
      <c r="T207" s="16" t="e">
        <v>#N/A</v>
      </c>
      <c r="U207" s="16" t="e">
        <v>#N/A</v>
      </c>
    </row>
    <row r="208" spans="1:21" x14ac:dyDescent="0.25">
      <c r="A208" s="12" t="s">
        <v>21</v>
      </c>
      <c r="B208" s="12" t="s">
        <v>239</v>
      </c>
      <c r="C208" s="12" t="s">
        <v>23</v>
      </c>
      <c r="D208" s="13">
        <v>46164.654872685183</v>
      </c>
      <c r="E208" s="12" t="s">
        <v>240</v>
      </c>
      <c r="F208" s="12" t="s">
        <v>242</v>
      </c>
      <c r="G208" s="12">
        <v>1</v>
      </c>
      <c r="H208" s="12">
        <v>1</v>
      </c>
      <c r="I208" s="14"/>
      <c r="J208" s="14" t="s">
        <v>61</v>
      </c>
      <c r="K208" s="12" t="s">
        <v>27</v>
      </c>
      <c r="L208" s="15"/>
      <c r="M208" s="12" t="s">
        <v>28</v>
      </c>
      <c r="N208" s="12"/>
      <c r="O208" s="12"/>
      <c r="P208" s="12"/>
      <c r="Q208" s="16">
        <v>1</v>
      </c>
      <c r="R208" s="16">
        <v>0</v>
      </c>
      <c r="S208" s="16"/>
      <c r="T208" s="16" t="e">
        <v>#N/A</v>
      </c>
      <c r="U208" s="16" t="e">
        <v>#N/A</v>
      </c>
    </row>
    <row r="209" spans="1:21" x14ac:dyDescent="0.25">
      <c r="A209" s="12" t="s">
        <v>21</v>
      </c>
      <c r="B209" s="12" t="s">
        <v>239</v>
      </c>
      <c r="C209" s="12" t="s">
        <v>23</v>
      </c>
      <c r="D209" s="13">
        <v>46164.654872685183</v>
      </c>
      <c r="E209" s="12" t="s">
        <v>240</v>
      </c>
      <c r="F209" s="12" t="s">
        <v>243</v>
      </c>
      <c r="G209" s="12">
        <v>2</v>
      </c>
      <c r="H209" s="12">
        <v>2</v>
      </c>
      <c r="I209" s="14"/>
      <c r="J209" s="14" t="s">
        <v>61</v>
      </c>
      <c r="K209" s="12" t="s">
        <v>27</v>
      </c>
      <c r="L209" s="15"/>
      <c r="M209" s="12" t="s">
        <v>28</v>
      </c>
      <c r="N209" s="12"/>
      <c r="O209" s="12"/>
      <c r="P209" s="12"/>
      <c r="Q209" s="16">
        <v>2</v>
      </c>
      <c r="R209" s="16">
        <v>1</v>
      </c>
      <c r="S209" s="16"/>
      <c r="T209" s="16" t="e">
        <v>#N/A</v>
      </c>
      <c r="U209" s="16" t="e">
        <v>#N/A</v>
      </c>
    </row>
    <row r="210" spans="1:21" x14ac:dyDescent="0.25">
      <c r="A210" s="12" t="s">
        <v>21</v>
      </c>
      <c r="B210" s="12" t="s">
        <v>239</v>
      </c>
      <c r="C210" s="12" t="s">
        <v>23</v>
      </c>
      <c r="D210" s="13">
        <v>46164.654872685183</v>
      </c>
      <c r="E210" s="12" t="s">
        <v>240</v>
      </c>
      <c r="F210" s="12" t="s">
        <v>244</v>
      </c>
      <c r="G210" s="12">
        <v>1</v>
      </c>
      <c r="H210" s="12">
        <v>1</v>
      </c>
      <c r="I210" s="14"/>
      <c r="J210" s="14" t="s">
        <v>61</v>
      </c>
      <c r="K210" s="12" t="s">
        <v>27</v>
      </c>
      <c r="L210" s="15"/>
      <c r="M210" s="12" t="s">
        <v>28</v>
      </c>
      <c r="N210" s="12"/>
      <c r="O210" s="12"/>
      <c r="P210" s="12"/>
      <c r="Q210" s="16">
        <v>1</v>
      </c>
      <c r="R210" s="16">
        <v>0</v>
      </c>
      <c r="S210" s="16"/>
      <c r="T210" s="16" t="e">
        <v>#N/A</v>
      </c>
      <c r="U210" s="16" t="e">
        <v>#N/A</v>
      </c>
    </row>
    <row r="211" spans="1:21" x14ac:dyDescent="0.25">
      <c r="A211" s="12" t="s">
        <v>21</v>
      </c>
      <c r="B211" s="12" t="s">
        <v>239</v>
      </c>
      <c r="C211" s="12" t="s">
        <v>23</v>
      </c>
      <c r="D211" s="13">
        <v>46164.654872685183</v>
      </c>
      <c r="E211" s="12" t="s">
        <v>240</v>
      </c>
      <c r="F211" s="12" t="s">
        <v>245</v>
      </c>
      <c r="G211" s="12">
        <v>3</v>
      </c>
      <c r="H211" s="12">
        <v>3</v>
      </c>
      <c r="I211" s="14"/>
      <c r="J211" s="14" t="s">
        <v>61</v>
      </c>
      <c r="K211" s="12" t="s">
        <v>27</v>
      </c>
      <c r="L211" s="15"/>
      <c r="M211" s="12" t="s">
        <v>28</v>
      </c>
      <c r="N211" s="12"/>
      <c r="O211" s="12"/>
      <c r="P211" s="12"/>
      <c r="Q211" s="16">
        <v>3</v>
      </c>
      <c r="R211" s="16">
        <v>0</v>
      </c>
      <c r="S211" s="16"/>
      <c r="T211" s="16" t="e">
        <v>#N/A</v>
      </c>
      <c r="U211" s="16" t="e">
        <v>#N/A</v>
      </c>
    </row>
    <row r="212" spans="1:21" x14ac:dyDescent="0.25">
      <c r="A212" s="12" t="s">
        <v>21</v>
      </c>
      <c r="B212" s="12" t="s">
        <v>239</v>
      </c>
      <c r="C212" s="12" t="s">
        <v>23</v>
      </c>
      <c r="D212" s="13">
        <v>46164.654872685183</v>
      </c>
      <c r="E212" s="12" t="s">
        <v>240</v>
      </c>
      <c r="F212" s="12" t="s">
        <v>246</v>
      </c>
      <c r="G212" s="12">
        <v>1</v>
      </c>
      <c r="H212" s="12">
        <v>1</v>
      </c>
      <c r="I212" s="14"/>
      <c r="J212" s="14" t="s">
        <v>61</v>
      </c>
      <c r="K212" s="12" t="s">
        <v>27</v>
      </c>
      <c r="L212" s="15"/>
      <c r="M212" s="12" t="s">
        <v>28</v>
      </c>
      <c r="N212" s="12"/>
      <c r="O212" s="12"/>
      <c r="P212" s="12"/>
      <c r="Q212" s="16">
        <v>1</v>
      </c>
      <c r="R212" s="16">
        <v>0</v>
      </c>
      <c r="S212" s="16"/>
      <c r="T212" s="16" t="e">
        <v>#N/A</v>
      </c>
      <c r="U212" s="16" t="e">
        <v>#N/A</v>
      </c>
    </row>
    <row r="213" spans="1:21" x14ac:dyDescent="0.25">
      <c r="A213" s="12" t="s">
        <v>21</v>
      </c>
      <c r="B213" s="12" t="s">
        <v>239</v>
      </c>
      <c r="C213" s="12" t="s">
        <v>23</v>
      </c>
      <c r="D213" s="13">
        <v>46164.654872685183</v>
      </c>
      <c r="E213" s="12" t="s">
        <v>240</v>
      </c>
      <c r="F213" s="12" t="s">
        <v>247</v>
      </c>
      <c r="G213" s="12">
        <v>1</v>
      </c>
      <c r="H213" s="12">
        <v>1</v>
      </c>
      <c r="I213" s="14"/>
      <c r="J213" s="14" t="s">
        <v>61</v>
      </c>
      <c r="K213" s="12" t="s">
        <v>27</v>
      </c>
      <c r="L213" s="15"/>
      <c r="M213" s="12" t="s">
        <v>28</v>
      </c>
      <c r="N213" s="12"/>
      <c r="O213" s="12"/>
      <c r="P213" s="12"/>
      <c r="Q213" s="16">
        <v>1</v>
      </c>
      <c r="R213" s="16">
        <v>0</v>
      </c>
      <c r="S213" s="16"/>
      <c r="T213" s="16" t="e">
        <v>#N/A</v>
      </c>
      <c r="U213" s="16" t="e">
        <v>#N/A</v>
      </c>
    </row>
    <row r="214" spans="1:21" x14ac:dyDescent="0.25">
      <c r="A214" s="12" t="s">
        <v>21</v>
      </c>
      <c r="B214" s="12" t="s">
        <v>239</v>
      </c>
      <c r="C214" s="12" t="s">
        <v>23</v>
      </c>
      <c r="D214" s="13">
        <v>46164.654872685183</v>
      </c>
      <c r="E214" s="12" t="s">
        <v>240</v>
      </c>
      <c r="F214" s="12" t="s">
        <v>248</v>
      </c>
      <c r="G214" s="12">
        <v>7</v>
      </c>
      <c r="H214" s="12">
        <v>7</v>
      </c>
      <c r="I214" s="14"/>
      <c r="J214" s="14" t="s">
        <v>61</v>
      </c>
      <c r="K214" s="12" t="s">
        <v>27</v>
      </c>
      <c r="L214" s="15"/>
      <c r="M214" s="12" t="s">
        <v>28</v>
      </c>
      <c r="N214" s="12"/>
      <c r="O214" s="12"/>
      <c r="P214" s="12"/>
      <c r="Q214" s="16">
        <v>7</v>
      </c>
      <c r="R214" s="16">
        <v>2</v>
      </c>
      <c r="S214" s="16"/>
      <c r="T214" s="16" t="e">
        <v>#N/A</v>
      </c>
      <c r="U214" s="16" t="e">
        <v>#N/A</v>
      </c>
    </row>
    <row r="215" spans="1:21" x14ac:dyDescent="0.25">
      <c r="A215" s="12" t="s">
        <v>21</v>
      </c>
      <c r="B215" s="12" t="s">
        <v>239</v>
      </c>
      <c r="C215" s="12" t="s">
        <v>23</v>
      </c>
      <c r="D215" s="13">
        <v>46164.654872685183</v>
      </c>
      <c r="E215" s="12" t="s">
        <v>240</v>
      </c>
      <c r="F215" s="12" t="s">
        <v>249</v>
      </c>
      <c r="G215" s="12">
        <v>1</v>
      </c>
      <c r="H215" s="12">
        <v>1</v>
      </c>
      <c r="I215" s="14"/>
      <c r="J215" s="14" t="s">
        <v>61</v>
      </c>
      <c r="K215" s="12" t="s">
        <v>27</v>
      </c>
      <c r="L215" s="15"/>
      <c r="M215" s="12" t="s">
        <v>28</v>
      </c>
      <c r="N215" s="12"/>
      <c r="O215" s="12"/>
      <c r="P215" s="12"/>
      <c r="Q215" s="16">
        <v>1</v>
      </c>
      <c r="R215" s="16">
        <v>0</v>
      </c>
      <c r="S215" s="16"/>
      <c r="T215" s="16" t="e">
        <v>#N/A</v>
      </c>
      <c r="U215" s="16" t="e">
        <v>#N/A</v>
      </c>
    </row>
    <row r="216" spans="1:21" x14ac:dyDescent="0.25">
      <c r="A216" s="12" t="s">
        <v>21</v>
      </c>
      <c r="B216" s="12" t="s">
        <v>239</v>
      </c>
      <c r="C216" s="12" t="s">
        <v>23</v>
      </c>
      <c r="D216" s="13">
        <v>46164.654872685183</v>
      </c>
      <c r="E216" s="12" t="s">
        <v>240</v>
      </c>
      <c r="F216" s="12" t="s">
        <v>250</v>
      </c>
      <c r="G216" s="12">
        <v>1</v>
      </c>
      <c r="H216" s="12">
        <v>1</v>
      </c>
      <c r="I216" s="14"/>
      <c r="J216" s="14" t="s">
        <v>61</v>
      </c>
      <c r="K216" s="12" t="s">
        <v>27</v>
      </c>
      <c r="L216" s="15"/>
      <c r="M216" s="12" t="s">
        <v>28</v>
      </c>
      <c r="N216" s="12"/>
      <c r="O216" s="12"/>
      <c r="P216" s="12"/>
      <c r="Q216" s="16">
        <v>1</v>
      </c>
      <c r="R216" s="16">
        <v>0</v>
      </c>
      <c r="S216" s="16"/>
      <c r="T216" s="16" t="e">
        <v>#N/A</v>
      </c>
      <c r="U216" s="16" t="e">
        <v>#N/A</v>
      </c>
    </row>
    <row r="217" spans="1:21" x14ac:dyDescent="0.25">
      <c r="A217" s="12" t="s">
        <v>21</v>
      </c>
      <c r="B217" s="12" t="s">
        <v>239</v>
      </c>
      <c r="C217" s="12" t="s">
        <v>23</v>
      </c>
      <c r="D217" s="13">
        <v>46164.654872685183</v>
      </c>
      <c r="E217" s="12" t="s">
        <v>240</v>
      </c>
      <c r="F217" s="12" t="s">
        <v>251</v>
      </c>
      <c r="G217" s="12">
        <v>1</v>
      </c>
      <c r="H217" s="12">
        <v>1</v>
      </c>
      <c r="I217" s="14"/>
      <c r="J217" s="14" t="s">
        <v>61</v>
      </c>
      <c r="K217" s="12" t="s">
        <v>27</v>
      </c>
      <c r="L217" s="15"/>
      <c r="M217" s="12" t="s">
        <v>28</v>
      </c>
      <c r="N217" s="12"/>
      <c r="O217" s="12"/>
      <c r="P217" s="12"/>
      <c r="Q217" s="16">
        <v>1</v>
      </c>
      <c r="R217" s="16">
        <v>0</v>
      </c>
      <c r="S217" s="16"/>
      <c r="T217" s="16" t="e">
        <v>#N/A</v>
      </c>
      <c r="U217" s="16" t="e">
        <v>#N/A</v>
      </c>
    </row>
    <row r="218" spans="1:21" x14ac:dyDescent="0.25">
      <c r="A218" s="12" t="s">
        <v>21</v>
      </c>
      <c r="B218" s="12" t="s">
        <v>239</v>
      </c>
      <c r="C218" s="12" t="s">
        <v>23</v>
      </c>
      <c r="D218" s="13">
        <v>46164.654872685183</v>
      </c>
      <c r="E218" s="12" t="s">
        <v>240</v>
      </c>
      <c r="F218" s="12" t="s">
        <v>252</v>
      </c>
      <c r="G218" s="12">
        <v>3</v>
      </c>
      <c r="H218" s="12">
        <v>3</v>
      </c>
      <c r="I218" s="14"/>
      <c r="J218" s="14" t="s">
        <v>61</v>
      </c>
      <c r="K218" s="12" t="s">
        <v>27</v>
      </c>
      <c r="L218" s="15"/>
      <c r="M218" s="12" t="s">
        <v>28</v>
      </c>
      <c r="N218" s="12"/>
      <c r="O218" s="12"/>
      <c r="P218" s="12"/>
      <c r="Q218" s="16">
        <v>3</v>
      </c>
      <c r="R218" s="16">
        <v>0</v>
      </c>
      <c r="S218" s="16"/>
      <c r="T218" s="16" t="e">
        <v>#N/A</v>
      </c>
      <c r="U218" s="16" t="e">
        <v>#N/A</v>
      </c>
    </row>
    <row r="219" spans="1:21" x14ac:dyDescent="0.25">
      <c r="A219" s="12" t="s">
        <v>21</v>
      </c>
      <c r="B219" s="12" t="s">
        <v>239</v>
      </c>
      <c r="C219" s="12" t="s">
        <v>23</v>
      </c>
      <c r="D219" s="13">
        <v>46164.654872685183</v>
      </c>
      <c r="E219" s="12" t="s">
        <v>240</v>
      </c>
      <c r="F219" s="12" t="s">
        <v>253</v>
      </c>
      <c r="G219" s="12">
        <v>4</v>
      </c>
      <c r="H219" s="12">
        <v>4</v>
      </c>
      <c r="I219" s="14"/>
      <c r="J219" s="14" t="s">
        <v>61</v>
      </c>
      <c r="K219" s="12" t="s">
        <v>27</v>
      </c>
      <c r="L219" s="15"/>
      <c r="M219" s="12" t="s">
        <v>28</v>
      </c>
      <c r="N219" s="12"/>
      <c r="O219" s="12"/>
      <c r="P219" s="12"/>
      <c r="Q219" s="16">
        <v>4</v>
      </c>
      <c r="R219" s="16">
        <v>0</v>
      </c>
      <c r="S219" s="16"/>
      <c r="T219" s="16" t="e">
        <v>#N/A</v>
      </c>
      <c r="U219" s="16" t="e">
        <v>#N/A</v>
      </c>
    </row>
    <row r="220" spans="1:21" x14ac:dyDescent="0.25">
      <c r="A220" s="12" t="s">
        <v>21</v>
      </c>
      <c r="B220" s="12" t="s">
        <v>239</v>
      </c>
      <c r="C220" s="12" t="s">
        <v>23</v>
      </c>
      <c r="D220" s="13">
        <v>46164.654872685183</v>
      </c>
      <c r="E220" s="12" t="s">
        <v>240</v>
      </c>
      <c r="F220" s="12" t="s">
        <v>254</v>
      </c>
      <c r="G220" s="12">
        <v>100</v>
      </c>
      <c r="H220" s="12">
        <v>100</v>
      </c>
      <c r="I220" s="14"/>
      <c r="J220" s="14" t="s">
        <v>26</v>
      </c>
      <c r="K220" s="12" t="s">
        <v>27</v>
      </c>
      <c r="L220" s="15"/>
      <c r="M220" s="12" t="s">
        <v>28</v>
      </c>
      <c r="N220" s="12"/>
      <c r="O220" s="12"/>
      <c r="P220" s="12"/>
      <c r="Q220" s="16">
        <v>0</v>
      </c>
      <c r="R220" s="16">
        <v>64500</v>
      </c>
      <c r="S220" s="16"/>
      <c r="T220" s="16" t="e">
        <v>#N/A</v>
      </c>
      <c r="U220" s="16" t="e">
        <v>#N/A</v>
      </c>
    </row>
    <row r="221" spans="1:21" x14ac:dyDescent="0.25">
      <c r="A221" s="12" t="s">
        <v>21</v>
      </c>
      <c r="B221" s="12" t="s">
        <v>239</v>
      </c>
      <c r="C221" s="12" t="s">
        <v>23</v>
      </c>
      <c r="D221" s="13">
        <v>46164.654872685183</v>
      </c>
      <c r="E221" s="12" t="s">
        <v>240</v>
      </c>
      <c r="F221" s="12" t="s">
        <v>255</v>
      </c>
      <c r="G221" s="12">
        <v>100</v>
      </c>
      <c r="H221" s="12">
        <v>100</v>
      </c>
      <c r="I221" s="14"/>
      <c r="J221" s="14" t="s">
        <v>26</v>
      </c>
      <c r="K221" s="12" t="s">
        <v>27</v>
      </c>
      <c r="L221" s="15"/>
      <c r="M221" s="12" t="s">
        <v>28</v>
      </c>
      <c r="N221" s="12"/>
      <c r="O221" s="12"/>
      <c r="P221" s="12"/>
      <c r="Q221" s="16">
        <v>0</v>
      </c>
      <c r="R221" s="16">
        <v>49645</v>
      </c>
      <c r="S221" s="16"/>
      <c r="T221" s="16" t="e">
        <v>#N/A</v>
      </c>
      <c r="U221" s="16" t="e">
        <v>#N/A</v>
      </c>
    </row>
    <row r="222" spans="1:21" x14ac:dyDescent="0.25">
      <c r="A222" s="12" t="s">
        <v>21</v>
      </c>
      <c r="B222" s="12" t="s">
        <v>239</v>
      </c>
      <c r="C222" s="12" t="s">
        <v>23</v>
      </c>
      <c r="D222" s="13">
        <v>46164.654872685183</v>
      </c>
      <c r="E222" s="12" t="s">
        <v>240</v>
      </c>
      <c r="F222" s="12" t="s">
        <v>256</v>
      </c>
      <c r="G222" s="12">
        <v>1</v>
      </c>
      <c r="H222" s="12">
        <v>1</v>
      </c>
      <c r="I222" s="14"/>
      <c r="J222" s="14" t="s">
        <v>61</v>
      </c>
      <c r="K222" s="12" t="s">
        <v>27</v>
      </c>
      <c r="L222" s="15"/>
      <c r="M222" s="12" t="s">
        <v>28</v>
      </c>
      <c r="N222" s="12"/>
      <c r="O222" s="12"/>
      <c r="P222" s="12"/>
      <c r="Q222" s="16">
        <v>1</v>
      </c>
      <c r="R222" s="16">
        <v>2</v>
      </c>
      <c r="S222" s="16"/>
      <c r="T222" s="16" t="e">
        <v>#N/A</v>
      </c>
      <c r="U222" s="16" t="e">
        <v>#N/A</v>
      </c>
    </row>
    <row r="223" spans="1:21" x14ac:dyDescent="0.25">
      <c r="A223" s="12" t="s">
        <v>21</v>
      </c>
      <c r="B223" s="12" t="s">
        <v>257</v>
      </c>
      <c r="C223" s="12" t="s">
        <v>23</v>
      </c>
      <c r="D223" s="13">
        <v>46172.392025462963</v>
      </c>
      <c r="E223" s="12" t="s">
        <v>258</v>
      </c>
      <c r="F223" s="12" t="s">
        <v>259</v>
      </c>
      <c r="G223" s="12">
        <v>200</v>
      </c>
      <c r="H223" s="12">
        <v>160</v>
      </c>
      <c r="I223" s="14"/>
      <c r="J223" s="14" t="s">
        <v>26</v>
      </c>
      <c r="K223" s="12" t="s">
        <v>27</v>
      </c>
      <c r="L223" s="15"/>
      <c r="M223" s="12" t="s">
        <v>28</v>
      </c>
      <c r="N223" s="12"/>
      <c r="O223" s="12"/>
      <c r="P223" s="12"/>
      <c r="Q223" s="16">
        <v>0</v>
      </c>
      <c r="R223" s="16">
        <v>4</v>
      </c>
      <c r="S223" s="16"/>
      <c r="T223" s="16" t="e">
        <v>#N/A</v>
      </c>
      <c r="U223" s="16" t="e">
        <v>#N/A</v>
      </c>
    </row>
    <row r="224" spans="1:21" x14ac:dyDescent="0.25">
      <c r="A224" s="12" t="s">
        <v>21</v>
      </c>
      <c r="B224" s="12" t="s">
        <v>257</v>
      </c>
      <c r="C224" s="12" t="s">
        <v>23</v>
      </c>
      <c r="D224" s="13">
        <v>46172.392025462963</v>
      </c>
      <c r="E224" s="12" t="s">
        <v>258</v>
      </c>
      <c r="F224" s="12" t="s">
        <v>201</v>
      </c>
      <c r="G224" s="12">
        <v>100</v>
      </c>
      <c r="H224" s="12">
        <v>18</v>
      </c>
      <c r="I224" s="14"/>
      <c r="J224" s="14" t="s">
        <v>26</v>
      </c>
      <c r="K224" s="12" t="s">
        <v>27</v>
      </c>
      <c r="L224" s="15"/>
      <c r="M224" s="12" t="s">
        <v>28</v>
      </c>
      <c r="N224" s="12"/>
      <c r="O224" s="12"/>
      <c r="P224" s="12"/>
      <c r="Q224" s="16">
        <v>0</v>
      </c>
      <c r="R224" s="16">
        <v>0</v>
      </c>
      <c r="S224" s="16"/>
      <c r="T224" s="16" t="e">
        <v>#N/A</v>
      </c>
      <c r="U224" s="16" t="e">
        <v>#N/A</v>
      </c>
    </row>
    <row r="225" spans="1:21" x14ac:dyDescent="0.25">
      <c r="A225" s="12" t="s">
        <v>21</v>
      </c>
      <c r="B225" s="12" t="s">
        <v>260</v>
      </c>
      <c r="C225" s="12" t="s">
        <v>23</v>
      </c>
      <c r="D225" s="13">
        <v>46177.381261574075</v>
      </c>
      <c r="E225" s="12" t="s">
        <v>156</v>
      </c>
      <c r="F225" s="12" t="s">
        <v>261</v>
      </c>
      <c r="G225" s="12">
        <v>6</v>
      </c>
      <c r="H225" s="12">
        <v>6</v>
      </c>
      <c r="I225" s="14"/>
      <c r="J225" s="14" t="s">
        <v>26</v>
      </c>
      <c r="K225" s="12" t="s">
        <v>27</v>
      </c>
      <c r="L225" s="15"/>
      <c r="M225" s="12" t="s">
        <v>28</v>
      </c>
      <c r="N225" s="12"/>
      <c r="O225" s="12"/>
      <c r="P225" s="12"/>
      <c r="Q225" s="16">
        <v>0</v>
      </c>
      <c r="R225" s="16">
        <v>0</v>
      </c>
      <c r="S225" s="16">
        <v>5</v>
      </c>
      <c r="T225" s="16" t="e">
        <v>#N/A</v>
      </c>
      <c r="U225" s="16" t="e">
        <v>#N/A</v>
      </c>
    </row>
    <row r="226" spans="1:21" x14ac:dyDescent="0.25">
      <c r="A226" s="12" t="s">
        <v>21</v>
      </c>
      <c r="B226" s="12" t="s">
        <v>260</v>
      </c>
      <c r="C226" s="12" t="s">
        <v>23</v>
      </c>
      <c r="D226" s="13">
        <v>46177.381261574075</v>
      </c>
      <c r="E226" s="12" t="s">
        <v>156</v>
      </c>
      <c r="F226" s="12" t="s">
        <v>262</v>
      </c>
      <c r="G226" s="12">
        <v>80</v>
      </c>
      <c r="H226" s="12">
        <v>40</v>
      </c>
      <c r="I226" s="14"/>
      <c r="J226" s="14" t="s">
        <v>26</v>
      </c>
      <c r="K226" s="12" t="s">
        <v>27</v>
      </c>
      <c r="L226" s="15"/>
      <c r="M226" s="12" t="s">
        <v>28</v>
      </c>
      <c r="N226" s="12"/>
      <c r="O226" s="12"/>
      <c r="P226" s="12"/>
      <c r="Q226" s="16">
        <v>0</v>
      </c>
      <c r="R226" s="16">
        <v>0</v>
      </c>
      <c r="S226" s="16"/>
      <c r="T226" s="16" t="e">
        <v>#N/A</v>
      </c>
      <c r="U226" s="16" t="e">
        <v>#N/A</v>
      </c>
    </row>
    <row r="227" spans="1:21" x14ac:dyDescent="0.25">
      <c r="A227" s="12" t="s">
        <v>21</v>
      </c>
      <c r="B227" s="12" t="s">
        <v>260</v>
      </c>
      <c r="C227" s="12" t="s">
        <v>23</v>
      </c>
      <c r="D227" s="13">
        <v>46177.381261574075</v>
      </c>
      <c r="E227" s="12" t="s">
        <v>156</v>
      </c>
      <c r="F227" s="12" t="s">
        <v>263</v>
      </c>
      <c r="G227" s="12">
        <v>60</v>
      </c>
      <c r="H227" s="12">
        <v>60</v>
      </c>
      <c r="I227" s="14"/>
      <c r="J227" s="14" t="s">
        <v>26</v>
      </c>
      <c r="K227" s="12" t="s">
        <v>27</v>
      </c>
      <c r="L227" s="15"/>
      <c r="M227" s="12" t="s">
        <v>28</v>
      </c>
      <c r="N227" s="12"/>
      <c r="O227" s="12"/>
      <c r="P227" s="12"/>
      <c r="Q227" s="16">
        <v>0</v>
      </c>
      <c r="R227" s="16">
        <v>0</v>
      </c>
      <c r="S227" s="16"/>
      <c r="T227" s="16" t="e">
        <v>#N/A</v>
      </c>
      <c r="U227" s="16" t="e">
        <v>#N/A</v>
      </c>
    </row>
    <row r="228" spans="1:21" x14ac:dyDescent="0.25">
      <c r="A228" s="12" t="s">
        <v>21</v>
      </c>
      <c r="B228" s="12" t="s">
        <v>260</v>
      </c>
      <c r="C228" s="12" t="s">
        <v>23</v>
      </c>
      <c r="D228" s="13">
        <v>46177.381261574075</v>
      </c>
      <c r="E228" s="12" t="s">
        <v>156</v>
      </c>
      <c r="F228" s="12" t="s">
        <v>264</v>
      </c>
      <c r="G228" s="12">
        <v>10</v>
      </c>
      <c r="H228" s="12">
        <v>10</v>
      </c>
      <c r="I228" s="14"/>
      <c r="J228" s="14" t="s">
        <v>26</v>
      </c>
      <c r="K228" s="12" t="s">
        <v>27</v>
      </c>
      <c r="L228" s="15"/>
      <c r="M228" s="12" t="s">
        <v>28</v>
      </c>
      <c r="N228" s="12"/>
      <c r="O228" s="12"/>
      <c r="P228" s="12"/>
      <c r="Q228" s="16">
        <v>0</v>
      </c>
      <c r="R228" s="16">
        <v>468</v>
      </c>
      <c r="S228" s="16">
        <v>5</v>
      </c>
      <c r="T228" s="16" t="e">
        <v>#N/A</v>
      </c>
      <c r="U228" s="16" t="e">
        <v>#N/A</v>
      </c>
    </row>
    <row r="229" spans="1:21" x14ac:dyDescent="0.25">
      <c r="A229" s="12" t="s">
        <v>21</v>
      </c>
      <c r="B229" s="12" t="s">
        <v>265</v>
      </c>
      <c r="C229" s="12" t="s">
        <v>23</v>
      </c>
      <c r="D229" s="13">
        <v>46178.600636574076</v>
      </c>
      <c r="E229" s="12" t="s">
        <v>266</v>
      </c>
      <c r="F229" s="12" t="s">
        <v>267</v>
      </c>
      <c r="G229" s="12">
        <v>10</v>
      </c>
      <c r="H229" s="12">
        <v>1</v>
      </c>
      <c r="I229" s="14"/>
      <c r="J229" s="14" t="s">
        <v>61</v>
      </c>
      <c r="K229" s="12" t="s">
        <v>27</v>
      </c>
      <c r="L229" s="15"/>
      <c r="M229" s="12" t="s">
        <v>28</v>
      </c>
      <c r="N229" s="12"/>
      <c r="O229" s="12"/>
      <c r="P229" s="12"/>
      <c r="Q229" s="16">
        <v>10</v>
      </c>
      <c r="R229" s="16">
        <v>0</v>
      </c>
      <c r="S229" s="16"/>
      <c r="T229" s="16" t="e">
        <v>#N/A</v>
      </c>
      <c r="U229" s="16" t="e">
        <v>#N/A</v>
      </c>
    </row>
    <row r="230" spans="1:21" x14ac:dyDescent="0.25">
      <c r="A230" s="12" t="s">
        <v>21</v>
      </c>
      <c r="B230" s="12" t="s">
        <v>265</v>
      </c>
      <c r="C230" s="12" t="s">
        <v>23</v>
      </c>
      <c r="D230" s="13">
        <v>46178.600636574076</v>
      </c>
      <c r="E230" s="12" t="s">
        <v>266</v>
      </c>
      <c r="F230" s="12" t="s">
        <v>70</v>
      </c>
      <c r="G230" s="12">
        <v>80</v>
      </c>
      <c r="H230" s="12">
        <v>75</v>
      </c>
      <c r="I230" s="14"/>
      <c r="J230" s="14" t="s">
        <v>61</v>
      </c>
      <c r="K230" s="12" t="s">
        <v>27</v>
      </c>
      <c r="L230" s="15"/>
      <c r="M230" s="12" t="s">
        <v>28</v>
      </c>
      <c r="N230" s="12"/>
      <c r="O230" s="12"/>
      <c r="P230" s="12"/>
      <c r="Q230" s="16">
        <v>50</v>
      </c>
      <c r="R230" s="16">
        <v>0</v>
      </c>
      <c r="S230" s="16"/>
      <c r="T230" s="16" t="e">
        <v>#N/A</v>
      </c>
      <c r="U230" s="16" t="e">
        <v>#N/A</v>
      </c>
    </row>
    <row r="231" spans="1:21" x14ac:dyDescent="0.25">
      <c r="A231" s="12" t="s">
        <v>21</v>
      </c>
      <c r="B231" s="12" t="s">
        <v>265</v>
      </c>
      <c r="C231" s="12" t="s">
        <v>23</v>
      </c>
      <c r="D231" s="13">
        <v>46178.600636574076</v>
      </c>
      <c r="E231" s="12" t="s">
        <v>266</v>
      </c>
      <c r="F231" s="12" t="s">
        <v>268</v>
      </c>
      <c r="G231" s="12">
        <v>36</v>
      </c>
      <c r="H231" s="12">
        <v>36</v>
      </c>
      <c r="I231" s="14"/>
      <c r="J231" s="14" t="s">
        <v>61</v>
      </c>
      <c r="K231" s="12" t="s">
        <v>27</v>
      </c>
      <c r="L231" s="15"/>
      <c r="M231" s="12" t="s">
        <v>28</v>
      </c>
      <c r="N231" s="12"/>
      <c r="O231" s="12"/>
      <c r="P231" s="12"/>
      <c r="Q231" s="16">
        <v>18</v>
      </c>
      <c r="R231" s="16">
        <v>0</v>
      </c>
      <c r="S231" s="16"/>
      <c r="T231" s="16" t="e">
        <v>#N/A</v>
      </c>
      <c r="U231" s="16" t="e">
        <v>#N/A</v>
      </c>
    </row>
    <row r="232" spans="1:21" x14ac:dyDescent="0.25">
      <c r="A232" s="12" t="s">
        <v>21</v>
      </c>
      <c r="B232" s="12" t="s">
        <v>269</v>
      </c>
      <c r="C232" s="12" t="s">
        <v>23</v>
      </c>
      <c r="D232" s="13">
        <v>46181.370115740741</v>
      </c>
      <c r="E232" s="12" t="s">
        <v>24</v>
      </c>
      <c r="F232" s="12" t="s">
        <v>71</v>
      </c>
      <c r="G232" s="12">
        <v>300</v>
      </c>
      <c r="H232" s="12">
        <v>200</v>
      </c>
      <c r="I232" s="14"/>
      <c r="J232" s="14" t="s">
        <v>61</v>
      </c>
      <c r="K232" s="12" t="s">
        <v>27</v>
      </c>
      <c r="L232" s="15"/>
      <c r="M232" s="12" t="s">
        <v>28</v>
      </c>
      <c r="N232" s="12"/>
      <c r="O232" s="12"/>
      <c r="P232" s="12"/>
      <c r="Q232" s="16">
        <v>100</v>
      </c>
      <c r="R232" s="16">
        <v>0</v>
      </c>
      <c r="S232" s="16"/>
      <c r="T232" s="16" t="e">
        <v>#N/A</v>
      </c>
      <c r="U232" s="16" t="e">
        <v>#N/A</v>
      </c>
    </row>
    <row r="233" spans="1:21" x14ac:dyDescent="0.25">
      <c r="A233" s="12" t="s">
        <v>21</v>
      </c>
      <c r="B233" s="12" t="s">
        <v>270</v>
      </c>
      <c r="C233" s="12" t="s">
        <v>23</v>
      </c>
      <c r="D233" s="13">
        <v>46182.313819444447</v>
      </c>
      <c r="E233" s="12" t="s">
        <v>271</v>
      </c>
      <c r="F233" s="12" t="s">
        <v>272</v>
      </c>
      <c r="G233" s="12">
        <v>10</v>
      </c>
      <c r="H233" s="12">
        <v>10</v>
      </c>
      <c r="I233" s="14"/>
      <c r="J233" s="14" t="s">
        <v>26</v>
      </c>
      <c r="K233" s="12" t="s">
        <v>27</v>
      </c>
      <c r="L233" s="15"/>
      <c r="M233" s="12" t="s">
        <v>28</v>
      </c>
      <c r="N233" s="12"/>
      <c r="O233" s="12"/>
      <c r="P233" s="12"/>
      <c r="Q233" s="16">
        <v>0</v>
      </c>
      <c r="R233" s="16">
        <v>0</v>
      </c>
      <c r="S233" s="16"/>
      <c r="T233" s="16" t="e">
        <v>#N/A</v>
      </c>
      <c r="U233" s="16" t="e">
        <v>#N/A</v>
      </c>
    </row>
    <row r="234" spans="1:21" x14ac:dyDescent="0.25">
      <c r="A234" s="12" t="s">
        <v>21</v>
      </c>
      <c r="B234" s="12" t="s">
        <v>270</v>
      </c>
      <c r="C234" s="12" t="s">
        <v>23</v>
      </c>
      <c r="D234" s="13">
        <v>46182.313819444447</v>
      </c>
      <c r="E234" s="12" t="s">
        <v>271</v>
      </c>
      <c r="F234" s="12" t="s">
        <v>273</v>
      </c>
      <c r="G234" s="12">
        <v>80</v>
      </c>
      <c r="H234" s="12">
        <v>80</v>
      </c>
      <c r="I234" s="14"/>
      <c r="J234" s="14" t="s">
        <v>61</v>
      </c>
      <c r="K234" s="12" t="s">
        <v>27</v>
      </c>
      <c r="L234" s="15"/>
      <c r="M234" s="12" t="s">
        <v>28</v>
      </c>
      <c r="N234" s="12"/>
      <c r="O234" s="12"/>
      <c r="P234" s="12"/>
      <c r="Q234" s="16">
        <v>40</v>
      </c>
      <c r="R234" s="16">
        <v>0</v>
      </c>
      <c r="S234" s="16"/>
      <c r="T234" s="16" t="e">
        <v>#N/A</v>
      </c>
      <c r="U234" s="16" t="e">
        <v>#N/A</v>
      </c>
    </row>
    <row r="235" spans="1:21" x14ac:dyDescent="0.25">
      <c r="A235" s="12" t="s">
        <v>21</v>
      </c>
      <c r="B235" s="12" t="s">
        <v>270</v>
      </c>
      <c r="C235" s="12" t="s">
        <v>23</v>
      </c>
      <c r="D235" s="13">
        <v>46182.313819444447</v>
      </c>
      <c r="E235" s="12" t="s">
        <v>271</v>
      </c>
      <c r="F235" s="12" t="s">
        <v>274</v>
      </c>
      <c r="G235" s="12">
        <v>80</v>
      </c>
      <c r="H235" s="12">
        <v>80</v>
      </c>
      <c r="I235" s="14"/>
      <c r="J235" s="14" t="s">
        <v>61</v>
      </c>
      <c r="K235" s="12" t="s">
        <v>27</v>
      </c>
      <c r="L235" s="15"/>
      <c r="M235" s="12" t="s">
        <v>28</v>
      </c>
      <c r="N235" s="12"/>
      <c r="O235" s="12"/>
      <c r="P235" s="12"/>
      <c r="Q235" s="16">
        <v>40</v>
      </c>
      <c r="R235" s="16">
        <v>0</v>
      </c>
      <c r="S235" s="16"/>
      <c r="T235" s="16" t="e">
        <v>#N/A</v>
      </c>
      <c r="U235" s="16" t="e">
        <v>#N/A</v>
      </c>
    </row>
    <row r="236" spans="1:21" x14ac:dyDescent="0.25">
      <c r="A236" s="12" t="s">
        <v>21</v>
      </c>
      <c r="B236" s="12" t="s">
        <v>270</v>
      </c>
      <c r="C236" s="12" t="s">
        <v>23</v>
      </c>
      <c r="D236" s="13">
        <v>46182.313819444447</v>
      </c>
      <c r="E236" s="12" t="s">
        <v>271</v>
      </c>
      <c r="F236" s="12" t="s">
        <v>275</v>
      </c>
      <c r="G236" s="12">
        <v>20</v>
      </c>
      <c r="H236" s="12">
        <v>20</v>
      </c>
      <c r="I236" s="14"/>
      <c r="J236" s="14" t="s">
        <v>26</v>
      </c>
      <c r="K236" s="12" t="s">
        <v>27</v>
      </c>
      <c r="L236" s="15"/>
      <c r="M236" s="12" t="s">
        <v>28</v>
      </c>
      <c r="N236" s="12"/>
      <c r="O236" s="12"/>
      <c r="P236" s="12"/>
      <c r="Q236" s="16">
        <v>0</v>
      </c>
      <c r="R236" s="16">
        <v>0</v>
      </c>
      <c r="S236" s="16"/>
      <c r="T236" s="16" t="e">
        <v>#N/A</v>
      </c>
      <c r="U236" s="16" t="e">
        <v>#N/A</v>
      </c>
    </row>
    <row r="237" spans="1:21" x14ac:dyDescent="0.25">
      <c r="A237" s="12" t="s">
        <v>21</v>
      </c>
      <c r="B237" s="12" t="s">
        <v>270</v>
      </c>
      <c r="C237" s="12" t="s">
        <v>23</v>
      </c>
      <c r="D237" s="13">
        <v>46182.313819444447</v>
      </c>
      <c r="E237" s="12" t="s">
        <v>271</v>
      </c>
      <c r="F237" s="12" t="s">
        <v>276</v>
      </c>
      <c r="G237" s="12">
        <v>10</v>
      </c>
      <c r="H237" s="12">
        <v>4</v>
      </c>
      <c r="I237" s="14"/>
      <c r="J237" s="14" t="s">
        <v>26</v>
      </c>
      <c r="K237" s="12" t="s">
        <v>27</v>
      </c>
      <c r="L237" s="15"/>
      <c r="M237" s="12" t="s">
        <v>28</v>
      </c>
      <c r="N237" s="12"/>
      <c r="O237" s="12"/>
      <c r="P237" s="12"/>
      <c r="Q237" s="16">
        <v>0</v>
      </c>
      <c r="R237" s="16">
        <v>11</v>
      </c>
      <c r="S237" s="16"/>
      <c r="T237" s="16" t="e">
        <v>#N/A</v>
      </c>
      <c r="U237" s="16" t="e">
        <v>#N/A</v>
      </c>
    </row>
    <row r="238" spans="1:21" x14ac:dyDescent="0.25">
      <c r="A238" s="12" t="s">
        <v>21</v>
      </c>
      <c r="B238" s="12" t="s">
        <v>270</v>
      </c>
      <c r="C238" s="12" t="s">
        <v>23</v>
      </c>
      <c r="D238" s="13">
        <v>46182.313819444447</v>
      </c>
      <c r="E238" s="12" t="s">
        <v>271</v>
      </c>
      <c r="F238" s="12" t="s">
        <v>277</v>
      </c>
      <c r="G238" s="12">
        <v>23</v>
      </c>
      <c r="H238" s="12">
        <v>2</v>
      </c>
      <c r="I238" s="14"/>
      <c r="J238" s="14" t="s">
        <v>26</v>
      </c>
      <c r="K238" s="12" t="s">
        <v>27</v>
      </c>
      <c r="L238" s="15"/>
      <c r="M238" s="12" t="s">
        <v>28</v>
      </c>
      <c r="N238" s="12"/>
      <c r="O238" s="12"/>
      <c r="P238" s="12"/>
      <c r="Q238" s="16">
        <v>0</v>
      </c>
      <c r="R238" s="16">
        <v>0</v>
      </c>
      <c r="S238" s="16">
        <v>1</v>
      </c>
      <c r="T238" s="16" t="e">
        <v>#N/A</v>
      </c>
      <c r="U238" s="16" t="e">
        <v>#N/A</v>
      </c>
    </row>
    <row r="239" spans="1:21" x14ac:dyDescent="0.25">
      <c r="A239" s="12" t="s">
        <v>21</v>
      </c>
      <c r="B239" s="12" t="s">
        <v>278</v>
      </c>
      <c r="C239" s="12" t="s">
        <v>23</v>
      </c>
      <c r="D239" s="13">
        <v>46182.646817129629</v>
      </c>
      <c r="E239" s="12" t="s">
        <v>69</v>
      </c>
      <c r="F239" s="12" t="s">
        <v>71</v>
      </c>
      <c r="G239" s="12">
        <v>100</v>
      </c>
      <c r="H239" s="12">
        <v>50</v>
      </c>
      <c r="I239" s="14"/>
      <c r="J239" s="14" t="s">
        <v>61</v>
      </c>
      <c r="K239" s="12" t="s">
        <v>27</v>
      </c>
      <c r="L239" s="15"/>
      <c r="M239" s="12" t="s">
        <v>28</v>
      </c>
      <c r="N239" s="12"/>
      <c r="O239" s="12"/>
      <c r="P239" s="12"/>
      <c r="Q239" s="16">
        <v>100</v>
      </c>
      <c r="R239" s="16">
        <v>0</v>
      </c>
      <c r="S239" s="16"/>
      <c r="T239" s="16" t="e">
        <v>#N/A</v>
      </c>
      <c r="U239" s="16" t="e">
        <v>#N/A</v>
      </c>
    </row>
    <row r="240" spans="1:21" x14ac:dyDescent="0.25">
      <c r="A240" s="12" t="s">
        <v>21</v>
      </c>
      <c r="B240" s="12" t="s">
        <v>278</v>
      </c>
      <c r="C240" s="12" t="s">
        <v>23</v>
      </c>
      <c r="D240" s="13">
        <v>46182.646817129629</v>
      </c>
      <c r="E240" s="12" t="s">
        <v>69</v>
      </c>
      <c r="F240" s="12" t="s">
        <v>277</v>
      </c>
      <c r="G240" s="12">
        <v>21</v>
      </c>
      <c r="H240" s="12">
        <v>12</v>
      </c>
      <c r="I240" s="14"/>
      <c r="J240" s="14" t="s">
        <v>26</v>
      </c>
      <c r="K240" s="12" t="s">
        <v>27</v>
      </c>
      <c r="L240" s="15"/>
      <c r="M240" s="12" t="s">
        <v>28</v>
      </c>
      <c r="N240" s="12"/>
      <c r="O240" s="12"/>
      <c r="P240" s="12"/>
      <c r="Q240" s="16">
        <v>0</v>
      </c>
      <c r="R240" s="16">
        <v>0</v>
      </c>
      <c r="S240" s="16"/>
      <c r="T240" s="16" t="e">
        <v>#N/A</v>
      </c>
      <c r="U240" s="16" t="e">
        <v>#N/A</v>
      </c>
    </row>
    <row r="241" spans="1:21" x14ac:dyDescent="0.25">
      <c r="A241" s="12" t="s">
        <v>21</v>
      </c>
      <c r="B241" s="12" t="s">
        <v>279</v>
      </c>
      <c r="C241" s="12" t="s">
        <v>23</v>
      </c>
      <c r="D241" s="13">
        <v>46184.283750000002</v>
      </c>
      <c r="E241" s="12" t="s">
        <v>195</v>
      </c>
      <c r="F241" s="12" t="s">
        <v>233</v>
      </c>
      <c r="G241" s="12">
        <v>2950</v>
      </c>
      <c r="H241" s="12">
        <v>450</v>
      </c>
      <c r="I241" s="14"/>
      <c r="J241" s="14" t="s">
        <v>26</v>
      </c>
      <c r="K241" s="12" t="s">
        <v>27</v>
      </c>
      <c r="L241" s="15"/>
      <c r="M241" s="12" t="s">
        <v>28</v>
      </c>
      <c r="N241" s="12"/>
      <c r="O241" s="12"/>
      <c r="P241" s="12"/>
      <c r="Q241" s="16">
        <v>0</v>
      </c>
      <c r="R241" s="16">
        <v>0</v>
      </c>
      <c r="S241" s="16"/>
      <c r="T241" s="16" t="e">
        <v>#N/A</v>
      </c>
      <c r="U241" s="16" t="e">
        <v>#N/A</v>
      </c>
    </row>
    <row r="242" spans="1:21" x14ac:dyDescent="0.25">
      <c r="A242" s="12" t="s">
        <v>21</v>
      </c>
      <c r="B242" s="12" t="s">
        <v>280</v>
      </c>
      <c r="C242" s="12" t="s">
        <v>23</v>
      </c>
      <c r="D242" s="13">
        <v>46184.580937500003</v>
      </c>
      <c r="E242" s="12" t="s">
        <v>266</v>
      </c>
      <c r="F242" s="12" t="s">
        <v>70</v>
      </c>
      <c r="G242" s="12">
        <v>30</v>
      </c>
      <c r="H242" s="12">
        <v>30</v>
      </c>
      <c r="I242" s="14"/>
      <c r="J242" s="14" t="s">
        <v>61</v>
      </c>
      <c r="K242" s="12" t="s">
        <v>281</v>
      </c>
      <c r="L242" s="15">
        <v>1</v>
      </c>
      <c r="M242" s="12" t="s">
        <v>150</v>
      </c>
      <c r="N242" s="12">
        <v>30</v>
      </c>
      <c r="O242" s="12">
        <v>30</v>
      </c>
      <c r="P242" s="12">
        <v>0</v>
      </c>
      <c r="Q242" s="16">
        <v>30</v>
      </c>
      <c r="R242" s="16">
        <v>0</v>
      </c>
      <c r="S242" s="16"/>
      <c r="T242" s="16" t="e">
        <v>#N/A</v>
      </c>
      <c r="U242" s="16" t="e">
        <v>#N/A</v>
      </c>
    </row>
    <row r="243" spans="1:21" x14ac:dyDescent="0.25">
      <c r="A243" s="12" t="s">
        <v>21</v>
      </c>
      <c r="B243" s="12" t="s">
        <v>282</v>
      </c>
      <c r="C243" s="12" t="s">
        <v>23</v>
      </c>
      <c r="D243" s="13">
        <v>46185.285266203704</v>
      </c>
      <c r="E243" s="12" t="s">
        <v>258</v>
      </c>
      <c r="F243" s="12" t="s">
        <v>159</v>
      </c>
      <c r="G243" s="12">
        <v>20</v>
      </c>
      <c r="H243" s="12">
        <v>10</v>
      </c>
      <c r="I243" s="14"/>
      <c r="J243" s="14" t="s">
        <v>26</v>
      </c>
      <c r="K243" s="12" t="s">
        <v>27</v>
      </c>
      <c r="L243" s="15"/>
      <c r="M243" s="12" t="s">
        <v>28</v>
      </c>
      <c r="N243" s="12"/>
      <c r="O243" s="12"/>
      <c r="P243" s="12"/>
      <c r="Q243" s="16">
        <v>0</v>
      </c>
      <c r="R243" s="16">
        <v>0</v>
      </c>
      <c r="S243" s="16"/>
      <c r="T243" s="16" t="e">
        <v>#N/A</v>
      </c>
      <c r="U243" s="16" t="e">
        <v>#N/A</v>
      </c>
    </row>
    <row r="244" spans="1:21" x14ac:dyDescent="0.25">
      <c r="A244" s="12" t="s">
        <v>21</v>
      </c>
      <c r="B244" s="12" t="s">
        <v>282</v>
      </c>
      <c r="C244" s="12" t="s">
        <v>23</v>
      </c>
      <c r="D244" s="13">
        <v>46185.285266203704</v>
      </c>
      <c r="E244" s="12" t="s">
        <v>258</v>
      </c>
      <c r="F244" s="12" t="s">
        <v>70</v>
      </c>
      <c r="G244" s="12">
        <v>20</v>
      </c>
      <c r="H244" s="12">
        <v>20</v>
      </c>
      <c r="I244" s="14"/>
      <c r="J244" s="14" t="s">
        <v>26</v>
      </c>
      <c r="K244" s="12" t="s">
        <v>27</v>
      </c>
      <c r="L244" s="15"/>
      <c r="M244" s="12" t="s">
        <v>28</v>
      </c>
      <c r="N244" s="12"/>
      <c r="O244" s="12"/>
      <c r="P244" s="12"/>
      <c r="Q244" s="16">
        <v>0</v>
      </c>
      <c r="R244" s="16">
        <v>0</v>
      </c>
      <c r="S244" s="16"/>
      <c r="T244" s="16" t="e">
        <v>#N/A</v>
      </c>
      <c r="U244" s="16" t="e">
        <v>#N/A</v>
      </c>
    </row>
    <row r="245" spans="1:21" x14ac:dyDescent="0.25">
      <c r="A245" s="12" t="s">
        <v>21</v>
      </c>
      <c r="B245" s="12" t="s">
        <v>282</v>
      </c>
      <c r="C245" s="12" t="s">
        <v>23</v>
      </c>
      <c r="D245" s="13">
        <v>46185.285266203704</v>
      </c>
      <c r="E245" s="12" t="s">
        <v>258</v>
      </c>
      <c r="F245" s="12" t="s">
        <v>283</v>
      </c>
      <c r="G245" s="12">
        <v>20</v>
      </c>
      <c r="H245" s="12">
        <v>12</v>
      </c>
      <c r="I245" s="14"/>
      <c r="J245" s="14" t="s">
        <v>26</v>
      </c>
      <c r="K245" s="12" t="s">
        <v>27</v>
      </c>
      <c r="L245" s="15"/>
      <c r="M245" s="12" t="s">
        <v>28</v>
      </c>
      <c r="N245" s="12"/>
      <c r="O245" s="12"/>
      <c r="P245" s="12"/>
      <c r="Q245" s="16">
        <v>0</v>
      </c>
      <c r="R245" s="16">
        <v>0</v>
      </c>
      <c r="S245" s="16"/>
      <c r="T245" s="16" t="e">
        <v>#N/A</v>
      </c>
      <c r="U245" s="16" t="e">
        <v>#N/A</v>
      </c>
    </row>
    <row r="246" spans="1:21" x14ac:dyDescent="0.25">
      <c r="A246" s="12" t="s">
        <v>21</v>
      </c>
      <c r="B246" s="12" t="s">
        <v>284</v>
      </c>
      <c r="C246" s="12" t="s">
        <v>23</v>
      </c>
      <c r="D246" s="13">
        <v>46185.303159722222</v>
      </c>
      <c r="E246" s="12" t="s">
        <v>258</v>
      </c>
      <c r="F246" s="12" t="s">
        <v>285</v>
      </c>
      <c r="G246" s="12">
        <v>41</v>
      </c>
      <c r="H246" s="12">
        <v>2</v>
      </c>
      <c r="I246" s="14"/>
      <c r="J246" s="14" t="s">
        <v>61</v>
      </c>
      <c r="K246" s="12" t="s">
        <v>27</v>
      </c>
      <c r="L246" s="15"/>
      <c r="M246" s="12" t="s">
        <v>28</v>
      </c>
      <c r="N246" s="12"/>
      <c r="O246" s="12"/>
      <c r="P246" s="12"/>
      <c r="Q246" s="16">
        <v>41</v>
      </c>
      <c r="R246" s="16">
        <v>0</v>
      </c>
      <c r="S246" s="16"/>
      <c r="T246" s="16" t="e">
        <v>#N/A</v>
      </c>
      <c r="U246" s="16" t="e">
        <v>#N/A</v>
      </c>
    </row>
    <row r="247" spans="1:21" x14ac:dyDescent="0.25">
      <c r="A247" s="12" t="s">
        <v>21</v>
      </c>
      <c r="B247" s="12" t="s">
        <v>286</v>
      </c>
      <c r="C247" s="12" t="s">
        <v>23</v>
      </c>
      <c r="D247" s="13">
        <v>46188.429861111108</v>
      </c>
      <c r="E247" s="12" t="s">
        <v>287</v>
      </c>
      <c r="F247" s="12" t="s">
        <v>112</v>
      </c>
      <c r="G247" s="12">
        <v>4</v>
      </c>
      <c r="H247" s="12">
        <v>4</v>
      </c>
      <c r="I247" s="14"/>
      <c r="J247" s="14" t="s">
        <v>26</v>
      </c>
      <c r="K247" s="12" t="s">
        <v>27</v>
      </c>
      <c r="L247" s="15"/>
      <c r="M247" s="12" t="s">
        <v>28</v>
      </c>
      <c r="N247" s="12"/>
      <c r="O247" s="12"/>
      <c r="P247" s="12"/>
      <c r="Q247" s="16">
        <v>0</v>
      </c>
      <c r="R247" s="16">
        <v>991</v>
      </c>
      <c r="S247" s="16"/>
      <c r="T247" s="16" t="e">
        <v>#N/A</v>
      </c>
      <c r="U247" s="16" t="e">
        <v>#N/A</v>
      </c>
    </row>
    <row r="248" spans="1:21" x14ac:dyDescent="0.25">
      <c r="A248" s="12" t="s">
        <v>21</v>
      </c>
      <c r="B248" s="12" t="s">
        <v>288</v>
      </c>
      <c r="C248" s="12" t="s">
        <v>23</v>
      </c>
      <c r="D248" s="13">
        <v>46191.52375</v>
      </c>
      <c r="E248" s="12" t="s">
        <v>24</v>
      </c>
      <c r="F248" s="12" t="s">
        <v>289</v>
      </c>
      <c r="G248" s="12">
        <v>40</v>
      </c>
      <c r="H248" s="12">
        <v>40</v>
      </c>
      <c r="I248" s="14"/>
      <c r="J248" s="14" t="s">
        <v>61</v>
      </c>
      <c r="K248" s="12" t="s">
        <v>291</v>
      </c>
      <c r="L248" s="15">
        <v>1</v>
      </c>
      <c r="M248" s="12" t="s">
        <v>150</v>
      </c>
      <c r="N248" s="12">
        <v>40</v>
      </c>
      <c r="O248" s="12">
        <v>40</v>
      </c>
      <c r="P248" s="12">
        <v>0</v>
      </c>
      <c r="Q248" s="16">
        <v>40</v>
      </c>
      <c r="R248" s="16">
        <v>0</v>
      </c>
      <c r="S248" s="16"/>
      <c r="T248" s="16" t="e">
        <v>#N/A</v>
      </c>
      <c r="U248" s="16" t="e">
        <v>#N/A</v>
      </c>
    </row>
    <row r="249" spans="1:21" x14ac:dyDescent="0.25">
      <c r="A249" s="12" t="s">
        <v>21</v>
      </c>
      <c r="B249" s="12" t="s">
        <v>288</v>
      </c>
      <c r="C249" s="12" t="s">
        <v>23</v>
      </c>
      <c r="D249" s="13">
        <v>46191.52375</v>
      </c>
      <c r="E249" s="12" t="s">
        <v>24</v>
      </c>
      <c r="F249" s="12" t="s">
        <v>290</v>
      </c>
      <c r="G249" s="12">
        <v>30</v>
      </c>
      <c r="H249" s="12">
        <v>30</v>
      </c>
      <c r="I249" s="14"/>
      <c r="J249" s="14" t="s">
        <v>61</v>
      </c>
      <c r="K249" s="12" t="s">
        <v>292</v>
      </c>
      <c r="L249" s="15">
        <v>1</v>
      </c>
      <c r="M249" s="12" t="s">
        <v>150</v>
      </c>
      <c r="N249" s="12">
        <v>30</v>
      </c>
      <c r="O249" s="12">
        <v>30</v>
      </c>
      <c r="P249" s="12">
        <v>0</v>
      </c>
      <c r="Q249" s="16">
        <v>30</v>
      </c>
      <c r="R249" s="16">
        <v>2</v>
      </c>
      <c r="S249" s="16"/>
      <c r="T249" s="16" t="e">
        <v>#N/A</v>
      </c>
      <c r="U249" s="16" t="e">
        <v>#N/A</v>
      </c>
    </row>
    <row r="250" spans="1:21" x14ac:dyDescent="0.25">
      <c r="A250" s="12" t="s">
        <v>21</v>
      </c>
      <c r="B250" s="12" t="s">
        <v>288</v>
      </c>
      <c r="C250" s="12" t="s">
        <v>23</v>
      </c>
      <c r="D250" s="13">
        <v>46191.52375</v>
      </c>
      <c r="E250" s="12" t="s">
        <v>24</v>
      </c>
      <c r="F250" s="12" t="s">
        <v>293</v>
      </c>
      <c r="G250" s="12">
        <v>50</v>
      </c>
      <c r="H250" s="12">
        <v>50</v>
      </c>
      <c r="I250" s="14"/>
      <c r="J250" s="14" t="s">
        <v>61</v>
      </c>
      <c r="K250" s="12" t="s">
        <v>294</v>
      </c>
      <c r="L250" s="15">
        <v>1</v>
      </c>
      <c r="M250" s="12" t="s">
        <v>150</v>
      </c>
      <c r="N250" s="12">
        <v>50</v>
      </c>
      <c r="O250" s="12">
        <v>50</v>
      </c>
      <c r="P250" s="12">
        <v>0</v>
      </c>
      <c r="Q250" s="16">
        <v>50</v>
      </c>
      <c r="R250" s="16">
        <v>8</v>
      </c>
      <c r="S250" s="16"/>
      <c r="T250" s="16" t="e">
        <v>#N/A</v>
      </c>
      <c r="U250" s="16" t="e">
        <v>#N/A</v>
      </c>
    </row>
    <row r="251" spans="1:21" x14ac:dyDescent="0.25">
      <c r="A251" s="12" t="s">
        <v>21</v>
      </c>
      <c r="B251" s="12" t="s">
        <v>295</v>
      </c>
      <c r="C251" s="12" t="s">
        <v>23</v>
      </c>
      <c r="D251" s="13">
        <v>46192.302384259259</v>
      </c>
      <c r="E251" s="12" t="s">
        <v>195</v>
      </c>
      <c r="F251" s="12" t="s">
        <v>296</v>
      </c>
      <c r="G251" s="12">
        <v>148</v>
      </c>
      <c r="H251" s="12">
        <v>148</v>
      </c>
      <c r="I251" s="14"/>
      <c r="J251" s="14" t="s">
        <v>26</v>
      </c>
      <c r="K251" s="12" t="s">
        <v>27</v>
      </c>
      <c r="L251" s="15"/>
      <c r="M251" s="12" t="s">
        <v>28</v>
      </c>
      <c r="N251" s="12"/>
      <c r="O251" s="12"/>
      <c r="P251" s="12"/>
      <c r="Q251" s="16">
        <v>0</v>
      </c>
      <c r="R251" s="16">
        <v>39</v>
      </c>
      <c r="S251" s="16"/>
      <c r="T251" s="16" t="e">
        <v>#N/A</v>
      </c>
      <c r="U251" s="16" t="e">
        <v>#N/A</v>
      </c>
    </row>
    <row r="252" spans="1:21" x14ac:dyDescent="0.25">
      <c r="A252" s="12" t="s">
        <v>21</v>
      </c>
      <c r="B252" s="12" t="s">
        <v>295</v>
      </c>
      <c r="C252" s="12" t="s">
        <v>23</v>
      </c>
      <c r="D252" s="13">
        <v>46192.302384259259</v>
      </c>
      <c r="E252" s="12" t="s">
        <v>195</v>
      </c>
      <c r="F252" s="12" t="s">
        <v>205</v>
      </c>
      <c r="G252" s="12">
        <v>297</v>
      </c>
      <c r="H252" s="12">
        <v>297</v>
      </c>
      <c r="I252" s="14"/>
      <c r="J252" s="14" t="s">
        <v>26</v>
      </c>
      <c r="K252" s="12" t="s">
        <v>27</v>
      </c>
      <c r="L252" s="15"/>
      <c r="M252" s="12" t="s">
        <v>28</v>
      </c>
      <c r="N252" s="12"/>
      <c r="O252" s="12"/>
      <c r="P252" s="12"/>
      <c r="Q252" s="16">
        <v>0</v>
      </c>
      <c r="R252" s="16">
        <v>439</v>
      </c>
      <c r="S252" s="16"/>
      <c r="T252" s="16" t="e">
        <v>#N/A</v>
      </c>
      <c r="U252" s="16" t="e">
        <v>#N/A</v>
      </c>
    </row>
    <row r="253" spans="1:21" x14ac:dyDescent="0.25">
      <c r="A253" s="12" t="s">
        <v>21</v>
      </c>
      <c r="B253" s="12" t="s">
        <v>295</v>
      </c>
      <c r="C253" s="12" t="s">
        <v>23</v>
      </c>
      <c r="D253" s="13">
        <v>46192.302384259259</v>
      </c>
      <c r="E253" s="12" t="s">
        <v>195</v>
      </c>
      <c r="F253" s="12" t="s">
        <v>205</v>
      </c>
      <c r="G253" s="12">
        <v>600</v>
      </c>
      <c r="H253" s="12">
        <v>600</v>
      </c>
      <c r="I253" s="14"/>
      <c r="J253" s="14" t="s">
        <v>26</v>
      </c>
      <c r="K253" s="12" t="s">
        <v>27</v>
      </c>
      <c r="L253" s="15"/>
      <c r="M253" s="12" t="s">
        <v>28</v>
      </c>
      <c r="N253" s="12"/>
      <c r="O253" s="12"/>
      <c r="P253" s="12"/>
      <c r="Q253" s="16">
        <v>0</v>
      </c>
      <c r="R253" s="16">
        <v>439</v>
      </c>
      <c r="S253" s="16"/>
      <c r="T253" s="16" t="e">
        <v>#N/A</v>
      </c>
      <c r="U253" s="16" t="e">
        <v>#N/A</v>
      </c>
    </row>
    <row r="254" spans="1:21" x14ac:dyDescent="0.25">
      <c r="A254" s="12" t="s">
        <v>21</v>
      </c>
      <c r="B254" s="12" t="s">
        <v>295</v>
      </c>
      <c r="C254" s="12" t="s">
        <v>23</v>
      </c>
      <c r="D254" s="13">
        <v>46192.302384259259</v>
      </c>
      <c r="E254" s="12" t="s">
        <v>195</v>
      </c>
      <c r="F254" s="12" t="s">
        <v>87</v>
      </c>
      <c r="G254" s="12">
        <v>300</v>
      </c>
      <c r="H254" s="12">
        <v>300</v>
      </c>
      <c r="I254" s="14"/>
      <c r="J254" s="14" t="s">
        <v>26</v>
      </c>
      <c r="K254" s="12" t="s">
        <v>27</v>
      </c>
      <c r="L254" s="15"/>
      <c r="M254" s="12" t="s">
        <v>28</v>
      </c>
      <c r="N254" s="12"/>
      <c r="O254" s="12"/>
      <c r="P254" s="12"/>
      <c r="Q254" s="16">
        <v>0</v>
      </c>
      <c r="R254" s="16">
        <v>165</v>
      </c>
      <c r="S254" s="16"/>
      <c r="T254" s="16" t="e">
        <v>#N/A</v>
      </c>
      <c r="U254" s="16" t="e">
        <v>#N/A</v>
      </c>
    </row>
    <row r="255" spans="1:21" x14ac:dyDescent="0.25">
      <c r="A255" s="12" t="s">
        <v>21</v>
      </c>
      <c r="B255" s="12" t="s">
        <v>295</v>
      </c>
      <c r="C255" s="12" t="s">
        <v>23</v>
      </c>
      <c r="D255" s="13">
        <v>46192.302384259259</v>
      </c>
      <c r="E255" s="12" t="s">
        <v>195</v>
      </c>
      <c r="F255" s="12" t="s">
        <v>206</v>
      </c>
      <c r="G255" s="12">
        <v>149</v>
      </c>
      <c r="H255" s="12">
        <v>149</v>
      </c>
      <c r="I255" s="14"/>
      <c r="J255" s="14" t="s">
        <v>26</v>
      </c>
      <c r="K255" s="12" t="s">
        <v>27</v>
      </c>
      <c r="L255" s="15"/>
      <c r="M255" s="12" t="s">
        <v>28</v>
      </c>
      <c r="N255" s="12"/>
      <c r="O255" s="12"/>
      <c r="P255" s="12"/>
      <c r="Q255" s="16">
        <v>0</v>
      </c>
      <c r="R255" s="16">
        <v>9</v>
      </c>
      <c r="S255" s="16"/>
      <c r="T255" s="16" t="e">
        <v>#N/A</v>
      </c>
      <c r="U255" s="16" t="e">
        <v>#N/A</v>
      </c>
    </row>
    <row r="256" spans="1:21" x14ac:dyDescent="0.25">
      <c r="A256" s="12" t="s">
        <v>21</v>
      </c>
      <c r="B256" s="12" t="s">
        <v>295</v>
      </c>
      <c r="C256" s="12" t="s">
        <v>23</v>
      </c>
      <c r="D256" s="13">
        <v>46192.302384259259</v>
      </c>
      <c r="E256" s="12" t="s">
        <v>195</v>
      </c>
      <c r="F256" s="12" t="s">
        <v>297</v>
      </c>
      <c r="G256" s="12">
        <v>300</v>
      </c>
      <c r="H256" s="12">
        <v>300</v>
      </c>
      <c r="I256" s="14"/>
      <c r="J256" s="14" t="s">
        <v>26</v>
      </c>
      <c r="K256" s="12" t="s">
        <v>27</v>
      </c>
      <c r="L256" s="15"/>
      <c r="M256" s="12" t="s">
        <v>28</v>
      </c>
      <c r="N256" s="12"/>
      <c r="O256" s="12"/>
      <c r="P256" s="12"/>
      <c r="Q256" s="16">
        <v>0</v>
      </c>
      <c r="R256" s="16">
        <v>535</v>
      </c>
      <c r="S256" s="16"/>
      <c r="T256" s="16" t="e">
        <v>#N/A</v>
      </c>
      <c r="U256" s="16" t="e">
        <v>#N/A</v>
      </c>
    </row>
    <row r="257" spans="1:21" x14ac:dyDescent="0.25">
      <c r="A257" s="12" t="s">
        <v>21</v>
      </c>
      <c r="B257" s="12" t="s">
        <v>295</v>
      </c>
      <c r="C257" s="12" t="s">
        <v>23</v>
      </c>
      <c r="D257" s="13">
        <v>46192.302384259259</v>
      </c>
      <c r="E257" s="12" t="s">
        <v>195</v>
      </c>
      <c r="F257" s="12" t="s">
        <v>298</v>
      </c>
      <c r="G257" s="12">
        <v>300</v>
      </c>
      <c r="H257" s="12">
        <v>300</v>
      </c>
      <c r="I257" s="14"/>
      <c r="J257" s="14" t="s">
        <v>26</v>
      </c>
      <c r="K257" s="12" t="s">
        <v>27</v>
      </c>
      <c r="L257" s="15"/>
      <c r="M257" s="12" t="s">
        <v>28</v>
      </c>
      <c r="N257" s="12"/>
      <c r="O257" s="12"/>
      <c r="P257" s="12"/>
      <c r="Q257" s="16">
        <v>0</v>
      </c>
      <c r="R257" s="16">
        <v>848</v>
      </c>
      <c r="S257" s="16"/>
      <c r="T257" s="16" t="e">
        <v>#N/A</v>
      </c>
      <c r="U257" s="16" t="e">
        <v>#N/A</v>
      </c>
    </row>
    <row r="258" spans="1:21" x14ac:dyDescent="0.25">
      <c r="A258" s="12" t="s">
        <v>21</v>
      </c>
      <c r="B258" s="12" t="s">
        <v>295</v>
      </c>
      <c r="C258" s="12" t="s">
        <v>23</v>
      </c>
      <c r="D258" s="13">
        <v>46192.302384259259</v>
      </c>
      <c r="E258" s="12" t="s">
        <v>195</v>
      </c>
      <c r="F258" s="12" t="s">
        <v>299</v>
      </c>
      <c r="G258" s="12">
        <v>300</v>
      </c>
      <c r="H258" s="12">
        <v>300</v>
      </c>
      <c r="I258" s="14"/>
      <c r="J258" s="14" t="s">
        <v>26</v>
      </c>
      <c r="K258" s="12" t="s">
        <v>27</v>
      </c>
      <c r="L258" s="15"/>
      <c r="M258" s="12" t="s">
        <v>28</v>
      </c>
      <c r="N258" s="12"/>
      <c r="O258" s="12"/>
      <c r="P258" s="12"/>
      <c r="Q258" s="16">
        <v>0</v>
      </c>
      <c r="R258" s="16">
        <v>46</v>
      </c>
      <c r="S258" s="16"/>
      <c r="T258" s="16" t="e">
        <v>#N/A</v>
      </c>
      <c r="U258" s="16" t="e">
        <v>#N/A</v>
      </c>
    </row>
    <row r="259" spans="1:21" x14ac:dyDescent="0.25">
      <c r="A259" s="12" t="s">
        <v>21</v>
      </c>
      <c r="B259" s="12" t="s">
        <v>295</v>
      </c>
      <c r="C259" s="12" t="s">
        <v>23</v>
      </c>
      <c r="D259" s="13">
        <v>46192.302384259259</v>
      </c>
      <c r="E259" s="12" t="s">
        <v>195</v>
      </c>
      <c r="F259" s="12" t="s">
        <v>300</v>
      </c>
      <c r="G259" s="12">
        <v>600</v>
      </c>
      <c r="H259" s="12">
        <v>600</v>
      </c>
      <c r="I259" s="14"/>
      <c r="J259" s="14" t="s">
        <v>26</v>
      </c>
      <c r="K259" s="12" t="s">
        <v>27</v>
      </c>
      <c r="L259" s="15"/>
      <c r="M259" s="12" t="s">
        <v>28</v>
      </c>
      <c r="N259" s="12"/>
      <c r="O259" s="12"/>
      <c r="P259" s="12"/>
      <c r="Q259" s="16">
        <v>0</v>
      </c>
      <c r="R259" s="16">
        <v>14745</v>
      </c>
      <c r="S259" s="16"/>
      <c r="T259" s="16" t="e">
        <v>#N/A</v>
      </c>
      <c r="U259" s="16" t="e">
        <v>#N/A</v>
      </c>
    </row>
    <row r="260" spans="1:21" x14ac:dyDescent="0.25">
      <c r="A260" s="12" t="s">
        <v>21</v>
      </c>
      <c r="B260" s="12" t="s">
        <v>295</v>
      </c>
      <c r="C260" s="12" t="s">
        <v>23</v>
      </c>
      <c r="D260" s="13">
        <v>46192.302384259259</v>
      </c>
      <c r="E260" s="12" t="s">
        <v>195</v>
      </c>
      <c r="F260" s="12" t="s">
        <v>301</v>
      </c>
      <c r="G260" s="12">
        <v>300</v>
      </c>
      <c r="H260" s="12">
        <v>300</v>
      </c>
      <c r="I260" s="14"/>
      <c r="J260" s="14" t="s">
        <v>26</v>
      </c>
      <c r="K260" s="12" t="s">
        <v>27</v>
      </c>
      <c r="L260" s="15"/>
      <c r="M260" s="12" t="s">
        <v>28</v>
      </c>
      <c r="N260" s="12"/>
      <c r="O260" s="12"/>
      <c r="P260" s="12"/>
      <c r="Q260" s="16">
        <v>0</v>
      </c>
      <c r="R260" s="16">
        <v>12830</v>
      </c>
      <c r="S260" s="16"/>
      <c r="T260" s="16" t="e">
        <v>#N/A</v>
      </c>
      <c r="U260" s="16" t="e">
        <v>#N/A</v>
      </c>
    </row>
    <row r="261" spans="1:21" x14ac:dyDescent="0.25">
      <c r="A261" s="12" t="s">
        <v>21</v>
      </c>
      <c r="B261" s="12" t="s">
        <v>295</v>
      </c>
      <c r="C261" s="12" t="s">
        <v>23</v>
      </c>
      <c r="D261" s="13">
        <v>46192.302384259259</v>
      </c>
      <c r="E261" s="12" t="s">
        <v>195</v>
      </c>
      <c r="F261" s="12" t="s">
        <v>214</v>
      </c>
      <c r="G261" s="12">
        <v>297</v>
      </c>
      <c r="H261" s="12">
        <v>297</v>
      </c>
      <c r="I261" s="14"/>
      <c r="J261" s="14" t="s">
        <v>26</v>
      </c>
      <c r="K261" s="12" t="s">
        <v>27</v>
      </c>
      <c r="L261" s="15"/>
      <c r="M261" s="12" t="s">
        <v>28</v>
      </c>
      <c r="N261" s="12"/>
      <c r="O261" s="12"/>
      <c r="P261" s="12"/>
      <c r="Q261" s="16">
        <v>0</v>
      </c>
      <c r="R261" s="16">
        <v>270</v>
      </c>
      <c r="S261" s="16"/>
      <c r="T261" s="16" t="e">
        <v>#N/A</v>
      </c>
      <c r="U261" s="16" t="e">
        <v>#N/A</v>
      </c>
    </row>
    <row r="262" spans="1:21" x14ac:dyDescent="0.25">
      <c r="A262" s="12" t="s">
        <v>21</v>
      </c>
      <c r="B262" s="12" t="s">
        <v>295</v>
      </c>
      <c r="C262" s="12" t="s">
        <v>23</v>
      </c>
      <c r="D262" s="13">
        <v>46192.302384259259</v>
      </c>
      <c r="E262" s="12" t="s">
        <v>195</v>
      </c>
      <c r="F262" s="12" t="s">
        <v>302</v>
      </c>
      <c r="G262" s="12">
        <v>600</v>
      </c>
      <c r="H262" s="12">
        <v>600</v>
      </c>
      <c r="I262" s="14"/>
      <c r="J262" s="14" t="s">
        <v>26</v>
      </c>
      <c r="K262" s="12" t="s">
        <v>27</v>
      </c>
      <c r="L262" s="15"/>
      <c r="M262" s="12" t="s">
        <v>28</v>
      </c>
      <c r="N262" s="12"/>
      <c r="O262" s="12"/>
      <c r="P262" s="12"/>
      <c r="Q262" s="16">
        <v>0</v>
      </c>
      <c r="R262" s="16">
        <v>14163</v>
      </c>
      <c r="S262" s="16"/>
      <c r="T262" s="16" t="e">
        <v>#N/A</v>
      </c>
      <c r="U262" s="16" t="e">
        <v>#N/A</v>
      </c>
    </row>
    <row r="263" spans="1:21" x14ac:dyDescent="0.25">
      <c r="A263" s="12" t="s">
        <v>21</v>
      </c>
      <c r="B263" s="12" t="s">
        <v>295</v>
      </c>
      <c r="C263" s="12" t="s">
        <v>23</v>
      </c>
      <c r="D263" s="13">
        <v>46192.302384259259</v>
      </c>
      <c r="E263" s="12" t="s">
        <v>195</v>
      </c>
      <c r="F263" s="12" t="s">
        <v>303</v>
      </c>
      <c r="G263" s="12">
        <v>1188</v>
      </c>
      <c r="H263" s="12">
        <v>1188</v>
      </c>
      <c r="I263" s="14"/>
      <c r="J263" s="14" t="s">
        <v>26</v>
      </c>
      <c r="K263" s="12" t="s">
        <v>27</v>
      </c>
      <c r="L263" s="15"/>
      <c r="M263" s="12" t="s">
        <v>28</v>
      </c>
      <c r="N263" s="12"/>
      <c r="O263" s="12"/>
      <c r="P263" s="12"/>
      <c r="Q263" s="16">
        <v>0</v>
      </c>
      <c r="R263" s="16">
        <v>12045</v>
      </c>
      <c r="S263" s="16"/>
      <c r="T263" s="16" t="e">
        <v>#N/A</v>
      </c>
      <c r="U263" s="16" t="e">
        <v>#N/A</v>
      </c>
    </row>
    <row r="264" spans="1:21" x14ac:dyDescent="0.25">
      <c r="A264" s="12" t="s">
        <v>21</v>
      </c>
      <c r="B264" s="12" t="s">
        <v>295</v>
      </c>
      <c r="C264" s="12" t="s">
        <v>23</v>
      </c>
      <c r="D264" s="13">
        <v>46192.302384259259</v>
      </c>
      <c r="E264" s="12" t="s">
        <v>195</v>
      </c>
      <c r="F264" s="12" t="s">
        <v>304</v>
      </c>
      <c r="G264" s="12">
        <v>1200</v>
      </c>
      <c r="H264" s="12">
        <v>1200</v>
      </c>
      <c r="I264" s="14"/>
      <c r="J264" s="14" t="s">
        <v>26</v>
      </c>
      <c r="K264" s="12" t="s">
        <v>27</v>
      </c>
      <c r="L264" s="15"/>
      <c r="M264" s="12" t="s">
        <v>28</v>
      </c>
      <c r="N264" s="12"/>
      <c r="O264" s="12"/>
      <c r="P264" s="12"/>
      <c r="Q264" s="16">
        <v>0</v>
      </c>
      <c r="R264" s="16">
        <v>85020</v>
      </c>
      <c r="S264" s="16"/>
      <c r="T264" s="16" t="e">
        <v>#N/A</v>
      </c>
      <c r="U264" s="16" t="e">
        <v>#N/A</v>
      </c>
    </row>
    <row r="265" spans="1:21" x14ac:dyDescent="0.25">
      <c r="A265" s="12" t="s">
        <v>21</v>
      </c>
      <c r="B265" s="12" t="s">
        <v>295</v>
      </c>
      <c r="C265" s="12" t="s">
        <v>23</v>
      </c>
      <c r="D265" s="13">
        <v>46192.302384259259</v>
      </c>
      <c r="E265" s="12" t="s">
        <v>195</v>
      </c>
      <c r="F265" s="12" t="s">
        <v>305</v>
      </c>
      <c r="G265" s="12">
        <v>2376</v>
      </c>
      <c r="H265" s="12">
        <v>2376</v>
      </c>
      <c r="I265" s="14"/>
      <c r="J265" s="14" t="s">
        <v>26</v>
      </c>
      <c r="K265" s="12" t="s">
        <v>27</v>
      </c>
      <c r="L265" s="15"/>
      <c r="M265" s="12" t="s">
        <v>28</v>
      </c>
      <c r="N265" s="12"/>
      <c r="O265" s="12"/>
      <c r="P265" s="12"/>
      <c r="Q265" s="16">
        <v>0</v>
      </c>
      <c r="R265" s="16">
        <v>155314</v>
      </c>
      <c r="S265" s="16"/>
      <c r="T265" s="16" t="e">
        <v>#N/A</v>
      </c>
      <c r="U265" s="16" t="e">
        <v>#N/A</v>
      </c>
    </row>
    <row r="266" spans="1:21" x14ac:dyDescent="0.25">
      <c r="A266" s="12" t="s">
        <v>21</v>
      </c>
      <c r="B266" s="12" t="s">
        <v>295</v>
      </c>
      <c r="C266" s="12" t="s">
        <v>23</v>
      </c>
      <c r="D266" s="13">
        <v>46192.302384259259</v>
      </c>
      <c r="E266" s="12" t="s">
        <v>195</v>
      </c>
      <c r="F266" s="12" t="s">
        <v>306</v>
      </c>
      <c r="G266" s="12">
        <v>1188</v>
      </c>
      <c r="H266" s="12">
        <v>1188</v>
      </c>
      <c r="I266" s="14"/>
      <c r="J266" s="14" t="s">
        <v>26</v>
      </c>
      <c r="K266" s="12" t="s">
        <v>27</v>
      </c>
      <c r="L266" s="15"/>
      <c r="M266" s="12" t="s">
        <v>28</v>
      </c>
      <c r="N266" s="12"/>
      <c r="O266" s="12"/>
      <c r="P266" s="12"/>
      <c r="Q266" s="16">
        <v>0</v>
      </c>
      <c r="R266" s="16">
        <v>14778</v>
      </c>
      <c r="S266" s="16"/>
      <c r="T266" s="16" t="e">
        <v>#N/A</v>
      </c>
      <c r="U266" s="16" t="e">
        <v>#N/A</v>
      </c>
    </row>
    <row r="267" spans="1:21" x14ac:dyDescent="0.25">
      <c r="A267" s="12" t="s">
        <v>21</v>
      </c>
      <c r="B267" s="12" t="s">
        <v>295</v>
      </c>
      <c r="C267" s="12" t="s">
        <v>23</v>
      </c>
      <c r="D267" s="13">
        <v>46192.302384259259</v>
      </c>
      <c r="E267" s="12" t="s">
        <v>195</v>
      </c>
      <c r="F267" s="12" t="s">
        <v>306</v>
      </c>
      <c r="G267" s="12">
        <v>900</v>
      </c>
      <c r="H267" s="12">
        <v>900</v>
      </c>
      <c r="I267" s="14"/>
      <c r="J267" s="14" t="s">
        <v>26</v>
      </c>
      <c r="K267" s="12" t="s">
        <v>27</v>
      </c>
      <c r="L267" s="15"/>
      <c r="M267" s="12" t="s">
        <v>28</v>
      </c>
      <c r="N267" s="12"/>
      <c r="O267" s="12"/>
      <c r="P267" s="12"/>
      <c r="Q267" s="16">
        <v>0</v>
      </c>
      <c r="R267" s="16">
        <v>14778</v>
      </c>
      <c r="S267" s="16"/>
      <c r="T267" s="16" t="e">
        <v>#N/A</v>
      </c>
      <c r="U267" s="16" t="e">
        <v>#N/A</v>
      </c>
    </row>
    <row r="268" spans="1:21" x14ac:dyDescent="0.25">
      <c r="A268" s="12" t="s">
        <v>21</v>
      </c>
      <c r="B268" s="12" t="s">
        <v>295</v>
      </c>
      <c r="C268" s="12" t="s">
        <v>23</v>
      </c>
      <c r="D268" s="13">
        <v>46192.302384259259</v>
      </c>
      <c r="E268" s="12" t="s">
        <v>195</v>
      </c>
      <c r="F268" s="12" t="s">
        <v>59</v>
      </c>
      <c r="G268" s="12">
        <v>300</v>
      </c>
      <c r="H268" s="12">
        <v>300</v>
      </c>
      <c r="I268" s="14"/>
      <c r="J268" s="14" t="s">
        <v>26</v>
      </c>
      <c r="K268" s="12" t="s">
        <v>27</v>
      </c>
      <c r="L268" s="15"/>
      <c r="M268" s="12" t="s">
        <v>28</v>
      </c>
      <c r="N268" s="12"/>
      <c r="O268" s="12"/>
      <c r="P268" s="12"/>
      <c r="Q268" s="16">
        <v>0</v>
      </c>
      <c r="R268" s="16">
        <v>0</v>
      </c>
      <c r="S268" s="16"/>
      <c r="T268" s="16" t="e">
        <v>#N/A</v>
      </c>
      <c r="U268" s="16" t="e">
        <v>#N/A</v>
      </c>
    </row>
    <row r="269" spans="1:21" x14ac:dyDescent="0.25">
      <c r="A269" s="12" t="s">
        <v>21</v>
      </c>
      <c r="B269" s="12" t="s">
        <v>295</v>
      </c>
      <c r="C269" s="12" t="s">
        <v>23</v>
      </c>
      <c r="D269" s="13">
        <v>46192.302384259259</v>
      </c>
      <c r="E269" s="12" t="s">
        <v>195</v>
      </c>
      <c r="F269" s="12" t="s">
        <v>307</v>
      </c>
      <c r="G269" s="12">
        <v>300</v>
      </c>
      <c r="H269" s="12">
        <v>300</v>
      </c>
      <c r="I269" s="14"/>
      <c r="J269" s="14" t="s">
        <v>26</v>
      </c>
      <c r="K269" s="12" t="s">
        <v>27</v>
      </c>
      <c r="L269" s="15"/>
      <c r="M269" s="12" t="s">
        <v>28</v>
      </c>
      <c r="N269" s="12"/>
      <c r="O269" s="12"/>
      <c r="P269" s="12"/>
      <c r="Q269" s="16">
        <v>0</v>
      </c>
      <c r="R269" s="16">
        <v>12653</v>
      </c>
      <c r="S269" s="16"/>
      <c r="T269" s="16" t="e">
        <v>#N/A</v>
      </c>
      <c r="U269" s="16" t="e">
        <v>#N/A</v>
      </c>
    </row>
    <row r="270" spans="1:21" x14ac:dyDescent="0.25">
      <c r="A270" s="12" t="s">
        <v>21</v>
      </c>
      <c r="B270" s="12" t="s">
        <v>295</v>
      </c>
      <c r="C270" s="12" t="s">
        <v>23</v>
      </c>
      <c r="D270" s="13">
        <v>46192.302384259259</v>
      </c>
      <c r="E270" s="12" t="s">
        <v>195</v>
      </c>
      <c r="F270" s="12" t="s">
        <v>308</v>
      </c>
      <c r="G270" s="12">
        <v>594</v>
      </c>
      <c r="H270" s="12">
        <v>594</v>
      </c>
      <c r="I270" s="14"/>
      <c r="J270" s="14" t="s">
        <v>26</v>
      </c>
      <c r="K270" s="12" t="s">
        <v>27</v>
      </c>
      <c r="L270" s="15"/>
      <c r="M270" s="12" t="s">
        <v>28</v>
      </c>
      <c r="N270" s="12"/>
      <c r="O270" s="12"/>
      <c r="P270" s="12"/>
      <c r="Q270" s="16">
        <v>0</v>
      </c>
      <c r="R270" s="16">
        <v>10717</v>
      </c>
      <c r="S270" s="16"/>
      <c r="T270" s="16" t="e">
        <v>#N/A</v>
      </c>
      <c r="U270" s="16" t="e">
        <v>#N/A</v>
      </c>
    </row>
    <row r="271" spans="1:21" x14ac:dyDescent="0.25">
      <c r="A271" s="12" t="s">
        <v>21</v>
      </c>
      <c r="B271" s="12" t="s">
        <v>295</v>
      </c>
      <c r="C271" s="12" t="s">
        <v>23</v>
      </c>
      <c r="D271" s="13">
        <v>46192.302384259259</v>
      </c>
      <c r="E271" s="12" t="s">
        <v>195</v>
      </c>
      <c r="F271" s="12" t="s">
        <v>308</v>
      </c>
      <c r="G271" s="12">
        <v>900</v>
      </c>
      <c r="H271" s="12">
        <v>900</v>
      </c>
      <c r="I271" s="14"/>
      <c r="J271" s="14" t="s">
        <v>26</v>
      </c>
      <c r="K271" s="12" t="s">
        <v>27</v>
      </c>
      <c r="L271" s="15"/>
      <c r="M271" s="12" t="s">
        <v>28</v>
      </c>
      <c r="N271" s="12"/>
      <c r="O271" s="12"/>
      <c r="P271" s="12"/>
      <c r="Q271" s="16">
        <v>0</v>
      </c>
      <c r="R271" s="16">
        <v>10717</v>
      </c>
      <c r="S271" s="16"/>
      <c r="T271" s="16" t="e">
        <v>#N/A</v>
      </c>
      <c r="U271" s="16" t="e">
        <v>#N/A</v>
      </c>
    </row>
    <row r="272" spans="1:21" x14ac:dyDescent="0.25">
      <c r="A272" s="12" t="s">
        <v>21</v>
      </c>
      <c r="B272" s="12" t="s">
        <v>295</v>
      </c>
      <c r="C272" s="12" t="s">
        <v>23</v>
      </c>
      <c r="D272" s="13">
        <v>46192.302384259259</v>
      </c>
      <c r="E272" s="12" t="s">
        <v>195</v>
      </c>
      <c r="F272" s="12" t="s">
        <v>309</v>
      </c>
      <c r="G272" s="12">
        <v>5400</v>
      </c>
      <c r="H272" s="12">
        <v>5400</v>
      </c>
      <c r="I272" s="14"/>
      <c r="J272" s="14" t="s">
        <v>26</v>
      </c>
      <c r="K272" s="12" t="s">
        <v>27</v>
      </c>
      <c r="L272" s="15"/>
      <c r="M272" s="12" t="s">
        <v>28</v>
      </c>
      <c r="N272" s="12"/>
      <c r="O272" s="12"/>
      <c r="P272" s="12"/>
      <c r="Q272" s="16">
        <v>0</v>
      </c>
      <c r="R272" s="16">
        <v>220850</v>
      </c>
      <c r="S272" s="16"/>
      <c r="T272" s="16" t="e">
        <v>#N/A</v>
      </c>
      <c r="U272" s="16" t="e">
        <v>#N/A</v>
      </c>
    </row>
    <row r="273" spans="1:21" x14ac:dyDescent="0.25">
      <c r="A273" s="12" t="s">
        <v>21</v>
      </c>
      <c r="B273" s="12" t="s">
        <v>295</v>
      </c>
      <c r="C273" s="12" t="s">
        <v>23</v>
      </c>
      <c r="D273" s="13">
        <v>46192.302384259259</v>
      </c>
      <c r="E273" s="12" t="s">
        <v>195</v>
      </c>
      <c r="F273" s="12" t="s">
        <v>310</v>
      </c>
      <c r="G273" s="12">
        <v>1050</v>
      </c>
      <c r="H273" s="12">
        <v>1050</v>
      </c>
      <c r="I273" s="14"/>
      <c r="J273" s="14" t="s">
        <v>26</v>
      </c>
      <c r="K273" s="12" t="s">
        <v>27</v>
      </c>
      <c r="L273" s="15"/>
      <c r="M273" s="12" t="s">
        <v>28</v>
      </c>
      <c r="N273" s="12"/>
      <c r="O273" s="12"/>
      <c r="P273" s="12"/>
      <c r="Q273" s="16">
        <v>0</v>
      </c>
      <c r="R273" s="16">
        <v>3738</v>
      </c>
      <c r="S273" s="16"/>
      <c r="T273" s="16" t="e">
        <v>#N/A</v>
      </c>
      <c r="U273" s="16" t="e">
        <v>#N/A</v>
      </c>
    </row>
    <row r="274" spans="1:21" x14ac:dyDescent="0.25">
      <c r="A274" s="12" t="s">
        <v>21</v>
      </c>
      <c r="B274" s="12" t="s">
        <v>295</v>
      </c>
      <c r="C274" s="12" t="s">
        <v>23</v>
      </c>
      <c r="D274" s="13">
        <v>46192.302384259259</v>
      </c>
      <c r="E274" s="12" t="s">
        <v>195</v>
      </c>
      <c r="F274" s="12" t="s">
        <v>311</v>
      </c>
      <c r="G274" s="12">
        <v>1050</v>
      </c>
      <c r="H274" s="12">
        <v>1050</v>
      </c>
      <c r="I274" s="14"/>
      <c r="J274" s="14" t="s">
        <v>26</v>
      </c>
      <c r="K274" s="12" t="s">
        <v>27</v>
      </c>
      <c r="L274" s="15"/>
      <c r="M274" s="12" t="s">
        <v>28</v>
      </c>
      <c r="N274" s="12"/>
      <c r="O274" s="12"/>
      <c r="P274" s="12"/>
      <c r="Q274" s="16">
        <v>0</v>
      </c>
      <c r="R274" s="16">
        <v>12947</v>
      </c>
      <c r="S274" s="16"/>
      <c r="T274" s="16" t="e">
        <v>#N/A</v>
      </c>
      <c r="U274" s="16" t="e">
        <v>#N/A</v>
      </c>
    </row>
    <row r="275" spans="1:21" x14ac:dyDescent="0.25">
      <c r="A275" s="12" t="s">
        <v>21</v>
      </c>
      <c r="B275" s="12" t="s">
        <v>295</v>
      </c>
      <c r="C275" s="12" t="s">
        <v>23</v>
      </c>
      <c r="D275" s="13">
        <v>46192.302384259259</v>
      </c>
      <c r="E275" s="12" t="s">
        <v>195</v>
      </c>
      <c r="F275" s="12" t="s">
        <v>312</v>
      </c>
      <c r="G275" s="12">
        <v>2376</v>
      </c>
      <c r="H275" s="12">
        <v>2376</v>
      </c>
      <c r="I275" s="14"/>
      <c r="J275" s="14" t="s">
        <v>26</v>
      </c>
      <c r="K275" s="12" t="s">
        <v>27</v>
      </c>
      <c r="L275" s="15"/>
      <c r="M275" s="12" t="s">
        <v>28</v>
      </c>
      <c r="N275" s="12"/>
      <c r="O275" s="12"/>
      <c r="P275" s="12"/>
      <c r="Q275" s="16">
        <v>0</v>
      </c>
      <c r="R275" s="16">
        <v>12445</v>
      </c>
      <c r="S275" s="16"/>
      <c r="T275" s="16" t="e">
        <v>#N/A</v>
      </c>
      <c r="U275" s="16" t="e">
        <v>#N/A</v>
      </c>
    </row>
    <row r="276" spans="1:21" x14ac:dyDescent="0.25">
      <c r="A276" s="12" t="s">
        <v>21</v>
      </c>
      <c r="B276" s="12" t="s">
        <v>295</v>
      </c>
      <c r="C276" s="12" t="s">
        <v>23</v>
      </c>
      <c r="D276" s="13">
        <v>46192.302384259259</v>
      </c>
      <c r="E276" s="12" t="s">
        <v>195</v>
      </c>
      <c r="F276" s="12" t="s">
        <v>313</v>
      </c>
      <c r="G276" s="12">
        <v>1050</v>
      </c>
      <c r="H276" s="12">
        <v>1050</v>
      </c>
      <c r="I276" s="14"/>
      <c r="J276" s="14" t="s">
        <v>26</v>
      </c>
      <c r="K276" s="12" t="s">
        <v>27</v>
      </c>
      <c r="L276" s="15"/>
      <c r="M276" s="12" t="s">
        <v>28</v>
      </c>
      <c r="N276" s="12"/>
      <c r="O276" s="12"/>
      <c r="P276" s="12"/>
      <c r="Q276" s="16">
        <v>0</v>
      </c>
      <c r="R276" s="16">
        <v>25</v>
      </c>
      <c r="S276" s="16"/>
      <c r="T276" s="16" t="e">
        <v>#N/A</v>
      </c>
      <c r="U276" s="16" t="e">
        <v>#N/A</v>
      </c>
    </row>
    <row r="277" spans="1:21" x14ac:dyDescent="0.25">
      <c r="A277" s="12" t="s">
        <v>21</v>
      </c>
      <c r="B277" s="12" t="s">
        <v>295</v>
      </c>
      <c r="C277" s="12" t="s">
        <v>23</v>
      </c>
      <c r="D277" s="13">
        <v>46192.302384259259</v>
      </c>
      <c r="E277" s="12" t="s">
        <v>195</v>
      </c>
      <c r="F277" s="12" t="s">
        <v>314</v>
      </c>
      <c r="G277" s="12">
        <v>1000</v>
      </c>
      <c r="H277" s="12">
        <v>1000</v>
      </c>
      <c r="I277" s="14"/>
      <c r="J277" s="14" t="s">
        <v>26</v>
      </c>
      <c r="K277" s="12" t="s">
        <v>27</v>
      </c>
      <c r="L277" s="15"/>
      <c r="M277" s="12" t="s">
        <v>28</v>
      </c>
      <c r="N277" s="12"/>
      <c r="O277" s="12"/>
      <c r="P277" s="12"/>
      <c r="Q277" s="16">
        <v>0</v>
      </c>
      <c r="R277" s="16">
        <v>24390</v>
      </c>
      <c r="S277" s="16"/>
      <c r="T277" s="16" t="e">
        <v>#N/A</v>
      </c>
      <c r="U277" s="16" t="e">
        <v>#N/A</v>
      </c>
    </row>
    <row r="278" spans="1:21" x14ac:dyDescent="0.25">
      <c r="A278" s="12" t="s">
        <v>21</v>
      </c>
      <c r="B278" s="12" t="s">
        <v>295</v>
      </c>
      <c r="C278" s="12" t="s">
        <v>23</v>
      </c>
      <c r="D278" s="13">
        <v>46192.302384259259</v>
      </c>
      <c r="E278" s="12" t="s">
        <v>195</v>
      </c>
      <c r="F278" s="12" t="s">
        <v>314</v>
      </c>
      <c r="G278" s="12">
        <v>600</v>
      </c>
      <c r="H278" s="12">
        <v>600</v>
      </c>
      <c r="I278" s="14"/>
      <c r="J278" s="14" t="s">
        <v>26</v>
      </c>
      <c r="K278" s="12" t="s">
        <v>27</v>
      </c>
      <c r="L278" s="15"/>
      <c r="M278" s="12" t="s">
        <v>28</v>
      </c>
      <c r="N278" s="12"/>
      <c r="O278" s="12"/>
      <c r="P278" s="12"/>
      <c r="Q278" s="16">
        <v>0</v>
      </c>
      <c r="R278" s="16">
        <v>24390</v>
      </c>
      <c r="S278" s="16"/>
      <c r="T278" s="16" t="e">
        <v>#N/A</v>
      </c>
      <c r="U278" s="16" t="e">
        <v>#N/A</v>
      </c>
    </row>
    <row r="279" spans="1:21" x14ac:dyDescent="0.25">
      <c r="A279" s="12" t="s">
        <v>21</v>
      </c>
      <c r="B279" s="12" t="s">
        <v>295</v>
      </c>
      <c r="C279" s="12" t="s">
        <v>23</v>
      </c>
      <c r="D279" s="13">
        <v>46192.302384259259</v>
      </c>
      <c r="E279" s="12" t="s">
        <v>195</v>
      </c>
      <c r="F279" s="12" t="s">
        <v>255</v>
      </c>
      <c r="G279" s="12">
        <v>1000</v>
      </c>
      <c r="H279" s="12">
        <v>1000</v>
      </c>
      <c r="I279" s="14"/>
      <c r="J279" s="14" t="s">
        <v>26</v>
      </c>
      <c r="K279" s="12" t="s">
        <v>27</v>
      </c>
      <c r="L279" s="15"/>
      <c r="M279" s="12" t="s">
        <v>28</v>
      </c>
      <c r="N279" s="12"/>
      <c r="O279" s="12"/>
      <c r="P279" s="12"/>
      <c r="Q279" s="16">
        <v>0</v>
      </c>
      <c r="R279" s="16">
        <v>49645</v>
      </c>
      <c r="S279" s="16"/>
      <c r="T279" s="16" t="e">
        <v>#N/A</v>
      </c>
      <c r="U279" s="16" t="e">
        <v>#N/A</v>
      </c>
    </row>
    <row r="280" spans="1:21" x14ac:dyDescent="0.25">
      <c r="A280" s="12" t="s">
        <v>21</v>
      </c>
      <c r="B280" s="12" t="s">
        <v>295</v>
      </c>
      <c r="C280" s="12" t="s">
        <v>23</v>
      </c>
      <c r="D280" s="13">
        <v>46192.302384259259</v>
      </c>
      <c r="E280" s="12" t="s">
        <v>195</v>
      </c>
      <c r="F280" s="12" t="s">
        <v>48</v>
      </c>
      <c r="G280" s="12">
        <v>2700</v>
      </c>
      <c r="H280" s="12">
        <v>2700</v>
      </c>
      <c r="I280" s="14"/>
      <c r="J280" s="14" t="s">
        <v>26</v>
      </c>
      <c r="K280" s="12" t="s">
        <v>27</v>
      </c>
      <c r="L280" s="15"/>
      <c r="M280" s="12" t="s">
        <v>28</v>
      </c>
      <c r="N280" s="12"/>
      <c r="O280" s="12"/>
      <c r="P280" s="12"/>
      <c r="Q280" s="16">
        <v>0</v>
      </c>
      <c r="R280" s="16">
        <v>3758</v>
      </c>
      <c r="S280" s="16"/>
      <c r="T280" s="16" t="e">
        <v>#N/A</v>
      </c>
      <c r="U280" s="16" t="e">
        <v>#N/A</v>
      </c>
    </row>
    <row r="281" spans="1:21" x14ac:dyDescent="0.25">
      <c r="A281" s="12" t="s">
        <v>21</v>
      </c>
      <c r="B281" s="12" t="s">
        <v>295</v>
      </c>
      <c r="C281" s="12" t="s">
        <v>23</v>
      </c>
      <c r="D281" s="13">
        <v>46192.302384259259</v>
      </c>
      <c r="E281" s="12" t="s">
        <v>195</v>
      </c>
      <c r="F281" s="12" t="s">
        <v>315</v>
      </c>
      <c r="G281" s="12">
        <v>2400</v>
      </c>
      <c r="H281" s="12">
        <v>2400</v>
      </c>
      <c r="I281" s="14"/>
      <c r="J281" s="14" t="s">
        <v>26</v>
      </c>
      <c r="K281" s="12" t="s">
        <v>27</v>
      </c>
      <c r="L281" s="15"/>
      <c r="M281" s="12" t="s">
        <v>28</v>
      </c>
      <c r="N281" s="12"/>
      <c r="O281" s="12"/>
      <c r="P281" s="12"/>
      <c r="Q281" s="16">
        <v>0</v>
      </c>
      <c r="R281" s="16">
        <v>5042</v>
      </c>
      <c r="S281" s="16"/>
      <c r="T281" s="16" t="e">
        <v>#N/A</v>
      </c>
      <c r="U281" s="16" t="e">
        <v>#N/A</v>
      </c>
    </row>
    <row r="282" spans="1:21" x14ac:dyDescent="0.25">
      <c r="A282" s="12" t="s">
        <v>21</v>
      </c>
      <c r="B282" s="12" t="s">
        <v>316</v>
      </c>
      <c r="C282" s="12" t="s">
        <v>23</v>
      </c>
      <c r="D282" s="13">
        <v>46195.506979166668</v>
      </c>
      <c r="E282" s="12" t="s">
        <v>24</v>
      </c>
      <c r="F282" s="12" t="s">
        <v>59</v>
      </c>
      <c r="G282" s="12">
        <v>150</v>
      </c>
      <c r="H282" s="12">
        <v>150</v>
      </c>
      <c r="I282" s="14"/>
      <c r="J282" s="14" t="s">
        <v>26</v>
      </c>
      <c r="K282" s="12" t="s">
        <v>27</v>
      </c>
      <c r="L282" s="15"/>
      <c r="M282" s="12" t="s">
        <v>28</v>
      </c>
      <c r="N282" s="12"/>
      <c r="O282" s="12"/>
      <c r="P282" s="12"/>
      <c r="Q282" s="16">
        <v>0</v>
      </c>
      <c r="R282" s="16">
        <v>0</v>
      </c>
      <c r="S282" s="16">
        <v>20</v>
      </c>
      <c r="T282" s="16" t="e">
        <v>#N/A</v>
      </c>
      <c r="U282" s="16" t="e">
        <v>#N/A</v>
      </c>
    </row>
    <row r="283" spans="1:21" x14ac:dyDescent="0.25">
      <c r="A283" s="12" t="s">
        <v>21</v>
      </c>
      <c r="B283" s="12" t="s">
        <v>316</v>
      </c>
      <c r="C283" s="12" t="s">
        <v>23</v>
      </c>
      <c r="D283" s="13">
        <v>46195.506979166668</v>
      </c>
      <c r="E283" s="12" t="s">
        <v>24</v>
      </c>
      <c r="F283" s="12" t="s">
        <v>317</v>
      </c>
      <c r="G283" s="12">
        <v>12</v>
      </c>
      <c r="H283" s="12">
        <v>12</v>
      </c>
      <c r="I283" s="14"/>
      <c r="J283" s="14" t="s">
        <v>61</v>
      </c>
      <c r="K283" s="12" t="s">
        <v>27</v>
      </c>
      <c r="L283" s="15"/>
      <c r="M283" s="12" t="s">
        <v>28</v>
      </c>
      <c r="N283" s="12"/>
      <c r="O283" s="12"/>
      <c r="P283" s="12"/>
      <c r="Q283" s="16">
        <v>12</v>
      </c>
      <c r="R283" s="16">
        <v>0</v>
      </c>
      <c r="S283" s="16"/>
      <c r="T283" s="16" t="e">
        <v>#N/A</v>
      </c>
      <c r="U283" s="16" t="e">
        <v>#N/A</v>
      </c>
    </row>
    <row r="284" spans="1:21" x14ac:dyDescent="0.25">
      <c r="A284" s="12" t="s">
        <v>21</v>
      </c>
      <c r="B284" s="12" t="s">
        <v>316</v>
      </c>
      <c r="C284" s="12" t="s">
        <v>23</v>
      </c>
      <c r="D284" s="13">
        <v>46195.506979166668</v>
      </c>
      <c r="E284" s="12" t="s">
        <v>24</v>
      </c>
      <c r="F284" s="12" t="s">
        <v>165</v>
      </c>
      <c r="G284" s="12">
        <v>65</v>
      </c>
      <c r="H284" s="12">
        <v>65</v>
      </c>
      <c r="I284" s="14"/>
      <c r="J284" s="14" t="s">
        <v>26</v>
      </c>
      <c r="K284" s="12" t="s">
        <v>27</v>
      </c>
      <c r="L284" s="15"/>
      <c r="M284" s="12" t="s">
        <v>28</v>
      </c>
      <c r="N284" s="12"/>
      <c r="O284" s="12"/>
      <c r="P284" s="12"/>
      <c r="Q284" s="16">
        <v>0</v>
      </c>
      <c r="R284" s="16">
        <v>0</v>
      </c>
      <c r="S284" s="16"/>
      <c r="T284" s="16" t="e">
        <v>#N/A</v>
      </c>
      <c r="U284" s="16" t="e">
        <v>#N/A</v>
      </c>
    </row>
    <row r="285" spans="1:21" x14ac:dyDescent="0.25">
      <c r="A285" s="12" t="s">
        <v>21</v>
      </c>
      <c r="B285" s="12" t="s">
        <v>316</v>
      </c>
      <c r="C285" s="12" t="s">
        <v>23</v>
      </c>
      <c r="D285" s="13">
        <v>46195.506979166668</v>
      </c>
      <c r="E285" s="12" t="s">
        <v>24</v>
      </c>
      <c r="F285" s="12" t="s">
        <v>166</v>
      </c>
      <c r="G285" s="12">
        <v>65</v>
      </c>
      <c r="H285" s="12">
        <v>65</v>
      </c>
      <c r="I285" s="14"/>
      <c r="J285" s="14" t="s">
        <v>61</v>
      </c>
      <c r="K285" s="12" t="s">
        <v>27</v>
      </c>
      <c r="L285" s="15"/>
      <c r="M285" s="12" t="s">
        <v>28</v>
      </c>
      <c r="N285" s="12"/>
      <c r="O285" s="12"/>
      <c r="P285" s="12"/>
      <c r="Q285" s="16">
        <v>65</v>
      </c>
      <c r="R285" s="16">
        <v>0</v>
      </c>
      <c r="S285" s="16"/>
      <c r="T285" s="16" t="e">
        <v>#N/A</v>
      </c>
      <c r="U285" s="16" t="e">
        <v>#N/A</v>
      </c>
    </row>
    <row r="286" spans="1:21" x14ac:dyDescent="0.25">
      <c r="A286" s="12" t="s">
        <v>21</v>
      </c>
      <c r="B286" s="12" t="s">
        <v>316</v>
      </c>
      <c r="C286" s="12" t="s">
        <v>23</v>
      </c>
      <c r="D286" s="13">
        <v>46195.506979166668</v>
      </c>
      <c r="E286" s="12" t="s">
        <v>24</v>
      </c>
      <c r="F286" s="12" t="s">
        <v>167</v>
      </c>
      <c r="G286" s="12">
        <v>68</v>
      </c>
      <c r="H286" s="12">
        <v>68</v>
      </c>
      <c r="I286" s="14"/>
      <c r="J286" s="14" t="s">
        <v>61</v>
      </c>
      <c r="K286" s="12" t="s">
        <v>27</v>
      </c>
      <c r="L286" s="15"/>
      <c r="M286" s="12" t="s">
        <v>28</v>
      </c>
      <c r="N286" s="12"/>
      <c r="O286" s="12"/>
      <c r="P286" s="12"/>
      <c r="Q286" s="16">
        <v>68</v>
      </c>
      <c r="R286" s="16">
        <v>0</v>
      </c>
      <c r="S286" s="16"/>
      <c r="T286" s="16" t="e">
        <v>#N/A</v>
      </c>
      <c r="U286" s="16" t="e">
        <v>#N/A</v>
      </c>
    </row>
    <row r="287" spans="1:21" x14ac:dyDescent="0.25">
      <c r="A287" s="12" t="s">
        <v>21</v>
      </c>
      <c r="B287" s="12" t="s">
        <v>316</v>
      </c>
      <c r="C287" s="12" t="s">
        <v>23</v>
      </c>
      <c r="D287" s="13">
        <v>46195.506979166668</v>
      </c>
      <c r="E287" s="12" t="s">
        <v>24</v>
      </c>
      <c r="F287" s="12" t="s">
        <v>36</v>
      </c>
      <c r="G287" s="12">
        <v>190</v>
      </c>
      <c r="H287" s="12">
        <v>190</v>
      </c>
      <c r="I287" s="14"/>
      <c r="J287" s="14" t="s">
        <v>61</v>
      </c>
      <c r="K287" s="12" t="s">
        <v>27</v>
      </c>
      <c r="L287" s="15"/>
      <c r="M287" s="12" t="s">
        <v>28</v>
      </c>
      <c r="N287" s="12"/>
      <c r="O287" s="12"/>
      <c r="P287" s="12"/>
      <c r="Q287" s="16">
        <v>190</v>
      </c>
      <c r="R287" s="16">
        <v>0</v>
      </c>
      <c r="S287" s="16"/>
      <c r="T287" s="16" t="e">
        <v>#N/A</v>
      </c>
      <c r="U287" s="16" t="e">
        <v>#N/A</v>
      </c>
    </row>
    <row r="288" spans="1:21" x14ac:dyDescent="0.25">
      <c r="A288" s="12" t="s">
        <v>21</v>
      </c>
      <c r="B288" s="12" t="s">
        <v>316</v>
      </c>
      <c r="C288" s="12" t="s">
        <v>23</v>
      </c>
      <c r="D288" s="13">
        <v>46195.506979166668</v>
      </c>
      <c r="E288" s="12" t="s">
        <v>24</v>
      </c>
      <c r="F288" s="12" t="s">
        <v>178</v>
      </c>
      <c r="G288" s="12">
        <v>5</v>
      </c>
      <c r="H288" s="12">
        <v>5</v>
      </c>
      <c r="I288" s="14"/>
      <c r="J288" s="14" t="s">
        <v>61</v>
      </c>
      <c r="K288" s="12" t="s">
        <v>27</v>
      </c>
      <c r="L288" s="15"/>
      <c r="M288" s="12" t="s">
        <v>28</v>
      </c>
      <c r="N288" s="12"/>
      <c r="O288" s="12"/>
      <c r="P288" s="12"/>
      <c r="Q288" s="16">
        <v>5</v>
      </c>
      <c r="R288" s="16">
        <v>0</v>
      </c>
      <c r="S288" s="16"/>
      <c r="T288" s="16" t="e">
        <v>#N/A</v>
      </c>
      <c r="U288" s="16" t="e">
        <v>#N/A</v>
      </c>
    </row>
    <row r="289" spans="1:21" x14ac:dyDescent="0.25">
      <c r="A289" s="12" t="s">
        <v>21</v>
      </c>
      <c r="B289" s="12" t="s">
        <v>316</v>
      </c>
      <c r="C289" s="12" t="s">
        <v>23</v>
      </c>
      <c r="D289" s="13">
        <v>46195.506979166668</v>
      </c>
      <c r="E289" s="12" t="s">
        <v>24</v>
      </c>
      <c r="F289" s="12" t="s">
        <v>318</v>
      </c>
      <c r="G289" s="12">
        <v>159</v>
      </c>
      <c r="H289" s="12">
        <v>159</v>
      </c>
      <c r="I289" s="14"/>
      <c r="J289" s="14" t="s">
        <v>61</v>
      </c>
      <c r="K289" s="12" t="s">
        <v>27</v>
      </c>
      <c r="L289" s="15"/>
      <c r="M289" s="12" t="s">
        <v>28</v>
      </c>
      <c r="N289" s="12"/>
      <c r="O289" s="12"/>
      <c r="P289" s="12"/>
      <c r="Q289" s="16">
        <v>159</v>
      </c>
      <c r="R289" s="16">
        <v>0</v>
      </c>
      <c r="S289" s="16"/>
      <c r="T289" s="16" t="e">
        <v>#N/A</v>
      </c>
      <c r="U289" s="16" t="e">
        <v>#N/A</v>
      </c>
    </row>
    <row r="290" spans="1:21" x14ac:dyDescent="0.25">
      <c r="A290" s="12" t="s">
        <v>21</v>
      </c>
      <c r="B290" s="12" t="s">
        <v>316</v>
      </c>
      <c r="C290" s="12" t="s">
        <v>23</v>
      </c>
      <c r="D290" s="13">
        <v>46195.506979166668</v>
      </c>
      <c r="E290" s="12" t="s">
        <v>24</v>
      </c>
      <c r="F290" s="12" t="s">
        <v>181</v>
      </c>
      <c r="G290" s="12">
        <v>5</v>
      </c>
      <c r="H290" s="12">
        <v>5</v>
      </c>
      <c r="I290" s="14"/>
      <c r="J290" s="14" t="s">
        <v>61</v>
      </c>
      <c r="K290" s="12" t="s">
        <v>27</v>
      </c>
      <c r="L290" s="15"/>
      <c r="M290" s="12" t="s">
        <v>28</v>
      </c>
      <c r="N290" s="12"/>
      <c r="O290" s="12"/>
      <c r="P290" s="12"/>
      <c r="Q290" s="16">
        <v>5</v>
      </c>
      <c r="R290" s="16">
        <v>0</v>
      </c>
      <c r="S290" s="16"/>
      <c r="T290" s="16" t="e">
        <v>#N/A</v>
      </c>
      <c r="U290" s="16" t="e">
        <v>#N/A</v>
      </c>
    </row>
    <row r="291" spans="1:21" x14ac:dyDescent="0.25">
      <c r="A291" s="12" t="s">
        <v>21</v>
      </c>
      <c r="B291" s="12" t="s">
        <v>316</v>
      </c>
      <c r="C291" s="12" t="s">
        <v>23</v>
      </c>
      <c r="D291" s="13">
        <v>46195.506979166668</v>
      </c>
      <c r="E291" s="12" t="s">
        <v>24</v>
      </c>
      <c r="F291" s="12" t="s">
        <v>319</v>
      </c>
      <c r="G291" s="12">
        <v>100</v>
      </c>
      <c r="H291" s="12">
        <v>100</v>
      </c>
      <c r="I291" s="14"/>
      <c r="J291" s="14" t="s">
        <v>26</v>
      </c>
      <c r="K291" s="12" t="s">
        <v>27</v>
      </c>
      <c r="L291" s="15"/>
      <c r="M291" s="12" t="s">
        <v>28</v>
      </c>
      <c r="N291" s="12"/>
      <c r="O291" s="12"/>
      <c r="P291" s="12"/>
      <c r="Q291" s="16">
        <v>0</v>
      </c>
      <c r="R291" s="16">
        <v>657</v>
      </c>
      <c r="S291" s="16"/>
      <c r="T291" s="16" t="e">
        <v>#N/A</v>
      </c>
      <c r="U291" s="16" t="e">
        <v>#N/A</v>
      </c>
    </row>
    <row r="292" spans="1:21" x14ac:dyDescent="0.25">
      <c r="A292" s="12" t="s">
        <v>21</v>
      </c>
      <c r="B292" s="12" t="s">
        <v>316</v>
      </c>
      <c r="C292" s="12" t="s">
        <v>23</v>
      </c>
      <c r="D292" s="13">
        <v>46195.506979166668</v>
      </c>
      <c r="E292" s="12" t="s">
        <v>24</v>
      </c>
      <c r="F292" s="12" t="s">
        <v>320</v>
      </c>
      <c r="G292" s="12">
        <v>70</v>
      </c>
      <c r="H292" s="12">
        <v>70</v>
      </c>
      <c r="I292" s="14"/>
      <c r="J292" s="14" t="s">
        <v>26</v>
      </c>
      <c r="K292" s="12" t="s">
        <v>27</v>
      </c>
      <c r="L292" s="15"/>
      <c r="M292" s="12" t="s">
        <v>28</v>
      </c>
      <c r="N292" s="12"/>
      <c r="O292" s="12"/>
      <c r="P292" s="12"/>
      <c r="Q292" s="16">
        <v>0</v>
      </c>
      <c r="R292" s="16">
        <v>1</v>
      </c>
      <c r="S292" s="16"/>
      <c r="T292" s="16" t="e">
        <v>#N/A</v>
      </c>
      <c r="U292" s="16" t="e">
        <v>#N/A</v>
      </c>
    </row>
    <row r="293" spans="1:21" x14ac:dyDescent="0.25">
      <c r="A293" s="12" t="s">
        <v>21</v>
      </c>
      <c r="B293" s="12" t="s">
        <v>316</v>
      </c>
      <c r="C293" s="12" t="s">
        <v>23</v>
      </c>
      <c r="D293" s="13">
        <v>46195.506979166668</v>
      </c>
      <c r="E293" s="12" t="s">
        <v>24</v>
      </c>
      <c r="F293" s="12" t="s">
        <v>37</v>
      </c>
      <c r="G293" s="12">
        <v>123</v>
      </c>
      <c r="H293" s="12">
        <v>123</v>
      </c>
      <c r="I293" s="14"/>
      <c r="J293" s="14" t="s">
        <v>61</v>
      </c>
      <c r="K293" s="12" t="s">
        <v>27</v>
      </c>
      <c r="L293" s="15"/>
      <c r="M293" s="12" t="s">
        <v>28</v>
      </c>
      <c r="N293" s="12"/>
      <c r="O293" s="12"/>
      <c r="P293" s="12"/>
      <c r="Q293" s="16">
        <v>123</v>
      </c>
      <c r="R293" s="16">
        <v>0</v>
      </c>
      <c r="S293" s="16"/>
      <c r="T293" s="16" t="e">
        <v>#N/A</v>
      </c>
      <c r="U293" s="16" t="e">
        <v>#N/A</v>
      </c>
    </row>
    <row r="294" spans="1:21" x14ac:dyDescent="0.25">
      <c r="A294" s="12" t="s">
        <v>21</v>
      </c>
      <c r="B294" s="12" t="s">
        <v>316</v>
      </c>
      <c r="C294" s="12" t="s">
        <v>23</v>
      </c>
      <c r="D294" s="13">
        <v>46195.506979166668</v>
      </c>
      <c r="E294" s="12" t="s">
        <v>24</v>
      </c>
      <c r="F294" s="12" t="s">
        <v>262</v>
      </c>
      <c r="G294" s="12">
        <v>500</v>
      </c>
      <c r="H294" s="12">
        <v>500</v>
      </c>
      <c r="I294" s="14"/>
      <c r="J294" s="14" t="s">
        <v>26</v>
      </c>
      <c r="K294" s="12" t="s">
        <v>27</v>
      </c>
      <c r="L294" s="15"/>
      <c r="M294" s="12" t="s">
        <v>28</v>
      </c>
      <c r="N294" s="12"/>
      <c r="O294" s="12"/>
      <c r="P294" s="12"/>
      <c r="Q294" s="16">
        <v>0</v>
      </c>
      <c r="R294" s="16">
        <v>0</v>
      </c>
      <c r="S294" s="16"/>
      <c r="T294" s="16" t="e">
        <v>#N/A</v>
      </c>
      <c r="U294" s="16" t="e">
        <v>#N/A</v>
      </c>
    </row>
    <row r="295" spans="1:21" x14ac:dyDescent="0.25">
      <c r="A295" s="12" t="s">
        <v>21</v>
      </c>
      <c r="B295" s="12" t="s">
        <v>316</v>
      </c>
      <c r="C295" s="12" t="s">
        <v>23</v>
      </c>
      <c r="D295" s="13">
        <v>46195.506979166668</v>
      </c>
      <c r="E295" s="12" t="s">
        <v>24</v>
      </c>
      <c r="F295" s="12" t="s">
        <v>321</v>
      </c>
      <c r="G295" s="12">
        <v>50</v>
      </c>
      <c r="H295" s="12">
        <v>50</v>
      </c>
      <c r="I295" s="14"/>
      <c r="J295" s="14" t="s">
        <v>26</v>
      </c>
      <c r="K295" s="12" t="s">
        <v>27</v>
      </c>
      <c r="L295" s="15"/>
      <c r="M295" s="12" t="s">
        <v>28</v>
      </c>
      <c r="N295" s="12"/>
      <c r="O295" s="12"/>
      <c r="P295" s="12"/>
      <c r="Q295" s="16">
        <v>0</v>
      </c>
      <c r="R295" s="16">
        <v>0</v>
      </c>
      <c r="S295" s="16"/>
      <c r="T295" s="16" t="e">
        <v>#N/A</v>
      </c>
      <c r="U295" s="16" t="e">
        <v>#N/A</v>
      </c>
    </row>
    <row r="296" spans="1:21" x14ac:dyDescent="0.25">
      <c r="A296" s="12" t="s">
        <v>21</v>
      </c>
      <c r="B296" s="12" t="s">
        <v>322</v>
      </c>
      <c r="C296" s="12" t="s">
        <v>23</v>
      </c>
      <c r="D296" s="13">
        <v>46199.294722222221</v>
      </c>
      <c r="E296" s="12" t="s">
        <v>266</v>
      </c>
      <c r="F296" s="12" t="s">
        <v>71</v>
      </c>
      <c r="G296" s="12">
        <v>50</v>
      </c>
      <c r="H296" s="12">
        <v>50</v>
      </c>
      <c r="I296" s="14"/>
      <c r="J296" s="14" t="s">
        <v>26</v>
      </c>
      <c r="K296" s="12" t="s">
        <v>27</v>
      </c>
      <c r="L296" s="15"/>
      <c r="M296" s="12" t="s">
        <v>28</v>
      </c>
      <c r="N296" s="12"/>
      <c r="O296" s="12"/>
      <c r="P296" s="12"/>
      <c r="Q296" s="16">
        <v>0</v>
      </c>
      <c r="R296" s="16">
        <v>0</v>
      </c>
      <c r="S296" s="16"/>
      <c r="T296" s="16" t="e">
        <v>#N/A</v>
      </c>
      <c r="U296" s="16" t="e">
        <v>#N/A</v>
      </c>
    </row>
    <row r="297" spans="1:21" x14ac:dyDescent="0.25">
      <c r="A297" s="12" t="s">
        <v>21</v>
      </c>
      <c r="B297" s="12" t="s">
        <v>323</v>
      </c>
      <c r="C297" s="12" t="s">
        <v>23</v>
      </c>
      <c r="D297" s="13">
        <v>46199.498495370368</v>
      </c>
      <c r="E297" s="12" t="s">
        <v>24</v>
      </c>
      <c r="F297" s="12" t="s">
        <v>324</v>
      </c>
      <c r="G297" s="12">
        <v>60</v>
      </c>
      <c r="H297" s="12">
        <v>18</v>
      </c>
      <c r="I297" s="14"/>
      <c r="J297" s="14" t="s">
        <v>61</v>
      </c>
      <c r="K297" s="12" t="s">
        <v>27</v>
      </c>
      <c r="L297" s="15"/>
      <c r="M297" s="12" t="s">
        <v>28</v>
      </c>
      <c r="N297" s="12"/>
      <c r="O297" s="12"/>
      <c r="P297" s="12"/>
      <c r="Q297" s="16">
        <v>30</v>
      </c>
      <c r="R297" s="16">
        <v>4</v>
      </c>
      <c r="S297" s="16"/>
      <c r="T297" s="16" t="e">
        <v>#N/A</v>
      </c>
      <c r="U297" s="16" t="e">
        <v>#N/A</v>
      </c>
    </row>
    <row r="298" spans="1:21" x14ac:dyDescent="0.25">
      <c r="A298" s="12" t="s">
        <v>21</v>
      </c>
      <c r="B298" s="12" t="s">
        <v>323</v>
      </c>
      <c r="C298" s="12" t="s">
        <v>23</v>
      </c>
      <c r="D298" s="13">
        <v>46199.498495370368</v>
      </c>
      <c r="E298" s="12" t="s">
        <v>24</v>
      </c>
      <c r="F298" s="12" t="s">
        <v>71</v>
      </c>
      <c r="G298" s="12">
        <v>200</v>
      </c>
      <c r="H298" s="12">
        <v>200</v>
      </c>
      <c r="I298" s="14"/>
      <c r="J298" s="14" t="s">
        <v>26</v>
      </c>
      <c r="K298" s="12" t="s">
        <v>27</v>
      </c>
      <c r="L298" s="15"/>
      <c r="M298" s="12" t="s">
        <v>28</v>
      </c>
      <c r="N298" s="12"/>
      <c r="O298" s="12"/>
      <c r="P298" s="12"/>
      <c r="Q298" s="16">
        <v>0</v>
      </c>
      <c r="R298" s="16">
        <v>0</v>
      </c>
      <c r="S298" s="16"/>
      <c r="T298" s="16" t="e">
        <v>#N/A</v>
      </c>
      <c r="U298" s="16" t="e">
        <v>#N/A</v>
      </c>
    </row>
    <row r="299" spans="1:21" x14ac:dyDescent="0.25">
      <c r="A299" s="12" t="s">
        <v>21</v>
      </c>
      <c r="B299" s="12" t="s">
        <v>323</v>
      </c>
      <c r="C299" s="12" t="s">
        <v>23</v>
      </c>
      <c r="D299" s="13">
        <v>46199.498495370368</v>
      </c>
      <c r="E299" s="12" t="s">
        <v>24</v>
      </c>
      <c r="F299" s="12" t="s">
        <v>325</v>
      </c>
      <c r="G299" s="12">
        <v>40</v>
      </c>
      <c r="H299" s="12">
        <v>30</v>
      </c>
      <c r="I299" s="14"/>
      <c r="J299" s="14" t="s">
        <v>61</v>
      </c>
      <c r="K299" s="12" t="s">
        <v>27</v>
      </c>
      <c r="L299" s="15"/>
      <c r="M299" s="12" t="s">
        <v>28</v>
      </c>
      <c r="N299" s="12"/>
      <c r="O299" s="12"/>
      <c r="P299" s="12"/>
      <c r="Q299" s="16">
        <v>40</v>
      </c>
      <c r="R299" s="16">
        <v>4</v>
      </c>
      <c r="S299" s="16"/>
      <c r="T299" s="16" t="e">
        <v>#N/A</v>
      </c>
      <c r="U299" s="16" t="e">
        <v>#N/A</v>
      </c>
    </row>
    <row r="300" spans="1:21" x14ac:dyDescent="0.25">
      <c r="A300" s="12" t="s">
        <v>21</v>
      </c>
      <c r="B300" s="12" t="s">
        <v>323</v>
      </c>
      <c r="C300" s="12" t="s">
        <v>23</v>
      </c>
      <c r="D300" s="13">
        <v>46199.498495370368</v>
      </c>
      <c r="E300" s="12" t="s">
        <v>24</v>
      </c>
      <c r="F300" s="12" t="s">
        <v>326</v>
      </c>
      <c r="G300" s="12">
        <v>60</v>
      </c>
      <c r="H300" s="12">
        <v>5</v>
      </c>
      <c r="I300" s="14"/>
      <c r="J300" s="14" t="s">
        <v>61</v>
      </c>
      <c r="K300" s="12" t="s">
        <v>27</v>
      </c>
      <c r="L300" s="15"/>
      <c r="M300" s="12" t="s">
        <v>28</v>
      </c>
      <c r="N300" s="12"/>
      <c r="O300" s="12"/>
      <c r="P300" s="12"/>
      <c r="Q300" s="16">
        <v>120</v>
      </c>
      <c r="R300" s="16">
        <v>0</v>
      </c>
      <c r="S300" s="16"/>
      <c r="T300" s="16" t="e">
        <v>#N/A</v>
      </c>
      <c r="U300" s="16" t="e">
        <v>#N/A</v>
      </c>
    </row>
    <row r="301" spans="1:21" x14ac:dyDescent="0.25">
      <c r="A301" s="12" t="s">
        <v>21</v>
      </c>
      <c r="B301" s="12" t="s">
        <v>323</v>
      </c>
      <c r="C301" s="12" t="s">
        <v>23</v>
      </c>
      <c r="D301" s="13">
        <v>46199.498495370368</v>
      </c>
      <c r="E301" s="12" t="s">
        <v>24</v>
      </c>
      <c r="F301" s="12" t="s">
        <v>256</v>
      </c>
      <c r="G301" s="12">
        <v>30</v>
      </c>
      <c r="H301" s="12">
        <v>30</v>
      </c>
      <c r="I301" s="14"/>
      <c r="J301" s="14" t="s">
        <v>61</v>
      </c>
      <c r="K301" s="12" t="s">
        <v>27</v>
      </c>
      <c r="L301" s="15"/>
      <c r="M301" s="12" t="s">
        <v>28</v>
      </c>
      <c r="N301" s="12"/>
      <c r="O301" s="12"/>
      <c r="P301" s="12"/>
      <c r="Q301" s="16">
        <v>92</v>
      </c>
      <c r="R301" s="16">
        <v>2</v>
      </c>
      <c r="S301" s="16"/>
      <c r="T301" s="16" t="e">
        <v>#N/A</v>
      </c>
      <c r="U301" s="16" t="e">
        <v>#N/A</v>
      </c>
    </row>
    <row r="302" spans="1:21" x14ac:dyDescent="0.25">
      <c r="A302" s="12" t="s">
        <v>21</v>
      </c>
      <c r="B302" s="12" t="s">
        <v>327</v>
      </c>
      <c r="C302" s="12" t="s">
        <v>23</v>
      </c>
      <c r="D302" s="13">
        <v>46199.539861111109</v>
      </c>
      <c r="E302" s="12" t="s">
        <v>328</v>
      </c>
      <c r="F302" s="12" t="s">
        <v>40</v>
      </c>
      <c r="G302" s="12">
        <v>6</v>
      </c>
      <c r="H302" s="12">
        <v>4</v>
      </c>
      <c r="I302" s="14"/>
      <c r="J302" s="14" t="s">
        <v>26</v>
      </c>
      <c r="K302" s="12" t="s">
        <v>27</v>
      </c>
      <c r="L302" s="15"/>
      <c r="M302" s="12" t="s">
        <v>28</v>
      </c>
      <c r="N302" s="12"/>
      <c r="O302" s="12"/>
      <c r="P302" s="12"/>
      <c r="Q302" s="16">
        <v>0</v>
      </c>
      <c r="R302" s="16">
        <v>934</v>
      </c>
      <c r="S302" s="16"/>
      <c r="T302" s="16" t="e">
        <v>#N/A</v>
      </c>
      <c r="U302" s="16" t="e">
        <v>#N/A</v>
      </c>
    </row>
    <row r="303" spans="1:21" x14ac:dyDescent="0.25">
      <c r="A303" s="12" t="s">
        <v>21</v>
      </c>
      <c r="B303" s="12" t="s">
        <v>327</v>
      </c>
      <c r="C303" s="12" t="s">
        <v>23</v>
      </c>
      <c r="D303" s="13">
        <v>46199.539861111109</v>
      </c>
      <c r="E303" s="12" t="s">
        <v>328</v>
      </c>
      <c r="F303" s="12" t="s">
        <v>208</v>
      </c>
      <c r="G303" s="12">
        <v>1</v>
      </c>
      <c r="H303" s="12">
        <v>1</v>
      </c>
      <c r="I303" s="14"/>
      <c r="J303" s="14" t="s">
        <v>26</v>
      </c>
      <c r="K303" s="12" t="s">
        <v>329</v>
      </c>
      <c r="L303" s="15">
        <v>1</v>
      </c>
      <c r="M303" s="12" t="s">
        <v>150</v>
      </c>
      <c r="N303" s="12">
        <v>1</v>
      </c>
      <c r="O303" s="12">
        <v>1</v>
      </c>
      <c r="P303" s="12">
        <v>0</v>
      </c>
      <c r="Q303" s="16">
        <v>0</v>
      </c>
      <c r="R303" s="16">
        <v>0</v>
      </c>
      <c r="S303" s="16"/>
      <c r="T303" s="16" t="e">
        <v>#N/A</v>
      </c>
      <c r="U303" s="16" t="e">
        <v>#N/A</v>
      </c>
    </row>
    <row r="304" spans="1:21" x14ac:dyDescent="0.25">
      <c r="A304" s="12" t="s">
        <v>21</v>
      </c>
      <c r="B304" s="12" t="s">
        <v>330</v>
      </c>
      <c r="C304" s="12" t="s">
        <v>23</v>
      </c>
      <c r="D304" s="13">
        <v>46200.435891203706</v>
      </c>
      <c r="E304" s="12" t="s">
        <v>331</v>
      </c>
      <c r="F304" s="12" t="s">
        <v>332</v>
      </c>
      <c r="G304" s="12">
        <v>5</v>
      </c>
      <c r="H304" s="12">
        <v>1</v>
      </c>
      <c r="I304" s="14"/>
      <c r="J304" s="14" t="s">
        <v>61</v>
      </c>
      <c r="K304" s="12" t="s">
        <v>27</v>
      </c>
      <c r="L304" s="15"/>
      <c r="M304" s="12" t="s">
        <v>28</v>
      </c>
      <c r="N304" s="12"/>
      <c r="O304" s="12"/>
      <c r="P304" s="12"/>
      <c r="Q304" s="16">
        <v>5</v>
      </c>
      <c r="R304" s="16">
        <v>0</v>
      </c>
      <c r="S304" s="16"/>
      <c r="T304" s="16" t="e">
        <v>#N/A</v>
      </c>
      <c r="U304" s="16" t="e">
        <v>#N/A</v>
      </c>
    </row>
    <row r="305" spans="1:21" x14ac:dyDescent="0.25">
      <c r="A305" s="12" t="s">
        <v>21</v>
      </c>
      <c r="B305" s="12" t="s">
        <v>333</v>
      </c>
      <c r="C305" s="12" t="s">
        <v>23</v>
      </c>
      <c r="D305" s="13">
        <v>46202.475428240738</v>
      </c>
      <c r="E305" s="12" t="s">
        <v>24</v>
      </c>
      <c r="F305" s="12" t="s">
        <v>134</v>
      </c>
      <c r="G305" s="12">
        <v>500</v>
      </c>
      <c r="H305" s="12">
        <v>150</v>
      </c>
      <c r="I305" s="14"/>
      <c r="J305" s="14" t="s">
        <v>61</v>
      </c>
      <c r="K305" s="12" t="s">
        <v>27</v>
      </c>
      <c r="L305" s="15"/>
      <c r="M305" s="12" t="s">
        <v>28</v>
      </c>
      <c r="N305" s="12"/>
      <c r="O305" s="12"/>
      <c r="P305" s="12"/>
      <c r="Q305" s="16">
        <v>400</v>
      </c>
      <c r="R305" s="16">
        <v>6</v>
      </c>
      <c r="S305" s="16"/>
      <c r="T305" s="16" t="e">
        <v>#N/A</v>
      </c>
      <c r="U305" s="16" t="e">
        <v>#N/A</v>
      </c>
    </row>
    <row r="306" spans="1:21" x14ac:dyDescent="0.25">
      <c r="A306" s="12" t="s">
        <v>21</v>
      </c>
      <c r="B306" s="12" t="s">
        <v>334</v>
      </c>
      <c r="C306" s="12" t="s">
        <v>23</v>
      </c>
      <c r="D306" s="13">
        <v>46203.314398148148</v>
      </c>
      <c r="E306" s="12" t="s">
        <v>335</v>
      </c>
      <c r="F306" s="12" t="s">
        <v>320</v>
      </c>
      <c r="G306" s="12">
        <v>50</v>
      </c>
      <c r="H306" s="12">
        <v>50</v>
      </c>
      <c r="I306" s="14"/>
      <c r="J306" s="14" t="s">
        <v>26</v>
      </c>
      <c r="K306" s="12" t="s">
        <v>27</v>
      </c>
      <c r="L306" s="15"/>
      <c r="M306" s="12" t="s">
        <v>28</v>
      </c>
      <c r="N306" s="12"/>
      <c r="O306" s="12"/>
      <c r="P306" s="12"/>
      <c r="Q306" s="16">
        <v>0</v>
      </c>
      <c r="R306" s="16">
        <v>1</v>
      </c>
      <c r="S306" s="16">
        <v>20</v>
      </c>
      <c r="T306" s="16" t="e">
        <v>#N/A</v>
      </c>
      <c r="U306" s="16" t="e">
        <v>#N/A</v>
      </c>
    </row>
    <row r="307" spans="1:21" x14ac:dyDescent="0.25">
      <c r="A307" s="12" t="s">
        <v>21</v>
      </c>
      <c r="B307" s="12" t="s">
        <v>336</v>
      </c>
      <c r="C307" s="12" t="s">
        <v>23</v>
      </c>
      <c r="D307" s="13">
        <v>46204.351388888892</v>
      </c>
      <c r="E307" s="12" t="s">
        <v>39</v>
      </c>
      <c r="F307" s="12" t="s">
        <v>337</v>
      </c>
      <c r="G307" s="12">
        <v>8</v>
      </c>
      <c r="H307" s="12">
        <v>1</v>
      </c>
      <c r="I307" s="14"/>
      <c r="J307" s="14" t="s">
        <v>26</v>
      </c>
      <c r="K307" s="12" t="s">
        <v>27</v>
      </c>
      <c r="L307" s="15"/>
      <c r="M307" s="12" t="s">
        <v>28</v>
      </c>
      <c r="N307" s="12"/>
      <c r="O307" s="12"/>
      <c r="P307" s="12"/>
      <c r="Q307" s="16">
        <v>0</v>
      </c>
      <c r="R307" s="16">
        <v>69</v>
      </c>
      <c r="S307" s="16"/>
      <c r="T307" s="16" t="e">
        <v>#N/A</v>
      </c>
      <c r="U307" s="16" t="e">
        <v>#N/A</v>
      </c>
    </row>
    <row r="308" spans="1:21" x14ac:dyDescent="0.25">
      <c r="A308" s="12" t="s">
        <v>21</v>
      </c>
      <c r="B308" s="12" t="s">
        <v>338</v>
      </c>
      <c r="C308" s="12" t="s">
        <v>23</v>
      </c>
      <c r="D308" s="13">
        <v>46205.5078587963</v>
      </c>
      <c r="E308" s="12" t="s">
        <v>24</v>
      </c>
      <c r="F308" s="12" t="s">
        <v>109</v>
      </c>
      <c r="G308" s="12">
        <v>20</v>
      </c>
      <c r="H308" s="12">
        <v>20</v>
      </c>
      <c r="I308" s="14"/>
      <c r="J308" s="14" t="s">
        <v>61</v>
      </c>
      <c r="K308" s="12" t="s">
        <v>27</v>
      </c>
      <c r="L308" s="15"/>
      <c r="M308" s="12" t="s">
        <v>28</v>
      </c>
      <c r="N308" s="12"/>
      <c r="O308" s="12"/>
      <c r="P308" s="12"/>
      <c r="Q308" s="16">
        <v>180</v>
      </c>
      <c r="R308" s="16">
        <v>1</v>
      </c>
      <c r="S308" s="16"/>
      <c r="T308" s="16" t="e">
        <v>#N/A</v>
      </c>
      <c r="U308" s="16" t="e">
        <v>#N/A</v>
      </c>
    </row>
    <row r="309" spans="1:21" x14ac:dyDescent="0.25">
      <c r="A309" s="12" t="s">
        <v>21</v>
      </c>
      <c r="B309" s="12" t="s">
        <v>339</v>
      </c>
      <c r="C309" s="12" t="s">
        <v>23</v>
      </c>
      <c r="D309" s="13">
        <v>46206.537673611114</v>
      </c>
      <c r="E309" s="12" t="s">
        <v>340</v>
      </c>
      <c r="F309" s="12" t="s">
        <v>157</v>
      </c>
      <c r="G309" s="12">
        <v>57</v>
      </c>
      <c r="H309" s="12">
        <v>37</v>
      </c>
      <c r="I309" s="14"/>
      <c r="J309" s="14" t="s">
        <v>26</v>
      </c>
      <c r="K309" s="12" t="s">
        <v>341</v>
      </c>
      <c r="L309" s="15">
        <v>1</v>
      </c>
      <c r="M309" s="12" t="s">
        <v>150</v>
      </c>
      <c r="N309" s="12">
        <v>37</v>
      </c>
      <c r="O309" s="12">
        <v>37</v>
      </c>
      <c r="P309" s="12">
        <v>0</v>
      </c>
      <c r="Q309" s="16">
        <v>0</v>
      </c>
      <c r="R309" s="16">
        <v>0</v>
      </c>
      <c r="S309" s="16"/>
      <c r="T309" s="16" t="e">
        <v>#N/A</v>
      </c>
      <c r="U309" s="16" t="e">
        <v>#N/A</v>
      </c>
    </row>
    <row r="310" spans="1:21" x14ac:dyDescent="0.25">
      <c r="A310" s="12" t="s">
        <v>21</v>
      </c>
      <c r="B310" s="12" t="s">
        <v>342</v>
      </c>
      <c r="C310" s="12" t="s">
        <v>23</v>
      </c>
      <c r="D310" s="13">
        <v>46206.537939814814</v>
      </c>
      <c r="E310" s="12" t="s">
        <v>340</v>
      </c>
      <c r="F310" s="12" t="s">
        <v>343</v>
      </c>
      <c r="G310" s="12">
        <v>102</v>
      </c>
      <c r="H310" s="12">
        <v>90</v>
      </c>
      <c r="I310" s="14"/>
      <c r="J310" s="14" t="s">
        <v>26</v>
      </c>
      <c r="K310" s="12" t="s">
        <v>27</v>
      </c>
      <c r="L310" s="15"/>
      <c r="M310" s="12" t="s">
        <v>28</v>
      </c>
      <c r="N310" s="12"/>
      <c r="O310" s="12"/>
      <c r="P310" s="12"/>
      <c r="Q310" s="16">
        <v>0</v>
      </c>
      <c r="R310" s="16">
        <v>10</v>
      </c>
      <c r="S310" s="16"/>
      <c r="T310" s="16" t="e">
        <v>#N/A</v>
      </c>
      <c r="U310" s="16" t="e">
        <v>#N/A</v>
      </c>
    </row>
    <row r="311" spans="1:21" x14ac:dyDescent="0.25">
      <c r="A311" s="12" t="s">
        <v>21</v>
      </c>
      <c r="B311" s="12" t="s">
        <v>342</v>
      </c>
      <c r="C311" s="12" t="s">
        <v>23</v>
      </c>
      <c r="D311" s="13">
        <v>46206.537939814814</v>
      </c>
      <c r="E311" s="12" t="s">
        <v>340</v>
      </c>
      <c r="F311" s="12" t="s">
        <v>159</v>
      </c>
      <c r="G311" s="12">
        <v>55</v>
      </c>
      <c r="H311" s="12">
        <v>55</v>
      </c>
      <c r="I311" s="14"/>
      <c r="J311" s="14" t="s">
        <v>61</v>
      </c>
      <c r="K311" s="12" t="s">
        <v>27</v>
      </c>
      <c r="L311" s="15"/>
      <c r="M311" s="12" t="s">
        <v>28</v>
      </c>
      <c r="N311" s="12"/>
      <c r="O311" s="12"/>
      <c r="P311" s="12"/>
      <c r="Q311" s="16">
        <v>55</v>
      </c>
      <c r="R311" s="16">
        <v>0</v>
      </c>
      <c r="S311" s="16"/>
      <c r="T311" s="16" t="e">
        <v>#N/A</v>
      </c>
      <c r="U311" s="16" t="e">
        <v>#N/A</v>
      </c>
    </row>
    <row r="312" spans="1:21" x14ac:dyDescent="0.25">
      <c r="A312" s="12" t="s">
        <v>21</v>
      </c>
      <c r="B312" s="12" t="s">
        <v>342</v>
      </c>
      <c r="C312" s="12" t="s">
        <v>23</v>
      </c>
      <c r="D312" s="13">
        <v>46206.537939814814</v>
      </c>
      <c r="E312" s="12" t="s">
        <v>340</v>
      </c>
      <c r="F312" s="12" t="s">
        <v>277</v>
      </c>
      <c r="G312" s="12">
        <v>78</v>
      </c>
      <c r="H312" s="12">
        <v>18</v>
      </c>
      <c r="I312" s="14">
        <v>-3</v>
      </c>
      <c r="J312" s="14" t="s">
        <v>26</v>
      </c>
      <c r="K312" s="12" t="s">
        <v>27</v>
      </c>
      <c r="L312" s="15"/>
      <c r="M312" s="12" t="s">
        <v>28</v>
      </c>
      <c r="N312" s="12"/>
      <c r="O312" s="12"/>
      <c r="P312" s="12"/>
      <c r="Q312" s="16">
        <v>0</v>
      </c>
      <c r="R312" s="16">
        <v>0</v>
      </c>
      <c r="S312" s="16"/>
      <c r="T312" s="16" t="e">
        <v>#N/A</v>
      </c>
      <c r="U312" s="16" t="e">
        <v>#N/A</v>
      </c>
    </row>
    <row r="313" spans="1:21" x14ac:dyDescent="0.25">
      <c r="A313" s="12" t="s">
        <v>21</v>
      </c>
      <c r="B313" s="12" t="s">
        <v>344</v>
      </c>
      <c r="C313" s="12" t="s">
        <v>23</v>
      </c>
      <c r="D313" s="13">
        <v>46207.357523148145</v>
      </c>
      <c r="E313" s="12" t="s">
        <v>345</v>
      </c>
      <c r="F313" s="12" t="s">
        <v>346</v>
      </c>
      <c r="G313" s="12">
        <v>18</v>
      </c>
      <c r="H313" s="12">
        <v>3</v>
      </c>
      <c r="I313" s="14"/>
      <c r="J313" s="14" t="s">
        <v>61</v>
      </c>
      <c r="K313" s="12" t="s">
        <v>27</v>
      </c>
      <c r="L313" s="15"/>
      <c r="M313" s="12" t="s">
        <v>28</v>
      </c>
      <c r="N313" s="12"/>
      <c r="O313" s="12"/>
      <c r="P313" s="12"/>
      <c r="Q313" s="16">
        <v>18</v>
      </c>
      <c r="R313" s="16">
        <v>0</v>
      </c>
      <c r="S313" s="16"/>
      <c r="T313" s="16" t="e">
        <v>#N/A</v>
      </c>
      <c r="U313" s="16" t="e">
        <v>#N/A</v>
      </c>
    </row>
    <row r="314" spans="1:21" x14ac:dyDescent="0.25">
      <c r="A314" s="12" t="s">
        <v>21</v>
      </c>
      <c r="B314" s="12" t="s">
        <v>347</v>
      </c>
      <c r="C314" s="12" t="s">
        <v>23</v>
      </c>
      <c r="D314" s="13">
        <v>46209.315960648149</v>
      </c>
      <c r="E314" s="12" t="s">
        <v>345</v>
      </c>
      <c r="F314" s="12" t="s">
        <v>348</v>
      </c>
      <c r="G314" s="12">
        <v>20</v>
      </c>
      <c r="H314" s="12">
        <v>20</v>
      </c>
      <c r="I314" s="14"/>
      <c r="J314" s="14" t="s">
        <v>26</v>
      </c>
      <c r="K314" s="12" t="s">
        <v>27</v>
      </c>
      <c r="L314" s="15"/>
      <c r="M314" s="12" t="s">
        <v>28</v>
      </c>
      <c r="N314" s="12"/>
      <c r="O314" s="12"/>
      <c r="P314" s="12"/>
      <c r="Q314" s="16">
        <v>0</v>
      </c>
      <c r="R314" s="16">
        <v>0</v>
      </c>
      <c r="S314" s="16"/>
      <c r="T314" s="16" t="e">
        <v>#N/A</v>
      </c>
      <c r="U314" s="16" t="e">
        <v>#N/A</v>
      </c>
    </row>
    <row r="315" spans="1:21" x14ac:dyDescent="0.25">
      <c r="A315" s="12" t="s">
        <v>21</v>
      </c>
      <c r="B315" s="12" t="s">
        <v>347</v>
      </c>
      <c r="C315" s="12" t="s">
        <v>23</v>
      </c>
      <c r="D315" s="13">
        <v>46209.315960648149</v>
      </c>
      <c r="E315" s="12" t="s">
        <v>345</v>
      </c>
      <c r="F315" s="12" t="s">
        <v>349</v>
      </c>
      <c r="G315" s="12">
        <v>9</v>
      </c>
      <c r="H315" s="12">
        <v>9</v>
      </c>
      <c r="I315" s="14"/>
      <c r="J315" s="14" t="s">
        <v>26</v>
      </c>
      <c r="K315" s="12" t="s">
        <v>27</v>
      </c>
      <c r="L315" s="15"/>
      <c r="M315" s="12" t="s">
        <v>28</v>
      </c>
      <c r="N315" s="12"/>
      <c r="O315" s="12"/>
      <c r="P315" s="12"/>
      <c r="Q315" s="16">
        <v>0</v>
      </c>
      <c r="R315" s="16">
        <v>0</v>
      </c>
      <c r="S315" s="16"/>
      <c r="T315" s="16" t="e">
        <v>#N/A</v>
      </c>
      <c r="U315" s="16" t="e">
        <v>#N/A</v>
      </c>
    </row>
    <row r="316" spans="1:21" x14ac:dyDescent="0.25">
      <c r="A316" s="12" t="s">
        <v>21</v>
      </c>
      <c r="B316" s="12" t="s">
        <v>347</v>
      </c>
      <c r="C316" s="12" t="s">
        <v>23</v>
      </c>
      <c r="D316" s="13">
        <v>46209.315960648149</v>
      </c>
      <c r="E316" s="12" t="s">
        <v>345</v>
      </c>
      <c r="F316" s="12" t="s">
        <v>350</v>
      </c>
      <c r="G316" s="12">
        <v>8</v>
      </c>
      <c r="H316" s="12">
        <v>8</v>
      </c>
      <c r="I316" s="14"/>
      <c r="J316" s="14" t="s">
        <v>26</v>
      </c>
      <c r="K316" s="12" t="s">
        <v>27</v>
      </c>
      <c r="L316" s="15"/>
      <c r="M316" s="12" t="s">
        <v>28</v>
      </c>
      <c r="N316" s="12"/>
      <c r="O316" s="12"/>
      <c r="P316" s="12"/>
      <c r="Q316" s="16">
        <v>0</v>
      </c>
      <c r="R316" s="16">
        <v>0</v>
      </c>
      <c r="S316" s="16"/>
      <c r="T316" s="16" t="e">
        <v>#N/A</v>
      </c>
      <c r="U316" s="16" t="e">
        <v>#N/A</v>
      </c>
    </row>
    <row r="317" spans="1:21" x14ac:dyDescent="0.25">
      <c r="A317" s="12" t="s">
        <v>21</v>
      </c>
      <c r="B317" s="12" t="s">
        <v>347</v>
      </c>
      <c r="C317" s="12" t="s">
        <v>23</v>
      </c>
      <c r="D317" s="13">
        <v>46209.315960648149</v>
      </c>
      <c r="E317" s="12" t="s">
        <v>345</v>
      </c>
      <c r="F317" s="12" t="s">
        <v>351</v>
      </c>
      <c r="G317" s="12">
        <v>15</v>
      </c>
      <c r="H317" s="12">
        <v>15</v>
      </c>
      <c r="I317" s="14"/>
      <c r="J317" s="14" t="s">
        <v>26</v>
      </c>
      <c r="K317" s="12" t="s">
        <v>27</v>
      </c>
      <c r="L317" s="15"/>
      <c r="M317" s="12" t="s">
        <v>28</v>
      </c>
      <c r="N317" s="12"/>
      <c r="O317" s="12"/>
      <c r="P317" s="12"/>
      <c r="Q317" s="16">
        <v>0</v>
      </c>
      <c r="R317" s="16">
        <v>2</v>
      </c>
      <c r="S317" s="16"/>
      <c r="T317" s="16" t="e">
        <v>#N/A</v>
      </c>
      <c r="U317" s="16" t="e">
        <v>#N/A</v>
      </c>
    </row>
    <row r="318" spans="1:21" x14ac:dyDescent="0.25">
      <c r="A318" s="12" t="s">
        <v>21</v>
      </c>
      <c r="B318" s="12" t="s">
        <v>347</v>
      </c>
      <c r="C318" s="12" t="s">
        <v>23</v>
      </c>
      <c r="D318" s="13">
        <v>46209.315960648149</v>
      </c>
      <c r="E318" s="12" t="s">
        <v>345</v>
      </c>
      <c r="F318" s="12" t="s">
        <v>352</v>
      </c>
      <c r="G318" s="12">
        <v>8</v>
      </c>
      <c r="H318" s="12">
        <v>8</v>
      </c>
      <c r="I318" s="14"/>
      <c r="J318" s="14" t="s">
        <v>26</v>
      </c>
      <c r="K318" s="12" t="s">
        <v>27</v>
      </c>
      <c r="L318" s="15"/>
      <c r="M318" s="12" t="s">
        <v>28</v>
      </c>
      <c r="N318" s="12"/>
      <c r="O318" s="12"/>
      <c r="P318" s="12"/>
      <c r="Q318" s="16">
        <v>0</v>
      </c>
      <c r="R318" s="16">
        <v>0</v>
      </c>
      <c r="S318" s="16"/>
      <c r="T318" s="16" t="e">
        <v>#N/A</v>
      </c>
      <c r="U318" s="16" t="e">
        <v>#N/A</v>
      </c>
    </row>
    <row r="319" spans="1:21" x14ac:dyDescent="0.25">
      <c r="A319" s="12" t="s">
        <v>21</v>
      </c>
      <c r="B319" s="12" t="s">
        <v>353</v>
      </c>
      <c r="C319" s="12" t="s">
        <v>23</v>
      </c>
      <c r="D319" s="13">
        <v>46209.432268518518</v>
      </c>
      <c r="E319" s="12" t="s">
        <v>331</v>
      </c>
      <c r="F319" s="12" t="s">
        <v>354</v>
      </c>
      <c r="G319" s="12">
        <v>12</v>
      </c>
      <c r="H319" s="12">
        <v>2</v>
      </c>
      <c r="I319" s="14">
        <v>-1</v>
      </c>
      <c r="J319" s="14" t="s">
        <v>26</v>
      </c>
      <c r="K319" s="12" t="s">
        <v>27</v>
      </c>
      <c r="L319" s="15"/>
      <c r="M319" s="12" t="s">
        <v>28</v>
      </c>
      <c r="N319" s="12"/>
      <c r="O319" s="12"/>
      <c r="P319" s="12"/>
      <c r="Q319" s="16">
        <v>0</v>
      </c>
      <c r="R319" s="16">
        <v>0</v>
      </c>
      <c r="S319" s="16"/>
      <c r="T319" s="16" t="e">
        <v>#N/A</v>
      </c>
      <c r="U319" s="16" t="e">
        <v>#N/A</v>
      </c>
    </row>
    <row r="320" spans="1:21" x14ac:dyDescent="0.25">
      <c r="A320" s="12" t="s">
        <v>21</v>
      </c>
      <c r="B320" s="12" t="s">
        <v>353</v>
      </c>
      <c r="C320" s="12" t="s">
        <v>23</v>
      </c>
      <c r="D320" s="13">
        <v>46209.432268518518</v>
      </c>
      <c r="E320" s="12" t="s">
        <v>331</v>
      </c>
      <c r="F320" s="12" t="s">
        <v>355</v>
      </c>
      <c r="G320" s="12">
        <v>6</v>
      </c>
      <c r="H320" s="12">
        <v>2</v>
      </c>
      <c r="I320" s="14"/>
      <c r="J320" s="14" t="s">
        <v>61</v>
      </c>
      <c r="K320" s="12" t="s">
        <v>27</v>
      </c>
      <c r="L320" s="15"/>
      <c r="M320" s="12" t="s">
        <v>28</v>
      </c>
      <c r="N320" s="12"/>
      <c r="O320" s="12"/>
      <c r="P320" s="12"/>
      <c r="Q320" s="16">
        <v>6</v>
      </c>
      <c r="R320" s="16">
        <v>0</v>
      </c>
      <c r="S320" s="16"/>
      <c r="T320" s="16" t="e">
        <v>#N/A</v>
      </c>
      <c r="U320" s="16" t="e">
        <v>#N/A</v>
      </c>
    </row>
    <row r="321" spans="1:21" x14ac:dyDescent="0.25">
      <c r="A321" s="12" t="s">
        <v>21</v>
      </c>
      <c r="B321" s="12" t="s">
        <v>353</v>
      </c>
      <c r="C321" s="12" t="s">
        <v>23</v>
      </c>
      <c r="D321" s="13">
        <v>46209.432268518518</v>
      </c>
      <c r="E321" s="12" t="s">
        <v>331</v>
      </c>
      <c r="F321" s="12" t="s">
        <v>356</v>
      </c>
      <c r="G321" s="12">
        <v>10</v>
      </c>
      <c r="H321" s="12">
        <v>4</v>
      </c>
      <c r="I321" s="14"/>
      <c r="J321" s="14" t="s">
        <v>61</v>
      </c>
      <c r="K321" s="12" t="s">
        <v>27</v>
      </c>
      <c r="L321" s="15"/>
      <c r="M321" s="12" t="s">
        <v>28</v>
      </c>
      <c r="N321" s="12"/>
      <c r="O321" s="12"/>
      <c r="P321" s="12"/>
      <c r="Q321" s="16">
        <v>10</v>
      </c>
      <c r="R321" s="16">
        <v>0</v>
      </c>
      <c r="S321" s="16"/>
      <c r="T321" s="16" t="e">
        <v>#N/A</v>
      </c>
      <c r="U321" s="16" t="e">
        <v>#N/A</v>
      </c>
    </row>
    <row r="322" spans="1:21" x14ac:dyDescent="0.25">
      <c r="A322" s="12" t="s">
        <v>21</v>
      </c>
      <c r="B322" s="12" t="s">
        <v>353</v>
      </c>
      <c r="C322" s="12" t="s">
        <v>23</v>
      </c>
      <c r="D322" s="13">
        <v>46209.432268518518</v>
      </c>
      <c r="E322" s="12" t="s">
        <v>331</v>
      </c>
      <c r="F322" s="12" t="s">
        <v>357</v>
      </c>
      <c r="G322" s="12">
        <v>30</v>
      </c>
      <c r="H322" s="12">
        <v>30</v>
      </c>
      <c r="I322" s="14"/>
      <c r="J322" s="14" t="s">
        <v>61</v>
      </c>
      <c r="K322" s="12" t="s">
        <v>358</v>
      </c>
      <c r="L322" s="15">
        <v>1</v>
      </c>
      <c r="M322" s="12" t="s">
        <v>150</v>
      </c>
      <c r="N322" s="12">
        <v>30</v>
      </c>
      <c r="O322" s="12">
        <v>30</v>
      </c>
      <c r="P322" s="12">
        <v>0</v>
      </c>
      <c r="Q322" s="16">
        <v>70</v>
      </c>
      <c r="R322" s="16">
        <v>0</v>
      </c>
      <c r="S322" s="16"/>
      <c r="T322" s="16" t="e">
        <v>#N/A</v>
      </c>
      <c r="U322" s="16" t="e">
        <v>#N/A</v>
      </c>
    </row>
    <row r="323" spans="1:21" x14ac:dyDescent="0.25">
      <c r="A323" s="12" t="s">
        <v>21</v>
      </c>
      <c r="B323" s="12" t="s">
        <v>353</v>
      </c>
      <c r="C323" s="12" t="s">
        <v>23</v>
      </c>
      <c r="D323" s="13">
        <v>46209.432268518518</v>
      </c>
      <c r="E323" s="12" t="s">
        <v>331</v>
      </c>
      <c r="F323" s="12" t="s">
        <v>253</v>
      </c>
      <c r="G323" s="12">
        <v>40</v>
      </c>
      <c r="H323" s="12">
        <v>40</v>
      </c>
      <c r="I323" s="14"/>
      <c r="J323" s="14" t="s">
        <v>61</v>
      </c>
      <c r="K323" s="12" t="s">
        <v>359</v>
      </c>
      <c r="L323" s="15">
        <v>1</v>
      </c>
      <c r="M323" s="12" t="s">
        <v>150</v>
      </c>
      <c r="N323" s="12">
        <v>40</v>
      </c>
      <c r="O323" s="12">
        <v>40</v>
      </c>
      <c r="P323" s="12">
        <v>0</v>
      </c>
      <c r="Q323" s="16">
        <v>70</v>
      </c>
      <c r="R323" s="16">
        <v>0</v>
      </c>
      <c r="S323" s="16"/>
      <c r="T323" s="16" t="e">
        <v>#N/A</v>
      </c>
      <c r="U323" s="16" t="e">
        <v>#N/A</v>
      </c>
    </row>
    <row r="324" spans="1:21" x14ac:dyDescent="0.25">
      <c r="A324" s="12" t="s">
        <v>21</v>
      </c>
      <c r="B324" s="12" t="s">
        <v>353</v>
      </c>
      <c r="C324" s="12" t="s">
        <v>23</v>
      </c>
      <c r="D324" s="13">
        <v>46209.432268518518</v>
      </c>
      <c r="E324" s="12" t="s">
        <v>331</v>
      </c>
      <c r="F324" s="12" t="s">
        <v>360</v>
      </c>
      <c r="G324" s="12">
        <v>20</v>
      </c>
      <c r="H324" s="12">
        <v>2</v>
      </c>
      <c r="I324" s="14"/>
      <c r="J324" s="14" t="s">
        <v>61</v>
      </c>
      <c r="K324" s="12" t="s">
        <v>27</v>
      </c>
      <c r="L324" s="15"/>
      <c r="M324" s="12" t="s">
        <v>28</v>
      </c>
      <c r="N324" s="12"/>
      <c r="O324" s="12"/>
      <c r="P324" s="12"/>
      <c r="Q324" s="16">
        <v>20</v>
      </c>
      <c r="R324" s="16">
        <v>1</v>
      </c>
      <c r="S324" s="16"/>
      <c r="T324" s="16" t="e">
        <v>#N/A</v>
      </c>
      <c r="U324" s="16" t="e">
        <v>#N/A</v>
      </c>
    </row>
    <row r="325" spans="1:21" x14ac:dyDescent="0.25">
      <c r="A325" s="12" t="s">
        <v>21</v>
      </c>
      <c r="B325" s="12" t="s">
        <v>361</v>
      </c>
      <c r="C325" s="12" t="s">
        <v>23</v>
      </c>
      <c r="D325" s="13">
        <v>46210.339687500003</v>
      </c>
      <c r="E325" s="12" t="s">
        <v>24</v>
      </c>
      <c r="F325" s="12" t="s">
        <v>261</v>
      </c>
      <c r="G325" s="12">
        <v>120</v>
      </c>
      <c r="H325" s="12">
        <v>80</v>
      </c>
      <c r="I325" s="14">
        <v>-30</v>
      </c>
      <c r="J325" s="14" t="s">
        <v>61</v>
      </c>
      <c r="K325" s="12" t="s">
        <v>27</v>
      </c>
      <c r="L325" s="15"/>
      <c r="M325" s="12" t="s">
        <v>28</v>
      </c>
      <c r="N325" s="12"/>
      <c r="O325" s="12"/>
      <c r="P325" s="12"/>
      <c r="Q325" s="16">
        <v>60</v>
      </c>
      <c r="R325" s="16">
        <v>0</v>
      </c>
      <c r="S325" s="16"/>
      <c r="T325" s="16" t="e">
        <v>#N/A</v>
      </c>
      <c r="U325" s="16" t="e">
        <v>#N/A</v>
      </c>
    </row>
    <row r="326" spans="1:21" x14ac:dyDescent="0.25">
      <c r="A326" s="12" t="s">
        <v>21</v>
      </c>
      <c r="B326" s="12" t="s">
        <v>361</v>
      </c>
      <c r="C326" s="12" t="s">
        <v>23</v>
      </c>
      <c r="D326" s="13">
        <v>46210.339687500003</v>
      </c>
      <c r="E326" s="12" t="s">
        <v>24</v>
      </c>
      <c r="F326" s="12" t="s">
        <v>362</v>
      </c>
      <c r="G326" s="12">
        <v>30</v>
      </c>
      <c r="H326" s="12">
        <v>3</v>
      </c>
      <c r="I326" s="14"/>
      <c r="J326" s="14" t="s">
        <v>61</v>
      </c>
      <c r="K326" s="12" t="s">
        <v>27</v>
      </c>
      <c r="L326" s="15"/>
      <c r="M326" s="12" t="s">
        <v>28</v>
      </c>
      <c r="N326" s="12"/>
      <c r="O326" s="12"/>
      <c r="P326" s="12"/>
      <c r="Q326" s="16">
        <v>56</v>
      </c>
      <c r="R326" s="16">
        <v>0</v>
      </c>
      <c r="S326" s="16"/>
      <c r="T326" s="16" t="e">
        <v>#N/A</v>
      </c>
      <c r="U326" s="16" t="e">
        <v>#N/A</v>
      </c>
    </row>
    <row r="327" spans="1:21" x14ac:dyDescent="0.25">
      <c r="A327" s="12" t="s">
        <v>21</v>
      </c>
      <c r="B327" s="12" t="s">
        <v>361</v>
      </c>
      <c r="C327" s="12" t="s">
        <v>23</v>
      </c>
      <c r="D327" s="13">
        <v>46210.339687500003</v>
      </c>
      <c r="E327" s="12" t="s">
        <v>24</v>
      </c>
      <c r="F327" s="12" t="s">
        <v>324</v>
      </c>
      <c r="G327" s="12">
        <v>30</v>
      </c>
      <c r="H327" s="12">
        <v>19</v>
      </c>
      <c r="I327" s="14"/>
      <c r="J327" s="14" t="s">
        <v>26</v>
      </c>
      <c r="K327" s="12" t="s">
        <v>27</v>
      </c>
      <c r="L327" s="15"/>
      <c r="M327" s="12" t="s">
        <v>28</v>
      </c>
      <c r="N327" s="12"/>
      <c r="O327" s="12"/>
      <c r="P327" s="12"/>
      <c r="Q327" s="16">
        <v>0</v>
      </c>
      <c r="R327" s="16">
        <v>4</v>
      </c>
      <c r="S327" s="16"/>
      <c r="T327" s="16" t="e">
        <v>#N/A</v>
      </c>
      <c r="U327" s="16" t="e">
        <v>#N/A</v>
      </c>
    </row>
    <row r="328" spans="1:21" x14ac:dyDescent="0.25">
      <c r="A328" s="12" t="s">
        <v>21</v>
      </c>
      <c r="B328" s="12" t="s">
        <v>363</v>
      </c>
      <c r="C328" s="12" t="s">
        <v>23</v>
      </c>
      <c r="D328" s="13">
        <v>46210.429074074076</v>
      </c>
      <c r="E328" s="12" t="s">
        <v>24</v>
      </c>
      <c r="F328" s="12" t="s">
        <v>364</v>
      </c>
      <c r="G328" s="12">
        <v>100</v>
      </c>
      <c r="H328" s="12">
        <v>100</v>
      </c>
      <c r="I328" s="14">
        <v>-1</v>
      </c>
      <c r="J328" s="14" t="s">
        <v>26</v>
      </c>
      <c r="K328" s="12" t="s">
        <v>27</v>
      </c>
      <c r="L328" s="15"/>
      <c r="M328" s="12" t="s">
        <v>28</v>
      </c>
      <c r="N328" s="12"/>
      <c r="O328" s="12"/>
      <c r="P328" s="12"/>
      <c r="Q328" s="16">
        <v>0</v>
      </c>
      <c r="R328" s="16">
        <v>0</v>
      </c>
      <c r="S328" s="16"/>
      <c r="T328" s="16" t="e">
        <v>#N/A</v>
      </c>
      <c r="U328" s="16" t="e">
        <v>#N/A</v>
      </c>
    </row>
    <row r="329" spans="1:21" x14ac:dyDescent="0.25">
      <c r="A329" s="12" t="s">
        <v>21</v>
      </c>
      <c r="B329" s="12" t="s">
        <v>365</v>
      </c>
      <c r="C329" s="12" t="s">
        <v>23</v>
      </c>
      <c r="D329" s="13">
        <v>46210.56517361111</v>
      </c>
      <c r="E329" s="12" t="s">
        <v>345</v>
      </c>
      <c r="F329" s="12" t="s">
        <v>273</v>
      </c>
      <c r="G329" s="12">
        <v>20</v>
      </c>
      <c r="H329" s="12">
        <v>2</v>
      </c>
      <c r="I329" s="14"/>
      <c r="J329" s="14" t="s">
        <v>61</v>
      </c>
      <c r="K329" s="12" t="s">
        <v>27</v>
      </c>
      <c r="L329" s="15"/>
      <c r="M329" s="12" t="s">
        <v>28</v>
      </c>
      <c r="N329" s="12"/>
      <c r="O329" s="12"/>
      <c r="P329" s="12"/>
      <c r="Q329" s="16">
        <v>20</v>
      </c>
      <c r="R329" s="16">
        <v>0</v>
      </c>
      <c r="S329" s="16"/>
      <c r="T329" s="16" t="e">
        <v>#N/A</v>
      </c>
      <c r="U329" s="16" t="e">
        <v>#N/A</v>
      </c>
    </row>
    <row r="330" spans="1:21" x14ac:dyDescent="0.25">
      <c r="A330" s="12" t="s">
        <v>21</v>
      </c>
      <c r="B330" s="12" t="s">
        <v>365</v>
      </c>
      <c r="C330" s="12" t="s">
        <v>23</v>
      </c>
      <c r="D330" s="13">
        <v>46210.56517361111</v>
      </c>
      <c r="E330" s="12" t="s">
        <v>345</v>
      </c>
      <c r="F330" s="12" t="s">
        <v>366</v>
      </c>
      <c r="G330" s="12">
        <v>2</v>
      </c>
      <c r="H330" s="12">
        <v>2</v>
      </c>
      <c r="I330" s="14"/>
      <c r="J330" s="14" t="s">
        <v>26</v>
      </c>
      <c r="K330" s="12" t="s">
        <v>27</v>
      </c>
      <c r="L330" s="15"/>
      <c r="M330" s="12" t="s">
        <v>28</v>
      </c>
      <c r="N330" s="12"/>
      <c r="O330" s="12"/>
      <c r="P330" s="12"/>
      <c r="Q330" s="16">
        <v>0</v>
      </c>
      <c r="R330" s="16">
        <v>0</v>
      </c>
      <c r="S330" s="16"/>
      <c r="T330" s="16" t="e">
        <v>#N/A</v>
      </c>
      <c r="U330" s="16" t="e">
        <v>#N/A</v>
      </c>
    </row>
    <row r="331" spans="1:21" x14ac:dyDescent="0.25">
      <c r="A331" s="12" t="s">
        <v>21</v>
      </c>
      <c r="B331" s="12" t="s">
        <v>367</v>
      </c>
      <c r="C331" s="12" t="s">
        <v>23</v>
      </c>
      <c r="D331" s="13">
        <v>46210.608182870368</v>
      </c>
      <c r="E331" s="12" t="s">
        <v>368</v>
      </c>
      <c r="F331" s="12" t="s">
        <v>134</v>
      </c>
      <c r="G331" s="12">
        <v>100</v>
      </c>
      <c r="H331" s="12">
        <v>100</v>
      </c>
      <c r="I331" s="14"/>
      <c r="J331" s="14" t="s">
        <v>26</v>
      </c>
      <c r="K331" s="12" t="s">
        <v>27</v>
      </c>
      <c r="L331" s="15"/>
      <c r="M331" s="12" t="s">
        <v>28</v>
      </c>
      <c r="N331" s="12"/>
      <c r="O331" s="12"/>
      <c r="P331" s="12"/>
      <c r="Q331" s="16">
        <v>0</v>
      </c>
      <c r="R331" s="16">
        <v>6</v>
      </c>
      <c r="S331" s="16"/>
      <c r="T331" s="16" t="e">
        <v>#N/A</v>
      </c>
      <c r="U331" s="16" t="e">
        <v>#N/A</v>
      </c>
    </row>
    <row r="332" spans="1:21" x14ac:dyDescent="0.25">
      <c r="A332" s="12" t="s">
        <v>21</v>
      </c>
      <c r="B332" s="12" t="s">
        <v>369</v>
      </c>
      <c r="C332" s="12" t="s">
        <v>23</v>
      </c>
      <c r="D332" s="13">
        <v>46211.492037037038</v>
      </c>
      <c r="E332" s="12" t="s">
        <v>370</v>
      </c>
      <c r="F332" s="12" t="s">
        <v>371</v>
      </c>
      <c r="G332" s="12">
        <v>500</v>
      </c>
      <c r="H332" s="12">
        <v>140</v>
      </c>
      <c r="I332" s="14"/>
      <c r="J332" s="14" t="s">
        <v>26</v>
      </c>
      <c r="K332" s="12" t="s">
        <v>27</v>
      </c>
      <c r="L332" s="15"/>
      <c r="M332" s="12" t="s">
        <v>28</v>
      </c>
      <c r="N332" s="12"/>
      <c r="O332" s="12"/>
      <c r="P332" s="12"/>
      <c r="Q332" s="16">
        <v>0</v>
      </c>
      <c r="R332" s="16">
        <v>1</v>
      </c>
      <c r="S332" s="16"/>
      <c r="T332" s="16" t="e">
        <v>#N/A</v>
      </c>
      <c r="U332" s="16" t="e">
        <v>#N/A</v>
      </c>
    </row>
    <row r="333" spans="1:21" x14ac:dyDescent="0.25">
      <c r="A333" s="12" t="s">
        <v>21</v>
      </c>
      <c r="B333" s="12" t="s">
        <v>372</v>
      </c>
      <c r="C333" s="12" t="s">
        <v>23</v>
      </c>
      <c r="D333" s="13">
        <v>46212.477118055554</v>
      </c>
      <c r="E333" s="12" t="s">
        <v>24</v>
      </c>
      <c r="F333" s="12" t="s">
        <v>373</v>
      </c>
      <c r="G333" s="12">
        <v>30</v>
      </c>
      <c r="H333" s="12">
        <v>18</v>
      </c>
      <c r="I333" s="14"/>
      <c r="J333" s="14" t="s">
        <v>61</v>
      </c>
      <c r="K333" s="12" t="s">
        <v>27</v>
      </c>
      <c r="L333" s="15"/>
      <c r="M333" s="12" t="s">
        <v>28</v>
      </c>
      <c r="N333" s="12"/>
      <c r="O333" s="12"/>
      <c r="P333" s="12"/>
      <c r="Q333" s="16">
        <v>25</v>
      </c>
      <c r="R333" s="16">
        <v>2</v>
      </c>
      <c r="S333" s="16"/>
      <c r="T333" s="16" t="e">
        <v>#N/A</v>
      </c>
      <c r="U333" s="16" t="e">
        <v>#N/A</v>
      </c>
    </row>
    <row r="334" spans="1:21" x14ac:dyDescent="0.25">
      <c r="A334" s="12" t="s">
        <v>21</v>
      </c>
      <c r="B334" s="12" t="s">
        <v>372</v>
      </c>
      <c r="C334" s="12" t="s">
        <v>23</v>
      </c>
      <c r="D334" s="13">
        <v>46212.477118055554</v>
      </c>
      <c r="E334" s="12" t="s">
        <v>24</v>
      </c>
      <c r="F334" s="12" t="s">
        <v>261</v>
      </c>
      <c r="G334" s="12">
        <v>120</v>
      </c>
      <c r="H334" s="12">
        <v>100</v>
      </c>
      <c r="I334" s="14"/>
      <c r="J334" s="14" t="s">
        <v>61</v>
      </c>
      <c r="K334" s="12" t="s">
        <v>27</v>
      </c>
      <c r="L334" s="15"/>
      <c r="M334" s="12" t="s">
        <v>28</v>
      </c>
      <c r="N334" s="12"/>
      <c r="O334" s="12"/>
      <c r="P334" s="12"/>
      <c r="Q334" s="16">
        <v>120</v>
      </c>
      <c r="R334" s="16">
        <v>0</v>
      </c>
      <c r="S334" s="16"/>
      <c r="T334" s="16" t="e">
        <v>#N/A</v>
      </c>
      <c r="U334" s="16" t="e">
        <v>#N/A</v>
      </c>
    </row>
    <row r="335" spans="1:21" x14ac:dyDescent="0.25">
      <c r="A335" s="12" t="s">
        <v>21</v>
      </c>
      <c r="B335" s="12" t="s">
        <v>372</v>
      </c>
      <c r="C335" s="12" t="s">
        <v>23</v>
      </c>
      <c r="D335" s="13">
        <v>46212.477118055554</v>
      </c>
      <c r="E335" s="12" t="s">
        <v>24</v>
      </c>
      <c r="F335" s="12" t="s">
        <v>374</v>
      </c>
      <c r="G335" s="12">
        <v>40</v>
      </c>
      <c r="H335" s="12">
        <v>40</v>
      </c>
      <c r="I335" s="14"/>
      <c r="J335" s="14" t="s">
        <v>26</v>
      </c>
      <c r="K335" s="12" t="s">
        <v>27</v>
      </c>
      <c r="L335" s="15"/>
      <c r="M335" s="12" t="s">
        <v>28</v>
      </c>
      <c r="N335" s="12"/>
      <c r="O335" s="12"/>
      <c r="P335" s="12"/>
      <c r="Q335" s="16">
        <v>0</v>
      </c>
      <c r="R335" s="16">
        <v>0</v>
      </c>
      <c r="S335" s="16"/>
      <c r="T335" s="16" t="e">
        <v>#N/A</v>
      </c>
      <c r="U335" s="16" t="e">
        <v>#N/A</v>
      </c>
    </row>
    <row r="336" spans="1:21" x14ac:dyDescent="0.25">
      <c r="A336" s="12" t="s">
        <v>21</v>
      </c>
      <c r="B336" s="12" t="s">
        <v>372</v>
      </c>
      <c r="C336" s="12" t="s">
        <v>23</v>
      </c>
      <c r="D336" s="13">
        <v>46212.477118055554</v>
      </c>
      <c r="E336" s="12" t="s">
        <v>24</v>
      </c>
      <c r="F336" s="12" t="s">
        <v>71</v>
      </c>
      <c r="G336" s="12">
        <v>400</v>
      </c>
      <c r="H336" s="12">
        <v>270</v>
      </c>
      <c r="I336" s="14"/>
      <c r="J336" s="14" t="s">
        <v>61</v>
      </c>
      <c r="K336" s="12" t="s">
        <v>27</v>
      </c>
      <c r="L336" s="15"/>
      <c r="M336" s="12" t="s">
        <v>28</v>
      </c>
      <c r="N336" s="12"/>
      <c r="O336" s="12"/>
      <c r="P336" s="12"/>
      <c r="Q336" s="16">
        <v>600</v>
      </c>
      <c r="R336" s="16">
        <v>0</v>
      </c>
      <c r="S336" s="16"/>
      <c r="T336" s="16" t="e">
        <v>#N/A</v>
      </c>
      <c r="U336" s="16" t="e">
        <v>#N/A</v>
      </c>
    </row>
    <row r="337" spans="1:21" x14ac:dyDescent="0.25">
      <c r="A337" s="12" t="s">
        <v>21</v>
      </c>
      <c r="B337" s="12" t="s">
        <v>372</v>
      </c>
      <c r="C337" s="12" t="s">
        <v>23</v>
      </c>
      <c r="D337" s="13">
        <v>46212.477118055554</v>
      </c>
      <c r="E337" s="12" t="s">
        <v>24</v>
      </c>
      <c r="F337" s="12" t="s">
        <v>375</v>
      </c>
      <c r="G337" s="12">
        <v>15</v>
      </c>
      <c r="H337" s="12">
        <v>15</v>
      </c>
      <c r="I337" s="14"/>
      <c r="J337" s="14" t="s">
        <v>61</v>
      </c>
      <c r="K337" s="12" t="s">
        <v>376</v>
      </c>
      <c r="L337" s="15">
        <v>1</v>
      </c>
      <c r="M337" s="12" t="s">
        <v>150</v>
      </c>
      <c r="N337" s="12">
        <v>15</v>
      </c>
      <c r="O337" s="12">
        <v>15</v>
      </c>
      <c r="P337" s="12">
        <v>0</v>
      </c>
      <c r="Q337" s="16">
        <v>25</v>
      </c>
      <c r="R337" s="16">
        <v>0</v>
      </c>
      <c r="S337" s="16"/>
      <c r="T337" s="16" t="e">
        <v>#N/A</v>
      </c>
      <c r="U337" s="16" t="e">
        <v>#N/A</v>
      </c>
    </row>
    <row r="338" spans="1:21" x14ac:dyDescent="0.25">
      <c r="A338" s="12" t="s">
        <v>21</v>
      </c>
      <c r="B338" s="12" t="s">
        <v>377</v>
      </c>
      <c r="C338" s="12" t="s">
        <v>23</v>
      </c>
      <c r="D338" s="13">
        <v>46212.477199074077</v>
      </c>
      <c r="E338" s="12" t="s">
        <v>258</v>
      </c>
      <c r="F338" s="12" t="s">
        <v>148</v>
      </c>
      <c r="G338" s="12">
        <v>2</v>
      </c>
      <c r="H338" s="12">
        <v>2</v>
      </c>
      <c r="I338" s="14"/>
      <c r="J338" s="14" t="s">
        <v>26</v>
      </c>
      <c r="K338" s="12" t="s">
        <v>378</v>
      </c>
      <c r="L338" s="15">
        <v>1</v>
      </c>
      <c r="M338" s="12" t="s">
        <v>150</v>
      </c>
      <c r="N338" s="12">
        <v>2</v>
      </c>
      <c r="O338" s="12">
        <v>2</v>
      </c>
      <c r="P338" s="12">
        <v>0</v>
      </c>
      <c r="Q338" s="16">
        <v>0</v>
      </c>
      <c r="R338" s="16">
        <v>1</v>
      </c>
      <c r="S338" s="16"/>
      <c r="T338" s="16" t="e">
        <v>#N/A</v>
      </c>
      <c r="U338" s="16" t="e">
        <v>#N/A</v>
      </c>
    </row>
    <row r="339" spans="1:21" x14ac:dyDescent="0.25">
      <c r="A339" s="12" t="s">
        <v>21</v>
      </c>
      <c r="B339" s="12" t="s">
        <v>379</v>
      </c>
      <c r="C339" s="12" t="s">
        <v>23</v>
      </c>
      <c r="D339" s="13">
        <v>46212.484976851854</v>
      </c>
      <c r="E339" s="12" t="s">
        <v>24</v>
      </c>
      <c r="F339" s="12" t="s">
        <v>268</v>
      </c>
      <c r="G339" s="12">
        <v>36</v>
      </c>
      <c r="H339" s="12">
        <v>24</v>
      </c>
      <c r="I339" s="14"/>
      <c r="J339" s="14" t="s">
        <v>61</v>
      </c>
      <c r="K339" s="12" t="s">
        <v>27</v>
      </c>
      <c r="L339" s="15"/>
      <c r="M339" s="12" t="s">
        <v>28</v>
      </c>
      <c r="N339" s="12"/>
      <c r="O339" s="12"/>
      <c r="P339" s="12"/>
      <c r="Q339" s="16">
        <v>60</v>
      </c>
      <c r="R339" s="16">
        <v>0</v>
      </c>
      <c r="S339" s="16"/>
      <c r="T339" s="16" t="e">
        <v>#N/A</v>
      </c>
      <c r="U339" s="16" t="e">
        <v>#N/A</v>
      </c>
    </row>
    <row r="340" spans="1:21" x14ac:dyDescent="0.25">
      <c r="A340" s="12" t="s">
        <v>21</v>
      </c>
      <c r="B340" s="12" t="s">
        <v>379</v>
      </c>
      <c r="C340" s="12" t="s">
        <v>23</v>
      </c>
      <c r="D340" s="13">
        <v>46212.484976851854</v>
      </c>
      <c r="E340" s="12" t="s">
        <v>24</v>
      </c>
      <c r="F340" s="12" t="s">
        <v>380</v>
      </c>
      <c r="G340" s="12">
        <v>9</v>
      </c>
      <c r="H340" s="12">
        <v>9</v>
      </c>
      <c r="I340" s="14"/>
      <c r="J340" s="14" t="s">
        <v>61</v>
      </c>
      <c r="K340" s="12" t="s">
        <v>27</v>
      </c>
      <c r="L340" s="15"/>
      <c r="M340" s="12" t="s">
        <v>28</v>
      </c>
      <c r="N340" s="12"/>
      <c r="O340" s="12"/>
      <c r="P340" s="12"/>
      <c r="Q340" s="16">
        <v>3</v>
      </c>
      <c r="R340" s="16">
        <v>0</v>
      </c>
      <c r="S340" s="16"/>
      <c r="T340" s="16" t="e">
        <v>#N/A</v>
      </c>
      <c r="U340" s="16" t="e">
        <v>#N/A</v>
      </c>
    </row>
    <row r="341" spans="1:21" x14ac:dyDescent="0.25">
      <c r="A341" s="12" t="s">
        <v>21</v>
      </c>
      <c r="B341" s="12" t="s">
        <v>379</v>
      </c>
      <c r="C341" s="12" t="s">
        <v>23</v>
      </c>
      <c r="D341" s="13">
        <v>46212.484976851854</v>
      </c>
      <c r="E341" s="12" t="s">
        <v>24</v>
      </c>
      <c r="F341" s="12" t="s">
        <v>381</v>
      </c>
      <c r="G341" s="12">
        <v>30</v>
      </c>
      <c r="H341" s="12">
        <v>30</v>
      </c>
      <c r="I341" s="14"/>
      <c r="J341" s="14" t="s">
        <v>61</v>
      </c>
      <c r="K341" s="12" t="s">
        <v>382</v>
      </c>
      <c r="L341" s="15">
        <v>1</v>
      </c>
      <c r="M341" s="12" t="s">
        <v>150</v>
      </c>
      <c r="N341" s="12">
        <v>30</v>
      </c>
      <c r="O341" s="12">
        <v>30</v>
      </c>
      <c r="P341" s="12">
        <v>0</v>
      </c>
      <c r="Q341" s="16">
        <v>30</v>
      </c>
      <c r="R341" s="16">
        <v>0</v>
      </c>
      <c r="S341" s="16"/>
      <c r="T341" s="16" t="e">
        <v>#N/A</v>
      </c>
      <c r="U341" s="16" t="e">
        <v>#N/A</v>
      </c>
    </row>
    <row r="342" spans="1:21" x14ac:dyDescent="0.25">
      <c r="A342" s="12" t="s">
        <v>21</v>
      </c>
      <c r="B342" s="12" t="s">
        <v>379</v>
      </c>
      <c r="C342" s="12" t="s">
        <v>23</v>
      </c>
      <c r="D342" s="13">
        <v>46212.484976851854</v>
      </c>
      <c r="E342" s="12" t="s">
        <v>24</v>
      </c>
      <c r="F342" s="12" t="s">
        <v>383</v>
      </c>
      <c r="G342" s="12">
        <v>9</v>
      </c>
      <c r="H342" s="12">
        <v>9</v>
      </c>
      <c r="I342" s="14"/>
      <c r="J342" s="14" t="s">
        <v>61</v>
      </c>
      <c r="K342" s="12" t="s">
        <v>27</v>
      </c>
      <c r="L342" s="15"/>
      <c r="M342" s="12" t="s">
        <v>28</v>
      </c>
      <c r="N342" s="12"/>
      <c r="O342" s="12"/>
      <c r="P342" s="12"/>
      <c r="Q342" s="16">
        <v>3</v>
      </c>
      <c r="R342" s="16">
        <v>0</v>
      </c>
      <c r="S342" s="16"/>
      <c r="T342" s="16" t="e">
        <v>#N/A</v>
      </c>
      <c r="U342" s="16" t="e">
        <v>#N/A</v>
      </c>
    </row>
    <row r="343" spans="1:21" x14ac:dyDescent="0.25">
      <c r="A343" s="12" t="s">
        <v>21</v>
      </c>
      <c r="B343" s="12" t="s">
        <v>384</v>
      </c>
      <c r="C343" s="12" t="s">
        <v>23</v>
      </c>
      <c r="D343" s="13">
        <v>46213.36446759259</v>
      </c>
      <c r="E343" s="12" t="s">
        <v>368</v>
      </c>
      <c r="F343" s="12" t="s">
        <v>130</v>
      </c>
      <c r="G343" s="12">
        <v>500</v>
      </c>
      <c r="H343" s="12">
        <v>400</v>
      </c>
      <c r="I343" s="14"/>
      <c r="J343" s="14" t="s">
        <v>26</v>
      </c>
      <c r="K343" s="12" t="s">
        <v>27</v>
      </c>
      <c r="L343" s="15"/>
      <c r="M343" s="12" t="s">
        <v>28</v>
      </c>
      <c r="N343" s="12"/>
      <c r="O343" s="12"/>
      <c r="P343" s="12"/>
      <c r="Q343" s="16">
        <v>0</v>
      </c>
      <c r="R343" s="16">
        <v>6</v>
      </c>
      <c r="S343" s="16"/>
      <c r="T343" s="16" t="e">
        <v>#N/A</v>
      </c>
      <c r="U343" s="16" t="e">
        <v>#N/A</v>
      </c>
    </row>
    <row r="344" spans="1:21" x14ac:dyDescent="0.25">
      <c r="A344" s="12" t="s">
        <v>21</v>
      </c>
      <c r="B344" s="12" t="s">
        <v>385</v>
      </c>
      <c r="C344" s="12" t="s">
        <v>23</v>
      </c>
      <c r="D344" s="13">
        <v>46213.491956018515</v>
      </c>
      <c r="E344" s="12" t="s">
        <v>368</v>
      </c>
      <c r="F344" s="12" t="s">
        <v>130</v>
      </c>
      <c r="G344" s="12">
        <v>500</v>
      </c>
      <c r="H344" s="12">
        <v>500</v>
      </c>
      <c r="I344" s="14"/>
      <c r="J344" s="14" t="s">
        <v>26</v>
      </c>
      <c r="K344" s="12" t="s">
        <v>27</v>
      </c>
      <c r="L344" s="15"/>
      <c r="M344" s="12" t="s">
        <v>28</v>
      </c>
      <c r="N344" s="12"/>
      <c r="O344" s="12"/>
      <c r="P344" s="12"/>
      <c r="Q344" s="16">
        <v>0</v>
      </c>
      <c r="R344" s="16">
        <v>6</v>
      </c>
      <c r="S344" s="16"/>
      <c r="T344" s="16" t="e">
        <v>#N/A</v>
      </c>
      <c r="U344" s="16" t="e">
        <v>#N/A</v>
      </c>
    </row>
    <row r="345" spans="1:21" x14ac:dyDescent="0.25">
      <c r="A345" s="12" t="s">
        <v>21</v>
      </c>
      <c r="B345" s="12" t="s">
        <v>385</v>
      </c>
      <c r="C345" s="12" t="s">
        <v>23</v>
      </c>
      <c r="D345" s="13">
        <v>46213.491956018515</v>
      </c>
      <c r="E345" s="12" t="s">
        <v>368</v>
      </c>
      <c r="F345" s="12" t="s">
        <v>134</v>
      </c>
      <c r="G345" s="12">
        <v>200</v>
      </c>
      <c r="H345" s="12">
        <v>200</v>
      </c>
      <c r="I345" s="14"/>
      <c r="J345" s="14" t="s">
        <v>26</v>
      </c>
      <c r="K345" s="12" t="s">
        <v>27</v>
      </c>
      <c r="L345" s="15"/>
      <c r="M345" s="12" t="s">
        <v>28</v>
      </c>
      <c r="N345" s="12"/>
      <c r="O345" s="12"/>
      <c r="P345" s="12"/>
      <c r="Q345" s="16">
        <v>0</v>
      </c>
      <c r="R345" s="16">
        <v>6</v>
      </c>
      <c r="S345" s="16"/>
      <c r="T345" s="16" t="e">
        <v>#N/A</v>
      </c>
      <c r="U345" s="16" t="e">
        <v>#N/A</v>
      </c>
    </row>
    <row r="346" spans="1:21" x14ac:dyDescent="0.25">
      <c r="A346" s="12" t="s">
        <v>21</v>
      </c>
      <c r="B346" s="12" t="s">
        <v>386</v>
      </c>
      <c r="C346" s="12" t="s">
        <v>23</v>
      </c>
      <c r="D346" s="13">
        <v>46213.594513888886</v>
      </c>
      <c r="E346" s="12" t="s">
        <v>195</v>
      </c>
      <c r="F346" s="12" t="s">
        <v>387</v>
      </c>
      <c r="G346" s="12">
        <v>10</v>
      </c>
      <c r="H346" s="12">
        <v>10</v>
      </c>
      <c r="I346" s="14"/>
      <c r="J346" s="14" t="s">
        <v>26</v>
      </c>
      <c r="K346" s="12" t="s">
        <v>27</v>
      </c>
      <c r="L346" s="15"/>
      <c r="M346" s="12" t="s">
        <v>28</v>
      </c>
      <c r="N346" s="12"/>
      <c r="O346" s="12"/>
      <c r="P346" s="12"/>
      <c r="Q346" s="16">
        <v>0</v>
      </c>
      <c r="R346" s="16">
        <v>102</v>
      </c>
      <c r="S346" s="16"/>
      <c r="T346" s="16" t="e">
        <v>#N/A</v>
      </c>
      <c r="U346" s="16" t="e">
        <v>#N/A</v>
      </c>
    </row>
    <row r="347" spans="1:21" x14ac:dyDescent="0.25">
      <c r="A347" s="12" t="s">
        <v>21</v>
      </c>
      <c r="B347" s="12" t="s">
        <v>388</v>
      </c>
      <c r="C347" s="12" t="s">
        <v>23</v>
      </c>
      <c r="D347" s="13">
        <v>46217.613946759258</v>
      </c>
      <c r="E347" s="12" t="s">
        <v>198</v>
      </c>
      <c r="F347" s="12" t="s">
        <v>157</v>
      </c>
      <c r="G347" s="12">
        <v>20</v>
      </c>
      <c r="H347" s="12">
        <v>20</v>
      </c>
      <c r="I347" s="14"/>
      <c r="J347" s="14" t="s">
        <v>26</v>
      </c>
      <c r="K347" s="12" t="s">
        <v>27</v>
      </c>
      <c r="L347" s="15"/>
      <c r="M347" s="12" t="s">
        <v>28</v>
      </c>
      <c r="N347" s="12"/>
      <c r="O347" s="12"/>
      <c r="P347" s="12"/>
      <c r="Q347" s="16">
        <v>0</v>
      </c>
      <c r="R347" s="16">
        <v>0</v>
      </c>
      <c r="S347" s="16"/>
      <c r="T347" s="16" t="e">
        <v>#N/A</v>
      </c>
      <c r="U347" s="16" t="e">
        <v>#N/A</v>
      </c>
    </row>
    <row r="348" spans="1:21" x14ac:dyDescent="0.25">
      <c r="A348" s="12" t="s">
        <v>21</v>
      </c>
      <c r="B348" s="12" t="s">
        <v>388</v>
      </c>
      <c r="C348" s="12" t="s">
        <v>23</v>
      </c>
      <c r="D348" s="13">
        <v>46217.613946759258</v>
      </c>
      <c r="E348" s="12" t="s">
        <v>198</v>
      </c>
      <c r="F348" s="12" t="s">
        <v>244</v>
      </c>
      <c r="G348" s="12">
        <v>10</v>
      </c>
      <c r="H348" s="12">
        <v>10</v>
      </c>
      <c r="I348" s="14"/>
      <c r="J348" s="14" t="s">
        <v>26</v>
      </c>
      <c r="K348" s="12" t="s">
        <v>27</v>
      </c>
      <c r="L348" s="15"/>
      <c r="M348" s="12" t="s">
        <v>28</v>
      </c>
      <c r="N348" s="12"/>
      <c r="O348" s="12"/>
      <c r="P348" s="12"/>
      <c r="Q348" s="16">
        <v>0</v>
      </c>
      <c r="R348" s="16">
        <v>0</v>
      </c>
      <c r="S348" s="16"/>
      <c r="T348" s="16" t="e">
        <v>#N/A</v>
      </c>
      <c r="U348" s="16" t="e">
        <v>#N/A</v>
      </c>
    </row>
    <row r="349" spans="1:21" x14ac:dyDescent="0.25">
      <c r="A349" s="12" t="s">
        <v>21</v>
      </c>
      <c r="B349" s="12" t="s">
        <v>388</v>
      </c>
      <c r="C349" s="12" t="s">
        <v>23</v>
      </c>
      <c r="D349" s="13">
        <v>46217.613946759258</v>
      </c>
      <c r="E349" s="12" t="s">
        <v>198</v>
      </c>
      <c r="F349" s="12" t="s">
        <v>159</v>
      </c>
      <c r="G349" s="12">
        <v>20</v>
      </c>
      <c r="H349" s="12">
        <v>20</v>
      </c>
      <c r="I349" s="14"/>
      <c r="J349" s="14" t="s">
        <v>26</v>
      </c>
      <c r="K349" s="12" t="s">
        <v>27</v>
      </c>
      <c r="L349" s="15"/>
      <c r="M349" s="12" t="s">
        <v>28</v>
      </c>
      <c r="N349" s="12"/>
      <c r="O349" s="12"/>
      <c r="P349" s="12"/>
      <c r="Q349" s="16">
        <v>0</v>
      </c>
      <c r="R349" s="16">
        <v>0</v>
      </c>
      <c r="S349" s="16"/>
      <c r="T349" s="16" t="e">
        <v>#N/A</v>
      </c>
      <c r="U349" s="16" t="e">
        <v>#N/A</v>
      </c>
    </row>
    <row r="350" spans="1:21" x14ac:dyDescent="0.25">
      <c r="A350" s="12" t="s">
        <v>21</v>
      </c>
      <c r="B350" s="12" t="s">
        <v>388</v>
      </c>
      <c r="C350" s="12" t="s">
        <v>23</v>
      </c>
      <c r="D350" s="13">
        <v>46217.613946759258</v>
      </c>
      <c r="E350" s="12" t="s">
        <v>198</v>
      </c>
      <c r="F350" s="12" t="s">
        <v>246</v>
      </c>
      <c r="G350" s="12">
        <v>10</v>
      </c>
      <c r="H350" s="12">
        <v>10</v>
      </c>
      <c r="I350" s="14"/>
      <c r="J350" s="14" t="s">
        <v>26</v>
      </c>
      <c r="K350" s="12" t="s">
        <v>27</v>
      </c>
      <c r="L350" s="15"/>
      <c r="M350" s="12" t="s">
        <v>28</v>
      </c>
      <c r="N350" s="12"/>
      <c r="O350" s="12"/>
      <c r="P350" s="12"/>
      <c r="Q350" s="16">
        <v>0</v>
      </c>
      <c r="R350" s="16">
        <v>0</v>
      </c>
      <c r="S350" s="16"/>
      <c r="T350" s="16" t="e">
        <v>#N/A</v>
      </c>
      <c r="U350" s="16" t="e">
        <v>#N/A</v>
      </c>
    </row>
    <row r="351" spans="1:21" x14ac:dyDescent="0.25">
      <c r="A351" s="12" t="s">
        <v>21</v>
      </c>
      <c r="B351" s="12" t="s">
        <v>388</v>
      </c>
      <c r="C351" s="12" t="s">
        <v>23</v>
      </c>
      <c r="D351" s="13">
        <v>46217.613946759258</v>
      </c>
      <c r="E351" s="12" t="s">
        <v>198</v>
      </c>
      <c r="F351" s="12" t="s">
        <v>389</v>
      </c>
      <c r="G351" s="12">
        <v>10</v>
      </c>
      <c r="H351" s="12">
        <v>1</v>
      </c>
      <c r="I351" s="14"/>
      <c r="J351" s="14" t="s">
        <v>26</v>
      </c>
      <c r="K351" s="12" t="s">
        <v>27</v>
      </c>
      <c r="L351" s="15"/>
      <c r="M351" s="12" t="s">
        <v>28</v>
      </c>
      <c r="N351" s="12"/>
      <c r="O351" s="12"/>
      <c r="P351" s="12"/>
      <c r="Q351" s="16">
        <v>0</v>
      </c>
      <c r="R351" s="16">
        <v>0</v>
      </c>
      <c r="S351" s="16"/>
      <c r="T351" s="16" t="e">
        <v>#N/A</v>
      </c>
      <c r="U351" s="16" t="e">
        <v>#N/A</v>
      </c>
    </row>
    <row r="352" spans="1:21" x14ac:dyDescent="0.25">
      <c r="A352" s="12" t="s">
        <v>21</v>
      </c>
      <c r="B352" s="12" t="s">
        <v>388</v>
      </c>
      <c r="C352" s="12" t="s">
        <v>23</v>
      </c>
      <c r="D352" s="13">
        <v>46217.613946759258</v>
      </c>
      <c r="E352" s="12" t="s">
        <v>198</v>
      </c>
      <c r="F352" s="12" t="s">
        <v>201</v>
      </c>
      <c r="G352" s="12">
        <v>20</v>
      </c>
      <c r="H352" s="12">
        <v>7</v>
      </c>
      <c r="I352" s="14"/>
      <c r="J352" s="14" t="s">
        <v>61</v>
      </c>
      <c r="K352" s="12" t="s">
        <v>27</v>
      </c>
      <c r="L352" s="15"/>
      <c r="M352" s="12" t="s">
        <v>28</v>
      </c>
      <c r="N352" s="12"/>
      <c r="O352" s="12"/>
      <c r="P352" s="12"/>
      <c r="Q352" s="16">
        <v>10</v>
      </c>
      <c r="R352" s="16">
        <v>0</v>
      </c>
      <c r="S352" s="16"/>
      <c r="T352" s="16" t="e">
        <v>#N/A</v>
      </c>
      <c r="U352" s="16" t="e">
        <v>#N/A</v>
      </c>
    </row>
    <row r="353" spans="1:21" x14ac:dyDescent="0.25">
      <c r="A353" s="12" t="s">
        <v>21</v>
      </c>
      <c r="B353" s="12" t="s">
        <v>390</v>
      </c>
      <c r="C353" s="12" t="s">
        <v>23</v>
      </c>
      <c r="D353" s="13">
        <v>46218.473703703705</v>
      </c>
      <c r="E353" s="12" t="s">
        <v>391</v>
      </c>
      <c r="F353" s="12" t="s">
        <v>283</v>
      </c>
      <c r="G353" s="12">
        <v>40</v>
      </c>
      <c r="H353" s="12">
        <v>40</v>
      </c>
      <c r="I353" s="14"/>
      <c r="J353" s="14" t="s">
        <v>26</v>
      </c>
      <c r="K353" s="12" t="s">
        <v>27</v>
      </c>
      <c r="L353" s="15"/>
      <c r="M353" s="12" t="s">
        <v>28</v>
      </c>
      <c r="N353" s="12"/>
      <c r="O353" s="12"/>
      <c r="P353" s="12"/>
      <c r="Q353" s="16">
        <v>0</v>
      </c>
      <c r="R353" s="16">
        <v>0</v>
      </c>
      <c r="S353" s="16"/>
      <c r="T353" s="16" t="e">
        <v>#N/A</v>
      </c>
      <c r="U353" s="16" t="e">
        <v>#N/A</v>
      </c>
    </row>
    <row r="354" spans="1:21" x14ac:dyDescent="0.25">
      <c r="A354" s="12" t="s">
        <v>21</v>
      </c>
      <c r="B354" s="12" t="s">
        <v>392</v>
      </c>
      <c r="C354" s="12" t="s">
        <v>23</v>
      </c>
      <c r="D354" s="13">
        <v>46218.542569444442</v>
      </c>
      <c r="E354" s="12" t="s">
        <v>393</v>
      </c>
      <c r="F354" s="12" t="s">
        <v>394</v>
      </c>
      <c r="G354" s="12">
        <v>2</v>
      </c>
      <c r="H354" s="12">
        <v>2</v>
      </c>
      <c r="I354" s="14"/>
      <c r="J354" s="14" t="s">
        <v>26</v>
      </c>
      <c r="K354" s="12" t="s">
        <v>395</v>
      </c>
      <c r="L354" s="15">
        <v>1</v>
      </c>
      <c r="M354" s="12" t="s">
        <v>150</v>
      </c>
      <c r="N354" s="12">
        <v>2</v>
      </c>
      <c r="O354" s="12">
        <v>2</v>
      </c>
      <c r="P354" s="12">
        <v>0</v>
      </c>
      <c r="Q354" s="16">
        <v>0</v>
      </c>
      <c r="R354" s="16">
        <v>3</v>
      </c>
      <c r="S354" s="16"/>
      <c r="T354" s="16" t="e">
        <v>#N/A</v>
      </c>
      <c r="U354" s="16" t="e">
        <v>#N/A</v>
      </c>
    </row>
    <row r="355" spans="1:21" x14ac:dyDescent="0.25">
      <c r="A355" s="12" t="s">
        <v>21</v>
      </c>
      <c r="B355" s="12" t="s">
        <v>392</v>
      </c>
      <c r="C355" s="12" t="s">
        <v>23</v>
      </c>
      <c r="D355" s="13">
        <v>46218.542569444442</v>
      </c>
      <c r="E355" s="12" t="s">
        <v>393</v>
      </c>
      <c r="F355" s="12" t="s">
        <v>148</v>
      </c>
      <c r="G355" s="12">
        <v>2</v>
      </c>
      <c r="H355" s="12">
        <v>2</v>
      </c>
      <c r="I355" s="14"/>
      <c r="J355" s="14" t="s">
        <v>26</v>
      </c>
      <c r="K355" s="12" t="s">
        <v>396</v>
      </c>
      <c r="L355" s="15">
        <v>1</v>
      </c>
      <c r="M355" s="12" t="s">
        <v>150</v>
      </c>
      <c r="N355" s="12">
        <v>2</v>
      </c>
      <c r="O355" s="12">
        <v>2</v>
      </c>
      <c r="P355" s="12">
        <v>0</v>
      </c>
      <c r="Q355" s="16">
        <v>0</v>
      </c>
      <c r="R355" s="16">
        <v>1</v>
      </c>
      <c r="S355" s="16"/>
      <c r="T355" s="16" t="e">
        <v>#N/A</v>
      </c>
      <c r="U355" s="16" t="e">
        <v>#N/A</v>
      </c>
    </row>
    <row r="356" spans="1:21" x14ac:dyDescent="0.25">
      <c r="A356" s="12" t="s">
        <v>21</v>
      </c>
      <c r="B356" s="12" t="s">
        <v>397</v>
      </c>
      <c r="C356" s="12" t="s">
        <v>23</v>
      </c>
      <c r="D356" s="13">
        <v>46219.315069444441</v>
      </c>
      <c r="E356" s="12" t="s">
        <v>398</v>
      </c>
      <c r="F356" s="12" t="s">
        <v>246</v>
      </c>
      <c r="G356" s="12">
        <v>20</v>
      </c>
      <c r="H356" s="12">
        <v>20</v>
      </c>
      <c r="I356" s="14"/>
      <c r="J356" s="14" t="s">
        <v>61</v>
      </c>
      <c r="K356" s="12" t="s">
        <v>27</v>
      </c>
      <c r="L356" s="15"/>
      <c r="M356" s="12" t="s">
        <v>28</v>
      </c>
      <c r="N356" s="12"/>
      <c r="O356" s="12"/>
      <c r="P356" s="12"/>
      <c r="Q356" s="16">
        <v>20</v>
      </c>
      <c r="R356" s="16">
        <v>0</v>
      </c>
      <c r="S356" s="16">
        <v>15</v>
      </c>
      <c r="T356" s="16" t="e">
        <v>#N/A</v>
      </c>
      <c r="U356" s="16" t="e">
        <v>#N/A</v>
      </c>
    </row>
    <row r="357" spans="1:21" x14ac:dyDescent="0.25">
      <c r="A357" s="12" t="s">
        <v>21</v>
      </c>
      <c r="B357" s="12" t="s">
        <v>397</v>
      </c>
      <c r="C357" s="12" t="s">
        <v>23</v>
      </c>
      <c r="D357" s="13">
        <v>46219.315069444441</v>
      </c>
      <c r="E357" s="12" t="s">
        <v>398</v>
      </c>
      <c r="F357" s="12" t="s">
        <v>374</v>
      </c>
      <c r="G357" s="12">
        <v>6</v>
      </c>
      <c r="H357" s="12">
        <v>6</v>
      </c>
      <c r="I357" s="14"/>
      <c r="J357" s="14" t="s">
        <v>26</v>
      </c>
      <c r="K357" s="12" t="s">
        <v>27</v>
      </c>
      <c r="L357" s="15"/>
      <c r="M357" s="12" t="s">
        <v>28</v>
      </c>
      <c r="N357" s="12"/>
      <c r="O357" s="12"/>
      <c r="P357" s="12"/>
      <c r="Q357" s="16">
        <v>0</v>
      </c>
      <c r="R357" s="16">
        <v>0</v>
      </c>
      <c r="S357" s="16"/>
      <c r="T357" s="16" t="e">
        <v>#N/A</v>
      </c>
      <c r="U357" s="16" t="e">
        <v>#N/A</v>
      </c>
    </row>
    <row r="358" spans="1:21" x14ac:dyDescent="0.25">
      <c r="A358" s="12" t="s">
        <v>21</v>
      </c>
      <c r="B358" s="12" t="s">
        <v>397</v>
      </c>
      <c r="C358" s="12" t="s">
        <v>23</v>
      </c>
      <c r="D358" s="13">
        <v>46219.315069444441</v>
      </c>
      <c r="E358" s="12" t="s">
        <v>398</v>
      </c>
      <c r="F358" s="12" t="s">
        <v>399</v>
      </c>
      <c r="G358" s="12">
        <v>9</v>
      </c>
      <c r="H358" s="12">
        <v>9</v>
      </c>
      <c r="I358" s="14"/>
      <c r="J358" s="14" t="s">
        <v>26</v>
      </c>
      <c r="K358" s="12" t="s">
        <v>27</v>
      </c>
      <c r="L358" s="15"/>
      <c r="M358" s="12" t="s">
        <v>28</v>
      </c>
      <c r="N358" s="12"/>
      <c r="O358" s="12"/>
      <c r="P358" s="12"/>
      <c r="Q358" s="16">
        <v>0</v>
      </c>
      <c r="R358" s="16">
        <v>1</v>
      </c>
      <c r="S358" s="16"/>
      <c r="T358" s="16" t="e">
        <v>#N/A</v>
      </c>
      <c r="U358" s="16" t="e">
        <v>#N/A</v>
      </c>
    </row>
    <row r="359" spans="1:21" x14ac:dyDescent="0.25">
      <c r="A359" s="12" t="s">
        <v>21</v>
      </c>
      <c r="B359" s="12" t="s">
        <v>397</v>
      </c>
      <c r="C359" s="12" t="s">
        <v>23</v>
      </c>
      <c r="D359" s="13">
        <v>46219.315069444441</v>
      </c>
      <c r="E359" s="12" t="s">
        <v>398</v>
      </c>
      <c r="F359" s="12" t="s">
        <v>71</v>
      </c>
      <c r="G359" s="12">
        <v>60</v>
      </c>
      <c r="H359" s="12">
        <v>50</v>
      </c>
      <c r="I359" s="14"/>
      <c r="J359" s="14" t="s">
        <v>61</v>
      </c>
      <c r="K359" s="12" t="s">
        <v>27</v>
      </c>
      <c r="L359" s="15"/>
      <c r="M359" s="12" t="s">
        <v>28</v>
      </c>
      <c r="N359" s="12"/>
      <c r="O359" s="12"/>
      <c r="P359" s="12"/>
      <c r="Q359" s="16">
        <v>30</v>
      </c>
      <c r="R359" s="16">
        <v>0</v>
      </c>
      <c r="S359" s="16"/>
      <c r="T359" s="16" t="e">
        <v>#N/A</v>
      </c>
      <c r="U359" s="16" t="e">
        <v>#N/A</v>
      </c>
    </row>
    <row r="360" spans="1:21" x14ac:dyDescent="0.25">
      <c r="A360" s="12" t="s">
        <v>21</v>
      </c>
      <c r="B360" s="12" t="s">
        <v>397</v>
      </c>
      <c r="C360" s="12" t="s">
        <v>23</v>
      </c>
      <c r="D360" s="13">
        <v>46219.315069444441</v>
      </c>
      <c r="E360" s="12" t="s">
        <v>398</v>
      </c>
      <c r="F360" s="12" t="s">
        <v>249</v>
      </c>
      <c r="G360" s="12">
        <v>3</v>
      </c>
      <c r="H360" s="12">
        <v>3</v>
      </c>
      <c r="I360" s="14"/>
      <c r="J360" s="14" t="s">
        <v>61</v>
      </c>
      <c r="K360" s="12" t="s">
        <v>400</v>
      </c>
      <c r="L360" s="15">
        <v>1</v>
      </c>
      <c r="M360" s="12" t="s">
        <v>150</v>
      </c>
      <c r="N360" s="12">
        <v>3</v>
      </c>
      <c r="O360" s="12">
        <v>3</v>
      </c>
      <c r="P360" s="12">
        <v>0</v>
      </c>
      <c r="Q360" s="16">
        <v>3</v>
      </c>
      <c r="R360" s="16">
        <v>0</v>
      </c>
      <c r="S360" s="16"/>
      <c r="T360" s="16" t="e">
        <v>#N/A</v>
      </c>
      <c r="U360" s="16" t="e">
        <v>#N/A</v>
      </c>
    </row>
    <row r="361" spans="1:21" x14ac:dyDescent="0.25">
      <c r="A361" s="12" t="s">
        <v>21</v>
      </c>
      <c r="B361" s="12" t="s">
        <v>397</v>
      </c>
      <c r="C361" s="12" t="s">
        <v>23</v>
      </c>
      <c r="D361" s="13">
        <v>46219.315069444441</v>
      </c>
      <c r="E361" s="12" t="s">
        <v>398</v>
      </c>
      <c r="F361" s="12" t="s">
        <v>401</v>
      </c>
      <c r="G361" s="12">
        <v>12</v>
      </c>
      <c r="H361" s="12">
        <v>12</v>
      </c>
      <c r="I361" s="14"/>
      <c r="J361" s="14" t="s">
        <v>61</v>
      </c>
      <c r="K361" s="12" t="s">
        <v>27</v>
      </c>
      <c r="L361" s="15"/>
      <c r="M361" s="12" t="s">
        <v>28</v>
      </c>
      <c r="N361" s="12"/>
      <c r="O361" s="12"/>
      <c r="P361" s="12"/>
      <c r="Q361" s="16">
        <v>8</v>
      </c>
      <c r="R361" s="16">
        <v>0</v>
      </c>
      <c r="S361" s="16"/>
      <c r="T361" s="16" t="e">
        <v>#N/A</v>
      </c>
      <c r="U361" s="16" t="e">
        <v>#N/A</v>
      </c>
    </row>
    <row r="362" spans="1:21" x14ac:dyDescent="0.25">
      <c r="A362" s="12" t="s">
        <v>21</v>
      </c>
      <c r="B362" s="12" t="s">
        <v>397</v>
      </c>
      <c r="C362" s="12" t="s">
        <v>23</v>
      </c>
      <c r="D362" s="13">
        <v>46219.315069444441</v>
      </c>
      <c r="E362" s="12" t="s">
        <v>398</v>
      </c>
      <c r="F362" s="12" t="s">
        <v>201</v>
      </c>
      <c r="G362" s="12">
        <v>20</v>
      </c>
      <c r="H362" s="12">
        <v>4</v>
      </c>
      <c r="I362" s="14"/>
      <c r="J362" s="14" t="s">
        <v>61</v>
      </c>
      <c r="K362" s="12" t="s">
        <v>27</v>
      </c>
      <c r="L362" s="15"/>
      <c r="M362" s="12" t="s">
        <v>28</v>
      </c>
      <c r="N362" s="12"/>
      <c r="O362" s="12"/>
      <c r="P362" s="12"/>
      <c r="Q362" s="16">
        <v>16</v>
      </c>
      <c r="R362" s="16">
        <v>0</v>
      </c>
      <c r="S362" s="16"/>
      <c r="T362" s="16" t="e">
        <v>#N/A</v>
      </c>
      <c r="U362" s="16" t="e">
        <v>#N/A</v>
      </c>
    </row>
    <row r="363" spans="1:21" x14ac:dyDescent="0.25">
      <c r="A363" s="12" t="s">
        <v>21</v>
      </c>
      <c r="B363" s="12" t="s">
        <v>397</v>
      </c>
      <c r="C363" s="12" t="s">
        <v>23</v>
      </c>
      <c r="D363" s="13">
        <v>46219.315069444441</v>
      </c>
      <c r="E363" s="12" t="s">
        <v>398</v>
      </c>
      <c r="F363" s="12" t="s">
        <v>253</v>
      </c>
      <c r="G363" s="12">
        <v>16</v>
      </c>
      <c r="H363" s="12">
        <v>16</v>
      </c>
      <c r="I363" s="14"/>
      <c r="J363" s="14" t="s">
        <v>61</v>
      </c>
      <c r="K363" s="12" t="s">
        <v>402</v>
      </c>
      <c r="L363" s="15">
        <v>1</v>
      </c>
      <c r="M363" s="12" t="s">
        <v>150</v>
      </c>
      <c r="N363" s="12">
        <v>16</v>
      </c>
      <c r="O363" s="12">
        <v>16</v>
      </c>
      <c r="P363" s="12">
        <v>0</v>
      </c>
      <c r="Q363" s="16">
        <v>16</v>
      </c>
      <c r="R363" s="16">
        <v>0</v>
      </c>
      <c r="S363" s="16"/>
      <c r="T363" s="16" t="e">
        <v>#N/A</v>
      </c>
      <c r="U363" s="16" t="e">
        <v>#N/A</v>
      </c>
    </row>
    <row r="364" spans="1:21" x14ac:dyDescent="0.25">
      <c r="A364" s="12" t="s">
        <v>21</v>
      </c>
      <c r="B364" s="12" t="s">
        <v>403</v>
      </c>
      <c r="C364" s="12" t="s">
        <v>23</v>
      </c>
      <c r="D364" s="13">
        <v>46220.294189814813</v>
      </c>
      <c r="E364" s="12" t="s">
        <v>24</v>
      </c>
      <c r="F364" s="12" t="s">
        <v>404</v>
      </c>
      <c r="G364" s="12">
        <v>2</v>
      </c>
      <c r="H364" s="12">
        <v>2</v>
      </c>
      <c r="I364" s="14"/>
      <c r="J364" s="14" t="s">
        <v>26</v>
      </c>
      <c r="K364" s="12" t="s">
        <v>27</v>
      </c>
      <c r="L364" s="15"/>
      <c r="M364" s="12" t="s">
        <v>28</v>
      </c>
      <c r="N364" s="12"/>
      <c r="O364" s="12"/>
      <c r="P364" s="12"/>
      <c r="Q364" s="16">
        <v>0</v>
      </c>
      <c r="R364" s="16">
        <v>2</v>
      </c>
      <c r="S364" s="16"/>
      <c r="T364" s="16" t="e">
        <v>#N/A</v>
      </c>
      <c r="U364" s="16" t="e">
        <v>#N/A</v>
      </c>
    </row>
    <row r="365" spans="1:21" x14ac:dyDescent="0.25">
      <c r="A365" s="12" t="s">
        <v>21</v>
      </c>
      <c r="B365" s="12" t="s">
        <v>403</v>
      </c>
      <c r="C365" s="12" t="s">
        <v>23</v>
      </c>
      <c r="D365" s="13">
        <v>46220.294189814813</v>
      </c>
      <c r="E365" s="12" t="s">
        <v>24</v>
      </c>
      <c r="F365" s="12" t="s">
        <v>405</v>
      </c>
      <c r="G365" s="12">
        <v>1</v>
      </c>
      <c r="H365" s="12">
        <v>1</v>
      </c>
      <c r="I365" s="14"/>
      <c r="J365" s="14" t="s">
        <v>26</v>
      </c>
      <c r="K365" s="12" t="s">
        <v>27</v>
      </c>
      <c r="L365" s="15"/>
      <c r="M365" s="12" t="s">
        <v>28</v>
      </c>
      <c r="N365" s="12"/>
      <c r="O365" s="12"/>
      <c r="P365" s="12"/>
      <c r="Q365" s="16">
        <v>0</v>
      </c>
      <c r="R365" s="16">
        <v>91</v>
      </c>
      <c r="S365" s="16"/>
      <c r="T365" s="16" t="e">
        <v>#N/A</v>
      </c>
      <c r="U365" s="16" t="e">
        <v>#N/A</v>
      </c>
    </row>
    <row r="366" spans="1:21" x14ac:dyDescent="0.25">
      <c r="A366" s="12" t="s">
        <v>21</v>
      </c>
      <c r="B366" s="12" t="s">
        <v>403</v>
      </c>
      <c r="C366" s="12" t="s">
        <v>23</v>
      </c>
      <c r="D366" s="13">
        <v>46220.294189814813</v>
      </c>
      <c r="E366" s="12" t="s">
        <v>24</v>
      </c>
      <c r="F366" s="12" t="s">
        <v>405</v>
      </c>
      <c r="G366" s="12">
        <v>1</v>
      </c>
      <c r="H366" s="12">
        <v>1</v>
      </c>
      <c r="I366" s="14"/>
      <c r="J366" s="14" t="s">
        <v>26</v>
      </c>
      <c r="K366" s="12" t="s">
        <v>27</v>
      </c>
      <c r="L366" s="15"/>
      <c r="M366" s="12" t="s">
        <v>28</v>
      </c>
      <c r="N366" s="12"/>
      <c r="O366" s="12"/>
      <c r="P366" s="12"/>
      <c r="Q366" s="16">
        <v>0</v>
      </c>
      <c r="R366" s="16">
        <v>91</v>
      </c>
      <c r="S366" s="16"/>
      <c r="T366" s="16" t="e">
        <v>#N/A</v>
      </c>
      <c r="U366" s="16" t="e">
        <v>#N/A</v>
      </c>
    </row>
    <row r="367" spans="1:21" x14ac:dyDescent="0.25">
      <c r="A367" s="12" t="s">
        <v>21</v>
      </c>
      <c r="B367" s="12" t="s">
        <v>403</v>
      </c>
      <c r="C367" s="12" t="s">
        <v>23</v>
      </c>
      <c r="D367" s="13">
        <v>46220.294189814813</v>
      </c>
      <c r="E367" s="12" t="s">
        <v>24</v>
      </c>
      <c r="F367" s="12" t="s">
        <v>406</v>
      </c>
      <c r="G367" s="12">
        <v>16</v>
      </c>
      <c r="H367" s="12">
        <v>16</v>
      </c>
      <c r="I367" s="14"/>
      <c r="J367" s="14" t="s">
        <v>26</v>
      </c>
      <c r="K367" s="12" t="s">
        <v>27</v>
      </c>
      <c r="L367" s="15"/>
      <c r="M367" s="12" t="s">
        <v>28</v>
      </c>
      <c r="N367" s="12"/>
      <c r="O367" s="12"/>
      <c r="P367" s="12"/>
      <c r="Q367" s="16">
        <v>0</v>
      </c>
      <c r="R367" s="16">
        <v>0</v>
      </c>
      <c r="S367" s="16"/>
      <c r="T367" s="16" t="e">
        <v>#N/A</v>
      </c>
      <c r="U367" s="16" t="e">
        <v>#N/A</v>
      </c>
    </row>
    <row r="368" spans="1:21" x14ac:dyDescent="0.25">
      <c r="A368" s="12" t="s">
        <v>21</v>
      </c>
      <c r="B368" s="12" t="s">
        <v>403</v>
      </c>
      <c r="C368" s="12" t="s">
        <v>23</v>
      </c>
      <c r="D368" s="13">
        <v>46220.294189814813</v>
      </c>
      <c r="E368" s="12" t="s">
        <v>24</v>
      </c>
      <c r="F368" s="12" t="s">
        <v>407</v>
      </c>
      <c r="G368" s="12">
        <v>4</v>
      </c>
      <c r="H368" s="12">
        <v>4</v>
      </c>
      <c r="I368" s="14"/>
      <c r="J368" s="14" t="s">
        <v>26</v>
      </c>
      <c r="K368" s="12" t="s">
        <v>27</v>
      </c>
      <c r="L368" s="15"/>
      <c r="M368" s="12" t="s">
        <v>28</v>
      </c>
      <c r="N368" s="12"/>
      <c r="O368" s="12"/>
      <c r="P368" s="12"/>
      <c r="Q368" s="16">
        <v>0</v>
      </c>
      <c r="R368" s="16">
        <v>17</v>
      </c>
      <c r="S368" s="16"/>
      <c r="T368" s="16" t="e">
        <v>#N/A</v>
      </c>
      <c r="U368" s="16" t="e">
        <v>#N/A</v>
      </c>
    </row>
    <row r="369" spans="1:21" x14ac:dyDescent="0.25">
      <c r="A369" s="12" t="s">
        <v>21</v>
      </c>
      <c r="B369" s="12" t="s">
        <v>408</v>
      </c>
      <c r="C369" s="12" t="s">
        <v>23</v>
      </c>
      <c r="D369" s="13">
        <v>46220.346435185187</v>
      </c>
      <c r="E369" s="12" t="s">
        <v>258</v>
      </c>
      <c r="F369" s="12" t="s">
        <v>243</v>
      </c>
      <c r="G369" s="12">
        <v>80</v>
      </c>
      <c r="H369" s="12">
        <v>80</v>
      </c>
      <c r="I369" s="14"/>
      <c r="J369" s="14" t="s">
        <v>61</v>
      </c>
      <c r="K369" s="12" t="s">
        <v>409</v>
      </c>
      <c r="L369" s="15">
        <v>1</v>
      </c>
      <c r="M369" s="12" t="s">
        <v>150</v>
      </c>
      <c r="N369" s="12">
        <v>80</v>
      </c>
      <c r="O369" s="12">
        <v>80</v>
      </c>
      <c r="P369" s="12">
        <v>0</v>
      </c>
      <c r="Q369" s="16">
        <v>80</v>
      </c>
      <c r="R369" s="16">
        <v>1</v>
      </c>
      <c r="S369" s="16"/>
      <c r="T369" s="16" t="e">
        <v>#N/A</v>
      </c>
      <c r="U369" s="16" t="e">
        <v>#N/A</v>
      </c>
    </row>
    <row r="370" spans="1:21" x14ac:dyDescent="0.25">
      <c r="A370" s="12" t="s">
        <v>21</v>
      </c>
      <c r="B370" s="12" t="s">
        <v>408</v>
      </c>
      <c r="C370" s="12" t="s">
        <v>23</v>
      </c>
      <c r="D370" s="13">
        <v>46220.346435185187</v>
      </c>
      <c r="E370" s="12" t="s">
        <v>258</v>
      </c>
      <c r="F370" s="12" t="s">
        <v>399</v>
      </c>
      <c r="G370" s="12">
        <v>10</v>
      </c>
      <c r="H370" s="12">
        <v>10</v>
      </c>
      <c r="I370" s="14"/>
      <c r="J370" s="14" t="s">
        <v>26</v>
      </c>
      <c r="K370" s="12" t="s">
        <v>27</v>
      </c>
      <c r="L370" s="15"/>
      <c r="M370" s="12" t="s">
        <v>28</v>
      </c>
      <c r="N370" s="12"/>
      <c r="O370" s="12"/>
      <c r="P370" s="12"/>
      <c r="Q370" s="16">
        <v>0</v>
      </c>
      <c r="R370" s="16">
        <v>1</v>
      </c>
      <c r="S370" s="16"/>
      <c r="T370" s="16" t="e">
        <v>#N/A</v>
      </c>
      <c r="U370" s="16" t="e">
        <v>#N/A</v>
      </c>
    </row>
    <row r="371" spans="1:21" x14ac:dyDescent="0.25">
      <c r="A371" s="12" t="s">
        <v>21</v>
      </c>
      <c r="B371" s="12" t="s">
        <v>408</v>
      </c>
      <c r="C371" s="12" t="s">
        <v>23</v>
      </c>
      <c r="D371" s="13">
        <v>46220.346435185187</v>
      </c>
      <c r="E371" s="12" t="s">
        <v>258</v>
      </c>
      <c r="F371" s="12" t="s">
        <v>249</v>
      </c>
      <c r="G371" s="12">
        <v>20</v>
      </c>
      <c r="H371" s="12">
        <v>20</v>
      </c>
      <c r="I371" s="14"/>
      <c r="J371" s="14" t="s">
        <v>26</v>
      </c>
      <c r="K371" s="12" t="s">
        <v>27</v>
      </c>
      <c r="L371" s="15"/>
      <c r="M371" s="12" t="s">
        <v>28</v>
      </c>
      <c r="N371" s="12"/>
      <c r="O371" s="12"/>
      <c r="P371" s="12"/>
      <c r="Q371" s="16">
        <v>0</v>
      </c>
      <c r="R371" s="16">
        <v>0</v>
      </c>
      <c r="S371" s="16"/>
      <c r="T371" s="16" t="e">
        <v>#N/A</v>
      </c>
      <c r="U371" s="16" t="e">
        <v>#N/A</v>
      </c>
    </row>
    <row r="372" spans="1:21" x14ac:dyDescent="0.25">
      <c r="A372" s="12" t="s">
        <v>21</v>
      </c>
      <c r="B372" s="12" t="s">
        <v>408</v>
      </c>
      <c r="C372" s="12" t="s">
        <v>23</v>
      </c>
      <c r="D372" s="13">
        <v>46220.346435185187</v>
      </c>
      <c r="E372" s="12" t="s">
        <v>258</v>
      </c>
      <c r="F372" s="12" t="s">
        <v>253</v>
      </c>
      <c r="G372" s="12">
        <v>40</v>
      </c>
      <c r="H372" s="12">
        <v>40</v>
      </c>
      <c r="I372" s="14"/>
      <c r="J372" s="14" t="s">
        <v>61</v>
      </c>
      <c r="K372" s="12" t="s">
        <v>410</v>
      </c>
      <c r="L372" s="15">
        <v>1</v>
      </c>
      <c r="M372" s="12" t="s">
        <v>150</v>
      </c>
      <c r="N372" s="12">
        <v>40</v>
      </c>
      <c r="O372" s="12">
        <v>40</v>
      </c>
      <c r="P372" s="12">
        <v>0</v>
      </c>
      <c r="Q372" s="16">
        <v>40</v>
      </c>
      <c r="R372" s="16">
        <v>0</v>
      </c>
      <c r="S372" s="16"/>
      <c r="T372" s="16" t="e">
        <v>#N/A</v>
      </c>
      <c r="U372" s="16" t="e">
        <v>#N/A</v>
      </c>
    </row>
    <row r="373" spans="1:21" x14ac:dyDescent="0.25">
      <c r="A373" s="12" t="s">
        <v>21</v>
      </c>
      <c r="B373" s="12" t="s">
        <v>411</v>
      </c>
      <c r="C373" s="12" t="s">
        <v>23</v>
      </c>
      <c r="D373" s="13">
        <v>46220.346666666665</v>
      </c>
      <c r="E373" s="12" t="s">
        <v>258</v>
      </c>
      <c r="F373" s="12" t="s">
        <v>157</v>
      </c>
      <c r="G373" s="12">
        <v>10</v>
      </c>
      <c r="H373" s="12">
        <v>10</v>
      </c>
      <c r="I373" s="14"/>
      <c r="J373" s="14" t="s">
        <v>26</v>
      </c>
      <c r="K373" s="12" t="s">
        <v>27</v>
      </c>
      <c r="L373" s="15"/>
      <c r="M373" s="12" t="s">
        <v>28</v>
      </c>
      <c r="N373" s="12"/>
      <c r="O373" s="12"/>
      <c r="P373" s="12"/>
      <c r="Q373" s="16">
        <v>0</v>
      </c>
      <c r="R373" s="16">
        <v>0</v>
      </c>
      <c r="S373" s="16"/>
      <c r="T373" s="16" t="e">
        <v>#N/A</v>
      </c>
      <c r="U373" s="16" t="e">
        <v>#N/A</v>
      </c>
    </row>
    <row r="374" spans="1:21" x14ac:dyDescent="0.25">
      <c r="A374" s="12" t="s">
        <v>21</v>
      </c>
      <c r="B374" s="12" t="s">
        <v>411</v>
      </c>
      <c r="C374" s="12" t="s">
        <v>23</v>
      </c>
      <c r="D374" s="13">
        <v>46220.346666666665</v>
      </c>
      <c r="E374" s="12" t="s">
        <v>258</v>
      </c>
      <c r="F374" s="12" t="s">
        <v>412</v>
      </c>
      <c r="G374" s="12">
        <v>20</v>
      </c>
      <c r="H374" s="12">
        <v>20</v>
      </c>
      <c r="I374" s="14"/>
      <c r="J374" s="14" t="s">
        <v>26</v>
      </c>
      <c r="K374" s="12" t="s">
        <v>27</v>
      </c>
      <c r="L374" s="15"/>
      <c r="M374" s="12" t="s">
        <v>28</v>
      </c>
      <c r="N374" s="12"/>
      <c r="O374" s="12"/>
      <c r="P374" s="12"/>
      <c r="Q374" s="16">
        <v>0</v>
      </c>
      <c r="R374" s="16">
        <v>0</v>
      </c>
      <c r="S374" s="16"/>
      <c r="T374" s="16" t="e">
        <v>#N/A</v>
      </c>
      <c r="U374" s="16" t="e">
        <v>#N/A</v>
      </c>
    </row>
    <row r="375" spans="1:21" x14ac:dyDescent="0.25">
      <c r="A375" s="12" t="s">
        <v>21</v>
      </c>
      <c r="B375" s="12" t="s">
        <v>411</v>
      </c>
      <c r="C375" s="12" t="s">
        <v>23</v>
      </c>
      <c r="D375" s="13">
        <v>46220.346666666665</v>
      </c>
      <c r="E375" s="12" t="s">
        <v>258</v>
      </c>
      <c r="F375" s="12" t="s">
        <v>159</v>
      </c>
      <c r="G375" s="12">
        <v>20</v>
      </c>
      <c r="H375" s="12">
        <v>20</v>
      </c>
      <c r="I375" s="14"/>
      <c r="J375" s="14" t="s">
        <v>26</v>
      </c>
      <c r="K375" s="12" t="s">
        <v>27</v>
      </c>
      <c r="L375" s="15"/>
      <c r="M375" s="12" t="s">
        <v>28</v>
      </c>
      <c r="N375" s="12"/>
      <c r="O375" s="12"/>
      <c r="P375" s="12"/>
      <c r="Q375" s="16">
        <v>0</v>
      </c>
      <c r="R375" s="16">
        <v>0</v>
      </c>
      <c r="S375" s="16"/>
      <c r="T375" s="16" t="e">
        <v>#N/A</v>
      </c>
      <c r="U375" s="16" t="e">
        <v>#N/A</v>
      </c>
    </row>
    <row r="376" spans="1:21" x14ac:dyDescent="0.25">
      <c r="A376" s="12" t="s">
        <v>21</v>
      </c>
      <c r="B376" s="12" t="s">
        <v>411</v>
      </c>
      <c r="C376" s="12" t="s">
        <v>23</v>
      </c>
      <c r="D376" s="13">
        <v>46220.346666666665</v>
      </c>
      <c r="E376" s="12" t="s">
        <v>258</v>
      </c>
      <c r="F376" s="12" t="s">
        <v>413</v>
      </c>
      <c r="G376" s="12">
        <v>6</v>
      </c>
      <c r="H376" s="12">
        <v>6</v>
      </c>
      <c r="I376" s="14"/>
      <c r="J376" s="14" t="s">
        <v>26</v>
      </c>
      <c r="K376" s="12" t="s">
        <v>27</v>
      </c>
      <c r="L376" s="15"/>
      <c r="M376" s="12" t="s">
        <v>28</v>
      </c>
      <c r="N376" s="12"/>
      <c r="O376" s="12"/>
      <c r="P376" s="12"/>
      <c r="Q376" s="16">
        <v>0</v>
      </c>
      <c r="R376" s="16">
        <v>5</v>
      </c>
      <c r="S376" s="16"/>
      <c r="T376" s="16" t="e">
        <v>#N/A</v>
      </c>
      <c r="U376" s="16" t="e">
        <v>#N/A</v>
      </c>
    </row>
    <row r="377" spans="1:21" x14ac:dyDescent="0.25">
      <c r="A377" s="12" t="s">
        <v>21</v>
      </c>
      <c r="B377" s="12" t="s">
        <v>411</v>
      </c>
      <c r="C377" s="12" t="s">
        <v>23</v>
      </c>
      <c r="D377" s="13">
        <v>46220.346666666665</v>
      </c>
      <c r="E377" s="12" t="s">
        <v>258</v>
      </c>
      <c r="F377" s="12" t="s">
        <v>70</v>
      </c>
      <c r="G377" s="12">
        <v>100</v>
      </c>
      <c r="H377" s="12">
        <v>50</v>
      </c>
      <c r="I377" s="14"/>
      <c r="J377" s="14" t="s">
        <v>26</v>
      </c>
      <c r="K377" s="12" t="s">
        <v>27</v>
      </c>
      <c r="L377" s="15"/>
      <c r="M377" s="12" t="s">
        <v>28</v>
      </c>
      <c r="N377" s="12"/>
      <c r="O377" s="12"/>
      <c r="P377" s="12"/>
      <c r="Q377" s="16">
        <v>0</v>
      </c>
      <c r="R377" s="16">
        <v>0</v>
      </c>
      <c r="S377" s="16"/>
      <c r="T377" s="16" t="e">
        <v>#N/A</v>
      </c>
      <c r="U377" s="16" t="e">
        <v>#N/A</v>
      </c>
    </row>
    <row r="378" spans="1:21" x14ac:dyDescent="0.25">
      <c r="A378" s="12" t="s">
        <v>21</v>
      </c>
      <c r="B378" s="12" t="s">
        <v>411</v>
      </c>
      <c r="C378" s="12" t="s">
        <v>23</v>
      </c>
      <c r="D378" s="13">
        <v>46220.346666666665</v>
      </c>
      <c r="E378" s="12" t="s">
        <v>258</v>
      </c>
      <c r="F378" s="12" t="s">
        <v>283</v>
      </c>
      <c r="G378" s="12">
        <v>200</v>
      </c>
      <c r="H378" s="12">
        <v>180</v>
      </c>
      <c r="I378" s="14"/>
      <c r="J378" s="14" t="s">
        <v>26</v>
      </c>
      <c r="K378" s="12" t="s">
        <v>27</v>
      </c>
      <c r="L378" s="15"/>
      <c r="M378" s="12" t="s">
        <v>28</v>
      </c>
      <c r="N378" s="12"/>
      <c r="O378" s="12"/>
      <c r="P378" s="12"/>
      <c r="Q378" s="16">
        <v>0</v>
      </c>
      <c r="R378" s="16">
        <v>0</v>
      </c>
      <c r="S378" s="16"/>
      <c r="T378" s="16" t="e">
        <v>#N/A</v>
      </c>
      <c r="U378" s="16" t="e">
        <v>#N/A</v>
      </c>
    </row>
    <row r="379" spans="1:21" x14ac:dyDescent="0.25">
      <c r="A379" s="12" t="s">
        <v>21</v>
      </c>
      <c r="B379" s="12" t="s">
        <v>411</v>
      </c>
      <c r="C379" s="12" t="s">
        <v>23</v>
      </c>
      <c r="D379" s="13">
        <v>46220.346666666665</v>
      </c>
      <c r="E379" s="12" t="s">
        <v>258</v>
      </c>
      <c r="F379" s="12" t="s">
        <v>268</v>
      </c>
      <c r="G379" s="12">
        <v>40</v>
      </c>
      <c r="H379" s="12">
        <v>5</v>
      </c>
      <c r="I379" s="14"/>
      <c r="J379" s="14" t="s">
        <v>26</v>
      </c>
      <c r="K379" s="12" t="s">
        <v>27</v>
      </c>
      <c r="L379" s="15"/>
      <c r="M379" s="12" t="s">
        <v>28</v>
      </c>
      <c r="N379" s="12"/>
      <c r="O379" s="12"/>
      <c r="P379" s="12"/>
      <c r="Q379" s="16">
        <v>0</v>
      </c>
      <c r="R379" s="16">
        <v>0</v>
      </c>
      <c r="S379" s="16"/>
      <c r="T379" s="16" t="e">
        <v>#N/A</v>
      </c>
      <c r="U379" s="16" t="e">
        <v>#N/A</v>
      </c>
    </row>
    <row r="380" spans="1:21" x14ac:dyDescent="0.25">
      <c r="A380" s="12" t="s">
        <v>21</v>
      </c>
      <c r="B380" s="12" t="s">
        <v>411</v>
      </c>
      <c r="C380" s="12" t="s">
        <v>23</v>
      </c>
      <c r="D380" s="13">
        <v>46220.346666666665</v>
      </c>
      <c r="E380" s="12" t="s">
        <v>258</v>
      </c>
      <c r="F380" s="12" t="s">
        <v>389</v>
      </c>
      <c r="G380" s="12">
        <v>30</v>
      </c>
      <c r="H380" s="12">
        <v>16</v>
      </c>
      <c r="I380" s="14"/>
      <c r="J380" s="14" t="s">
        <v>26</v>
      </c>
      <c r="K380" s="12" t="s">
        <v>27</v>
      </c>
      <c r="L380" s="15"/>
      <c r="M380" s="12" t="s">
        <v>28</v>
      </c>
      <c r="N380" s="12"/>
      <c r="O380" s="12"/>
      <c r="P380" s="12"/>
      <c r="Q380" s="16">
        <v>0</v>
      </c>
      <c r="R380" s="16">
        <v>0</v>
      </c>
      <c r="S380" s="16"/>
      <c r="T380" s="16" t="e">
        <v>#N/A</v>
      </c>
      <c r="U380" s="16" t="e">
        <v>#N/A</v>
      </c>
    </row>
    <row r="381" spans="1:21" x14ac:dyDescent="0.25">
      <c r="A381" s="12" t="s">
        <v>21</v>
      </c>
      <c r="B381" s="12" t="s">
        <v>411</v>
      </c>
      <c r="C381" s="12" t="s">
        <v>23</v>
      </c>
      <c r="D381" s="13">
        <v>46220.346666666665</v>
      </c>
      <c r="E381" s="12" t="s">
        <v>258</v>
      </c>
      <c r="F381" s="12" t="s">
        <v>401</v>
      </c>
      <c r="G381" s="12">
        <v>30</v>
      </c>
      <c r="H381" s="12">
        <v>30</v>
      </c>
      <c r="I381" s="14"/>
      <c r="J381" s="14" t="s">
        <v>26</v>
      </c>
      <c r="K381" s="12" t="s">
        <v>27</v>
      </c>
      <c r="L381" s="15"/>
      <c r="M381" s="12" t="s">
        <v>28</v>
      </c>
      <c r="N381" s="12"/>
      <c r="O381" s="12"/>
      <c r="P381" s="12"/>
      <c r="Q381" s="16">
        <v>0</v>
      </c>
      <c r="R381" s="16">
        <v>0</v>
      </c>
      <c r="S381" s="16"/>
      <c r="T381" s="16" t="e">
        <v>#N/A</v>
      </c>
      <c r="U381" s="16" t="e">
        <v>#N/A</v>
      </c>
    </row>
    <row r="382" spans="1:21" x14ac:dyDescent="0.25">
      <c r="A382" s="12" t="s">
        <v>21</v>
      </c>
      <c r="B382" s="12" t="s">
        <v>411</v>
      </c>
      <c r="C382" s="12" t="s">
        <v>23</v>
      </c>
      <c r="D382" s="13">
        <v>46220.346666666665</v>
      </c>
      <c r="E382" s="12" t="s">
        <v>258</v>
      </c>
      <c r="F382" s="12" t="s">
        <v>201</v>
      </c>
      <c r="G382" s="12">
        <v>50</v>
      </c>
      <c r="H382" s="12">
        <v>40</v>
      </c>
      <c r="I382" s="14"/>
      <c r="J382" s="14" t="s">
        <v>26</v>
      </c>
      <c r="K382" s="12" t="s">
        <v>27</v>
      </c>
      <c r="L382" s="15"/>
      <c r="M382" s="12" t="s">
        <v>28</v>
      </c>
      <c r="N382" s="12"/>
      <c r="O382" s="12"/>
      <c r="P382" s="12"/>
      <c r="Q382" s="16">
        <v>0</v>
      </c>
      <c r="R382" s="16">
        <v>0</v>
      </c>
      <c r="S382" s="16"/>
      <c r="T382" s="16" t="e">
        <v>#N/A</v>
      </c>
      <c r="U382" s="16" t="e">
        <v>#N/A</v>
      </c>
    </row>
    <row r="383" spans="1:21" x14ac:dyDescent="0.25">
      <c r="A383" s="12" t="s">
        <v>21</v>
      </c>
      <c r="B383" s="12" t="s">
        <v>414</v>
      </c>
      <c r="C383" s="12" t="s">
        <v>23</v>
      </c>
      <c r="D383" s="13">
        <v>46220.369189814817</v>
      </c>
      <c r="E383" s="12" t="s">
        <v>39</v>
      </c>
      <c r="F383" s="12" t="s">
        <v>50</v>
      </c>
      <c r="G383" s="12">
        <v>2</v>
      </c>
      <c r="H383" s="12">
        <v>2</v>
      </c>
      <c r="I383" s="14"/>
      <c r="J383" s="14" t="s">
        <v>26</v>
      </c>
      <c r="K383" s="12" t="s">
        <v>27</v>
      </c>
      <c r="L383" s="15"/>
      <c r="M383" s="12" t="s">
        <v>28</v>
      </c>
      <c r="N383" s="12"/>
      <c r="O383" s="12"/>
      <c r="P383" s="12"/>
      <c r="Q383" s="16">
        <v>0</v>
      </c>
      <c r="R383" s="16">
        <v>0</v>
      </c>
      <c r="S383" s="16"/>
      <c r="T383" s="16" t="e">
        <v>#N/A</v>
      </c>
      <c r="U383" s="16" t="e">
        <v>#N/A</v>
      </c>
    </row>
    <row r="384" spans="1:21" x14ac:dyDescent="0.25">
      <c r="A384" s="12" t="s">
        <v>21</v>
      </c>
      <c r="B384" s="12" t="s">
        <v>415</v>
      </c>
      <c r="C384" s="12" t="s">
        <v>23</v>
      </c>
      <c r="D384" s="13">
        <v>46220.385347222225</v>
      </c>
      <c r="E384" s="12" t="s">
        <v>69</v>
      </c>
      <c r="F384" s="12" t="s">
        <v>157</v>
      </c>
      <c r="G384" s="12">
        <v>10</v>
      </c>
      <c r="H384" s="12">
        <v>10</v>
      </c>
      <c r="I384" s="14"/>
      <c r="J384" s="14" t="s">
        <v>61</v>
      </c>
      <c r="K384" s="12" t="s">
        <v>27</v>
      </c>
      <c r="L384" s="15"/>
      <c r="M384" s="12" t="s">
        <v>28</v>
      </c>
      <c r="N384" s="12"/>
      <c r="O384" s="12"/>
      <c r="P384" s="12"/>
      <c r="Q384" s="16">
        <v>10</v>
      </c>
      <c r="R384" s="16">
        <v>0</v>
      </c>
      <c r="S384" s="16"/>
      <c r="T384" s="16" t="e">
        <v>#N/A</v>
      </c>
      <c r="U384" s="16" t="e">
        <v>#N/A</v>
      </c>
    </row>
    <row r="385" spans="1:21" x14ac:dyDescent="0.25">
      <c r="A385" s="12" t="s">
        <v>21</v>
      </c>
      <c r="B385" s="12" t="s">
        <v>415</v>
      </c>
      <c r="C385" s="12" t="s">
        <v>23</v>
      </c>
      <c r="D385" s="13">
        <v>46220.385347222225</v>
      </c>
      <c r="E385" s="12" t="s">
        <v>69</v>
      </c>
      <c r="F385" s="12" t="s">
        <v>159</v>
      </c>
      <c r="G385" s="12">
        <v>10</v>
      </c>
      <c r="H385" s="12">
        <v>10</v>
      </c>
      <c r="I385" s="14"/>
      <c r="J385" s="14" t="s">
        <v>61</v>
      </c>
      <c r="K385" s="12" t="s">
        <v>27</v>
      </c>
      <c r="L385" s="15"/>
      <c r="M385" s="12" t="s">
        <v>28</v>
      </c>
      <c r="N385" s="12"/>
      <c r="O385" s="12"/>
      <c r="P385" s="12"/>
      <c r="Q385" s="16">
        <v>15</v>
      </c>
      <c r="R385" s="16">
        <v>0</v>
      </c>
      <c r="S385" s="16"/>
      <c r="T385" s="16" t="e">
        <v>#N/A</v>
      </c>
      <c r="U385" s="16" t="e">
        <v>#N/A</v>
      </c>
    </row>
    <row r="386" spans="1:21" x14ac:dyDescent="0.25">
      <c r="A386" s="12" t="s">
        <v>21</v>
      </c>
      <c r="B386" s="12" t="s">
        <v>416</v>
      </c>
      <c r="C386" s="12" t="s">
        <v>23</v>
      </c>
      <c r="D386" s="13">
        <v>46220.474386574075</v>
      </c>
      <c r="E386" s="12" t="s">
        <v>156</v>
      </c>
      <c r="F386" s="12" t="s">
        <v>59</v>
      </c>
      <c r="G386" s="12">
        <v>30</v>
      </c>
      <c r="H386" s="12">
        <v>30</v>
      </c>
      <c r="I386" s="14"/>
      <c r="J386" s="14" t="s">
        <v>26</v>
      </c>
      <c r="K386" s="12" t="s">
        <v>27</v>
      </c>
      <c r="L386" s="15"/>
      <c r="M386" s="12" t="s">
        <v>28</v>
      </c>
      <c r="N386" s="12"/>
      <c r="O386" s="12"/>
      <c r="P386" s="12"/>
      <c r="Q386" s="16">
        <v>0</v>
      </c>
      <c r="R386" s="16">
        <v>0</v>
      </c>
      <c r="S386" s="16"/>
      <c r="T386" s="16" t="e">
        <v>#N/A</v>
      </c>
      <c r="U386" s="16" t="e">
        <v>#N/A</v>
      </c>
    </row>
    <row r="387" spans="1:21" x14ac:dyDescent="0.25">
      <c r="A387" s="12" t="s">
        <v>21</v>
      </c>
      <c r="B387" s="12" t="s">
        <v>416</v>
      </c>
      <c r="C387" s="12" t="s">
        <v>23</v>
      </c>
      <c r="D387" s="13">
        <v>46220.474386574075</v>
      </c>
      <c r="E387" s="12" t="s">
        <v>156</v>
      </c>
      <c r="F387" s="12" t="s">
        <v>71</v>
      </c>
      <c r="G387" s="12">
        <v>10</v>
      </c>
      <c r="H387" s="12">
        <v>10</v>
      </c>
      <c r="I387" s="14"/>
      <c r="J387" s="14" t="s">
        <v>26</v>
      </c>
      <c r="K387" s="12" t="s">
        <v>27</v>
      </c>
      <c r="L387" s="15"/>
      <c r="M387" s="12" t="s">
        <v>28</v>
      </c>
      <c r="N387" s="12"/>
      <c r="O387" s="12"/>
      <c r="P387" s="12"/>
      <c r="Q387" s="16">
        <v>0</v>
      </c>
      <c r="R387" s="16">
        <v>0</v>
      </c>
      <c r="S387" s="16"/>
      <c r="T387" s="16" t="e">
        <v>#N/A</v>
      </c>
      <c r="U387" s="16" t="e">
        <v>#N/A</v>
      </c>
    </row>
    <row r="388" spans="1:21" x14ac:dyDescent="0.25">
      <c r="A388" s="12" t="s">
        <v>21</v>
      </c>
      <c r="B388" s="12" t="s">
        <v>416</v>
      </c>
      <c r="C388" s="12" t="s">
        <v>23</v>
      </c>
      <c r="D388" s="13">
        <v>46220.474386574075</v>
      </c>
      <c r="E388" s="12" t="s">
        <v>156</v>
      </c>
      <c r="F388" s="12" t="s">
        <v>325</v>
      </c>
      <c r="G388" s="12">
        <v>10</v>
      </c>
      <c r="H388" s="12">
        <v>5</v>
      </c>
      <c r="I388" s="14"/>
      <c r="J388" s="14" t="s">
        <v>61</v>
      </c>
      <c r="K388" s="12" t="s">
        <v>27</v>
      </c>
      <c r="L388" s="15"/>
      <c r="M388" s="12" t="s">
        <v>28</v>
      </c>
      <c r="N388" s="12"/>
      <c r="O388" s="12"/>
      <c r="P388" s="12"/>
      <c r="Q388" s="16">
        <v>5</v>
      </c>
      <c r="R388" s="16">
        <v>4</v>
      </c>
      <c r="S388" s="16">
        <v>4</v>
      </c>
      <c r="T388" s="16" t="e">
        <v>#N/A</v>
      </c>
      <c r="U388" s="16" t="e">
        <v>#N/A</v>
      </c>
    </row>
    <row r="389" spans="1:21" x14ac:dyDescent="0.25">
      <c r="A389" s="12" t="s">
        <v>21</v>
      </c>
      <c r="B389" s="12" t="s">
        <v>416</v>
      </c>
      <c r="C389" s="12" t="s">
        <v>23</v>
      </c>
      <c r="D389" s="13">
        <v>46220.474386574075</v>
      </c>
      <c r="E389" s="12" t="s">
        <v>156</v>
      </c>
      <c r="F389" s="12" t="s">
        <v>262</v>
      </c>
      <c r="G389" s="12">
        <v>80</v>
      </c>
      <c r="H389" s="12">
        <v>40</v>
      </c>
      <c r="I389" s="14"/>
      <c r="J389" s="14" t="s">
        <v>26</v>
      </c>
      <c r="K389" s="12" t="s">
        <v>27</v>
      </c>
      <c r="L389" s="15"/>
      <c r="M389" s="12" t="s">
        <v>28</v>
      </c>
      <c r="N389" s="12"/>
      <c r="O389" s="12"/>
      <c r="P389" s="12"/>
      <c r="Q389" s="16">
        <v>0</v>
      </c>
      <c r="R389" s="16">
        <v>0</v>
      </c>
      <c r="S389" s="16"/>
      <c r="T389" s="16" t="e">
        <v>#N/A</v>
      </c>
      <c r="U389" s="16" t="e">
        <v>#N/A</v>
      </c>
    </row>
    <row r="390" spans="1:21" x14ac:dyDescent="0.25">
      <c r="A390" s="12" t="s">
        <v>21</v>
      </c>
      <c r="B390" s="12" t="s">
        <v>416</v>
      </c>
      <c r="C390" s="12" t="s">
        <v>23</v>
      </c>
      <c r="D390" s="13">
        <v>46220.474386574075</v>
      </c>
      <c r="E390" s="12" t="s">
        <v>156</v>
      </c>
      <c r="F390" s="12" t="s">
        <v>263</v>
      </c>
      <c r="G390" s="12">
        <v>60</v>
      </c>
      <c r="H390" s="12">
        <v>60</v>
      </c>
      <c r="I390" s="14"/>
      <c r="J390" s="14" t="s">
        <v>26</v>
      </c>
      <c r="K390" s="12" t="s">
        <v>27</v>
      </c>
      <c r="L390" s="15"/>
      <c r="M390" s="12" t="s">
        <v>28</v>
      </c>
      <c r="N390" s="12"/>
      <c r="O390" s="12"/>
      <c r="P390" s="12"/>
      <c r="Q390" s="16">
        <v>0</v>
      </c>
      <c r="R390" s="16">
        <v>0</v>
      </c>
      <c r="S390" s="16"/>
      <c r="T390" s="16" t="e">
        <v>#N/A</v>
      </c>
      <c r="U390" s="16" t="e">
        <v>#N/A</v>
      </c>
    </row>
    <row r="391" spans="1:21" x14ac:dyDescent="0.25">
      <c r="A391" s="12" t="s">
        <v>21</v>
      </c>
      <c r="B391" s="12" t="s">
        <v>416</v>
      </c>
      <c r="C391" s="12" t="s">
        <v>23</v>
      </c>
      <c r="D391" s="13">
        <v>46220.474386574075</v>
      </c>
      <c r="E391" s="12" t="s">
        <v>156</v>
      </c>
      <c r="F391" s="12" t="s">
        <v>417</v>
      </c>
      <c r="G391" s="12">
        <v>10</v>
      </c>
      <c r="H391" s="12">
        <v>10</v>
      </c>
      <c r="I391" s="14"/>
      <c r="J391" s="14" t="s">
        <v>26</v>
      </c>
      <c r="K391" s="12" t="s">
        <v>27</v>
      </c>
      <c r="L391" s="15"/>
      <c r="M391" s="12" t="s">
        <v>28</v>
      </c>
      <c r="N391" s="12"/>
      <c r="O391" s="12"/>
      <c r="P391" s="12"/>
      <c r="Q391" s="16">
        <v>0</v>
      </c>
      <c r="R391" s="16">
        <v>178</v>
      </c>
      <c r="S391" s="16"/>
      <c r="T391" s="16" t="e">
        <v>#N/A</v>
      </c>
      <c r="U391" s="16" t="e">
        <v>#N/A</v>
      </c>
    </row>
    <row r="392" spans="1:21" x14ac:dyDescent="0.25">
      <c r="A392" s="12" t="s">
        <v>21</v>
      </c>
      <c r="B392" s="12" t="s">
        <v>416</v>
      </c>
      <c r="C392" s="12" t="s">
        <v>23</v>
      </c>
      <c r="D392" s="13">
        <v>46220.474386574075</v>
      </c>
      <c r="E392" s="12" t="s">
        <v>156</v>
      </c>
      <c r="F392" s="12" t="s">
        <v>371</v>
      </c>
      <c r="G392" s="12">
        <v>40</v>
      </c>
      <c r="H392" s="12">
        <v>10</v>
      </c>
      <c r="I392" s="14"/>
      <c r="J392" s="14" t="s">
        <v>26</v>
      </c>
      <c r="K392" s="12" t="s">
        <v>27</v>
      </c>
      <c r="L392" s="15"/>
      <c r="M392" s="12" t="s">
        <v>28</v>
      </c>
      <c r="N392" s="12"/>
      <c r="O392" s="12"/>
      <c r="P392" s="12"/>
      <c r="Q392" s="16">
        <v>0</v>
      </c>
      <c r="R392" s="16">
        <v>1</v>
      </c>
      <c r="S392" s="16"/>
      <c r="T392" s="16" t="e">
        <v>#N/A</v>
      </c>
      <c r="U392" s="16" t="e">
        <v>#N/A</v>
      </c>
    </row>
    <row r="393" spans="1:21" x14ac:dyDescent="0.25">
      <c r="A393" s="12" t="s">
        <v>21</v>
      </c>
      <c r="B393" s="12" t="s">
        <v>418</v>
      </c>
      <c r="C393" s="12" t="s">
        <v>23</v>
      </c>
      <c r="D393" s="13">
        <v>46221.390555555554</v>
      </c>
      <c r="E393" s="12" t="s">
        <v>368</v>
      </c>
      <c r="F393" s="12" t="s">
        <v>130</v>
      </c>
      <c r="G393" s="12">
        <v>1000</v>
      </c>
      <c r="H393" s="12">
        <v>440</v>
      </c>
      <c r="I393" s="14"/>
      <c r="J393" s="14" t="s">
        <v>26</v>
      </c>
      <c r="K393" s="12" t="s">
        <v>27</v>
      </c>
      <c r="L393" s="15"/>
      <c r="M393" s="12" t="s">
        <v>28</v>
      </c>
      <c r="N393" s="12"/>
      <c r="O393" s="12"/>
      <c r="P393" s="12"/>
      <c r="Q393" s="16">
        <v>0</v>
      </c>
      <c r="R393" s="16">
        <v>6</v>
      </c>
      <c r="S393" s="16">
        <v>19</v>
      </c>
      <c r="T393" s="16" t="e">
        <v>#N/A</v>
      </c>
      <c r="U393" s="16" t="e">
        <v>#N/A</v>
      </c>
    </row>
    <row r="394" spans="1:21" x14ac:dyDescent="0.25">
      <c r="A394" s="12" t="s">
        <v>21</v>
      </c>
      <c r="B394" s="12" t="s">
        <v>418</v>
      </c>
      <c r="C394" s="12" t="s">
        <v>23</v>
      </c>
      <c r="D394" s="13">
        <v>46221.390555555554</v>
      </c>
      <c r="E394" s="12" t="s">
        <v>368</v>
      </c>
      <c r="F394" s="12" t="s">
        <v>134</v>
      </c>
      <c r="G394" s="12">
        <v>250</v>
      </c>
      <c r="H394" s="12">
        <v>175</v>
      </c>
      <c r="I394" s="14"/>
      <c r="J394" s="14" t="s">
        <v>26</v>
      </c>
      <c r="K394" s="12" t="s">
        <v>27</v>
      </c>
      <c r="L394" s="15"/>
      <c r="M394" s="12" t="s">
        <v>28</v>
      </c>
      <c r="N394" s="12"/>
      <c r="O394" s="12"/>
      <c r="P394" s="12"/>
      <c r="Q394" s="16">
        <v>0</v>
      </c>
      <c r="R394" s="16">
        <v>6</v>
      </c>
      <c r="S394" s="16"/>
      <c r="T394" s="16" t="e">
        <v>#N/A</v>
      </c>
      <c r="U394" s="16" t="e">
        <v>#N/A</v>
      </c>
    </row>
    <row r="395" spans="1:21" x14ac:dyDescent="0.25">
      <c r="A395" s="12" t="s">
        <v>21</v>
      </c>
      <c r="B395" s="12" t="s">
        <v>418</v>
      </c>
      <c r="C395" s="12" t="s">
        <v>23</v>
      </c>
      <c r="D395" s="13">
        <v>46221.390555555554</v>
      </c>
      <c r="E395" s="12" t="s">
        <v>368</v>
      </c>
      <c r="F395" s="12" t="s">
        <v>371</v>
      </c>
      <c r="G395" s="12">
        <v>150</v>
      </c>
      <c r="H395" s="12">
        <v>150</v>
      </c>
      <c r="I395" s="14"/>
      <c r="J395" s="14" t="s">
        <v>26</v>
      </c>
      <c r="K395" s="12" t="s">
        <v>27</v>
      </c>
      <c r="L395" s="15"/>
      <c r="M395" s="12" t="s">
        <v>28</v>
      </c>
      <c r="N395" s="12"/>
      <c r="O395" s="12"/>
      <c r="P395" s="12"/>
      <c r="Q395" s="16">
        <v>0</v>
      </c>
      <c r="R395" s="16">
        <v>1</v>
      </c>
      <c r="S395" s="16"/>
      <c r="T395" s="16" t="e">
        <v>#N/A</v>
      </c>
      <c r="U395" s="16" t="e">
        <v>#N/A</v>
      </c>
    </row>
    <row r="396" spans="1:21" x14ac:dyDescent="0.25">
      <c r="A396" s="12" t="s">
        <v>21</v>
      </c>
      <c r="B396" s="12" t="s">
        <v>419</v>
      </c>
      <c r="C396" s="12" t="s">
        <v>23</v>
      </c>
      <c r="D396" s="13">
        <v>46221.431111111109</v>
      </c>
      <c r="E396" s="12" t="s">
        <v>195</v>
      </c>
      <c r="F396" s="12" t="s">
        <v>420</v>
      </c>
      <c r="G396" s="12">
        <v>25</v>
      </c>
      <c r="H396" s="12">
        <v>24</v>
      </c>
      <c r="I396" s="14"/>
      <c r="J396" s="14" t="s">
        <v>26</v>
      </c>
      <c r="K396" s="12" t="s">
        <v>27</v>
      </c>
      <c r="L396" s="15"/>
      <c r="M396" s="12" t="s">
        <v>28</v>
      </c>
      <c r="N396" s="12"/>
      <c r="O396" s="12"/>
      <c r="P396" s="12"/>
      <c r="Q396" s="16">
        <v>0</v>
      </c>
      <c r="R396" s="16">
        <v>90</v>
      </c>
      <c r="S396" s="16"/>
      <c r="T396" s="16" t="e">
        <v>#N/A</v>
      </c>
      <c r="U396" s="16" t="e">
        <v>#N/A</v>
      </c>
    </row>
    <row r="397" spans="1:21" x14ac:dyDescent="0.25">
      <c r="A397" s="12" t="s">
        <v>21</v>
      </c>
      <c r="B397" s="12" t="s">
        <v>421</v>
      </c>
      <c r="C397" s="12" t="s">
        <v>23</v>
      </c>
      <c r="D397" s="13">
        <v>46224.334328703706</v>
      </c>
      <c r="E397" s="12" t="s">
        <v>258</v>
      </c>
      <c r="F397" s="12" t="s">
        <v>371</v>
      </c>
      <c r="G397" s="12">
        <v>1500</v>
      </c>
      <c r="H397" s="12">
        <v>650</v>
      </c>
      <c r="I397" s="14"/>
      <c r="J397" s="14" t="s">
        <v>26</v>
      </c>
      <c r="K397" s="12" t="s">
        <v>27</v>
      </c>
      <c r="L397" s="15"/>
      <c r="M397" s="12" t="s">
        <v>28</v>
      </c>
      <c r="N397" s="12"/>
      <c r="O397" s="12"/>
      <c r="P397" s="12"/>
      <c r="Q397" s="16">
        <v>0</v>
      </c>
      <c r="R397" s="16">
        <v>1</v>
      </c>
      <c r="S397" s="16"/>
      <c r="T397" s="16" t="e">
        <v>#N/A</v>
      </c>
      <c r="U397" s="16" t="e">
        <v>#N/A</v>
      </c>
    </row>
    <row r="398" spans="1:21" x14ac:dyDescent="0.25">
      <c r="A398" s="12" t="s">
        <v>21</v>
      </c>
      <c r="B398" s="12" t="s">
        <v>422</v>
      </c>
      <c r="C398" s="12" t="s">
        <v>23</v>
      </c>
      <c r="D398" s="13">
        <v>46224.431018518517</v>
      </c>
      <c r="E398" s="12" t="s">
        <v>423</v>
      </c>
      <c r="F398" s="12" t="s">
        <v>424</v>
      </c>
      <c r="G398" s="12">
        <v>20</v>
      </c>
      <c r="H398" s="12">
        <v>4</v>
      </c>
      <c r="I398" s="14"/>
      <c r="J398" s="14" t="s">
        <v>26</v>
      </c>
      <c r="K398" s="12" t="s">
        <v>27</v>
      </c>
      <c r="L398" s="15"/>
      <c r="M398" s="12" t="s">
        <v>28</v>
      </c>
      <c r="N398" s="12"/>
      <c r="O398" s="12"/>
      <c r="P398" s="12"/>
      <c r="Q398" s="16">
        <v>0</v>
      </c>
      <c r="R398" s="16">
        <v>0</v>
      </c>
      <c r="S398" s="16"/>
      <c r="T398" s="16" t="e">
        <v>#N/A</v>
      </c>
      <c r="U398" s="16" t="e">
        <v>#N/A</v>
      </c>
    </row>
    <row r="399" spans="1:21" x14ac:dyDescent="0.25">
      <c r="A399" s="12" t="s">
        <v>21</v>
      </c>
      <c r="B399" s="12" t="s">
        <v>425</v>
      </c>
      <c r="C399" s="12" t="s">
        <v>23</v>
      </c>
      <c r="D399" s="13">
        <v>46224.477800925924</v>
      </c>
      <c r="E399" s="12" t="s">
        <v>368</v>
      </c>
      <c r="F399" s="12" t="s">
        <v>262</v>
      </c>
      <c r="G399" s="12">
        <v>240</v>
      </c>
      <c r="H399" s="12">
        <v>240</v>
      </c>
      <c r="I399" s="14"/>
      <c r="J399" s="14" t="s">
        <v>26</v>
      </c>
      <c r="K399" s="12" t="s">
        <v>27</v>
      </c>
      <c r="L399" s="15"/>
      <c r="M399" s="12" t="s">
        <v>28</v>
      </c>
      <c r="N399" s="12"/>
      <c r="O399" s="12"/>
      <c r="P399" s="12"/>
      <c r="Q399" s="16">
        <v>0</v>
      </c>
      <c r="R399" s="16">
        <v>0</v>
      </c>
      <c r="S399" s="16"/>
      <c r="T399" s="16" t="e">
        <v>#N/A</v>
      </c>
      <c r="U399" s="16" t="e">
        <v>#N/A</v>
      </c>
    </row>
    <row r="400" spans="1:21" x14ac:dyDescent="0.25">
      <c r="A400" s="12" t="s">
        <v>21</v>
      </c>
      <c r="B400" s="12" t="s">
        <v>425</v>
      </c>
      <c r="C400" s="12" t="s">
        <v>23</v>
      </c>
      <c r="D400" s="13">
        <v>46224.477800925924</v>
      </c>
      <c r="E400" s="12" t="s">
        <v>368</v>
      </c>
      <c r="F400" s="12" t="s">
        <v>263</v>
      </c>
      <c r="G400" s="12">
        <v>240</v>
      </c>
      <c r="H400" s="12">
        <v>180</v>
      </c>
      <c r="I400" s="14"/>
      <c r="J400" s="14" t="s">
        <v>26</v>
      </c>
      <c r="K400" s="12" t="s">
        <v>27</v>
      </c>
      <c r="L400" s="15"/>
      <c r="M400" s="12" t="s">
        <v>28</v>
      </c>
      <c r="N400" s="12"/>
      <c r="O400" s="12"/>
      <c r="P400" s="12"/>
      <c r="Q400" s="16">
        <v>0</v>
      </c>
      <c r="R400" s="16">
        <v>3200</v>
      </c>
      <c r="S400" s="16"/>
      <c r="T400" s="16" t="e">
        <v>#N/A</v>
      </c>
      <c r="U400" s="16" t="e">
        <v>#N/A</v>
      </c>
    </row>
    <row r="401" spans="1:21" x14ac:dyDescent="0.25">
      <c r="A401" s="12" t="s">
        <v>21</v>
      </c>
      <c r="B401" s="12" t="s">
        <v>426</v>
      </c>
      <c r="C401" s="12" t="s">
        <v>23</v>
      </c>
      <c r="D401" s="13">
        <v>46224.48877314815</v>
      </c>
      <c r="E401" s="12" t="s">
        <v>195</v>
      </c>
      <c r="F401" s="12" t="s">
        <v>427</v>
      </c>
      <c r="G401" s="12">
        <v>182</v>
      </c>
      <c r="H401" s="12">
        <v>26</v>
      </c>
      <c r="I401" s="14"/>
      <c r="J401" s="14" t="s">
        <v>26</v>
      </c>
      <c r="K401" s="12" t="s">
        <v>27</v>
      </c>
      <c r="L401" s="15"/>
      <c r="M401" s="12" t="s">
        <v>28</v>
      </c>
      <c r="N401" s="12"/>
      <c r="O401" s="12"/>
      <c r="P401" s="12"/>
      <c r="Q401" s="16">
        <v>0</v>
      </c>
      <c r="R401" s="16">
        <v>11</v>
      </c>
      <c r="S401" s="16"/>
      <c r="T401" s="16" t="e">
        <v>#N/A</v>
      </c>
      <c r="U401" s="16" t="e">
        <v>#N/A</v>
      </c>
    </row>
    <row r="402" spans="1:21" x14ac:dyDescent="0.25">
      <c r="A402" s="12" t="s">
        <v>21</v>
      </c>
      <c r="B402" s="12" t="s">
        <v>428</v>
      </c>
      <c r="C402" s="12" t="s">
        <v>23</v>
      </c>
      <c r="D402" s="13">
        <v>46224.570810185185</v>
      </c>
      <c r="E402" s="12" t="s">
        <v>258</v>
      </c>
      <c r="F402" s="12" t="s">
        <v>134</v>
      </c>
      <c r="G402" s="12">
        <v>200</v>
      </c>
      <c r="H402" s="12">
        <v>200</v>
      </c>
      <c r="I402" s="14"/>
      <c r="J402" s="14" t="s">
        <v>26</v>
      </c>
      <c r="K402" s="12" t="s">
        <v>27</v>
      </c>
      <c r="L402" s="15"/>
      <c r="M402" s="12" t="s">
        <v>28</v>
      </c>
      <c r="N402" s="12"/>
      <c r="O402" s="12"/>
      <c r="P402" s="12"/>
      <c r="Q402" s="16">
        <v>0</v>
      </c>
      <c r="R402" s="16">
        <v>6</v>
      </c>
      <c r="S402" s="16"/>
      <c r="T402" s="16" t="e">
        <v>#N/A</v>
      </c>
      <c r="U402" s="16" t="e">
        <v>#N/A</v>
      </c>
    </row>
    <row r="403" spans="1:21" x14ac:dyDescent="0.25">
      <c r="A403" s="12" t="s">
        <v>21</v>
      </c>
      <c r="B403" s="12" t="s">
        <v>429</v>
      </c>
      <c r="C403" s="12" t="s">
        <v>23</v>
      </c>
      <c r="D403" s="13">
        <v>46225.289189814815</v>
      </c>
      <c r="E403" s="12" t="s">
        <v>368</v>
      </c>
      <c r="F403" s="12" t="s">
        <v>157</v>
      </c>
      <c r="G403" s="12">
        <v>30</v>
      </c>
      <c r="H403" s="12">
        <v>30</v>
      </c>
      <c r="I403" s="14"/>
      <c r="J403" s="14" t="s">
        <v>26</v>
      </c>
      <c r="K403" s="12" t="s">
        <v>27</v>
      </c>
      <c r="L403" s="15"/>
      <c r="M403" s="12" t="s">
        <v>28</v>
      </c>
      <c r="N403" s="12"/>
      <c r="O403" s="12"/>
      <c r="P403" s="12"/>
      <c r="Q403" s="16">
        <v>0</v>
      </c>
      <c r="R403" s="16">
        <v>0</v>
      </c>
      <c r="S403" s="16"/>
      <c r="T403" s="16" t="e">
        <v>#N/A</v>
      </c>
      <c r="U403" s="16" t="e">
        <v>#N/A</v>
      </c>
    </row>
    <row r="404" spans="1:21" x14ac:dyDescent="0.25">
      <c r="A404" s="12" t="s">
        <v>21</v>
      </c>
      <c r="B404" s="12" t="s">
        <v>429</v>
      </c>
      <c r="C404" s="12" t="s">
        <v>23</v>
      </c>
      <c r="D404" s="13">
        <v>46225.289189814815</v>
      </c>
      <c r="E404" s="12" t="s">
        <v>368</v>
      </c>
      <c r="F404" s="12" t="s">
        <v>159</v>
      </c>
      <c r="G404" s="12">
        <v>30</v>
      </c>
      <c r="H404" s="12">
        <v>30</v>
      </c>
      <c r="I404" s="14"/>
      <c r="J404" s="14" t="s">
        <v>26</v>
      </c>
      <c r="K404" s="12" t="s">
        <v>27</v>
      </c>
      <c r="L404" s="15"/>
      <c r="M404" s="12" t="s">
        <v>28</v>
      </c>
      <c r="N404" s="12"/>
      <c r="O404" s="12"/>
      <c r="P404" s="12"/>
      <c r="Q404" s="16">
        <v>0</v>
      </c>
      <c r="R404" s="16">
        <v>0</v>
      </c>
      <c r="S404" s="16"/>
      <c r="T404" s="16" t="e">
        <v>#N/A</v>
      </c>
      <c r="U404" s="16" t="e">
        <v>#N/A</v>
      </c>
    </row>
    <row r="405" spans="1:21" x14ac:dyDescent="0.25">
      <c r="A405" s="12" t="s">
        <v>21</v>
      </c>
      <c r="B405" s="12" t="s">
        <v>429</v>
      </c>
      <c r="C405" s="12" t="s">
        <v>23</v>
      </c>
      <c r="D405" s="13">
        <v>46225.289189814815</v>
      </c>
      <c r="E405" s="12" t="s">
        <v>368</v>
      </c>
      <c r="F405" s="12" t="s">
        <v>268</v>
      </c>
      <c r="G405" s="12">
        <v>32</v>
      </c>
      <c r="H405" s="12">
        <v>14</v>
      </c>
      <c r="I405" s="14"/>
      <c r="J405" s="14" t="s">
        <v>26</v>
      </c>
      <c r="K405" s="12" t="s">
        <v>27</v>
      </c>
      <c r="L405" s="15"/>
      <c r="M405" s="12" t="s">
        <v>28</v>
      </c>
      <c r="N405" s="12"/>
      <c r="O405" s="12"/>
      <c r="P405" s="12"/>
      <c r="Q405" s="16">
        <v>0</v>
      </c>
      <c r="R405" s="16">
        <v>0</v>
      </c>
      <c r="S405" s="16"/>
      <c r="T405" s="16" t="e">
        <v>#N/A</v>
      </c>
      <c r="U405" s="16" t="e">
        <v>#N/A</v>
      </c>
    </row>
    <row r="406" spans="1:21" x14ac:dyDescent="0.25">
      <c r="A406" s="12" t="s">
        <v>21</v>
      </c>
      <c r="B406" s="12" t="s">
        <v>429</v>
      </c>
      <c r="C406" s="12" t="s">
        <v>23</v>
      </c>
      <c r="D406" s="13">
        <v>46225.289189814815</v>
      </c>
      <c r="E406" s="12" t="s">
        <v>368</v>
      </c>
      <c r="F406" s="12" t="s">
        <v>268</v>
      </c>
      <c r="G406" s="12">
        <v>3</v>
      </c>
      <c r="H406" s="12">
        <v>3</v>
      </c>
      <c r="I406" s="14"/>
      <c r="J406" s="14" t="s">
        <v>26</v>
      </c>
      <c r="K406" s="12" t="s">
        <v>27</v>
      </c>
      <c r="L406" s="15"/>
      <c r="M406" s="12" t="s">
        <v>28</v>
      </c>
      <c r="N406" s="12"/>
      <c r="O406" s="12"/>
      <c r="P406" s="12"/>
      <c r="Q406" s="16">
        <v>0</v>
      </c>
      <c r="R406" s="16">
        <v>0</v>
      </c>
      <c r="S406" s="16"/>
      <c r="T406" s="16" t="e">
        <v>#N/A</v>
      </c>
      <c r="U406" s="16" t="e">
        <v>#N/A</v>
      </c>
    </row>
    <row r="407" spans="1:21" x14ac:dyDescent="0.25">
      <c r="A407" s="12" t="s">
        <v>21</v>
      </c>
      <c r="B407" s="12" t="s">
        <v>429</v>
      </c>
      <c r="C407" s="12" t="s">
        <v>23</v>
      </c>
      <c r="D407" s="13">
        <v>46225.289189814815</v>
      </c>
      <c r="E407" s="12" t="s">
        <v>368</v>
      </c>
      <c r="F407" s="12" t="s">
        <v>401</v>
      </c>
      <c r="G407" s="12">
        <v>28</v>
      </c>
      <c r="H407" s="12">
        <v>6</v>
      </c>
      <c r="I407" s="14"/>
      <c r="J407" s="14" t="s">
        <v>26</v>
      </c>
      <c r="K407" s="12" t="s">
        <v>27</v>
      </c>
      <c r="L407" s="15"/>
      <c r="M407" s="12" t="s">
        <v>28</v>
      </c>
      <c r="N407" s="12"/>
      <c r="O407" s="12"/>
      <c r="P407" s="12"/>
      <c r="Q407" s="16">
        <v>0</v>
      </c>
      <c r="R407" s="16">
        <v>0</v>
      </c>
      <c r="S407" s="16"/>
      <c r="T407" s="16" t="e">
        <v>#N/A</v>
      </c>
      <c r="U407" s="16" t="e">
        <v>#N/A</v>
      </c>
    </row>
    <row r="408" spans="1:21" x14ac:dyDescent="0.25">
      <c r="A408" s="12" t="s">
        <v>21</v>
      </c>
      <c r="B408" s="12" t="s">
        <v>429</v>
      </c>
      <c r="C408" s="12" t="s">
        <v>23</v>
      </c>
      <c r="D408" s="13">
        <v>46225.289189814815</v>
      </c>
      <c r="E408" s="12" t="s">
        <v>368</v>
      </c>
      <c r="F408" s="12" t="s">
        <v>201</v>
      </c>
      <c r="G408" s="12">
        <v>20</v>
      </c>
      <c r="H408" s="12">
        <v>20</v>
      </c>
      <c r="I408" s="14"/>
      <c r="J408" s="14" t="s">
        <v>26</v>
      </c>
      <c r="K408" s="12" t="s">
        <v>27</v>
      </c>
      <c r="L408" s="15"/>
      <c r="M408" s="12" t="s">
        <v>28</v>
      </c>
      <c r="N408" s="12"/>
      <c r="O408" s="12"/>
      <c r="P408" s="12"/>
      <c r="Q408" s="16">
        <v>0</v>
      </c>
      <c r="R408" s="16">
        <v>0</v>
      </c>
      <c r="S408" s="16"/>
      <c r="T408" s="16" t="e">
        <v>#N/A</v>
      </c>
      <c r="U408" s="16" t="e">
        <v>#N/A</v>
      </c>
    </row>
    <row r="409" spans="1:21" x14ac:dyDescent="0.25">
      <c r="A409" s="12" t="s">
        <v>21</v>
      </c>
      <c r="B409" s="12" t="s">
        <v>430</v>
      </c>
      <c r="C409" s="12" t="s">
        <v>23</v>
      </c>
      <c r="D409" s="13">
        <v>46225.289490740739</v>
      </c>
      <c r="E409" s="12" t="s">
        <v>368</v>
      </c>
      <c r="F409" s="12" t="s">
        <v>70</v>
      </c>
      <c r="G409" s="12">
        <v>30</v>
      </c>
      <c r="H409" s="12">
        <v>30</v>
      </c>
      <c r="I409" s="14"/>
      <c r="J409" s="14" t="s">
        <v>26</v>
      </c>
      <c r="K409" s="12" t="s">
        <v>27</v>
      </c>
      <c r="L409" s="15"/>
      <c r="M409" s="12" t="s">
        <v>28</v>
      </c>
      <c r="N409" s="12"/>
      <c r="O409" s="12"/>
      <c r="P409" s="12"/>
      <c r="Q409" s="16">
        <v>0</v>
      </c>
      <c r="R409" s="16">
        <v>0</v>
      </c>
      <c r="S409" s="16"/>
      <c r="T409" s="16" t="e">
        <v>#N/A</v>
      </c>
      <c r="U409" s="16" t="e">
        <v>#N/A</v>
      </c>
    </row>
    <row r="410" spans="1:21" x14ac:dyDescent="0.25">
      <c r="A410" s="12" t="s">
        <v>21</v>
      </c>
      <c r="B410" s="12" t="s">
        <v>431</v>
      </c>
      <c r="C410" s="12" t="s">
        <v>23</v>
      </c>
      <c r="D410" s="13">
        <v>46225.289861111109</v>
      </c>
      <c r="E410" s="12" t="s">
        <v>368</v>
      </c>
      <c r="F410" s="12" t="s">
        <v>244</v>
      </c>
      <c r="G410" s="12">
        <v>10</v>
      </c>
      <c r="H410" s="12">
        <v>10</v>
      </c>
      <c r="I410" s="14"/>
      <c r="J410" s="14" t="s">
        <v>26</v>
      </c>
      <c r="K410" s="12" t="s">
        <v>27</v>
      </c>
      <c r="L410" s="15"/>
      <c r="M410" s="12" t="s">
        <v>28</v>
      </c>
      <c r="N410" s="12"/>
      <c r="O410" s="12"/>
      <c r="P410" s="12"/>
      <c r="Q410" s="16">
        <v>0</v>
      </c>
      <c r="R410" s="16">
        <v>0</v>
      </c>
      <c r="S410" s="16"/>
      <c r="T410" s="16" t="e">
        <v>#N/A</v>
      </c>
      <c r="U410" s="16" t="e">
        <v>#N/A</v>
      </c>
    </row>
    <row r="411" spans="1:21" x14ac:dyDescent="0.25">
      <c r="A411" s="12" t="s">
        <v>21</v>
      </c>
      <c r="B411" s="12" t="s">
        <v>431</v>
      </c>
      <c r="C411" s="12" t="s">
        <v>23</v>
      </c>
      <c r="D411" s="13">
        <v>46225.289861111109</v>
      </c>
      <c r="E411" s="12" t="s">
        <v>368</v>
      </c>
      <c r="F411" s="12" t="s">
        <v>246</v>
      </c>
      <c r="G411" s="12">
        <v>12</v>
      </c>
      <c r="H411" s="12">
        <v>12</v>
      </c>
      <c r="I411" s="14"/>
      <c r="J411" s="14" t="s">
        <v>26</v>
      </c>
      <c r="K411" s="12" t="s">
        <v>27</v>
      </c>
      <c r="L411" s="15"/>
      <c r="M411" s="12" t="s">
        <v>28</v>
      </c>
      <c r="N411" s="12"/>
      <c r="O411" s="12"/>
      <c r="P411" s="12"/>
      <c r="Q411" s="16">
        <v>0</v>
      </c>
      <c r="R411" s="16">
        <v>0</v>
      </c>
      <c r="S411" s="16"/>
      <c r="T411" s="16" t="e">
        <v>#N/A</v>
      </c>
      <c r="U411" s="16" t="e">
        <v>#N/A</v>
      </c>
    </row>
    <row r="412" spans="1:21" x14ac:dyDescent="0.25">
      <c r="A412" s="12" t="s">
        <v>21</v>
      </c>
      <c r="B412" s="12" t="s">
        <v>432</v>
      </c>
      <c r="C412" s="12" t="s">
        <v>23</v>
      </c>
      <c r="D412" s="13">
        <v>46225.356550925928</v>
      </c>
      <c r="E412" s="12" t="s">
        <v>433</v>
      </c>
      <c r="F412" s="12" t="s">
        <v>406</v>
      </c>
      <c r="G412" s="12">
        <v>8</v>
      </c>
      <c r="H412" s="12">
        <v>8</v>
      </c>
      <c r="I412" s="14"/>
      <c r="J412" s="14" t="s">
        <v>26</v>
      </c>
      <c r="K412" s="12" t="s">
        <v>27</v>
      </c>
      <c r="L412" s="15"/>
      <c r="M412" s="12" t="s">
        <v>28</v>
      </c>
      <c r="N412" s="12"/>
      <c r="O412" s="12"/>
      <c r="P412" s="12"/>
      <c r="Q412" s="16">
        <v>0</v>
      </c>
      <c r="R412" s="16">
        <v>0</v>
      </c>
      <c r="S412" s="16"/>
      <c r="T412" s="16" t="e">
        <v>#N/A</v>
      </c>
      <c r="U412" s="16" t="e">
        <v>#N/A</v>
      </c>
    </row>
    <row r="413" spans="1:21" x14ac:dyDescent="0.25">
      <c r="A413" s="12" t="s">
        <v>21</v>
      </c>
      <c r="B413" s="12" t="s">
        <v>434</v>
      </c>
      <c r="C413" s="12" t="s">
        <v>23</v>
      </c>
      <c r="D413" s="13">
        <v>46225.357777777775</v>
      </c>
      <c r="E413" s="12" t="s">
        <v>433</v>
      </c>
      <c r="F413" s="12" t="s">
        <v>406</v>
      </c>
      <c r="G413" s="12">
        <v>20</v>
      </c>
      <c r="H413" s="12">
        <v>20</v>
      </c>
      <c r="I413" s="14"/>
      <c r="J413" s="14" t="s">
        <v>26</v>
      </c>
      <c r="K413" s="12" t="s">
        <v>27</v>
      </c>
      <c r="L413" s="15"/>
      <c r="M413" s="12" t="s">
        <v>28</v>
      </c>
      <c r="N413" s="12"/>
      <c r="O413" s="12"/>
      <c r="P413" s="12"/>
      <c r="Q413" s="16">
        <v>0</v>
      </c>
      <c r="R413" s="16">
        <v>0</v>
      </c>
      <c r="S413" s="16"/>
      <c r="T413" s="16" t="e">
        <v>#N/A</v>
      </c>
      <c r="U413" s="16" t="e">
        <v>#N/A</v>
      </c>
    </row>
    <row r="414" spans="1:21" x14ac:dyDescent="0.25">
      <c r="A414" s="12" t="s">
        <v>21</v>
      </c>
      <c r="B414" s="12" t="s">
        <v>435</v>
      </c>
      <c r="C414" s="12" t="s">
        <v>23</v>
      </c>
      <c r="D414" s="13">
        <v>46225.478865740741</v>
      </c>
      <c r="E414" s="12" t="s">
        <v>436</v>
      </c>
      <c r="F414" s="12" t="s">
        <v>437</v>
      </c>
      <c r="G414" s="12">
        <v>300</v>
      </c>
      <c r="H414" s="12">
        <v>300</v>
      </c>
      <c r="I414" s="14"/>
      <c r="J414" s="14" t="s">
        <v>26</v>
      </c>
      <c r="K414" s="12" t="s">
        <v>27</v>
      </c>
      <c r="L414" s="15"/>
      <c r="M414" s="12" t="s">
        <v>28</v>
      </c>
      <c r="N414" s="12"/>
      <c r="O414" s="12"/>
      <c r="P414" s="12"/>
      <c r="Q414" s="16">
        <v>0</v>
      </c>
      <c r="R414" s="16">
        <v>90</v>
      </c>
      <c r="S414" s="16"/>
      <c r="T414" s="16" t="e">
        <v>#N/A</v>
      </c>
      <c r="U414" s="16" t="e">
        <v>#N/A</v>
      </c>
    </row>
    <row r="415" spans="1:21" x14ac:dyDescent="0.25">
      <c r="A415" s="12" t="s">
        <v>21</v>
      </c>
      <c r="B415" s="12" t="s">
        <v>435</v>
      </c>
      <c r="C415" s="12" t="s">
        <v>23</v>
      </c>
      <c r="D415" s="13">
        <v>46225.478865740741</v>
      </c>
      <c r="E415" s="12" t="s">
        <v>436</v>
      </c>
      <c r="F415" s="12" t="s">
        <v>438</v>
      </c>
      <c r="G415" s="12">
        <v>120</v>
      </c>
      <c r="H415" s="12">
        <v>120</v>
      </c>
      <c r="I415" s="14"/>
      <c r="J415" s="14" t="s">
        <v>26</v>
      </c>
      <c r="K415" s="12" t="s">
        <v>27</v>
      </c>
      <c r="L415" s="15"/>
      <c r="M415" s="12" t="s">
        <v>28</v>
      </c>
      <c r="N415" s="12"/>
      <c r="O415" s="12"/>
      <c r="P415" s="12"/>
      <c r="Q415" s="16">
        <v>0</v>
      </c>
      <c r="R415" s="16">
        <v>113</v>
      </c>
      <c r="S415" s="16"/>
      <c r="T415" s="16" t="e">
        <v>#N/A</v>
      </c>
      <c r="U415" s="16" t="e">
        <v>#N/A</v>
      </c>
    </row>
    <row r="416" spans="1:21" x14ac:dyDescent="0.25">
      <c r="A416" s="12" t="s">
        <v>21</v>
      </c>
      <c r="B416" s="12" t="s">
        <v>435</v>
      </c>
      <c r="C416" s="12" t="s">
        <v>23</v>
      </c>
      <c r="D416" s="13">
        <v>46225.478865740741</v>
      </c>
      <c r="E416" s="12" t="s">
        <v>436</v>
      </c>
      <c r="F416" s="12" t="s">
        <v>262</v>
      </c>
      <c r="G416" s="12">
        <v>1200</v>
      </c>
      <c r="H416" s="12">
        <v>1200</v>
      </c>
      <c r="I416" s="14"/>
      <c r="J416" s="14" t="s">
        <v>26</v>
      </c>
      <c r="K416" s="12" t="s">
        <v>27</v>
      </c>
      <c r="L416" s="15"/>
      <c r="M416" s="12" t="s">
        <v>28</v>
      </c>
      <c r="N416" s="12"/>
      <c r="O416" s="12"/>
      <c r="P416" s="12"/>
      <c r="Q416" s="16">
        <v>0</v>
      </c>
      <c r="R416" s="16">
        <v>0</v>
      </c>
      <c r="S416" s="16"/>
      <c r="T416" s="16" t="e">
        <v>#N/A</v>
      </c>
      <c r="U416" s="16" t="e">
        <v>#N/A</v>
      </c>
    </row>
    <row r="417" spans="1:21" x14ac:dyDescent="0.25">
      <c r="A417" s="12" t="s">
        <v>21</v>
      </c>
      <c r="B417" s="12" t="s">
        <v>435</v>
      </c>
      <c r="C417" s="12" t="s">
        <v>23</v>
      </c>
      <c r="D417" s="13">
        <v>46225.478865740741</v>
      </c>
      <c r="E417" s="12" t="s">
        <v>436</v>
      </c>
      <c r="F417" s="12" t="s">
        <v>439</v>
      </c>
      <c r="G417" s="12">
        <v>240</v>
      </c>
      <c r="H417" s="12">
        <v>240</v>
      </c>
      <c r="I417" s="14"/>
      <c r="J417" s="14" t="s">
        <v>26</v>
      </c>
      <c r="K417" s="12" t="s">
        <v>27</v>
      </c>
      <c r="L417" s="15"/>
      <c r="M417" s="12" t="s">
        <v>28</v>
      </c>
      <c r="N417" s="12"/>
      <c r="O417" s="12"/>
      <c r="P417" s="12"/>
      <c r="Q417" s="16">
        <v>0</v>
      </c>
      <c r="R417" s="16">
        <v>0</v>
      </c>
      <c r="S417" s="16"/>
      <c r="T417" s="16" t="e">
        <v>#N/A</v>
      </c>
      <c r="U417" s="16" t="e">
        <v>#N/A</v>
      </c>
    </row>
    <row r="418" spans="1:21" x14ac:dyDescent="0.25">
      <c r="A418" s="12" t="s">
        <v>21</v>
      </c>
      <c r="B418" s="12" t="s">
        <v>435</v>
      </c>
      <c r="C418" s="12" t="s">
        <v>23</v>
      </c>
      <c r="D418" s="13">
        <v>46225.478865740741</v>
      </c>
      <c r="E418" s="12" t="s">
        <v>436</v>
      </c>
      <c r="F418" s="12" t="s">
        <v>263</v>
      </c>
      <c r="G418" s="12">
        <v>180</v>
      </c>
      <c r="H418" s="12">
        <v>180</v>
      </c>
      <c r="I418" s="14"/>
      <c r="J418" s="14" t="s">
        <v>26</v>
      </c>
      <c r="K418" s="12" t="s">
        <v>27</v>
      </c>
      <c r="L418" s="15"/>
      <c r="M418" s="12" t="s">
        <v>28</v>
      </c>
      <c r="N418" s="12"/>
      <c r="O418" s="12"/>
      <c r="P418" s="12"/>
      <c r="Q418" s="16">
        <v>0</v>
      </c>
      <c r="R418" s="16">
        <v>3200</v>
      </c>
      <c r="S418" s="16"/>
      <c r="T418" s="16" t="e">
        <v>#N/A</v>
      </c>
      <c r="U418" s="16" t="e">
        <v>#N/A</v>
      </c>
    </row>
    <row r="419" spans="1:21" x14ac:dyDescent="0.25">
      <c r="A419" s="12" t="s">
        <v>21</v>
      </c>
      <c r="B419" s="12" t="s">
        <v>440</v>
      </c>
      <c r="C419" s="12" t="s">
        <v>23</v>
      </c>
      <c r="D419" s="13">
        <v>46225.543773148151</v>
      </c>
      <c r="E419" s="12" t="s">
        <v>436</v>
      </c>
      <c r="F419" s="12" t="s">
        <v>441</v>
      </c>
      <c r="G419" s="12">
        <v>8</v>
      </c>
      <c r="H419" s="12">
        <v>8</v>
      </c>
      <c r="I419" s="14"/>
      <c r="J419" s="14" t="s">
        <v>61</v>
      </c>
      <c r="K419" s="12" t="s">
        <v>27</v>
      </c>
      <c r="L419" s="15"/>
      <c r="M419" s="12" t="s">
        <v>28</v>
      </c>
      <c r="N419" s="12"/>
      <c r="O419" s="12"/>
      <c r="P419" s="12"/>
      <c r="Q419" s="16">
        <v>8</v>
      </c>
      <c r="R419" s="16">
        <v>0</v>
      </c>
      <c r="S419" s="16">
        <v>7</v>
      </c>
      <c r="T419" s="16" t="e">
        <v>#N/A</v>
      </c>
      <c r="U419" s="16" t="e">
        <v>#N/A</v>
      </c>
    </row>
    <row r="420" spans="1:21" x14ac:dyDescent="0.25">
      <c r="A420" s="12" t="s">
        <v>21</v>
      </c>
      <c r="B420" s="12" t="s">
        <v>440</v>
      </c>
      <c r="C420" s="12" t="s">
        <v>23</v>
      </c>
      <c r="D420" s="13">
        <v>46225.543773148151</v>
      </c>
      <c r="E420" s="12" t="s">
        <v>436</v>
      </c>
      <c r="F420" s="12" t="s">
        <v>442</v>
      </c>
      <c r="G420" s="12">
        <v>20</v>
      </c>
      <c r="H420" s="12">
        <v>20</v>
      </c>
      <c r="I420" s="14"/>
      <c r="J420" s="14" t="s">
        <v>61</v>
      </c>
      <c r="K420" s="12" t="s">
        <v>27</v>
      </c>
      <c r="L420" s="15"/>
      <c r="M420" s="12" t="s">
        <v>28</v>
      </c>
      <c r="N420" s="12"/>
      <c r="O420" s="12"/>
      <c r="P420" s="12"/>
      <c r="Q420" s="16">
        <v>20</v>
      </c>
      <c r="R420" s="16">
        <v>0</v>
      </c>
      <c r="S420" s="16">
        <v>10</v>
      </c>
      <c r="T420" s="16" t="e">
        <v>#N/A</v>
      </c>
      <c r="U420" s="16" t="e">
        <v>#N/A</v>
      </c>
    </row>
    <row r="421" spans="1:21" x14ac:dyDescent="0.25">
      <c r="A421" s="12" t="s">
        <v>21</v>
      </c>
      <c r="B421" s="12" t="s">
        <v>440</v>
      </c>
      <c r="C421" s="12" t="s">
        <v>23</v>
      </c>
      <c r="D421" s="13">
        <v>46225.543773148151</v>
      </c>
      <c r="E421" s="12" t="s">
        <v>436</v>
      </c>
      <c r="F421" s="12" t="s">
        <v>71</v>
      </c>
      <c r="G421" s="12">
        <v>40</v>
      </c>
      <c r="H421" s="12">
        <v>40</v>
      </c>
      <c r="I421" s="14"/>
      <c r="J421" s="14" t="s">
        <v>61</v>
      </c>
      <c r="K421" s="12" t="s">
        <v>27</v>
      </c>
      <c r="L421" s="15"/>
      <c r="M421" s="12" t="s">
        <v>28</v>
      </c>
      <c r="N421" s="12"/>
      <c r="O421" s="12"/>
      <c r="P421" s="12"/>
      <c r="Q421" s="16">
        <v>20</v>
      </c>
      <c r="R421" s="16">
        <v>0</v>
      </c>
      <c r="S421" s="16"/>
      <c r="T421" s="16" t="e">
        <v>#N/A</v>
      </c>
      <c r="U421" s="16" t="e">
        <v>#N/A</v>
      </c>
    </row>
    <row r="422" spans="1:21" x14ac:dyDescent="0.25">
      <c r="A422" s="12" t="s">
        <v>21</v>
      </c>
      <c r="B422" s="12" t="s">
        <v>440</v>
      </c>
      <c r="C422" s="12" t="s">
        <v>23</v>
      </c>
      <c r="D422" s="13">
        <v>46225.543773148151</v>
      </c>
      <c r="E422" s="12" t="s">
        <v>436</v>
      </c>
      <c r="F422" s="12" t="s">
        <v>443</v>
      </c>
      <c r="G422" s="12">
        <v>48</v>
      </c>
      <c r="H422" s="12">
        <v>48</v>
      </c>
      <c r="I422" s="14"/>
      <c r="J422" s="14" t="s">
        <v>61</v>
      </c>
      <c r="K422" s="12" t="s">
        <v>27</v>
      </c>
      <c r="L422" s="15"/>
      <c r="M422" s="12" t="s">
        <v>28</v>
      </c>
      <c r="N422" s="12"/>
      <c r="O422" s="12"/>
      <c r="P422" s="12"/>
      <c r="Q422" s="16">
        <v>36</v>
      </c>
      <c r="R422" s="16">
        <v>0</v>
      </c>
      <c r="S422" s="16">
        <v>38</v>
      </c>
      <c r="T422" s="16" t="e">
        <v>#N/A</v>
      </c>
      <c r="U422" s="16" t="e">
        <v>#N/A</v>
      </c>
    </row>
    <row r="423" spans="1:21" x14ac:dyDescent="0.25">
      <c r="A423" s="12" t="s">
        <v>21</v>
      </c>
      <c r="B423" s="12" t="s">
        <v>440</v>
      </c>
      <c r="C423" s="12" t="s">
        <v>23</v>
      </c>
      <c r="D423" s="13">
        <v>46225.543773148151</v>
      </c>
      <c r="E423" s="12" t="s">
        <v>436</v>
      </c>
      <c r="F423" s="12" t="s">
        <v>320</v>
      </c>
      <c r="G423" s="12">
        <v>90</v>
      </c>
      <c r="H423" s="12">
        <v>90</v>
      </c>
      <c r="I423" s="14"/>
      <c r="J423" s="14" t="s">
        <v>26</v>
      </c>
      <c r="K423" s="12" t="s">
        <v>27</v>
      </c>
      <c r="L423" s="15"/>
      <c r="M423" s="12" t="s">
        <v>28</v>
      </c>
      <c r="N423" s="12"/>
      <c r="O423" s="12"/>
      <c r="P423" s="12"/>
      <c r="Q423" s="16">
        <v>0</v>
      </c>
      <c r="R423" s="16">
        <v>1</v>
      </c>
      <c r="S423" s="16"/>
      <c r="T423" s="16" t="e">
        <v>#N/A</v>
      </c>
      <c r="U423" s="16" t="e">
        <v>#N/A</v>
      </c>
    </row>
    <row r="424" spans="1:21" x14ac:dyDescent="0.25">
      <c r="A424" s="12" t="s">
        <v>21</v>
      </c>
      <c r="B424" s="12" t="s">
        <v>444</v>
      </c>
      <c r="C424" s="12" t="s">
        <v>23</v>
      </c>
      <c r="D424" s="13">
        <v>46226.387731481482</v>
      </c>
      <c r="E424" s="12" t="s">
        <v>340</v>
      </c>
      <c r="F424" s="12" t="s">
        <v>157</v>
      </c>
      <c r="G424" s="12">
        <v>57</v>
      </c>
      <c r="H424" s="12">
        <v>57</v>
      </c>
      <c r="I424" s="14"/>
      <c r="J424" s="14" t="s">
        <v>26</v>
      </c>
      <c r="K424" s="12" t="s">
        <v>445</v>
      </c>
      <c r="L424" s="15">
        <v>1</v>
      </c>
      <c r="M424" s="12" t="s">
        <v>150</v>
      </c>
      <c r="N424" s="12">
        <v>45</v>
      </c>
      <c r="O424" s="12">
        <v>45</v>
      </c>
      <c r="P424" s="12">
        <v>0</v>
      </c>
      <c r="Q424" s="16">
        <v>0</v>
      </c>
      <c r="R424" s="16">
        <v>0</v>
      </c>
      <c r="S424" s="16">
        <v>12</v>
      </c>
      <c r="T424" s="16" t="e">
        <v>#N/A</v>
      </c>
      <c r="U424" s="16" t="e">
        <v>#N/A</v>
      </c>
    </row>
    <row r="425" spans="1:21" x14ac:dyDescent="0.25">
      <c r="A425" s="12" t="s">
        <v>21</v>
      </c>
      <c r="B425" s="12" t="s">
        <v>444</v>
      </c>
      <c r="C425" s="12" t="s">
        <v>23</v>
      </c>
      <c r="D425" s="13">
        <v>46226.387731481482</v>
      </c>
      <c r="E425" s="12" t="s">
        <v>340</v>
      </c>
      <c r="F425" s="12" t="s">
        <v>412</v>
      </c>
      <c r="G425" s="12">
        <v>131</v>
      </c>
      <c r="H425" s="12">
        <v>131</v>
      </c>
      <c r="I425" s="14"/>
      <c r="J425" s="14" t="s">
        <v>26</v>
      </c>
      <c r="K425" s="12" t="s">
        <v>27</v>
      </c>
      <c r="L425" s="15"/>
      <c r="M425" s="12" t="s">
        <v>28</v>
      </c>
      <c r="N425" s="12"/>
      <c r="O425" s="12"/>
      <c r="P425" s="12"/>
      <c r="Q425" s="16">
        <v>0</v>
      </c>
      <c r="R425" s="16">
        <v>0</v>
      </c>
      <c r="S425" s="16">
        <v>71</v>
      </c>
      <c r="T425" s="16" t="e">
        <v>#N/A</v>
      </c>
      <c r="U425" s="16" t="e">
        <v>#N/A</v>
      </c>
    </row>
    <row r="426" spans="1:21" x14ac:dyDescent="0.25">
      <c r="A426" s="12" t="s">
        <v>21</v>
      </c>
      <c r="B426" s="12" t="s">
        <v>444</v>
      </c>
      <c r="C426" s="12" t="s">
        <v>23</v>
      </c>
      <c r="D426" s="13">
        <v>46226.387731481482</v>
      </c>
      <c r="E426" s="12" t="s">
        <v>340</v>
      </c>
      <c r="F426" s="12" t="s">
        <v>159</v>
      </c>
      <c r="G426" s="12">
        <v>55</v>
      </c>
      <c r="H426" s="12">
        <v>55</v>
      </c>
      <c r="I426" s="14"/>
      <c r="J426" s="14" t="s">
        <v>26</v>
      </c>
      <c r="K426" s="12" t="s">
        <v>27</v>
      </c>
      <c r="L426" s="15"/>
      <c r="M426" s="12" t="s">
        <v>28</v>
      </c>
      <c r="N426" s="12"/>
      <c r="O426" s="12"/>
      <c r="P426" s="12"/>
      <c r="Q426" s="16">
        <v>0</v>
      </c>
      <c r="R426" s="16">
        <v>0</v>
      </c>
      <c r="S426" s="16"/>
      <c r="T426" s="16" t="e">
        <v>#N/A</v>
      </c>
      <c r="U426" s="16" t="e">
        <v>#N/A</v>
      </c>
    </row>
    <row r="427" spans="1:21" x14ac:dyDescent="0.25">
      <c r="A427" s="12" t="s">
        <v>21</v>
      </c>
      <c r="B427" s="12" t="s">
        <v>444</v>
      </c>
      <c r="C427" s="12" t="s">
        <v>23</v>
      </c>
      <c r="D427" s="13">
        <v>46226.387731481482</v>
      </c>
      <c r="E427" s="12" t="s">
        <v>340</v>
      </c>
      <c r="F427" s="12" t="s">
        <v>283</v>
      </c>
      <c r="G427" s="12">
        <v>14</v>
      </c>
      <c r="H427" s="12">
        <v>14</v>
      </c>
      <c r="I427" s="14"/>
      <c r="J427" s="14" t="s">
        <v>61</v>
      </c>
      <c r="K427" s="12" t="s">
        <v>27</v>
      </c>
      <c r="L427" s="15"/>
      <c r="M427" s="12" t="s">
        <v>28</v>
      </c>
      <c r="N427" s="12"/>
      <c r="O427" s="12"/>
      <c r="P427" s="12"/>
      <c r="Q427" s="16">
        <v>53</v>
      </c>
      <c r="R427" s="16">
        <v>0</v>
      </c>
      <c r="S427" s="16">
        <v>13</v>
      </c>
      <c r="T427" s="16" t="e">
        <v>#N/A</v>
      </c>
      <c r="U427" s="16" t="e">
        <v>#N/A</v>
      </c>
    </row>
    <row r="428" spans="1:21" x14ac:dyDescent="0.25">
      <c r="A428" s="12" t="s">
        <v>21</v>
      </c>
      <c r="B428" s="12" t="s">
        <v>444</v>
      </c>
      <c r="C428" s="12" t="s">
        <v>23</v>
      </c>
      <c r="D428" s="13">
        <v>46226.387731481482</v>
      </c>
      <c r="E428" s="12" t="s">
        <v>340</v>
      </c>
      <c r="F428" s="12" t="s">
        <v>446</v>
      </c>
      <c r="G428" s="12">
        <v>38</v>
      </c>
      <c r="H428" s="12">
        <v>38</v>
      </c>
      <c r="I428" s="14"/>
      <c r="J428" s="14" t="s">
        <v>26</v>
      </c>
      <c r="K428" s="12" t="s">
        <v>27</v>
      </c>
      <c r="L428" s="15"/>
      <c r="M428" s="12" t="s">
        <v>28</v>
      </c>
      <c r="N428" s="12"/>
      <c r="O428" s="12"/>
      <c r="P428" s="12"/>
      <c r="Q428" s="16">
        <v>0</v>
      </c>
      <c r="R428" s="16">
        <v>0</v>
      </c>
      <c r="S428" s="16"/>
      <c r="T428" s="16" t="e">
        <v>#N/A</v>
      </c>
      <c r="U428" s="16" t="e">
        <v>#N/A</v>
      </c>
    </row>
    <row r="429" spans="1:21" x14ac:dyDescent="0.25">
      <c r="A429" s="12" t="s">
        <v>21</v>
      </c>
      <c r="B429" s="12" t="s">
        <v>444</v>
      </c>
      <c r="C429" s="12" t="s">
        <v>23</v>
      </c>
      <c r="D429" s="13">
        <v>46226.387731481482</v>
      </c>
      <c r="E429" s="12" t="s">
        <v>340</v>
      </c>
      <c r="F429" s="12" t="s">
        <v>447</v>
      </c>
      <c r="G429" s="12">
        <v>11</v>
      </c>
      <c r="H429" s="12">
        <v>11</v>
      </c>
      <c r="I429" s="14"/>
      <c r="J429" s="14" t="s">
        <v>26</v>
      </c>
      <c r="K429" s="12" t="s">
        <v>27</v>
      </c>
      <c r="L429" s="15"/>
      <c r="M429" s="12" t="s">
        <v>28</v>
      </c>
      <c r="N429" s="12"/>
      <c r="O429" s="12"/>
      <c r="P429" s="12"/>
      <c r="Q429" s="16">
        <v>0</v>
      </c>
      <c r="R429" s="16">
        <v>0</v>
      </c>
      <c r="S429" s="16"/>
      <c r="T429" s="16" t="e">
        <v>#N/A</v>
      </c>
      <c r="U429" s="16" t="e">
        <v>#N/A</v>
      </c>
    </row>
    <row r="430" spans="1:21" x14ac:dyDescent="0.25">
      <c r="A430" s="12" t="s">
        <v>21</v>
      </c>
      <c r="B430" s="12" t="s">
        <v>444</v>
      </c>
      <c r="C430" s="12" t="s">
        <v>23</v>
      </c>
      <c r="D430" s="13">
        <v>46226.387731481482</v>
      </c>
      <c r="E430" s="12" t="s">
        <v>340</v>
      </c>
      <c r="F430" s="12" t="s">
        <v>401</v>
      </c>
      <c r="G430" s="12">
        <v>2</v>
      </c>
      <c r="H430" s="12">
        <v>2</v>
      </c>
      <c r="I430" s="14"/>
      <c r="J430" s="14" t="s">
        <v>61</v>
      </c>
      <c r="K430" s="12" t="s">
        <v>27</v>
      </c>
      <c r="L430" s="15"/>
      <c r="M430" s="12" t="s">
        <v>28</v>
      </c>
      <c r="N430" s="12"/>
      <c r="O430" s="12"/>
      <c r="P430" s="12"/>
      <c r="Q430" s="16">
        <v>9</v>
      </c>
      <c r="R430" s="16">
        <v>0</v>
      </c>
      <c r="S430" s="16">
        <v>1</v>
      </c>
      <c r="T430" s="16" t="e">
        <v>#N/A</v>
      </c>
      <c r="U430" s="16" t="e">
        <v>#N/A</v>
      </c>
    </row>
    <row r="431" spans="1:21" x14ac:dyDescent="0.25">
      <c r="A431" s="12" t="s">
        <v>21</v>
      </c>
      <c r="B431" s="12" t="s">
        <v>444</v>
      </c>
      <c r="C431" s="12" t="s">
        <v>23</v>
      </c>
      <c r="D431" s="13">
        <v>46226.387731481482</v>
      </c>
      <c r="E431" s="12" t="s">
        <v>340</v>
      </c>
      <c r="F431" s="12" t="s">
        <v>448</v>
      </c>
      <c r="G431" s="12">
        <v>450</v>
      </c>
      <c r="H431" s="12">
        <v>450</v>
      </c>
      <c r="I431" s="14"/>
      <c r="J431" s="14" t="s">
        <v>26</v>
      </c>
      <c r="K431" s="12" t="s">
        <v>27</v>
      </c>
      <c r="L431" s="15"/>
      <c r="M431" s="12" t="s">
        <v>28</v>
      </c>
      <c r="N431" s="12"/>
      <c r="O431" s="12"/>
      <c r="P431" s="12"/>
      <c r="Q431" s="16">
        <v>0</v>
      </c>
      <c r="R431" s="16">
        <v>0</v>
      </c>
      <c r="S431" s="16"/>
      <c r="T431" s="16" t="e">
        <v>#N/A</v>
      </c>
      <c r="U431" s="16" t="e">
        <v>#N/A</v>
      </c>
    </row>
    <row r="432" spans="1:21" x14ac:dyDescent="0.25">
      <c r="A432" s="12" t="s">
        <v>21</v>
      </c>
      <c r="B432" s="12" t="s">
        <v>444</v>
      </c>
      <c r="C432" s="12" t="s">
        <v>23</v>
      </c>
      <c r="D432" s="13">
        <v>46226.387731481482</v>
      </c>
      <c r="E432" s="12" t="s">
        <v>340</v>
      </c>
      <c r="F432" s="12" t="s">
        <v>449</v>
      </c>
      <c r="G432" s="12">
        <v>1300</v>
      </c>
      <c r="H432" s="12">
        <v>1300</v>
      </c>
      <c r="I432" s="14"/>
      <c r="J432" s="14" t="s">
        <v>26</v>
      </c>
      <c r="K432" s="12" t="s">
        <v>27</v>
      </c>
      <c r="L432" s="15"/>
      <c r="M432" s="12" t="s">
        <v>28</v>
      </c>
      <c r="N432" s="12"/>
      <c r="O432" s="12"/>
      <c r="P432" s="12"/>
      <c r="Q432" s="16">
        <v>0</v>
      </c>
      <c r="R432" s="16">
        <v>0</v>
      </c>
      <c r="S432" s="16"/>
      <c r="T432" s="16" t="e">
        <v>#N/A</v>
      </c>
      <c r="U432" s="16" t="e">
        <v>#N/A</v>
      </c>
    </row>
    <row r="433" spans="1:21" x14ac:dyDescent="0.25">
      <c r="A433" s="12" t="s">
        <v>21</v>
      </c>
      <c r="B433" s="12" t="s">
        <v>444</v>
      </c>
      <c r="C433" s="12" t="s">
        <v>23</v>
      </c>
      <c r="D433" s="13">
        <v>46226.387731481482</v>
      </c>
      <c r="E433" s="12" t="s">
        <v>340</v>
      </c>
      <c r="F433" s="12" t="s">
        <v>277</v>
      </c>
      <c r="G433" s="12">
        <v>8</v>
      </c>
      <c r="H433" s="12">
        <v>8</v>
      </c>
      <c r="I433" s="14"/>
      <c r="J433" s="14" t="s">
        <v>26</v>
      </c>
      <c r="K433" s="12" t="s">
        <v>27</v>
      </c>
      <c r="L433" s="15"/>
      <c r="M433" s="12" t="s">
        <v>28</v>
      </c>
      <c r="N433" s="12"/>
      <c r="O433" s="12"/>
      <c r="P433" s="12"/>
      <c r="Q433" s="16">
        <v>0</v>
      </c>
      <c r="R433" s="16">
        <v>0</v>
      </c>
      <c r="S433" s="16"/>
      <c r="T433" s="16" t="e">
        <v>#N/A</v>
      </c>
      <c r="U433" s="16" t="e">
        <v>#N/A</v>
      </c>
    </row>
    <row r="434" spans="1:21" x14ac:dyDescent="0.25">
      <c r="A434" s="12" t="s">
        <v>21</v>
      </c>
      <c r="B434" s="12" t="s">
        <v>444</v>
      </c>
      <c r="C434" s="12" t="s">
        <v>23</v>
      </c>
      <c r="D434" s="13">
        <v>46226.387731481482</v>
      </c>
      <c r="E434" s="12" t="s">
        <v>340</v>
      </c>
      <c r="F434" s="12" t="s">
        <v>450</v>
      </c>
      <c r="G434" s="12">
        <v>1400</v>
      </c>
      <c r="H434" s="12">
        <v>1400</v>
      </c>
      <c r="I434" s="14"/>
      <c r="J434" s="14" t="s">
        <v>26</v>
      </c>
      <c r="K434" s="12" t="s">
        <v>27</v>
      </c>
      <c r="L434" s="15"/>
      <c r="M434" s="12" t="s">
        <v>28</v>
      </c>
      <c r="N434" s="12"/>
      <c r="O434" s="12"/>
      <c r="P434" s="12"/>
      <c r="Q434" s="16">
        <v>0</v>
      </c>
      <c r="R434" s="16">
        <v>0</v>
      </c>
      <c r="S434" s="16"/>
      <c r="T434" s="16" t="e">
        <v>#N/A</v>
      </c>
      <c r="U434" s="16" t="e">
        <v>#N/A</v>
      </c>
    </row>
    <row r="435" spans="1:21" x14ac:dyDescent="0.25">
      <c r="A435" s="12" t="s">
        <v>21</v>
      </c>
      <c r="B435" s="12" t="s">
        <v>451</v>
      </c>
      <c r="C435" s="12" t="s">
        <v>23</v>
      </c>
      <c r="D435" s="13">
        <v>46226.41915509259</v>
      </c>
      <c r="E435" s="12" t="s">
        <v>193</v>
      </c>
      <c r="F435" s="12" t="s">
        <v>157</v>
      </c>
      <c r="G435" s="12">
        <v>10</v>
      </c>
      <c r="H435" s="12">
        <v>10</v>
      </c>
      <c r="I435" s="14"/>
      <c r="J435" s="14" t="s">
        <v>26</v>
      </c>
      <c r="K435" s="12" t="s">
        <v>27</v>
      </c>
      <c r="L435" s="15"/>
      <c r="M435" s="12" t="s">
        <v>28</v>
      </c>
      <c r="N435" s="12"/>
      <c r="O435" s="12"/>
      <c r="P435" s="12"/>
      <c r="Q435" s="16">
        <v>0</v>
      </c>
      <c r="R435" s="16">
        <v>0</v>
      </c>
      <c r="S435" s="16"/>
      <c r="T435" s="16" t="e">
        <v>#N/A</v>
      </c>
      <c r="U435" s="16" t="e">
        <v>#N/A</v>
      </c>
    </row>
    <row r="436" spans="1:21" x14ac:dyDescent="0.25">
      <c r="A436" s="12" t="s">
        <v>21</v>
      </c>
      <c r="B436" s="12" t="s">
        <v>451</v>
      </c>
      <c r="C436" s="12" t="s">
        <v>23</v>
      </c>
      <c r="D436" s="13">
        <v>46226.41915509259</v>
      </c>
      <c r="E436" s="12" t="s">
        <v>193</v>
      </c>
      <c r="F436" s="12" t="s">
        <v>158</v>
      </c>
      <c r="G436" s="12">
        <v>60</v>
      </c>
      <c r="H436" s="12">
        <v>60</v>
      </c>
      <c r="I436" s="14"/>
      <c r="J436" s="14" t="s">
        <v>61</v>
      </c>
      <c r="K436" s="12" t="s">
        <v>27</v>
      </c>
      <c r="L436" s="15"/>
      <c r="M436" s="12" t="s">
        <v>28</v>
      </c>
      <c r="N436" s="12"/>
      <c r="O436" s="12"/>
      <c r="P436" s="12"/>
      <c r="Q436" s="16">
        <v>60</v>
      </c>
      <c r="R436" s="16">
        <v>0</v>
      </c>
      <c r="S436" s="16"/>
      <c r="T436" s="16" t="e">
        <v>#N/A</v>
      </c>
      <c r="U436" s="16" t="e">
        <v>#N/A</v>
      </c>
    </row>
    <row r="437" spans="1:21" x14ac:dyDescent="0.25">
      <c r="A437" s="12" t="s">
        <v>21</v>
      </c>
      <c r="B437" s="12" t="s">
        <v>451</v>
      </c>
      <c r="C437" s="12" t="s">
        <v>23</v>
      </c>
      <c r="D437" s="13">
        <v>46226.41915509259</v>
      </c>
      <c r="E437" s="12" t="s">
        <v>193</v>
      </c>
      <c r="F437" s="12" t="s">
        <v>159</v>
      </c>
      <c r="G437" s="12">
        <v>20</v>
      </c>
      <c r="H437" s="12">
        <v>20</v>
      </c>
      <c r="I437" s="14"/>
      <c r="J437" s="14" t="s">
        <v>26</v>
      </c>
      <c r="K437" s="12" t="s">
        <v>27</v>
      </c>
      <c r="L437" s="15"/>
      <c r="M437" s="12" t="s">
        <v>28</v>
      </c>
      <c r="N437" s="12"/>
      <c r="O437" s="12"/>
      <c r="P437" s="12"/>
      <c r="Q437" s="16">
        <v>0</v>
      </c>
      <c r="R437" s="16">
        <v>0</v>
      </c>
      <c r="S437" s="16"/>
      <c r="T437" s="16" t="e">
        <v>#N/A</v>
      </c>
      <c r="U437" s="16" t="e">
        <v>#N/A</v>
      </c>
    </row>
    <row r="438" spans="1:21" x14ac:dyDescent="0.25">
      <c r="A438" s="12" t="s">
        <v>21</v>
      </c>
      <c r="B438" s="12" t="s">
        <v>451</v>
      </c>
      <c r="C438" s="12" t="s">
        <v>23</v>
      </c>
      <c r="D438" s="13">
        <v>46226.41915509259</v>
      </c>
      <c r="E438" s="12" t="s">
        <v>193</v>
      </c>
      <c r="F438" s="12" t="s">
        <v>452</v>
      </c>
      <c r="G438" s="12">
        <v>40</v>
      </c>
      <c r="H438" s="12">
        <v>40</v>
      </c>
      <c r="I438" s="14"/>
      <c r="J438" s="14" t="s">
        <v>61</v>
      </c>
      <c r="K438" s="12" t="s">
        <v>27</v>
      </c>
      <c r="L438" s="15"/>
      <c r="M438" s="12" t="s">
        <v>28</v>
      </c>
      <c r="N438" s="12"/>
      <c r="O438" s="12"/>
      <c r="P438" s="12"/>
      <c r="Q438" s="16">
        <v>20</v>
      </c>
      <c r="R438" s="16">
        <v>71</v>
      </c>
      <c r="S438" s="16"/>
      <c r="T438" s="16" t="e">
        <v>#N/A</v>
      </c>
      <c r="U438" s="16" t="e">
        <v>#N/A</v>
      </c>
    </row>
    <row r="439" spans="1:21" x14ac:dyDescent="0.25">
      <c r="A439" s="12" t="s">
        <v>21</v>
      </c>
      <c r="B439" s="12" t="s">
        <v>451</v>
      </c>
      <c r="C439" s="12" t="s">
        <v>23</v>
      </c>
      <c r="D439" s="13">
        <v>46226.41915509259</v>
      </c>
      <c r="E439" s="12" t="s">
        <v>193</v>
      </c>
      <c r="F439" s="12" t="s">
        <v>246</v>
      </c>
      <c r="G439" s="12">
        <v>20</v>
      </c>
      <c r="H439" s="12">
        <v>20</v>
      </c>
      <c r="I439" s="14"/>
      <c r="J439" s="14" t="s">
        <v>26</v>
      </c>
      <c r="K439" s="12" t="s">
        <v>27</v>
      </c>
      <c r="L439" s="15"/>
      <c r="M439" s="12" t="s">
        <v>28</v>
      </c>
      <c r="N439" s="12"/>
      <c r="O439" s="12"/>
      <c r="P439" s="12"/>
      <c r="Q439" s="16">
        <v>0</v>
      </c>
      <c r="R439" s="16">
        <v>0</v>
      </c>
      <c r="S439" s="16"/>
      <c r="T439" s="16" t="e">
        <v>#N/A</v>
      </c>
      <c r="U439" s="16" t="e">
        <v>#N/A</v>
      </c>
    </row>
    <row r="440" spans="1:21" x14ac:dyDescent="0.25">
      <c r="A440" s="12" t="s">
        <v>21</v>
      </c>
      <c r="B440" s="12" t="s">
        <v>451</v>
      </c>
      <c r="C440" s="12" t="s">
        <v>23</v>
      </c>
      <c r="D440" s="13">
        <v>46226.41915509259</v>
      </c>
      <c r="E440" s="12" t="s">
        <v>193</v>
      </c>
      <c r="F440" s="12" t="s">
        <v>354</v>
      </c>
      <c r="G440" s="12">
        <v>10</v>
      </c>
      <c r="H440" s="12">
        <v>10</v>
      </c>
      <c r="I440" s="14"/>
      <c r="J440" s="14" t="s">
        <v>61</v>
      </c>
      <c r="K440" s="12" t="s">
        <v>27</v>
      </c>
      <c r="L440" s="15"/>
      <c r="M440" s="12" t="s">
        <v>28</v>
      </c>
      <c r="N440" s="12"/>
      <c r="O440" s="12"/>
      <c r="P440" s="12"/>
      <c r="Q440" s="16">
        <v>10</v>
      </c>
      <c r="R440" s="16">
        <v>0</v>
      </c>
      <c r="S440" s="16"/>
      <c r="T440" s="16" t="e">
        <v>#N/A</v>
      </c>
      <c r="U440" s="16" t="e">
        <v>#N/A</v>
      </c>
    </row>
    <row r="441" spans="1:21" x14ac:dyDescent="0.25">
      <c r="A441" s="12" t="s">
        <v>21</v>
      </c>
      <c r="B441" s="12" t="s">
        <v>451</v>
      </c>
      <c r="C441" s="12" t="s">
        <v>23</v>
      </c>
      <c r="D441" s="13">
        <v>46226.41915509259</v>
      </c>
      <c r="E441" s="12" t="s">
        <v>193</v>
      </c>
      <c r="F441" s="12" t="s">
        <v>261</v>
      </c>
      <c r="G441" s="12">
        <v>12</v>
      </c>
      <c r="H441" s="12">
        <v>12</v>
      </c>
      <c r="I441" s="14"/>
      <c r="J441" s="14" t="s">
        <v>61</v>
      </c>
      <c r="K441" s="12" t="s">
        <v>27</v>
      </c>
      <c r="L441" s="15"/>
      <c r="M441" s="12" t="s">
        <v>28</v>
      </c>
      <c r="N441" s="12"/>
      <c r="O441" s="12"/>
      <c r="P441" s="12"/>
      <c r="Q441" s="16">
        <v>16</v>
      </c>
      <c r="R441" s="16">
        <v>0</v>
      </c>
      <c r="S441" s="16"/>
      <c r="T441" s="16" t="e">
        <v>#N/A</v>
      </c>
      <c r="U441" s="16" t="e">
        <v>#N/A</v>
      </c>
    </row>
    <row r="442" spans="1:21" x14ac:dyDescent="0.25">
      <c r="A442" s="12" t="s">
        <v>21</v>
      </c>
      <c r="B442" s="12" t="s">
        <v>451</v>
      </c>
      <c r="C442" s="12" t="s">
        <v>23</v>
      </c>
      <c r="D442" s="13">
        <v>46226.41915509259</v>
      </c>
      <c r="E442" s="12" t="s">
        <v>193</v>
      </c>
      <c r="F442" s="12" t="s">
        <v>70</v>
      </c>
      <c r="G442" s="12">
        <v>80</v>
      </c>
      <c r="H442" s="12">
        <v>80</v>
      </c>
      <c r="I442" s="14"/>
      <c r="J442" s="14" t="s">
        <v>61</v>
      </c>
      <c r="K442" s="12" t="s">
        <v>27</v>
      </c>
      <c r="L442" s="15"/>
      <c r="M442" s="12" t="s">
        <v>28</v>
      </c>
      <c r="N442" s="12"/>
      <c r="O442" s="12"/>
      <c r="P442" s="12"/>
      <c r="Q442" s="16">
        <v>30</v>
      </c>
      <c r="R442" s="16">
        <v>0</v>
      </c>
      <c r="S442" s="16"/>
      <c r="T442" s="16" t="e">
        <v>#N/A</v>
      </c>
      <c r="U442" s="16" t="e">
        <v>#N/A</v>
      </c>
    </row>
    <row r="443" spans="1:21" x14ac:dyDescent="0.25">
      <c r="A443" s="12" t="s">
        <v>21</v>
      </c>
      <c r="B443" s="12" t="s">
        <v>451</v>
      </c>
      <c r="C443" s="12" t="s">
        <v>23</v>
      </c>
      <c r="D443" s="13">
        <v>46226.41915509259</v>
      </c>
      <c r="E443" s="12" t="s">
        <v>193</v>
      </c>
      <c r="F443" s="12" t="s">
        <v>71</v>
      </c>
      <c r="G443" s="12">
        <v>50</v>
      </c>
      <c r="H443" s="12">
        <v>50</v>
      </c>
      <c r="I443" s="14"/>
      <c r="J443" s="14" t="s">
        <v>61</v>
      </c>
      <c r="K443" s="12" t="s">
        <v>27</v>
      </c>
      <c r="L443" s="15"/>
      <c r="M443" s="12" t="s">
        <v>28</v>
      </c>
      <c r="N443" s="12"/>
      <c r="O443" s="12"/>
      <c r="P443" s="12"/>
      <c r="Q443" s="16">
        <v>20</v>
      </c>
      <c r="R443" s="16">
        <v>0</v>
      </c>
      <c r="S443" s="16"/>
      <c r="T443" s="16" t="e">
        <v>#N/A</v>
      </c>
      <c r="U443" s="16" t="e">
        <v>#N/A</v>
      </c>
    </row>
    <row r="444" spans="1:21" x14ac:dyDescent="0.25">
      <c r="A444" s="12" t="s">
        <v>21</v>
      </c>
      <c r="B444" s="12" t="s">
        <v>451</v>
      </c>
      <c r="C444" s="12" t="s">
        <v>23</v>
      </c>
      <c r="D444" s="13">
        <v>46226.41915509259</v>
      </c>
      <c r="E444" s="12" t="s">
        <v>193</v>
      </c>
      <c r="F444" s="12" t="s">
        <v>283</v>
      </c>
      <c r="G444" s="12">
        <v>80</v>
      </c>
      <c r="H444" s="12">
        <v>80</v>
      </c>
      <c r="I444" s="14"/>
      <c r="J444" s="14" t="s">
        <v>61</v>
      </c>
      <c r="K444" s="12" t="s">
        <v>27</v>
      </c>
      <c r="L444" s="15"/>
      <c r="M444" s="12" t="s">
        <v>28</v>
      </c>
      <c r="N444" s="12"/>
      <c r="O444" s="12"/>
      <c r="P444" s="12"/>
      <c r="Q444" s="16">
        <v>100</v>
      </c>
      <c r="R444" s="16">
        <v>0</v>
      </c>
      <c r="S444" s="16"/>
      <c r="T444" s="16" t="e">
        <v>#N/A</v>
      </c>
      <c r="U444" s="16" t="e">
        <v>#N/A</v>
      </c>
    </row>
    <row r="445" spans="1:21" x14ac:dyDescent="0.25">
      <c r="A445" s="12" t="s">
        <v>21</v>
      </c>
      <c r="B445" s="12" t="s">
        <v>451</v>
      </c>
      <c r="C445" s="12" t="s">
        <v>23</v>
      </c>
      <c r="D445" s="13">
        <v>46226.41915509259</v>
      </c>
      <c r="E445" s="12" t="s">
        <v>193</v>
      </c>
      <c r="F445" s="12" t="s">
        <v>268</v>
      </c>
      <c r="G445" s="12">
        <v>32</v>
      </c>
      <c r="H445" s="12">
        <v>32</v>
      </c>
      <c r="I445" s="14"/>
      <c r="J445" s="14" t="s">
        <v>61</v>
      </c>
      <c r="K445" s="12" t="s">
        <v>27</v>
      </c>
      <c r="L445" s="15"/>
      <c r="M445" s="12" t="s">
        <v>28</v>
      </c>
      <c r="N445" s="12"/>
      <c r="O445" s="12"/>
      <c r="P445" s="12"/>
      <c r="Q445" s="16">
        <v>24</v>
      </c>
      <c r="R445" s="16">
        <v>0</v>
      </c>
      <c r="S445" s="16"/>
      <c r="T445" s="16" t="e">
        <v>#N/A</v>
      </c>
      <c r="U445" s="16" t="e">
        <v>#N/A</v>
      </c>
    </row>
    <row r="446" spans="1:21" x14ac:dyDescent="0.25">
      <c r="A446" s="12" t="s">
        <v>21</v>
      </c>
      <c r="B446" s="12" t="s">
        <v>451</v>
      </c>
      <c r="C446" s="12" t="s">
        <v>23</v>
      </c>
      <c r="D446" s="13">
        <v>46226.41915509259</v>
      </c>
      <c r="E446" s="12" t="s">
        <v>193</v>
      </c>
      <c r="F446" s="12" t="s">
        <v>249</v>
      </c>
      <c r="G446" s="12">
        <v>5</v>
      </c>
      <c r="H446" s="12">
        <v>5</v>
      </c>
      <c r="I446" s="14"/>
      <c r="J446" s="14" t="s">
        <v>26</v>
      </c>
      <c r="K446" s="12" t="s">
        <v>27</v>
      </c>
      <c r="L446" s="15"/>
      <c r="M446" s="12" t="s">
        <v>28</v>
      </c>
      <c r="N446" s="12"/>
      <c r="O446" s="12"/>
      <c r="P446" s="12"/>
      <c r="Q446" s="16">
        <v>0</v>
      </c>
      <c r="R446" s="16">
        <v>0</v>
      </c>
      <c r="S446" s="16"/>
      <c r="T446" s="16" t="e">
        <v>#N/A</v>
      </c>
      <c r="U446" s="16" t="e">
        <v>#N/A</v>
      </c>
    </row>
    <row r="447" spans="1:21" x14ac:dyDescent="0.25">
      <c r="A447" s="12" t="s">
        <v>21</v>
      </c>
      <c r="B447" s="12" t="s">
        <v>451</v>
      </c>
      <c r="C447" s="12" t="s">
        <v>23</v>
      </c>
      <c r="D447" s="13">
        <v>46226.41915509259</v>
      </c>
      <c r="E447" s="12" t="s">
        <v>193</v>
      </c>
      <c r="F447" s="12" t="s">
        <v>453</v>
      </c>
      <c r="G447" s="12">
        <v>100</v>
      </c>
      <c r="H447" s="12">
        <v>80</v>
      </c>
      <c r="I447" s="14"/>
      <c r="J447" s="14" t="s">
        <v>61</v>
      </c>
      <c r="K447" s="12" t="s">
        <v>27</v>
      </c>
      <c r="L447" s="15"/>
      <c r="M447" s="12" t="s">
        <v>28</v>
      </c>
      <c r="N447" s="12"/>
      <c r="O447" s="12"/>
      <c r="P447" s="12"/>
      <c r="Q447" s="16">
        <v>50</v>
      </c>
      <c r="R447" s="16">
        <v>7</v>
      </c>
      <c r="S447" s="16"/>
      <c r="T447" s="16" t="e">
        <v>#N/A</v>
      </c>
      <c r="U447" s="16" t="e">
        <v>#N/A</v>
      </c>
    </row>
    <row r="448" spans="1:21" x14ac:dyDescent="0.25">
      <c r="A448" s="12" t="s">
        <v>21</v>
      </c>
      <c r="B448" s="12" t="s">
        <v>451</v>
      </c>
      <c r="C448" s="12" t="s">
        <v>23</v>
      </c>
      <c r="D448" s="13">
        <v>46226.41915509259</v>
      </c>
      <c r="E448" s="12" t="s">
        <v>193</v>
      </c>
      <c r="F448" s="12" t="s">
        <v>401</v>
      </c>
      <c r="G448" s="12">
        <v>32</v>
      </c>
      <c r="H448" s="12">
        <v>26</v>
      </c>
      <c r="I448" s="14"/>
      <c r="J448" s="14" t="s">
        <v>26</v>
      </c>
      <c r="K448" s="12" t="s">
        <v>27</v>
      </c>
      <c r="L448" s="15"/>
      <c r="M448" s="12" t="s">
        <v>28</v>
      </c>
      <c r="N448" s="12"/>
      <c r="O448" s="12"/>
      <c r="P448" s="12"/>
      <c r="Q448" s="16">
        <v>0</v>
      </c>
      <c r="R448" s="16">
        <v>0</v>
      </c>
      <c r="S448" s="16"/>
      <c r="T448" s="16" t="e">
        <v>#N/A</v>
      </c>
      <c r="U448" s="16" t="e">
        <v>#N/A</v>
      </c>
    </row>
    <row r="449" spans="1:21" x14ac:dyDescent="0.25">
      <c r="A449" s="12" t="s">
        <v>21</v>
      </c>
      <c r="B449" s="12" t="s">
        <v>451</v>
      </c>
      <c r="C449" s="12" t="s">
        <v>23</v>
      </c>
      <c r="D449" s="13">
        <v>46226.41915509259</v>
      </c>
      <c r="E449" s="12" t="s">
        <v>193</v>
      </c>
      <c r="F449" s="12" t="s">
        <v>454</v>
      </c>
      <c r="G449" s="12">
        <v>50</v>
      </c>
      <c r="H449" s="12">
        <v>50</v>
      </c>
      <c r="I449" s="14"/>
      <c r="J449" s="14" t="s">
        <v>61</v>
      </c>
      <c r="K449" s="12" t="s">
        <v>27</v>
      </c>
      <c r="L449" s="15"/>
      <c r="M449" s="12" t="s">
        <v>28</v>
      </c>
      <c r="N449" s="12"/>
      <c r="O449" s="12"/>
      <c r="P449" s="12"/>
      <c r="Q449" s="16">
        <v>50</v>
      </c>
      <c r="R449" s="16">
        <v>0</v>
      </c>
      <c r="S449" s="16"/>
      <c r="T449" s="16" t="e">
        <v>#N/A</v>
      </c>
      <c r="U449" s="16" t="e">
        <v>#N/A</v>
      </c>
    </row>
    <row r="450" spans="1:21" x14ac:dyDescent="0.25">
      <c r="A450" s="12" t="s">
        <v>21</v>
      </c>
      <c r="B450" s="12" t="s">
        <v>451</v>
      </c>
      <c r="C450" s="12" t="s">
        <v>23</v>
      </c>
      <c r="D450" s="13">
        <v>46226.41915509259</v>
      </c>
      <c r="E450" s="12" t="s">
        <v>193</v>
      </c>
      <c r="F450" s="12" t="s">
        <v>201</v>
      </c>
      <c r="G450" s="12">
        <v>20</v>
      </c>
      <c r="H450" s="12">
        <v>8</v>
      </c>
      <c r="I450" s="14"/>
      <c r="J450" s="14" t="s">
        <v>26</v>
      </c>
      <c r="K450" s="12" t="s">
        <v>27</v>
      </c>
      <c r="L450" s="15"/>
      <c r="M450" s="12" t="s">
        <v>28</v>
      </c>
      <c r="N450" s="12"/>
      <c r="O450" s="12"/>
      <c r="P450" s="12"/>
      <c r="Q450" s="16">
        <v>0</v>
      </c>
      <c r="R450" s="16">
        <v>0</v>
      </c>
      <c r="S450" s="16"/>
      <c r="T450" s="16" t="e">
        <v>#N/A</v>
      </c>
      <c r="U450" s="16" t="e">
        <v>#N/A</v>
      </c>
    </row>
    <row r="451" spans="1:21" x14ac:dyDescent="0.25">
      <c r="A451" s="12" t="s">
        <v>21</v>
      </c>
      <c r="B451" s="12" t="s">
        <v>451</v>
      </c>
      <c r="C451" s="12" t="s">
        <v>23</v>
      </c>
      <c r="D451" s="13">
        <v>46226.41915509259</v>
      </c>
      <c r="E451" s="12" t="s">
        <v>193</v>
      </c>
      <c r="F451" s="12" t="s">
        <v>135</v>
      </c>
      <c r="G451" s="12">
        <v>50</v>
      </c>
      <c r="H451" s="12">
        <v>10</v>
      </c>
      <c r="I451" s="14"/>
      <c r="J451" s="14" t="s">
        <v>61</v>
      </c>
      <c r="K451" s="12" t="s">
        <v>27</v>
      </c>
      <c r="L451" s="15"/>
      <c r="M451" s="12" t="s">
        <v>28</v>
      </c>
      <c r="N451" s="12"/>
      <c r="O451" s="12"/>
      <c r="P451" s="12"/>
      <c r="Q451" s="16">
        <v>24</v>
      </c>
      <c r="R451" s="16">
        <v>224</v>
      </c>
      <c r="S451" s="16"/>
      <c r="T451" s="16" t="e">
        <v>#N/A</v>
      </c>
      <c r="U451" s="16" t="e">
        <v>#N/A</v>
      </c>
    </row>
    <row r="452" spans="1:21" x14ac:dyDescent="0.25">
      <c r="A452" s="12" t="s">
        <v>21</v>
      </c>
      <c r="B452" s="12" t="s">
        <v>451</v>
      </c>
      <c r="C452" s="12" t="s">
        <v>23</v>
      </c>
      <c r="D452" s="13">
        <v>46226.41915509259</v>
      </c>
      <c r="E452" s="12" t="s">
        <v>193</v>
      </c>
      <c r="F452" s="12" t="s">
        <v>371</v>
      </c>
      <c r="G452" s="12">
        <v>300</v>
      </c>
      <c r="H452" s="12">
        <v>300</v>
      </c>
      <c r="I452" s="14"/>
      <c r="J452" s="14" t="s">
        <v>26</v>
      </c>
      <c r="K452" s="12" t="s">
        <v>27</v>
      </c>
      <c r="L452" s="15"/>
      <c r="M452" s="12" t="s">
        <v>28</v>
      </c>
      <c r="N452" s="12"/>
      <c r="O452" s="12"/>
      <c r="P452" s="12"/>
      <c r="Q452" s="16">
        <v>0</v>
      </c>
      <c r="R452" s="16">
        <v>1</v>
      </c>
      <c r="S452" s="16"/>
      <c r="T452" s="16" t="e">
        <v>#N/A</v>
      </c>
      <c r="U452" s="16" t="e">
        <v>#N/A</v>
      </c>
    </row>
    <row r="453" spans="1:21" x14ac:dyDescent="0.25">
      <c r="A453" s="12" t="s">
        <v>21</v>
      </c>
      <c r="B453" s="12" t="s">
        <v>455</v>
      </c>
      <c r="C453" s="12" t="s">
        <v>23</v>
      </c>
      <c r="D453" s="13">
        <v>46226.420208333337</v>
      </c>
      <c r="E453" s="12" t="s">
        <v>193</v>
      </c>
      <c r="F453" s="12" t="s">
        <v>456</v>
      </c>
      <c r="G453" s="12">
        <v>5</v>
      </c>
      <c r="H453" s="12">
        <v>5</v>
      </c>
      <c r="I453" s="14"/>
      <c r="J453" s="14" t="s">
        <v>26</v>
      </c>
      <c r="K453" s="12" t="s">
        <v>27</v>
      </c>
      <c r="L453" s="15"/>
      <c r="M453" s="12" t="s">
        <v>28</v>
      </c>
      <c r="N453" s="12"/>
      <c r="O453" s="12"/>
      <c r="P453" s="12"/>
      <c r="Q453" s="16">
        <v>0</v>
      </c>
      <c r="R453" s="16">
        <v>0</v>
      </c>
      <c r="S453" s="16"/>
      <c r="T453" s="16" t="e">
        <v>#N/A</v>
      </c>
      <c r="U453" s="16" t="e">
        <v>#N/A</v>
      </c>
    </row>
    <row r="454" spans="1:21" x14ac:dyDescent="0.25">
      <c r="A454" s="12" t="s">
        <v>21</v>
      </c>
      <c r="B454" s="12" t="s">
        <v>455</v>
      </c>
      <c r="C454" s="12" t="s">
        <v>23</v>
      </c>
      <c r="D454" s="13">
        <v>46226.420208333337</v>
      </c>
      <c r="E454" s="12" t="s">
        <v>193</v>
      </c>
      <c r="F454" s="12" t="s">
        <v>457</v>
      </c>
      <c r="G454" s="12">
        <v>15</v>
      </c>
      <c r="H454" s="12">
        <v>8</v>
      </c>
      <c r="I454" s="14"/>
      <c r="J454" s="14" t="s">
        <v>61</v>
      </c>
      <c r="K454" s="12" t="s">
        <v>27</v>
      </c>
      <c r="L454" s="15"/>
      <c r="M454" s="12" t="s">
        <v>28</v>
      </c>
      <c r="N454" s="12"/>
      <c r="O454" s="12"/>
      <c r="P454" s="12"/>
      <c r="Q454" s="16">
        <v>15</v>
      </c>
      <c r="R454" s="16">
        <v>0</v>
      </c>
      <c r="S454" s="16"/>
      <c r="T454" s="16" t="e">
        <v>#N/A</v>
      </c>
      <c r="U454" s="16" t="e">
        <v>#N/A</v>
      </c>
    </row>
    <row r="455" spans="1:21" x14ac:dyDescent="0.25">
      <c r="A455" s="12" t="s">
        <v>21</v>
      </c>
      <c r="B455" s="12" t="s">
        <v>458</v>
      </c>
      <c r="C455" s="12" t="s">
        <v>23</v>
      </c>
      <c r="D455" s="13">
        <v>46226.421122685184</v>
      </c>
      <c r="E455" s="12" t="s">
        <v>193</v>
      </c>
      <c r="F455" s="12" t="s">
        <v>459</v>
      </c>
      <c r="G455" s="12">
        <v>15</v>
      </c>
      <c r="H455" s="12">
        <v>2</v>
      </c>
      <c r="I455" s="14"/>
      <c r="J455" s="14" t="s">
        <v>61</v>
      </c>
      <c r="K455" s="12" t="s">
        <v>27</v>
      </c>
      <c r="L455" s="15"/>
      <c r="M455" s="12" t="s">
        <v>28</v>
      </c>
      <c r="N455" s="12"/>
      <c r="O455" s="12"/>
      <c r="P455" s="12"/>
      <c r="Q455" s="16">
        <v>15</v>
      </c>
      <c r="R455" s="16">
        <v>0</v>
      </c>
      <c r="S455" s="16">
        <v>1</v>
      </c>
      <c r="T455" s="16" t="e">
        <v>#N/A</v>
      </c>
      <c r="U455" s="16" t="e">
        <v>#N/A</v>
      </c>
    </row>
    <row r="456" spans="1:21" x14ac:dyDescent="0.25">
      <c r="A456" s="12" t="s">
        <v>21</v>
      </c>
      <c r="B456" s="12" t="s">
        <v>460</v>
      </c>
      <c r="C456" s="12" t="s">
        <v>23</v>
      </c>
      <c r="D456" s="13">
        <v>46226.502638888887</v>
      </c>
      <c r="E456" s="12" t="s">
        <v>195</v>
      </c>
      <c r="F456" s="12" t="s">
        <v>461</v>
      </c>
      <c r="G456" s="12">
        <v>5</v>
      </c>
      <c r="H456" s="12">
        <v>5</v>
      </c>
      <c r="I456" s="14"/>
      <c r="J456" s="14" t="s">
        <v>26</v>
      </c>
      <c r="K456" s="12" t="s">
        <v>27</v>
      </c>
      <c r="L456" s="15"/>
      <c r="M456" s="12" t="s">
        <v>28</v>
      </c>
      <c r="N456" s="12"/>
      <c r="O456" s="12"/>
      <c r="P456" s="12"/>
      <c r="Q456" s="16">
        <v>0</v>
      </c>
      <c r="R456" s="16">
        <v>127</v>
      </c>
      <c r="S456" s="16"/>
      <c r="T456" s="16" t="e">
        <v>#N/A</v>
      </c>
      <c r="U456" s="16" t="e">
        <v>#N/A</v>
      </c>
    </row>
    <row r="457" spans="1:21" x14ac:dyDescent="0.25">
      <c r="A457" s="12" t="s">
        <v>21</v>
      </c>
      <c r="B457" s="12" t="s">
        <v>460</v>
      </c>
      <c r="C457" s="12" t="s">
        <v>23</v>
      </c>
      <c r="D457" s="13">
        <v>46226.502638888887</v>
      </c>
      <c r="E457" s="12" t="s">
        <v>195</v>
      </c>
      <c r="F457" s="12" t="s">
        <v>462</v>
      </c>
      <c r="G457" s="12">
        <v>5</v>
      </c>
      <c r="H457" s="12">
        <v>5</v>
      </c>
      <c r="I457" s="14"/>
      <c r="J457" s="14" t="s">
        <v>26</v>
      </c>
      <c r="K457" s="12" t="s">
        <v>27</v>
      </c>
      <c r="L457" s="15"/>
      <c r="M457" s="12" t="s">
        <v>28</v>
      </c>
      <c r="N457" s="12"/>
      <c r="O457" s="12"/>
      <c r="P457" s="12"/>
      <c r="Q457" s="16">
        <v>0</v>
      </c>
      <c r="R457" s="16">
        <v>182</v>
      </c>
      <c r="S457" s="16"/>
      <c r="T457" s="16" t="e">
        <v>#N/A</v>
      </c>
      <c r="U457" s="16" t="e">
        <v>#N/A</v>
      </c>
    </row>
    <row r="458" spans="1:21" x14ac:dyDescent="0.25">
      <c r="A458" s="12" t="s">
        <v>21</v>
      </c>
      <c r="B458" s="12" t="s">
        <v>460</v>
      </c>
      <c r="C458" s="12" t="s">
        <v>23</v>
      </c>
      <c r="D458" s="13">
        <v>46226.502638888887</v>
      </c>
      <c r="E458" s="12" t="s">
        <v>195</v>
      </c>
      <c r="F458" s="12" t="s">
        <v>211</v>
      </c>
      <c r="G458" s="12">
        <v>5</v>
      </c>
      <c r="H458" s="12">
        <v>5</v>
      </c>
      <c r="I458" s="14"/>
      <c r="J458" s="14" t="s">
        <v>26</v>
      </c>
      <c r="K458" s="12" t="s">
        <v>27</v>
      </c>
      <c r="L458" s="15"/>
      <c r="M458" s="12" t="s">
        <v>28</v>
      </c>
      <c r="N458" s="12"/>
      <c r="O458" s="12"/>
      <c r="P458" s="12"/>
      <c r="Q458" s="16">
        <v>0</v>
      </c>
      <c r="R458" s="16">
        <v>0</v>
      </c>
      <c r="S458" s="16"/>
      <c r="T458" s="16" t="e">
        <v>#N/A</v>
      </c>
      <c r="U458" s="16" t="e">
        <v>#N/A</v>
      </c>
    </row>
    <row r="459" spans="1:21" x14ac:dyDescent="0.25">
      <c r="A459" s="12" t="s">
        <v>21</v>
      </c>
      <c r="B459" s="12" t="s">
        <v>460</v>
      </c>
      <c r="C459" s="12" t="s">
        <v>23</v>
      </c>
      <c r="D459" s="13">
        <v>46226.502638888887</v>
      </c>
      <c r="E459" s="12" t="s">
        <v>195</v>
      </c>
      <c r="F459" s="12" t="s">
        <v>90</v>
      </c>
      <c r="G459" s="12">
        <v>14</v>
      </c>
      <c r="H459" s="12">
        <v>14</v>
      </c>
      <c r="I459" s="14"/>
      <c r="J459" s="14" t="s">
        <v>26</v>
      </c>
      <c r="K459" s="12" t="s">
        <v>27</v>
      </c>
      <c r="L459" s="15"/>
      <c r="M459" s="12" t="s">
        <v>28</v>
      </c>
      <c r="N459" s="12"/>
      <c r="O459" s="12"/>
      <c r="P459" s="12"/>
      <c r="Q459" s="16">
        <v>0</v>
      </c>
      <c r="R459" s="16">
        <v>0</v>
      </c>
      <c r="S459" s="16"/>
      <c r="T459" s="16" t="e">
        <v>#N/A</v>
      </c>
      <c r="U459" s="16" t="e">
        <v>#N/A</v>
      </c>
    </row>
    <row r="460" spans="1:21" x14ac:dyDescent="0.25">
      <c r="A460" s="12" t="s">
        <v>21</v>
      </c>
      <c r="B460" s="12" t="s">
        <v>460</v>
      </c>
      <c r="C460" s="12" t="s">
        <v>23</v>
      </c>
      <c r="D460" s="13">
        <v>46226.502638888887</v>
      </c>
      <c r="E460" s="12" t="s">
        <v>195</v>
      </c>
      <c r="F460" s="12" t="s">
        <v>196</v>
      </c>
      <c r="G460" s="12">
        <v>5</v>
      </c>
      <c r="H460" s="12">
        <v>5</v>
      </c>
      <c r="I460" s="14"/>
      <c r="J460" s="14" t="s">
        <v>26</v>
      </c>
      <c r="K460" s="12" t="s">
        <v>27</v>
      </c>
      <c r="L460" s="15"/>
      <c r="M460" s="12" t="s">
        <v>28</v>
      </c>
      <c r="N460" s="12"/>
      <c r="O460" s="12"/>
      <c r="P460" s="12"/>
      <c r="Q460" s="16">
        <v>0</v>
      </c>
      <c r="R460" s="16">
        <v>0</v>
      </c>
      <c r="S460" s="16"/>
      <c r="T460" s="16" t="e">
        <v>#N/A</v>
      </c>
      <c r="U460" s="16" t="e">
        <v>#N/A</v>
      </c>
    </row>
    <row r="461" spans="1:21" x14ac:dyDescent="0.25">
      <c r="A461" s="12" t="s">
        <v>21</v>
      </c>
      <c r="B461" s="12" t="s">
        <v>463</v>
      </c>
      <c r="C461" s="12" t="s">
        <v>23</v>
      </c>
      <c r="D461" s="13">
        <v>46226.508958333332</v>
      </c>
      <c r="E461" s="12" t="s">
        <v>393</v>
      </c>
      <c r="F461" s="12" t="s">
        <v>70</v>
      </c>
      <c r="G461" s="12">
        <v>100</v>
      </c>
      <c r="H461" s="12">
        <v>50</v>
      </c>
      <c r="I461" s="14"/>
      <c r="J461" s="14" t="s">
        <v>61</v>
      </c>
      <c r="K461" s="12" t="s">
        <v>27</v>
      </c>
      <c r="L461" s="15"/>
      <c r="M461" s="12" t="s">
        <v>28</v>
      </c>
      <c r="N461" s="12"/>
      <c r="O461" s="12"/>
      <c r="P461" s="12"/>
      <c r="Q461" s="16">
        <v>100</v>
      </c>
      <c r="R461" s="16">
        <v>0</v>
      </c>
      <c r="S461" s="16"/>
      <c r="T461" s="16" t="e">
        <v>#N/A</v>
      </c>
      <c r="U461" s="16" t="e">
        <v>#N/A</v>
      </c>
    </row>
    <row r="462" spans="1:21" x14ac:dyDescent="0.25">
      <c r="A462" s="12" t="s">
        <v>21</v>
      </c>
      <c r="B462" s="12" t="s">
        <v>463</v>
      </c>
      <c r="C462" s="12" t="s">
        <v>23</v>
      </c>
      <c r="D462" s="13">
        <v>46226.508958333332</v>
      </c>
      <c r="E462" s="12" t="s">
        <v>393</v>
      </c>
      <c r="F462" s="12" t="s">
        <v>134</v>
      </c>
      <c r="G462" s="12">
        <v>50</v>
      </c>
      <c r="H462" s="12">
        <v>50</v>
      </c>
      <c r="I462" s="14"/>
      <c r="J462" s="14" t="s">
        <v>26</v>
      </c>
      <c r="K462" s="12" t="s">
        <v>27</v>
      </c>
      <c r="L462" s="15"/>
      <c r="M462" s="12" t="s">
        <v>28</v>
      </c>
      <c r="N462" s="12"/>
      <c r="O462" s="12"/>
      <c r="P462" s="12"/>
      <c r="Q462" s="16">
        <v>0</v>
      </c>
      <c r="R462" s="16">
        <v>6</v>
      </c>
      <c r="S462" s="16"/>
      <c r="T462" s="16" t="e">
        <v>#N/A</v>
      </c>
      <c r="U462" s="16" t="e">
        <v>#N/A</v>
      </c>
    </row>
    <row r="463" spans="1:21" x14ac:dyDescent="0.25">
      <c r="A463" s="12" t="s">
        <v>21</v>
      </c>
      <c r="B463" s="12" t="s">
        <v>464</v>
      </c>
      <c r="C463" s="12" t="s">
        <v>23</v>
      </c>
      <c r="D463" s="13">
        <v>46226.566643518519</v>
      </c>
      <c r="E463" s="12" t="s">
        <v>465</v>
      </c>
      <c r="F463" s="12" t="s">
        <v>70</v>
      </c>
      <c r="G463" s="12">
        <v>50</v>
      </c>
      <c r="H463" s="12">
        <v>50</v>
      </c>
      <c r="I463" s="14"/>
      <c r="J463" s="14" t="s">
        <v>26</v>
      </c>
      <c r="K463" s="12" t="s">
        <v>27</v>
      </c>
      <c r="L463" s="15"/>
      <c r="M463" s="12" t="s">
        <v>28</v>
      </c>
      <c r="N463" s="12"/>
      <c r="O463" s="12"/>
      <c r="P463" s="12"/>
      <c r="Q463" s="16">
        <v>0</v>
      </c>
      <c r="R463" s="16">
        <v>0</v>
      </c>
      <c r="S463" s="16"/>
      <c r="T463" s="16" t="e">
        <v>#N/A</v>
      </c>
      <c r="U463" s="16" t="e">
        <v>#N/A</v>
      </c>
    </row>
    <row r="464" spans="1:21" x14ac:dyDescent="0.25">
      <c r="A464" s="12" t="s">
        <v>21</v>
      </c>
      <c r="B464" s="12" t="s">
        <v>466</v>
      </c>
      <c r="C464" s="12" t="s">
        <v>23</v>
      </c>
      <c r="D464" s="13">
        <v>46226.584039351852</v>
      </c>
      <c r="E464" s="12" t="s">
        <v>193</v>
      </c>
      <c r="F464" s="12" t="s">
        <v>437</v>
      </c>
      <c r="G464" s="12">
        <v>600</v>
      </c>
      <c r="H464" s="12">
        <v>50</v>
      </c>
      <c r="I464" s="14"/>
      <c r="J464" s="14" t="s">
        <v>26</v>
      </c>
      <c r="K464" s="12" t="s">
        <v>27</v>
      </c>
      <c r="L464" s="15"/>
      <c r="M464" s="12" t="s">
        <v>28</v>
      </c>
      <c r="N464" s="12"/>
      <c r="O464" s="12"/>
      <c r="P464" s="12"/>
      <c r="Q464" s="16">
        <v>0</v>
      </c>
      <c r="R464" s="16">
        <v>90</v>
      </c>
      <c r="S464" s="16"/>
      <c r="T464" s="16" t="e">
        <v>#N/A</v>
      </c>
      <c r="U464" s="16" t="e">
        <v>#N/A</v>
      </c>
    </row>
    <row r="465" spans="1:21" x14ac:dyDescent="0.25">
      <c r="A465" s="12" t="s">
        <v>21</v>
      </c>
      <c r="B465" s="12" t="s">
        <v>467</v>
      </c>
      <c r="C465" s="12" t="s">
        <v>23</v>
      </c>
      <c r="D465" s="13">
        <v>46227.515520833331</v>
      </c>
      <c r="E465" s="12" t="s">
        <v>24</v>
      </c>
      <c r="F465" s="12" t="s">
        <v>122</v>
      </c>
      <c r="G465" s="12">
        <v>70</v>
      </c>
      <c r="H465" s="12">
        <v>3</v>
      </c>
      <c r="I465" s="14"/>
      <c r="J465" s="14" t="s">
        <v>61</v>
      </c>
      <c r="K465" s="12" t="s">
        <v>27</v>
      </c>
      <c r="L465" s="15"/>
      <c r="M465" s="12" t="s">
        <v>28</v>
      </c>
      <c r="N465" s="12"/>
      <c r="O465" s="12"/>
      <c r="P465" s="12"/>
      <c r="Q465" s="16">
        <v>70</v>
      </c>
      <c r="R465" s="16">
        <v>0</v>
      </c>
      <c r="S465" s="16"/>
      <c r="T465" s="16" t="e">
        <v>#N/A</v>
      </c>
      <c r="U465" s="16" t="e">
        <v>#N/A</v>
      </c>
    </row>
    <row r="466" spans="1:21" x14ac:dyDescent="0.25">
      <c r="A466" s="12" t="s">
        <v>21</v>
      </c>
      <c r="B466" s="12" t="s">
        <v>467</v>
      </c>
      <c r="C466" s="12" t="s">
        <v>23</v>
      </c>
      <c r="D466" s="13">
        <v>46227.515520833331</v>
      </c>
      <c r="E466" s="12" t="s">
        <v>24</v>
      </c>
      <c r="F466" s="12" t="s">
        <v>468</v>
      </c>
      <c r="G466" s="12">
        <v>40</v>
      </c>
      <c r="H466" s="12">
        <v>1</v>
      </c>
      <c r="I466" s="14"/>
      <c r="J466" s="14" t="s">
        <v>61</v>
      </c>
      <c r="K466" s="12" t="s">
        <v>27</v>
      </c>
      <c r="L466" s="15"/>
      <c r="M466" s="12" t="s">
        <v>28</v>
      </c>
      <c r="N466" s="12"/>
      <c r="O466" s="12"/>
      <c r="P466" s="12"/>
      <c r="Q466" s="16">
        <v>40</v>
      </c>
      <c r="R466" s="16">
        <v>0</v>
      </c>
      <c r="S466" s="16"/>
      <c r="T466" s="16" t="e">
        <v>#N/A</v>
      </c>
      <c r="U466" s="16" t="e">
        <v>#N/A</v>
      </c>
    </row>
    <row r="467" spans="1:21" x14ac:dyDescent="0.25">
      <c r="A467" s="12" t="s">
        <v>21</v>
      </c>
      <c r="B467" s="12" t="s">
        <v>469</v>
      </c>
      <c r="C467" s="12" t="s">
        <v>23</v>
      </c>
      <c r="D467" s="13">
        <v>46228.27648148148</v>
      </c>
      <c r="E467" s="12" t="s">
        <v>266</v>
      </c>
      <c r="F467" s="12" t="s">
        <v>157</v>
      </c>
      <c r="G467" s="12">
        <v>12</v>
      </c>
      <c r="H467" s="12">
        <v>12</v>
      </c>
      <c r="I467" s="14"/>
      <c r="J467" s="14" t="s">
        <v>26</v>
      </c>
      <c r="K467" s="12" t="s">
        <v>27</v>
      </c>
      <c r="L467" s="15"/>
      <c r="M467" s="12" t="s">
        <v>28</v>
      </c>
      <c r="N467" s="12"/>
      <c r="O467" s="12"/>
      <c r="P467" s="12"/>
      <c r="Q467" s="16">
        <v>0</v>
      </c>
      <c r="R467" s="16">
        <v>0</v>
      </c>
      <c r="S467" s="16"/>
      <c r="T467" s="16" t="e">
        <v>#N/A</v>
      </c>
      <c r="U467" s="16" t="e">
        <v>#N/A</v>
      </c>
    </row>
    <row r="468" spans="1:21" x14ac:dyDescent="0.25">
      <c r="A468" s="12" t="s">
        <v>21</v>
      </c>
      <c r="B468" s="12" t="s">
        <v>469</v>
      </c>
      <c r="C468" s="12" t="s">
        <v>23</v>
      </c>
      <c r="D468" s="13">
        <v>46228.27648148148</v>
      </c>
      <c r="E468" s="12" t="s">
        <v>266</v>
      </c>
      <c r="F468" s="12" t="s">
        <v>159</v>
      </c>
      <c r="G468" s="12">
        <v>10</v>
      </c>
      <c r="H468" s="12">
        <v>10</v>
      </c>
      <c r="I468" s="14"/>
      <c r="J468" s="14" t="s">
        <v>26</v>
      </c>
      <c r="K468" s="12" t="s">
        <v>27</v>
      </c>
      <c r="L468" s="15"/>
      <c r="M468" s="12" t="s">
        <v>28</v>
      </c>
      <c r="N468" s="12"/>
      <c r="O468" s="12"/>
      <c r="P468" s="12"/>
      <c r="Q468" s="16">
        <v>0</v>
      </c>
      <c r="R468" s="16">
        <v>0</v>
      </c>
      <c r="S468" s="16"/>
      <c r="T468" s="16" t="e">
        <v>#N/A</v>
      </c>
      <c r="U468" s="16" t="e">
        <v>#N/A</v>
      </c>
    </row>
    <row r="469" spans="1:21" x14ac:dyDescent="0.25">
      <c r="A469" s="12" t="s">
        <v>21</v>
      </c>
      <c r="B469" s="12" t="s">
        <v>469</v>
      </c>
      <c r="C469" s="12" t="s">
        <v>23</v>
      </c>
      <c r="D469" s="13">
        <v>46228.27648148148</v>
      </c>
      <c r="E469" s="12" t="s">
        <v>266</v>
      </c>
      <c r="F469" s="12" t="s">
        <v>413</v>
      </c>
      <c r="G469" s="12">
        <v>8</v>
      </c>
      <c r="H469" s="12">
        <v>4</v>
      </c>
      <c r="I469" s="14"/>
      <c r="J469" s="14" t="s">
        <v>26</v>
      </c>
      <c r="K469" s="12" t="s">
        <v>27</v>
      </c>
      <c r="L469" s="15"/>
      <c r="M469" s="12" t="s">
        <v>28</v>
      </c>
      <c r="N469" s="12"/>
      <c r="O469" s="12"/>
      <c r="P469" s="12"/>
      <c r="Q469" s="16">
        <v>0</v>
      </c>
      <c r="R469" s="16">
        <v>5</v>
      </c>
      <c r="S469" s="16"/>
      <c r="T469" s="16" t="e">
        <v>#N/A</v>
      </c>
      <c r="U469" s="16" t="e">
        <v>#N/A</v>
      </c>
    </row>
    <row r="470" spans="1:21" x14ac:dyDescent="0.25">
      <c r="A470" s="12" t="s">
        <v>21</v>
      </c>
      <c r="B470" s="12" t="s">
        <v>469</v>
      </c>
      <c r="C470" s="12" t="s">
        <v>23</v>
      </c>
      <c r="D470" s="13">
        <v>46228.27648148148</v>
      </c>
      <c r="E470" s="12" t="s">
        <v>266</v>
      </c>
      <c r="F470" s="12" t="s">
        <v>70</v>
      </c>
      <c r="G470" s="12">
        <v>40</v>
      </c>
      <c r="H470" s="12">
        <v>40</v>
      </c>
      <c r="I470" s="14"/>
      <c r="J470" s="14" t="s">
        <v>26</v>
      </c>
      <c r="K470" s="12" t="s">
        <v>27</v>
      </c>
      <c r="L470" s="15"/>
      <c r="M470" s="12" t="s">
        <v>28</v>
      </c>
      <c r="N470" s="12"/>
      <c r="O470" s="12"/>
      <c r="P470" s="12"/>
      <c r="Q470" s="16">
        <v>0</v>
      </c>
      <c r="R470" s="16">
        <v>0</v>
      </c>
      <c r="S470" s="16"/>
      <c r="T470" s="16" t="e">
        <v>#N/A</v>
      </c>
      <c r="U470" s="16" t="e">
        <v>#N/A</v>
      </c>
    </row>
    <row r="471" spans="1:21" x14ac:dyDescent="0.25">
      <c r="A471" s="12" t="s">
        <v>21</v>
      </c>
      <c r="B471" s="12" t="s">
        <v>469</v>
      </c>
      <c r="C471" s="12" t="s">
        <v>23</v>
      </c>
      <c r="D471" s="13">
        <v>46228.27648148148</v>
      </c>
      <c r="E471" s="12" t="s">
        <v>266</v>
      </c>
      <c r="F471" s="12" t="s">
        <v>71</v>
      </c>
      <c r="G471" s="12">
        <v>50</v>
      </c>
      <c r="H471" s="12">
        <v>50</v>
      </c>
      <c r="I471" s="14"/>
      <c r="J471" s="14" t="s">
        <v>26</v>
      </c>
      <c r="K471" s="12" t="s">
        <v>27</v>
      </c>
      <c r="L471" s="15"/>
      <c r="M471" s="12" t="s">
        <v>28</v>
      </c>
      <c r="N471" s="12"/>
      <c r="O471" s="12"/>
      <c r="P471" s="12"/>
      <c r="Q471" s="16">
        <v>0</v>
      </c>
      <c r="R471" s="16">
        <v>0</v>
      </c>
      <c r="S471" s="16"/>
      <c r="T471" s="16" t="e">
        <v>#N/A</v>
      </c>
      <c r="U471" s="16" t="e">
        <v>#N/A</v>
      </c>
    </row>
    <row r="472" spans="1:21" x14ac:dyDescent="0.25">
      <c r="A472" s="12" t="s">
        <v>21</v>
      </c>
      <c r="B472" s="12" t="s">
        <v>469</v>
      </c>
      <c r="C472" s="12" t="s">
        <v>23</v>
      </c>
      <c r="D472" s="13">
        <v>46228.27648148148</v>
      </c>
      <c r="E472" s="12" t="s">
        <v>266</v>
      </c>
      <c r="F472" s="12" t="s">
        <v>283</v>
      </c>
      <c r="G472" s="12">
        <v>30</v>
      </c>
      <c r="H472" s="12">
        <v>30</v>
      </c>
      <c r="I472" s="14"/>
      <c r="J472" s="14" t="s">
        <v>61</v>
      </c>
      <c r="K472" s="12" t="s">
        <v>470</v>
      </c>
      <c r="L472" s="15">
        <v>1</v>
      </c>
      <c r="M472" s="12" t="s">
        <v>150</v>
      </c>
      <c r="N472" s="12">
        <v>30</v>
      </c>
      <c r="O472" s="12">
        <v>30</v>
      </c>
      <c r="P472" s="12">
        <v>0</v>
      </c>
      <c r="Q472" s="16">
        <v>30</v>
      </c>
      <c r="R472" s="16">
        <v>0</v>
      </c>
      <c r="S472" s="16"/>
      <c r="T472" s="16" t="e">
        <v>#N/A</v>
      </c>
      <c r="U472" s="16" t="e">
        <v>#N/A</v>
      </c>
    </row>
    <row r="473" spans="1:21" x14ac:dyDescent="0.25">
      <c r="A473" s="12" t="s">
        <v>21</v>
      </c>
      <c r="B473" s="12" t="s">
        <v>469</v>
      </c>
      <c r="C473" s="12" t="s">
        <v>23</v>
      </c>
      <c r="D473" s="13">
        <v>46228.27648148148</v>
      </c>
      <c r="E473" s="12" t="s">
        <v>266</v>
      </c>
      <c r="F473" s="12" t="s">
        <v>268</v>
      </c>
      <c r="G473" s="12">
        <v>20</v>
      </c>
      <c r="H473" s="12">
        <v>20</v>
      </c>
      <c r="I473" s="14"/>
      <c r="J473" s="14" t="s">
        <v>26</v>
      </c>
      <c r="K473" s="12" t="s">
        <v>27</v>
      </c>
      <c r="L473" s="15"/>
      <c r="M473" s="12" t="s">
        <v>28</v>
      </c>
      <c r="N473" s="12"/>
      <c r="O473" s="12"/>
      <c r="P473" s="12"/>
      <c r="Q473" s="16">
        <v>0</v>
      </c>
      <c r="R473" s="16">
        <v>0</v>
      </c>
      <c r="S473" s="16"/>
      <c r="T473" s="16" t="e">
        <v>#N/A</v>
      </c>
      <c r="U473" s="16" t="e">
        <v>#N/A</v>
      </c>
    </row>
    <row r="474" spans="1:21" x14ac:dyDescent="0.25">
      <c r="A474" s="12" t="s">
        <v>21</v>
      </c>
      <c r="B474" s="12" t="s">
        <v>471</v>
      </c>
      <c r="C474" s="12" t="s">
        <v>23</v>
      </c>
      <c r="D474" s="13">
        <v>46228.313125000001</v>
      </c>
      <c r="E474" s="12" t="s">
        <v>266</v>
      </c>
      <c r="F474" s="12" t="s">
        <v>472</v>
      </c>
      <c r="G474" s="12">
        <v>30</v>
      </c>
      <c r="H474" s="12">
        <v>30</v>
      </c>
      <c r="I474" s="14"/>
      <c r="J474" s="14" t="s">
        <v>61</v>
      </c>
      <c r="K474" s="12" t="s">
        <v>473</v>
      </c>
      <c r="L474" s="15">
        <v>1</v>
      </c>
      <c r="M474" s="12" t="s">
        <v>150</v>
      </c>
      <c r="N474" s="12">
        <v>30</v>
      </c>
      <c r="O474" s="12">
        <v>30</v>
      </c>
      <c r="P474" s="12">
        <v>0</v>
      </c>
      <c r="Q474" s="16">
        <v>30</v>
      </c>
      <c r="R474" s="16">
        <v>0</v>
      </c>
      <c r="S474" s="16"/>
      <c r="T474" s="16" t="e">
        <v>#N/A</v>
      </c>
      <c r="U474" s="16" t="e">
        <v>#N/A</v>
      </c>
    </row>
    <row r="475" spans="1:21" x14ac:dyDescent="0.25">
      <c r="A475" s="12" t="s">
        <v>21</v>
      </c>
      <c r="B475" s="12" t="s">
        <v>471</v>
      </c>
      <c r="C475" s="12" t="s">
        <v>23</v>
      </c>
      <c r="D475" s="13">
        <v>46228.313125000001</v>
      </c>
      <c r="E475" s="12" t="s">
        <v>266</v>
      </c>
      <c r="F475" s="12" t="s">
        <v>474</v>
      </c>
      <c r="G475" s="12">
        <v>10</v>
      </c>
      <c r="H475" s="12">
        <v>10</v>
      </c>
      <c r="I475" s="14"/>
      <c r="J475" s="14" t="s">
        <v>61</v>
      </c>
      <c r="K475" s="12" t="s">
        <v>475</v>
      </c>
      <c r="L475" s="15">
        <v>1</v>
      </c>
      <c r="M475" s="12" t="s">
        <v>150</v>
      </c>
      <c r="N475" s="12">
        <v>10</v>
      </c>
      <c r="O475" s="12">
        <v>10</v>
      </c>
      <c r="P475" s="12">
        <v>0</v>
      </c>
      <c r="Q475" s="16">
        <v>10</v>
      </c>
      <c r="R475" s="16">
        <v>0</v>
      </c>
      <c r="S475" s="16"/>
      <c r="T475" s="16" t="e">
        <v>#N/A</v>
      </c>
      <c r="U475" s="16" t="e">
        <v>#N/A</v>
      </c>
    </row>
    <row r="476" spans="1:21" x14ac:dyDescent="0.25">
      <c r="A476" s="12" t="s">
        <v>21</v>
      </c>
      <c r="B476" s="12" t="s">
        <v>476</v>
      </c>
      <c r="C476" s="12" t="s">
        <v>23</v>
      </c>
      <c r="D476" s="13">
        <v>46228.323449074072</v>
      </c>
      <c r="E476" s="12" t="s">
        <v>266</v>
      </c>
      <c r="F476" s="12" t="s">
        <v>242</v>
      </c>
      <c r="G476" s="12">
        <v>30</v>
      </c>
      <c r="H476" s="12">
        <v>30</v>
      </c>
      <c r="I476" s="14"/>
      <c r="J476" s="14" t="s">
        <v>26</v>
      </c>
      <c r="K476" s="12" t="s">
        <v>27</v>
      </c>
      <c r="L476" s="15"/>
      <c r="M476" s="12" t="s">
        <v>28</v>
      </c>
      <c r="N476" s="12"/>
      <c r="O476" s="12"/>
      <c r="P476" s="12"/>
      <c r="Q476" s="16">
        <v>0</v>
      </c>
      <c r="R476" s="16">
        <v>0</v>
      </c>
      <c r="S476" s="16"/>
      <c r="T476" s="16" t="e">
        <v>#N/A</v>
      </c>
      <c r="U476" s="16" t="e">
        <v>#N/A</v>
      </c>
    </row>
    <row r="477" spans="1:21" x14ac:dyDescent="0.25">
      <c r="A477" s="12" t="s">
        <v>21</v>
      </c>
      <c r="B477" s="12" t="s">
        <v>476</v>
      </c>
      <c r="C477" s="12" t="s">
        <v>23</v>
      </c>
      <c r="D477" s="13">
        <v>46228.323449074072</v>
      </c>
      <c r="E477" s="12" t="s">
        <v>266</v>
      </c>
      <c r="F477" s="12" t="s">
        <v>243</v>
      </c>
      <c r="G477" s="12">
        <v>15</v>
      </c>
      <c r="H477" s="12">
        <v>15</v>
      </c>
      <c r="I477" s="14"/>
      <c r="J477" s="14" t="s">
        <v>26</v>
      </c>
      <c r="K477" s="12" t="s">
        <v>27</v>
      </c>
      <c r="L477" s="15"/>
      <c r="M477" s="12" t="s">
        <v>28</v>
      </c>
      <c r="N477" s="12"/>
      <c r="O477" s="12"/>
      <c r="P477" s="12"/>
      <c r="Q477" s="16">
        <v>0</v>
      </c>
      <c r="R477" s="16">
        <v>1</v>
      </c>
      <c r="S477" s="16"/>
      <c r="T477" s="16" t="e">
        <v>#N/A</v>
      </c>
      <c r="U477" s="16" t="e">
        <v>#N/A</v>
      </c>
    </row>
    <row r="478" spans="1:21" x14ac:dyDescent="0.25">
      <c r="A478" s="12" t="s">
        <v>21</v>
      </c>
      <c r="B478" s="12" t="s">
        <v>476</v>
      </c>
      <c r="C478" s="12" t="s">
        <v>23</v>
      </c>
      <c r="D478" s="13">
        <v>46228.323449074072</v>
      </c>
      <c r="E478" s="12" t="s">
        <v>266</v>
      </c>
      <c r="F478" s="12" t="s">
        <v>246</v>
      </c>
      <c r="G478" s="12">
        <v>15</v>
      </c>
      <c r="H478" s="12">
        <v>15</v>
      </c>
      <c r="I478" s="14"/>
      <c r="J478" s="14" t="s">
        <v>26</v>
      </c>
      <c r="K478" s="12" t="s">
        <v>27</v>
      </c>
      <c r="L478" s="15"/>
      <c r="M478" s="12" t="s">
        <v>28</v>
      </c>
      <c r="N478" s="12"/>
      <c r="O478" s="12"/>
      <c r="P478" s="12"/>
      <c r="Q478" s="16">
        <v>0</v>
      </c>
      <c r="R478" s="16">
        <v>0</v>
      </c>
      <c r="S478" s="16"/>
      <c r="T478" s="16" t="e">
        <v>#N/A</v>
      </c>
      <c r="U478" s="16" t="e">
        <v>#N/A</v>
      </c>
    </row>
    <row r="479" spans="1:21" x14ac:dyDescent="0.25">
      <c r="A479" s="12" t="s">
        <v>21</v>
      </c>
      <c r="B479" s="12" t="s">
        <v>476</v>
      </c>
      <c r="C479" s="12" t="s">
        <v>23</v>
      </c>
      <c r="D479" s="13">
        <v>46228.323449074072</v>
      </c>
      <c r="E479" s="12" t="s">
        <v>266</v>
      </c>
      <c r="F479" s="12" t="s">
        <v>108</v>
      </c>
      <c r="G479" s="12">
        <v>20</v>
      </c>
      <c r="H479" s="12">
        <v>20</v>
      </c>
      <c r="I479" s="14"/>
      <c r="J479" s="14" t="s">
        <v>26</v>
      </c>
      <c r="K479" s="12" t="s">
        <v>27</v>
      </c>
      <c r="L479" s="15"/>
      <c r="M479" s="12" t="s">
        <v>28</v>
      </c>
      <c r="N479" s="12"/>
      <c r="O479" s="12"/>
      <c r="P479" s="12"/>
      <c r="Q479" s="16">
        <v>0</v>
      </c>
      <c r="R479" s="16">
        <v>0</v>
      </c>
      <c r="S479" s="16"/>
      <c r="T479" s="16" t="e">
        <v>#N/A</v>
      </c>
      <c r="U479" s="16" t="e">
        <v>#N/A</v>
      </c>
    </row>
    <row r="480" spans="1:21" x14ac:dyDescent="0.25">
      <c r="A480" s="12" t="s">
        <v>21</v>
      </c>
      <c r="B480" s="12" t="s">
        <v>477</v>
      </c>
      <c r="C480" s="12" t="s">
        <v>23</v>
      </c>
      <c r="D480" s="13">
        <v>46228.328831018516</v>
      </c>
      <c r="E480" s="12" t="s">
        <v>266</v>
      </c>
      <c r="F480" s="12" t="s">
        <v>478</v>
      </c>
      <c r="G480" s="12">
        <v>15</v>
      </c>
      <c r="H480" s="12">
        <v>15</v>
      </c>
      <c r="I480" s="14"/>
      <c r="J480" s="14" t="s">
        <v>26</v>
      </c>
      <c r="K480" s="12" t="s">
        <v>27</v>
      </c>
      <c r="L480" s="15"/>
      <c r="M480" s="12" t="s">
        <v>28</v>
      </c>
      <c r="N480" s="12"/>
      <c r="O480" s="12"/>
      <c r="P480" s="12"/>
      <c r="Q480" s="16">
        <v>0</v>
      </c>
      <c r="R480" s="16">
        <v>0</v>
      </c>
      <c r="S480" s="16"/>
      <c r="T480" s="16" t="e">
        <v>#N/A</v>
      </c>
      <c r="U480" s="16" t="e">
        <v>#N/A</v>
      </c>
    </row>
    <row r="481" spans="1:21" x14ac:dyDescent="0.25">
      <c r="A481" s="12" t="s">
        <v>21</v>
      </c>
      <c r="B481" s="12" t="s">
        <v>477</v>
      </c>
      <c r="C481" s="12" t="s">
        <v>23</v>
      </c>
      <c r="D481" s="13">
        <v>46228.328831018516</v>
      </c>
      <c r="E481" s="12" t="s">
        <v>266</v>
      </c>
      <c r="F481" s="12" t="s">
        <v>289</v>
      </c>
      <c r="G481" s="12">
        <v>10</v>
      </c>
      <c r="H481" s="12">
        <v>10</v>
      </c>
      <c r="I481" s="14"/>
      <c r="J481" s="14" t="s">
        <v>26</v>
      </c>
      <c r="K481" s="12" t="s">
        <v>27</v>
      </c>
      <c r="L481" s="15"/>
      <c r="M481" s="12" t="s">
        <v>28</v>
      </c>
      <c r="N481" s="12"/>
      <c r="O481" s="12"/>
      <c r="P481" s="12"/>
      <c r="Q481" s="16">
        <v>0</v>
      </c>
      <c r="R481" s="16">
        <v>0</v>
      </c>
      <c r="S481" s="16"/>
      <c r="T481" s="16" t="e">
        <v>#N/A</v>
      </c>
      <c r="U481" s="16" t="e">
        <v>#N/A</v>
      </c>
    </row>
    <row r="482" spans="1:21" x14ac:dyDescent="0.25">
      <c r="A482" s="12" t="s">
        <v>21</v>
      </c>
      <c r="B482" s="12" t="s">
        <v>477</v>
      </c>
      <c r="C482" s="12" t="s">
        <v>23</v>
      </c>
      <c r="D482" s="13">
        <v>46228.328831018516</v>
      </c>
      <c r="E482" s="12" t="s">
        <v>266</v>
      </c>
      <c r="F482" s="12" t="s">
        <v>290</v>
      </c>
      <c r="G482" s="12">
        <v>8</v>
      </c>
      <c r="H482" s="12">
        <v>8</v>
      </c>
      <c r="I482" s="14"/>
      <c r="J482" s="14" t="s">
        <v>26</v>
      </c>
      <c r="K482" s="12" t="s">
        <v>27</v>
      </c>
      <c r="L482" s="15"/>
      <c r="M482" s="12" t="s">
        <v>28</v>
      </c>
      <c r="N482" s="12"/>
      <c r="O482" s="12"/>
      <c r="P482" s="12"/>
      <c r="Q482" s="16">
        <v>0</v>
      </c>
      <c r="R482" s="16">
        <v>2</v>
      </c>
      <c r="S482" s="16"/>
      <c r="T482" s="16" t="e">
        <v>#N/A</v>
      </c>
      <c r="U482" s="16" t="e">
        <v>#N/A</v>
      </c>
    </row>
    <row r="483" spans="1:21" x14ac:dyDescent="0.25">
      <c r="A483" s="12" t="s">
        <v>21</v>
      </c>
      <c r="B483" s="12" t="s">
        <v>477</v>
      </c>
      <c r="C483" s="12" t="s">
        <v>23</v>
      </c>
      <c r="D483" s="13">
        <v>46228.328831018516</v>
      </c>
      <c r="E483" s="12" t="s">
        <v>266</v>
      </c>
      <c r="F483" s="12" t="s">
        <v>479</v>
      </c>
      <c r="G483" s="12">
        <v>5</v>
      </c>
      <c r="H483" s="12">
        <v>5</v>
      </c>
      <c r="I483" s="14"/>
      <c r="J483" s="14" t="s">
        <v>61</v>
      </c>
      <c r="K483" s="12" t="s">
        <v>480</v>
      </c>
      <c r="L483" s="15">
        <v>1</v>
      </c>
      <c r="M483" s="12" t="s">
        <v>150</v>
      </c>
      <c r="N483" s="12">
        <v>5</v>
      </c>
      <c r="O483" s="12">
        <v>5</v>
      </c>
      <c r="P483" s="12">
        <v>0</v>
      </c>
      <c r="Q483" s="16">
        <v>5</v>
      </c>
      <c r="R483" s="16">
        <v>0</v>
      </c>
      <c r="S483" s="16"/>
      <c r="T483" s="16" t="e">
        <v>#N/A</v>
      </c>
      <c r="U483" s="16" t="e">
        <v>#N/A</v>
      </c>
    </row>
    <row r="484" spans="1:21" x14ac:dyDescent="0.25">
      <c r="A484" s="12" t="s">
        <v>21</v>
      </c>
      <c r="B484" s="12" t="s">
        <v>477</v>
      </c>
      <c r="C484" s="12" t="s">
        <v>23</v>
      </c>
      <c r="D484" s="13">
        <v>46228.328831018516</v>
      </c>
      <c r="E484" s="12" t="s">
        <v>266</v>
      </c>
      <c r="F484" s="12" t="s">
        <v>481</v>
      </c>
      <c r="G484" s="12">
        <v>6</v>
      </c>
      <c r="H484" s="12">
        <v>1</v>
      </c>
      <c r="I484" s="14"/>
      <c r="J484" s="14" t="s">
        <v>61</v>
      </c>
      <c r="K484" s="12" t="s">
        <v>27</v>
      </c>
      <c r="L484" s="15"/>
      <c r="M484" s="12" t="s">
        <v>28</v>
      </c>
      <c r="N484" s="12"/>
      <c r="O484" s="12"/>
      <c r="P484" s="12"/>
      <c r="Q484" s="16">
        <v>6</v>
      </c>
      <c r="R484" s="16">
        <v>0</v>
      </c>
      <c r="S484" s="16"/>
      <c r="T484" s="16" t="e">
        <v>#N/A</v>
      </c>
      <c r="U484" s="16" t="e">
        <v>#N/A</v>
      </c>
    </row>
    <row r="485" spans="1:21" x14ac:dyDescent="0.25">
      <c r="A485" s="12" t="s">
        <v>21</v>
      </c>
      <c r="B485" s="12" t="s">
        <v>477</v>
      </c>
      <c r="C485" s="12" t="s">
        <v>23</v>
      </c>
      <c r="D485" s="13">
        <v>46228.328831018516</v>
      </c>
      <c r="E485" s="12" t="s">
        <v>266</v>
      </c>
      <c r="F485" s="12" t="s">
        <v>424</v>
      </c>
      <c r="G485" s="12">
        <v>6</v>
      </c>
      <c r="H485" s="12">
        <v>6</v>
      </c>
      <c r="I485" s="14"/>
      <c r="J485" s="14" t="s">
        <v>61</v>
      </c>
      <c r="K485" s="12" t="s">
        <v>482</v>
      </c>
      <c r="L485" s="15">
        <v>1</v>
      </c>
      <c r="M485" s="12" t="s">
        <v>150</v>
      </c>
      <c r="N485" s="12">
        <v>6</v>
      </c>
      <c r="O485" s="12">
        <v>6</v>
      </c>
      <c r="P485" s="12">
        <v>0</v>
      </c>
      <c r="Q485" s="16">
        <v>6</v>
      </c>
      <c r="R485" s="16">
        <v>0</v>
      </c>
      <c r="S485" s="16"/>
      <c r="T485" s="16" t="e">
        <v>#N/A</v>
      </c>
      <c r="U485" s="16" t="e">
        <v>#N/A</v>
      </c>
    </row>
    <row r="486" spans="1:21" x14ac:dyDescent="0.25">
      <c r="A486" s="12" t="s">
        <v>21</v>
      </c>
      <c r="B486" s="12" t="s">
        <v>483</v>
      </c>
      <c r="C486" s="12" t="s">
        <v>23</v>
      </c>
      <c r="D486" s="13">
        <v>46228.359699074077</v>
      </c>
      <c r="E486" s="12" t="s">
        <v>484</v>
      </c>
      <c r="F486" s="12" t="s">
        <v>261</v>
      </c>
      <c r="G486" s="12">
        <v>30</v>
      </c>
      <c r="H486" s="12">
        <v>22</v>
      </c>
      <c r="I486" s="14"/>
      <c r="J486" s="14" t="s">
        <v>26</v>
      </c>
      <c r="K486" s="12" t="s">
        <v>27</v>
      </c>
      <c r="L486" s="15"/>
      <c r="M486" s="12" t="s">
        <v>28</v>
      </c>
      <c r="N486" s="12"/>
      <c r="O486" s="12"/>
      <c r="P486" s="12"/>
      <c r="Q486" s="16">
        <v>0</v>
      </c>
      <c r="R486" s="16">
        <v>0</v>
      </c>
      <c r="S486" s="16"/>
      <c r="T486" s="16" t="e">
        <v>#N/A</v>
      </c>
      <c r="U486" s="16" t="e">
        <v>#N/A</v>
      </c>
    </row>
    <row r="487" spans="1:21" x14ac:dyDescent="0.25">
      <c r="A487" s="12" t="s">
        <v>21</v>
      </c>
      <c r="B487" s="12" t="s">
        <v>483</v>
      </c>
      <c r="C487" s="12" t="s">
        <v>23</v>
      </c>
      <c r="D487" s="13">
        <v>46228.359699074077</v>
      </c>
      <c r="E487" s="12" t="s">
        <v>484</v>
      </c>
      <c r="F487" s="12" t="s">
        <v>374</v>
      </c>
      <c r="G487" s="12">
        <v>10</v>
      </c>
      <c r="H487" s="12">
        <v>10</v>
      </c>
      <c r="I487" s="14"/>
      <c r="J487" s="14" t="s">
        <v>26</v>
      </c>
      <c r="K487" s="12" t="s">
        <v>27</v>
      </c>
      <c r="L487" s="15"/>
      <c r="M487" s="12" t="s">
        <v>28</v>
      </c>
      <c r="N487" s="12"/>
      <c r="O487" s="12"/>
      <c r="P487" s="12"/>
      <c r="Q487" s="16">
        <v>0</v>
      </c>
      <c r="R487" s="16">
        <v>0</v>
      </c>
      <c r="S487" s="16"/>
      <c r="T487" s="16" t="e">
        <v>#N/A</v>
      </c>
      <c r="U487" s="16" t="e">
        <v>#N/A</v>
      </c>
    </row>
    <row r="488" spans="1:21" x14ac:dyDescent="0.25">
      <c r="A488" s="12" t="s">
        <v>21</v>
      </c>
      <c r="B488" s="12" t="s">
        <v>483</v>
      </c>
      <c r="C488" s="12" t="s">
        <v>23</v>
      </c>
      <c r="D488" s="13">
        <v>46228.359699074077</v>
      </c>
      <c r="E488" s="12" t="s">
        <v>484</v>
      </c>
      <c r="F488" s="12" t="s">
        <v>70</v>
      </c>
      <c r="G488" s="12">
        <v>50</v>
      </c>
      <c r="H488" s="12">
        <v>50</v>
      </c>
      <c r="I488" s="14"/>
      <c r="J488" s="14" t="s">
        <v>26</v>
      </c>
      <c r="K488" s="12" t="s">
        <v>27</v>
      </c>
      <c r="L488" s="15"/>
      <c r="M488" s="12" t="s">
        <v>28</v>
      </c>
      <c r="N488" s="12"/>
      <c r="O488" s="12"/>
      <c r="P488" s="12"/>
      <c r="Q488" s="16">
        <v>0</v>
      </c>
      <c r="R488" s="16">
        <v>0</v>
      </c>
      <c r="S488" s="16"/>
      <c r="T488" s="16" t="e">
        <v>#N/A</v>
      </c>
      <c r="U488" s="16" t="e">
        <v>#N/A</v>
      </c>
    </row>
    <row r="489" spans="1:21" x14ac:dyDescent="0.25">
      <c r="A489" s="12" t="s">
        <v>21</v>
      </c>
      <c r="B489" s="12" t="s">
        <v>483</v>
      </c>
      <c r="C489" s="12" t="s">
        <v>23</v>
      </c>
      <c r="D489" s="13">
        <v>46228.359699074077</v>
      </c>
      <c r="E489" s="12" t="s">
        <v>484</v>
      </c>
      <c r="F489" s="12" t="s">
        <v>71</v>
      </c>
      <c r="G489" s="12">
        <v>50</v>
      </c>
      <c r="H489" s="12">
        <v>6</v>
      </c>
      <c r="I489" s="14"/>
      <c r="J489" s="14" t="s">
        <v>26</v>
      </c>
      <c r="K489" s="12" t="s">
        <v>27</v>
      </c>
      <c r="L489" s="15"/>
      <c r="M489" s="12" t="s">
        <v>28</v>
      </c>
      <c r="N489" s="12"/>
      <c r="O489" s="12"/>
      <c r="P489" s="12"/>
      <c r="Q489" s="16">
        <v>0</v>
      </c>
      <c r="R489" s="16">
        <v>0</v>
      </c>
      <c r="S489" s="16"/>
      <c r="T489" s="16" t="e">
        <v>#N/A</v>
      </c>
      <c r="U489" s="16" t="e">
        <v>#N/A</v>
      </c>
    </row>
    <row r="490" spans="1:21" x14ac:dyDescent="0.25">
      <c r="A490" s="12" t="s">
        <v>21</v>
      </c>
      <c r="B490" s="12" t="s">
        <v>483</v>
      </c>
      <c r="C490" s="12" t="s">
        <v>23</v>
      </c>
      <c r="D490" s="13">
        <v>46228.359699074077</v>
      </c>
      <c r="E490" s="12" t="s">
        <v>484</v>
      </c>
      <c r="F490" s="12" t="s">
        <v>401</v>
      </c>
      <c r="G490" s="12">
        <v>10</v>
      </c>
      <c r="H490" s="12">
        <v>10</v>
      </c>
      <c r="I490" s="14"/>
      <c r="J490" s="14" t="s">
        <v>26</v>
      </c>
      <c r="K490" s="12" t="s">
        <v>27</v>
      </c>
      <c r="L490" s="15"/>
      <c r="M490" s="12" t="s">
        <v>28</v>
      </c>
      <c r="N490" s="12"/>
      <c r="O490" s="12"/>
      <c r="P490" s="12"/>
      <c r="Q490" s="16">
        <v>0</v>
      </c>
      <c r="R490" s="16">
        <v>0</v>
      </c>
      <c r="S490" s="16"/>
      <c r="T490" s="16" t="e">
        <v>#N/A</v>
      </c>
      <c r="U490" s="16" t="e">
        <v>#N/A</v>
      </c>
    </row>
    <row r="491" spans="1:21" x14ac:dyDescent="0.25">
      <c r="A491" s="12" t="s">
        <v>21</v>
      </c>
      <c r="B491" s="12" t="s">
        <v>485</v>
      </c>
      <c r="C491" s="12" t="s">
        <v>23</v>
      </c>
      <c r="D491" s="13">
        <v>46228.394548611112</v>
      </c>
      <c r="E491" s="12" t="s">
        <v>258</v>
      </c>
      <c r="F491" s="12" t="s">
        <v>486</v>
      </c>
      <c r="G491" s="12">
        <v>3</v>
      </c>
      <c r="H491" s="12">
        <v>3</v>
      </c>
      <c r="I491" s="14"/>
      <c r="J491" s="14" t="s">
        <v>61</v>
      </c>
      <c r="K491" s="12" t="s">
        <v>487</v>
      </c>
      <c r="L491" s="15">
        <v>1</v>
      </c>
      <c r="M491" s="12" t="s">
        <v>150</v>
      </c>
      <c r="N491" s="12">
        <v>3</v>
      </c>
      <c r="O491" s="12">
        <v>3</v>
      </c>
      <c r="P491" s="12">
        <v>0</v>
      </c>
      <c r="Q491" s="16">
        <v>3</v>
      </c>
      <c r="R491" s="16">
        <v>3</v>
      </c>
      <c r="S491" s="16"/>
      <c r="T491" s="16" t="e">
        <v>#N/A</v>
      </c>
      <c r="U491" s="16" t="e">
        <v>#N/A</v>
      </c>
    </row>
    <row r="492" spans="1:21" x14ac:dyDescent="0.25">
      <c r="A492" s="12" t="s">
        <v>21</v>
      </c>
      <c r="B492" s="12" t="s">
        <v>488</v>
      </c>
      <c r="C492" s="12" t="s">
        <v>23</v>
      </c>
      <c r="D492" s="13">
        <v>46230.439560185187</v>
      </c>
      <c r="E492" s="12" t="s">
        <v>331</v>
      </c>
      <c r="F492" s="12" t="s">
        <v>489</v>
      </c>
      <c r="G492" s="12">
        <v>15</v>
      </c>
      <c r="H492" s="12">
        <v>15</v>
      </c>
      <c r="I492" s="14">
        <v>-3</v>
      </c>
      <c r="J492" s="14" t="s">
        <v>61</v>
      </c>
      <c r="K492" s="12" t="s">
        <v>27</v>
      </c>
      <c r="L492" s="15"/>
      <c r="M492" s="12" t="s">
        <v>28</v>
      </c>
      <c r="N492" s="12"/>
      <c r="O492" s="12"/>
      <c r="P492" s="12"/>
      <c r="Q492" s="16">
        <v>15</v>
      </c>
      <c r="R492" s="16">
        <v>0</v>
      </c>
      <c r="S492" s="16"/>
      <c r="T492" s="16" t="e">
        <v>#N/A</v>
      </c>
      <c r="U492" s="16" t="e">
        <v>#N/A</v>
      </c>
    </row>
    <row r="493" spans="1:21" x14ac:dyDescent="0.25">
      <c r="A493" s="12" t="s">
        <v>21</v>
      </c>
      <c r="B493" s="12" t="s">
        <v>490</v>
      </c>
      <c r="C493" s="12" t="s">
        <v>23</v>
      </c>
      <c r="D493" s="13">
        <v>46230.453206018516</v>
      </c>
      <c r="E493" s="12" t="s">
        <v>491</v>
      </c>
      <c r="F493" s="12" t="s">
        <v>134</v>
      </c>
      <c r="G493" s="12">
        <v>300</v>
      </c>
      <c r="H493" s="12">
        <v>200</v>
      </c>
      <c r="I493" s="14"/>
      <c r="J493" s="14" t="s">
        <v>26</v>
      </c>
      <c r="K493" s="12" t="s">
        <v>27</v>
      </c>
      <c r="L493" s="15"/>
      <c r="M493" s="12" t="s">
        <v>28</v>
      </c>
      <c r="N493" s="12"/>
      <c r="O493" s="12"/>
      <c r="P493" s="12"/>
      <c r="Q493" s="16">
        <v>0</v>
      </c>
      <c r="R493" s="16">
        <v>6</v>
      </c>
      <c r="S493" s="16"/>
      <c r="T493" s="16" t="e">
        <v>#N/A</v>
      </c>
      <c r="U493" s="16" t="e">
        <v>#N/A</v>
      </c>
    </row>
    <row r="494" spans="1:21" x14ac:dyDescent="0.25">
      <c r="A494" s="12" t="s">
        <v>21</v>
      </c>
      <c r="B494" s="12" t="s">
        <v>490</v>
      </c>
      <c r="C494" s="12" t="s">
        <v>23</v>
      </c>
      <c r="D494" s="13">
        <v>46230.453206018516</v>
      </c>
      <c r="E494" s="12" t="s">
        <v>491</v>
      </c>
      <c r="F494" s="12" t="s">
        <v>371</v>
      </c>
      <c r="G494" s="12">
        <v>1500</v>
      </c>
      <c r="H494" s="12">
        <v>1030</v>
      </c>
      <c r="I494" s="14"/>
      <c r="J494" s="14" t="s">
        <v>26</v>
      </c>
      <c r="K494" s="12" t="s">
        <v>27</v>
      </c>
      <c r="L494" s="15"/>
      <c r="M494" s="12" t="s">
        <v>28</v>
      </c>
      <c r="N494" s="12"/>
      <c r="O494" s="12"/>
      <c r="P494" s="12"/>
      <c r="Q494" s="16">
        <v>0</v>
      </c>
      <c r="R494" s="16">
        <v>1</v>
      </c>
      <c r="S494" s="16"/>
      <c r="T494" s="16" t="e">
        <v>#N/A</v>
      </c>
      <c r="U494" s="16" t="e">
        <v>#N/A</v>
      </c>
    </row>
    <row r="495" spans="1:21" x14ac:dyDescent="0.25">
      <c r="A495" s="12" t="s">
        <v>21</v>
      </c>
      <c r="B495" s="12" t="s">
        <v>492</v>
      </c>
      <c r="C495" s="12" t="s">
        <v>23</v>
      </c>
      <c r="D495" s="13">
        <v>46230.5000462963</v>
      </c>
      <c r="E495" s="12" t="s">
        <v>340</v>
      </c>
      <c r="F495" s="12" t="s">
        <v>452</v>
      </c>
      <c r="G495" s="12">
        <v>57</v>
      </c>
      <c r="H495" s="12">
        <v>57</v>
      </c>
      <c r="I495" s="14"/>
      <c r="J495" s="14" t="s">
        <v>26</v>
      </c>
      <c r="K495" s="12" t="s">
        <v>493</v>
      </c>
      <c r="L495" s="15">
        <v>1</v>
      </c>
      <c r="M495" s="12" t="s">
        <v>150</v>
      </c>
      <c r="N495" s="12">
        <v>57</v>
      </c>
      <c r="O495" s="12">
        <v>57</v>
      </c>
      <c r="P495" s="12">
        <v>0</v>
      </c>
      <c r="Q495" s="16">
        <v>0</v>
      </c>
      <c r="R495" s="16">
        <v>71</v>
      </c>
      <c r="S495" s="16"/>
      <c r="T495" s="16" t="e">
        <v>#N/A</v>
      </c>
      <c r="U495" s="16" t="e">
        <v>#N/A</v>
      </c>
    </row>
    <row r="496" spans="1:21" x14ac:dyDescent="0.25">
      <c r="A496" s="12" t="s">
        <v>21</v>
      </c>
      <c r="B496" s="12" t="s">
        <v>492</v>
      </c>
      <c r="C496" s="12" t="s">
        <v>23</v>
      </c>
      <c r="D496" s="13">
        <v>46230.5000462963</v>
      </c>
      <c r="E496" s="12" t="s">
        <v>340</v>
      </c>
      <c r="F496" s="12" t="s">
        <v>446</v>
      </c>
      <c r="G496" s="12">
        <v>24</v>
      </c>
      <c r="H496" s="12">
        <v>24</v>
      </c>
      <c r="I496" s="14"/>
      <c r="J496" s="14" t="s">
        <v>26</v>
      </c>
      <c r="K496" s="12" t="s">
        <v>27</v>
      </c>
      <c r="L496" s="15"/>
      <c r="M496" s="12" t="s">
        <v>28</v>
      </c>
      <c r="N496" s="12"/>
      <c r="O496" s="12"/>
      <c r="P496" s="12"/>
      <c r="Q496" s="16">
        <v>0</v>
      </c>
      <c r="R496" s="16">
        <v>0</v>
      </c>
      <c r="S496" s="16"/>
      <c r="T496" s="16" t="e">
        <v>#N/A</v>
      </c>
      <c r="U496" s="16" t="e">
        <v>#N/A</v>
      </c>
    </row>
    <row r="497" spans="1:21" x14ac:dyDescent="0.25">
      <c r="A497" s="12" t="s">
        <v>21</v>
      </c>
      <c r="B497" s="12" t="s">
        <v>492</v>
      </c>
      <c r="C497" s="12" t="s">
        <v>23</v>
      </c>
      <c r="D497" s="13">
        <v>46230.5000462963</v>
      </c>
      <c r="E497" s="12" t="s">
        <v>340</v>
      </c>
      <c r="F497" s="12" t="s">
        <v>447</v>
      </c>
      <c r="G497" s="12">
        <v>20</v>
      </c>
      <c r="H497" s="12">
        <v>20</v>
      </c>
      <c r="I497" s="14"/>
      <c r="J497" s="14" t="s">
        <v>26</v>
      </c>
      <c r="K497" s="12" t="s">
        <v>27</v>
      </c>
      <c r="L497" s="15"/>
      <c r="M497" s="12" t="s">
        <v>28</v>
      </c>
      <c r="N497" s="12"/>
      <c r="O497" s="12"/>
      <c r="P497" s="12"/>
      <c r="Q497" s="16">
        <v>0</v>
      </c>
      <c r="R497" s="16">
        <v>0</v>
      </c>
      <c r="S497" s="16"/>
      <c r="T497" s="16" t="e">
        <v>#N/A</v>
      </c>
      <c r="U497" s="16" t="e">
        <v>#N/A</v>
      </c>
    </row>
    <row r="498" spans="1:21" x14ac:dyDescent="0.25">
      <c r="A498" s="12" t="s">
        <v>21</v>
      </c>
      <c r="B498" s="12" t="s">
        <v>492</v>
      </c>
      <c r="C498" s="12" t="s">
        <v>23</v>
      </c>
      <c r="D498" s="13">
        <v>46230.5000462963</v>
      </c>
      <c r="E498" s="12" t="s">
        <v>340</v>
      </c>
      <c r="F498" s="12" t="s">
        <v>277</v>
      </c>
      <c r="G498" s="12">
        <v>8</v>
      </c>
      <c r="H498" s="12">
        <v>8</v>
      </c>
      <c r="I498" s="14"/>
      <c r="J498" s="14" t="s">
        <v>26</v>
      </c>
      <c r="K498" s="12" t="s">
        <v>27</v>
      </c>
      <c r="L498" s="15"/>
      <c r="M498" s="12" t="s">
        <v>28</v>
      </c>
      <c r="N498" s="12"/>
      <c r="O498" s="12"/>
      <c r="P498" s="12"/>
      <c r="Q498" s="16">
        <v>0</v>
      </c>
      <c r="R498" s="16">
        <v>0</v>
      </c>
      <c r="S498" s="16"/>
      <c r="T498" s="16" t="e">
        <v>#N/A</v>
      </c>
      <c r="U498" s="16" t="e">
        <v>#N/A</v>
      </c>
    </row>
    <row r="499" spans="1:21" x14ac:dyDescent="0.25">
      <c r="A499" s="12" t="s">
        <v>21</v>
      </c>
      <c r="B499" s="12" t="s">
        <v>492</v>
      </c>
      <c r="C499" s="12" t="s">
        <v>23</v>
      </c>
      <c r="D499" s="13">
        <v>46230.5000462963</v>
      </c>
      <c r="E499" s="12" t="s">
        <v>340</v>
      </c>
      <c r="F499" s="12" t="s">
        <v>450</v>
      </c>
      <c r="G499" s="12">
        <v>4500</v>
      </c>
      <c r="H499" s="12">
        <v>4500</v>
      </c>
      <c r="I499" s="14"/>
      <c r="J499" s="14" t="s">
        <v>26</v>
      </c>
      <c r="K499" s="12" t="s">
        <v>27</v>
      </c>
      <c r="L499" s="15"/>
      <c r="M499" s="12" t="s">
        <v>28</v>
      </c>
      <c r="N499" s="12"/>
      <c r="O499" s="12"/>
      <c r="P499" s="12"/>
      <c r="Q499" s="16">
        <v>0</v>
      </c>
      <c r="R499" s="16">
        <v>0</v>
      </c>
      <c r="S499" s="16">
        <v>600</v>
      </c>
      <c r="T499" s="16" t="e">
        <v>#N/A</v>
      </c>
      <c r="U499" s="16" t="e">
        <v>#N/A</v>
      </c>
    </row>
    <row r="500" spans="1:21" x14ac:dyDescent="0.25">
      <c r="A500" s="12" t="s">
        <v>21</v>
      </c>
      <c r="B500" s="12" t="s">
        <v>494</v>
      </c>
      <c r="C500" s="12" t="s">
        <v>23</v>
      </c>
      <c r="D500" s="13">
        <v>46230.502002314817</v>
      </c>
      <c r="E500" s="12" t="s">
        <v>335</v>
      </c>
      <c r="F500" s="12" t="s">
        <v>134</v>
      </c>
      <c r="G500" s="12">
        <v>120</v>
      </c>
      <c r="H500" s="12">
        <v>120</v>
      </c>
      <c r="I500" s="14"/>
      <c r="J500" s="14" t="s">
        <v>26</v>
      </c>
      <c r="K500" s="12" t="s">
        <v>27</v>
      </c>
      <c r="L500" s="15"/>
      <c r="M500" s="12" t="s">
        <v>28</v>
      </c>
      <c r="N500" s="12"/>
      <c r="O500" s="12"/>
      <c r="P500" s="12"/>
      <c r="Q500" s="16">
        <v>0</v>
      </c>
      <c r="R500" s="16">
        <v>6</v>
      </c>
      <c r="S500" s="16"/>
      <c r="T500" s="16" t="e">
        <v>#N/A</v>
      </c>
      <c r="U500" s="16" t="e">
        <v>#N/A</v>
      </c>
    </row>
    <row r="501" spans="1:21" x14ac:dyDescent="0.25">
      <c r="A501" s="12" t="s">
        <v>21</v>
      </c>
      <c r="B501" s="12" t="s">
        <v>494</v>
      </c>
      <c r="C501" s="12" t="s">
        <v>23</v>
      </c>
      <c r="D501" s="13">
        <v>46230.502002314817</v>
      </c>
      <c r="E501" s="12" t="s">
        <v>335</v>
      </c>
      <c r="F501" s="12" t="s">
        <v>371</v>
      </c>
      <c r="G501" s="12">
        <v>400</v>
      </c>
      <c r="H501" s="12">
        <v>300</v>
      </c>
      <c r="I501" s="14"/>
      <c r="J501" s="14" t="s">
        <v>26</v>
      </c>
      <c r="K501" s="12" t="s">
        <v>27</v>
      </c>
      <c r="L501" s="15"/>
      <c r="M501" s="12" t="s">
        <v>28</v>
      </c>
      <c r="N501" s="12"/>
      <c r="O501" s="12"/>
      <c r="P501" s="12"/>
      <c r="Q501" s="16">
        <v>0</v>
      </c>
      <c r="R501" s="16">
        <v>1</v>
      </c>
      <c r="S501" s="16"/>
      <c r="T501" s="16" t="e">
        <v>#N/A</v>
      </c>
      <c r="U501" s="16" t="e">
        <v>#N/A</v>
      </c>
    </row>
    <row r="502" spans="1:21" x14ac:dyDescent="0.25">
      <c r="A502" s="12" t="s">
        <v>21</v>
      </c>
      <c r="B502" s="12" t="s">
        <v>495</v>
      </c>
      <c r="C502" s="12" t="s">
        <v>23</v>
      </c>
      <c r="D502" s="13">
        <v>46230.594328703701</v>
      </c>
      <c r="E502" s="12" t="s">
        <v>24</v>
      </c>
      <c r="F502" s="12" t="s">
        <v>496</v>
      </c>
      <c r="G502" s="12">
        <v>350</v>
      </c>
      <c r="H502" s="12">
        <v>157</v>
      </c>
      <c r="I502" s="14">
        <v>-2</v>
      </c>
      <c r="J502" s="14" t="s">
        <v>61</v>
      </c>
      <c r="K502" s="12" t="s">
        <v>27</v>
      </c>
      <c r="L502" s="15"/>
      <c r="M502" s="12" t="s">
        <v>28</v>
      </c>
      <c r="N502" s="12"/>
      <c r="O502" s="12"/>
      <c r="P502" s="12"/>
      <c r="Q502" s="16">
        <v>1300</v>
      </c>
      <c r="R502" s="16">
        <v>0</v>
      </c>
      <c r="S502" s="16"/>
      <c r="T502" s="16" t="e">
        <v>#N/A</v>
      </c>
      <c r="U502" s="16" t="e">
        <v>#N/A</v>
      </c>
    </row>
    <row r="503" spans="1:21" x14ac:dyDescent="0.25">
      <c r="A503" s="12" t="s">
        <v>21</v>
      </c>
      <c r="B503" s="12" t="s">
        <v>497</v>
      </c>
      <c r="C503" s="12" t="s">
        <v>23</v>
      </c>
      <c r="D503" s="13">
        <v>46231.506886574076</v>
      </c>
      <c r="E503" s="12" t="s">
        <v>69</v>
      </c>
      <c r="F503" s="12" t="s">
        <v>157</v>
      </c>
      <c r="G503" s="12">
        <v>10</v>
      </c>
      <c r="H503" s="12">
        <v>10</v>
      </c>
      <c r="I503" s="14"/>
      <c r="J503" s="14" t="s">
        <v>26</v>
      </c>
      <c r="K503" s="12" t="s">
        <v>27</v>
      </c>
      <c r="L503" s="15"/>
      <c r="M503" s="12" t="s">
        <v>28</v>
      </c>
      <c r="N503" s="12"/>
      <c r="O503" s="12"/>
      <c r="P503" s="12"/>
      <c r="Q503" s="16">
        <v>0</v>
      </c>
      <c r="R503" s="16">
        <v>0</v>
      </c>
      <c r="S503" s="16"/>
      <c r="T503" s="16" t="e">
        <v>#N/A</v>
      </c>
      <c r="U503" s="16" t="e">
        <v>#N/A</v>
      </c>
    </row>
    <row r="504" spans="1:21" x14ac:dyDescent="0.25">
      <c r="A504" s="12" t="s">
        <v>21</v>
      </c>
      <c r="B504" s="12" t="s">
        <v>497</v>
      </c>
      <c r="C504" s="12" t="s">
        <v>23</v>
      </c>
      <c r="D504" s="13">
        <v>46231.506886574076</v>
      </c>
      <c r="E504" s="12" t="s">
        <v>69</v>
      </c>
      <c r="F504" s="12" t="s">
        <v>159</v>
      </c>
      <c r="G504" s="12">
        <v>10</v>
      </c>
      <c r="H504" s="12">
        <v>10</v>
      </c>
      <c r="I504" s="14"/>
      <c r="J504" s="14" t="s">
        <v>26</v>
      </c>
      <c r="K504" s="12" t="s">
        <v>27</v>
      </c>
      <c r="L504" s="15"/>
      <c r="M504" s="12" t="s">
        <v>28</v>
      </c>
      <c r="N504" s="12"/>
      <c r="O504" s="12"/>
      <c r="P504" s="12"/>
      <c r="Q504" s="16">
        <v>0</v>
      </c>
      <c r="R504" s="16">
        <v>0</v>
      </c>
      <c r="S504" s="16"/>
      <c r="T504" s="16" t="e">
        <v>#N/A</v>
      </c>
      <c r="U504" s="16" t="e">
        <v>#N/A</v>
      </c>
    </row>
    <row r="505" spans="1:21" x14ac:dyDescent="0.25">
      <c r="A505" s="12" t="s">
        <v>21</v>
      </c>
      <c r="B505" s="12" t="s">
        <v>497</v>
      </c>
      <c r="C505" s="12" t="s">
        <v>23</v>
      </c>
      <c r="D505" s="13">
        <v>46231.506886574076</v>
      </c>
      <c r="E505" s="12" t="s">
        <v>69</v>
      </c>
      <c r="F505" s="12" t="s">
        <v>71</v>
      </c>
      <c r="G505" s="12">
        <v>50</v>
      </c>
      <c r="H505" s="12">
        <v>50</v>
      </c>
      <c r="I505" s="14"/>
      <c r="J505" s="14" t="s">
        <v>26</v>
      </c>
      <c r="K505" s="12" t="s">
        <v>27</v>
      </c>
      <c r="L505" s="15"/>
      <c r="M505" s="12" t="s">
        <v>28</v>
      </c>
      <c r="N505" s="12"/>
      <c r="O505" s="12"/>
      <c r="P505" s="12"/>
      <c r="Q505" s="16">
        <v>0</v>
      </c>
      <c r="R505" s="16">
        <v>0</v>
      </c>
      <c r="S505" s="16"/>
      <c r="T505" s="16" t="e">
        <v>#N/A</v>
      </c>
      <c r="U505" s="16" t="e">
        <v>#N/A</v>
      </c>
    </row>
    <row r="506" spans="1:21" x14ac:dyDescent="0.25">
      <c r="A506" s="12" t="s">
        <v>21</v>
      </c>
      <c r="B506" s="12" t="s">
        <v>497</v>
      </c>
      <c r="C506" s="12" t="s">
        <v>23</v>
      </c>
      <c r="D506" s="13">
        <v>46231.506886574076</v>
      </c>
      <c r="E506" s="12" t="s">
        <v>69</v>
      </c>
      <c r="F506" s="12" t="s">
        <v>283</v>
      </c>
      <c r="G506" s="12">
        <v>50</v>
      </c>
      <c r="H506" s="12">
        <v>30</v>
      </c>
      <c r="I506" s="14"/>
      <c r="J506" s="14" t="s">
        <v>61</v>
      </c>
      <c r="K506" s="12" t="s">
        <v>27</v>
      </c>
      <c r="L506" s="15"/>
      <c r="M506" s="12" t="s">
        <v>28</v>
      </c>
      <c r="N506" s="12"/>
      <c r="O506" s="12"/>
      <c r="P506" s="12"/>
      <c r="Q506" s="16">
        <v>28</v>
      </c>
      <c r="R506" s="16">
        <v>0</v>
      </c>
      <c r="S506" s="16"/>
      <c r="T506" s="16" t="e">
        <v>#N/A</v>
      </c>
      <c r="U506" s="16" t="e">
        <v>#N/A</v>
      </c>
    </row>
    <row r="507" spans="1:21" x14ac:dyDescent="0.25">
      <c r="A507" s="12" t="s">
        <v>21</v>
      </c>
      <c r="B507" s="12" t="s">
        <v>497</v>
      </c>
      <c r="C507" s="12" t="s">
        <v>23</v>
      </c>
      <c r="D507" s="13">
        <v>46231.506886574076</v>
      </c>
      <c r="E507" s="12" t="s">
        <v>69</v>
      </c>
      <c r="F507" s="12" t="s">
        <v>401</v>
      </c>
      <c r="G507" s="12">
        <v>12</v>
      </c>
      <c r="H507" s="12">
        <v>12</v>
      </c>
      <c r="I507" s="14"/>
      <c r="J507" s="14" t="s">
        <v>26</v>
      </c>
      <c r="K507" s="12" t="s">
        <v>27</v>
      </c>
      <c r="L507" s="15"/>
      <c r="M507" s="12" t="s">
        <v>28</v>
      </c>
      <c r="N507" s="12"/>
      <c r="O507" s="12"/>
      <c r="P507" s="12"/>
      <c r="Q507" s="16">
        <v>0</v>
      </c>
      <c r="R507" s="16">
        <v>0</v>
      </c>
      <c r="S507" s="16"/>
      <c r="T507" s="16" t="e">
        <v>#N/A</v>
      </c>
      <c r="U507" s="16" t="e">
        <v>#N/A</v>
      </c>
    </row>
    <row r="508" spans="1:21" x14ac:dyDescent="0.25">
      <c r="A508" s="12" t="s">
        <v>21</v>
      </c>
      <c r="B508" s="12" t="s">
        <v>498</v>
      </c>
      <c r="C508" s="12" t="s">
        <v>23</v>
      </c>
      <c r="D508" s="13">
        <v>46231.547083333331</v>
      </c>
      <c r="E508" s="12" t="s">
        <v>331</v>
      </c>
      <c r="F508" s="12" t="s">
        <v>130</v>
      </c>
      <c r="G508" s="12">
        <v>500</v>
      </c>
      <c r="H508" s="12">
        <v>50</v>
      </c>
      <c r="I508" s="14"/>
      <c r="J508" s="14" t="s">
        <v>26</v>
      </c>
      <c r="K508" s="12" t="s">
        <v>27</v>
      </c>
      <c r="L508" s="15"/>
      <c r="M508" s="12" t="s">
        <v>28</v>
      </c>
      <c r="N508" s="12"/>
      <c r="O508" s="12"/>
      <c r="P508" s="12"/>
      <c r="Q508" s="16">
        <v>0</v>
      </c>
      <c r="R508" s="16">
        <v>6</v>
      </c>
      <c r="S508" s="16"/>
      <c r="T508" s="16" t="e">
        <v>#N/A</v>
      </c>
      <c r="U508" s="16" t="e">
        <v>#N/A</v>
      </c>
    </row>
    <row r="509" spans="1:21" x14ac:dyDescent="0.25">
      <c r="A509" s="12" t="s">
        <v>21</v>
      </c>
      <c r="B509" s="12" t="s">
        <v>498</v>
      </c>
      <c r="C509" s="12" t="s">
        <v>23</v>
      </c>
      <c r="D509" s="13">
        <v>46231.547083333331</v>
      </c>
      <c r="E509" s="12" t="s">
        <v>331</v>
      </c>
      <c r="F509" s="12" t="s">
        <v>134</v>
      </c>
      <c r="G509" s="12">
        <v>300</v>
      </c>
      <c r="H509" s="12">
        <v>300</v>
      </c>
      <c r="I509" s="14"/>
      <c r="J509" s="14" t="s">
        <v>26</v>
      </c>
      <c r="K509" s="12" t="s">
        <v>27</v>
      </c>
      <c r="L509" s="15"/>
      <c r="M509" s="12" t="s">
        <v>28</v>
      </c>
      <c r="N509" s="12"/>
      <c r="O509" s="12"/>
      <c r="P509" s="12"/>
      <c r="Q509" s="16">
        <v>0</v>
      </c>
      <c r="R509" s="16">
        <v>6</v>
      </c>
      <c r="S509" s="16"/>
      <c r="T509" s="16" t="e">
        <v>#N/A</v>
      </c>
      <c r="U509" s="16" t="e">
        <v>#N/A</v>
      </c>
    </row>
    <row r="510" spans="1:21" x14ac:dyDescent="0.25">
      <c r="A510" s="12" t="s">
        <v>21</v>
      </c>
      <c r="B510" s="12" t="s">
        <v>498</v>
      </c>
      <c r="C510" s="12" t="s">
        <v>23</v>
      </c>
      <c r="D510" s="13">
        <v>46231.547083333331</v>
      </c>
      <c r="E510" s="12" t="s">
        <v>331</v>
      </c>
      <c r="F510" s="12" t="s">
        <v>371</v>
      </c>
      <c r="G510" s="12">
        <v>1000</v>
      </c>
      <c r="H510" s="12">
        <v>800</v>
      </c>
      <c r="I510" s="14">
        <v>-300</v>
      </c>
      <c r="J510" s="14" t="s">
        <v>26</v>
      </c>
      <c r="K510" s="12" t="s">
        <v>27</v>
      </c>
      <c r="L510" s="15"/>
      <c r="M510" s="12" t="s">
        <v>28</v>
      </c>
      <c r="N510" s="12"/>
      <c r="O510" s="12"/>
      <c r="P510" s="12"/>
      <c r="Q510" s="16">
        <v>0</v>
      </c>
      <c r="R510" s="16">
        <v>1</v>
      </c>
      <c r="S510" s="16"/>
      <c r="T510" s="16" t="e">
        <v>#N/A</v>
      </c>
      <c r="U510" s="16" t="e">
        <v>#N/A</v>
      </c>
    </row>
    <row r="511" spans="1:21" x14ac:dyDescent="0.25">
      <c r="A511" s="12" t="s">
        <v>21</v>
      </c>
      <c r="B511" s="12" t="s">
        <v>499</v>
      </c>
      <c r="C511" s="12" t="s">
        <v>23</v>
      </c>
      <c r="D511" s="13">
        <v>46231.577476851853</v>
      </c>
      <c r="E511" s="12" t="s">
        <v>24</v>
      </c>
      <c r="F511" s="12" t="s">
        <v>354</v>
      </c>
      <c r="G511" s="12">
        <v>40</v>
      </c>
      <c r="H511" s="12">
        <v>40</v>
      </c>
      <c r="I511" s="14"/>
      <c r="J511" s="14" t="s">
        <v>26</v>
      </c>
      <c r="K511" s="12" t="s">
        <v>27</v>
      </c>
      <c r="L511" s="15"/>
      <c r="M511" s="12" t="s">
        <v>28</v>
      </c>
      <c r="N511" s="12"/>
      <c r="O511" s="12"/>
      <c r="P511" s="12"/>
      <c r="Q511" s="16">
        <v>0</v>
      </c>
      <c r="R511" s="16">
        <v>0</v>
      </c>
      <c r="S511" s="16"/>
      <c r="T511" s="16" t="e">
        <v>#N/A</v>
      </c>
      <c r="U511" s="16" t="e">
        <v>#N/A</v>
      </c>
    </row>
    <row r="512" spans="1:21" x14ac:dyDescent="0.25">
      <c r="A512" s="12" t="s">
        <v>21</v>
      </c>
      <c r="B512" s="12" t="s">
        <v>499</v>
      </c>
      <c r="C512" s="12" t="s">
        <v>23</v>
      </c>
      <c r="D512" s="13">
        <v>46231.577476851853</v>
      </c>
      <c r="E512" s="12" t="s">
        <v>24</v>
      </c>
      <c r="F512" s="12" t="s">
        <v>283</v>
      </c>
      <c r="G512" s="12">
        <v>100</v>
      </c>
      <c r="H512" s="12">
        <v>48</v>
      </c>
      <c r="I512" s="14"/>
      <c r="J512" s="14" t="s">
        <v>61</v>
      </c>
      <c r="K512" s="12" t="s">
        <v>27</v>
      </c>
      <c r="L512" s="15"/>
      <c r="M512" s="12" t="s">
        <v>28</v>
      </c>
      <c r="N512" s="12"/>
      <c r="O512" s="12"/>
      <c r="P512" s="12"/>
      <c r="Q512" s="16">
        <v>120</v>
      </c>
      <c r="R512" s="16">
        <v>0</v>
      </c>
      <c r="S512" s="16"/>
      <c r="T512" s="16" t="e">
        <v>#N/A</v>
      </c>
      <c r="U512" s="16" t="e">
        <v>#N/A</v>
      </c>
    </row>
    <row r="513" spans="1:21" x14ac:dyDescent="0.25">
      <c r="A513" s="12" t="s">
        <v>21</v>
      </c>
      <c r="B513" s="12" t="s">
        <v>499</v>
      </c>
      <c r="C513" s="12" t="s">
        <v>23</v>
      </c>
      <c r="D513" s="13">
        <v>46231.577476851853</v>
      </c>
      <c r="E513" s="12" t="s">
        <v>24</v>
      </c>
      <c r="F513" s="12" t="s">
        <v>500</v>
      </c>
      <c r="G513" s="12">
        <v>4</v>
      </c>
      <c r="H513" s="12">
        <v>1</v>
      </c>
      <c r="I513" s="14"/>
      <c r="J513" s="14" t="s">
        <v>61</v>
      </c>
      <c r="K513" s="12" t="s">
        <v>27</v>
      </c>
      <c r="L513" s="15"/>
      <c r="M513" s="12" t="s">
        <v>28</v>
      </c>
      <c r="N513" s="12"/>
      <c r="O513" s="12"/>
      <c r="P513" s="12"/>
      <c r="Q513" s="16">
        <v>4</v>
      </c>
      <c r="R513" s="16">
        <v>0</v>
      </c>
      <c r="S513" s="16"/>
      <c r="T513" s="16" t="e">
        <v>#N/A</v>
      </c>
      <c r="U513" s="16" t="e">
        <v>#N/A</v>
      </c>
    </row>
    <row r="514" spans="1:21" x14ac:dyDescent="0.25">
      <c r="A514" s="12" t="s">
        <v>21</v>
      </c>
      <c r="B514" s="12" t="s">
        <v>499</v>
      </c>
      <c r="C514" s="12" t="s">
        <v>23</v>
      </c>
      <c r="D514" s="13">
        <v>46231.577476851853</v>
      </c>
      <c r="E514" s="12" t="s">
        <v>24</v>
      </c>
      <c r="F514" s="12" t="s">
        <v>320</v>
      </c>
      <c r="G514" s="12">
        <v>300</v>
      </c>
      <c r="H514" s="12">
        <v>100</v>
      </c>
      <c r="I514" s="14"/>
      <c r="J514" s="14" t="s">
        <v>61</v>
      </c>
      <c r="K514" s="12" t="s">
        <v>27</v>
      </c>
      <c r="L514" s="15"/>
      <c r="M514" s="12" t="s">
        <v>28</v>
      </c>
      <c r="N514" s="12"/>
      <c r="O514" s="12"/>
      <c r="P514" s="12"/>
      <c r="Q514" s="16">
        <v>150</v>
      </c>
      <c r="R514" s="16">
        <v>1</v>
      </c>
      <c r="S514" s="16"/>
      <c r="T514" s="16" t="e">
        <v>#N/A</v>
      </c>
      <c r="U514" s="16" t="e">
        <v>#N/A</v>
      </c>
    </row>
    <row r="515" spans="1:21" x14ac:dyDescent="0.25">
      <c r="A515" s="12" t="s">
        <v>21</v>
      </c>
      <c r="B515" s="12" t="s">
        <v>501</v>
      </c>
      <c r="C515" s="12" t="s">
        <v>23</v>
      </c>
      <c r="D515" s="13">
        <v>46232.636412037034</v>
      </c>
      <c r="E515" s="12" t="s">
        <v>502</v>
      </c>
      <c r="F515" s="12" t="s">
        <v>157</v>
      </c>
      <c r="G515" s="12">
        <v>8</v>
      </c>
      <c r="H515" s="12">
        <v>8</v>
      </c>
      <c r="I515" s="14"/>
      <c r="J515" s="14" t="s">
        <v>61</v>
      </c>
      <c r="K515" s="12" t="s">
        <v>27</v>
      </c>
      <c r="L515" s="15"/>
      <c r="M515" s="12" t="s">
        <v>28</v>
      </c>
      <c r="N515" s="12"/>
      <c r="O515" s="12"/>
      <c r="P515" s="12"/>
      <c r="Q515" s="16">
        <v>12</v>
      </c>
      <c r="R515" s="16">
        <v>0</v>
      </c>
      <c r="S515" s="16"/>
      <c r="T515" s="16" t="e">
        <v>#N/A</v>
      </c>
      <c r="U515" s="16" t="e">
        <v>#N/A</v>
      </c>
    </row>
    <row r="516" spans="1:21" x14ac:dyDescent="0.25">
      <c r="A516" s="12" t="s">
        <v>21</v>
      </c>
      <c r="B516" s="12" t="s">
        <v>501</v>
      </c>
      <c r="C516" s="12" t="s">
        <v>23</v>
      </c>
      <c r="D516" s="13">
        <v>46232.636412037034</v>
      </c>
      <c r="E516" s="12" t="s">
        <v>502</v>
      </c>
      <c r="F516" s="12" t="s">
        <v>159</v>
      </c>
      <c r="G516" s="12">
        <v>16</v>
      </c>
      <c r="H516" s="12">
        <v>16</v>
      </c>
      <c r="I516" s="14"/>
      <c r="J516" s="14" t="s">
        <v>61</v>
      </c>
      <c r="K516" s="12" t="s">
        <v>27</v>
      </c>
      <c r="L516" s="15"/>
      <c r="M516" s="12" t="s">
        <v>28</v>
      </c>
      <c r="N516" s="12"/>
      <c r="O516" s="12"/>
      <c r="P516" s="12"/>
      <c r="Q516" s="16">
        <v>12</v>
      </c>
      <c r="R516" s="16">
        <v>0</v>
      </c>
      <c r="S516" s="16"/>
      <c r="T516" s="16" t="e">
        <v>#N/A</v>
      </c>
      <c r="U516" s="16" t="e">
        <v>#N/A</v>
      </c>
    </row>
    <row r="517" spans="1:21" x14ac:dyDescent="0.25">
      <c r="A517" s="12" t="s">
        <v>21</v>
      </c>
      <c r="B517" s="12" t="s">
        <v>503</v>
      </c>
      <c r="C517" s="12" t="s">
        <v>23</v>
      </c>
      <c r="D517" s="13">
        <v>46233.276898148149</v>
      </c>
      <c r="E517" s="12" t="s">
        <v>266</v>
      </c>
      <c r="F517" s="12" t="s">
        <v>134</v>
      </c>
      <c r="G517" s="12">
        <v>100</v>
      </c>
      <c r="H517" s="12">
        <v>100</v>
      </c>
      <c r="I517" s="14"/>
      <c r="J517" s="14" t="s">
        <v>26</v>
      </c>
      <c r="K517" s="12" t="s">
        <v>27</v>
      </c>
      <c r="L517" s="15"/>
      <c r="M517" s="12" t="s">
        <v>28</v>
      </c>
      <c r="N517" s="12"/>
      <c r="O517" s="12"/>
      <c r="P517" s="12"/>
      <c r="Q517" s="16">
        <v>0</v>
      </c>
      <c r="R517" s="16">
        <v>6</v>
      </c>
      <c r="S517" s="16"/>
      <c r="T517" s="16" t="e">
        <v>#N/A</v>
      </c>
      <c r="U517" s="16" t="e">
        <v>#N/A</v>
      </c>
    </row>
    <row r="518" spans="1:21" x14ac:dyDescent="0.25">
      <c r="A518" s="12" t="s">
        <v>21</v>
      </c>
      <c r="B518" s="12" t="s">
        <v>504</v>
      </c>
      <c r="C518" s="12" t="s">
        <v>23</v>
      </c>
      <c r="D518" s="13">
        <v>46233.394189814811</v>
      </c>
      <c r="E518" s="12" t="s">
        <v>505</v>
      </c>
      <c r="F518" s="12" t="s">
        <v>354</v>
      </c>
      <c r="G518" s="12">
        <v>18</v>
      </c>
      <c r="H518" s="12">
        <v>18</v>
      </c>
      <c r="I518" s="14"/>
      <c r="J518" s="14" t="s">
        <v>26</v>
      </c>
      <c r="K518" s="12" t="s">
        <v>27</v>
      </c>
      <c r="L518" s="15"/>
      <c r="M518" s="12" t="s">
        <v>28</v>
      </c>
      <c r="N518" s="12"/>
      <c r="O518" s="12"/>
      <c r="P518" s="12"/>
      <c r="Q518" s="16">
        <v>0</v>
      </c>
      <c r="R518" s="16">
        <v>0</v>
      </c>
      <c r="S518" s="16"/>
      <c r="T518" s="16" t="e">
        <v>#N/A</v>
      </c>
      <c r="U518" s="16" t="e">
        <v>#N/A</v>
      </c>
    </row>
    <row r="519" spans="1:21" x14ac:dyDescent="0.25">
      <c r="A519" s="12" t="s">
        <v>21</v>
      </c>
      <c r="B519" s="12" t="s">
        <v>504</v>
      </c>
      <c r="C519" s="12" t="s">
        <v>23</v>
      </c>
      <c r="D519" s="13">
        <v>46233.394189814811</v>
      </c>
      <c r="E519" s="12" t="s">
        <v>505</v>
      </c>
      <c r="F519" s="12" t="s">
        <v>268</v>
      </c>
      <c r="G519" s="12">
        <v>18</v>
      </c>
      <c r="H519" s="12">
        <v>10</v>
      </c>
      <c r="I519" s="14"/>
      <c r="J519" s="14" t="s">
        <v>61</v>
      </c>
      <c r="K519" s="12" t="s">
        <v>27</v>
      </c>
      <c r="L519" s="15"/>
      <c r="M519" s="12" t="s">
        <v>28</v>
      </c>
      <c r="N519" s="12"/>
      <c r="O519" s="12"/>
      <c r="P519" s="12"/>
      <c r="Q519" s="16">
        <v>18</v>
      </c>
      <c r="R519" s="16">
        <v>0</v>
      </c>
      <c r="S519" s="16"/>
      <c r="T519" s="16" t="e">
        <v>#N/A</v>
      </c>
      <c r="U519" s="16" t="e">
        <v>#N/A</v>
      </c>
    </row>
    <row r="520" spans="1:21" x14ac:dyDescent="0.25">
      <c r="A520" s="12" t="s">
        <v>21</v>
      </c>
      <c r="B520" s="12" t="s">
        <v>504</v>
      </c>
      <c r="C520" s="12" t="s">
        <v>23</v>
      </c>
      <c r="D520" s="13">
        <v>46233.394189814811</v>
      </c>
      <c r="E520" s="12" t="s">
        <v>505</v>
      </c>
      <c r="F520" s="12" t="s">
        <v>401</v>
      </c>
      <c r="G520" s="12">
        <v>20</v>
      </c>
      <c r="H520" s="12">
        <v>20</v>
      </c>
      <c r="I520" s="14"/>
      <c r="J520" s="14" t="s">
        <v>61</v>
      </c>
      <c r="K520" s="12" t="s">
        <v>27</v>
      </c>
      <c r="L520" s="15"/>
      <c r="M520" s="12" t="s">
        <v>28</v>
      </c>
      <c r="N520" s="12"/>
      <c r="O520" s="12"/>
      <c r="P520" s="12"/>
      <c r="Q520" s="16">
        <v>12</v>
      </c>
      <c r="R520" s="16">
        <v>0</v>
      </c>
      <c r="S520" s="16"/>
      <c r="T520" s="16" t="e">
        <v>#N/A</v>
      </c>
      <c r="U520" s="16" t="e">
        <v>#N/A</v>
      </c>
    </row>
    <row r="521" spans="1:21" x14ac:dyDescent="0.25">
      <c r="A521" s="12" t="s">
        <v>21</v>
      </c>
      <c r="B521" s="12" t="s">
        <v>506</v>
      </c>
      <c r="C521" s="12" t="s">
        <v>23</v>
      </c>
      <c r="D521" s="13">
        <v>46233.637199074074</v>
      </c>
      <c r="E521" s="12" t="s">
        <v>507</v>
      </c>
      <c r="F521" s="12" t="s">
        <v>508</v>
      </c>
      <c r="G521" s="12">
        <v>1100</v>
      </c>
      <c r="H521" s="12">
        <v>126</v>
      </c>
      <c r="I521" s="14"/>
      <c r="J521" s="14" t="s">
        <v>26</v>
      </c>
      <c r="K521" s="12" t="s">
        <v>27</v>
      </c>
      <c r="L521" s="15"/>
      <c r="M521" s="12" t="s">
        <v>28</v>
      </c>
      <c r="N521" s="12"/>
      <c r="O521" s="12"/>
      <c r="P521" s="12"/>
      <c r="Q521" s="16">
        <v>0</v>
      </c>
      <c r="R521" s="16">
        <v>1900</v>
      </c>
      <c r="S521" s="16"/>
      <c r="T521" s="16" t="e">
        <v>#N/A</v>
      </c>
      <c r="U521" s="16" t="e">
        <v>#N/A</v>
      </c>
    </row>
    <row r="522" spans="1:21" x14ac:dyDescent="0.25">
      <c r="A522" s="12" t="s">
        <v>21</v>
      </c>
      <c r="B522" s="12" t="s">
        <v>509</v>
      </c>
      <c r="C522" s="12" t="s">
        <v>23</v>
      </c>
      <c r="D522" s="13">
        <v>46233.644606481481</v>
      </c>
      <c r="E522" s="12" t="s">
        <v>511</v>
      </c>
      <c r="F522" s="12" t="s">
        <v>262</v>
      </c>
      <c r="G522" s="12">
        <v>2000</v>
      </c>
      <c r="H522" s="12">
        <v>600</v>
      </c>
      <c r="I522" s="14"/>
      <c r="J522" s="14" t="s">
        <v>26</v>
      </c>
      <c r="K522" s="12" t="s">
        <v>27</v>
      </c>
      <c r="L522" s="15"/>
      <c r="M522" s="12" t="s">
        <v>28</v>
      </c>
      <c r="N522" s="12"/>
      <c r="O522" s="12"/>
      <c r="P522" s="12"/>
      <c r="Q522" s="16">
        <v>0</v>
      </c>
      <c r="R522" s="16">
        <v>0</v>
      </c>
      <c r="S522" s="16"/>
      <c r="T522" s="16" t="e">
        <v>#N/A</v>
      </c>
      <c r="U522" s="16" t="e">
        <v>#N/A</v>
      </c>
    </row>
    <row r="523" spans="1:21" x14ac:dyDescent="0.25">
      <c r="A523" s="12" t="s">
        <v>21</v>
      </c>
      <c r="B523" s="12" t="s">
        <v>510</v>
      </c>
      <c r="C523" s="12" t="s">
        <v>23</v>
      </c>
      <c r="D523" s="13">
        <v>46234.300497685188</v>
      </c>
      <c r="E523" s="12" t="s">
        <v>398</v>
      </c>
      <c r="F523" s="12" t="s">
        <v>283</v>
      </c>
      <c r="G523" s="12">
        <v>40</v>
      </c>
      <c r="H523" s="12">
        <v>4</v>
      </c>
      <c r="I523" s="14"/>
      <c r="J523" s="14" t="s">
        <v>61</v>
      </c>
      <c r="K523" s="12" t="s">
        <v>27</v>
      </c>
      <c r="L523" s="15"/>
      <c r="M523" s="12" t="s">
        <v>28</v>
      </c>
      <c r="N523" s="12"/>
      <c r="O523" s="12"/>
      <c r="P523" s="12"/>
      <c r="Q523" s="16">
        <v>32</v>
      </c>
      <c r="R523" s="16">
        <v>0</v>
      </c>
      <c r="S523" s="16"/>
      <c r="T523" s="16" t="e">
        <v>#N/A</v>
      </c>
      <c r="U523" s="16" t="e">
        <v>#N/A</v>
      </c>
    </row>
    <row r="524" spans="1:21" x14ac:dyDescent="0.25">
      <c r="A524" s="12" t="s">
        <v>21</v>
      </c>
      <c r="B524" s="12" t="s">
        <v>512</v>
      </c>
      <c r="C524" s="12" t="s">
        <v>23</v>
      </c>
      <c r="D524" s="13">
        <v>46234.302766203706</v>
      </c>
      <c r="E524" s="12" t="s">
        <v>331</v>
      </c>
      <c r="F524" s="12" t="s">
        <v>513</v>
      </c>
      <c r="G524" s="12">
        <v>10</v>
      </c>
      <c r="H524" s="12">
        <v>10</v>
      </c>
      <c r="I524" s="14">
        <v>-5</v>
      </c>
      <c r="J524" s="14" t="s">
        <v>26</v>
      </c>
      <c r="K524" s="12" t="s">
        <v>27</v>
      </c>
      <c r="L524" s="15"/>
      <c r="M524" s="12" t="s">
        <v>28</v>
      </c>
      <c r="N524" s="12"/>
      <c r="O524" s="12"/>
      <c r="P524" s="12"/>
      <c r="Q524" s="16">
        <v>0</v>
      </c>
      <c r="R524" s="16">
        <v>0</v>
      </c>
      <c r="S524" s="16"/>
      <c r="T524" s="16" t="e">
        <v>#N/A</v>
      </c>
      <c r="U524" s="16" t="e">
        <v>#N/A</v>
      </c>
    </row>
    <row r="525" spans="1:21" x14ac:dyDescent="0.25">
      <c r="A525" s="12" t="s">
        <v>21</v>
      </c>
      <c r="B525" s="12" t="s">
        <v>514</v>
      </c>
      <c r="C525" s="12" t="s">
        <v>23</v>
      </c>
      <c r="D525" s="13">
        <v>46234.303749999999</v>
      </c>
      <c r="E525" s="12" t="s">
        <v>24</v>
      </c>
      <c r="F525" s="12" t="s">
        <v>515</v>
      </c>
      <c r="G525" s="12">
        <v>5</v>
      </c>
      <c r="H525" s="12">
        <v>5</v>
      </c>
      <c r="I525" s="14"/>
      <c r="J525" s="14" t="s">
        <v>61</v>
      </c>
      <c r="K525" s="12" t="s">
        <v>516</v>
      </c>
      <c r="L525" s="15">
        <v>1</v>
      </c>
      <c r="M525" s="12" t="s">
        <v>150</v>
      </c>
      <c r="N525" s="12">
        <v>5</v>
      </c>
      <c r="O525" s="12">
        <v>5</v>
      </c>
      <c r="P525" s="12">
        <v>0</v>
      </c>
      <c r="Q525" s="16">
        <v>27</v>
      </c>
      <c r="R525" s="16">
        <v>0</v>
      </c>
      <c r="S525" s="16"/>
      <c r="T525" s="16" t="e">
        <v>#N/A</v>
      </c>
      <c r="U525" s="16" t="e">
        <v>#N/A</v>
      </c>
    </row>
    <row r="526" spans="1:21" x14ac:dyDescent="0.25">
      <c r="A526" s="12" t="s">
        <v>21</v>
      </c>
      <c r="B526" s="12" t="s">
        <v>517</v>
      </c>
      <c r="C526" s="12" t="s">
        <v>23</v>
      </c>
      <c r="D526" s="13">
        <v>46234.482245370367</v>
      </c>
      <c r="E526" s="12" t="s">
        <v>393</v>
      </c>
      <c r="F526" s="12" t="s">
        <v>374</v>
      </c>
      <c r="G526" s="12">
        <v>20</v>
      </c>
      <c r="H526" s="12">
        <v>20</v>
      </c>
      <c r="I526" s="14"/>
      <c r="J526" s="14" t="s">
        <v>26</v>
      </c>
      <c r="K526" s="12" t="s">
        <v>27</v>
      </c>
      <c r="L526" s="15"/>
      <c r="M526" s="12" t="s">
        <v>28</v>
      </c>
      <c r="N526" s="12"/>
      <c r="O526" s="12"/>
      <c r="P526" s="12"/>
      <c r="Q526" s="16">
        <v>0</v>
      </c>
      <c r="R526" s="16">
        <v>0</v>
      </c>
      <c r="S526" s="16">
        <v>12</v>
      </c>
      <c r="T526" s="16" t="e">
        <v>#N/A</v>
      </c>
      <c r="U526" s="16" t="e">
        <v>#N/A</v>
      </c>
    </row>
    <row r="527" spans="1:21" x14ac:dyDescent="0.25">
      <c r="A527" s="12" t="s">
        <v>21</v>
      </c>
      <c r="B527" s="12" t="s">
        <v>518</v>
      </c>
      <c r="C527" s="12" t="s">
        <v>23</v>
      </c>
      <c r="D527" s="13">
        <v>46234.563368055555</v>
      </c>
      <c r="E527" s="12" t="s">
        <v>398</v>
      </c>
      <c r="F527" s="12" t="s">
        <v>519</v>
      </c>
      <c r="G527" s="12">
        <v>2</v>
      </c>
      <c r="H527" s="12">
        <v>2</v>
      </c>
      <c r="I527" s="14"/>
      <c r="J527" s="14" t="s">
        <v>26</v>
      </c>
      <c r="K527" s="12" t="s">
        <v>520</v>
      </c>
      <c r="L527" s="15">
        <v>1</v>
      </c>
      <c r="M527" s="12" t="s">
        <v>150</v>
      </c>
      <c r="N527" s="12">
        <v>2</v>
      </c>
      <c r="O527" s="12">
        <v>2</v>
      </c>
      <c r="P527" s="12">
        <v>0</v>
      </c>
      <c r="Q527" s="16">
        <v>0</v>
      </c>
      <c r="R527" s="16">
        <v>1</v>
      </c>
      <c r="S527" s="16"/>
      <c r="T527" s="16" t="e">
        <v>#N/A</v>
      </c>
      <c r="U527" s="16" t="e">
        <v>#N/A</v>
      </c>
    </row>
    <row r="528" spans="1:21" x14ac:dyDescent="0.25">
      <c r="A528" s="12" t="s">
        <v>21</v>
      </c>
      <c r="B528" s="12" t="s">
        <v>521</v>
      </c>
      <c r="C528" s="12" t="s">
        <v>23</v>
      </c>
      <c r="D528" s="13">
        <v>46235.515069444446</v>
      </c>
      <c r="E528" s="12" t="s">
        <v>522</v>
      </c>
      <c r="F528" s="12" t="s">
        <v>157</v>
      </c>
      <c r="G528" s="12">
        <v>20</v>
      </c>
      <c r="H528" s="12">
        <v>20</v>
      </c>
      <c r="I528" s="14"/>
      <c r="J528" s="14" t="s">
        <v>26</v>
      </c>
      <c r="K528" s="12" t="s">
        <v>27</v>
      </c>
      <c r="L528" s="15"/>
      <c r="M528" s="12" t="s">
        <v>28</v>
      </c>
      <c r="N528" s="12"/>
      <c r="O528" s="12"/>
      <c r="P528" s="12"/>
      <c r="Q528" s="16">
        <v>0</v>
      </c>
      <c r="R528" s="16">
        <v>0</v>
      </c>
      <c r="S528" s="16"/>
      <c r="T528" s="16" t="e">
        <v>#N/A</v>
      </c>
      <c r="U528" s="16" t="e">
        <v>#N/A</v>
      </c>
    </row>
    <row r="529" spans="1:21" x14ac:dyDescent="0.25">
      <c r="A529" s="12" t="s">
        <v>21</v>
      </c>
      <c r="B529" s="12" t="s">
        <v>521</v>
      </c>
      <c r="C529" s="12" t="s">
        <v>23</v>
      </c>
      <c r="D529" s="13">
        <v>46235.515069444446</v>
      </c>
      <c r="E529" s="12" t="s">
        <v>522</v>
      </c>
      <c r="F529" s="12" t="s">
        <v>523</v>
      </c>
      <c r="G529" s="12">
        <v>20</v>
      </c>
      <c r="H529" s="12">
        <v>10</v>
      </c>
      <c r="I529" s="14"/>
      <c r="J529" s="14" t="s">
        <v>26</v>
      </c>
      <c r="K529" s="12" t="s">
        <v>27</v>
      </c>
      <c r="L529" s="15"/>
      <c r="M529" s="12" t="s">
        <v>28</v>
      </c>
      <c r="N529" s="12"/>
      <c r="O529" s="12"/>
      <c r="P529" s="12"/>
      <c r="Q529" s="16">
        <v>0</v>
      </c>
      <c r="R529" s="16">
        <v>3</v>
      </c>
      <c r="S529" s="16"/>
      <c r="T529" s="16" t="e">
        <v>#N/A</v>
      </c>
      <c r="U529" s="16" t="e">
        <v>#N/A</v>
      </c>
    </row>
    <row r="530" spans="1:21" x14ac:dyDescent="0.25">
      <c r="A530" s="12" t="s">
        <v>21</v>
      </c>
      <c r="B530" s="12" t="s">
        <v>524</v>
      </c>
      <c r="C530" s="12" t="s">
        <v>23</v>
      </c>
      <c r="D530" s="13">
        <v>46235.515706018516</v>
      </c>
      <c r="E530" s="12" t="s">
        <v>436</v>
      </c>
      <c r="F530" s="12" t="s">
        <v>157</v>
      </c>
      <c r="G530" s="12">
        <v>10</v>
      </c>
      <c r="H530" s="12">
        <v>10</v>
      </c>
      <c r="I530" s="14"/>
      <c r="J530" s="14" t="s">
        <v>61</v>
      </c>
      <c r="K530" s="12" t="s">
        <v>27</v>
      </c>
      <c r="L530" s="15"/>
      <c r="M530" s="12" t="s">
        <v>28</v>
      </c>
      <c r="N530" s="12"/>
      <c r="O530" s="12"/>
      <c r="P530" s="12"/>
      <c r="Q530" s="16">
        <v>10</v>
      </c>
      <c r="R530" s="16">
        <v>0</v>
      </c>
      <c r="S530" s="16"/>
      <c r="T530" s="16" t="e">
        <v>#N/A</v>
      </c>
      <c r="U530" s="16" t="e">
        <v>#N/A</v>
      </c>
    </row>
    <row r="531" spans="1:21" x14ac:dyDescent="0.25">
      <c r="A531" s="12" t="s">
        <v>21</v>
      </c>
      <c r="B531" s="12" t="s">
        <v>524</v>
      </c>
      <c r="C531" s="12" t="s">
        <v>23</v>
      </c>
      <c r="D531" s="13">
        <v>46235.515706018516</v>
      </c>
      <c r="E531" s="12" t="s">
        <v>436</v>
      </c>
      <c r="F531" s="12" t="s">
        <v>261</v>
      </c>
      <c r="G531" s="12">
        <v>30</v>
      </c>
      <c r="H531" s="12">
        <v>30</v>
      </c>
      <c r="I531" s="14"/>
      <c r="J531" s="14" t="s">
        <v>26</v>
      </c>
      <c r="K531" s="12" t="s">
        <v>27</v>
      </c>
      <c r="L531" s="15"/>
      <c r="M531" s="12" t="s">
        <v>28</v>
      </c>
      <c r="N531" s="12"/>
      <c r="O531" s="12"/>
      <c r="P531" s="12"/>
      <c r="Q531" s="16">
        <v>0</v>
      </c>
      <c r="R531" s="16">
        <v>0</v>
      </c>
      <c r="S531" s="16">
        <v>22</v>
      </c>
      <c r="T531" s="16" t="e">
        <v>#N/A</v>
      </c>
      <c r="U531" s="16" t="e">
        <v>#N/A</v>
      </c>
    </row>
    <row r="532" spans="1:21" x14ac:dyDescent="0.25">
      <c r="A532" s="12" t="s">
        <v>21</v>
      </c>
      <c r="B532" s="12" t="s">
        <v>524</v>
      </c>
      <c r="C532" s="12" t="s">
        <v>23</v>
      </c>
      <c r="D532" s="13">
        <v>46235.515706018516</v>
      </c>
      <c r="E532" s="12" t="s">
        <v>436</v>
      </c>
      <c r="F532" s="12" t="s">
        <v>71</v>
      </c>
      <c r="G532" s="12">
        <v>100</v>
      </c>
      <c r="H532" s="12">
        <v>100</v>
      </c>
      <c r="I532" s="14"/>
      <c r="J532" s="14" t="s">
        <v>61</v>
      </c>
      <c r="K532" s="12" t="s">
        <v>27</v>
      </c>
      <c r="L532" s="15"/>
      <c r="M532" s="12" t="s">
        <v>28</v>
      </c>
      <c r="N532" s="12"/>
      <c r="O532" s="12"/>
      <c r="P532" s="12"/>
      <c r="Q532" s="16">
        <v>10</v>
      </c>
      <c r="R532" s="16">
        <v>0</v>
      </c>
      <c r="S532" s="16"/>
      <c r="T532" s="16" t="e">
        <v>#N/A</v>
      </c>
      <c r="U532" s="16" t="e">
        <v>#N/A</v>
      </c>
    </row>
    <row r="533" spans="1:21" x14ac:dyDescent="0.25">
      <c r="A533" s="12" t="s">
        <v>21</v>
      </c>
      <c r="B533" s="12" t="s">
        <v>524</v>
      </c>
      <c r="C533" s="12" t="s">
        <v>23</v>
      </c>
      <c r="D533" s="13">
        <v>46235.515706018516</v>
      </c>
      <c r="E533" s="12" t="s">
        <v>436</v>
      </c>
      <c r="F533" s="12" t="s">
        <v>283</v>
      </c>
      <c r="G533" s="12">
        <v>75</v>
      </c>
      <c r="H533" s="12">
        <v>75</v>
      </c>
      <c r="I533" s="14"/>
      <c r="J533" s="14" t="s">
        <v>61</v>
      </c>
      <c r="K533" s="12" t="s">
        <v>27</v>
      </c>
      <c r="L533" s="15"/>
      <c r="M533" s="12" t="s">
        <v>28</v>
      </c>
      <c r="N533" s="12"/>
      <c r="O533" s="12"/>
      <c r="P533" s="12"/>
      <c r="Q533" s="16">
        <v>30</v>
      </c>
      <c r="R533" s="16">
        <v>0</v>
      </c>
      <c r="S533" s="16"/>
      <c r="T533" s="16" t="e">
        <v>#N/A</v>
      </c>
      <c r="U533" s="16" t="e">
        <v>#N/A</v>
      </c>
    </row>
    <row r="534" spans="1:21" x14ac:dyDescent="0.25">
      <c r="A534" s="12" t="s">
        <v>21</v>
      </c>
      <c r="B534" s="12" t="s">
        <v>524</v>
      </c>
      <c r="C534" s="12" t="s">
        <v>23</v>
      </c>
      <c r="D534" s="13">
        <v>46235.515706018516</v>
      </c>
      <c r="E534" s="12" t="s">
        <v>436</v>
      </c>
      <c r="F534" s="12" t="s">
        <v>525</v>
      </c>
      <c r="G534" s="12">
        <v>60</v>
      </c>
      <c r="H534" s="12">
        <v>60</v>
      </c>
      <c r="I534" s="14"/>
      <c r="J534" s="14" t="s">
        <v>26</v>
      </c>
      <c r="K534" s="12" t="s">
        <v>27</v>
      </c>
      <c r="L534" s="15"/>
      <c r="M534" s="12" t="s">
        <v>28</v>
      </c>
      <c r="N534" s="12"/>
      <c r="O534" s="12"/>
      <c r="P534" s="12"/>
      <c r="Q534" s="16">
        <v>0</v>
      </c>
      <c r="R534" s="16">
        <v>0</v>
      </c>
      <c r="S534" s="16"/>
      <c r="T534" s="16" t="e">
        <v>#N/A</v>
      </c>
      <c r="U534" s="16" t="e">
        <v>#N/A</v>
      </c>
    </row>
    <row r="535" spans="1:21" x14ac:dyDescent="0.25">
      <c r="A535" s="12" t="s">
        <v>21</v>
      </c>
      <c r="B535" s="12" t="s">
        <v>524</v>
      </c>
      <c r="C535" s="12" t="s">
        <v>23</v>
      </c>
      <c r="D535" s="13">
        <v>46235.515706018516</v>
      </c>
      <c r="E535" s="12" t="s">
        <v>436</v>
      </c>
      <c r="F535" s="12" t="s">
        <v>401</v>
      </c>
      <c r="G535" s="12">
        <v>18</v>
      </c>
      <c r="H535" s="12">
        <v>18</v>
      </c>
      <c r="I535" s="14"/>
      <c r="J535" s="14" t="s">
        <v>26</v>
      </c>
      <c r="K535" s="12" t="s">
        <v>27</v>
      </c>
      <c r="L535" s="15"/>
      <c r="M535" s="12" t="s">
        <v>28</v>
      </c>
      <c r="N535" s="12"/>
      <c r="O535" s="12"/>
      <c r="P535" s="12"/>
      <c r="Q535" s="16">
        <v>0</v>
      </c>
      <c r="R535" s="16">
        <v>0</v>
      </c>
      <c r="S535" s="16"/>
      <c r="T535" s="16" t="e">
        <v>#N/A</v>
      </c>
      <c r="U535" s="16" t="e">
        <v>#N/A</v>
      </c>
    </row>
    <row r="536" spans="1:21" x14ac:dyDescent="0.25">
      <c r="A536" s="12" t="s">
        <v>21</v>
      </c>
      <c r="B536" s="12" t="s">
        <v>524</v>
      </c>
      <c r="C536" s="12" t="s">
        <v>23</v>
      </c>
      <c r="D536" s="13">
        <v>46235.515706018516</v>
      </c>
      <c r="E536" s="12" t="s">
        <v>436</v>
      </c>
      <c r="F536" s="12" t="s">
        <v>454</v>
      </c>
      <c r="G536" s="12">
        <v>30</v>
      </c>
      <c r="H536" s="12">
        <v>30</v>
      </c>
      <c r="I536" s="14"/>
      <c r="J536" s="14" t="s">
        <v>26</v>
      </c>
      <c r="K536" s="12" t="s">
        <v>27</v>
      </c>
      <c r="L536" s="15"/>
      <c r="M536" s="12" t="s">
        <v>28</v>
      </c>
      <c r="N536" s="12"/>
      <c r="O536" s="12"/>
      <c r="P536" s="12"/>
      <c r="Q536" s="16">
        <v>0</v>
      </c>
      <c r="R536" s="16">
        <v>0</v>
      </c>
      <c r="S536" s="16"/>
      <c r="T536" s="16" t="e">
        <v>#N/A</v>
      </c>
      <c r="U536" s="16" t="e">
        <v>#N/A</v>
      </c>
    </row>
    <row r="537" spans="1:21" x14ac:dyDescent="0.25">
      <c r="A537" s="12" t="s">
        <v>21</v>
      </c>
      <c r="B537" s="12" t="s">
        <v>526</v>
      </c>
      <c r="C537" s="12" t="s">
        <v>23</v>
      </c>
      <c r="D537" s="13">
        <v>46237.378981481481</v>
      </c>
      <c r="E537" s="12" t="s">
        <v>24</v>
      </c>
      <c r="F537" s="12" t="s">
        <v>527</v>
      </c>
      <c r="G537" s="12">
        <v>2</v>
      </c>
      <c r="H537" s="12">
        <v>2</v>
      </c>
      <c r="I537" s="14"/>
      <c r="J537" s="14" t="s">
        <v>61</v>
      </c>
      <c r="K537" s="12" t="s">
        <v>27</v>
      </c>
      <c r="L537" s="15"/>
      <c r="M537" s="12" t="s">
        <v>28</v>
      </c>
      <c r="N537" s="12"/>
      <c r="O537" s="12"/>
      <c r="P537" s="12"/>
      <c r="Q537" s="16">
        <v>4</v>
      </c>
      <c r="R537" s="16">
        <v>0</v>
      </c>
      <c r="S537" s="16"/>
      <c r="T537" s="16" t="e">
        <v>#N/A</v>
      </c>
      <c r="U537" s="16" t="e">
        <v>#N/A</v>
      </c>
    </row>
    <row r="538" spans="1:21" x14ac:dyDescent="0.25">
      <c r="A538" s="12" t="s">
        <v>21</v>
      </c>
      <c r="B538" s="12" t="s">
        <v>528</v>
      </c>
      <c r="C538" s="12" t="s">
        <v>23</v>
      </c>
      <c r="D538" s="13">
        <v>46237.429085648146</v>
      </c>
      <c r="E538" s="12" t="s">
        <v>345</v>
      </c>
      <c r="F538" s="12" t="s">
        <v>130</v>
      </c>
      <c r="G538" s="12">
        <v>100</v>
      </c>
      <c r="H538" s="12">
        <v>100</v>
      </c>
      <c r="I538" s="14"/>
      <c r="J538" s="14" t="s">
        <v>26</v>
      </c>
      <c r="K538" s="12" t="s">
        <v>27</v>
      </c>
      <c r="L538" s="15"/>
      <c r="M538" s="12" t="s">
        <v>28</v>
      </c>
      <c r="N538" s="12"/>
      <c r="O538" s="12"/>
      <c r="P538" s="12"/>
      <c r="Q538" s="16">
        <v>0</v>
      </c>
      <c r="R538" s="16">
        <v>6</v>
      </c>
      <c r="S538" s="16"/>
      <c r="T538" s="16" t="e">
        <v>#N/A</v>
      </c>
      <c r="U538" s="16" t="e">
        <v>#N/A</v>
      </c>
    </row>
    <row r="539" spans="1:21" x14ac:dyDescent="0.25">
      <c r="A539" s="12" t="s">
        <v>21</v>
      </c>
      <c r="B539" s="12" t="s">
        <v>528</v>
      </c>
      <c r="C539" s="12" t="s">
        <v>23</v>
      </c>
      <c r="D539" s="13">
        <v>46237.429085648146</v>
      </c>
      <c r="E539" s="12" t="s">
        <v>345</v>
      </c>
      <c r="F539" s="12" t="s">
        <v>134</v>
      </c>
      <c r="G539" s="12">
        <v>100</v>
      </c>
      <c r="H539" s="12">
        <v>100</v>
      </c>
      <c r="I539" s="14"/>
      <c r="J539" s="14" t="s">
        <v>26</v>
      </c>
      <c r="K539" s="12" t="s">
        <v>27</v>
      </c>
      <c r="L539" s="15"/>
      <c r="M539" s="12" t="s">
        <v>28</v>
      </c>
      <c r="N539" s="12"/>
      <c r="O539" s="12"/>
      <c r="P539" s="12"/>
      <c r="Q539" s="16">
        <v>0</v>
      </c>
      <c r="R539" s="16">
        <v>6</v>
      </c>
      <c r="S539" s="16"/>
      <c r="T539" s="16" t="e">
        <v>#N/A</v>
      </c>
      <c r="U539" s="16" t="e">
        <v>#N/A</v>
      </c>
    </row>
    <row r="540" spans="1:21" x14ac:dyDescent="0.25">
      <c r="A540" s="12" t="s">
        <v>21</v>
      </c>
      <c r="B540" s="12" t="s">
        <v>529</v>
      </c>
      <c r="C540" s="12" t="s">
        <v>23</v>
      </c>
      <c r="D540" s="13">
        <v>46237.443969907406</v>
      </c>
      <c r="E540" s="12" t="s">
        <v>24</v>
      </c>
      <c r="F540" s="12" t="s">
        <v>530</v>
      </c>
      <c r="G540" s="12">
        <v>10</v>
      </c>
      <c r="H540" s="12">
        <v>2</v>
      </c>
      <c r="I540" s="14"/>
      <c r="J540" s="14" t="s">
        <v>61</v>
      </c>
      <c r="K540" s="12" t="s">
        <v>27</v>
      </c>
      <c r="L540" s="15"/>
      <c r="M540" s="12" t="s">
        <v>28</v>
      </c>
      <c r="N540" s="12"/>
      <c r="O540" s="12"/>
      <c r="P540" s="12"/>
      <c r="Q540" s="16">
        <v>10</v>
      </c>
      <c r="R540" s="16">
        <v>0</v>
      </c>
      <c r="S540" s="16"/>
      <c r="T540" s="16" t="e">
        <v>#N/A</v>
      </c>
      <c r="U540" s="16" t="e">
        <v>#N/A</v>
      </c>
    </row>
    <row r="541" spans="1:21" x14ac:dyDescent="0.25">
      <c r="A541" s="12" t="s">
        <v>21</v>
      </c>
      <c r="B541" s="12" t="s">
        <v>529</v>
      </c>
      <c r="C541" s="12" t="s">
        <v>23</v>
      </c>
      <c r="D541" s="13">
        <v>46237.443969907406</v>
      </c>
      <c r="E541" s="12" t="s">
        <v>24</v>
      </c>
      <c r="F541" s="12" t="s">
        <v>531</v>
      </c>
      <c r="G541" s="12">
        <v>10</v>
      </c>
      <c r="H541" s="12">
        <v>10</v>
      </c>
      <c r="I541" s="14"/>
      <c r="J541" s="14" t="s">
        <v>61</v>
      </c>
      <c r="K541" s="12" t="s">
        <v>27</v>
      </c>
      <c r="L541" s="15"/>
      <c r="M541" s="12" t="s">
        <v>28</v>
      </c>
      <c r="N541" s="12"/>
      <c r="O541" s="12"/>
      <c r="P541" s="12"/>
      <c r="Q541" s="16">
        <v>10</v>
      </c>
      <c r="R541" s="16">
        <v>0</v>
      </c>
      <c r="S541" s="16"/>
      <c r="T541" s="16" t="e">
        <v>#N/A</v>
      </c>
      <c r="U541" s="16" t="e">
        <v>#N/A</v>
      </c>
    </row>
    <row r="542" spans="1:21" x14ac:dyDescent="0.25">
      <c r="A542" s="12" t="s">
        <v>21</v>
      </c>
      <c r="B542" s="12" t="s">
        <v>529</v>
      </c>
      <c r="C542" s="12" t="s">
        <v>23</v>
      </c>
      <c r="D542" s="13">
        <v>46237.443969907406</v>
      </c>
      <c r="E542" s="12" t="s">
        <v>24</v>
      </c>
      <c r="F542" s="12" t="s">
        <v>532</v>
      </c>
      <c r="G542" s="12">
        <v>5</v>
      </c>
      <c r="H542" s="12">
        <v>5</v>
      </c>
      <c r="I542" s="14"/>
      <c r="J542" s="14" t="s">
        <v>26</v>
      </c>
      <c r="K542" s="12" t="s">
        <v>27</v>
      </c>
      <c r="L542" s="15"/>
      <c r="M542" s="12" t="s">
        <v>28</v>
      </c>
      <c r="N542" s="12"/>
      <c r="O542" s="12"/>
      <c r="P542" s="12"/>
      <c r="Q542" s="16">
        <v>0</v>
      </c>
      <c r="R542" s="16">
        <v>0</v>
      </c>
      <c r="S542" s="16"/>
      <c r="T542" s="16" t="e">
        <v>#N/A</v>
      </c>
      <c r="U542" s="16" t="e">
        <v>#N/A</v>
      </c>
    </row>
    <row r="543" spans="1:21" x14ac:dyDescent="0.25">
      <c r="A543" s="12" t="s">
        <v>21</v>
      </c>
      <c r="B543" s="12" t="s">
        <v>533</v>
      </c>
      <c r="C543" s="12" t="s">
        <v>23</v>
      </c>
      <c r="D543" s="13">
        <v>46237.444467592592</v>
      </c>
      <c r="E543" s="12" t="s">
        <v>24</v>
      </c>
      <c r="F543" s="12" t="s">
        <v>449</v>
      </c>
      <c r="G543" s="12">
        <v>300</v>
      </c>
      <c r="H543" s="12">
        <v>150</v>
      </c>
      <c r="I543" s="14"/>
      <c r="J543" s="14" t="s">
        <v>26</v>
      </c>
      <c r="K543" s="12" t="s">
        <v>27</v>
      </c>
      <c r="L543" s="15"/>
      <c r="M543" s="12" t="s">
        <v>28</v>
      </c>
      <c r="N543" s="12"/>
      <c r="O543" s="12"/>
      <c r="P543" s="12"/>
      <c r="Q543" s="16">
        <v>0</v>
      </c>
      <c r="R543" s="16">
        <v>0</v>
      </c>
      <c r="S543" s="16"/>
      <c r="T543" s="16" t="e">
        <v>#N/A</v>
      </c>
      <c r="U543" s="16" t="e">
        <v>#N/A</v>
      </c>
    </row>
    <row r="544" spans="1:21" x14ac:dyDescent="0.25">
      <c r="A544" s="12" t="s">
        <v>21</v>
      </c>
      <c r="B544" s="12" t="s">
        <v>534</v>
      </c>
      <c r="C544" s="12" t="s">
        <v>23</v>
      </c>
      <c r="D544" s="13">
        <v>46237.630509259259</v>
      </c>
      <c r="E544" s="12" t="s">
        <v>24</v>
      </c>
      <c r="F544" s="12" t="s">
        <v>535</v>
      </c>
      <c r="G544" s="12">
        <v>6</v>
      </c>
      <c r="H544" s="12">
        <v>6</v>
      </c>
      <c r="I544" s="14"/>
      <c r="J544" s="14" t="s">
        <v>26</v>
      </c>
      <c r="K544" s="12" t="s">
        <v>27</v>
      </c>
      <c r="L544" s="15"/>
      <c r="M544" s="12" t="s">
        <v>28</v>
      </c>
      <c r="N544" s="12"/>
      <c r="O544" s="12"/>
      <c r="P544" s="12"/>
      <c r="Q544" s="16">
        <v>0</v>
      </c>
      <c r="R544" s="16">
        <v>0</v>
      </c>
      <c r="S544" s="16"/>
      <c r="T544" s="16" t="e">
        <v>#N/A</v>
      </c>
      <c r="U544" s="16" t="e">
        <v>#N/A</v>
      </c>
    </row>
    <row r="545" spans="1:21" x14ac:dyDescent="0.25">
      <c r="A545" s="12" t="s">
        <v>21</v>
      </c>
      <c r="B545" s="12" t="s">
        <v>534</v>
      </c>
      <c r="C545" s="12" t="s">
        <v>23</v>
      </c>
      <c r="D545" s="13">
        <v>46237.630509259259</v>
      </c>
      <c r="E545" s="12" t="s">
        <v>24</v>
      </c>
      <c r="F545" s="12" t="s">
        <v>48</v>
      </c>
      <c r="G545" s="12">
        <v>200</v>
      </c>
      <c r="H545" s="12">
        <v>200</v>
      </c>
      <c r="I545" s="14"/>
      <c r="J545" s="14" t="s">
        <v>26</v>
      </c>
      <c r="K545" s="12" t="s">
        <v>27</v>
      </c>
      <c r="L545" s="15"/>
      <c r="M545" s="12" t="s">
        <v>28</v>
      </c>
      <c r="N545" s="12"/>
      <c r="O545" s="12"/>
      <c r="P545" s="12"/>
      <c r="Q545" s="16">
        <v>0</v>
      </c>
      <c r="R545" s="16">
        <v>3758</v>
      </c>
      <c r="S545" s="16"/>
      <c r="T545" s="16" t="e">
        <v>#N/A</v>
      </c>
      <c r="U545" s="16" t="e">
        <v>#N/A</v>
      </c>
    </row>
    <row r="546" spans="1:21" x14ac:dyDescent="0.25">
      <c r="A546" s="12" t="s">
        <v>21</v>
      </c>
      <c r="B546" s="12" t="s">
        <v>536</v>
      </c>
      <c r="C546" s="12" t="s">
        <v>23</v>
      </c>
      <c r="D546" s="13">
        <v>46238.275856481479</v>
      </c>
      <c r="E546" s="12" t="s">
        <v>24</v>
      </c>
      <c r="F546" s="12" t="s">
        <v>374</v>
      </c>
      <c r="G546" s="12">
        <v>40</v>
      </c>
      <c r="H546" s="12">
        <v>40</v>
      </c>
      <c r="I546" s="14"/>
      <c r="J546" s="14" t="s">
        <v>26</v>
      </c>
      <c r="K546" s="12" t="s">
        <v>27</v>
      </c>
      <c r="L546" s="15"/>
      <c r="M546" s="12" t="s">
        <v>28</v>
      </c>
      <c r="N546" s="12"/>
      <c r="O546" s="12"/>
      <c r="P546" s="12"/>
      <c r="Q546" s="16">
        <v>0</v>
      </c>
      <c r="R546" s="16">
        <v>0</v>
      </c>
      <c r="S546" s="16"/>
      <c r="T546" s="16" t="e">
        <v>#N/A</v>
      </c>
      <c r="U546" s="16" t="e">
        <v>#N/A</v>
      </c>
    </row>
    <row r="547" spans="1:21" x14ac:dyDescent="0.25">
      <c r="A547" s="12" t="s">
        <v>21</v>
      </c>
      <c r="B547" s="12" t="s">
        <v>536</v>
      </c>
      <c r="C547" s="12" t="s">
        <v>23</v>
      </c>
      <c r="D547" s="13">
        <v>46238.275856481479</v>
      </c>
      <c r="E547" s="12" t="s">
        <v>24</v>
      </c>
      <c r="F547" s="12" t="s">
        <v>525</v>
      </c>
      <c r="G547" s="12">
        <v>120</v>
      </c>
      <c r="H547" s="12">
        <v>80</v>
      </c>
      <c r="I547" s="14"/>
      <c r="J547" s="14" t="s">
        <v>61</v>
      </c>
      <c r="K547" s="12" t="s">
        <v>27</v>
      </c>
      <c r="L547" s="15"/>
      <c r="M547" s="12" t="s">
        <v>28</v>
      </c>
      <c r="N547" s="12"/>
      <c r="O547" s="12"/>
      <c r="P547" s="12"/>
      <c r="Q547" s="16">
        <v>120</v>
      </c>
      <c r="R547" s="16">
        <v>0</v>
      </c>
      <c r="S547" s="16"/>
      <c r="T547" s="16" t="e">
        <v>#N/A</v>
      </c>
      <c r="U547" s="16" t="e">
        <v>#N/A</v>
      </c>
    </row>
    <row r="548" spans="1:21" x14ac:dyDescent="0.25">
      <c r="A548" s="12" t="s">
        <v>21</v>
      </c>
      <c r="B548" s="12" t="s">
        <v>537</v>
      </c>
      <c r="C548" s="12" t="s">
        <v>23</v>
      </c>
      <c r="D548" s="13">
        <v>46238.420185185183</v>
      </c>
      <c r="E548" s="12" t="s">
        <v>266</v>
      </c>
      <c r="F548" s="12" t="s">
        <v>267</v>
      </c>
      <c r="G548" s="12">
        <v>12</v>
      </c>
      <c r="H548" s="12">
        <v>12</v>
      </c>
      <c r="I548" s="14"/>
      <c r="J548" s="14" t="s">
        <v>61</v>
      </c>
      <c r="K548" s="12" t="s">
        <v>27</v>
      </c>
      <c r="L548" s="15"/>
      <c r="M548" s="12" t="s">
        <v>28</v>
      </c>
      <c r="N548" s="12"/>
      <c r="O548" s="12"/>
      <c r="P548" s="12"/>
      <c r="Q548" s="16">
        <v>12</v>
      </c>
      <c r="R548" s="16">
        <v>0</v>
      </c>
      <c r="S548" s="16">
        <v>10</v>
      </c>
      <c r="T548" s="16" t="e">
        <v>#N/A</v>
      </c>
      <c r="U548" s="16" t="e">
        <v>#N/A</v>
      </c>
    </row>
    <row r="549" spans="1:21" x14ac:dyDescent="0.25">
      <c r="A549" s="12" t="s">
        <v>21</v>
      </c>
      <c r="B549" s="12" t="s">
        <v>538</v>
      </c>
      <c r="C549" s="12" t="s">
        <v>23</v>
      </c>
      <c r="D549" s="13">
        <v>46238.533275462964</v>
      </c>
      <c r="E549" s="12" t="s">
        <v>258</v>
      </c>
      <c r="F549" s="12" t="s">
        <v>283</v>
      </c>
      <c r="G549" s="12">
        <v>80</v>
      </c>
      <c r="H549" s="12">
        <v>80</v>
      </c>
      <c r="I549" s="14"/>
      <c r="J549" s="14" t="s">
        <v>26</v>
      </c>
      <c r="K549" s="12" t="s">
        <v>27</v>
      </c>
      <c r="L549" s="15"/>
      <c r="M549" s="12" t="s">
        <v>28</v>
      </c>
      <c r="N549" s="12"/>
      <c r="O549" s="12"/>
      <c r="P549" s="12"/>
      <c r="Q549" s="16">
        <v>0</v>
      </c>
      <c r="R549" s="16">
        <v>0</v>
      </c>
      <c r="S549" s="16"/>
      <c r="T549" s="16" t="e">
        <v>#N/A</v>
      </c>
      <c r="U549" s="16" t="e">
        <v>#N/A</v>
      </c>
    </row>
    <row r="550" spans="1:21" x14ac:dyDescent="0.25">
      <c r="A550" s="12" t="s">
        <v>21</v>
      </c>
      <c r="B550" s="12" t="s">
        <v>538</v>
      </c>
      <c r="C550" s="12" t="s">
        <v>23</v>
      </c>
      <c r="D550" s="13">
        <v>46238.533275462964</v>
      </c>
      <c r="E550" s="12" t="s">
        <v>258</v>
      </c>
      <c r="F550" s="12" t="s">
        <v>283</v>
      </c>
      <c r="G550" s="12">
        <v>20</v>
      </c>
      <c r="H550" s="12">
        <v>20</v>
      </c>
      <c r="I550" s="14"/>
      <c r="J550" s="14" t="s">
        <v>26</v>
      </c>
      <c r="K550" s="12" t="s">
        <v>27</v>
      </c>
      <c r="L550" s="15"/>
      <c r="M550" s="12" t="s">
        <v>28</v>
      </c>
      <c r="N550" s="12"/>
      <c r="O550" s="12"/>
      <c r="P550" s="12"/>
      <c r="Q550" s="16">
        <v>0</v>
      </c>
      <c r="R550" s="16">
        <v>0</v>
      </c>
      <c r="S550" s="16"/>
      <c r="T550" s="16" t="e">
        <v>#N/A</v>
      </c>
      <c r="U550" s="16" t="e">
        <v>#N/A</v>
      </c>
    </row>
    <row r="551" spans="1:21" x14ac:dyDescent="0.25">
      <c r="A551" s="12" t="s">
        <v>21</v>
      </c>
      <c r="B551" s="12" t="s">
        <v>538</v>
      </c>
      <c r="C551" s="12" t="s">
        <v>23</v>
      </c>
      <c r="D551" s="13">
        <v>46238.533275462964</v>
      </c>
      <c r="E551" s="12" t="s">
        <v>258</v>
      </c>
      <c r="F551" s="12" t="s">
        <v>268</v>
      </c>
      <c r="G551" s="12">
        <v>24</v>
      </c>
      <c r="H551" s="12">
        <v>24</v>
      </c>
      <c r="I551" s="14"/>
      <c r="J551" s="14" t="s">
        <v>26</v>
      </c>
      <c r="K551" s="12" t="s">
        <v>27</v>
      </c>
      <c r="L551" s="15"/>
      <c r="M551" s="12" t="s">
        <v>28</v>
      </c>
      <c r="N551" s="12"/>
      <c r="O551" s="12"/>
      <c r="P551" s="12"/>
      <c r="Q551" s="16">
        <v>0</v>
      </c>
      <c r="R551" s="16">
        <v>0</v>
      </c>
      <c r="S551" s="16"/>
      <c r="T551" s="16" t="e">
        <v>#N/A</v>
      </c>
      <c r="U551" s="16" t="e">
        <v>#N/A</v>
      </c>
    </row>
    <row r="552" spans="1:21" x14ac:dyDescent="0.25">
      <c r="A552" s="12" t="s">
        <v>21</v>
      </c>
      <c r="B552" s="12" t="s">
        <v>538</v>
      </c>
      <c r="C552" s="12" t="s">
        <v>23</v>
      </c>
      <c r="D552" s="13">
        <v>46238.533275462964</v>
      </c>
      <c r="E552" s="12" t="s">
        <v>258</v>
      </c>
      <c r="F552" s="12" t="s">
        <v>389</v>
      </c>
      <c r="G552" s="12">
        <v>10</v>
      </c>
      <c r="H552" s="12">
        <v>10</v>
      </c>
      <c r="I552" s="14">
        <v>-6</v>
      </c>
      <c r="J552" s="14" t="s">
        <v>61</v>
      </c>
      <c r="K552" s="12" t="s">
        <v>27</v>
      </c>
      <c r="L552" s="15"/>
      <c r="M552" s="12" t="s">
        <v>28</v>
      </c>
      <c r="N552" s="12"/>
      <c r="O552" s="12"/>
      <c r="P552" s="12"/>
      <c r="Q552" s="16">
        <v>12</v>
      </c>
      <c r="R552" s="16">
        <v>0</v>
      </c>
      <c r="S552" s="16"/>
      <c r="T552" s="16" t="e">
        <v>#N/A</v>
      </c>
      <c r="U552" s="16" t="e">
        <v>#N/A</v>
      </c>
    </row>
    <row r="553" spans="1:21" x14ac:dyDescent="0.25">
      <c r="A553" s="12" t="s">
        <v>21</v>
      </c>
      <c r="B553" s="12" t="s">
        <v>539</v>
      </c>
      <c r="C553" s="12" t="s">
        <v>23</v>
      </c>
      <c r="D553" s="13">
        <v>46238.533564814818</v>
      </c>
      <c r="E553" s="12" t="s">
        <v>69</v>
      </c>
      <c r="F553" s="12" t="s">
        <v>525</v>
      </c>
      <c r="G553" s="12">
        <v>100</v>
      </c>
      <c r="H553" s="12">
        <v>76</v>
      </c>
      <c r="I553" s="14"/>
      <c r="J553" s="14" t="s">
        <v>26</v>
      </c>
      <c r="K553" s="12" t="s">
        <v>27</v>
      </c>
      <c r="L553" s="15"/>
      <c r="M553" s="12" t="s">
        <v>28</v>
      </c>
      <c r="N553" s="12"/>
      <c r="O553" s="12"/>
      <c r="P553" s="12"/>
      <c r="Q553" s="16">
        <v>0</v>
      </c>
      <c r="R553" s="16">
        <v>0</v>
      </c>
      <c r="S553" s="16"/>
      <c r="T553" s="16" t="e">
        <v>#N/A</v>
      </c>
      <c r="U553" s="16" t="e">
        <v>#N/A</v>
      </c>
    </row>
    <row r="554" spans="1:21" x14ac:dyDescent="0.25">
      <c r="A554" s="12" t="s">
        <v>21</v>
      </c>
      <c r="B554" s="12" t="s">
        <v>540</v>
      </c>
      <c r="C554" s="12" t="s">
        <v>23</v>
      </c>
      <c r="D554" s="13">
        <v>46239.320763888885</v>
      </c>
      <c r="E554" s="12" t="s">
        <v>340</v>
      </c>
      <c r="F554" s="12" t="s">
        <v>42</v>
      </c>
      <c r="G554" s="12">
        <v>5</v>
      </c>
      <c r="H554" s="12">
        <v>5</v>
      </c>
      <c r="I554" s="14"/>
      <c r="J554" s="14" t="s">
        <v>26</v>
      </c>
      <c r="K554" s="12" t="s">
        <v>27</v>
      </c>
      <c r="L554" s="15"/>
      <c r="M554" s="12" t="s">
        <v>28</v>
      </c>
      <c r="N554" s="12"/>
      <c r="O554" s="12"/>
      <c r="P554" s="12"/>
      <c r="Q554" s="16">
        <v>0</v>
      </c>
      <c r="R554" s="16">
        <v>0</v>
      </c>
      <c r="S554" s="16"/>
      <c r="T554" s="16" t="e">
        <v>#N/A</v>
      </c>
      <c r="U554" s="16" t="e">
        <v>#N/A</v>
      </c>
    </row>
    <row r="555" spans="1:21" x14ac:dyDescent="0.25">
      <c r="A555" s="12" t="s">
        <v>21</v>
      </c>
      <c r="B555" s="12" t="s">
        <v>541</v>
      </c>
      <c r="C555" s="12" t="s">
        <v>23</v>
      </c>
      <c r="D555" s="13">
        <v>46239.468599537038</v>
      </c>
      <c r="E555" s="12" t="s">
        <v>24</v>
      </c>
      <c r="F555" s="12" t="s">
        <v>542</v>
      </c>
      <c r="G555" s="12">
        <v>8</v>
      </c>
      <c r="H555" s="12">
        <v>8</v>
      </c>
      <c r="I555" s="14"/>
      <c r="J555" s="14" t="s">
        <v>26</v>
      </c>
      <c r="K555" s="12" t="s">
        <v>27</v>
      </c>
      <c r="L555" s="15"/>
      <c r="M555" s="12" t="s">
        <v>28</v>
      </c>
      <c r="N555" s="12"/>
      <c r="O555" s="12"/>
      <c r="P555" s="12"/>
      <c r="Q555" s="16">
        <v>0</v>
      </c>
      <c r="R555" s="16">
        <v>0</v>
      </c>
      <c r="S555" s="16"/>
      <c r="T555" s="16" t="e">
        <v>#N/A</v>
      </c>
      <c r="U555" s="16" t="e">
        <v>#N/A</v>
      </c>
    </row>
    <row r="556" spans="1:21" x14ac:dyDescent="0.25">
      <c r="A556" s="12" t="s">
        <v>21</v>
      </c>
      <c r="B556" s="12" t="s">
        <v>543</v>
      </c>
      <c r="C556" s="12" t="s">
        <v>23</v>
      </c>
      <c r="D556" s="13">
        <v>46239.575335648151</v>
      </c>
      <c r="E556" s="12" t="s">
        <v>24</v>
      </c>
      <c r="F556" s="12" t="s">
        <v>544</v>
      </c>
      <c r="G556" s="12">
        <v>2</v>
      </c>
      <c r="H556" s="12">
        <v>2</v>
      </c>
      <c r="I556" s="14"/>
      <c r="J556" s="14" t="s">
        <v>26</v>
      </c>
      <c r="K556" s="12" t="s">
        <v>27</v>
      </c>
      <c r="L556" s="15"/>
      <c r="M556" s="12" t="s">
        <v>28</v>
      </c>
      <c r="N556" s="12"/>
      <c r="O556" s="12"/>
      <c r="P556" s="12"/>
      <c r="Q556" s="16">
        <v>0</v>
      </c>
      <c r="R556" s="16">
        <v>0</v>
      </c>
      <c r="S556" s="16"/>
      <c r="T556" s="16" t="e">
        <v>#N/A</v>
      </c>
      <c r="U556" s="16" t="e">
        <v>#N/A</v>
      </c>
    </row>
    <row r="557" spans="1:21" x14ac:dyDescent="0.25">
      <c r="A557" s="12" t="s">
        <v>21</v>
      </c>
      <c r="B557" s="12" t="s">
        <v>543</v>
      </c>
      <c r="C557" s="12" t="s">
        <v>23</v>
      </c>
      <c r="D557" s="13">
        <v>46239.575335648151</v>
      </c>
      <c r="E557" s="12" t="s">
        <v>24</v>
      </c>
      <c r="F557" s="12" t="s">
        <v>43</v>
      </c>
      <c r="G557" s="12">
        <v>57</v>
      </c>
      <c r="H557" s="12">
        <v>41</v>
      </c>
      <c r="I557" s="14"/>
      <c r="J557" s="14" t="s">
        <v>26</v>
      </c>
      <c r="K557" s="12" t="s">
        <v>27</v>
      </c>
      <c r="L557" s="15"/>
      <c r="M557" s="12" t="s">
        <v>28</v>
      </c>
      <c r="N557" s="12"/>
      <c r="O557" s="12"/>
      <c r="P557" s="12"/>
      <c r="Q557" s="16">
        <v>0</v>
      </c>
      <c r="R557" s="16">
        <v>0</v>
      </c>
      <c r="S557" s="16"/>
      <c r="T557" s="16" t="e">
        <v>#N/A</v>
      </c>
      <c r="U557" s="16" t="e">
        <v>#N/A</v>
      </c>
    </row>
    <row r="558" spans="1:21" x14ac:dyDescent="0.25">
      <c r="A558" s="12" t="s">
        <v>21</v>
      </c>
      <c r="B558" s="12" t="s">
        <v>543</v>
      </c>
      <c r="C558" s="12" t="s">
        <v>23</v>
      </c>
      <c r="D558" s="13">
        <v>46239.575335648151</v>
      </c>
      <c r="E558" s="12" t="s">
        <v>24</v>
      </c>
      <c r="F558" s="12" t="s">
        <v>542</v>
      </c>
      <c r="G558" s="12">
        <v>8</v>
      </c>
      <c r="H558" s="12">
        <v>8</v>
      </c>
      <c r="I558" s="14"/>
      <c r="J558" s="14" t="s">
        <v>26</v>
      </c>
      <c r="K558" s="12" t="s">
        <v>27</v>
      </c>
      <c r="L558" s="15"/>
      <c r="M558" s="12" t="s">
        <v>28</v>
      </c>
      <c r="N558" s="12"/>
      <c r="O558" s="12"/>
      <c r="P558" s="12"/>
      <c r="Q558" s="16">
        <v>0</v>
      </c>
      <c r="R558" s="16">
        <v>0</v>
      </c>
      <c r="S558" s="16"/>
      <c r="T558" s="16" t="e">
        <v>#N/A</v>
      </c>
      <c r="U558" s="16" t="e">
        <v>#N/A</v>
      </c>
    </row>
    <row r="559" spans="1:21" x14ac:dyDescent="0.25">
      <c r="A559" s="12" t="s">
        <v>21</v>
      </c>
      <c r="B559" s="12" t="s">
        <v>545</v>
      </c>
      <c r="C559" s="12" t="s">
        <v>23</v>
      </c>
      <c r="D559" s="13">
        <v>46240.525231481479</v>
      </c>
      <c r="E559" s="12" t="s">
        <v>195</v>
      </c>
      <c r="F559" s="12" t="s">
        <v>206</v>
      </c>
      <c r="G559" s="12">
        <v>100</v>
      </c>
      <c r="H559" s="12">
        <v>100</v>
      </c>
      <c r="I559" s="14">
        <v>-65</v>
      </c>
      <c r="J559" s="14" t="s">
        <v>26</v>
      </c>
      <c r="K559" s="12" t="s">
        <v>27</v>
      </c>
      <c r="L559" s="15"/>
      <c r="M559" s="12" t="s">
        <v>28</v>
      </c>
      <c r="N559" s="12"/>
      <c r="O559" s="12"/>
      <c r="P559" s="12"/>
      <c r="Q559" s="16">
        <v>0</v>
      </c>
      <c r="R559" s="16">
        <v>9</v>
      </c>
      <c r="S559" s="16"/>
      <c r="T559" s="16" t="e">
        <v>#N/A</v>
      </c>
      <c r="U559" s="16" t="e">
        <v>#N/A</v>
      </c>
    </row>
    <row r="560" spans="1:21" x14ac:dyDescent="0.25">
      <c r="A560" s="12" t="s">
        <v>21</v>
      </c>
      <c r="B560" s="12" t="s">
        <v>545</v>
      </c>
      <c r="C560" s="12" t="s">
        <v>23</v>
      </c>
      <c r="D560" s="13">
        <v>46240.525231481479</v>
      </c>
      <c r="E560" s="12" t="s">
        <v>195</v>
      </c>
      <c r="F560" s="12" t="s">
        <v>42</v>
      </c>
      <c r="G560" s="12">
        <v>200</v>
      </c>
      <c r="H560" s="12">
        <v>200</v>
      </c>
      <c r="I560" s="14"/>
      <c r="J560" s="14" t="s">
        <v>26</v>
      </c>
      <c r="K560" s="12" t="s">
        <v>27</v>
      </c>
      <c r="L560" s="15"/>
      <c r="M560" s="12" t="s">
        <v>28</v>
      </c>
      <c r="N560" s="12"/>
      <c r="O560" s="12"/>
      <c r="P560" s="12"/>
      <c r="Q560" s="16">
        <v>0</v>
      </c>
      <c r="R560" s="16">
        <v>0</v>
      </c>
      <c r="S560" s="16"/>
      <c r="T560" s="16" t="e">
        <v>#N/A</v>
      </c>
      <c r="U560" s="16" t="e">
        <v>#N/A</v>
      </c>
    </row>
    <row r="561" spans="1:21" x14ac:dyDescent="0.25">
      <c r="A561" s="12" t="s">
        <v>21</v>
      </c>
      <c r="B561" s="12" t="s">
        <v>545</v>
      </c>
      <c r="C561" s="12" t="s">
        <v>23</v>
      </c>
      <c r="D561" s="13">
        <v>46240.525231481479</v>
      </c>
      <c r="E561" s="12" t="s">
        <v>195</v>
      </c>
      <c r="F561" s="12" t="s">
        <v>404</v>
      </c>
      <c r="G561" s="12">
        <v>200</v>
      </c>
      <c r="H561" s="12">
        <v>200</v>
      </c>
      <c r="I561" s="14">
        <v>-70</v>
      </c>
      <c r="J561" s="14" t="s">
        <v>26</v>
      </c>
      <c r="K561" s="12" t="s">
        <v>27</v>
      </c>
      <c r="L561" s="15"/>
      <c r="M561" s="12" t="s">
        <v>28</v>
      </c>
      <c r="N561" s="12"/>
      <c r="O561" s="12"/>
      <c r="P561" s="12"/>
      <c r="Q561" s="16">
        <v>0</v>
      </c>
      <c r="R561" s="16">
        <v>2</v>
      </c>
      <c r="S561" s="16"/>
      <c r="T561" s="16" t="e">
        <v>#N/A</v>
      </c>
      <c r="U561" s="16" t="e">
        <v>#N/A</v>
      </c>
    </row>
    <row r="562" spans="1:21" x14ac:dyDescent="0.25">
      <c r="A562" s="12" t="s">
        <v>21</v>
      </c>
      <c r="B562" s="12" t="s">
        <v>545</v>
      </c>
      <c r="C562" s="12" t="s">
        <v>23</v>
      </c>
      <c r="D562" s="13">
        <v>46240.525231481479</v>
      </c>
      <c r="E562" s="12" t="s">
        <v>195</v>
      </c>
      <c r="F562" s="12" t="s">
        <v>59</v>
      </c>
      <c r="G562" s="12">
        <v>200</v>
      </c>
      <c r="H562" s="12">
        <v>200</v>
      </c>
      <c r="I562" s="14">
        <v>-100</v>
      </c>
      <c r="J562" s="14" t="s">
        <v>26</v>
      </c>
      <c r="K562" s="12" t="s">
        <v>27</v>
      </c>
      <c r="L562" s="15"/>
      <c r="M562" s="12" t="s">
        <v>28</v>
      </c>
      <c r="N562" s="12"/>
      <c r="O562" s="12"/>
      <c r="P562" s="12"/>
      <c r="Q562" s="16">
        <v>0</v>
      </c>
      <c r="R562" s="16">
        <v>0</v>
      </c>
      <c r="S562" s="16"/>
      <c r="T562" s="16" t="e">
        <v>#N/A</v>
      </c>
      <c r="U562" s="16" t="e">
        <v>#N/A</v>
      </c>
    </row>
    <row r="563" spans="1:21" x14ac:dyDescent="0.25">
      <c r="A563" s="12" t="s">
        <v>21</v>
      </c>
      <c r="B563" s="12" t="s">
        <v>545</v>
      </c>
      <c r="C563" s="12" t="s">
        <v>23</v>
      </c>
      <c r="D563" s="13">
        <v>46240.525231481479</v>
      </c>
      <c r="E563" s="12" t="s">
        <v>195</v>
      </c>
      <c r="F563" s="12" t="s">
        <v>546</v>
      </c>
      <c r="G563" s="12">
        <v>800</v>
      </c>
      <c r="H563" s="12">
        <v>800</v>
      </c>
      <c r="I563" s="14">
        <v>-371</v>
      </c>
      <c r="J563" s="14" t="s">
        <v>26</v>
      </c>
      <c r="K563" s="12" t="s">
        <v>27</v>
      </c>
      <c r="L563" s="15"/>
      <c r="M563" s="12" t="s">
        <v>28</v>
      </c>
      <c r="N563" s="12"/>
      <c r="O563" s="12"/>
      <c r="P563" s="12"/>
      <c r="Q563" s="16">
        <v>0</v>
      </c>
      <c r="R563" s="16">
        <v>0</v>
      </c>
      <c r="S563" s="16"/>
      <c r="T563" s="16" t="e">
        <v>#N/A</v>
      </c>
      <c r="U563" s="16" t="e">
        <v>#N/A</v>
      </c>
    </row>
    <row r="564" spans="1:21" x14ac:dyDescent="0.25">
      <c r="A564" s="12" t="s">
        <v>21</v>
      </c>
      <c r="B564" s="12" t="s">
        <v>545</v>
      </c>
      <c r="C564" s="12" t="s">
        <v>23</v>
      </c>
      <c r="D564" s="13">
        <v>46240.525231481479</v>
      </c>
      <c r="E564" s="12" t="s">
        <v>195</v>
      </c>
      <c r="F564" s="12" t="s">
        <v>209</v>
      </c>
      <c r="G564" s="12">
        <v>100</v>
      </c>
      <c r="H564" s="12">
        <v>100</v>
      </c>
      <c r="I564" s="14"/>
      <c r="J564" s="14" t="s">
        <v>26</v>
      </c>
      <c r="K564" s="12" t="s">
        <v>27</v>
      </c>
      <c r="L564" s="15"/>
      <c r="M564" s="12" t="s">
        <v>28</v>
      </c>
      <c r="N564" s="12"/>
      <c r="O564" s="12"/>
      <c r="P564" s="12"/>
      <c r="Q564" s="16">
        <v>0</v>
      </c>
      <c r="R564" s="16">
        <v>0</v>
      </c>
      <c r="S564" s="16"/>
      <c r="T564" s="16" t="e">
        <v>#N/A</v>
      </c>
      <c r="U564" s="16" t="e">
        <v>#N/A</v>
      </c>
    </row>
    <row r="565" spans="1:21" x14ac:dyDescent="0.25">
      <c r="A565" s="12" t="s">
        <v>21</v>
      </c>
      <c r="B565" s="12" t="s">
        <v>547</v>
      </c>
      <c r="C565" s="12" t="s">
        <v>23</v>
      </c>
      <c r="D565" s="13">
        <v>46240.550856481481</v>
      </c>
      <c r="E565" s="12" t="s">
        <v>548</v>
      </c>
      <c r="F565" s="12" t="s">
        <v>354</v>
      </c>
      <c r="G565" s="12">
        <v>20</v>
      </c>
      <c r="H565" s="12">
        <v>20</v>
      </c>
      <c r="I565" s="14"/>
      <c r="J565" s="14" t="s">
        <v>26</v>
      </c>
      <c r="K565" s="12" t="s">
        <v>27</v>
      </c>
      <c r="L565" s="15"/>
      <c r="M565" s="12" t="s">
        <v>28</v>
      </c>
      <c r="N565" s="12"/>
      <c r="O565" s="12"/>
      <c r="P565" s="12"/>
      <c r="Q565" s="16">
        <v>0</v>
      </c>
      <c r="R565" s="16">
        <v>0</v>
      </c>
      <c r="S565" s="16"/>
      <c r="T565" s="16" t="e">
        <v>#N/A</v>
      </c>
      <c r="U565" s="16" t="e">
        <v>#N/A</v>
      </c>
    </row>
    <row r="566" spans="1:21" x14ac:dyDescent="0.25">
      <c r="A566" s="12" t="s">
        <v>21</v>
      </c>
      <c r="B566" s="12" t="s">
        <v>547</v>
      </c>
      <c r="C566" s="12" t="s">
        <v>23</v>
      </c>
      <c r="D566" s="13">
        <v>46240.550856481481</v>
      </c>
      <c r="E566" s="12" t="s">
        <v>548</v>
      </c>
      <c r="F566" s="12" t="s">
        <v>496</v>
      </c>
      <c r="G566" s="12">
        <v>30</v>
      </c>
      <c r="H566" s="12">
        <v>30</v>
      </c>
      <c r="I566" s="14"/>
      <c r="J566" s="14" t="s">
        <v>26</v>
      </c>
      <c r="K566" s="12" t="s">
        <v>27</v>
      </c>
      <c r="L566" s="15"/>
      <c r="M566" s="12" t="s">
        <v>28</v>
      </c>
      <c r="N566" s="12"/>
      <c r="O566" s="12"/>
      <c r="P566" s="12"/>
      <c r="Q566" s="16">
        <v>0</v>
      </c>
      <c r="R566" s="16">
        <v>0</v>
      </c>
      <c r="S566" s="16"/>
      <c r="T566" s="16" t="e">
        <v>#N/A</v>
      </c>
      <c r="U566" s="16" t="e">
        <v>#N/A</v>
      </c>
    </row>
    <row r="567" spans="1:21" x14ac:dyDescent="0.25">
      <c r="A567" s="12" t="s">
        <v>21</v>
      </c>
      <c r="B567" s="12" t="s">
        <v>547</v>
      </c>
      <c r="C567" s="12" t="s">
        <v>23</v>
      </c>
      <c r="D567" s="13">
        <v>46240.550856481481</v>
      </c>
      <c r="E567" s="12" t="s">
        <v>548</v>
      </c>
      <c r="F567" s="12" t="s">
        <v>549</v>
      </c>
      <c r="G567" s="12">
        <v>8</v>
      </c>
      <c r="H567" s="12">
        <v>8</v>
      </c>
      <c r="I567" s="14"/>
      <c r="J567" s="14" t="s">
        <v>26</v>
      </c>
      <c r="K567" s="12" t="s">
        <v>27</v>
      </c>
      <c r="L567" s="15"/>
      <c r="M567" s="12" t="s">
        <v>28</v>
      </c>
      <c r="N567" s="12"/>
      <c r="O567" s="12"/>
      <c r="P567" s="12"/>
      <c r="Q567" s="16">
        <v>0</v>
      </c>
      <c r="R567" s="16">
        <v>1</v>
      </c>
      <c r="S567" s="16"/>
      <c r="T567" s="16" t="e">
        <v>#N/A</v>
      </c>
      <c r="U567" s="16" t="e">
        <v>#N/A</v>
      </c>
    </row>
    <row r="568" spans="1:21" x14ac:dyDescent="0.25">
      <c r="A568" s="12" t="s">
        <v>21</v>
      </c>
      <c r="B568" s="12" t="s">
        <v>547</v>
      </c>
      <c r="C568" s="12" t="s">
        <v>23</v>
      </c>
      <c r="D568" s="13">
        <v>46240.550856481481</v>
      </c>
      <c r="E568" s="12" t="s">
        <v>548</v>
      </c>
      <c r="F568" s="12" t="s">
        <v>550</v>
      </c>
      <c r="G568" s="12">
        <v>12</v>
      </c>
      <c r="H568" s="12">
        <v>12</v>
      </c>
      <c r="I568" s="14"/>
      <c r="J568" s="14" t="s">
        <v>26</v>
      </c>
      <c r="K568" s="12" t="s">
        <v>27</v>
      </c>
      <c r="L568" s="15"/>
      <c r="M568" s="12" t="s">
        <v>28</v>
      </c>
      <c r="N568" s="12"/>
      <c r="O568" s="12"/>
      <c r="P568" s="12"/>
      <c r="Q568" s="16">
        <v>0</v>
      </c>
      <c r="R568" s="16">
        <v>0</v>
      </c>
      <c r="S568" s="16"/>
      <c r="T568" s="16" t="e">
        <v>#N/A</v>
      </c>
      <c r="U568" s="16" t="e">
        <v>#N/A</v>
      </c>
    </row>
    <row r="569" spans="1:21" x14ac:dyDescent="0.25">
      <c r="A569" s="12" t="s">
        <v>21</v>
      </c>
      <c r="B569" s="12" t="s">
        <v>547</v>
      </c>
      <c r="C569" s="12" t="s">
        <v>23</v>
      </c>
      <c r="D569" s="13">
        <v>46240.550856481481</v>
      </c>
      <c r="E569" s="12" t="s">
        <v>548</v>
      </c>
      <c r="F569" s="12" t="s">
        <v>70</v>
      </c>
      <c r="G569" s="12">
        <v>30</v>
      </c>
      <c r="H569" s="12">
        <v>30</v>
      </c>
      <c r="I569" s="14"/>
      <c r="J569" s="14" t="s">
        <v>26</v>
      </c>
      <c r="K569" s="12" t="s">
        <v>27</v>
      </c>
      <c r="L569" s="15"/>
      <c r="M569" s="12" t="s">
        <v>28</v>
      </c>
      <c r="N569" s="12"/>
      <c r="O569" s="12"/>
      <c r="P569" s="12"/>
      <c r="Q569" s="16">
        <v>0</v>
      </c>
      <c r="R569" s="16">
        <v>0</v>
      </c>
      <c r="S569" s="16"/>
      <c r="T569" s="16" t="e">
        <v>#N/A</v>
      </c>
      <c r="U569" s="16" t="e">
        <v>#N/A</v>
      </c>
    </row>
    <row r="570" spans="1:21" x14ac:dyDescent="0.25">
      <c r="A570" s="12" t="s">
        <v>21</v>
      </c>
      <c r="B570" s="12" t="s">
        <v>547</v>
      </c>
      <c r="C570" s="12" t="s">
        <v>23</v>
      </c>
      <c r="D570" s="13">
        <v>46240.550856481481</v>
      </c>
      <c r="E570" s="12" t="s">
        <v>548</v>
      </c>
      <c r="F570" s="12" t="s">
        <v>551</v>
      </c>
      <c r="G570" s="12">
        <v>4</v>
      </c>
      <c r="H570" s="12">
        <v>4</v>
      </c>
      <c r="I570" s="14"/>
      <c r="J570" s="14" t="s">
        <v>26</v>
      </c>
      <c r="K570" s="12" t="s">
        <v>27</v>
      </c>
      <c r="L570" s="15"/>
      <c r="M570" s="12" t="s">
        <v>28</v>
      </c>
      <c r="N570" s="12"/>
      <c r="O570" s="12"/>
      <c r="P570" s="12"/>
      <c r="Q570" s="16">
        <v>0</v>
      </c>
      <c r="R570" s="16">
        <v>0</v>
      </c>
      <c r="S570" s="16"/>
      <c r="T570" s="16" t="e">
        <v>#N/A</v>
      </c>
      <c r="U570" s="16" t="e">
        <v>#N/A</v>
      </c>
    </row>
    <row r="571" spans="1:21" x14ac:dyDescent="0.25">
      <c r="A571" s="12" t="s">
        <v>21</v>
      </c>
      <c r="B571" s="12" t="s">
        <v>547</v>
      </c>
      <c r="C571" s="12" t="s">
        <v>23</v>
      </c>
      <c r="D571" s="13">
        <v>46240.550856481481</v>
      </c>
      <c r="E571" s="12" t="s">
        <v>548</v>
      </c>
      <c r="F571" s="12" t="s">
        <v>362</v>
      </c>
      <c r="G571" s="12">
        <v>4</v>
      </c>
      <c r="H571" s="12">
        <v>4</v>
      </c>
      <c r="I571" s="14"/>
      <c r="J571" s="14" t="s">
        <v>26</v>
      </c>
      <c r="K571" s="12" t="s">
        <v>27</v>
      </c>
      <c r="L571" s="15"/>
      <c r="M571" s="12" t="s">
        <v>28</v>
      </c>
      <c r="N571" s="12"/>
      <c r="O571" s="12"/>
      <c r="P571" s="12"/>
      <c r="Q571" s="16">
        <v>0</v>
      </c>
      <c r="R571" s="16">
        <v>0</v>
      </c>
      <c r="S571" s="16"/>
      <c r="T571" s="16" t="e">
        <v>#N/A</v>
      </c>
      <c r="U571" s="16" t="e">
        <v>#N/A</v>
      </c>
    </row>
    <row r="572" spans="1:21" x14ac:dyDescent="0.25">
      <c r="A572" s="12" t="s">
        <v>21</v>
      </c>
      <c r="B572" s="12" t="s">
        <v>547</v>
      </c>
      <c r="C572" s="12" t="s">
        <v>23</v>
      </c>
      <c r="D572" s="13">
        <v>46240.550856481481</v>
      </c>
      <c r="E572" s="12" t="s">
        <v>548</v>
      </c>
      <c r="F572" s="12" t="s">
        <v>552</v>
      </c>
      <c r="G572" s="12">
        <v>30</v>
      </c>
      <c r="H572" s="12">
        <v>30</v>
      </c>
      <c r="I572" s="14"/>
      <c r="J572" s="14" t="s">
        <v>26</v>
      </c>
      <c r="K572" s="12" t="s">
        <v>27</v>
      </c>
      <c r="L572" s="15"/>
      <c r="M572" s="12" t="s">
        <v>28</v>
      </c>
      <c r="N572" s="12"/>
      <c r="O572" s="12"/>
      <c r="P572" s="12"/>
      <c r="Q572" s="16">
        <v>0</v>
      </c>
      <c r="R572" s="16">
        <v>0</v>
      </c>
      <c r="S572" s="16"/>
      <c r="T572" s="16" t="e">
        <v>#N/A</v>
      </c>
      <c r="U572" s="16" t="e">
        <v>#N/A</v>
      </c>
    </row>
    <row r="573" spans="1:21" x14ac:dyDescent="0.25">
      <c r="A573" s="12" t="s">
        <v>21</v>
      </c>
      <c r="B573" s="12" t="s">
        <v>547</v>
      </c>
      <c r="C573" s="12" t="s">
        <v>23</v>
      </c>
      <c r="D573" s="13">
        <v>46240.550856481481</v>
      </c>
      <c r="E573" s="12" t="s">
        <v>548</v>
      </c>
      <c r="F573" s="12" t="s">
        <v>472</v>
      </c>
      <c r="G573" s="12">
        <v>50</v>
      </c>
      <c r="H573" s="12">
        <v>50</v>
      </c>
      <c r="I573" s="14"/>
      <c r="J573" s="14" t="s">
        <v>61</v>
      </c>
      <c r="K573" s="12" t="s">
        <v>554</v>
      </c>
      <c r="L573" s="15">
        <v>1</v>
      </c>
      <c r="M573" s="12" t="s">
        <v>150</v>
      </c>
      <c r="N573" s="12">
        <v>50</v>
      </c>
      <c r="O573" s="12">
        <v>50</v>
      </c>
      <c r="P573" s="12">
        <v>0</v>
      </c>
      <c r="Q573" s="16">
        <v>80</v>
      </c>
      <c r="R573" s="16">
        <v>0</v>
      </c>
      <c r="S573" s="16"/>
      <c r="T573" s="16" t="e">
        <v>#N/A</v>
      </c>
      <c r="U573" s="16" t="e">
        <v>#N/A</v>
      </c>
    </row>
    <row r="574" spans="1:21" x14ac:dyDescent="0.25">
      <c r="A574" s="12" t="s">
        <v>21</v>
      </c>
      <c r="B574" s="12" t="s">
        <v>547</v>
      </c>
      <c r="C574" s="12" t="s">
        <v>23</v>
      </c>
      <c r="D574" s="13">
        <v>46240.550856481481</v>
      </c>
      <c r="E574" s="12" t="s">
        <v>548</v>
      </c>
      <c r="F574" s="12" t="s">
        <v>553</v>
      </c>
      <c r="G574" s="12">
        <v>40</v>
      </c>
      <c r="H574" s="12">
        <v>40</v>
      </c>
      <c r="I574" s="14"/>
      <c r="J574" s="14" t="s">
        <v>61</v>
      </c>
      <c r="K574" s="12" t="s">
        <v>555</v>
      </c>
      <c r="L574" s="15">
        <v>1</v>
      </c>
      <c r="M574" s="12" t="s">
        <v>150</v>
      </c>
      <c r="N574" s="12">
        <v>40</v>
      </c>
      <c r="O574" s="12">
        <v>40</v>
      </c>
      <c r="P574" s="12">
        <v>0</v>
      </c>
      <c r="Q574" s="16">
        <v>120</v>
      </c>
      <c r="R574" s="16">
        <v>2</v>
      </c>
      <c r="S574" s="16"/>
      <c r="T574" s="16" t="e">
        <v>#N/A</v>
      </c>
      <c r="U574" s="16" t="e">
        <v>#N/A</v>
      </c>
    </row>
    <row r="575" spans="1:21" x14ac:dyDescent="0.25">
      <c r="A575" s="12" t="s">
        <v>21</v>
      </c>
      <c r="B575" s="12" t="s">
        <v>547</v>
      </c>
      <c r="C575" s="12" t="s">
        <v>23</v>
      </c>
      <c r="D575" s="13">
        <v>46240.550856481481</v>
      </c>
      <c r="E575" s="12" t="s">
        <v>548</v>
      </c>
      <c r="F575" s="12" t="s">
        <v>273</v>
      </c>
      <c r="G575" s="12">
        <v>40</v>
      </c>
      <c r="H575" s="12">
        <v>40</v>
      </c>
      <c r="I575" s="14"/>
      <c r="J575" s="14" t="s">
        <v>61</v>
      </c>
      <c r="K575" s="12" t="s">
        <v>556</v>
      </c>
      <c r="L575" s="15">
        <v>1</v>
      </c>
      <c r="M575" s="12" t="s">
        <v>150</v>
      </c>
      <c r="N575" s="12">
        <v>40</v>
      </c>
      <c r="O575" s="12">
        <v>40</v>
      </c>
      <c r="P575" s="12">
        <v>0</v>
      </c>
      <c r="Q575" s="16">
        <v>120</v>
      </c>
      <c r="R575" s="16">
        <v>0</v>
      </c>
      <c r="S575" s="16"/>
      <c r="T575" s="16" t="e">
        <v>#N/A</v>
      </c>
      <c r="U575" s="16" t="e">
        <v>#N/A</v>
      </c>
    </row>
    <row r="576" spans="1:21" x14ac:dyDescent="0.25">
      <c r="A576" s="12" t="s">
        <v>21</v>
      </c>
      <c r="B576" s="12" t="s">
        <v>547</v>
      </c>
      <c r="C576" s="12" t="s">
        <v>23</v>
      </c>
      <c r="D576" s="13">
        <v>46240.550856481481</v>
      </c>
      <c r="E576" s="12" t="s">
        <v>548</v>
      </c>
      <c r="F576" s="12" t="s">
        <v>399</v>
      </c>
      <c r="G576" s="12">
        <v>8</v>
      </c>
      <c r="H576" s="12">
        <v>8</v>
      </c>
      <c r="I576" s="14"/>
      <c r="J576" s="14" t="s">
        <v>26</v>
      </c>
      <c r="K576" s="12" t="s">
        <v>27</v>
      </c>
      <c r="L576" s="15"/>
      <c r="M576" s="12" t="s">
        <v>28</v>
      </c>
      <c r="N576" s="12"/>
      <c r="O576" s="12"/>
      <c r="P576" s="12"/>
      <c r="Q576" s="16">
        <v>0</v>
      </c>
      <c r="R576" s="16">
        <v>1</v>
      </c>
      <c r="S576" s="16"/>
      <c r="T576" s="16" t="e">
        <v>#N/A</v>
      </c>
      <c r="U576" s="16" t="e">
        <v>#N/A</v>
      </c>
    </row>
    <row r="577" spans="1:21" x14ac:dyDescent="0.25">
      <c r="A577" s="12" t="s">
        <v>21</v>
      </c>
      <c r="B577" s="12" t="s">
        <v>547</v>
      </c>
      <c r="C577" s="12" t="s">
        <v>23</v>
      </c>
      <c r="D577" s="13">
        <v>46240.550856481481</v>
      </c>
      <c r="E577" s="12" t="s">
        <v>548</v>
      </c>
      <c r="F577" s="12" t="s">
        <v>274</v>
      </c>
      <c r="G577" s="12">
        <v>40</v>
      </c>
      <c r="H577" s="12">
        <v>40</v>
      </c>
      <c r="I577" s="14"/>
      <c r="J577" s="14" t="s">
        <v>61</v>
      </c>
      <c r="K577" s="12" t="s">
        <v>561</v>
      </c>
      <c r="L577" s="15">
        <v>1</v>
      </c>
      <c r="M577" s="12" t="s">
        <v>150</v>
      </c>
      <c r="N577" s="12">
        <v>40</v>
      </c>
      <c r="O577" s="12">
        <v>40</v>
      </c>
      <c r="P577" s="12">
        <v>0</v>
      </c>
      <c r="Q577" s="16">
        <v>120</v>
      </c>
      <c r="R577" s="16">
        <v>0</v>
      </c>
      <c r="S577" s="16"/>
      <c r="T577" s="16" t="e">
        <v>#N/A</v>
      </c>
      <c r="U577" s="16" t="e">
        <v>#N/A</v>
      </c>
    </row>
    <row r="578" spans="1:21" x14ac:dyDescent="0.25">
      <c r="A578" s="12" t="s">
        <v>21</v>
      </c>
      <c r="B578" s="12" t="s">
        <v>547</v>
      </c>
      <c r="C578" s="12" t="s">
        <v>23</v>
      </c>
      <c r="D578" s="13">
        <v>46240.550856481481</v>
      </c>
      <c r="E578" s="12" t="s">
        <v>548</v>
      </c>
      <c r="F578" s="12" t="s">
        <v>557</v>
      </c>
      <c r="G578" s="12">
        <v>40</v>
      </c>
      <c r="H578" s="12">
        <v>40</v>
      </c>
      <c r="I578" s="14"/>
      <c r="J578" s="14" t="s">
        <v>61</v>
      </c>
      <c r="K578" s="12" t="s">
        <v>562</v>
      </c>
      <c r="L578" s="15">
        <v>1</v>
      </c>
      <c r="M578" s="12" t="s">
        <v>150</v>
      </c>
      <c r="N578" s="12">
        <v>40</v>
      </c>
      <c r="O578" s="12">
        <v>40</v>
      </c>
      <c r="P578" s="12">
        <v>0</v>
      </c>
      <c r="Q578" s="16">
        <v>120</v>
      </c>
      <c r="R578" s="16">
        <v>0</v>
      </c>
      <c r="S578" s="16"/>
      <c r="T578" s="16" t="e">
        <v>#N/A</v>
      </c>
      <c r="U578" s="16" t="e">
        <v>#N/A</v>
      </c>
    </row>
    <row r="579" spans="1:21" x14ac:dyDescent="0.25">
      <c r="A579" s="12" t="s">
        <v>21</v>
      </c>
      <c r="B579" s="12" t="s">
        <v>547</v>
      </c>
      <c r="C579" s="12" t="s">
        <v>23</v>
      </c>
      <c r="D579" s="13">
        <v>46240.550856481481</v>
      </c>
      <c r="E579" s="12" t="s">
        <v>548</v>
      </c>
      <c r="F579" s="12" t="s">
        <v>558</v>
      </c>
      <c r="G579" s="12">
        <v>30</v>
      </c>
      <c r="H579" s="12">
        <v>30</v>
      </c>
      <c r="I579" s="14"/>
      <c r="J579" s="14" t="s">
        <v>61</v>
      </c>
      <c r="K579" s="12" t="s">
        <v>563</v>
      </c>
      <c r="L579" s="15">
        <v>1</v>
      </c>
      <c r="M579" s="12" t="s">
        <v>150</v>
      </c>
      <c r="N579" s="12">
        <v>30</v>
      </c>
      <c r="O579" s="12">
        <v>30</v>
      </c>
      <c r="P579" s="12">
        <v>0</v>
      </c>
      <c r="Q579" s="16">
        <v>80</v>
      </c>
      <c r="R579" s="16">
        <v>0</v>
      </c>
      <c r="S579" s="16"/>
      <c r="T579" s="16" t="e">
        <v>#N/A</v>
      </c>
      <c r="U579" s="16" t="e">
        <v>#N/A</v>
      </c>
    </row>
    <row r="580" spans="1:21" x14ac:dyDescent="0.25">
      <c r="A580" s="12" t="s">
        <v>21</v>
      </c>
      <c r="B580" s="12" t="s">
        <v>547</v>
      </c>
      <c r="C580" s="12" t="s">
        <v>23</v>
      </c>
      <c r="D580" s="13">
        <v>46240.550856481481</v>
      </c>
      <c r="E580" s="12" t="s">
        <v>548</v>
      </c>
      <c r="F580" s="12" t="s">
        <v>283</v>
      </c>
      <c r="G580" s="12">
        <v>20</v>
      </c>
      <c r="H580" s="12">
        <v>20</v>
      </c>
      <c r="I580" s="14"/>
      <c r="J580" s="14" t="s">
        <v>26</v>
      </c>
      <c r="K580" s="12" t="s">
        <v>27</v>
      </c>
      <c r="L580" s="15"/>
      <c r="M580" s="12" t="s">
        <v>28</v>
      </c>
      <c r="N580" s="12"/>
      <c r="O580" s="12"/>
      <c r="P580" s="12"/>
      <c r="Q580" s="16">
        <v>0</v>
      </c>
      <c r="R580" s="16">
        <v>0</v>
      </c>
      <c r="S580" s="16"/>
      <c r="T580" s="16" t="e">
        <v>#N/A</v>
      </c>
      <c r="U580" s="16" t="e">
        <v>#N/A</v>
      </c>
    </row>
    <row r="581" spans="1:21" x14ac:dyDescent="0.25">
      <c r="A581" s="12" t="s">
        <v>21</v>
      </c>
      <c r="B581" s="12" t="s">
        <v>547</v>
      </c>
      <c r="C581" s="12" t="s">
        <v>23</v>
      </c>
      <c r="D581" s="13">
        <v>46240.550856481481</v>
      </c>
      <c r="E581" s="12" t="s">
        <v>548</v>
      </c>
      <c r="F581" s="12" t="s">
        <v>559</v>
      </c>
      <c r="G581" s="12">
        <v>40</v>
      </c>
      <c r="H581" s="12">
        <v>40</v>
      </c>
      <c r="I581" s="14"/>
      <c r="J581" s="14" t="s">
        <v>61</v>
      </c>
      <c r="K581" s="12" t="s">
        <v>564</v>
      </c>
      <c r="L581" s="15">
        <v>1</v>
      </c>
      <c r="M581" s="12" t="s">
        <v>150</v>
      </c>
      <c r="N581" s="12">
        <v>40</v>
      </c>
      <c r="O581" s="12">
        <v>40</v>
      </c>
      <c r="P581" s="12">
        <v>0</v>
      </c>
      <c r="Q581" s="16">
        <v>120</v>
      </c>
      <c r="R581" s="16">
        <v>0</v>
      </c>
      <c r="S581" s="16"/>
      <c r="T581" s="16" t="e">
        <v>#N/A</v>
      </c>
      <c r="U581" s="16" t="e">
        <v>#N/A</v>
      </c>
    </row>
    <row r="582" spans="1:21" x14ac:dyDescent="0.25">
      <c r="A582" s="12" t="s">
        <v>21</v>
      </c>
      <c r="B582" s="12" t="s">
        <v>547</v>
      </c>
      <c r="C582" s="12" t="s">
        <v>23</v>
      </c>
      <c r="D582" s="13">
        <v>46240.550856481481</v>
      </c>
      <c r="E582" s="12" t="s">
        <v>548</v>
      </c>
      <c r="F582" s="12" t="s">
        <v>560</v>
      </c>
      <c r="G582" s="12">
        <v>40</v>
      </c>
      <c r="H582" s="12">
        <v>40</v>
      </c>
      <c r="I582" s="14"/>
      <c r="J582" s="14" t="s">
        <v>61</v>
      </c>
      <c r="K582" s="12" t="s">
        <v>565</v>
      </c>
      <c r="L582" s="15">
        <v>1</v>
      </c>
      <c r="M582" s="12" t="s">
        <v>150</v>
      </c>
      <c r="N582" s="12">
        <v>40</v>
      </c>
      <c r="O582" s="12">
        <v>40</v>
      </c>
      <c r="P582" s="12">
        <v>0</v>
      </c>
      <c r="Q582" s="16">
        <v>120</v>
      </c>
      <c r="R582" s="16">
        <v>0</v>
      </c>
      <c r="S582" s="16"/>
      <c r="T582" s="16" t="e">
        <v>#N/A</v>
      </c>
      <c r="U582" s="16" t="e">
        <v>#N/A</v>
      </c>
    </row>
    <row r="583" spans="1:21" x14ac:dyDescent="0.25">
      <c r="A583" s="12" t="s">
        <v>21</v>
      </c>
      <c r="B583" s="12" t="s">
        <v>547</v>
      </c>
      <c r="C583" s="12" t="s">
        <v>23</v>
      </c>
      <c r="D583" s="13">
        <v>46240.550856481481</v>
      </c>
      <c r="E583" s="12" t="s">
        <v>548</v>
      </c>
      <c r="F583" s="12" t="s">
        <v>525</v>
      </c>
      <c r="G583" s="12">
        <v>80</v>
      </c>
      <c r="H583" s="12">
        <v>80</v>
      </c>
      <c r="I583" s="14"/>
      <c r="J583" s="14" t="s">
        <v>61</v>
      </c>
      <c r="K583" s="12" t="s">
        <v>27</v>
      </c>
      <c r="L583" s="15"/>
      <c r="M583" s="12" t="s">
        <v>28</v>
      </c>
      <c r="N583" s="12"/>
      <c r="O583" s="12"/>
      <c r="P583" s="12"/>
      <c r="Q583" s="16">
        <v>120</v>
      </c>
      <c r="R583" s="16">
        <v>0</v>
      </c>
      <c r="S583" s="16"/>
      <c r="T583" s="16" t="e">
        <v>#N/A</v>
      </c>
      <c r="U583" s="16" t="e">
        <v>#N/A</v>
      </c>
    </row>
    <row r="584" spans="1:21" x14ac:dyDescent="0.25">
      <c r="A584" s="12" t="s">
        <v>21</v>
      </c>
      <c r="B584" s="12" t="s">
        <v>547</v>
      </c>
      <c r="C584" s="12" t="s">
        <v>23</v>
      </c>
      <c r="D584" s="13">
        <v>46240.550856481481</v>
      </c>
      <c r="E584" s="12" t="s">
        <v>548</v>
      </c>
      <c r="F584" s="12" t="s">
        <v>201</v>
      </c>
      <c r="G584" s="12">
        <v>20</v>
      </c>
      <c r="H584" s="12">
        <v>20</v>
      </c>
      <c r="I584" s="14"/>
      <c r="J584" s="14" t="s">
        <v>26</v>
      </c>
      <c r="K584" s="12" t="s">
        <v>27</v>
      </c>
      <c r="L584" s="15"/>
      <c r="M584" s="12" t="s">
        <v>28</v>
      </c>
      <c r="N584" s="12"/>
      <c r="O584" s="12"/>
      <c r="P584" s="12"/>
      <c r="Q584" s="16">
        <v>0</v>
      </c>
      <c r="R584" s="16">
        <v>0</v>
      </c>
      <c r="S584" s="16"/>
      <c r="T584" s="16" t="e">
        <v>#N/A</v>
      </c>
      <c r="U584" s="16" t="e">
        <v>#N/A</v>
      </c>
    </row>
    <row r="585" spans="1:21" x14ac:dyDescent="0.25">
      <c r="A585" s="12" t="s">
        <v>21</v>
      </c>
      <c r="B585" s="12" t="s">
        <v>547</v>
      </c>
      <c r="C585" s="12" t="s">
        <v>23</v>
      </c>
      <c r="D585" s="13">
        <v>46240.550856481481</v>
      </c>
      <c r="E585" s="12" t="s">
        <v>548</v>
      </c>
      <c r="F585" s="12" t="s">
        <v>443</v>
      </c>
      <c r="G585" s="12">
        <v>20</v>
      </c>
      <c r="H585" s="12">
        <v>20</v>
      </c>
      <c r="I585" s="14"/>
      <c r="J585" s="14" t="s">
        <v>26</v>
      </c>
      <c r="K585" s="12" t="s">
        <v>27</v>
      </c>
      <c r="L585" s="15"/>
      <c r="M585" s="12" t="s">
        <v>28</v>
      </c>
      <c r="N585" s="12"/>
      <c r="O585" s="12"/>
      <c r="P585" s="12"/>
      <c r="Q585" s="16">
        <v>0</v>
      </c>
      <c r="R585" s="16">
        <v>0</v>
      </c>
      <c r="S585" s="16"/>
      <c r="T585" s="16" t="e">
        <v>#N/A</v>
      </c>
      <c r="U585" s="16" t="e">
        <v>#N/A</v>
      </c>
    </row>
    <row r="586" spans="1:21" x14ac:dyDescent="0.25">
      <c r="A586" s="12" t="s">
        <v>21</v>
      </c>
      <c r="B586" s="12" t="s">
        <v>547</v>
      </c>
      <c r="C586" s="12" t="s">
        <v>23</v>
      </c>
      <c r="D586" s="13">
        <v>46240.550856481481</v>
      </c>
      <c r="E586" s="12" t="s">
        <v>548</v>
      </c>
      <c r="F586" s="12" t="s">
        <v>566</v>
      </c>
      <c r="G586" s="12">
        <v>30</v>
      </c>
      <c r="H586" s="12">
        <v>30</v>
      </c>
      <c r="I586" s="14"/>
      <c r="J586" s="14" t="s">
        <v>61</v>
      </c>
      <c r="K586" s="12" t="s">
        <v>569</v>
      </c>
      <c r="L586" s="15">
        <v>1</v>
      </c>
      <c r="M586" s="12" t="s">
        <v>150</v>
      </c>
      <c r="N586" s="12">
        <v>30</v>
      </c>
      <c r="O586" s="12">
        <v>30</v>
      </c>
      <c r="P586" s="12">
        <v>0</v>
      </c>
      <c r="Q586" s="16">
        <v>80</v>
      </c>
      <c r="R586" s="16">
        <v>0</v>
      </c>
      <c r="S586" s="16"/>
      <c r="T586" s="16" t="e">
        <v>#N/A</v>
      </c>
      <c r="U586" s="16" t="e">
        <v>#N/A</v>
      </c>
    </row>
    <row r="587" spans="1:21" x14ac:dyDescent="0.25">
      <c r="A587" s="12" t="s">
        <v>21</v>
      </c>
      <c r="B587" s="12" t="s">
        <v>547</v>
      </c>
      <c r="C587" s="12" t="s">
        <v>23</v>
      </c>
      <c r="D587" s="13">
        <v>46240.550856481481</v>
      </c>
      <c r="E587" s="12" t="s">
        <v>548</v>
      </c>
      <c r="F587" s="12" t="s">
        <v>567</v>
      </c>
      <c r="G587" s="12">
        <v>50</v>
      </c>
      <c r="H587" s="12">
        <v>50</v>
      </c>
      <c r="I587" s="14"/>
      <c r="J587" s="14" t="s">
        <v>61</v>
      </c>
      <c r="K587" s="12" t="s">
        <v>570</v>
      </c>
      <c r="L587" s="15">
        <v>1</v>
      </c>
      <c r="M587" s="12" t="s">
        <v>150</v>
      </c>
      <c r="N587" s="12">
        <v>50</v>
      </c>
      <c r="O587" s="12">
        <v>50</v>
      </c>
      <c r="P587" s="12">
        <v>0</v>
      </c>
      <c r="Q587" s="16">
        <v>80</v>
      </c>
      <c r="R587" s="16">
        <v>0</v>
      </c>
      <c r="S587" s="16"/>
      <c r="T587" s="16" t="e">
        <v>#N/A</v>
      </c>
      <c r="U587" s="16" t="e">
        <v>#N/A</v>
      </c>
    </row>
    <row r="588" spans="1:21" x14ac:dyDescent="0.25">
      <c r="A588" s="12" t="s">
        <v>21</v>
      </c>
      <c r="B588" s="12" t="s">
        <v>547</v>
      </c>
      <c r="C588" s="12" t="s">
        <v>23</v>
      </c>
      <c r="D588" s="13">
        <v>46240.550856481481</v>
      </c>
      <c r="E588" s="12" t="s">
        <v>548</v>
      </c>
      <c r="F588" s="12" t="s">
        <v>568</v>
      </c>
      <c r="G588" s="12">
        <v>30</v>
      </c>
      <c r="H588" s="12">
        <v>30</v>
      </c>
      <c r="I588" s="14"/>
      <c r="J588" s="14" t="s">
        <v>61</v>
      </c>
      <c r="K588" s="12" t="s">
        <v>571</v>
      </c>
      <c r="L588" s="15">
        <v>1</v>
      </c>
      <c r="M588" s="12" t="s">
        <v>150</v>
      </c>
      <c r="N588" s="12">
        <v>30</v>
      </c>
      <c r="O588" s="12">
        <v>30</v>
      </c>
      <c r="P588" s="12">
        <v>0</v>
      </c>
      <c r="Q588" s="16">
        <v>130</v>
      </c>
      <c r="R588" s="16">
        <v>0</v>
      </c>
      <c r="S588" s="16"/>
      <c r="T588" s="16" t="e">
        <v>#N/A</v>
      </c>
      <c r="U588" s="16" t="e">
        <v>#N/A</v>
      </c>
    </row>
    <row r="589" spans="1:21" x14ac:dyDescent="0.25">
      <c r="A589" s="12" t="s">
        <v>21</v>
      </c>
      <c r="B589" s="12" t="s">
        <v>547</v>
      </c>
      <c r="C589" s="12" t="s">
        <v>23</v>
      </c>
      <c r="D589" s="13">
        <v>46240.550856481481</v>
      </c>
      <c r="E589" s="12" t="s">
        <v>548</v>
      </c>
      <c r="F589" s="12" t="s">
        <v>320</v>
      </c>
      <c r="G589" s="12">
        <v>50</v>
      </c>
      <c r="H589" s="12">
        <v>50</v>
      </c>
      <c r="I589" s="14"/>
      <c r="J589" s="14" t="s">
        <v>61</v>
      </c>
      <c r="K589" s="12" t="s">
        <v>27</v>
      </c>
      <c r="L589" s="15"/>
      <c r="M589" s="12" t="s">
        <v>28</v>
      </c>
      <c r="N589" s="12"/>
      <c r="O589" s="12"/>
      <c r="P589" s="12"/>
      <c r="Q589" s="16">
        <v>80</v>
      </c>
      <c r="R589" s="16">
        <v>1</v>
      </c>
      <c r="S589" s="16">
        <v>24</v>
      </c>
      <c r="T589" s="16" t="e">
        <v>#N/A</v>
      </c>
      <c r="U589" s="16" t="e">
        <v>#N/A</v>
      </c>
    </row>
    <row r="590" spans="1:21" x14ac:dyDescent="0.25">
      <c r="A590" s="12" t="s">
        <v>21</v>
      </c>
      <c r="B590" s="12" t="s">
        <v>547</v>
      </c>
      <c r="C590" s="12" t="s">
        <v>23</v>
      </c>
      <c r="D590" s="13">
        <v>46240.550856481481</v>
      </c>
      <c r="E590" s="12" t="s">
        <v>548</v>
      </c>
      <c r="F590" s="12" t="s">
        <v>134</v>
      </c>
      <c r="G590" s="12">
        <v>50</v>
      </c>
      <c r="H590" s="12">
        <v>50</v>
      </c>
      <c r="I590" s="14"/>
      <c r="J590" s="14" t="s">
        <v>26</v>
      </c>
      <c r="K590" s="12" t="s">
        <v>27</v>
      </c>
      <c r="L590" s="15"/>
      <c r="M590" s="12" t="s">
        <v>28</v>
      </c>
      <c r="N590" s="12"/>
      <c r="O590" s="12"/>
      <c r="P590" s="12"/>
      <c r="Q590" s="16">
        <v>0</v>
      </c>
      <c r="R590" s="16">
        <v>6</v>
      </c>
      <c r="S590" s="16"/>
      <c r="T590" s="16" t="e">
        <v>#N/A</v>
      </c>
      <c r="U590" s="16" t="e">
        <v>#N/A</v>
      </c>
    </row>
    <row r="591" spans="1:21" x14ac:dyDescent="0.25">
      <c r="A591" s="12" t="s">
        <v>21</v>
      </c>
      <c r="B591" s="12" t="s">
        <v>547</v>
      </c>
      <c r="C591" s="12" t="s">
        <v>23</v>
      </c>
      <c r="D591" s="13">
        <v>46240.550856481481</v>
      </c>
      <c r="E591" s="12" t="s">
        <v>548</v>
      </c>
      <c r="F591" s="12" t="s">
        <v>371</v>
      </c>
      <c r="G591" s="12">
        <v>300</v>
      </c>
      <c r="H591" s="12">
        <v>300</v>
      </c>
      <c r="I591" s="14"/>
      <c r="J591" s="14" t="s">
        <v>26</v>
      </c>
      <c r="K591" s="12" t="s">
        <v>27</v>
      </c>
      <c r="L591" s="15"/>
      <c r="M591" s="12" t="s">
        <v>28</v>
      </c>
      <c r="N591" s="12"/>
      <c r="O591" s="12"/>
      <c r="P591" s="12"/>
      <c r="Q591" s="16">
        <v>0</v>
      </c>
      <c r="R591" s="16">
        <v>1</v>
      </c>
      <c r="S591" s="16"/>
      <c r="T591" s="16" t="e">
        <v>#N/A</v>
      </c>
      <c r="U591" s="16" t="e">
        <v>#N/A</v>
      </c>
    </row>
    <row r="592" spans="1:21" x14ac:dyDescent="0.25">
      <c r="A592" s="12" t="s">
        <v>21</v>
      </c>
      <c r="B592" s="12" t="s">
        <v>547</v>
      </c>
      <c r="C592" s="12" t="s">
        <v>23</v>
      </c>
      <c r="D592" s="13">
        <v>46240.550856481481</v>
      </c>
      <c r="E592" s="12" t="s">
        <v>548</v>
      </c>
      <c r="F592" s="12" t="s">
        <v>572</v>
      </c>
      <c r="G592" s="12">
        <v>30</v>
      </c>
      <c r="H592" s="12">
        <v>30</v>
      </c>
      <c r="I592" s="14"/>
      <c r="J592" s="14" t="s">
        <v>26</v>
      </c>
      <c r="K592" s="12" t="s">
        <v>27</v>
      </c>
      <c r="L592" s="15"/>
      <c r="M592" s="12" t="s">
        <v>28</v>
      </c>
      <c r="N592" s="12"/>
      <c r="O592" s="12"/>
      <c r="P592" s="12"/>
      <c r="Q592" s="16">
        <v>0</v>
      </c>
      <c r="R592" s="16">
        <v>10</v>
      </c>
      <c r="S592" s="16"/>
      <c r="T592" s="16" t="e">
        <v>#N/A</v>
      </c>
      <c r="U592" s="16" t="e">
        <v>#N/A</v>
      </c>
    </row>
    <row r="593" spans="1:21" x14ac:dyDescent="0.25">
      <c r="A593" s="12" t="s">
        <v>21</v>
      </c>
      <c r="B593" s="12" t="s">
        <v>547</v>
      </c>
      <c r="C593" s="12" t="s">
        <v>23</v>
      </c>
      <c r="D593" s="13">
        <v>46240.550856481481</v>
      </c>
      <c r="E593" s="12" t="s">
        <v>548</v>
      </c>
      <c r="F593" s="12" t="s">
        <v>573</v>
      </c>
      <c r="G593" s="12">
        <v>50</v>
      </c>
      <c r="H593" s="12">
        <v>50</v>
      </c>
      <c r="I593" s="14"/>
      <c r="J593" s="14" t="s">
        <v>61</v>
      </c>
      <c r="K593" s="12" t="s">
        <v>574</v>
      </c>
      <c r="L593" s="15">
        <v>1</v>
      </c>
      <c r="M593" s="12" t="s">
        <v>150</v>
      </c>
      <c r="N593" s="12">
        <v>50</v>
      </c>
      <c r="O593" s="12">
        <v>50</v>
      </c>
      <c r="P593" s="12">
        <v>0</v>
      </c>
      <c r="Q593" s="16">
        <v>130</v>
      </c>
      <c r="R593" s="16">
        <v>4</v>
      </c>
      <c r="S593" s="16"/>
      <c r="T593" s="16" t="e">
        <v>#N/A</v>
      </c>
      <c r="U593" s="16" t="e">
        <v>#N/A</v>
      </c>
    </row>
    <row r="594" spans="1:21" x14ac:dyDescent="0.25">
      <c r="A594" s="12" t="s">
        <v>21</v>
      </c>
      <c r="B594" s="12" t="s">
        <v>547</v>
      </c>
      <c r="C594" s="12" t="s">
        <v>23</v>
      </c>
      <c r="D594" s="13">
        <v>46240.550856481481</v>
      </c>
      <c r="E594" s="12" t="s">
        <v>548</v>
      </c>
      <c r="F594" s="12" t="s">
        <v>457</v>
      </c>
      <c r="G594" s="12">
        <v>50</v>
      </c>
      <c r="H594" s="12">
        <v>50</v>
      </c>
      <c r="I594" s="14"/>
      <c r="J594" s="14" t="s">
        <v>61</v>
      </c>
      <c r="K594" s="12" t="s">
        <v>575</v>
      </c>
      <c r="L594" s="15">
        <v>1</v>
      </c>
      <c r="M594" s="12" t="s">
        <v>150</v>
      </c>
      <c r="N594" s="12">
        <v>50</v>
      </c>
      <c r="O594" s="12">
        <v>50</v>
      </c>
      <c r="P594" s="12">
        <v>0</v>
      </c>
      <c r="Q594" s="16">
        <v>130</v>
      </c>
      <c r="R594" s="16">
        <v>0</v>
      </c>
      <c r="S594" s="16"/>
      <c r="T594" s="16" t="e">
        <v>#N/A</v>
      </c>
      <c r="U594" s="16" t="e">
        <v>#N/A</v>
      </c>
    </row>
    <row r="595" spans="1:21" x14ac:dyDescent="0.25">
      <c r="A595" s="12" t="s">
        <v>21</v>
      </c>
      <c r="B595" s="12" t="s">
        <v>576</v>
      </c>
      <c r="C595" s="12" t="s">
        <v>23</v>
      </c>
      <c r="D595" s="13">
        <v>46240.572164351855</v>
      </c>
      <c r="E595" s="12" t="s">
        <v>331</v>
      </c>
      <c r="F595" s="12" t="s">
        <v>320</v>
      </c>
      <c r="G595" s="12">
        <v>200</v>
      </c>
      <c r="H595" s="12">
        <v>200</v>
      </c>
      <c r="I595" s="14"/>
      <c r="J595" s="14" t="s">
        <v>26</v>
      </c>
      <c r="K595" s="12" t="s">
        <v>27</v>
      </c>
      <c r="L595" s="15"/>
      <c r="M595" s="12" t="s">
        <v>28</v>
      </c>
      <c r="N595" s="12"/>
      <c r="O595" s="12"/>
      <c r="P595" s="12"/>
      <c r="Q595" s="16">
        <v>0</v>
      </c>
      <c r="R595" s="16">
        <v>1</v>
      </c>
      <c r="S595" s="16"/>
      <c r="T595" s="16" t="e">
        <v>#N/A</v>
      </c>
      <c r="U595" s="16" t="e">
        <v>#N/A</v>
      </c>
    </row>
    <row r="596" spans="1:21" x14ac:dyDescent="0.25">
      <c r="A596" s="12" t="s">
        <v>21</v>
      </c>
      <c r="B596" s="12" t="s">
        <v>577</v>
      </c>
      <c r="C596" s="12" t="s">
        <v>23</v>
      </c>
      <c r="D596" s="13">
        <v>46240.61173611111</v>
      </c>
      <c r="E596" s="12" t="s">
        <v>24</v>
      </c>
      <c r="F596" s="12" t="s">
        <v>108</v>
      </c>
      <c r="G596" s="12">
        <v>3</v>
      </c>
      <c r="H596" s="12">
        <v>3</v>
      </c>
      <c r="I596" s="14"/>
      <c r="J596" s="14" t="s">
        <v>26</v>
      </c>
      <c r="K596" s="12" t="s">
        <v>578</v>
      </c>
      <c r="L596" s="15">
        <v>1</v>
      </c>
      <c r="M596" s="12" t="s">
        <v>150</v>
      </c>
      <c r="N596" s="12">
        <v>3</v>
      </c>
      <c r="O596" s="12">
        <v>3</v>
      </c>
      <c r="P596" s="12">
        <v>0</v>
      </c>
      <c r="Q596" s="16">
        <v>0</v>
      </c>
      <c r="R596" s="16">
        <v>0</v>
      </c>
      <c r="S596" s="16"/>
      <c r="T596" s="16" t="e">
        <v>#N/A</v>
      </c>
      <c r="U596" s="16" t="e">
        <v>#N/A</v>
      </c>
    </row>
    <row r="597" spans="1:21" x14ac:dyDescent="0.25">
      <c r="A597" s="12" t="s">
        <v>21</v>
      </c>
      <c r="B597" s="12" t="s">
        <v>579</v>
      </c>
      <c r="C597" s="12" t="s">
        <v>23</v>
      </c>
      <c r="D597" s="13">
        <v>46240.613402777781</v>
      </c>
      <c r="E597" s="12" t="s">
        <v>24</v>
      </c>
      <c r="F597" s="12" t="s">
        <v>283</v>
      </c>
      <c r="G597" s="12">
        <v>20</v>
      </c>
      <c r="H597" s="12">
        <v>20</v>
      </c>
      <c r="I597" s="14"/>
      <c r="J597" s="14" t="s">
        <v>26</v>
      </c>
      <c r="K597" s="12" t="s">
        <v>27</v>
      </c>
      <c r="L597" s="15"/>
      <c r="M597" s="12" t="s">
        <v>28</v>
      </c>
      <c r="N597" s="12"/>
      <c r="O597" s="12"/>
      <c r="P597" s="12"/>
      <c r="Q597" s="16">
        <v>0</v>
      </c>
      <c r="R597" s="16">
        <v>0</v>
      </c>
      <c r="S597" s="16">
        <v>5</v>
      </c>
      <c r="T597" s="16" t="e">
        <v>#N/A</v>
      </c>
      <c r="U597" s="16" t="e">
        <v>#N/A</v>
      </c>
    </row>
    <row r="598" spans="1:21" x14ac:dyDescent="0.25">
      <c r="A598" s="12" t="s">
        <v>21</v>
      </c>
      <c r="B598" s="12" t="s">
        <v>579</v>
      </c>
      <c r="C598" s="12" t="s">
        <v>23</v>
      </c>
      <c r="D598" s="13">
        <v>46240.613402777781</v>
      </c>
      <c r="E598" s="12" t="s">
        <v>24</v>
      </c>
      <c r="F598" s="12" t="s">
        <v>201</v>
      </c>
      <c r="G598" s="12">
        <v>20</v>
      </c>
      <c r="H598" s="12">
        <v>20</v>
      </c>
      <c r="I598" s="14"/>
      <c r="J598" s="14" t="s">
        <v>26</v>
      </c>
      <c r="K598" s="12" t="s">
        <v>27</v>
      </c>
      <c r="L598" s="15"/>
      <c r="M598" s="12" t="s">
        <v>28</v>
      </c>
      <c r="N598" s="12"/>
      <c r="O598" s="12"/>
      <c r="P598" s="12"/>
      <c r="Q598" s="16">
        <v>0</v>
      </c>
      <c r="R598" s="16">
        <v>0</v>
      </c>
      <c r="S598" s="16"/>
      <c r="T598" s="16" t="e">
        <v>#N/A</v>
      </c>
      <c r="U598" s="16" t="e">
        <v>#N/A</v>
      </c>
    </row>
    <row r="599" spans="1:21" x14ac:dyDescent="0.25">
      <c r="A599" s="12" t="s">
        <v>21</v>
      </c>
      <c r="B599" s="12" t="s">
        <v>579</v>
      </c>
      <c r="C599" s="12" t="s">
        <v>23</v>
      </c>
      <c r="D599" s="13">
        <v>46240.613402777781</v>
      </c>
      <c r="E599" s="12" t="s">
        <v>24</v>
      </c>
      <c r="F599" s="12" t="s">
        <v>277</v>
      </c>
      <c r="G599" s="12">
        <v>12</v>
      </c>
      <c r="H599" s="12">
        <v>12</v>
      </c>
      <c r="I599" s="14"/>
      <c r="J599" s="14" t="s">
        <v>26</v>
      </c>
      <c r="K599" s="12" t="s">
        <v>27</v>
      </c>
      <c r="L599" s="15"/>
      <c r="M599" s="12" t="s">
        <v>28</v>
      </c>
      <c r="N599" s="12"/>
      <c r="O599" s="12"/>
      <c r="P599" s="12"/>
      <c r="Q599" s="16">
        <v>0</v>
      </c>
      <c r="R599" s="16">
        <v>0</v>
      </c>
      <c r="S599" s="16"/>
      <c r="T599" s="16" t="e">
        <v>#N/A</v>
      </c>
      <c r="U599" s="16" t="e">
        <v>#N/A</v>
      </c>
    </row>
    <row r="600" spans="1:21" x14ac:dyDescent="0.25">
      <c r="A600" s="12" t="s">
        <v>21</v>
      </c>
      <c r="B600" s="12" t="s">
        <v>580</v>
      </c>
      <c r="C600" s="12" t="s">
        <v>23</v>
      </c>
      <c r="D600" s="13">
        <v>46241.427754629629</v>
      </c>
      <c r="E600" s="12" t="s">
        <v>581</v>
      </c>
      <c r="F600" s="12" t="s">
        <v>582</v>
      </c>
      <c r="G600" s="12">
        <v>10</v>
      </c>
      <c r="H600" s="12">
        <v>10</v>
      </c>
      <c r="I600" s="14"/>
      <c r="J600" s="14" t="s">
        <v>26</v>
      </c>
      <c r="K600" s="12" t="s">
        <v>583</v>
      </c>
      <c r="L600" s="15">
        <v>1</v>
      </c>
      <c r="M600" s="12" t="s">
        <v>150</v>
      </c>
      <c r="N600" s="12">
        <v>3</v>
      </c>
      <c r="O600" s="12">
        <v>3</v>
      </c>
      <c r="P600" s="12">
        <v>0</v>
      </c>
      <c r="Q600" s="16">
        <v>0</v>
      </c>
      <c r="R600" s="16">
        <v>0</v>
      </c>
      <c r="S600" s="16">
        <v>7</v>
      </c>
      <c r="T600" s="16" t="e">
        <v>#N/A</v>
      </c>
      <c r="U600" s="16" t="e">
        <v>#N/A</v>
      </c>
    </row>
    <row r="601" spans="1:21" x14ac:dyDescent="0.25">
      <c r="A601" s="12" t="s">
        <v>21</v>
      </c>
      <c r="B601" s="12" t="s">
        <v>584</v>
      </c>
      <c r="C601" s="12" t="s">
        <v>23</v>
      </c>
      <c r="D601" s="13">
        <v>46241.620335648149</v>
      </c>
      <c r="E601" s="12" t="s">
        <v>585</v>
      </c>
      <c r="F601" s="12" t="s">
        <v>320</v>
      </c>
      <c r="G601" s="12">
        <v>200</v>
      </c>
      <c r="H601" s="12">
        <v>200</v>
      </c>
      <c r="I601" s="14"/>
      <c r="J601" s="14" t="s">
        <v>26</v>
      </c>
      <c r="K601" s="12" t="s">
        <v>27</v>
      </c>
      <c r="L601" s="15"/>
      <c r="M601" s="12" t="s">
        <v>28</v>
      </c>
      <c r="N601" s="12"/>
      <c r="O601" s="12"/>
      <c r="P601" s="12"/>
      <c r="Q601" s="16">
        <v>0</v>
      </c>
      <c r="R601" s="16">
        <v>1</v>
      </c>
      <c r="S601" s="16">
        <v>70</v>
      </c>
      <c r="T601" s="16" t="e">
        <v>#N/A</v>
      </c>
      <c r="U601" s="16" t="e">
        <v>#N/A</v>
      </c>
    </row>
    <row r="602" spans="1:21" x14ac:dyDescent="0.25">
      <c r="A602" s="12" t="s">
        <v>21</v>
      </c>
      <c r="B602" s="12" t="s">
        <v>584</v>
      </c>
      <c r="C602" s="12" t="s">
        <v>23</v>
      </c>
      <c r="D602" s="13">
        <v>46241.620335648149</v>
      </c>
      <c r="E602" s="12" t="s">
        <v>585</v>
      </c>
      <c r="F602" s="12" t="s">
        <v>371</v>
      </c>
      <c r="G602" s="12">
        <v>500</v>
      </c>
      <c r="H602" s="12">
        <v>500</v>
      </c>
      <c r="I602" s="14"/>
      <c r="J602" s="14" t="s">
        <v>26</v>
      </c>
      <c r="K602" s="12" t="s">
        <v>27</v>
      </c>
      <c r="L602" s="15"/>
      <c r="M602" s="12" t="s">
        <v>28</v>
      </c>
      <c r="N602" s="12"/>
      <c r="O602" s="12"/>
      <c r="P602" s="12"/>
      <c r="Q602" s="16">
        <v>0</v>
      </c>
      <c r="R602" s="16">
        <v>1</v>
      </c>
      <c r="S602" s="16">
        <v>275</v>
      </c>
      <c r="T602" s="16" t="e">
        <v>#N/A</v>
      </c>
      <c r="U602" s="16" t="e">
        <v>#N/A</v>
      </c>
    </row>
    <row r="603" spans="1:21" x14ac:dyDescent="0.25">
      <c r="A603" s="12" t="s">
        <v>21</v>
      </c>
      <c r="B603" s="12" t="s">
        <v>586</v>
      </c>
      <c r="C603" s="12" t="s">
        <v>23</v>
      </c>
      <c r="D603" s="13">
        <v>46242.449386574073</v>
      </c>
      <c r="E603" s="12" t="s">
        <v>258</v>
      </c>
      <c r="F603" s="12" t="s">
        <v>283</v>
      </c>
      <c r="G603" s="12">
        <v>30</v>
      </c>
      <c r="H603" s="12">
        <v>30</v>
      </c>
      <c r="I603" s="14"/>
      <c r="J603" s="14" t="s">
        <v>26</v>
      </c>
      <c r="K603" s="12" t="s">
        <v>27</v>
      </c>
      <c r="L603" s="15"/>
      <c r="M603" s="12" t="s">
        <v>28</v>
      </c>
      <c r="N603" s="12"/>
      <c r="O603" s="12"/>
      <c r="P603" s="12"/>
      <c r="Q603" s="16">
        <v>0</v>
      </c>
      <c r="R603" s="16">
        <v>0</v>
      </c>
      <c r="S603" s="16"/>
      <c r="T603" s="16" t="e">
        <v>#N/A</v>
      </c>
      <c r="U603" s="16" t="e">
        <v>#N/A</v>
      </c>
    </row>
    <row r="604" spans="1:21" x14ac:dyDescent="0.25">
      <c r="A604" s="12" t="s">
        <v>21</v>
      </c>
      <c r="B604" s="12" t="s">
        <v>586</v>
      </c>
      <c r="C604" s="12" t="s">
        <v>23</v>
      </c>
      <c r="D604" s="13">
        <v>46242.449386574073</v>
      </c>
      <c r="E604" s="12" t="s">
        <v>258</v>
      </c>
      <c r="F604" s="12" t="s">
        <v>401</v>
      </c>
      <c r="G604" s="12">
        <v>1</v>
      </c>
      <c r="H604" s="12">
        <v>1</v>
      </c>
      <c r="I604" s="14"/>
      <c r="J604" s="14" t="s">
        <v>26</v>
      </c>
      <c r="K604" s="12" t="s">
        <v>27</v>
      </c>
      <c r="L604" s="15"/>
      <c r="M604" s="12" t="s">
        <v>28</v>
      </c>
      <c r="N604" s="12"/>
      <c r="O604" s="12"/>
      <c r="P604" s="12"/>
      <c r="Q604" s="16">
        <v>0</v>
      </c>
      <c r="R604" s="16">
        <v>0</v>
      </c>
      <c r="S604" s="16"/>
      <c r="T604" s="16" t="e">
        <v>#N/A</v>
      </c>
      <c r="U604" s="16" t="e">
        <v>#N/A</v>
      </c>
    </row>
    <row r="605" spans="1:21" x14ac:dyDescent="0.25">
      <c r="A605" s="12" t="s">
        <v>21</v>
      </c>
      <c r="B605" s="12" t="s">
        <v>587</v>
      </c>
      <c r="C605" s="12" t="s">
        <v>23</v>
      </c>
      <c r="D605" s="13">
        <v>46242.452847222223</v>
      </c>
      <c r="E605" s="12" t="s">
        <v>345</v>
      </c>
      <c r="F605" s="12" t="s">
        <v>134</v>
      </c>
      <c r="G605" s="12">
        <v>50</v>
      </c>
      <c r="H605" s="12">
        <v>50</v>
      </c>
      <c r="I605" s="14"/>
      <c r="J605" s="14" t="s">
        <v>26</v>
      </c>
      <c r="K605" s="12" t="s">
        <v>27</v>
      </c>
      <c r="L605" s="15"/>
      <c r="M605" s="12" t="s">
        <v>28</v>
      </c>
      <c r="N605" s="12"/>
      <c r="O605" s="12"/>
      <c r="P605" s="12"/>
      <c r="Q605" s="16">
        <v>0</v>
      </c>
      <c r="R605" s="16">
        <v>6</v>
      </c>
      <c r="S605" s="16"/>
      <c r="T605" s="16" t="e">
        <v>#N/A</v>
      </c>
      <c r="U605" s="16" t="e">
        <v>#N/A</v>
      </c>
    </row>
    <row r="606" spans="1:21" x14ac:dyDescent="0.25">
      <c r="A606" s="12" t="s">
        <v>21</v>
      </c>
      <c r="B606" s="12" t="s">
        <v>587</v>
      </c>
      <c r="C606" s="12" t="s">
        <v>23</v>
      </c>
      <c r="D606" s="13">
        <v>46242.452847222223</v>
      </c>
      <c r="E606" s="12" t="s">
        <v>345</v>
      </c>
      <c r="F606" s="12" t="s">
        <v>371</v>
      </c>
      <c r="G606" s="12">
        <v>200</v>
      </c>
      <c r="H606" s="12">
        <v>200</v>
      </c>
      <c r="I606" s="14"/>
      <c r="J606" s="14" t="s">
        <v>26</v>
      </c>
      <c r="K606" s="12" t="s">
        <v>27</v>
      </c>
      <c r="L606" s="15"/>
      <c r="M606" s="12" t="s">
        <v>28</v>
      </c>
      <c r="N606" s="12"/>
      <c r="O606" s="12"/>
      <c r="P606" s="12"/>
      <c r="Q606" s="16">
        <v>0</v>
      </c>
      <c r="R606" s="16">
        <v>1</v>
      </c>
      <c r="S606" s="16"/>
      <c r="T606" s="16" t="e">
        <v>#N/A</v>
      </c>
      <c r="U606" s="16" t="e">
        <v>#N/A</v>
      </c>
    </row>
    <row r="607" spans="1:21" x14ac:dyDescent="0.25">
      <c r="A607" s="12" t="s">
        <v>21</v>
      </c>
      <c r="B607" s="12" t="s">
        <v>588</v>
      </c>
      <c r="C607" s="12" t="s">
        <v>23</v>
      </c>
      <c r="D607" s="13">
        <v>46242.490671296298</v>
      </c>
      <c r="E607" s="12" t="s">
        <v>69</v>
      </c>
      <c r="F607" s="12" t="s">
        <v>320</v>
      </c>
      <c r="G607" s="12">
        <v>200</v>
      </c>
      <c r="H607" s="12">
        <v>200</v>
      </c>
      <c r="I607" s="14">
        <v>-100</v>
      </c>
      <c r="J607" s="14" t="s">
        <v>61</v>
      </c>
      <c r="K607" s="12" t="s">
        <v>27</v>
      </c>
      <c r="L607" s="15"/>
      <c r="M607" s="12" t="s">
        <v>28</v>
      </c>
      <c r="N607" s="12"/>
      <c r="O607" s="12"/>
      <c r="P607" s="12"/>
      <c r="Q607" s="16">
        <v>30</v>
      </c>
      <c r="R607" s="16">
        <v>1</v>
      </c>
      <c r="S607" s="16"/>
      <c r="T607" s="16" t="e">
        <v>#N/A</v>
      </c>
      <c r="U607" s="16" t="e">
        <v>#N/A</v>
      </c>
    </row>
    <row r="608" spans="1:21" x14ac:dyDescent="0.25">
      <c r="A608" s="12" t="s">
        <v>21</v>
      </c>
      <c r="B608" s="12" t="s">
        <v>588</v>
      </c>
      <c r="C608" s="12" t="s">
        <v>23</v>
      </c>
      <c r="D608" s="13">
        <v>46242.490671296298</v>
      </c>
      <c r="E608" s="12" t="s">
        <v>69</v>
      </c>
      <c r="F608" s="12" t="s">
        <v>134</v>
      </c>
      <c r="G608" s="12">
        <v>50</v>
      </c>
      <c r="H608" s="12">
        <v>50</v>
      </c>
      <c r="I608" s="14"/>
      <c r="J608" s="14" t="s">
        <v>26</v>
      </c>
      <c r="K608" s="12" t="s">
        <v>27</v>
      </c>
      <c r="L608" s="15"/>
      <c r="M608" s="12" t="s">
        <v>28</v>
      </c>
      <c r="N608" s="12"/>
      <c r="O608" s="12"/>
      <c r="P608" s="12"/>
      <c r="Q608" s="16">
        <v>0</v>
      </c>
      <c r="R608" s="16">
        <v>6</v>
      </c>
      <c r="S608" s="16"/>
      <c r="T608" s="16" t="e">
        <v>#N/A</v>
      </c>
      <c r="U608" s="16" t="e">
        <v>#N/A</v>
      </c>
    </row>
    <row r="609" spans="1:21" x14ac:dyDescent="0.25">
      <c r="A609" s="12" t="s">
        <v>21</v>
      </c>
      <c r="B609" s="12" t="s">
        <v>588</v>
      </c>
      <c r="C609" s="12" t="s">
        <v>23</v>
      </c>
      <c r="D609" s="13">
        <v>46242.490671296298</v>
      </c>
      <c r="E609" s="12" t="s">
        <v>69</v>
      </c>
      <c r="F609" s="12" t="s">
        <v>371</v>
      </c>
      <c r="G609" s="12">
        <v>300</v>
      </c>
      <c r="H609" s="12">
        <v>300</v>
      </c>
      <c r="I609" s="14"/>
      <c r="J609" s="14" t="s">
        <v>26</v>
      </c>
      <c r="K609" s="12" t="s">
        <v>27</v>
      </c>
      <c r="L609" s="15"/>
      <c r="M609" s="12" t="s">
        <v>28</v>
      </c>
      <c r="N609" s="12"/>
      <c r="O609" s="12"/>
      <c r="P609" s="12"/>
      <c r="Q609" s="16">
        <v>0</v>
      </c>
      <c r="R609" s="16">
        <v>1</v>
      </c>
      <c r="S609" s="16"/>
      <c r="T609" s="16" t="e">
        <v>#N/A</v>
      </c>
      <c r="U609" s="16" t="e">
        <v>#N/A</v>
      </c>
    </row>
    <row r="610" spans="1:21" x14ac:dyDescent="0.25">
      <c r="A610" s="12" t="s">
        <v>21</v>
      </c>
      <c r="B610" s="12" t="s">
        <v>589</v>
      </c>
      <c r="C610" s="12" t="s">
        <v>23</v>
      </c>
      <c r="D610" s="13">
        <v>46244.318136574075</v>
      </c>
      <c r="E610" s="12" t="s">
        <v>266</v>
      </c>
      <c r="F610" s="12" t="s">
        <v>71</v>
      </c>
      <c r="G610" s="12">
        <v>50</v>
      </c>
      <c r="H610" s="12">
        <v>50</v>
      </c>
      <c r="I610" s="14"/>
      <c r="J610" s="14" t="s">
        <v>26</v>
      </c>
      <c r="K610" s="12" t="s">
        <v>27</v>
      </c>
      <c r="L610" s="15"/>
      <c r="M610" s="12" t="s">
        <v>28</v>
      </c>
      <c r="N610" s="12"/>
      <c r="O610" s="12"/>
      <c r="P610" s="12"/>
      <c r="Q610" s="16">
        <v>0</v>
      </c>
      <c r="R610" s="16">
        <v>0</v>
      </c>
      <c r="S610" s="16"/>
      <c r="T610" s="16" t="e">
        <v>#N/A</v>
      </c>
      <c r="U610" s="16" t="e">
        <v>#N/A</v>
      </c>
    </row>
    <row r="611" spans="1:21" x14ac:dyDescent="0.25">
      <c r="A611" s="12" t="s">
        <v>21</v>
      </c>
      <c r="B611" s="12" t="s">
        <v>589</v>
      </c>
      <c r="C611" s="12" t="s">
        <v>23</v>
      </c>
      <c r="D611" s="13">
        <v>46244.318136574075</v>
      </c>
      <c r="E611" s="12" t="s">
        <v>266</v>
      </c>
      <c r="F611" s="12" t="s">
        <v>525</v>
      </c>
      <c r="G611" s="12">
        <v>50</v>
      </c>
      <c r="H611" s="12">
        <v>50</v>
      </c>
      <c r="I611" s="14"/>
      <c r="J611" s="14" t="s">
        <v>26</v>
      </c>
      <c r="K611" s="12" t="s">
        <v>27</v>
      </c>
      <c r="L611" s="15"/>
      <c r="M611" s="12" t="s">
        <v>28</v>
      </c>
      <c r="N611" s="12"/>
      <c r="O611" s="12"/>
      <c r="P611" s="12"/>
      <c r="Q611" s="16">
        <v>0</v>
      </c>
      <c r="R611" s="16">
        <v>0</v>
      </c>
      <c r="S611" s="16"/>
      <c r="T611" s="16" t="e">
        <v>#N/A</v>
      </c>
      <c r="U611" s="16" t="e">
        <v>#N/A</v>
      </c>
    </row>
    <row r="612" spans="1:21" x14ac:dyDescent="0.25">
      <c r="A612" s="12" t="s">
        <v>21</v>
      </c>
      <c r="B612" s="12" t="s">
        <v>589</v>
      </c>
      <c r="C612" s="12" t="s">
        <v>23</v>
      </c>
      <c r="D612" s="13">
        <v>46244.318136574075</v>
      </c>
      <c r="E612" s="12" t="s">
        <v>266</v>
      </c>
      <c r="F612" s="12" t="s">
        <v>268</v>
      </c>
      <c r="G612" s="12">
        <v>10</v>
      </c>
      <c r="H612" s="12">
        <v>10</v>
      </c>
      <c r="I612" s="14"/>
      <c r="J612" s="14" t="s">
        <v>26</v>
      </c>
      <c r="K612" s="12" t="s">
        <v>27</v>
      </c>
      <c r="L612" s="15"/>
      <c r="M612" s="12" t="s">
        <v>28</v>
      </c>
      <c r="N612" s="12"/>
      <c r="O612" s="12"/>
      <c r="P612" s="12"/>
      <c r="Q612" s="16">
        <v>0</v>
      </c>
      <c r="R612" s="16">
        <v>0</v>
      </c>
      <c r="S612" s="16"/>
      <c r="T612" s="16" t="e">
        <v>#N/A</v>
      </c>
      <c r="U612" s="16" t="e">
        <v>#N/A</v>
      </c>
    </row>
    <row r="613" spans="1:21" x14ac:dyDescent="0.25">
      <c r="A613" s="12" t="s">
        <v>21</v>
      </c>
      <c r="B613" s="12" t="s">
        <v>589</v>
      </c>
      <c r="C613" s="12" t="s">
        <v>23</v>
      </c>
      <c r="D613" s="13">
        <v>46244.318136574075</v>
      </c>
      <c r="E613" s="12" t="s">
        <v>266</v>
      </c>
      <c r="F613" s="12" t="s">
        <v>401</v>
      </c>
      <c r="G613" s="12">
        <v>8</v>
      </c>
      <c r="H613" s="12">
        <v>8</v>
      </c>
      <c r="I613" s="14"/>
      <c r="J613" s="14" t="s">
        <v>26</v>
      </c>
      <c r="K613" s="12" t="s">
        <v>27</v>
      </c>
      <c r="L613" s="15"/>
      <c r="M613" s="12" t="s">
        <v>28</v>
      </c>
      <c r="N613" s="12"/>
      <c r="O613" s="12"/>
      <c r="P613" s="12"/>
      <c r="Q613" s="16">
        <v>0</v>
      </c>
      <c r="R613" s="16">
        <v>0</v>
      </c>
      <c r="S613" s="16"/>
      <c r="T613" s="16" t="e">
        <v>#N/A</v>
      </c>
      <c r="U613" s="16" t="e">
        <v>#N/A</v>
      </c>
    </row>
    <row r="614" spans="1:21" x14ac:dyDescent="0.25">
      <c r="A614" s="12" t="s">
        <v>21</v>
      </c>
      <c r="B614" s="12" t="s">
        <v>590</v>
      </c>
      <c r="C614" s="12" t="s">
        <v>23</v>
      </c>
      <c r="D614" s="13">
        <v>46244.374803240738</v>
      </c>
      <c r="E614" s="12" t="s">
        <v>218</v>
      </c>
      <c r="F614" s="12" t="s">
        <v>262</v>
      </c>
      <c r="G614" s="12">
        <v>2000</v>
      </c>
      <c r="H614" s="12">
        <v>2000</v>
      </c>
      <c r="I614" s="14"/>
      <c r="J614" s="14" t="s">
        <v>26</v>
      </c>
      <c r="K614" s="12" t="s">
        <v>27</v>
      </c>
      <c r="L614" s="15"/>
      <c r="M614" s="12" t="s">
        <v>28</v>
      </c>
      <c r="N614" s="12"/>
      <c r="O614" s="12"/>
      <c r="P614" s="12"/>
      <c r="Q614" s="16">
        <v>0</v>
      </c>
      <c r="R614" s="16">
        <v>0</v>
      </c>
      <c r="S614" s="16"/>
      <c r="T614" s="16" t="e">
        <v>#N/A</v>
      </c>
      <c r="U614" s="16" t="e">
        <v>#N/A</v>
      </c>
    </row>
    <row r="615" spans="1:21" x14ac:dyDescent="0.25">
      <c r="A615" s="12" t="s">
        <v>21</v>
      </c>
      <c r="B615" s="12" t="s">
        <v>591</v>
      </c>
      <c r="C615" s="12" t="s">
        <v>23</v>
      </c>
      <c r="D615" s="13">
        <v>46245.453136574077</v>
      </c>
      <c r="E615" s="12" t="s">
        <v>24</v>
      </c>
      <c r="F615" s="12" t="s">
        <v>319</v>
      </c>
      <c r="G615" s="12">
        <v>3</v>
      </c>
      <c r="H615" s="12">
        <v>3</v>
      </c>
      <c r="I615" s="14">
        <v>-2</v>
      </c>
      <c r="J615" s="14" t="s">
        <v>26</v>
      </c>
      <c r="K615" s="12" t="s">
        <v>27</v>
      </c>
      <c r="L615" s="15"/>
      <c r="M615" s="12" t="s">
        <v>28</v>
      </c>
      <c r="N615" s="12"/>
      <c r="O615" s="12"/>
      <c r="P615" s="12"/>
      <c r="Q615" s="16">
        <v>0</v>
      </c>
      <c r="R615" s="16">
        <v>657</v>
      </c>
      <c r="S615" s="16"/>
      <c r="T615" s="16" t="e">
        <v>#N/A</v>
      </c>
      <c r="U615" s="16" t="e">
        <v>#N/A</v>
      </c>
    </row>
    <row r="616" spans="1:21" x14ac:dyDescent="0.25">
      <c r="A616" s="12" t="s">
        <v>21</v>
      </c>
      <c r="B616" s="12" t="s">
        <v>592</v>
      </c>
      <c r="C616" s="12" t="s">
        <v>23</v>
      </c>
      <c r="D616" s="13">
        <v>46245.479155092595</v>
      </c>
      <c r="E616" s="12" t="s">
        <v>258</v>
      </c>
      <c r="F616" s="12" t="s">
        <v>593</v>
      </c>
      <c r="G616" s="12">
        <v>4</v>
      </c>
      <c r="H616" s="12">
        <v>4</v>
      </c>
      <c r="I616" s="14"/>
      <c r="J616" s="14" t="s">
        <v>61</v>
      </c>
      <c r="K616" s="12" t="s">
        <v>27</v>
      </c>
      <c r="L616" s="15"/>
      <c r="M616" s="12" t="s">
        <v>28</v>
      </c>
      <c r="N616" s="12"/>
      <c r="O616" s="12"/>
      <c r="P616" s="12"/>
      <c r="Q616" s="16">
        <v>4</v>
      </c>
      <c r="R616" s="16">
        <v>1</v>
      </c>
      <c r="S616" s="16"/>
      <c r="T616" s="16" t="e">
        <v>#N/A</v>
      </c>
      <c r="U616" s="16" t="e">
        <v>#N/A</v>
      </c>
    </row>
    <row r="617" spans="1:21" x14ac:dyDescent="0.25">
      <c r="A617" s="12" t="s">
        <v>21</v>
      </c>
      <c r="B617" s="12" t="s">
        <v>594</v>
      </c>
      <c r="C617" s="12" t="s">
        <v>23</v>
      </c>
      <c r="D617" s="13">
        <v>46245.579340277778</v>
      </c>
      <c r="E617" s="12" t="s">
        <v>258</v>
      </c>
      <c r="F617" s="12" t="s">
        <v>595</v>
      </c>
      <c r="G617" s="12">
        <v>20</v>
      </c>
      <c r="H617" s="12">
        <v>20</v>
      </c>
      <c r="I617" s="14"/>
      <c r="J617" s="14" t="s">
        <v>26</v>
      </c>
      <c r="K617" s="12" t="s">
        <v>596</v>
      </c>
      <c r="L617" s="15">
        <v>1</v>
      </c>
      <c r="M617" s="12" t="s">
        <v>150</v>
      </c>
      <c r="N617" s="12">
        <v>20</v>
      </c>
      <c r="O617" s="12">
        <v>20</v>
      </c>
      <c r="P617" s="12">
        <v>0</v>
      </c>
      <c r="Q617" s="16">
        <v>0</v>
      </c>
      <c r="R617" s="16">
        <v>10</v>
      </c>
      <c r="S617" s="16"/>
      <c r="T617" s="16" t="e">
        <v>#N/A</v>
      </c>
      <c r="U617" s="16" t="e">
        <v>#N/A</v>
      </c>
    </row>
    <row r="618" spans="1:21" x14ac:dyDescent="0.25">
      <c r="A618" s="12" t="s">
        <v>21</v>
      </c>
      <c r="B618" s="12" t="s">
        <v>597</v>
      </c>
      <c r="C618" s="12" t="s">
        <v>23</v>
      </c>
      <c r="D618" s="13">
        <v>46246.277465277781</v>
      </c>
      <c r="E618" s="12" t="s">
        <v>24</v>
      </c>
      <c r="F618" s="12" t="s">
        <v>559</v>
      </c>
      <c r="G618" s="12">
        <v>120</v>
      </c>
      <c r="H618" s="12">
        <v>4</v>
      </c>
      <c r="I618" s="14"/>
      <c r="J618" s="14" t="s">
        <v>61</v>
      </c>
      <c r="K618" s="12" t="s">
        <v>27</v>
      </c>
      <c r="L618" s="15"/>
      <c r="M618" s="12" t="s">
        <v>28</v>
      </c>
      <c r="N618" s="12"/>
      <c r="O618" s="12"/>
      <c r="P618" s="12"/>
      <c r="Q618" s="16">
        <v>260</v>
      </c>
      <c r="R618" s="16">
        <v>0</v>
      </c>
      <c r="S618" s="16"/>
      <c r="T618" s="16" t="e">
        <v>#N/A</v>
      </c>
      <c r="U618" s="16" t="e">
        <v>#N/A</v>
      </c>
    </row>
    <row r="619" spans="1:21" x14ac:dyDescent="0.25">
      <c r="A619" s="12" t="s">
        <v>21</v>
      </c>
      <c r="B619" s="12" t="s">
        <v>598</v>
      </c>
      <c r="C619" s="12" t="s">
        <v>23</v>
      </c>
      <c r="D619" s="13">
        <v>46246.522766203707</v>
      </c>
      <c r="E619" s="12" t="s">
        <v>599</v>
      </c>
      <c r="F619" s="12" t="s">
        <v>600</v>
      </c>
      <c r="G619" s="12">
        <v>60</v>
      </c>
      <c r="H619" s="12">
        <v>60</v>
      </c>
      <c r="I619" s="14"/>
      <c r="J619" s="14" t="s">
        <v>61</v>
      </c>
      <c r="K619" s="12" t="s">
        <v>601</v>
      </c>
      <c r="L619" s="15">
        <v>1</v>
      </c>
      <c r="M619" s="12" t="s">
        <v>150</v>
      </c>
      <c r="N619" s="12">
        <v>60</v>
      </c>
      <c r="O619" s="12">
        <v>60</v>
      </c>
      <c r="P619" s="12">
        <v>0</v>
      </c>
      <c r="Q619" s="16">
        <v>110</v>
      </c>
      <c r="R619" s="16">
        <v>1</v>
      </c>
      <c r="S619" s="16"/>
      <c r="T619" s="16" t="e">
        <v>#N/A</v>
      </c>
      <c r="U619" s="16" t="e">
        <v>#N/A</v>
      </c>
    </row>
    <row r="620" spans="1:21" x14ac:dyDescent="0.25">
      <c r="A620" s="12" t="s">
        <v>21</v>
      </c>
      <c r="B620" s="12" t="s">
        <v>598</v>
      </c>
      <c r="C620" s="12" t="s">
        <v>23</v>
      </c>
      <c r="D620" s="13">
        <v>46246.522766203707</v>
      </c>
      <c r="E620" s="12" t="s">
        <v>599</v>
      </c>
      <c r="F620" s="12" t="s">
        <v>161</v>
      </c>
      <c r="G620" s="12">
        <v>20</v>
      </c>
      <c r="H620" s="12">
        <v>20</v>
      </c>
      <c r="I620" s="14"/>
      <c r="J620" s="14" t="s">
        <v>61</v>
      </c>
      <c r="K620" s="12" t="s">
        <v>604</v>
      </c>
      <c r="L620" s="15">
        <v>1</v>
      </c>
      <c r="M620" s="12" t="s">
        <v>150</v>
      </c>
      <c r="N620" s="12">
        <v>20</v>
      </c>
      <c r="O620" s="12">
        <v>20</v>
      </c>
      <c r="P620" s="12">
        <v>0</v>
      </c>
      <c r="Q620" s="16">
        <v>40</v>
      </c>
      <c r="R620" s="16">
        <v>7</v>
      </c>
      <c r="S620" s="16"/>
      <c r="T620" s="16" t="e">
        <v>#N/A</v>
      </c>
      <c r="U620" s="16" t="e">
        <v>#N/A</v>
      </c>
    </row>
    <row r="621" spans="1:21" x14ac:dyDescent="0.25">
      <c r="A621" s="12" t="s">
        <v>21</v>
      </c>
      <c r="B621" s="12" t="s">
        <v>598</v>
      </c>
      <c r="C621" s="12" t="s">
        <v>23</v>
      </c>
      <c r="D621" s="13">
        <v>46246.522766203707</v>
      </c>
      <c r="E621" s="12" t="s">
        <v>599</v>
      </c>
      <c r="F621" s="12" t="s">
        <v>602</v>
      </c>
      <c r="G621" s="12">
        <v>20</v>
      </c>
      <c r="H621" s="12">
        <v>20</v>
      </c>
      <c r="I621" s="14"/>
      <c r="J621" s="14" t="s">
        <v>61</v>
      </c>
      <c r="K621" s="12" t="s">
        <v>605</v>
      </c>
      <c r="L621" s="15">
        <v>1</v>
      </c>
      <c r="M621" s="12" t="s">
        <v>150</v>
      </c>
      <c r="N621" s="12">
        <v>20</v>
      </c>
      <c r="O621" s="12">
        <v>20</v>
      </c>
      <c r="P621" s="12">
        <v>0</v>
      </c>
      <c r="Q621" s="16">
        <v>20</v>
      </c>
      <c r="R621" s="16">
        <v>0</v>
      </c>
      <c r="S621" s="16"/>
      <c r="T621" s="16" t="e">
        <v>#N/A</v>
      </c>
      <c r="U621" s="16" t="e">
        <v>#N/A</v>
      </c>
    </row>
    <row r="622" spans="1:21" x14ac:dyDescent="0.25">
      <c r="A622" s="12" t="s">
        <v>21</v>
      </c>
      <c r="B622" s="12" t="s">
        <v>598</v>
      </c>
      <c r="C622" s="12" t="s">
        <v>23</v>
      </c>
      <c r="D622" s="13">
        <v>46246.522766203707</v>
      </c>
      <c r="E622" s="12" t="s">
        <v>599</v>
      </c>
      <c r="F622" s="12" t="s">
        <v>603</v>
      </c>
      <c r="G622" s="12">
        <v>30</v>
      </c>
      <c r="H622" s="12">
        <v>30</v>
      </c>
      <c r="I622" s="14"/>
      <c r="J622" s="14" t="s">
        <v>61</v>
      </c>
      <c r="K622" s="12" t="s">
        <v>606</v>
      </c>
      <c r="L622" s="15">
        <v>1</v>
      </c>
      <c r="M622" s="12" t="s">
        <v>150</v>
      </c>
      <c r="N622" s="12">
        <v>30</v>
      </c>
      <c r="O622" s="12">
        <v>30</v>
      </c>
      <c r="P622" s="12">
        <v>0</v>
      </c>
      <c r="Q622" s="16">
        <v>30</v>
      </c>
      <c r="R622" s="16">
        <v>4</v>
      </c>
      <c r="S622" s="16"/>
      <c r="T622" s="16" t="e">
        <v>#N/A</v>
      </c>
      <c r="U622" s="16" t="e">
        <v>#N/A</v>
      </c>
    </row>
    <row r="623" spans="1:21" x14ac:dyDescent="0.25">
      <c r="A623" s="12" t="s">
        <v>21</v>
      </c>
      <c r="B623" s="12" t="s">
        <v>598</v>
      </c>
      <c r="C623" s="12" t="s">
        <v>23</v>
      </c>
      <c r="D623" s="13">
        <v>46246.522766203707</v>
      </c>
      <c r="E623" s="12" t="s">
        <v>599</v>
      </c>
      <c r="F623" s="12" t="s">
        <v>283</v>
      </c>
      <c r="G623" s="12">
        <v>50</v>
      </c>
      <c r="H623" s="12">
        <v>50</v>
      </c>
      <c r="I623" s="14"/>
      <c r="J623" s="14" t="s">
        <v>61</v>
      </c>
      <c r="K623" s="12" t="s">
        <v>607</v>
      </c>
      <c r="L623" s="15">
        <v>1</v>
      </c>
      <c r="M623" s="12" t="s">
        <v>150</v>
      </c>
      <c r="N623" s="12">
        <v>50</v>
      </c>
      <c r="O623" s="12">
        <v>50</v>
      </c>
      <c r="P623" s="12">
        <v>0</v>
      </c>
      <c r="Q623" s="16">
        <v>150</v>
      </c>
      <c r="R623" s="16">
        <v>0</v>
      </c>
      <c r="S623" s="16"/>
      <c r="T623" s="16" t="e">
        <v>#N/A</v>
      </c>
      <c r="U623" s="16" t="e">
        <v>#N/A</v>
      </c>
    </row>
    <row r="624" spans="1:21" x14ac:dyDescent="0.25">
      <c r="A624" s="12" t="s">
        <v>21</v>
      </c>
      <c r="B624" s="12" t="s">
        <v>598</v>
      </c>
      <c r="C624" s="12" t="s">
        <v>23</v>
      </c>
      <c r="D624" s="13">
        <v>46246.522766203707</v>
      </c>
      <c r="E624" s="12" t="s">
        <v>599</v>
      </c>
      <c r="F624" s="12" t="s">
        <v>389</v>
      </c>
      <c r="G624" s="12">
        <v>10</v>
      </c>
      <c r="H624" s="12">
        <v>10</v>
      </c>
      <c r="I624" s="14"/>
      <c r="J624" s="14" t="s">
        <v>61</v>
      </c>
      <c r="K624" s="12" t="s">
        <v>608</v>
      </c>
      <c r="L624" s="15">
        <v>1</v>
      </c>
      <c r="M624" s="12" t="s">
        <v>150</v>
      </c>
      <c r="N624" s="12">
        <v>10</v>
      </c>
      <c r="O624" s="12">
        <v>10</v>
      </c>
      <c r="P624" s="12">
        <v>0</v>
      </c>
      <c r="Q624" s="16">
        <v>10</v>
      </c>
      <c r="R624" s="16">
        <v>0</v>
      </c>
      <c r="S624" s="16"/>
      <c r="T624" s="16" t="e">
        <v>#N/A</v>
      </c>
      <c r="U624" s="16" t="e">
        <v>#N/A</v>
      </c>
    </row>
    <row r="625" spans="1:21" x14ac:dyDescent="0.25">
      <c r="A625" s="12" t="s">
        <v>21</v>
      </c>
      <c r="B625" s="12" t="s">
        <v>609</v>
      </c>
      <c r="C625" s="12" t="s">
        <v>23</v>
      </c>
      <c r="D625" s="13">
        <v>46246.552789351852</v>
      </c>
      <c r="E625" s="12" t="s">
        <v>24</v>
      </c>
      <c r="F625" s="12" t="s">
        <v>610</v>
      </c>
      <c r="G625" s="12">
        <v>9</v>
      </c>
      <c r="H625" s="12">
        <v>9</v>
      </c>
      <c r="I625" s="14"/>
      <c r="J625" s="14" t="s">
        <v>26</v>
      </c>
      <c r="K625" s="12" t="s">
        <v>613</v>
      </c>
      <c r="L625" s="15">
        <v>1</v>
      </c>
      <c r="M625" s="12" t="s">
        <v>150</v>
      </c>
      <c r="N625" s="12">
        <v>9</v>
      </c>
      <c r="O625" s="12">
        <v>9</v>
      </c>
      <c r="P625" s="12">
        <v>0</v>
      </c>
      <c r="Q625" s="16">
        <v>0</v>
      </c>
      <c r="R625" s="16">
        <v>0</v>
      </c>
      <c r="S625" s="16"/>
      <c r="T625" s="16" t="e">
        <v>#N/A</v>
      </c>
      <c r="U625" s="16" t="e">
        <v>#N/A</v>
      </c>
    </row>
    <row r="626" spans="1:21" x14ac:dyDescent="0.25">
      <c r="A626" s="12" t="s">
        <v>21</v>
      </c>
      <c r="B626" s="12" t="s">
        <v>609</v>
      </c>
      <c r="C626" s="12" t="s">
        <v>23</v>
      </c>
      <c r="D626" s="13">
        <v>46246.552789351852</v>
      </c>
      <c r="E626" s="12" t="s">
        <v>24</v>
      </c>
      <c r="F626" s="12" t="s">
        <v>611</v>
      </c>
      <c r="G626" s="12">
        <v>22</v>
      </c>
      <c r="H626" s="12">
        <v>22</v>
      </c>
      <c r="I626" s="14"/>
      <c r="J626" s="14" t="s">
        <v>61</v>
      </c>
      <c r="K626" s="12" t="s">
        <v>614</v>
      </c>
      <c r="L626" s="15">
        <v>1</v>
      </c>
      <c r="M626" s="12" t="s">
        <v>150</v>
      </c>
      <c r="N626" s="12">
        <v>22</v>
      </c>
      <c r="O626" s="12">
        <v>22</v>
      </c>
      <c r="P626" s="12">
        <v>0</v>
      </c>
      <c r="Q626" s="16">
        <v>22</v>
      </c>
      <c r="R626" s="16">
        <v>0</v>
      </c>
      <c r="S626" s="16"/>
      <c r="T626" s="16" t="e">
        <v>#N/A</v>
      </c>
      <c r="U626" s="16" t="e">
        <v>#N/A</v>
      </c>
    </row>
    <row r="627" spans="1:21" x14ac:dyDescent="0.25">
      <c r="A627" s="12" t="s">
        <v>21</v>
      </c>
      <c r="B627" s="12" t="s">
        <v>609</v>
      </c>
      <c r="C627" s="12" t="s">
        <v>23</v>
      </c>
      <c r="D627" s="13">
        <v>46246.552789351852</v>
      </c>
      <c r="E627" s="12" t="s">
        <v>24</v>
      </c>
      <c r="F627" s="12" t="s">
        <v>612</v>
      </c>
      <c r="G627" s="12">
        <v>120</v>
      </c>
      <c r="H627" s="12">
        <v>120</v>
      </c>
      <c r="I627" s="14"/>
      <c r="J627" s="14" t="s">
        <v>26</v>
      </c>
      <c r="K627" s="12" t="s">
        <v>615</v>
      </c>
      <c r="L627" s="15">
        <v>1</v>
      </c>
      <c r="M627" s="12" t="s">
        <v>150</v>
      </c>
      <c r="N627" s="12">
        <v>120</v>
      </c>
      <c r="O627" s="12">
        <v>120</v>
      </c>
      <c r="P627" s="12">
        <v>0</v>
      </c>
      <c r="Q627" s="16">
        <v>0</v>
      </c>
      <c r="R627" s="16">
        <v>0</v>
      </c>
      <c r="S627" s="16"/>
      <c r="T627" s="16" t="e">
        <v>#N/A</v>
      </c>
      <c r="U627" s="16" t="e">
        <v>#N/A</v>
      </c>
    </row>
    <row r="628" spans="1:21" x14ac:dyDescent="0.25">
      <c r="A628" s="12" t="s">
        <v>21</v>
      </c>
      <c r="B628" s="12" t="s">
        <v>616</v>
      </c>
      <c r="C628" s="12" t="s">
        <v>23</v>
      </c>
      <c r="D628" s="13">
        <v>46246.568078703705</v>
      </c>
      <c r="E628" s="12" t="s">
        <v>24</v>
      </c>
      <c r="F628" s="12" t="s">
        <v>354</v>
      </c>
      <c r="G628" s="12">
        <v>50</v>
      </c>
      <c r="H628" s="12">
        <v>50</v>
      </c>
      <c r="I628" s="14"/>
      <c r="J628" s="14" t="s">
        <v>26</v>
      </c>
      <c r="K628" s="12" t="s">
        <v>27</v>
      </c>
      <c r="L628" s="15"/>
      <c r="M628" s="12" t="s">
        <v>28</v>
      </c>
      <c r="N628" s="12"/>
      <c r="O628" s="12"/>
      <c r="P628" s="12"/>
      <c r="Q628" s="16">
        <v>0</v>
      </c>
      <c r="R628" s="16">
        <v>0</v>
      </c>
      <c r="S628" s="16"/>
      <c r="T628" s="16" t="e">
        <v>#N/A</v>
      </c>
      <c r="U628" s="16" t="e">
        <v>#N/A</v>
      </c>
    </row>
    <row r="629" spans="1:21" x14ac:dyDescent="0.25">
      <c r="A629" s="12" t="s">
        <v>21</v>
      </c>
      <c r="B629" s="12" t="s">
        <v>616</v>
      </c>
      <c r="C629" s="12" t="s">
        <v>23</v>
      </c>
      <c r="D629" s="13">
        <v>46246.568078703705</v>
      </c>
      <c r="E629" s="12" t="s">
        <v>24</v>
      </c>
      <c r="F629" s="12" t="s">
        <v>261</v>
      </c>
      <c r="G629" s="12">
        <v>120</v>
      </c>
      <c r="H629" s="12">
        <v>120</v>
      </c>
      <c r="I629" s="14"/>
      <c r="J629" s="14" t="s">
        <v>26</v>
      </c>
      <c r="K629" s="12" t="s">
        <v>27</v>
      </c>
      <c r="L629" s="15"/>
      <c r="M629" s="12" t="s">
        <v>28</v>
      </c>
      <c r="N629" s="12"/>
      <c r="O629" s="12"/>
      <c r="P629" s="12"/>
      <c r="Q629" s="16">
        <v>0</v>
      </c>
      <c r="R629" s="16">
        <v>0</v>
      </c>
      <c r="S629" s="16"/>
      <c r="T629" s="16" t="e">
        <v>#N/A</v>
      </c>
      <c r="U629" s="16" t="e">
        <v>#N/A</v>
      </c>
    </row>
    <row r="630" spans="1:21" x14ac:dyDescent="0.25">
      <c r="A630" s="12" t="s">
        <v>21</v>
      </c>
      <c r="B630" s="12" t="s">
        <v>616</v>
      </c>
      <c r="C630" s="12" t="s">
        <v>23</v>
      </c>
      <c r="D630" s="13">
        <v>46246.568078703705</v>
      </c>
      <c r="E630" s="12" t="s">
        <v>24</v>
      </c>
      <c r="F630" s="12" t="s">
        <v>617</v>
      </c>
      <c r="G630" s="12">
        <v>100</v>
      </c>
      <c r="H630" s="12">
        <v>70</v>
      </c>
      <c r="I630" s="14"/>
      <c r="J630" s="14" t="s">
        <v>26</v>
      </c>
      <c r="K630" s="12" t="s">
        <v>27</v>
      </c>
      <c r="L630" s="15"/>
      <c r="M630" s="12" t="s">
        <v>28</v>
      </c>
      <c r="N630" s="12"/>
      <c r="O630" s="12"/>
      <c r="P630" s="12"/>
      <c r="Q630" s="16">
        <v>0</v>
      </c>
      <c r="R630" s="16">
        <v>0</v>
      </c>
      <c r="S630" s="16"/>
      <c r="T630" s="16" t="e">
        <v>#N/A</v>
      </c>
      <c r="U630" s="16" t="e">
        <v>#N/A</v>
      </c>
    </row>
    <row r="631" spans="1:21" x14ac:dyDescent="0.25">
      <c r="A631" s="12" t="s">
        <v>21</v>
      </c>
      <c r="B631" s="12" t="s">
        <v>616</v>
      </c>
      <c r="C631" s="12" t="s">
        <v>23</v>
      </c>
      <c r="D631" s="13">
        <v>46246.568078703705</v>
      </c>
      <c r="E631" s="12" t="s">
        <v>24</v>
      </c>
      <c r="F631" s="12" t="s">
        <v>71</v>
      </c>
      <c r="G631" s="12">
        <v>1000</v>
      </c>
      <c r="H631" s="12">
        <v>800</v>
      </c>
      <c r="I631" s="14"/>
      <c r="J631" s="14" t="s">
        <v>26</v>
      </c>
      <c r="K631" s="12" t="s">
        <v>27</v>
      </c>
      <c r="L631" s="15"/>
      <c r="M631" s="12" t="s">
        <v>28</v>
      </c>
      <c r="N631" s="12"/>
      <c r="O631" s="12"/>
      <c r="P631" s="12"/>
      <c r="Q631" s="16">
        <v>0</v>
      </c>
      <c r="R631" s="16">
        <v>0</v>
      </c>
      <c r="S631" s="16"/>
      <c r="T631" s="16" t="e">
        <v>#N/A</v>
      </c>
      <c r="U631" s="16" t="e">
        <v>#N/A</v>
      </c>
    </row>
    <row r="632" spans="1:21" x14ac:dyDescent="0.25">
      <c r="A632" s="12" t="s">
        <v>21</v>
      </c>
      <c r="B632" s="12" t="s">
        <v>616</v>
      </c>
      <c r="C632" s="12" t="s">
        <v>23</v>
      </c>
      <c r="D632" s="13">
        <v>46246.568078703705</v>
      </c>
      <c r="E632" s="12" t="s">
        <v>24</v>
      </c>
      <c r="F632" s="12" t="s">
        <v>283</v>
      </c>
      <c r="G632" s="12">
        <v>100</v>
      </c>
      <c r="H632" s="12">
        <v>100</v>
      </c>
      <c r="I632" s="14"/>
      <c r="J632" s="14" t="s">
        <v>61</v>
      </c>
      <c r="K632" s="12" t="s">
        <v>618</v>
      </c>
      <c r="L632" s="15">
        <v>1</v>
      </c>
      <c r="M632" s="12" t="s">
        <v>150</v>
      </c>
      <c r="N632" s="12">
        <v>100</v>
      </c>
      <c r="O632" s="12">
        <v>100</v>
      </c>
      <c r="P632" s="12">
        <v>0</v>
      </c>
      <c r="Q632" s="16">
        <v>150</v>
      </c>
      <c r="R632" s="16">
        <v>0</v>
      </c>
      <c r="S632" s="16"/>
      <c r="T632" s="16" t="e">
        <v>#N/A</v>
      </c>
      <c r="U632" s="16" t="e">
        <v>#N/A</v>
      </c>
    </row>
    <row r="633" spans="1:21" x14ac:dyDescent="0.25">
      <c r="A633" s="12" t="s">
        <v>21</v>
      </c>
      <c r="B633" s="12" t="s">
        <v>616</v>
      </c>
      <c r="C633" s="12" t="s">
        <v>23</v>
      </c>
      <c r="D633" s="13">
        <v>46246.568078703705</v>
      </c>
      <c r="E633" s="12" t="s">
        <v>24</v>
      </c>
      <c r="F633" s="12" t="s">
        <v>401</v>
      </c>
      <c r="G633" s="12">
        <v>30</v>
      </c>
      <c r="H633" s="12">
        <v>30</v>
      </c>
      <c r="I633" s="14"/>
      <c r="J633" s="14" t="s">
        <v>61</v>
      </c>
      <c r="K633" s="12" t="s">
        <v>619</v>
      </c>
      <c r="L633" s="15">
        <v>1</v>
      </c>
      <c r="M633" s="12" t="s">
        <v>150</v>
      </c>
      <c r="N633" s="12">
        <v>30</v>
      </c>
      <c r="O633" s="12">
        <v>30</v>
      </c>
      <c r="P633" s="12">
        <v>0</v>
      </c>
      <c r="Q633" s="16">
        <v>65</v>
      </c>
      <c r="R633" s="16">
        <v>0</v>
      </c>
      <c r="S633" s="16"/>
      <c r="T633" s="16" t="e">
        <v>#N/A</v>
      </c>
      <c r="U633" s="16" t="e">
        <v>#N/A</v>
      </c>
    </row>
    <row r="634" spans="1:21" x14ac:dyDescent="0.25">
      <c r="A634" s="12" t="s">
        <v>21</v>
      </c>
      <c r="B634" s="12" t="s">
        <v>616</v>
      </c>
      <c r="C634" s="12" t="s">
        <v>23</v>
      </c>
      <c r="D634" s="13">
        <v>46246.568078703705</v>
      </c>
      <c r="E634" s="12" t="s">
        <v>24</v>
      </c>
      <c r="F634" s="12" t="s">
        <v>454</v>
      </c>
      <c r="G634" s="12">
        <v>100</v>
      </c>
      <c r="H634" s="12">
        <v>100</v>
      </c>
      <c r="I634" s="14"/>
      <c r="J634" s="14" t="s">
        <v>61</v>
      </c>
      <c r="K634" s="12" t="s">
        <v>27</v>
      </c>
      <c r="L634" s="15"/>
      <c r="M634" s="12" t="s">
        <v>28</v>
      </c>
      <c r="N634" s="12"/>
      <c r="O634" s="12"/>
      <c r="P634" s="12"/>
      <c r="Q634" s="16">
        <v>100</v>
      </c>
      <c r="R634" s="16">
        <v>0</v>
      </c>
      <c r="S634" s="16"/>
      <c r="T634" s="16" t="e">
        <v>#N/A</v>
      </c>
      <c r="U634" s="16" t="e">
        <v>#N/A</v>
      </c>
    </row>
    <row r="635" spans="1:21" x14ac:dyDescent="0.25">
      <c r="A635" s="12" t="s">
        <v>21</v>
      </c>
      <c r="B635" s="12" t="s">
        <v>616</v>
      </c>
      <c r="C635" s="12" t="s">
        <v>23</v>
      </c>
      <c r="D635" s="13">
        <v>46246.568078703705</v>
      </c>
      <c r="E635" s="12" t="s">
        <v>24</v>
      </c>
      <c r="F635" s="12" t="s">
        <v>134</v>
      </c>
      <c r="G635" s="12">
        <v>300</v>
      </c>
      <c r="H635" s="12">
        <v>300</v>
      </c>
      <c r="I635" s="14"/>
      <c r="J635" s="14" t="s">
        <v>26</v>
      </c>
      <c r="K635" s="12" t="s">
        <v>27</v>
      </c>
      <c r="L635" s="15"/>
      <c r="M635" s="12" t="s">
        <v>28</v>
      </c>
      <c r="N635" s="12"/>
      <c r="O635" s="12"/>
      <c r="P635" s="12"/>
      <c r="Q635" s="16">
        <v>0</v>
      </c>
      <c r="R635" s="16">
        <v>6</v>
      </c>
      <c r="S635" s="16"/>
      <c r="T635" s="16" t="e">
        <v>#N/A</v>
      </c>
      <c r="U635" s="16" t="e">
        <v>#N/A</v>
      </c>
    </row>
    <row r="636" spans="1:21" x14ac:dyDescent="0.25">
      <c r="A636" s="12" t="s">
        <v>21</v>
      </c>
      <c r="B636" s="12" t="s">
        <v>620</v>
      </c>
      <c r="C636" s="12" t="s">
        <v>23</v>
      </c>
      <c r="D636" s="13">
        <v>46246.588969907411</v>
      </c>
      <c r="E636" s="12" t="s">
        <v>195</v>
      </c>
      <c r="F636" s="12" t="s">
        <v>621</v>
      </c>
      <c r="G636" s="12">
        <v>3</v>
      </c>
      <c r="H636" s="12">
        <v>3</v>
      </c>
      <c r="I636" s="14"/>
      <c r="J636" s="14" t="s">
        <v>26</v>
      </c>
      <c r="K636" s="12" t="s">
        <v>27</v>
      </c>
      <c r="L636" s="15"/>
      <c r="M636" s="12" t="s">
        <v>28</v>
      </c>
      <c r="N636" s="12"/>
      <c r="O636" s="12"/>
      <c r="P636" s="12"/>
      <c r="Q636" s="16">
        <v>0</v>
      </c>
      <c r="R636" s="16">
        <v>444</v>
      </c>
      <c r="S636" s="16"/>
      <c r="T636" s="16" t="e">
        <v>#N/A</v>
      </c>
      <c r="U636" s="16" t="e">
        <v>#N/A</v>
      </c>
    </row>
    <row r="637" spans="1:21" x14ac:dyDescent="0.25">
      <c r="A637" s="12" t="s">
        <v>21</v>
      </c>
      <c r="B637" s="12" t="s">
        <v>622</v>
      </c>
      <c r="C637" s="12" t="s">
        <v>23</v>
      </c>
      <c r="D637" s="13">
        <v>46247.387997685182</v>
      </c>
      <c r="E637" s="12" t="s">
        <v>331</v>
      </c>
      <c r="F637" s="12" t="s">
        <v>623</v>
      </c>
      <c r="G637" s="12">
        <v>30</v>
      </c>
      <c r="H637" s="12">
        <v>30</v>
      </c>
      <c r="I637" s="14"/>
      <c r="J637" s="14" t="s">
        <v>61</v>
      </c>
      <c r="K637" s="12" t="s">
        <v>624</v>
      </c>
      <c r="L637" s="15">
        <v>1</v>
      </c>
      <c r="M637" s="12" t="s">
        <v>150</v>
      </c>
      <c r="N637" s="12">
        <v>30</v>
      </c>
      <c r="O637" s="12">
        <v>30</v>
      </c>
      <c r="P637" s="12">
        <v>0</v>
      </c>
      <c r="Q637" s="16">
        <v>30</v>
      </c>
      <c r="R637" s="16">
        <v>0</v>
      </c>
      <c r="S637" s="16"/>
      <c r="T637" s="16" t="e">
        <v>#N/A</v>
      </c>
      <c r="U637" s="16" t="e">
        <v>#N/A</v>
      </c>
    </row>
    <row r="638" spans="1:21" x14ac:dyDescent="0.25">
      <c r="A638" s="12" t="s">
        <v>21</v>
      </c>
      <c r="B638" s="12" t="s">
        <v>625</v>
      </c>
      <c r="C638" s="12" t="s">
        <v>23</v>
      </c>
      <c r="D638" s="13">
        <v>46247.480740740742</v>
      </c>
      <c r="E638" s="12" t="s">
        <v>465</v>
      </c>
      <c r="F638" s="12" t="s">
        <v>70</v>
      </c>
      <c r="G638" s="12">
        <v>30</v>
      </c>
      <c r="H638" s="12">
        <v>30</v>
      </c>
      <c r="I638" s="14"/>
      <c r="J638" s="14" t="s">
        <v>26</v>
      </c>
      <c r="K638" s="12" t="s">
        <v>27</v>
      </c>
      <c r="L638" s="15"/>
      <c r="M638" s="12" t="s">
        <v>28</v>
      </c>
      <c r="N638" s="12"/>
      <c r="O638" s="12"/>
      <c r="P638" s="12"/>
      <c r="Q638" s="16">
        <v>0</v>
      </c>
      <c r="R638" s="16">
        <v>0</v>
      </c>
      <c r="S638" s="16"/>
      <c r="T638" s="16" t="e">
        <v>#N/A</v>
      </c>
      <c r="U638" s="16" t="e">
        <v>#N/A</v>
      </c>
    </row>
    <row r="639" spans="1:21" x14ac:dyDescent="0.25">
      <c r="A639" s="12" t="s">
        <v>21</v>
      </c>
      <c r="B639" s="12" t="s">
        <v>625</v>
      </c>
      <c r="C639" s="12" t="s">
        <v>23</v>
      </c>
      <c r="D639" s="13">
        <v>46247.480740740742</v>
      </c>
      <c r="E639" s="12" t="s">
        <v>465</v>
      </c>
      <c r="F639" s="12" t="s">
        <v>71</v>
      </c>
      <c r="G639" s="12">
        <v>100</v>
      </c>
      <c r="H639" s="12">
        <v>80</v>
      </c>
      <c r="I639" s="14"/>
      <c r="J639" s="14" t="s">
        <v>26</v>
      </c>
      <c r="K639" s="12" t="s">
        <v>27</v>
      </c>
      <c r="L639" s="15"/>
      <c r="M639" s="12" t="s">
        <v>28</v>
      </c>
      <c r="N639" s="12"/>
      <c r="O639" s="12"/>
      <c r="P639" s="12"/>
      <c r="Q639" s="16">
        <v>0</v>
      </c>
      <c r="R639" s="16">
        <v>0</v>
      </c>
      <c r="S639" s="16"/>
      <c r="T639" s="16" t="e">
        <v>#N/A</v>
      </c>
      <c r="U639" s="16" t="e">
        <v>#N/A</v>
      </c>
    </row>
    <row r="640" spans="1:21" x14ac:dyDescent="0.25">
      <c r="A640" s="12" t="s">
        <v>21</v>
      </c>
      <c r="B640" s="12" t="s">
        <v>626</v>
      </c>
      <c r="C640" s="12" t="s">
        <v>23</v>
      </c>
      <c r="D640" s="13">
        <v>46247.53869212963</v>
      </c>
      <c r="E640" s="12" t="s">
        <v>627</v>
      </c>
      <c r="F640" s="12" t="s">
        <v>283</v>
      </c>
      <c r="G640" s="12">
        <v>30</v>
      </c>
      <c r="H640" s="12">
        <v>30</v>
      </c>
      <c r="I640" s="14"/>
      <c r="J640" s="14" t="s">
        <v>26</v>
      </c>
      <c r="K640" s="12" t="s">
        <v>27</v>
      </c>
      <c r="L640" s="15"/>
      <c r="M640" s="12" t="s">
        <v>28</v>
      </c>
      <c r="N640" s="12"/>
      <c r="O640" s="12"/>
      <c r="P640" s="12"/>
      <c r="Q640" s="16">
        <v>0</v>
      </c>
      <c r="R640" s="16">
        <v>0</v>
      </c>
      <c r="S640" s="16"/>
      <c r="T640" s="16" t="e">
        <v>#N/A</v>
      </c>
      <c r="U640" s="16" t="e">
        <v>#N/A</v>
      </c>
    </row>
    <row r="641" spans="1:21" x14ac:dyDescent="0.25">
      <c r="A641" s="12" t="s">
        <v>21</v>
      </c>
      <c r="B641" s="12" t="s">
        <v>626</v>
      </c>
      <c r="C641" s="12" t="s">
        <v>23</v>
      </c>
      <c r="D641" s="13">
        <v>46247.53869212963</v>
      </c>
      <c r="E641" s="12" t="s">
        <v>627</v>
      </c>
      <c r="F641" s="12" t="s">
        <v>525</v>
      </c>
      <c r="G641" s="12">
        <v>20</v>
      </c>
      <c r="H641" s="12">
        <v>20</v>
      </c>
      <c r="I641" s="14"/>
      <c r="J641" s="14" t="s">
        <v>26</v>
      </c>
      <c r="K641" s="12" t="s">
        <v>27</v>
      </c>
      <c r="L641" s="15"/>
      <c r="M641" s="12" t="s">
        <v>28</v>
      </c>
      <c r="N641" s="12"/>
      <c r="O641" s="12"/>
      <c r="P641" s="12"/>
      <c r="Q641" s="16">
        <v>0</v>
      </c>
      <c r="R641" s="16">
        <v>0</v>
      </c>
      <c r="S641" s="16"/>
      <c r="T641" s="16" t="e">
        <v>#N/A</v>
      </c>
      <c r="U641" s="16" t="e">
        <v>#N/A</v>
      </c>
    </row>
    <row r="642" spans="1:21" x14ac:dyDescent="0.25">
      <c r="A642" s="12" t="s">
        <v>21</v>
      </c>
      <c r="B642" s="12" t="s">
        <v>628</v>
      </c>
      <c r="C642" s="12" t="s">
        <v>23</v>
      </c>
      <c r="D642" s="13">
        <v>46247.560312499998</v>
      </c>
      <c r="E642" s="12" t="s">
        <v>258</v>
      </c>
      <c r="F642" s="12" t="s">
        <v>130</v>
      </c>
      <c r="G642" s="12">
        <v>600</v>
      </c>
      <c r="H642" s="12">
        <v>600</v>
      </c>
      <c r="I642" s="14"/>
      <c r="J642" s="14" t="s">
        <v>26</v>
      </c>
      <c r="K642" s="12" t="s">
        <v>27</v>
      </c>
      <c r="L642" s="15"/>
      <c r="M642" s="12" t="s">
        <v>28</v>
      </c>
      <c r="N642" s="12"/>
      <c r="O642" s="12"/>
      <c r="P642" s="12"/>
      <c r="Q642" s="16">
        <v>0</v>
      </c>
      <c r="R642" s="16">
        <v>6</v>
      </c>
      <c r="S642" s="16"/>
      <c r="T642" s="16" t="e">
        <v>#N/A</v>
      </c>
      <c r="U642" s="16" t="e">
        <v>#N/A</v>
      </c>
    </row>
    <row r="643" spans="1:21" x14ac:dyDescent="0.25">
      <c r="A643" s="12" t="s">
        <v>21</v>
      </c>
      <c r="B643" s="12" t="s">
        <v>628</v>
      </c>
      <c r="C643" s="12" t="s">
        <v>23</v>
      </c>
      <c r="D643" s="13">
        <v>46247.560312499998</v>
      </c>
      <c r="E643" s="12" t="s">
        <v>258</v>
      </c>
      <c r="F643" s="12" t="s">
        <v>134</v>
      </c>
      <c r="G643" s="12">
        <v>150</v>
      </c>
      <c r="H643" s="12">
        <v>150</v>
      </c>
      <c r="I643" s="14"/>
      <c r="J643" s="14" t="s">
        <v>26</v>
      </c>
      <c r="K643" s="12" t="s">
        <v>27</v>
      </c>
      <c r="L643" s="15"/>
      <c r="M643" s="12" t="s">
        <v>28</v>
      </c>
      <c r="N643" s="12"/>
      <c r="O643" s="12"/>
      <c r="P643" s="12"/>
      <c r="Q643" s="16">
        <v>0</v>
      </c>
      <c r="R643" s="16">
        <v>6</v>
      </c>
      <c r="S643" s="16"/>
      <c r="T643" s="16" t="e">
        <v>#N/A</v>
      </c>
      <c r="U643" s="16" t="e">
        <v>#N/A</v>
      </c>
    </row>
    <row r="644" spans="1:21" x14ac:dyDescent="0.25">
      <c r="A644" s="12" t="s">
        <v>21</v>
      </c>
      <c r="B644" s="12" t="s">
        <v>629</v>
      </c>
      <c r="C644" s="12" t="s">
        <v>23</v>
      </c>
      <c r="D644" s="13">
        <v>46247.620497685188</v>
      </c>
      <c r="E644" s="12" t="s">
        <v>484</v>
      </c>
      <c r="F644" s="12" t="s">
        <v>70</v>
      </c>
      <c r="G644" s="12">
        <v>40</v>
      </c>
      <c r="H644" s="12">
        <v>40</v>
      </c>
      <c r="I644" s="14"/>
      <c r="J644" s="14" t="s">
        <v>61</v>
      </c>
      <c r="K644" s="12" t="s">
        <v>630</v>
      </c>
      <c r="L644" s="15">
        <v>1</v>
      </c>
      <c r="M644" s="12" t="s">
        <v>150</v>
      </c>
      <c r="N644" s="12">
        <v>40</v>
      </c>
      <c r="O644" s="12">
        <v>40</v>
      </c>
      <c r="P644" s="12">
        <v>0</v>
      </c>
      <c r="Q644" s="16">
        <v>40</v>
      </c>
      <c r="R644" s="16">
        <v>0</v>
      </c>
      <c r="S644" s="16"/>
      <c r="T644" s="16" t="e">
        <v>#N/A</v>
      </c>
      <c r="U644" s="16" t="e">
        <v>#N/A</v>
      </c>
    </row>
    <row r="645" spans="1:21" x14ac:dyDescent="0.25">
      <c r="A645" s="12" t="s">
        <v>21</v>
      </c>
      <c r="B645" s="12" t="s">
        <v>629</v>
      </c>
      <c r="C645" s="12" t="s">
        <v>23</v>
      </c>
      <c r="D645" s="13">
        <v>46247.620497685188</v>
      </c>
      <c r="E645" s="12" t="s">
        <v>484</v>
      </c>
      <c r="F645" s="12" t="s">
        <v>71</v>
      </c>
      <c r="G645" s="12">
        <v>40</v>
      </c>
      <c r="H645" s="12">
        <v>10</v>
      </c>
      <c r="I645" s="14"/>
      <c r="J645" s="14" t="s">
        <v>26</v>
      </c>
      <c r="K645" s="12" t="s">
        <v>27</v>
      </c>
      <c r="L645" s="15"/>
      <c r="M645" s="12" t="s">
        <v>28</v>
      </c>
      <c r="N645" s="12"/>
      <c r="O645" s="12"/>
      <c r="P645" s="12"/>
      <c r="Q645" s="16">
        <v>0</v>
      </c>
      <c r="R645" s="16">
        <v>0</v>
      </c>
      <c r="S645" s="16"/>
      <c r="T645" s="16" t="e">
        <v>#N/A</v>
      </c>
      <c r="U645" s="16" t="e">
        <v>#N/A</v>
      </c>
    </row>
    <row r="646" spans="1:21" x14ac:dyDescent="0.25">
      <c r="A646" s="12" t="s">
        <v>21</v>
      </c>
      <c r="B646" s="12" t="s">
        <v>629</v>
      </c>
      <c r="C646" s="12" t="s">
        <v>23</v>
      </c>
      <c r="D646" s="13">
        <v>46247.620497685188</v>
      </c>
      <c r="E646" s="12" t="s">
        <v>484</v>
      </c>
      <c r="F646" s="12" t="s">
        <v>283</v>
      </c>
      <c r="G646" s="12">
        <v>20</v>
      </c>
      <c r="H646" s="12">
        <v>4</v>
      </c>
      <c r="I646" s="14"/>
      <c r="J646" s="14" t="s">
        <v>61</v>
      </c>
      <c r="K646" s="12" t="s">
        <v>27</v>
      </c>
      <c r="L646" s="15"/>
      <c r="M646" s="12" t="s">
        <v>28</v>
      </c>
      <c r="N646" s="12"/>
      <c r="O646" s="12"/>
      <c r="P646" s="12"/>
      <c r="Q646" s="16">
        <v>30</v>
      </c>
      <c r="R646" s="16">
        <v>0</v>
      </c>
      <c r="S646" s="16"/>
      <c r="T646" s="16" t="e">
        <v>#N/A</v>
      </c>
      <c r="U646" s="16" t="e">
        <v>#N/A</v>
      </c>
    </row>
    <row r="647" spans="1:21" x14ac:dyDescent="0.25">
      <c r="A647" s="12" t="s">
        <v>21</v>
      </c>
      <c r="B647" s="12" t="s">
        <v>629</v>
      </c>
      <c r="C647" s="12" t="s">
        <v>23</v>
      </c>
      <c r="D647" s="13">
        <v>46247.620497685188</v>
      </c>
      <c r="E647" s="12" t="s">
        <v>484</v>
      </c>
      <c r="F647" s="12" t="s">
        <v>401</v>
      </c>
      <c r="G647" s="12">
        <v>10</v>
      </c>
      <c r="H647" s="12">
        <v>10</v>
      </c>
      <c r="I647" s="14"/>
      <c r="J647" s="14" t="s">
        <v>26</v>
      </c>
      <c r="K647" s="12" t="s">
        <v>27</v>
      </c>
      <c r="L647" s="15"/>
      <c r="M647" s="12" t="s">
        <v>28</v>
      </c>
      <c r="N647" s="12"/>
      <c r="O647" s="12"/>
      <c r="P647" s="12"/>
      <c r="Q647" s="16">
        <v>0</v>
      </c>
      <c r="R647" s="16">
        <v>0</v>
      </c>
      <c r="S647" s="16"/>
      <c r="T647" s="16" t="e">
        <v>#N/A</v>
      </c>
      <c r="U647" s="16" t="e">
        <v>#N/A</v>
      </c>
    </row>
    <row r="648" spans="1:21" x14ac:dyDescent="0.25">
      <c r="A648" s="12" t="s">
        <v>21</v>
      </c>
      <c r="B648" s="12" t="s">
        <v>631</v>
      </c>
      <c r="C648" s="12" t="s">
        <v>23</v>
      </c>
      <c r="D648" s="13">
        <v>46248.279374999998</v>
      </c>
      <c r="E648" s="12" t="s">
        <v>266</v>
      </c>
      <c r="F648" s="12" t="s">
        <v>70</v>
      </c>
      <c r="G648" s="12">
        <v>15</v>
      </c>
      <c r="H648" s="12">
        <v>15</v>
      </c>
      <c r="I648" s="14"/>
      <c r="J648" s="14" t="s">
        <v>61</v>
      </c>
      <c r="K648" s="12" t="s">
        <v>27</v>
      </c>
      <c r="L648" s="15"/>
      <c r="M648" s="12" t="s">
        <v>28</v>
      </c>
      <c r="N648" s="12"/>
      <c r="O648" s="12"/>
      <c r="P648" s="12"/>
      <c r="Q648" s="16">
        <v>15</v>
      </c>
      <c r="R648" s="16">
        <v>0</v>
      </c>
      <c r="S648" s="16"/>
      <c r="T648" s="16" t="e">
        <v>#N/A</v>
      </c>
      <c r="U648" s="16" t="e">
        <v>#N/A</v>
      </c>
    </row>
    <row r="649" spans="1:21" x14ac:dyDescent="0.25">
      <c r="A649" s="12" t="s">
        <v>21</v>
      </c>
      <c r="B649" s="12" t="s">
        <v>631</v>
      </c>
      <c r="C649" s="12" t="s">
        <v>23</v>
      </c>
      <c r="D649" s="13">
        <v>46248.279374999998</v>
      </c>
      <c r="E649" s="12" t="s">
        <v>266</v>
      </c>
      <c r="F649" s="12" t="s">
        <v>525</v>
      </c>
      <c r="G649" s="12">
        <v>48</v>
      </c>
      <c r="H649" s="12">
        <v>38</v>
      </c>
      <c r="I649" s="14"/>
      <c r="J649" s="14" t="s">
        <v>61</v>
      </c>
      <c r="K649" s="12" t="s">
        <v>27</v>
      </c>
      <c r="L649" s="15"/>
      <c r="M649" s="12" t="s">
        <v>28</v>
      </c>
      <c r="N649" s="12"/>
      <c r="O649" s="12"/>
      <c r="P649" s="12"/>
      <c r="Q649" s="16">
        <v>40</v>
      </c>
      <c r="R649" s="16">
        <v>0</v>
      </c>
      <c r="S649" s="16"/>
      <c r="T649" s="16" t="e">
        <v>#N/A</v>
      </c>
      <c r="U649" s="16" t="e">
        <v>#N/A</v>
      </c>
    </row>
    <row r="650" spans="1:21" x14ac:dyDescent="0.25">
      <c r="A650" s="12" t="s">
        <v>21</v>
      </c>
      <c r="B650" s="12" t="s">
        <v>632</v>
      </c>
      <c r="C650" s="12" t="s">
        <v>23</v>
      </c>
      <c r="D650" s="13">
        <v>46248.315150462964</v>
      </c>
      <c r="E650" s="12" t="s">
        <v>258</v>
      </c>
      <c r="F650" s="12" t="s">
        <v>600</v>
      </c>
      <c r="G650" s="12">
        <v>15</v>
      </c>
      <c r="H650" s="12">
        <v>15</v>
      </c>
      <c r="I650" s="14"/>
      <c r="J650" s="14" t="s">
        <v>61</v>
      </c>
      <c r="K650" s="12" t="s">
        <v>636</v>
      </c>
      <c r="L650" s="15">
        <v>1</v>
      </c>
      <c r="M650" s="12" t="s">
        <v>150</v>
      </c>
      <c r="N650" s="12">
        <v>15</v>
      </c>
      <c r="O650" s="12">
        <v>15</v>
      </c>
      <c r="P650" s="12">
        <v>0</v>
      </c>
      <c r="Q650" s="16">
        <v>15</v>
      </c>
      <c r="R650" s="16">
        <v>1</v>
      </c>
      <c r="S650" s="16"/>
      <c r="T650" s="16" t="e">
        <v>#N/A</v>
      </c>
      <c r="U650" s="16" t="e">
        <v>#N/A</v>
      </c>
    </row>
    <row r="651" spans="1:21" x14ac:dyDescent="0.25">
      <c r="A651" s="12" t="s">
        <v>21</v>
      </c>
      <c r="B651" s="12" t="s">
        <v>632</v>
      </c>
      <c r="C651" s="12" t="s">
        <v>23</v>
      </c>
      <c r="D651" s="13">
        <v>46248.315150462964</v>
      </c>
      <c r="E651" s="12" t="s">
        <v>258</v>
      </c>
      <c r="F651" s="12" t="s">
        <v>633</v>
      </c>
      <c r="G651" s="12">
        <v>30</v>
      </c>
      <c r="H651" s="12">
        <v>30</v>
      </c>
      <c r="I651" s="14"/>
      <c r="J651" s="14" t="s">
        <v>61</v>
      </c>
      <c r="K651" s="12" t="s">
        <v>637</v>
      </c>
      <c r="L651" s="15">
        <v>1</v>
      </c>
      <c r="M651" s="12" t="s">
        <v>150</v>
      </c>
      <c r="N651" s="12">
        <v>30</v>
      </c>
      <c r="O651" s="12">
        <v>30</v>
      </c>
      <c r="P651" s="12">
        <v>0</v>
      </c>
      <c r="Q651" s="16">
        <v>30</v>
      </c>
      <c r="R651" s="16">
        <v>0</v>
      </c>
      <c r="S651" s="16"/>
      <c r="T651" s="16" t="e">
        <v>#N/A</v>
      </c>
      <c r="U651" s="16" t="e">
        <v>#N/A</v>
      </c>
    </row>
    <row r="652" spans="1:21" x14ac:dyDescent="0.25">
      <c r="A652" s="12" t="s">
        <v>21</v>
      </c>
      <c r="B652" s="12" t="s">
        <v>632</v>
      </c>
      <c r="C652" s="12" t="s">
        <v>23</v>
      </c>
      <c r="D652" s="13">
        <v>46248.315150462964</v>
      </c>
      <c r="E652" s="12" t="s">
        <v>258</v>
      </c>
      <c r="F652" s="12" t="s">
        <v>634</v>
      </c>
      <c r="G652" s="12">
        <v>30</v>
      </c>
      <c r="H652" s="12">
        <v>30</v>
      </c>
      <c r="I652" s="14"/>
      <c r="J652" s="14" t="s">
        <v>61</v>
      </c>
      <c r="K652" s="12" t="s">
        <v>638</v>
      </c>
      <c r="L652" s="15">
        <v>1</v>
      </c>
      <c r="M652" s="12" t="s">
        <v>150</v>
      </c>
      <c r="N652" s="12">
        <v>30</v>
      </c>
      <c r="O652" s="12">
        <v>30</v>
      </c>
      <c r="P652" s="12">
        <v>0</v>
      </c>
      <c r="Q652" s="16">
        <v>30</v>
      </c>
      <c r="R652" s="16">
        <v>0</v>
      </c>
      <c r="S652" s="16"/>
      <c r="T652" s="16" t="e">
        <v>#N/A</v>
      </c>
      <c r="U652" s="16" t="e">
        <v>#N/A</v>
      </c>
    </row>
    <row r="653" spans="1:21" x14ac:dyDescent="0.25">
      <c r="A653" s="12" t="s">
        <v>21</v>
      </c>
      <c r="B653" s="12" t="s">
        <v>632</v>
      </c>
      <c r="C653" s="12" t="s">
        <v>23</v>
      </c>
      <c r="D653" s="13">
        <v>46248.315150462964</v>
      </c>
      <c r="E653" s="12" t="s">
        <v>258</v>
      </c>
      <c r="F653" s="12" t="s">
        <v>635</v>
      </c>
      <c r="G653" s="12">
        <v>50</v>
      </c>
      <c r="H653" s="12">
        <v>50</v>
      </c>
      <c r="I653" s="14"/>
      <c r="J653" s="14" t="s">
        <v>61</v>
      </c>
      <c r="K653" s="12" t="s">
        <v>639</v>
      </c>
      <c r="L653" s="15">
        <v>1</v>
      </c>
      <c r="M653" s="12" t="s">
        <v>150</v>
      </c>
      <c r="N653" s="12">
        <v>50</v>
      </c>
      <c r="O653" s="12">
        <v>50</v>
      </c>
      <c r="P653" s="12">
        <v>0</v>
      </c>
      <c r="Q653" s="16">
        <v>50</v>
      </c>
      <c r="R653" s="16">
        <v>25</v>
      </c>
      <c r="S653" s="16"/>
      <c r="T653" s="16" t="e">
        <v>#N/A</v>
      </c>
      <c r="U653" s="16" t="e">
        <v>#N/A</v>
      </c>
    </row>
    <row r="654" spans="1:21" x14ac:dyDescent="0.25">
      <c r="A654" s="12" t="s">
        <v>21</v>
      </c>
      <c r="B654" s="12" t="s">
        <v>640</v>
      </c>
      <c r="C654" s="12" t="s">
        <v>23</v>
      </c>
      <c r="D654" s="13">
        <v>46248.337627314817</v>
      </c>
      <c r="E654" s="12" t="s">
        <v>502</v>
      </c>
      <c r="F654" s="12" t="s">
        <v>642</v>
      </c>
      <c r="G654" s="12">
        <v>5</v>
      </c>
      <c r="H654" s="12">
        <v>5</v>
      </c>
      <c r="I654" s="14"/>
      <c r="J654" s="14" t="s">
        <v>61</v>
      </c>
      <c r="K654" s="12" t="s">
        <v>643</v>
      </c>
      <c r="L654" s="15">
        <v>1</v>
      </c>
      <c r="M654" s="12" t="s">
        <v>150</v>
      </c>
      <c r="N654" s="12">
        <v>5</v>
      </c>
      <c r="O654" s="12">
        <v>5</v>
      </c>
      <c r="P654" s="12">
        <v>0</v>
      </c>
      <c r="Q654" s="16">
        <v>15</v>
      </c>
      <c r="R654" s="16">
        <v>0</v>
      </c>
      <c r="S654" s="16"/>
      <c r="T654" s="16" t="e">
        <v>#N/A</v>
      </c>
      <c r="U654" s="16" t="e">
        <v>#N/A</v>
      </c>
    </row>
    <row r="655" spans="1:21" x14ac:dyDescent="0.25">
      <c r="A655" s="12" t="s">
        <v>21</v>
      </c>
      <c r="B655" s="12" t="s">
        <v>641</v>
      </c>
      <c r="C655" s="12" t="s">
        <v>23</v>
      </c>
      <c r="D655" s="13">
        <v>46248.354004629633</v>
      </c>
      <c r="E655" s="12" t="s">
        <v>258</v>
      </c>
      <c r="F655" s="12" t="s">
        <v>454</v>
      </c>
      <c r="G655" s="12">
        <v>10</v>
      </c>
      <c r="H655" s="12">
        <v>10</v>
      </c>
      <c r="I655" s="14"/>
      <c r="J655" s="14" t="s">
        <v>61</v>
      </c>
      <c r="K655" s="12" t="s">
        <v>644</v>
      </c>
      <c r="L655" s="15">
        <v>1</v>
      </c>
      <c r="M655" s="12" t="s">
        <v>150</v>
      </c>
      <c r="N655" s="12">
        <v>10</v>
      </c>
      <c r="O655" s="12">
        <v>10</v>
      </c>
      <c r="P655" s="12">
        <v>0</v>
      </c>
      <c r="Q655" s="16">
        <v>10</v>
      </c>
      <c r="R655" s="16">
        <v>0</v>
      </c>
      <c r="S655" s="16"/>
      <c r="T655" s="16" t="e">
        <v>#N/A</v>
      </c>
      <c r="U655" s="16" t="e">
        <v>#N/A</v>
      </c>
    </row>
    <row r="656" spans="1:21" x14ac:dyDescent="0.25">
      <c r="A656" s="12" t="s">
        <v>21</v>
      </c>
      <c r="B656" s="12" t="s">
        <v>645</v>
      </c>
      <c r="C656" s="12" t="s">
        <v>23</v>
      </c>
      <c r="D656" s="13">
        <v>46248.388148148151</v>
      </c>
      <c r="E656" s="12" t="s">
        <v>646</v>
      </c>
      <c r="F656" s="12" t="s">
        <v>283</v>
      </c>
      <c r="G656" s="12">
        <v>5</v>
      </c>
      <c r="H656" s="12">
        <v>5</v>
      </c>
      <c r="I656" s="14"/>
      <c r="J656" s="14" t="s">
        <v>61</v>
      </c>
      <c r="K656" s="12" t="s">
        <v>647</v>
      </c>
      <c r="L656" s="15">
        <v>1</v>
      </c>
      <c r="M656" s="12" t="s">
        <v>150</v>
      </c>
      <c r="N656" s="12">
        <v>5</v>
      </c>
      <c r="O656" s="12">
        <v>5</v>
      </c>
      <c r="P656" s="12">
        <v>0</v>
      </c>
      <c r="Q656" s="16">
        <v>5</v>
      </c>
      <c r="R656" s="16">
        <v>0</v>
      </c>
      <c r="S656" s="16"/>
      <c r="T656" s="16" t="e">
        <v>#N/A</v>
      </c>
      <c r="U656" s="16" t="e">
        <v>#N/A</v>
      </c>
    </row>
    <row r="657" spans="1:21" x14ac:dyDescent="0.25">
      <c r="A657" s="12" t="s">
        <v>21</v>
      </c>
      <c r="B657" s="12" t="s">
        <v>645</v>
      </c>
      <c r="C657" s="12" t="s">
        <v>23</v>
      </c>
      <c r="D657" s="13">
        <v>46248.388148148151</v>
      </c>
      <c r="E657" s="12" t="s">
        <v>646</v>
      </c>
      <c r="F657" s="12" t="s">
        <v>525</v>
      </c>
      <c r="G657" s="12">
        <v>12</v>
      </c>
      <c r="H657" s="12">
        <v>12</v>
      </c>
      <c r="I657" s="14"/>
      <c r="J657" s="14" t="s">
        <v>61</v>
      </c>
      <c r="K657" s="12" t="s">
        <v>648</v>
      </c>
      <c r="L657" s="15">
        <v>1</v>
      </c>
      <c r="M657" s="12" t="s">
        <v>150</v>
      </c>
      <c r="N657" s="12">
        <v>12</v>
      </c>
      <c r="O657" s="12">
        <v>12</v>
      </c>
      <c r="P657" s="12">
        <v>0</v>
      </c>
      <c r="Q657" s="16">
        <v>12</v>
      </c>
      <c r="R657" s="16">
        <v>0</v>
      </c>
      <c r="S657" s="16"/>
      <c r="T657" s="16" t="e">
        <v>#N/A</v>
      </c>
      <c r="U657" s="16" t="e">
        <v>#N/A</v>
      </c>
    </row>
    <row r="658" spans="1:21" x14ac:dyDescent="0.25">
      <c r="A658" s="12" t="s">
        <v>21</v>
      </c>
      <c r="B658" s="12" t="s">
        <v>649</v>
      </c>
      <c r="C658" s="12" t="s">
        <v>23</v>
      </c>
      <c r="D658" s="13">
        <v>46248.412974537037</v>
      </c>
      <c r="E658" s="12" t="s">
        <v>650</v>
      </c>
      <c r="F658" s="12" t="s">
        <v>354</v>
      </c>
      <c r="G658" s="12">
        <v>4</v>
      </c>
      <c r="H658" s="12">
        <v>4</v>
      </c>
      <c r="I658" s="14"/>
      <c r="J658" s="14" t="s">
        <v>61</v>
      </c>
      <c r="K658" s="12" t="s">
        <v>651</v>
      </c>
      <c r="L658" s="15">
        <v>1</v>
      </c>
      <c r="M658" s="12" t="s">
        <v>150</v>
      </c>
      <c r="N658" s="12">
        <v>4</v>
      </c>
      <c r="O658" s="12">
        <v>4</v>
      </c>
      <c r="P658" s="12">
        <v>0</v>
      </c>
      <c r="Q658" s="16">
        <v>4</v>
      </c>
      <c r="R658" s="16">
        <v>0</v>
      </c>
      <c r="S658" s="16"/>
      <c r="T658" s="16" t="e">
        <v>#N/A</v>
      </c>
      <c r="U658" s="16" t="e">
        <v>#N/A</v>
      </c>
    </row>
    <row r="659" spans="1:21" x14ac:dyDescent="0.25">
      <c r="A659" s="12" t="s">
        <v>21</v>
      </c>
      <c r="B659" s="12" t="s">
        <v>649</v>
      </c>
      <c r="C659" s="12" t="s">
        <v>23</v>
      </c>
      <c r="D659" s="13">
        <v>46248.412974537037</v>
      </c>
      <c r="E659" s="12" t="s">
        <v>650</v>
      </c>
      <c r="F659" s="12" t="s">
        <v>70</v>
      </c>
      <c r="G659" s="12">
        <v>10</v>
      </c>
      <c r="H659" s="12">
        <v>10</v>
      </c>
      <c r="I659" s="14"/>
      <c r="J659" s="14" t="s">
        <v>61</v>
      </c>
      <c r="K659" s="12" t="s">
        <v>652</v>
      </c>
      <c r="L659" s="15">
        <v>1</v>
      </c>
      <c r="M659" s="12" t="s">
        <v>150</v>
      </c>
      <c r="N659" s="12">
        <v>10</v>
      </c>
      <c r="O659" s="12">
        <v>10</v>
      </c>
      <c r="P659" s="12">
        <v>0</v>
      </c>
      <c r="Q659" s="16">
        <v>10</v>
      </c>
      <c r="R659" s="16">
        <v>0</v>
      </c>
      <c r="S659" s="16"/>
      <c r="T659" s="16" t="e">
        <v>#N/A</v>
      </c>
      <c r="U659" s="16" t="e">
        <v>#N/A</v>
      </c>
    </row>
    <row r="660" spans="1:21" x14ac:dyDescent="0.25">
      <c r="A660" s="12" t="s">
        <v>21</v>
      </c>
      <c r="B660" s="12" t="s">
        <v>653</v>
      </c>
      <c r="C660" s="12" t="s">
        <v>23</v>
      </c>
      <c r="D660" s="13">
        <v>46248.539456018516</v>
      </c>
      <c r="E660" s="12" t="s">
        <v>502</v>
      </c>
      <c r="F660" s="12" t="s">
        <v>262</v>
      </c>
      <c r="G660" s="12">
        <v>1000</v>
      </c>
      <c r="H660" s="12">
        <v>600</v>
      </c>
      <c r="I660" s="14"/>
      <c r="J660" s="14" t="s">
        <v>26</v>
      </c>
      <c r="K660" s="12" t="s">
        <v>27</v>
      </c>
      <c r="L660" s="15"/>
      <c r="M660" s="12" t="s">
        <v>28</v>
      </c>
      <c r="N660" s="12"/>
      <c r="O660" s="12"/>
      <c r="P660" s="12"/>
      <c r="Q660" s="16">
        <v>0</v>
      </c>
      <c r="R660" s="16">
        <v>0</v>
      </c>
      <c r="S660" s="16"/>
      <c r="T660" s="16" t="e">
        <v>#N/A</v>
      </c>
      <c r="U660" s="16" t="e">
        <v>#N/A</v>
      </c>
    </row>
    <row r="661" spans="1:21" x14ac:dyDescent="0.25">
      <c r="A661" s="12" t="s">
        <v>21</v>
      </c>
      <c r="B661" s="12" t="s">
        <v>654</v>
      </c>
      <c r="C661" s="12" t="s">
        <v>23</v>
      </c>
      <c r="D661" s="13">
        <v>46249.302256944444</v>
      </c>
      <c r="E661" s="12" t="s">
        <v>502</v>
      </c>
      <c r="F661" s="12" t="s">
        <v>70</v>
      </c>
      <c r="G661" s="12">
        <v>30</v>
      </c>
      <c r="H661" s="12">
        <v>30</v>
      </c>
      <c r="I661" s="14"/>
      <c r="J661" s="14" t="s">
        <v>61</v>
      </c>
      <c r="K661" s="12" t="s">
        <v>655</v>
      </c>
      <c r="L661" s="15">
        <v>1</v>
      </c>
      <c r="M661" s="12" t="s">
        <v>150</v>
      </c>
      <c r="N661" s="12">
        <v>30</v>
      </c>
      <c r="O661" s="12">
        <v>30</v>
      </c>
      <c r="P661" s="12">
        <v>0</v>
      </c>
      <c r="Q661" s="16">
        <v>30</v>
      </c>
      <c r="R661" s="16">
        <v>0</v>
      </c>
      <c r="S661" s="16"/>
      <c r="T661" s="16" t="e">
        <v>#N/A</v>
      </c>
      <c r="U661" s="16" t="e">
        <v>#N/A</v>
      </c>
    </row>
    <row r="662" spans="1:21" x14ac:dyDescent="0.25">
      <c r="A662" s="12" t="s">
        <v>21</v>
      </c>
      <c r="B662" s="12" t="s">
        <v>654</v>
      </c>
      <c r="C662" s="12" t="s">
        <v>23</v>
      </c>
      <c r="D662" s="13">
        <v>46249.302256944444</v>
      </c>
      <c r="E662" s="12" t="s">
        <v>502</v>
      </c>
      <c r="F662" s="12" t="s">
        <v>268</v>
      </c>
      <c r="G662" s="12">
        <v>12</v>
      </c>
      <c r="H662" s="12">
        <v>12</v>
      </c>
      <c r="I662" s="14"/>
      <c r="J662" s="14" t="s">
        <v>26</v>
      </c>
      <c r="K662" s="12" t="s">
        <v>27</v>
      </c>
      <c r="L662" s="15"/>
      <c r="M662" s="12" t="s">
        <v>28</v>
      </c>
      <c r="N662" s="12"/>
      <c r="O662" s="12"/>
      <c r="P662" s="12"/>
      <c r="Q662" s="16">
        <v>0</v>
      </c>
      <c r="R662" s="16">
        <v>0</v>
      </c>
      <c r="S662" s="16"/>
      <c r="T662" s="16" t="e">
        <v>#N/A</v>
      </c>
      <c r="U662" s="16" t="e">
        <v>#N/A</v>
      </c>
    </row>
    <row r="663" spans="1:21" x14ac:dyDescent="0.25">
      <c r="A663" s="12" t="s">
        <v>21</v>
      </c>
      <c r="B663" s="12" t="s">
        <v>654</v>
      </c>
      <c r="C663" s="12" t="s">
        <v>23</v>
      </c>
      <c r="D663" s="13">
        <v>46249.302256944444</v>
      </c>
      <c r="E663" s="12" t="s">
        <v>502</v>
      </c>
      <c r="F663" s="12" t="s">
        <v>389</v>
      </c>
      <c r="G663" s="12">
        <v>4</v>
      </c>
      <c r="H663" s="12">
        <v>4</v>
      </c>
      <c r="I663" s="14"/>
      <c r="J663" s="14" t="s">
        <v>26</v>
      </c>
      <c r="K663" s="12" t="s">
        <v>27</v>
      </c>
      <c r="L663" s="15"/>
      <c r="M663" s="12" t="s">
        <v>28</v>
      </c>
      <c r="N663" s="12"/>
      <c r="O663" s="12"/>
      <c r="P663" s="12"/>
      <c r="Q663" s="16">
        <v>0</v>
      </c>
      <c r="R663" s="16">
        <v>0</v>
      </c>
      <c r="S663" s="16"/>
      <c r="T663" s="16" t="e">
        <v>#N/A</v>
      </c>
      <c r="U663" s="16" t="e">
        <v>#N/A</v>
      </c>
    </row>
    <row r="664" spans="1:21" x14ac:dyDescent="0.25">
      <c r="A664" s="12" t="s">
        <v>21</v>
      </c>
      <c r="B664" s="12" t="s">
        <v>654</v>
      </c>
      <c r="C664" s="12" t="s">
        <v>23</v>
      </c>
      <c r="D664" s="13">
        <v>46249.302256944444</v>
      </c>
      <c r="E664" s="12" t="s">
        <v>502</v>
      </c>
      <c r="F664" s="12" t="s">
        <v>401</v>
      </c>
      <c r="G664" s="12">
        <v>12</v>
      </c>
      <c r="H664" s="12">
        <v>12</v>
      </c>
      <c r="I664" s="14"/>
      <c r="J664" s="14" t="s">
        <v>26</v>
      </c>
      <c r="K664" s="12" t="s">
        <v>27</v>
      </c>
      <c r="L664" s="15"/>
      <c r="M664" s="12" t="s">
        <v>28</v>
      </c>
      <c r="N664" s="12"/>
      <c r="O664" s="12"/>
      <c r="P664" s="12"/>
      <c r="Q664" s="16">
        <v>0</v>
      </c>
      <c r="R664" s="16">
        <v>0</v>
      </c>
      <c r="S664" s="16"/>
      <c r="T664" s="16" t="e">
        <v>#N/A</v>
      </c>
      <c r="U664" s="16" t="e">
        <v>#N/A</v>
      </c>
    </row>
    <row r="665" spans="1:21" x14ac:dyDescent="0.25">
      <c r="A665" s="12" t="s">
        <v>21</v>
      </c>
      <c r="B665" s="12" t="s">
        <v>654</v>
      </c>
      <c r="C665" s="12" t="s">
        <v>23</v>
      </c>
      <c r="D665" s="13">
        <v>46249.302256944444</v>
      </c>
      <c r="E665" s="12" t="s">
        <v>502</v>
      </c>
      <c r="F665" s="12" t="s">
        <v>454</v>
      </c>
      <c r="G665" s="12">
        <v>20</v>
      </c>
      <c r="H665" s="12">
        <v>20</v>
      </c>
      <c r="I665" s="14"/>
      <c r="J665" s="14" t="s">
        <v>61</v>
      </c>
      <c r="K665" s="12" t="s">
        <v>656</v>
      </c>
      <c r="L665" s="15">
        <v>1</v>
      </c>
      <c r="M665" s="12" t="s">
        <v>150</v>
      </c>
      <c r="N665" s="12">
        <v>20</v>
      </c>
      <c r="O665" s="12">
        <v>20</v>
      </c>
      <c r="P665" s="12">
        <v>0</v>
      </c>
      <c r="Q665" s="16">
        <v>20</v>
      </c>
      <c r="R665" s="16">
        <v>0</v>
      </c>
      <c r="S665" s="16"/>
      <c r="T665" s="16" t="e">
        <v>#N/A</v>
      </c>
      <c r="U665" s="16" t="e">
        <v>#N/A</v>
      </c>
    </row>
    <row r="666" spans="1:21" x14ac:dyDescent="0.25">
      <c r="A666" s="12" t="s">
        <v>21</v>
      </c>
      <c r="B666" s="12" t="s">
        <v>654</v>
      </c>
      <c r="C666" s="12" t="s">
        <v>23</v>
      </c>
      <c r="D666" s="13">
        <v>46249.302256944444</v>
      </c>
      <c r="E666" s="12" t="s">
        <v>502</v>
      </c>
      <c r="F666" s="12" t="s">
        <v>657</v>
      </c>
      <c r="G666" s="12">
        <v>10</v>
      </c>
      <c r="H666" s="12">
        <v>1</v>
      </c>
      <c r="I666" s="14"/>
      <c r="J666" s="14" t="s">
        <v>26</v>
      </c>
      <c r="K666" s="12" t="s">
        <v>27</v>
      </c>
      <c r="L666" s="15"/>
      <c r="M666" s="12" t="s">
        <v>28</v>
      </c>
      <c r="N666" s="12"/>
      <c r="O666" s="12"/>
      <c r="P666" s="12"/>
      <c r="Q666" s="16">
        <v>0</v>
      </c>
      <c r="R666" s="16">
        <v>0</v>
      </c>
      <c r="S666" s="16"/>
      <c r="T666" s="16" t="e">
        <v>#N/A</v>
      </c>
      <c r="U666" s="16" t="e">
        <v>#N/A</v>
      </c>
    </row>
    <row r="667" spans="1:21" x14ac:dyDescent="0.25">
      <c r="A667" s="12" t="s">
        <v>21</v>
      </c>
      <c r="B667" s="12" t="s">
        <v>654</v>
      </c>
      <c r="C667" s="12" t="s">
        <v>23</v>
      </c>
      <c r="D667" s="13">
        <v>46249.302256944444</v>
      </c>
      <c r="E667" s="12" t="s">
        <v>502</v>
      </c>
      <c r="F667" s="12" t="s">
        <v>623</v>
      </c>
      <c r="G667" s="12">
        <v>10</v>
      </c>
      <c r="H667" s="12">
        <v>10</v>
      </c>
      <c r="I667" s="14"/>
      <c r="J667" s="14" t="s">
        <v>61</v>
      </c>
      <c r="K667" s="12" t="s">
        <v>658</v>
      </c>
      <c r="L667" s="15">
        <v>1</v>
      </c>
      <c r="M667" s="12" t="s">
        <v>150</v>
      </c>
      <c r="N667" s="12">
        <v>10</v>
      </c>
      <c r="O667" s="12">
        <v>10</v>
      </c>
      <c r="P667" s="12">
        <v>0</v>
      </c>
      <c r="Q667" s="16">
        <v>10</v>
      </c>
      <c r="R667" s="16">
        <v>0</v>
      </c>
      <c r="S667" s="16"/>
      <c r="T667" s="16" t="e">
        <v>#N/A</v>
      </c>
      <c r="U667" s="16" t="e">
        <v>#N/A</v>
      </c>
    </row>
    <row r="668" spans="1:21" x14ac:dyDescent="0.25">
      <c r="A668" s="12" t="s">
        <v>21</v>
      </c>
      <c r="B668" s="12" t="s">
        <v>654</v>
      </c>
      <c r="C668" s="12" t="s">
        <v>23</v>
      </c>
      <c r="D668" s="13">
        <v>46249.302256944444</v>
      </c>
      <c r="E668" s="12" t="s">
        <v>502</v>
      </c>
      <c r="F668" s="12" t="s">
        <v>134</v>
      </c>
      <c r="G668" s="12">
        <v>30</v>
      </c>
      <c r="H668" s="12">
        <v>30</v>
      </c>
      <c r="I668" s="14"/>
      <c r="J668" s="14" t="s">
        <v>26</v>
      </c>
      <c r="K668" s="12" t="s">
        <v>27</v>
      </c>
      <c r="L668" s="15"/>
      <c r="M668" s="12" t="s">
        <v>28</v>
      </c>
      <c r="N668" s="12"/>
      <c r="O668" s="12"/>
      <c r="P668" s="12"/>
      <c r="Q668" s="16">
        <v>0</v>
      </c>
      <c r="R668" s="16">
        <v>6</v>
      </c>
      <c r="S668" s="16"/>
      <c r="T668" s="16" t="e">
        <v>#N/A</v>
      </c>
      <c r="U668" s="16" t="e">
        <v>#N/A</v>
      </c>
    </row>
    <row r="669" spans="1:21" x14ac:dyDescent="0.25">
      <c r="A669" s="12" t="s">
        <v>21</v>
      </c>
      <c r="B669" s="12" t="s">
        <v>659</v>
      </c>
      <c r="C669" s="12" t="s">
        <v>23</v>
      </c>
      <c r="D669" s="13">
        <v>46249.311516203707</v>
      </c>
      <c r="E669" s="12" t="s">
        <v>502</v>
      </c>
      <c r="F669" s="12" t="s">
        <v>525</v>
      </c>
      <c r="G669" s="12">
        <v>60</v>
      </c>
      <c r="H669" s="12">
        <v>60</v>
      </c>
      <c r="I669" s="14"/>
      <c r="J669" s="14" t="s">
        <v>26</v>
      </c>
      <c r="K669" s="12" t="s">
        <v>27</v>
      </c>
      <c r="L669" s="15"/>
      <c r="M669" s="12" t="s">
        <v>28</v>
      </c>
      <c r="N669" s="12"/>
      <c r="O669" s="12"/>
      <c r="P669" s="12"/>
      <c r="Q669" s="16">
        <v>0</v>
      </c>
      <c r="R669" s="16">
        <v>0</v>
      </c>
      <c r="S669" s="16"/>
      <c r="T669" s="16" t="e">
        <v>#N/A</v>
      </c>
      <c r="U669" s="16" t="e">
        <v>#N/A</v>
      </c>
    </row>
    <row r="670" spans="1:21" x14ac:dyDescent="0.25">
      <c r="A670" s="12" t="s">
        <v>21</v>
      </c>
      <c r="B670" s="12" t="s">
        <v>660</v>
      </c>
      <c r="C670" s="12" t="s">
        <v>23</v>
      </c>
      <c r="D670" s="13">
        <v>46249.348900462966</v>
      </c>
      <c r="E670" s="12" t="s">
        <v>661</v>
      </c>
      <c r="F670" s="12" t="s">
        <v>70</v>
      </c>
      <c r="G670" s="12">
        <v>40</v>
      </c>
      <c r="H670" s="12">
        <v>20</v>
      </c>
      <c r="I670" s="14"/>
      <c r="J670" s="14" t="s">
        <v>26</v>
      </c>
      <c r="K670" s="12" t="s">
        <v>27</v>
      </c>
      <c r="L670" s="15"/>
      <c r="M670" s="12" t="s">
        <v>28</v>
      </c>
      <c r="N670" s="12"/>
      <c r="O670" s="12"/>
      <c r="P670" s="12"/>
      <c r="Q670" s="16">
        <v>0</v>
      </c>
      <c r="R670" s="16">
        <v>0</v>
      </c>
      <c r="S670" s="16"/>
      <c r="T670" s="16" t="e">
        <v>#N/A</v>
      </c>
      <c r="U670" s="16" t="e">
        <v>#N/A</v>
      </c>
    </row>
    <row r="671" spans="1:21" x14ac:dyDescent="0.25">
      <c r="A671" s="12" t="s">
        <v>21</v>
      </c>
      <c r="B671" s="12" t="s">
        <v>660</v>
      </c>
      <c r="C671" s="12" t="s">
        <v>23</v>
      </c>
      <c r="D671" s="13">
        <v>46249.348900462966</v>
      </c>
      <c r="E671" s="12" t="s">
        <v>661</v>
      </c>
      <c r="F671" s="12" t="s">
        <v>71</v>
      </c>
      <c r="G671" s="12">
        <v>40</v>
      </c>
      <c r="H671" s="12">
        <v>40</v>
      </c>
      <c r="I671" s="14"/>
      <c r="J671" s="14" t="s">
        <v>26</v>
      </c>
      <c r="K671" s="12" t="s">
        <v>27</v>
      </c>
      <c r="L671" s="15"/>
      <c r="M671" s="12" t="s">
        <v>28</v>
      </c>
      <c r="N671" s="12"/>
      <c r="O671" s="12"/>
      <c r="P671" s="12"/>
      <c r="Q671" s="16">
        <v>0</v>
      </c>
      <c r="R671" s="16">
        <v>0</v>
      </c>
      <c r="S671" s="16"/>
      <c r="T671" s="16" t="e">
        <v>#N/A</v>
      </c>
      <c r="U671" s="16" t="e">
        <v>#N/A</v>
      </c>
    </row>
    <row r="672" spans="1:21" x14ac:dyDescent="0.25">
      <c r="A672" s="12" t="s">
        <v>21</v>
      </c>
      <c r="B672" s="12" t="s">
        <v>660</v>
      </c>
      <c r="C672" s="12" t="s">
        <v>23</v>
      </c>
      <c r="D672" s="13">
        <v>46249.348900462966</v>
      </c>
      <c r="E672" s="12" t="s">
        <v>661</v>
      </c>
      <c r="F672" s="12" t="s">
        <v>525</v>
      </c>
      <c r="G672" s="12">
        <v>80</v>
      </c>
      <c r="H672" s="12">
        <v>80</v>
      </c>
      <c r="I672" s="14"/>
      <c r="J672" s="14" t="s">
        <v>26</v>
      </c>
      <c r="K672" s="12" t="s">
        <v>27</v>
      </c>
      <c r="L672" s="15"/>
      <c r="M672" s="12" t="s">
        <v>28</v>
      </c>
      <c r="N672" s="12"/>
      <c r="O672" s="12"/>
      <c r="P672" s="12"/>
      <c r="Q672" s="16">
        <v>0</v>
      </c>
      <c r="R672" s="16">
        <v>0</v>
      </c>
      <c r="S672" s="16"/>
      <c r="T672" s="16" t="e">
        <v>#N/A</v>
      </c>
      <c r="U672" s="16" t="e">
        <v>#N/A</v>
      </c>
    </row>
    <row r="673" spans="1:21" x14ac:dyDescent="0.25">
      <c r="A673" s="12" t="s">
        <v>21</v>
      </c>
      <c r="B673" s="12" t="s">
        <v>660</v>
      </c>
      <c r="C673" s="12" t="s">
        <v>23</v>
      </c>
      <c r="D673" s="13">
        <v>46249.348900462966</v>
      </c>
      <c r="E673" s="12" t="s">
        <v>661</v>
      </c>
      <c r="F673" s="12" t="s">
        <v>268</v>
      </c>
      <c r="G673" s="12">
        <v>10</v>
      </c>
      <c r="H673" s="12">
        <v>10</v>
      </c>
      <c r="I673" s="14"/>
      <c r="J673" s="14" t="s">
        <v>26</v>
      </c>
      <c r="K673" s="12" t="s">
        <v>27</v>
      </c>
      <c r="L673" s="15"/>
      <c r="M673" s="12" t="s">
        <v>28</v>
      </c>
      <c r="N673" s="12"/>
      <c r="O673" s="12"/>
      <c r="P673" s="12"/>
      <c r="Q673" s="16">
        <v>0</v>
      </c>
      <c r="R673" s="16">
        <v>0</v>
      </c>
      <c r="S673" s="16"/>
      <c r="T673" s="16" t="e">
        <v>#N/A</v>
      </c>
      <c r="U673" s="16" t="e">
        <v>#N/A</v>
      </c>
    </row>
    <row r="674" spans="1:21" x14ac:dyDescent="0.25">
      <c r="A674" s="12" t="s">
        <v>21</v>
      </c>
      <c r="B674" s="12" t="s">
        <v>662</v>
      </c>
      <c r="C674" s="12" t="s">
        <v>23</v>
      </c>
      <c r="D674" s="13">
        <v>46249.409236111111</v>
      </c>
      <c r="E674" s="12" t="s">
        <v>393</v>
      </c>
      <c r="F674" s="12" t="s">
        <v>261</v>
      </c>
      <c r="G674" s="12">
        <v>20</v>
      </c>
      <c r="H674" s="12">
        <v>20</v>
      </c>
      <c r="I674" s="14"/>
      <c r="J674" s="14" t="s">
        <v>61</v>
      </c>
      <c r="K674" s="12" t="s">
        <v>663</v>
      </c>
      <c r="L674" s="15">
        <v>1</v>
      </c>
      <c r="M674" s="12" t="s">
        <v>150</v>
      </c>
      <c r="N674" s="12">
        <v>20</v>
      </c>
      <c r="O674" s="12">
        <v>20</v>
      </c>
      <c r="P674" s="12">
        <v>0</v>
      </c>
      <c r="Q674" s="16">
        <v>20</v>
      </c>
      <c r="R674" s="16">
        <v>0</v>
      </c>
      <c r="S674" s="16"/>
      <c r="T674" s="16" t="e">
        <v>#N/A</v>
      </c>
      <c r="U674" s="16" t="e">
        <v>#N/A</v>
      </c>
    </row>
    <row r="675" spans="1:21" x14ac:dyDescent="0.25">
      <c r="A675" s="12" t="s">
        <v>21</v>
      </c>
      <c r="B675" s="12" t="s">
        <v>662</v>
      </c>
      <c r="C675" s="12" t="s">
        <v>23</v>
      </c>
      <c r="D675" s="13">
        <v>46249.409236111111</v>
      </c>
      <c r="E675" s="12" t="s">
        <v>393</v>
      </c>
      <c r="F675" s="12" t="s">
        <v>268</v>
      </c>
      <c r="G675" s="12">
        <v>15</v>
      </c>
      <c r="H675" s="12">
        <v>15</v>
      </c>
      <c r="I675" s="14"/>
      <c r="J675" s="14" t="s">
        <v>61</v>
      </c>
      <c r="K675" s="12" t="s">
        <v>664</v>
      </c>
      <c r="L675" s="15">
        <v>1</v>
      </c>
      <c r="M675" s="12" t="s">
        <v>150</v>
      </c>
      <c r="N675" s="12">
        <v>15</v>
      </c>
      <c r="O675" s="12">
        <v>15</v>
      </c>
      <c r="P675" s="12">
        <v>0</v>
      </c>
      <c r="Q675" s="16">
        <v>15</v>
      </c>
      <c r="R675" s="16">
        <v>0</v>
      </c>
      <c r="S675" s="16"/>
      <c r="T675" s="16" t="e">
        <v>#N/A</v>
      </c>
      <c r="U675" s="16" t="e">
        <v>#N/A</v>
      </c>
    </row>
    <row r="676" spans="1:21" x14ac:dyDescent="0.25">
      <c r="A676" s="12" t="s">
        <v>21</v>
      </c>
      <c r="B676" s="12" t="s">
        <v>662</v>
      </c>
      <c r="C676" s="12" t="s">
        <v>23</v>
      </c>
      <c r="D676" s="13">
        <v>46249.409236111111</v>
      </c>
      <c r="E676" s="12" t="s">
        <v>393</v>
      </c>
      <c r="F676" s="12" t="s">
        <v>130</v>
      </c>
      <c r="G676" s="12">
        <v>100</v>
      </c>
      <c r="H676" s="12">
        <v>100</v>
      </c>
      <c r="I676" s="14"/>
      <c r="J676" s="14" t="s">
        <v>26</v>
      </c>
      <c r="K676" s="12" t="s">
        <v>27</v>
      </c>
      <c r="L676" s="15"/>
      <c r="M676" s="12" t="s">
        <v>28</v>
      </c>
      <c r="N676" s="12"/>
      <c r="O676" s="12"/>
      <c r="P676" s="12"/>
      <c r="Q676" s="16">
        <v>0</v>
      </c>
      <c r="R676" s="16">
        <v>6</v>
      </c>
      <c r="S676" s="16"/>
      <c r="T676" s="16" t="e">
        <v>#N/A</v>
      </c>
      <c r="U676" s="16" t="e">
        <v>#N/A</v>
      </c>
    </row>
    <row r="677" spans="1:21" x14ac:dyDescent="0.25">
      <c r="A677" s="12" t="s">
        <v>21</v>
      </c>
      <c r="B677" s="12" t="s">
        <v>662</v>
      </c>
      <c r="C677" s="12" t="s">
        <v>23</v>
      </c>
      <c r="D677" s="13">
        <v>46249.409236111111</v>
      </c>
      <c r="E677" s="12" t="s">
        <v>393</v>
      </c>
      <c r="F677" s="12" t="s">
        <v>134</v>
      </c>
      <c r="G677" s="12">
        <v>150</v>
      </c>
      <c r="H677" s="12">
        <v>150</v>
      </c>
      <c r="I677" s="14"/>
      <c r="J677" s="14" t="s">
        <v>26</v>
      </c>
      <c r="K677" s="12" t="s">
        <v>27</v>
      </c>
      <c r="L677" s="15"/>
      <c r="M677" s="12" t="s">
        <v>28</v>
      </c>
      <c r="N677" s="12"/>
      <c r="O677" s="12"/>
      <c r="P677" s="12"/>
      <c r="Q677" s="16">
        <v>0</v>
      </c>
      <c r="R677" s="16">
        <v>6</v>
      </c>
      <c r="S677" s="16"/>
      <c r="T677" s="16" t="e">
        <v>#N/A</v>
      </c>
      <c r="U677" s="16" t="e">
        <v>#N/A</v>
      </c>
    </row>
    <row r="678" spans="1:21" x14ac:dyDescent="0.25">
      <c r="A678" s="12" t="s">
        <v>21</v>
      </c>
      <c r="B678" s="12" t="s">
        <v>665</v>
      </c>
      <c r="C678" s="12" t="s">
        <v>23</v>
      </c>
      <c r="D678" s="13">
        <v>46251.422395833331</v>
      </c>
      <c r="E678" s="12" t="s">
        <v>24</v>
      </c>
      <c r="F678" s="12" t="s">
        <v>438</v>
      </c>
      <c r="G678" s="12">
        <v>50</v>
      </c>
      <c r="H678" s="12">
        <v>50</v>
      </c>
      <c r="I678" s="14"/>
      <c r="J678" s="14" t="s">
        <v>26</v>
      </c>
      <c r="K678" s="12" t="s">
        <v>27</v>
      </c>
      <c r="L678" s="15"/>
      <c r="M678" s="12" t="s">
        <v>28</v>
      </c>
      <c r="N678" s="12"/>
      <c r="O678" s="12"/>
      <c r="P678" s="12"/>
      <c r="Q678" s="16">
        <v>0</v>
      </c>
      <c r="R678" s="16">
        <v>0</v>
      </c>
      <c r="S678" s="16"/>
      <c r="T678" s="16" t="e">
        <v>#N/A</v>
      </c>
      <c r="U678" s="16" t="e">
        <v>#N/A</v>
      </c>
    </row>
    <row r="679" spans="1:21" x14ac:dyDescent="0.25">
      <c r="A679" s="12" t="s">
        <v>21</v>
      </c>
      <c r="B679" s="12" t="s">
        <v>666</v>
      </c>
      <c r="C679" s="12" t="s">
        <v>23</v>
      </c>
      <c r="D679" s="13">
        <v>46252.377326388887</v>
      </c>
      <c r="E679" s="12" t="s">
        <v>266</v>
      </c>
      <c r="F679" s="12" t="s">
        <v>283</v>
      </c>
      <c r="G679" s="12">
        <v>2</v>
      </c>
      <c r="H679" s="12">
        <v>2</v>
      </c>
      <c r="I679" s="14"/>
      <c r="J679" s="14" t="s">
        <v>26</v>
      </c>
      <c r="K679" s="12" t="s">
        <v>27</v>
      </c>
      <c r="L679" s="15"/>
      <c r="M679" s="12" t="s">
        <v>28</v>
      </c>
      <c r="N679" s="12"/>
      <c r="O679" s="12"/>
      <c r="P679" s="12"/>
      <c r="Q679" s="16">
        <v>0</v>
      </c>
      <c r="R679" s="16">
        <v>0</v>
      </c>
      <c r="S679" s="16"/>
      <c r="T679" s="16" t="e">
        <v>#N/A</v>
      </c>
      <c r="U679" s="16" t="e">
        <v>#N/A</v>
      </c>
    </row>
    <row r="680" spans="1:21" x14ac:dyDescent="0.25">
      <c r="A680" s="12" t="s">
        <v>21</v>
      </c>
      <c r="B680" s="12" t="s">
        <v>667</v>
      </c>
      <c r="C680" s="12" t="s">
        <v>23</v>
      </c>
      <c r="D680" s="13">
        <v>46252.518969907411</v>
      </c>
      <c r="E680" s="12" t="s">
        <v>522</v>
      </c>
      <c r="F680" s="12" t="s">
        <v>668</v>
      </c>
      <c r="G680" s="12">
        <v>15</v>
      </c>
      <c r="H680" s="12">
        <v>15</v>
      </c>
      <c r="I680" s="14"/>
      <c r="J680" s="14" t="s">
        <v>61</v>
      </c>
      <c r="K680" s="12" t="s">
        <v>672</v>
      </c>
      <c r="L680" s="15">
        <v>1</v>
      </c>
      <c r="M680" s="12" t="s">
        <v>150</v>
      </c>
      <c r="N680" s="12">
        <v>15</v>
      </c>
      <c r="O680" s="12">
        <v>15</v>
      </c>
      <c r="P680" s="12">
        <v>0</v>
      </c>
      <c r="Q680" s="16">
        <v>35</v>
      </c>
      <c r="R680" s="16">
        <v>0</v>
      </c>
      <c r="S680" s="16"/>
      <c r="T680" s="16" t="e">
        <v>#N/A</v>
      </c>
      <c r="U680" s="16" t="e">
        <v>#N/A</v>
      </c>
    </row>
    <row r="681" spans="1:21" x14ac:dyDescent="0.25">
      <c r="A681" s="12" t="s">
        <v>21</v>
      </c>
      <c r="B681" s="12" t="s">
        <v>667</v>
      </c>
      <c r="C681" s="12" t="s">
        <v>23</v>
      </c>
      <c r="D681" s="13">
        <v>46252.518969907411</v>
      </c>
      <c r="E681" s="12" t="s">
        <v>522</v>
      </c>
      <c r="F681" s="12" t="s">
        <v>669</v>
      </c>
      <c r="G681" s="12">
        <v>20</v>
      </c>
      <c r="H681" s="12">
        <v>20</v>
      </c>
      <c r="I681" s="14"/>
      <c r="J681" s="14" t="s">
        <v>61</v>
      </c>
      <c r="K681" s="12" t="s">
        <v>673</v>
      </c>
      <c r="L681" s="15">
        <v>1</v>
      </c>
      <c r="M681" s="12" t="s">
        <v>150</v>
      </c>
      <c r="N681" s="12">
        <v>20</v>
      </c>
      <c r="O681" s="12">
        <v>20</v>
      </c>
      <c r="P681" s="12">
        <v>0</v>
      </c>
      <c r="Q681" s="16">
        <v>60</v>
      </c>
      <c r="R681" s="16">
        <v>0</v>
      </c>
      <c r="S681" s="16"/>
      <c r="T681" s="16" t="e">
        <v>#N/A</v>
      </c>
      <c r="U681" s="16" t="e">
        <v>#N/A</v>
      </c>
    </row>
    <row r="682" spans="1:21" x14ac:dyDescent="0.25">
      <c r="A682" s="12" t="s">
        <v>21</v>
      </c>
      <c r="B682" s="12" t="s">
        <v>667</v>
      </c>
      <c r="C682" s="12" t="s">
        <v>23</v>
      </c>
      <c r="D682" s="13">
        <v>46252.518969907411</v>
      </c>
      <c r="E682" s="12" t="s">
        <v>522</v>
      </c>
      <c r="F682" s="12" t="s">
        <v>670</v>
      </c>
      <c r="G682" s="12">
        <v>20</v>
      </c>
      <c r="H682" s="12">
        <v>20</v>
      </c>
      <c r="I682" s="14"/>
      <c r="J682" s="14" t="s">
        <v>61</v>
      </c>
      <c r="K682" s="12" t="s">
        <v>674</v>
      </c>
      <c r="L682" s="15">
        <v>1</v>
      </c>
      <c r="M682" s="12" t="s">
        <v>150</v>
      </c>
      <c r="N682" s="12">
        <v>20</v>
      </c>
      <c r="O682" s="12">
        <v>20</v>
      </c>
      <c r="P682" s="12">
        <v>0</v>
      </c>
      <c r="Q682" s="16">
        <v>60</v>
      </c>
      <c r="R682" s="16">
        <v>0</v>
      </c>
      <c r="S682" s="16"/>
      <c r="T682" s="16" t="e">
        <v>#N/A</v>
      </c>
      <c r="U682" s="16" t="e">
        <v>#N/A</v>
      </c>
    </row>
    <row r="683" spans="1:21" x14ac:dyDescent="0.25">
      <c r="A683" s="12" t="s">
        <v>21</v>
      </c>
      <c r="B683" s="12" t="s">
        <v>667</v>
      </c>
      <c r="C683" s="12" t="s">
        <v>23</v>
      </c>
      <c r="D683" s="13">
        <v>46252.518969907411</v>
      </c>
      <c r="E683" s="12" t="s">
        <v>522</v>
      </c>
      <c r="F683" s="12" t="s">
        <v>243</v>
      </c>
      <c r="G683" s="12">
        <v>20</v>
      </c>
      <c r="H683" s="12">
        <v>20</v>
      </c>
      <c r="I683" s="14"/>
      <c r="J683" s="14" t="s">
        <v>61</v>
      </c>
      <c r="K683" s="12" t="s">
        <v>675</v>
      </c>
      <c r="L683" s="15">
        <v>1</v>
      </c>
      <c r="M683" s="12" t="s">
        <v>150</v>
      </c>
      <c r="N683" s="12">
        <v>20</v>
      </c>
      <c r="O683" s="12">
        <v>20</v>
      </c>
      <c r="P683" s="12">
        <v>0</v>
      </c>
      <c r="Q683" s="16">
        <v>60</v>
      </c>
      <c r="R683" s="16">
        <v>1</v>
      </c>
      <c r="S683" s="16"/>
      <c r="T683" s="16" t="e">
        <v>#N/A</v>
      </c>
      <c r="U683" s="16" t="e">
        <v>#N/A</v>
      </c>
    </row>
    <row r="684" spans="1:21" x14ac:dyDescent="0.25">
      <c r="A684" s="12" t="s">
        <v>21</v>
      </c>
      <c r="B684" s="12" t="s">
        <v>667</v>
      </c>
      <c r="C684" s="12" t="s">
        <v>23</v>
      </c>
      <c r="D684" s="13">
        <v>46252.518969907411</v>
      </c>
      <c r="E684" s="12" t="s">
        <v>522</v>
      </c>
      <c r="F684" s="12" t="s">
        <v>244</v>
      </c>
      <c r="G684" s="12">
        <v>20</v>
      </c>
      <c r="H684" s="12">
        <v>20</v>
      </c>
      <c r="I684" s="14"/>
      <c r="J684" s="14" t="s">
        <v>61</v>
      </c>
      <c r="K684" s="12" t="s">
        <v>676</v>
      </c>
      <c r="L684" s="15">
        <v>1</v>
      </c>
      <c r="M684" s="12" t="s">
        <v>150</v>
      </c>
      <c r="N684" s="12">
        <v>20</v>
      </c>
      <c r="O684" s="12">
        <v>20</v>
      </c>
      <c r="P684" s="12">
        <v>0</v>
      </c>
      <c r="Q684" s="16">
        <v>35</v>
      </c>
      <c r="R684" s="16">
        <v>0</v>
      </c>
      <c r="S684" s="16"/>
      <c r="T684" s="16" t="e">
        <v>#N/A</v>
      </c>
      <c r="U684" s="16" t="e">
        <v>#N/A</v>
      </c>
    </row>
    <row r="685" spans="1:21" x14ac:dyDescent="0.25">
      <c r="A685" s="12" t="s">
        <v>21</v>
      </c>
      <c r="B685" s="12" t="s">
        <v>667</v>
      </c>
      <c r="C685" s="12" t="s">
        <v>23</v>
      </c>
      <c r="D685" s="13">
        <v>46252.518969907411</v>
      </c>
      <c r="E685" s="12" t="s">
        <v>522</v>
      </c>
      <c r="F685" s="12" t="s">
        <v>671</v>
      </c>
      <c r="G685" s="12">
        <v>30</v>
      </c>
      <c r="H685" s="12">
        <v>30</v>
      </c>
      <c r="I685" s="14"/>
      <c r="J685" s="14" t="s">
        <v>61</v>
      </c>
      <c r="K685" s="12" t="s">
        <v>677</v>
      </c>
      <c r="L685" s="15">
        <v>1</v>
      </c>
      <c r="M685" s="12" t="s">
        <v>150</v>
      </c>
      <c r="N685" s="12">
        <v>30</v>
      </c>
      <c r="O685" s="12">
        <v>30</v>
      </c>
      <c r="P685" s="12">
        <v>0</v>
      </c>
      <c r="Q685" s="16">
        <v>110</v>
      </c>
      <c r="R685" s="16">
        <v>1</v>
      </c>
      <c r="S685" s="16"/>
      <c r="T685" s="16" t="e">
        <v>#N/A</v>
      </c>
      <c r="U685" s="16" t="e">
        <v>#N/A</v>
      </c>
    </row>
    <row r="686" spans="1:21" x14ac:dyDescent="0.25">
      <c r="A686" s="12" t="s">
        <v>21</v>
      </c>
      <c r="B686" s="12" t="s">
        <v>667</v>
      </c>
      <c r="C686" s="12" t="s">
        <v>23</v>
      </c>
      <c r="D686" s="13">
        <v>46252.518969907411</v>
      </c>
      <c r="E686" s="12" t="s">
        <v>522</v>
      </c>
      <c r="F686" s="12" t="s">
        <v>245</v>
      </c>
      <c r="G686" s="12">
        <v>40</v>
      </c>
      <c r="H686" s="12">
        <v>40</v>
      </c>
      <c r="I686" s="14"/>
      <c r="J686" s="14" t="s">
        <v>61</v>
      </c>
      <c r="K686" s="12" t="s">
        <v>678</v>
      </c>
      <c r="L686" s="15">
        <v>1</v>
      </c>
      <c r="M686" s="12" t="s">
        <v>150</v>
      </c>
      <c r="N686" s="12">
        <v>40</v>
      </c>
      <c r="O686" s="12">
        <v>40</v>
      </c>
      <c r="P686" s="12">
        <v>0</v>
      </c>
      <c r="Q686" s="16">
        <v>110</v>
      </c>
      <c r="R686" s="16">
        <v>0</v>
      </c>
      <c r="S686" s="16"/>
      <c r="T686" s="16" t="e">
        <v>#N/A</v>
      </c>
      <c r="U686" s="16" t="e">
        <v>#N/A</v>
      </c>
    </row>
    <row r="687" spans="1:21" x14ac:dyDescent="0.25">
      <c r="A687" s="12" t="s">
        <v>21</v>
      </c>
      <c r="B687" s="12" t="s">
        <v>667</v>
      </c>
      <c r="C687" s="12" t="s">
        <v>23</v>
      </c>
      <c r="D687" s="13">
        <v>46252.518969907411</v>
      </c>
      <c r="E687" s="12" t="s">
        <v>522</v>
      </c>
      <c r="F687" s="12" t="s">
        <v>71</v>
      </c>
      <c r="G687" s="12">
        <v>50</v>
      </c>
      <c r="H687" s="12">
        <v>50</v>
      </c>
      <c r="I687" s="14"/>
      <c r="J687" s="14" t="s">
        <v>26</v>
      </c>
      <c r="K687" s="12" t="s">
        <v>27</v>
      </c>
      <c r="L687" s="15"/>
      <c r="M687" s="12" t="s">
        <v>28</v>
      </c>
      <c r="N687" s="12"/>
      <c r="O687" s="12"/>
      <c r="P687" s="12"/>
      <c r="Q687" s="16">
        <v>0</v>
      </c>
      <c r="R687" s="16">
        <v>0</v>
      </c>
      <c r="S687" s="16"/>
      <c r="T687" s="16" t="e">
        <v>#N/A</v>
      </c>
      <c r="U687" s="16" t="e">
        <v>#N/A</v>
      </c>
    </row>
    <row r="688" spans="1:21" x14ac:dyDescent="0.25">
      <c r="A688" s="12" t="s">
        <v>21</v>
      </c>
      <c r="B688" s="12" t="s">
        <v>667</v>
      </c>
      <c r="C688" s="12" t="s">
        <v>23</v>
      </c>
      <c r="D688" s="13">
        <v>46252.518969907411</v>
      </c>
      <c r="E688" s="12" t="s">
        <v>522</v>
      </c>
      <c r="F688" s="12" t="s">
        <v>525</v>
      </c>
      <c r="G688" s="12">
        <v>50</v>
      </c>
      <c r="H688" s="12">
        <v>50</v>
      </c>
      <c r="I688" s="14"/>
      <c r="J688" s="14" t="s">
        <v>26</v>
      </c>
      <c r="K688" s="12" t="s">
        <v>27</v>
      </c>
      <c r="L688" s="15"/>
      <c r="M688" s="12" t="s">
        <v>28</v>
      </c>
      <c r="N688" s="12"/>
      <c r="O688" s="12"/>
      <c r="P688" s="12"/>
      <c r="Q688" s="16">
        <v>0</v>
      </c>
      <c r="R688" s="16">
        <v>0</v>
      </c>
      <c r="S688" s="16">
        <v>11</v>
      </c>
      <c r="T688" s="16" t="e">
        <v>#N/A</v>
      </c>
      <c r="U688" s="16" t="e">
        <v>#N/A</v>
      </c>
    </row>
    <row r="689" spans="1:21" x14ac:dyDescent="0.25">
      <c r="A689" s="12" t="s">
        <v>21</v>
      </c>
      <c r="B689" s="12" t="s">
        <v>667</v>
      </c>
      <c r="C689" s="12" t="s">
        <v>23</v>
      </c>
      <c r="D689" s="13">
        <v>46252.518969907411</v>
      </c>
      <c r="E689" s="12" t="s">
        <v>522</v>
      </c>
      <c r="F689" s="12" t="s">
        <v>268</v>
      </c>
      <c r="G689" s="12">
        <v>20</v>
      </c>
      <c r="H689" s="12">
        <v>20</v>
      </c>
      <c r="I689" s="14"/>
      <c r="J689" s="14" t="s">
        <v>61</v>
      </c>
      <c r="K689" s="12" t="s">
        <v>679</v>
      </c>
      <c r="L689" s="15">
        <v>1</v>
      </c>
      <c r="M689" s="12" t="s">
        <v>150</v>
      </c>
      <c r="N689" s="12">
        <v>20</v>
      </c>
      <c r="O689" s="12">
        <v>20</v>
      </c>
      <c r="P689" s="12">
        <v>0</v>
      </c>
      <c r="Q689" s="16">
        <v>42</v>
      </c>
      <c r="R689" s="16">
        <v>0</v>
      </c>
      <c r="S689" s="16"/>
      <c r="T689" s="16" t="e">
        <v>#N/A</v>
      </c>
      <c r="U689" s="16" t="e">
        <v>#N/A</v>
      </c>
    </row>
    <row r="690" spans="1:21" x14ac:dyDescent="0.25">
      <c r="A690" s="12" t="s">
        <v>21</v>
      </c>
      <c r="B690" s="12" t="s">
        <v>667</v>
      </c>
      <c r="C690" s="12" t="s">
        <v>23</v>
      </c>
      <c r="D690" s="13">
        <v>46252.518969907411</v>
      </c>
      <c r="E690" s="12" t="s">
        <v>522</v>
      </c>
      <c r="F690" s="12" t="s">
        <v>401</v>
      </c>
      <c r="G690" s="12">
        <v>20</v>
      </c>
      <c r="H690" s="12">
        <v>20</v>
      </c>
      <c r="I690" s="14"/>
      <c r="J690" s="14" t="s">
        <v>61</v>
      </c>
      <c r="K690" s="12" t="s">
        <v>680</v>
      </c>
      <c r="L690" s="15">
        <v>1</v>
      </c>
      <c r="M690" s="12" t="s">
        <v>150</v>
      </c>
      <c r="N690" s="12">
        <v>20</v>
      </c>
      <c r="O690" s="12">
        <v>20</v>
      </c>
      <c r="P690" s="12">
        <v>0</v>
      </c>
      <c r="Q690" s="16">
        <v>30</v>
      </c>
      <c r="R690" s="16">
        <v>0</v>
      </c>
      <c r="S690" s="16"/>
      <c r="T690" s="16" t="e">
        <v>#N/A</v>
      </c>
      <c r="U690" s="16" t="e">
        <v>#N/A</v>
      </c>
    </row>
    <row r="691" spans="1:21" x14ac:dyDescent="0.25">
      <c r="A691" s="12" t="s">
        <v>21</v>
      </c>
      <c r="B691" s="12" t="s">
        <v>667</v>
      </c>
      <c r="C691" s="12" t="s">
        <v>23</v>
      </c>
      <c r="D691" s="13">
        <v>46252.518969907411</v>
      </c>
      <c r="E691" s="12" t="s">
        <v>522</v>
      </c>
      <c r="F691" s="12" t="s">
        <v>681</v>
      </c>
      <c r="G691" s="12">
        <v>40</v>
      </c>
      <c r="H691" s="12">
        <v>40</v>
      </c>
      <c r="I691" s="14"/>
      <c r="J691" s="14" t="s">
        <v>61</v>
      </c>
      <c r="K691" s="12" t="s">
        <v>682</v>
      </c>
      <c r="L691" s="15">
        <v>1</v>
      </c>
      <c r="M691" s="12" t="s">
        <v>150</v>
      </c>
      <c r="N691" s="12">
        <v>40</v>
      </c>
      <c r="O691" s="12">
        <v>40</v>
      </c>
      <c r="P691" s="12">
        <v>0</v>
      </c>
      <c r="Q691" s="16">
        <v>110</v>
      </c>
      <c r="R691" s="16">
        <v>0</v>
      </c>
      <c r="S691" s="16"/>
      <c r="T691" s="16" t="e">
        <v>#N/A</v>
      </c>
      <c r="U691" s="16" t="e">
        <v>#N/A</v>
      </c>
    </row>
    <row r="692" spans="1:21" x14ac:dyDescent="0.25">
      <c r="A692" s="12" t="s">
        <v>21</v>
      </c>
      <c r="B692" s="12" t="s">
        <v>683</v>
      </c>
      <c r="C692" s="12" t="s">
        <v>23</v>
      </c>
      <c r="D692" s="13">
        <v>46252.599120370367</v>
      </c>
      <c r="E692" s="12" t="s">
        <v>24</v>
      </c>
      <c r="F692" s="12" t="s">
        <v>262</v>
      </c>
      <c r="G692" s="12">
        <v>2000</v>
      </c>
      <c r="H692" s="12">
        <v>80</v>
      </c>
      <c r="I692" s="14"/>
      <c r="J692" s="14" t="s">
        <v>26</v>
      </c>
      <c r="K692" s="12" t="s">
        <v>27</v>
      </c>
      <c r="L692" s="15"/>
      <c r="M692" s="12" t="s">
        <v>28</v>
      </c>
      <c r="N692" s="12"/>
      <c r="O692" s="12"/>
      <c r="P692" s="12"/>
      <c r="Q692" s="16">
        <v>0</v>
      </c>
      <c r="R692" s="16">
        <v>0</v>
      </c>
      <c r="S692" s="16"/>
      <c r="T692" s="16" t="e">
        <v>#N/A</v>
      </c>
      <c r="U692" s="16" t="e">
        <v>#N/A</v>
      </c>
    </row>
    <row r="693" spans="1:21" x14ac:dyDescent="0.25">
      <c r="A693" s="12" t="s">
        <v>21</v>
      </c>
      <c r="B693" s="12" t="s">
        <v>684</v>
      </c>
      <c r="C693" s="12" t="s">
        <v>23</v>
      </c>
      <c r="D693" s="13">
        <v>46252.608981481484</v>
      </c>
      <c r="E693" s="12" t="s">
        <v>522</v>
      </c>
      <c r="F693" s="12" t="s">
        <v>320</v>
      </c>
      <c r="G693" s="12">
        <v>40</v>
      </c>
      <c r="H693" s="12">
        <v>20</v>
      </c>
      <c r="I693" s="14"/>
      <c r="J693" s="14" t="s">
        <v>26</v>
      </c>
      <c r="K693" s="12" t="s">
        <v>27</v>
      </c>
      <c r="L693" s="15"/>
      <c r="M693" s="12" t="s">
        <v>28</v>
      </c>
      <c r="N693" s="12"/>
      <c r="O693" s="12"/>
      <c r="P693" s="12"/>
      <c r="Q693" s="16">
        <v>0</v>
      </c>
      <c r="R693" s="16">
        <v>1</v>
      </c>
      <c r="S693" s="16"/>
      <c r="T693" s="16" t="e">
        <v>#N/A</v>
      </c>
      <c r="U693" s="16" t="e">
        <v>#N/A</v>
      </c>
    </row>
    <row r="694" spans="1:21" x14ac:dyDescent="0.25">
      <c r="A694" s="12" t="s">
        <v>21</v>
      </c>
      <c r="B694" s="12" t="s">
        <v>685</v>
      </c>
      <c r="C694" s="12" t="s">
        <v>23</v>
      </c>
      <c r="D694" s="13">
        <v>46253.380104166667</v>
      </c>
      <c r="E694" s="12" t="s">
        <v>686</v>
      </c>
      <c r="F694" s="12" t="s">
        <v>262</v>
      </c>
      <c r="G694" s="12">
        <v>2000</v>
      </c>
      <c r="H694" s="12">
        <v>1600</v>
      </c>
      <c r="I694" s="14"/>
      <c r="J694" s="14" t="s">
        <v>26</v>
      </c>
      <c r="K694" s="12" t="s">
        <v>27</v>
      </c>
      <c r="L694" s="15"/>
      <c r="M694" s="12" t="s">
        <v>28</v>
      </c>
      <c r="N694" s="12"/>
      <c r="O694" s="12"/>
      <c r="P694" s="12"/>
      <c r="Q694" s="16">
        <v>0</v>
      </c>
      <c r="R694" s="16">
        <v>0</v>
      </c>
      <c r="S694" s="16"/>
      <c r="T694" s="16" t="e">
        <v>#N/A</v>
      </c>
      <c r="U694" s="16" t="e">
        <v>#N/A</v>
      </c>
    </row>
    <row r="695" spans="1:21" x14ac:dyDescent="0.25">
      <c r="A695" s="12" t="s">
        <v>21</v>
      </c>
      <c r="B695" s="12" t="s">
        <v>687</v>
      </c>
      <c r="C695" s="12" t="s">
        <v>23</v>
      </c>
      <c r="D695" s="13">
        <v>46253.521597222221</v>
      </c>
      <c r="E695" s="12" t="s">
        <v>688</v>
      </c>
      <c r="F695" s="12" t="s">
        <v>617</v>
      </c>
      <c r="G695" s="12">
        <v>6</v>
      </c>
      <c r="H695" s="12">
        <v>6</v>
      </c>
      <c r="I695" s="14">
        <v>-4</v>
      </c>
      <c r="J695" s="14" t="s">
        <v>61</v>
      </c>
      <c r="K695" s="12" t="s">
        <v>27</v>
      </c>
      <c r="L695" s="15"/>
      <c r="M695" s="12" t="s">
        <v>28</v>
      </c>
      <c r="N695" s="12"/>
      <c r="O695" s="12"/>
      <c r="P695" s="12"/>
      <c r="Q695" s="16">
        <v>8</v>
      </c>
      <c r="R695" s="16">
        <v>0</v>
      </c>
      <c r="S695" s="16"/>
      <c r="T695" s="16" t="e">
        <v>#N/A</v>
      </c>
      <c r="U695" s="16" t="e">
        <v>#N/A</v>
      </c>
    </row>
    <row r="696" spans="1:21" x14ac:dyDescent="0.25">
      <c r="A696" s="12" t="s">
        <v>21</v>
      </c>
      <c r="B696" s="12" t="s">
        <v>687</v>
      </c>
      <c r="C696" s="12" t="s">
        <v>23</v>
      </c>
      <c r="D696" s="13">
        <v>46253.521597222221</v>
      </c>
      <c r="E696" s="12" t="s">
        <v>688</v>
      </c>
      <c r="F696" s="12" t="s">
        <v>525</v>
      </c>
      <c r="G696" s="12">
        <v>40</v>
      </c>
      <c r="H696" s="12">
        <v>40</v>
      </c>
      <c r="I696" s="14"/>
      <c r="J696" s="14" t="s">
        <v>61</v>
      </c>
      <c r="K696" s="12" t="s">
        <v>27</v>
      </c>
      <c r="L696" s="15"/>
      <c r="M696" s="12" t="s">
        <v>28</v>
      </c>
      <c r="N696" s="12"/>
      <c r="O696" s="12"/>
      <c r="P696" s="12"/>
      <c r="Q696" s="16">
        <v>12</v>
      </c>
      <c r="R696" s="16">
        <v>0</v>
      </c>
      <c r="S696" s="16"/>
      <c r="T696" s="16" t="e">
        <v>#N/A</v>
      </c>
      <c r="U696" s="16" t="e">
        <v>#N/A</v>
      </c>
    </row>
    <row r="697" spans="1:21" x14ac:dyDescent="0.25">
      <c r="A697" s="12" t="s">
        <v>21</v>
      </c>
      <c r="B697" s="12" t="s">
        <v>687</v>
      </c>
      <c r="C697" s="12" t="s">
        <v>23</v>
      </c>
      <c r="D697" s="13">
        <v>46253.521597222221</v>
      </c>
      <c r="E697" s="12" t="s">
        <v>688</v>
      </c>
      <c r="F697" s="12" t="s">
        <v>219</v>
      </c>
      <c r="G697" s="12">
        <v>150</v>
      </c>
      <c r="H697" s="12">
        <v>150</v>
      </c>
      <c r="I697" s="14">
        <v>-15</v>
      </c>
      <c r="J697" s="14" t="s">
        <v>26</v>
      </c>
      <c r="K697" s="12" t="s">
        <v>27</v>
      </c>
      <c r="L697" s="15"/>
      <c r="M697" s="12" t="s">
        <v>28</v>
      </c>
      <c r="N697" s="12"/>
      <c r="O697" s="12"/>
      <c r="P697" s="12"/>
      <c r="Q697" s="16">
        <v>0</v>
      </c>
      <c r="R697" s="16">
        <v>637</v>
      </c>
      <c r="S697" s="16">
        <v>135</v>
      </c>
      <c r="T697" s="16" t="e">
        <v>#N/A</v>
      </c>
      <c r="U697" s="16" t="e">
        <v>#N/A</v>
      </c>
    </row>
    <row r="698" spans="1:21" x14ac:dyDescent="0.25">
      <c r="A698" s="12" t="s">
        <v>21</v>
      </c>
      <c r="B698" s="12" t="s">
        <v>689</v>
      </c>
      <c r="C698" s="12" t="s">
        <v>23</v>
      </c>
      <c r="D698" s="13">
        <v>46253.609444444446</v>
      </c>
      <c r="E698" s="12" t="s">
        <v>627</v>
      </c>
      <c r="F698" s="12" t="s">
        <v>690</v>
      </c>
      <c r="G698" s="12">
        <v>20</v>
      </c>
      <c r="H698" s="12">
        <v>1</v>
      </c>
      <c r="I698" s="14"/>
      <c r="J698" s="14" t="s">
        <v>61</v>
      </c>
      <c r="K698" s="12" t="s">
        <v>27</v>
      </c>
      <c r="L698" s="15"/>
      <c r="M698" s="12" t="s">
        <v>28</v>
      </c>
      <c r="N698" s="12"/>
      <c r="O698" s="12"/>
      <c r="P698" s="12"/>
      <c r="Q698" s="16">
        <v>20</v>
      </c>
      <c r="R698" s="16">
        <v>0</v>
      </c>
      <c r="S698" s="16"/>
      <c r="T698" s="16" t="e">
        <v>#N/A</v>
      </c>
      <c r="U698" s="16" t="e">
        <v>#N/A</v>
      </c>
    </row>
    <row r="699" spans="1:21" x14ac:dyDescent="0.25">
      <c r="A699" s="12" t="s">
        <v>21</v>
      </c>
      <c r="B699" s="12" t="s">
        <v>691</v>
      </c>
      <c r="C699" s="12" t="s">
        <v>23</v>
      </c>
      <c r="D699" s="13">
        <v>46253.63385416667</v>
      </c>
      <c r="E699" s="12" t="s">
        <v>423</v>
      </c>
      <c r="F699" s="12" t="s">
        <v>535</v>
      </c>
      <c r="G699" s="12">
        <v>600</v>
      </c>
      <c r="H699" s="12">
        <v>240</v>
      </c>
      <c r="I699" s="14"/>
      <c r="J699" s="14" t="s">
        <v>26</v>
      </c>
      <c r="K699" s="12" t="s">
        <v>27</v>
      </c>
      <c r="L699" s="15"/>
      <c r="M699" s="12" t="s">
        <v>28</v>
      </c>
      <c r="N699" s="12"/>
      <c r="O699" s="12"/>
      <c r="P699" s="12"/>
      <c r="Q699" s="16">
        <v>0</v>
      </c>
      <c r="R699" s="16">
        <v>44</v>
      </c>
      <c r="S699" s="16"/>
      <c r="T699" s="16" t="e">
        <v>#N/A</v>
      </c>
      <c r="U699" s="16" t="e">
        <v>#N/A</v>
      </c>
    </row>
    <row r="700" spans="1:21" x14ac:dyDescent="0.25">
      <c r="A700" s="12" t="s">
        <v>21</v>
      </c>
      <c r="B700" s="12" t="s">
        <v>691</v>
      </c>
      <c r="C700" s="12" t="s">
        <v>23</v>
      </c>
      <c r="D700" s="13">
        <v>46253.63385416667</v>
      </c>
      <c r="E700" s="12" t="s">
        <v>423</v>
      </c>
      <c r="F700" s="12" t="s">
        <v>439</v>
      </c>
      <c r="G700" s="12">
        <v>600</v>
      </c>
      <c r="H700" s="12">
        <v>200</v>
      </c>
      <c r="I700" s="14"/>
      <c r="J700" s="14" t="s">
        <v>26</v>
      </c>
      <c r="K700" s="12" t="s">
        <v>27</v>
      </c>
      <c r="L700" s="15"/>
      <c r="M700" s="12" t="s">
        <v>28</v>
      </c>
      <c r="N700" s="12"/>
      <c r="O700" s="12"/>
      <c r="P700" s="12"/>
      <c r="Q700" s="16">
        <v>0</v>
      </c>
      <c r="R700" s="16">
        <v>0</v>
      </c>
      <c r="S700" s="16"/>
      <c r="T700" s="16" t="e">
        <v>#N/A</v>
      </c>
      <c r="U700" s="16" t="e">
        <v>#N/A</v>
      </c>
    </row>
    <row r="701" spans="1:21" x14ac:dyDescent="0.25">
      <c r="A701" s="12" t="s">
        <v>21</v>
      </c>
      <c r="B701" s="12" t="s">
        <v>692</v>
      </c>
      <c r="C701" s="12" t="s">
        <v>23</v>
      </c>
      <c r="D701" s="13">
        <v>46254.343506944446</v>
      </c>
      <c r="E701" s="12" t="s">
        <v>331</v>
      </c>
      <c r="F701" s="12" t="s">
        <v>130</v>
      </c>
      <c r="G701" s="12">
        <v>1000</v>
      </c>
      <c r="H701" s="12">
        <v>520</v>
      </c>
      <c r="I701" s="14">
        <v>-100</v>
      </c>
      <c r="J701" s="14" t="s">
        <v>26</v>
      </c>
      <c r="K701" s="12" t="s">
        <v>27</v>
      </c>
      <c r="L701" s="15"/>
      <c r="M701" s="12" t="s">
        <v>28</v>
      </c>
      <c r="N701" s="12"/>
      <c r="O701" s="12"/>
      <c r="P701" s="12"/>
      <c r="Q701" s="16">
        <v>0</v>
      </c>
      <c r="R701" s="16">
        <v>6</v>
      </c>
      <c r="S701" s="16"/>
      <c r="T701" s="16" t="e">
        <v>#N/A</v>
      </c>
      <c r="U701" s="16" t="e">
        <v>#N/A</v>
      </c>
    </row>
    <row r="702" spans="1:21" x14ac:dyDescent="0.25">
      <c r="A702" s="12" t="s">
        <v>21</v>
      </c>
      <c r="B702" s="12" t="s">
        <v>692</v>
      </c>
      <c r="C702" s="12" t="s">
        <v>23</v>
      </c>
      <c r="D702" s="13">
        <v>46254.343506944446</v>
      </c>
      <c r="E702" s="12" t="s">
        <v>331</v>
      </c>
      <c r="F702" s="12" t="s">
        <v>134</v>
      </c>
      <c r="G702" s="12">
        <v>150</v>
      </c>
      <c r="H702" s="12">
        <v>150</v>
      </c>
      <c r="I702" s="14"/>
      <c r="J702" s="14" t="s">
        <v>26</v>
      </c>
      <c r="K702" s="12" t="s">
        <v>27</v>
      </c>
      <c r="L702" s="15"/>
      <c r="M702" s="12" t="s">
        <v>28</v>
      </c>
      <c r="N702" s="12"/>
      <c r="O702" s="12"/>
      <c r="P702" s="12"/>
      <c r="Q702" s="16">
        <v>0</v>
      </c>
      <c r="R702" s="16">
        <v>6</v>
      </c>
      <c r="S702" s="16"/>
      <c r="T702" s="16" t="e">
        <v>#N/A</v>
      </c>
      <c r="U702" s="16" t="e">
        <v>#N/A</v>
      </c>
    </row>
    <row r="703" spans="1:21" x14ac:dyDescent="0.25">
      <c r="A703" s="12" t="s">
        <v>21</v>
      </c>
      <c r="B703" s="12" t="s">
        <v>693</v>
      </c>
      <c r="C703" s="12" t="s">
        <v>23</v>
      </c>
      <c r="D703" s="13">
        <v>46254.370798611111</v>
      </c>
      <c r="E703" s="12" t="s">
        <v>24</v>
      </c>
      <c r="F703" s="12" t="s">
        <v>694</v>
      </c>
      <c r="G703" s="12">
        <v>3</v>
      </c>
      <c r="H703" s="12">
        <v>3</v>
      </c>
      <c r="I703" s="14"/>
      <c r="J703" s="14" t="s">
        <v>61</v>
      </c>
      <c r="K703" s="12" t="s">
        <v>696</v>
      </c>
      <c r="L703" s="15">
        <v>1</v>
      </c>
      <c r="M703" s="12" t="s">
        <v>150</v>
      </c>
      <c r="N703" s="12">
        <v>3</v>
      </c>
      <c r="O703" s="12">
        <v>3</v>
      </c>
      <c r="P703" s="12">
        <v>0</v>
      </c>
      <c r="Q703" s="16">
        <v>3</v>
      </c>
      <c r="R703" s="16">
        <v>0</v>
      </c>
      <c r="S703" s="16"/>
      <c r="T703" s="16" t="e">
        <v>#N/A</v>
      </c>
      <c r="U703" s="16" t="e">
        <v>#N/A</v>
      </c>
    </row>
    <row r="704" spans="1:21" x14ac:dyDescent="0.25">
      <c r="A704" s="12" t="s">
        <v>21</v>
      </c>
      <c r="B704" s="12" t="s">
        <v>693</v>
      </c>
      <c r="C704" s="12" t="s">
        <v>23</v>
      </c>
      <c r="D704" s="13">
        <v>46254.370798611111</v>
      </c>
      <c r="E704" s="12" t="s">
        <v>24</v>
      </c>
      <c r="F704" s="12" t="s">
        <v>695</v>
      </c>
      <c r="G704" s="12">
        <v>2</v>
      </c>
      <c r="H704" s="12">
        <v>2</v>
      </c>
      <c r="I704" s="14"/>
      <c r="J704" s="14" t="s">
        <v>61</v>
      </c>
      <c r="K704" s="12" t="s">
        <v>697</v>
      </c>
      <c r="L704" s="15">
        <v>1</v>
      </c>
      <c r="M704" s="12" t="s">
        <v>150</v>
      </c>
      <c r="N704" s="12">
        <v>2</v>
      </c>
      <c r="O704" s="12">
        <v>2</v>
      </c>
      <c r="P704" s="12">
        <v>0</v>
      </c>
      <c r="Q704" s="16">
        <v>2</v>
      </c>
      <c r="R704" s="16">
        <v>0</v>
      </c>
      <c r="S704" s="16"/>
      <c r="T704" s="16" t="e">
        <v>#N/A</v>
      </c>
      <c r="U704" s="16" t="e">
        <v>#N/A</v>
      </c>
    </row>
    <row r="705" spans="1:21" x14ac:dyDescent="0.25">
      <c r="A705" s="12" t="s">
        <v>21</v>
      </c>
      <c r="B705" s="12" t="s">
        <v>698</v>
      </c>
      <c r="C705" s="12" t="s">
        <v>23</v>
      </c>
      <c r="D705" s="13">
        <v>46254.525277777779</v>
      </c>
      <c r="E705" s="12" t="s">
        <v>511</v>
      </c>
      <c r="F705" s="12" t="s">
        <v>699</v>
      </c>
      <c r="G705" s="12">
        <v>10</v>
      </c>
      <c r="H705" s="12">
        <v>10</v>
      </c>
      <c r="I705" s="14"/>
      <c r="J705" s="14" t="s">
        <v>61</v>
      </c>
      <c r="K705" s="12" t="s">
        <v>700</v>
      </c>
      <c r="L705" s="15">
        <v>1</v>
      </c>
      <c r="M705" s="12" t="s">
        <v>150</v>
      </c>
      <c r="N705" s="12">
        <v>10</v>
      </c>
      <c r="O705" s="12">
        <v>10</v>
      </c>
      <c r="P705" s="12">
        <v>0</v>
      </c>
      <c r="Q705" s="16">
        <v>10</v>
      </c>
      <c r="R705" s="16">
        <v>0</v>
      </c>
      <c r="S705" s="16"/>
      <c r="T705" s="16" t="e">
        <v>#N/A</v>
      </c>
      <c r="U705" s="16" t="e">
        <v>#N/A</v>
      </c>
    </row>
    <row r="706" spans="1:21" x14ac:dyDescent="0.25">
      <c r="A706" s="12" t="s">
        <v>21</v>
      </c>
      <c r="B706" s="12" t="s">
        <v>698</v>
      </c>
      <c r="C706" s="12" t="s">
        <v>23</v>
      </c>
      <c r="D706" s="13">
        <v>46254.525277777779</v>
      </c>
      <c r="E706" s="12" t="s">
        <v>511</v>
      </c>
      <c r="F706" s="12" t="s">
        <v>701</v>
      </c>
      <c r="G706" s="12">
        <v>20</v>
      </c>
      <c r="H706" s="12">
        <v>20</v>
      </c>
      <c r="I706" s="14"/>
      <c r="J706" s="14" t="s">
        <v>61</v>
      </c>
      <c r="K706" s="12" t="s">
        <v>702</v>
      </c>
      <c r="L706" s="15">
        <v>1</v>
      </c>
      <c r="M706" s="12" t="s">
        <v>150</v>
      </c>
      <c r="N706" s="12">
        <v>20</v>
      </c>
      <c r="O706" s="12">
        <v>20</v>
      </c>
      <c r="P706" s="12">
        <v>0</v>
      </c>
      <c r="Q706" s="16">
        <v>20</v>
      </c>
      <c r="R706" s="16">
        <v>0</v>
      </c>
      <c r="S706" s="16"/>
      <c r="T706" s="16" t="e">
        <v>#N/A</v>
      </c>
      <c r="U706" s="16" t="e">
        <v>#N/A</v>
      </c>
    </row>
    <row r="707" spans="1:21" x14ac:dyDescent="0.25">
      <c r="A707" s="12" t="s">
        <v>21</v>
      </c>
      <c r="B707" s="12" t="s">
        <v>698</v>
      </c>
      <c r="C707" s="12" t="s">
        <v>23</v>
      </c>
      <c r="D707" s="13">
        <v>46254.525277777779</v>
      </c>
      <c r="E707" s="12" t="s">
        <v>511</v>
      </c>
      <c r="F707" s="12" t="s">
        <v>71</v>
      </c>
      <c r="G707" s="12">
        <v>100</v>
      </c>
      <c r="H707" s="12">
        <v>50</v>
      </c>
      <c r="I707" s="14"/>
      <c r="J707" s="14" t="s">
        <v>26</v>
      </c>
      <c r="K707" s="12" t="s">
        <v>27</v>
      </c>
      <c r="L707" s="15"/>
      <c r="M707" s="12" t="s">
        <v>28</v>
      </c>
      <c r="N707" s="12"/>
      <c r="O707" s="12"/>
      <c r="P707" s="12"/>
      <c r="Q707" s="16">
        <v>0</v>
      </c>
      <c r="R707" s="16">
        <v>0</v>
      </c>
      <c r="S707" s="16">
        <v>20</v>
      </c>
      <c r="T707" s="16" t="e">
        <v>#N/A</v>
      </c>
      <c r="U707" s="16" t="e">
        <v>#N/A</v>
      </c>
    </row>
    <row r="708" spans="1:21" x14ac:dyDescent="0.25">
      <c r="A708" s="12" t="s">
        <v>21</v>
      </c>
      <c r="B708" s="12" t="s">
        <v>698</v>
      </c>
      <c r="C708" s="12" t="s">
        <v>23</v>
      </c>
      <c r="D708" s="13">
        <v>46254.525277777779</v>
      </c>
      <c r="E708" s="12" t="s">
        <v>511</v>
      </c>
      <c r="F708" s="12" t="s">
        <v>560</v>
      </c>
      <c r="G708" s="12">
        <v>10</v>
      </c>
      <c r="H708" s="12">
        <v>10</v>
      </c>
      <c r="I708" s="14"/>
      <c r="J708" s="14" t="s">
        <v>61</v>
      </c>
      <c r="K708" s="12" t="s">
        <v>704</v>
      </c>
      <c r="L708" s="15">
        <v>1</v>
      </c>
      <c r="M708" s="12" t="s">
        <v>150</v>
      </c>
      <c r="N708" s="12">
        <v>10</v>
      </c>
      <c r="O708" s="12">
        <v>10</v>
      </c>
      <c r="P708" s="12">
        <v>0</v>
      </c>
      <c r="Q708" s="16">
        <v>10</v>
      </c>
      <c r="R708" s="16">
        <v>0</v>
      </c>
      <c r="S708" s="16"/>
      <c r="T708" s="16" t="e">
        <v>#N/A</v>
      </c>
      <c r="U708" s="16" t="e">
        <v>#N/A</v>
      </c>
    </row>
    <row r="709" spans="1:21" x14ac:dyDescent="0.25">
      <c r="A709" s="12" t="s">
        <v>21</v>
      </c>
      <c r="B709" s="12" t="s">
        <v>698</v>
      </c>
      <c r="C709" s="12" t="s">
        <v>23</v>
      </c>
      <c r="D709" s="13">
        <v>46254.525277777779</v>
      </c>
      <c r="E709" s="12" t="s">
        <v>511</v>
      </c>
      <c r="F709" s="12" t="s">
        <v>703</v>
      </c>
      <c r="G709" s="12">
        <v>20</v>
      </c>
      <c r="H709" s="12">
        <v>20</v>
      </c>
      <c r="I709" s="14"/>
      <c r="J709" s="14" t="s">
        <v>61</v>
      </c>
      <c r="K709" s="12" t="s">
        <v>705</v>
      </c>
      <c r="L709" s="15">
        <v>1</v>
      </c>
      <c r="M709" s="12" t="s">
        <v>150</v>
      </c>
      <c r="N709" s="12">
        <v>20</v>
      </c>
      <c r="O709" s="12">
        <v>20</v>
      </c>
      <c r="P709" s="12">
        <v>0</v>
      </c>
      <c r="Q709" s="16">
        <v>20</v>
      </c>
      <c r="R709" s="16">
        <v>0</v>
      </c>
      <c r="S709" s="16"/>
      <c r="T709" s="16" t="e">
        <v>#N/A</v>
      </c>
      <c r="U709" s="16" t="e">
        <v>#N/A</v>
      </c>
    </row>
    <row r="710" spans="1:21" x14ac:dyDescent="0.25">
      <c r="A710" s="12" t="s">
        <v>21</v>
      </c>
      <c r="B710" s="12" t="s">
        <v>698</v>
      </c>
      <c r="C710" s="12" t="s">
        <v>23</v>
      </c>
      <c r="D710" s="13">
        <v>46254.525277777779</v>
      </c>
      <c r="E710" s="12" t="s">
        <v>511</v>
      </c>
      <c r="F710" s="12" t="s">
        <v>320</v>
      </c>
      <c r="G710" s="12">
        <v>70</v>
      </c>
      <c r="H710" s="12">
        <v>70</v>
      </c>
      <c r="I710" s="14"/>
      <c r="J710" s="14" t="s">
        <v>26</v>
      </c>
      <c r="K710" s="12" t="s">
        <v>27</v>
      </c>
      <c r="L710" s="15"/>
      <c r="M710" s="12" t="s">
        <v>28</v>
      </c>
      <c r="N710" s="12"/>
      <c r="O710" s="12"/>
      <c r="P710" s="12"/>
      <c r="Q710" s="16">
        <v>0</v>
      </c>
      <c r="R710" s="16">
        <v>1</v>
      </c>
      <c r="S710" s="16"/>
      <c r="T710" s="16" t="e">
        <v>#N/A</v>
      </c>
      <c r="U710" s="16" t="e">
        <v>#N/A</v>
      </c>
    </row>
    <row r="711" spans="1:21" x14ac:dyDescent="0.25">
      <c r="A711" s="12" t="s">
        <v>21</v>
      </c>
      <c r="B711" s="12" t="s">
        <v>706</v>
      </c>
      <c r="C711" s="12" t="s">
        <v>23</v>
      </c>
      <c r="D711" s="13">
        <v>46254.622511574074</v>
      </c>
      <c r="E711" s="12" t="s">
        <v>522</v>
      </c>
      <c r="F711" s="12" t="s">
        <v>442</v>
      </c>
      <c r="G711" s="12">
        <v>30</v>
      </c>
      <c r="H711" s="12">
        <v>30</v>
      </c>
      <c r="I711" s="14"/>
      <c r="J711" s="14" t="s">
        <v>61</v>
      </c>
      <c r="K711" s="12" t="s">
        <v>707</v>
      </c>
      <c r="L711" s="15">
        <v>1</v>
      </c>
      <c r="M711" s="12" t="s">
        <v>150</v>
      </c>
      <c r="N711" s="12">
        <v>30</v>
      </c>
      <c r="O711" s="12">
        <v>30</v>
      </c>
      <c r="P711" s="12">
        <v>0</v>
      </c>
      <c r="Q711" s="16">
        <v>60</v>
      </c>
      <c r="R711" s="16">
        <v>0</v>
      </c>
      <c r="S711" s="16"/>
      <c r="T711" s="16" t="e">
        <v>#N/A</v>
      </c>
      <c r="U711" s="16" t="e">
        <v>#N/A</v>
      </c>
    </row>
    <row r="712" spans="1:21" x14ac:dyDescent="0.25">
      <c r="A712" s="12" t="s">
        <v>21</v>
      </c>
      <c r="B712" s="12" t="s">
        <v>706</v>
      </c>
      <c r="C712" s="12" t="s">
        <v>23</v>
      </c>
      <c r="D712" s="13">
        <v>46254.622511574074</v>
      </c>
      <c r="E712" s="12" t="s">
        <v>522</v>
      </c>
      <c r="F712" s="12" t="s">
        <v>326</v>
      </c>
      <c r="G712" s="12">
        <v>40</v>
      </c>
      <c r="H712" s="12">
        <v>40</v>
      </c>
      <c r="I712" s="14"/>
      <c r="J712" s="14" t="s">
        <v>61</v>
      </c>
      <c r="K712" s="12" t="s">
        <v>708</v>
      </c>
      <c r="L712" s="15">
        <v>1</v>
      </c>
      <c r="M712" s="12" t="s">
        <v>150</v>
      </c>
      <c r="N712" s="12">
        <v>40</v>
      </c>
      <c r="O712" s="12">
        <v>40</v>
      </c>
      <c r="P712" s="12">
        <v>0</v>
      </c>
      <c r="Q712" s="16">
        <v>40</v>
      </c>
      <c r="R712" s="16">
        <v>0</v>
      </c>
      <c r="S712" s="16"/>
      <c r="T712" s="16" t="e">
        <v>#N/A</v>
      </c>
      <c r="U712" s="16" t="e">
        <v>#N/A</v>
      </c>
    </row>
    <row r="713" spans="1:21" x14ac:dyDescent="0.25">
      <c r="A713" s="12" t="s">
        <v>21</v>
      </c>
      <c r="B713" s="12" t="s">
        <v>709</v>
      </c>
      <c r="C713" s="12" t="s">
        <v>23</v>
      </c>
      <c r="D713" s="13">
        <v>46255.317893518521</v>
      </c>
      <c r="E713" s="12" t="s">
        <v>69</v>
      </c>
      <c r="F713" s="12" t="s">
        <v>710</v>
      </c>
      <c r="G713" s="12">
        <v>1</v>
      </c>
      <c r="H713" s="12">
        <v>1</v>
      </c>
      <c r="I713" s="14"/>
      <c r="J713" s="14" t="s">
        <v>26</v>
      </c>
      <c r="K713" s="12" t="s">
        <v>713</v>
      </c>
      <c r="L713" s="15">
        <v>1</v>
      </c>
      <c r="M713" s="12" t="s">
        <v>150</v>
      </c>
      <c r="N713" s="12">
        <v>1</v>
      </c>
      <c r="O713" s="12">
        <v>1</v>
      </c>
      <c r="P713" s="12">
        <v>0</v>
      </c>
      <c r="Q713" s="16">
        <v>0</v>
      </c>
      <c r="R713" s="16">
        <v>0</v>
      </c>
      <c r="S713" s="16"/>
      <c r="T713" s="16" t="e">
        <v>#N/A</v>
      </c>
      <c r="U713" s="16" t="e">
        <v>#N/A</v>
      </c>
    </row>
    <row r="714" spans="1:21" x14ac:dyDescent="0.25">
      <c r="A714" s="12" t="s">
        <v>21</v>
      </c>
      <c r="B714" s="12" t="s">
        <v>709</v>
      </c>
      <c r="C714" s="12" t="s">
        <v>23</v>
      </c>
      <c r="D714" s="13">
        <v>46255.317893518521</v>
      </c>
      <c r="E714" s="12" t="s">
        <v>69</v>
      </c>
      <c r="F714" s="12" t="s">
        <v>711</v>
      </c>
      <c r="G714" s="12">
        <v>1</v>
      </c>
      <c r="H714" s="12">
        <v>1</v>
      </c>
      <c r="I714" s="14"/>
      <c r="J714" s="14" t="s">
        <v>61</v>
      </c>
      <c r="K714" s="12" t="s">
        <v>714</v>
      </c>
      <c r="L714" s="15">
        <v>1</v>
      </c>
      <c r="M714" s="12" t="s">
        <v>150</v>
      </c>
      <c r="N714" s="12">
        <v>1</v>
      </c>
      <c r="O714" s="12">
        <v>1</v>
      </c>
      <c r="P714" s="12">
        <v>0</v>
      </c>
      <c r="Q714" s="16">
        <v>1</v>
      </c>
      <c r="R714" s="16">
        <v>0</v>
      </c>
      <c r="S714" s="16"/>
      <c r="T714" s="16" t="e">
        <v>#N/A</v>
      </c>
      <c r="U714" s="16" t="e">
        <v>#N/A</v>
      </c>
    </row>
    <row r="715" spans="1:21" x14ac:dyDescent="0.25">
      <c r="A715" s="12" t="s">
        <v>21</v>
      </c>
      <c r="B715" s="12" t="s">
        <v>709</v>
      </c>
      <c r="C715" s="12" t="s">
        <v>23</v>
      </c>
      <c r="D715" s="13">
        <v>46255.317893518521</v>
      </c>
      <c r="E715" s="12" t="s">
        <v>69</v>
      </c>
      <c r="F715" s="12" t="s">
        <v>712</v>
      </c>
      <c r="G715" s="12">
        <v>27</v>
      </c>
      <c r="H715" s="12">
        <v>27</v>
      </c>
      <c r="I715" s="14"/>
      <c r="J715" s="14" t="s">
        <v>61</v>
      </c>
      <c r="K715" s="12" t="s">
        <v>715</v>
      </c>
      <c r="L715" s="15">
        <v>1</v>
      </c>
      <c r="M715" s="12" t="s">
        <v>150</v>
      </c>
      <c r="N715" s="12">
        <v>27</v>
      </c>
      <c r="O715" s="12">
        <v>27</v>
      </c>
      <c r="P715" s="12">
        <v>0</v>
      </c>
      <c r="Q715" s="16">
        <v>27</v>
      </c>
      <c r="R715" s="16">
        <v>0</v>
      </c>
      <c r="S715" s="16"/>
      <c r="T715" s="16" t="e">
        <v>#N/A</v>
      </c>
      <c r="U715" s="16" t="e">
        <v>#N/A</v>
      </c>
    </row>
    <row r="716" spans="1:21" x14ac:dyDescent="0.25">
      <c r="A716" s="12" t="s">
        <v>21</v>
      </c>
      <c r="B716" s="12" t="s">
        <v>716</v>
      </c>
      <c r="C716" s="12" t="s">
        <v>23</v>
      </c>
      <c r="D716" s="13">
        <v>46255.331192129626</v>
      </c>
      <c r="E716" s="12" t="s">
        <v>717</v>
      </c>
      <c r="F716" s="12" t="s">
        <v>718</v>
      </c>
      <c r="G716" s="12">
        <v>1</v>
      </c>
      <c r="H716" s="12">
        <v>1</v>
      </c>
      <c r="I716" s="14"/>
      <c r="J716" s="14" t="s">
        <v>61</v>
      </c>
      <c r="K716" s="12" t="s">
        <v>720</v>
      </c>
      <c r="L716" s="15">
        <v>1</v>
      </c>
      <c r="M716" s="12" t="s">
        <v>150</v>
      </c>
      <c r="N716" s="12">
        <v>1</v>
      </c>
      <c r="O716" s="12">
        <v>1</v>
      </c>
      <c r="P716" s="12">
        <v>0</v>
      </c>
      <c r="Q716" s="16">
        <v>1</v>
      </c>
      <c r="R716" s="16">
        <v>0</v>
      </c>
      <c r="S716" s="16"/>
      <c r="T716" s="16" t="e">
        <v>#N/A</v>
      </c>
      <c r="U716" s="16" t="e">
        <v>#N/A</v>
      </c>
    </row>
    <row r="717" spans="1:21" x14ac:dyDescent="0.25">
      <c r="A717" s="12" t="s">
        <v>21</v>
      </c>
      <c r="B717" s="12" t="s">
        <v>716</v>
      </c>
      <c r="C717" s="12" t="s">
        <v>23</v>
      </c>
      <c r="D717" s="13">
        <v>46255.331192129626</v>
      </c>
      <c r="E717" s="12" t="s">
        <v>717</v>
      </c>
      <c r="F717" s="12" t="s">
        <v>719</v>
      </c>
      <c r="G717" s="12">
        <v>1</v>
      </c>
      <c r="H717" s="12">
        <v>1</v>
      </c>
      <c r="I717" s="14"/>
      <c r="J717" s="14" t="s">
        <v>61</v>
      </c>
      <c r="K717" s="12" t="s">
        <v>721</v>
      </c>
      <c r="L717" s="15">
        <v>1</v>
      </c>
      <c r="M717" s="12" t="s">
        <v>150</v>
      </c>
      <c r="N717" s="12">
        <v>1</v>
      </c>
      <c r="O717" s="12">
        <v>1</v>
      </c>
      <c r="P717" s="12">
        <v>0</v>
      </c>
      <c r="Q717" s="16">
        <v>1</v>
      </c>
      <c r="R717" s="16">
        <v>0</v>
      </c>
      <c r="S717" s="16"/>
      <c r="T717" s="16" t="e">
        <v>#N/A</v>
      </c>
      <c r="U717" s="16" t="e">
        <v>#N/A</v>
      </c>
    </row>
    <row r="718" spans="1:21" x14ac:dyDescent="0.25">
      <c r="A718" s="12" t="s">
        <v>21</v>
      </c>
      <c r="B718" s="12" t="s">
        <v>722</v>
      </c>
      <c r="C718" s="12" t="s">
        <v>23</v>
      </c>
      <c r="D718" s="13">
        <v>46255.341967592591</v>
      </c>
      <c r="E718" s="12" t="s">
        <v>522</v>
      </c>
      <c r="F718" s="12" t="s">
        <v>134</v>
      </c>
      <c r="G718" s="12">
        <v>50</v>
      </c>
      <c r="H718" s="12">
        <v>40</v>
      </c>
      <c r="I718" s="14"/>
      <c r="J718" s="14" t="s">
        <v>26</v>
      </c>
      <c r="K718" s="12" t="s">
        <v>27</v>
      </c>
      <c r="L718" s="15"/>
      <c r="M718" s="12" t="s">
        <v>28</v>
      </c>
      <c r="N718" s="12"/>
      <c r="O718" s="12"/>
      <c r="P718" s="12"/>
      <c r="Q718" s="16">
        <v>0</v>
      </c>
      <c r="R718" s="16">
        <v>6</v>
      </c>
      <c r="S718" s="16"/>
      <c r="T718" s="16" t="e">
        <v>#N/A</v>
      </c>
      <c r="U718" s="16" t="e">
        <v>#N/A</v>
      </c>
    </row>
    <row r="719" spans="1:21" x14ac:dyDescent="0.25">
      <c r="A719" s="12" t="s">
        <v>21</v>
      </c>
      <c r="B719" s="12" t="s">
        <v>722</v>
      </c>
      <c r="C719" s="12" t="s">
        <v>23</v>
      </c>
      <c r="D719" s="13">
        <v>46255.341967592591</v>
      </c>
      <c r="E719" s="12" t="s">
        <v>522</v>
      </c>
      <c r="F719" s="12" t="s">
        <v>371</v>
      </c>
      <c r="G719" s="12">
        <v>200</v>
      </c>
      <c r="H719" s="12">
        <v>200</v>
      </c>
      <c r="I719" s="14"/>
      <c r="J719" s="14" t="s">
        <v>26</v>
      </c>
      <c r="K719" s="12" t="s">
        <v>27</v>
      </c>
      <c r="L719" s="15"/>
      <c r="M719" s="12" t="s">
        <v>28</v>
      </c>
      <c r="N719" s="12"/>
      <c r="O719" s="12"/>
      <c r="P719" s="12"/>
      <c r="Q719" s="16">
        <v>0</v>
      </c>
      <c r="R719" s="16">
        <v>1</v>
      </c>
      <c r="S719" s="16"/>
      <c r="T719" s="16" t="e">
        <v>#N/A</v>
      </c>
      <c r="U719" s="16" t="e">
        <v>#N/A</v>
      </c>
    </row>
    <row r="720" spans="1:21" x14ac:dyDescent="0.25">
      <c r="A720" s="12" t="s">
        <v>21</v>
      </c>
      <c r="B720" s="12" t="s">
        <v>723</v>
      </c>
      <c r="C720" s="12" t="s">
        <v>23</v>
      </c>
      <c r="D720" s="13">
        <v>46255.559039351851</v>
      </c>
      <c r="E720" s="12" t="s">
        <v>345</v>
      </c>
      <c r="F720" s="12" t="s">
        <v>320</v>
      </c>
      <c r="G720" s="12">
        <v>20</v>
      </c>
      <c r="H720" s="12">
        <v>20</v>
      </c>
      <c r="I720" s="14"/>
      <c r="J720" s="14" t="s">
        <v>26</v>
      </c>
      <c r="K720" s="12" t="s">
        <v>27</v>
      </c>
      <c r="L720" s="15"/>
      <c r="M720" s="12" t="s">
        <v>28</v>
      </c>
      <c r="N720" s="12"/>
      <c r="O720" s="12"/>
      <c r="P720" s="12"/>
      <c r="Q720" s="16">
        <v>0</v>
      </c>
      <c r="R720" s="16">
        <v>1</v>
      </c>
      <c r="S720" s="16"/>
      <c r="T720" s="16" t="e">
        <v>#N/A</v>
      </c>
      <c r="U720" s="16" t="e">
        <v>#N/A</v>
      </c>
    </row>
    <row r="721" spans="1:21" x14ac:dyDescent="0.25">
      <c r="A721" s="12" t="s">
        <v>21</v>
      </c>
      <c r="B721" s="12" t="s">
        <v>723</v>
      </c>
      <c r="C721" s="12" t="s">
        <v>23</v>
      </c>
      <c r="D721" s="13">
        <v>46255.559039351851</v>
      </c>
      <c r="E721" s="12" t="s">
        <v>345</v>
      </c>
      <c r="F721" s="12" t="s">
        <v>134</v>
      </c>
      <c r="G721" s="12">
        <v>50</v>
      </c>
      <c r="H721" s="12">
        <v>50</v>
      </c>
      <c r="I721" s="14"/>
      <c r="J721" s="14" t="s">
        <v>26</v>
      </c>
      <c r="K721" s="12" t="s">
        <v>27</v>
      </c>
      <c r="L721" s="15"/>
      <c r="M721" s="12" t="s">
        <v>28</v>
      </c>
      <c r="N721" s="12"/>
      <c r="O721" s="12"/>
      <c r="P721" s="12"/>
      <c r="Q721" s="16">
        <v>0</v>
      </c>
      <c r="R721" s="16">
        <v>6</v>
      </c>
      <c r="S721" s="16"/>
      <c r="T721" s="16" t="e">
        <v>#N/A</v>
      </c>
      <c r="U721" s="16" t="e">
        <v>#N/A</v>
      </c>
    </row>
    <row r="722" spans="1:21" x14ac:dyDescent="0.25">
      <c r="A722" s="12" t="s">
        <v>21</v>
      </c>
      <c r="B722" s="12" t="s">
        <v>723</v>
      </c>
      <c r="C722" s="12" t="s">
        <v>23</v>
      </c>
      <c r="D722" s="13">
        <v>46255.559039351851</v>
      </c>
      <c r="E722" s="12" t="s">
        <v>345</v>
      </c>
      <c r="F722" s="12" t="s">
        <v>371</v>
      </c>
      <c r="G722" s="12">
        <v>200</v>
      </c>
      <c r="H722" s="12">
        <v>200</v>
      </c>
      <c r="I722" s="14"/>
      <c r="J722" s="14" t="s">
        <v>26</v>
      </c>
      <c r="K722" s="12" t="s">
        <v>27</v>
      </c>
      <c r="L722" s="15"/>
      <c r="M722" s="12" t="s">
        <v>28</v>
      </c>
      <c r="N722" s="12"/>
      <c r="O722" s="12"/>
      <c r="P722" s="12"/>
      <c r="Q722" s="16">
        <v>0</v>
      </c>
      <c r="R722" s="16">
        <v>1</v>
      </c>
      <c r="S722" s="16">
        <v>50</v>
      </c>
      <c r="T722" s="16" t="e">
        <v>#N/A</v>
      </c>
      <c r="U722" s="16" t="e">
        <v>#N/A</v>
      </c>
    </row>
    <row r="723" spans="1:21" x14ac:dyDescent="0.25">
      <c r="A723" s="12" t="s">
        <v>21</v>
      </c>
      <c r="B723" s="12" t="s">
        <v>724</v>
      </c>
      <c r="C723" s="12" t="s">
        <v>23</v>
      </c>
      <c r="D723" s="13">
        <v>46255.604097222225</v>
      </c>
      <c r="E723" s="12" t="s">
        <v>156</v>
      </c>
      <c r="F723" s="12" t="s">
        <v>725</v>
      </c>
      <c r="G723" s="12">
        <v>2</v>
      </c>
      <c r="H723" s="12">
        <v>2</v>
      </c>
      <c r="I723" s="14"/>
      <c r="J723" s="14" t="s">
        <v>61</v>
      </c>
      <c r="K723" s="12" t="s">
        <v>727</v>
      </c>
      <c r="L723" s="15">
        <v>1</v>
      </c>
      <c r="M723" s="12" t="s">
        <v>150</v>
      </c>
      <c r="N723" s="12">
        <v>2</v>
      </c>
      <c r="O723" s="12">
        <v>2</v>
      </c>
      <c r="P723" s="12">
        <v>0</v>
      </c>
      <c r="Q723" s="16">
        <v>2</v>
      </c>
      <c r="R723" s="16">
        <v>1</v>
      </c>
      <c r="S723" s="16"/>
      <c r="T723" s="16" t="e">
        <v>#N/A</v>
      </c>
      <c r="U723" s="16" t="e">
        <v>#N/A</v>
      </c>
    </row>
    <row r="724" spans="1:21" x14ac:dyDescent="0.25">
      <c r="A724" s="12" t="s">
        <v>21</v>
      </c>
      <c r="B724" s="12" t="s">
        <v>724</v>
      </c>
      <c r="C724" s="12" t="s">
        <v>23</v>
      </c>
      <c r="D724" s="13">
        <v>46255.604097222225</v>
      </c>
      <c r="E724" s="12" t="s">
        <v>156</v>
      </c>
      <c r="F724" s="12" t="s">
        <v>726</v>
      </c>
      <c r="G724" s="12">
        <v>10</v>
      </c>
      <c r="H724" s="12">
        <v>10</v>
      </c>
      <c r="I724" s="14"/>
      <c r="J724" s="14" t="s">
        <v>61</v>
      </c>
      <c r="K724" s="12" t="s">
        <v>728</v>
      </c>
      <c r="L724" s="15">
        <v>1</v>
      </c>
      <c r="M724" s="12" t="s">
        <v>150</v>
      </c>
      <c r="N724" s="12">
        <v>10</v>
      </c>
      <c r="O724" s="12">
        <v>10</v>
      </c>
      <c r="P724" s="12">
        <v>0</v>
      </c>
      <c r="Q724" s="16">
        <v>10</v>
      </c>
      <c r="R724" s="16">
        <v>6</v>
      </c>
      <c r="S724" s="16"/>
      <c r="T724" s="16" t="e">
        <v>#N/A</v>
      </c>
      <c r="U724" s="16" t="e">
        <v>#N/A</v>
      </c>
    </row>
    <row r="725" spans="1:21" x14ac:dyDescent="0.25">
      <c r="A725" s="12" t="s">
        <v>21</v>
      </c>
      <c r="B725" s="12" t="s">
        <v>724</v>
      </c>
      <c r="C725" s="12" t="s">
        <v>23</v>
      </c>
      <c r="D725" s="13">
        <v>46255.604097222225</v>
      </c>
      <c r="E725" s="12" t="s">
        <v>156</v>
      </c>
      <c r="F725" s="12" t="s">
        <v>320</v>
      </c>
      <c r="G725" s="12">
        <v>12</v>
      </c>
      <c r="H725" s="12">
        <v>12</v>
      </c>
      <c r="I725" s="14"/>
      <c r="J725" s="14" t="s">
        <v>26</v>
      </c>
      <c r="K725" s="12" t="s">
        <v>27</v>
      </c>
      <c r="L725" s="15"/>
      <c r="M725" s="12" t="s">
        <v>28</v>
      </c>
      <c r="N725" s="12"/>
      <c r="O725" s="12"/>
      <c r="P725" s="12"/>
      <c r="Q725" s="16">
        <v>0</v>
      </c>
      <c r="R725" s="16">
        <v>1</v>
      </c>
      <c r="S725" s="16"/>
      <c r="T725" s="16" t="e">
        <v>#N/A</v>
      </c>
      <c r="U725" s="16" t="e">
        <v>#N/A</v>
      </c>
    </row>
    <row r="726" spans="1:21" x14ac:dyDescent="0.25">
      <c r="A726" s="12" t="s">
        <v>21</v>
      </c>
      <c r="B726" s="12" t="s">
        <v>724</v>
      </c>
      <c r="C726" s="12" t="s">
        <v>23</v>
      </c>
      <c r="D726" s="13">
        <v>46255.604097222225</v>
      </c>
      <c r="E726" s="12" t="s">
        <v>156</v>
      </c>
      <c r="F726" s="12" t="s">
        <v>262</v>
      </c>
      <c r="G726" s="12">
        <v>80</v>
      </c>
      <c r="H726" s="12">
        <v>80</v>
      </c>
      <c r="I726" s="14"/>
      <c r="J726" s="14" t="s">
        <v>26</v>
      </c>
      <c r="K726" s="12" t="s">
        <v>27</v>
      </c>
      <c r="L726" s="15"/>
      <c r="M726" s="12" t="s">
        <v>28</v>
      </c>
      <c r="N726" s="12"/>
      <c r="O726" s="12"/>
      <c r="P726" s="12"/>
      <c r="Q726" s="16">
        <v>0</v>
      </c>
      <c r="R726" s="16">
        <v>0</v>
      </c>
      <c r="S726" s="16"/>
      <c r="T726" s="16" t="e">
        <v>#N/A</v>
      </c>
      <c r="U726" s="16" t="e">
        <v>#N/A</v>
      </c>
    </row>
    <row r="727" spans="1:21" x14ac:dyDescent="0.25">
      <c r="A727" s="12" t="s">
        <v>21</v>
      </c>
      <c r="B727" s="12" t="s">
        <v>729</v>
      </c>
      <c r="C727" s="12" t="s">
        <v>23</v>
      </c>
      <c r="D727" s="13">
        <v>46256.312662037039</v>
      </c>
      <c r="E727" s="12" t="s">
        <v>730</v>
      </c>
      <c r="F727" s="12" t="s">
        <v>267</v>
      </c>
      <c r="G727" s="12">
        <v>1</v>
      </c>
      <c r="H727" s="12">
        <v>1</v>
      </c>
      <c r="I727" s="14"/>
      <c r="J727" s="14" t="s">
        <v>61</v>
      </c>
      <c r="K727" s="12" t="s">
        <v>27</v>
      </c>
      <c r="L727" s="15"/>
      <c r="M727" s="12" t="s">
        <v>28</v>
      </c>
      <c r="N727" s="12"/>
      <c r="O727" s="12"/>
      <c r="P727" s="12"/>
      <c r="Q727" s="16">
        <v>1</v>
      </c>
      <c r="R727" s="16">
        <v>0</v>
      </c>
      <c r="S727" s="16"/>
      <c r="T727" s="16" t="e">
        <v>#N/A</v>
      </c>
      <c r="U727" s="16" t="e">
        <v>#N/A</v>
      </c>
    </row>
    <row r="728" spans="1:21" x14ac:dyDescent="0.25">
      <c r="A728" s="12" t="s">
        <v>21</v>
      </c>
      <c r="B728" s="12" t="s">
        <v>729</v>
      </c>
      <c r="C728" s="12" t="s">
        <v>23</v>
      </c>
      <c r="D728" s="13">
        <v>46256.312662037039</v>
      </c>
      <c r="E728" s="12" t="s">
        <v>730</v>
      </c>
      <c r="F728" s="12" t="s">
        <v>699</v>
      </c>
      <c r="G728" s="12">
        <v>4</v>
      </c>
      <c r="H728" s="12">
        <v>4</v>
      </c>
      <c r="I728" s="14"/>
      <c r="J728" s="14" t="s">
        <v>61</v>
      </c>
      <c r="K728" s="12" t="s">
        <v>27</v>
      </c>
      <c r="L728" s="15"/>
      <c r="M728" s="12" t="s">
        <v>28</v>
      </c>
      <c r="N728" s="12"/>
      <c r="O728" s="12"/>
      <c r="P728" s="12"/>
      <c r="Q728" s="16">
        <v>4</v>
      </c>
      <c r="R728" s="16">
        <v>0</v>
      </c>
      <c r="S728" s="16"/>
      <c r="T728" s="16" t="e">
        <v>#N/A</v>
      </c>
      <c r="U728" s="16" t="e">
        <v>#N/A</v>
      </c>
    </row>
    <row r="729" spans="1:21" x14ac:dyDescent="0.25">
      <c r="A729" s="12" t="s">
        <v>21</v>
      </c>
      <c r="B729" s="12" t="s">
        <v>729</v>
      </c>
      <c r="C729" s="12" t="s">
        <v>23</v>
      </c>
      <c r="D729" s="13">
        <v>46256.312662037039</v>
      </c>
      <c r="E729" s="12" t="s">
        <v>730</v>
      </c>
      <c r="F729" s="12" t="s">
        <v>560</v>
      </c>
      <c r="G729" s="12">
        <v>16</v>
      </c>
      <c r="H729" s="12">
        <v>16</v>
      </c>
      <c r="I729" s="14"/>
      <c r="J729" s="14" t="s">
        <v>61</v>
      </c>
      <c r="K729" s="12" t="s">
        <v>27</v>
      </c>
      <c r="L729" s="15"/>
      <c r="M729" s="12" t="s">
        <v>28</v>
      </c>
      <c r="N729" s="12"/>
      <c r="O729" s="12"/>
      <c r="P729" s="12"/>
      <c r="Q729" s="16">
        <v>16</v>
      </c>
      <c r="R729" s="16">
        <v>0</v>
      </c>
      <c r="S729" s="16"/>
      <c r="T729" s="16" t="e">
        <v>#N/A</v>
      </c>
      <c r="U729" s="16" t="e">
        <v>#N/A</v>
      </c>
    </row>
    <row r="730" spans="1:21" x14ac:dyDescent="0.25">
      <c r="A730" s="12" t="s">
        <v>21</v>
      </c>
      <c r="B730" s="12" t="s">
        <v>729</v>
      </c>
      <c r="C730" s="12" t="s">
        <v>23</v>
      </c>
      <c r="D730" s="13">
        <v>46256.312662037039</v>
      </c>
      <c r="E730" s="12" t="s">
        <v>730</v>
      </c>
      <c r="F730" s="12" t="s">
        <v>582</v>
      </c>
      <c r="G730" s="12">
        <v>25</v>
      </c>
      <c r="H730" s="12">
        <v>25</v>
      </c>
      <c r="I730" s="14"/>
      <c r="J730" s="14" t="s">
        <v>26</v>
      </c>
      <c r="K730" s="12" t="s">
        <v>27</v>
      </c>
      <c r="L730" s="15"/>
      <c r="M730" s="12" t="s">
        <v>28</v>
      </c>
      <c r="N730" s="12"/>
      <c r="O730" s="12"/>
      <c r="P730" s="12"/>
      <c r="Q730" s="16">
        <v>0</v>
      </c>
      <c r="R730" s="16">
        <v>0</v>
      </c>
      <c r="S730" s="16"/>
      <c r="T730" s="16" t="e">
        <v>#N/A</v>
      </c>
      <c r="U730" s="16" t="e">
        <v>#N/A</v>
      </c>
    </row>
    <row r="731" spans="1:21" x14ac:dyDescent="0.25">
      <c r="A731" s="12" t="s">
        <v>21</v>
      </c>
      <c r="B731" s="12" t="s">
        <v>729</v>
      </c>
      <c r="C731" s="12" t="s">
        <v>23</v>
      </c>
      <c r="D731" s="13">
        <v>46256.312662037039</v>
      </c>
      <c r="E731" s="12" t="s">
        <v>730</v>
      </c>
      <c r="F731" s="12" t="s">
        <v>731</v>
      </c>
      <c r="G731" s="12">
        <v>4</v>
      </c>
      <c r="H731" s="12">
        <v>4</v>
      </c>
      <c r="I731" s="14"/>
      <c r="J731" s="14" t="s">
        <v>61</v>
      </c>
      <c r="K731" s="12" t="s">
        <v>27</v>
      </c>
      <c r="L731" s="15"/>
      <c r="M731" s="12" t="s">
        <v>28</v>
      </c>
      <c r="N731" s="12"/>
      <c r="O731" s="12"/>
      <c r="P731" s="12"/>
      <c r="Q731" s="16">
        <v>4</v>
      </c>
      <c r="R731" s="16">
        <v>0</v>
      </c>
      <c r="S731" s="16"/>
      <c r="T731" s="16" t="e">
        <v>#N/A</v>
      </c>
      <c r="U731" s="16" t="e">
        <v>#N/A</v>
      </c>
    </row>
    <row r="732" spans="1:21" x14ac:dyDescent="0.25">
      <c r="A732" s="12" t="s">
        <v>21</v>
      </c>
      <c r="B732" s="12" t="s">
        <v>729</v>
      </c>
      <c r="C732" s="12" t="s">
        <v>23</v>
      </c>
      <c r="D732" s="13">
        <v>46256.312662037039</v>
      </c>
      <c r="E732" s="12" t="s">
        <v>730</v>
      </c>
      <c r="F732" s="12" t="s">
        <v>252</v>
      </c>
      <c r="G732" s="12">
        <v>32</v>
      </c>
      <c r="H732" s="12">
        <v>32</v>
      </c>
      <c r="I732" s="14"/>
      <c r="J732" s="14" t="s">
        <v>26</v>
      </c>
      <c r="K732" s="12" t="s">
        <v>27</v>
      </c>
      <c r="L732" s="15"/>
      <c r="M732" s="12" t="s">
        <v>28</v>
      </c>
      <c r="N732" s="12"/>
      <c r="O732" s="12"/>
      <c r="P732" s="12"/>
      <c r="Q732" s="16">
        <v>0</v>
      </c>
      <c r="R732" s="16">
        <v>0</v>
      </c>
      <c r="S732" s="16"/>
      <c r="T732" s="16" t="e">
        <v>#N/A</v>
      </c>
      <c r="U732" s="16" t="e">
        <v>#N/A</v>
      </c>
    </row>
    <row r="733" spans="1:21" x14ac:dyDescent="0.25">
      <c r="A733" s="12" t="s">
        <v>21</v>
      </c>
      <c r="B733" s="12" t="s">
        <v>729</v>
      </c>
      <c r="C733" s="12" t="s">
        <v>23</v>
      </c>
      <c r="D733" s="13">
        <v>46256.312662037039</v>
      </c>
      <c r="E733" s="12" t="s">
        <v>730</v>
      </c>
      <c r="F733" s="12" t="s">
        <v>572</v>
      </c>
      <c r="G733" s="12">
        <v>40</v>
      </c>
      <c r="H733" s="12">
        <v>40</v>
      </c>
      <c r="I733" s="14"/>
      <c r="J733" s="14" t="s">
        <v>61</v>
      </c>
      <c r="K733" s="12" t="s">
        <v>27</v>
      </c>
      <c r="L733" s="15"/>
      <c r="M733" s="12" t="s">
        <v>28</v>
      </c>
      <c r="N733" s="12"/>
      <c r="O733" s="12"/>
      <c r="P733" s="12"/>
      <c r="Q733" s="16">
        <v>40</v>
      </c>
      <c r="R733" s="16">
        <v>10</v>
      </c>
      <c r="S733" s="16"/>
      <c r="T733" s="16" t="e">
        <v>#N/A</v>
      </c>
      <c r="U733" s="16" t="e">
        <v>#N/A</v>
      </c>
    </row>
    <row r="734" spans="1:21" x14ac:dyDescent="0.25">
      <c r="A734" s="12" t="s">
        <v>21</v>
      </c>
      <c r="B734" s="12" t="s">
        <v>732</v>
      </c>
      <c r="C734" s="12" t="s">
        <v>23</v>
      </c>
      <c r="D734" s="13">
        <v>46256.374837962961</v>
      </c>
      <c r="E734" s="12" t="s">
        <v>258</v>
      </c>
      <c r="F734" s="12" t="s">
        <v>726</v>
      </c>
      <c r="G734" s="12">
        <v>4</v>
      </c>
      <c r="H734" s="12">
        <v>4</v>
      </c>
      <c r="I734" s="14"/>
      <c r="J734" s="14" t="s">
        <v>61</v>
      </c>
      <c r="K734" s="12" t="s">
        <v>737</v>
      </c>
      <c r="L734" s="15">
        <v>1</v>
      </c>
      <c r="M734" s="12" t="s">
        <v>150</v>
      </c>
      <c r="N734" s="12">
        <v>4</v>
      </c>
      <c r="O734" s="12">
        <v>4</v>
      </c>
      <c r="P734" s="12">
        <v>0</v>
      </c>
      <c r="Q734" s="16">
        <v>4</v>
      </c>
      <c r="R734" s="16">
        <v>6</v>
      </c>
      <c r="S734" s="16"/>
      <c r="T734" s="16" t="e">
        <v>#N/A</v>
      </c>
      <c r="U734" s="16" t="e">
        <v>#N/A</v>
      </c>
    </row>
    <row r="735" spans="1:21" x14ac:dyDescent="0.25">
      <c r="A735" s="12" t="s">
        <v>21</v>
      </c>
      <c r="B735" s="12" t="s">
        <v>732</v>
      </c>
      <c r="C735" s="12" t="s">
        <v>23</v>
      </c>
      <c r="D735" s="13">
        <v>46256.374837962961</v>
      </c>
      <c r="E735" s="12" t="s">
        <v>258</v>
      </c>
      <c r="F735" s="12" t="s">
        <v>699</v>
      </c>
      <c r="G735" s="12">
        <v>3</v>
      </c>
      <c r="H735" s="12">
        <v>3</v>
      </c>
      <c r="I735" s="14"/>
      <c r="J735" s="14" t="s">
        <v>61</v>
      </c>
      <c r="K735" s="12" t="s">
        <v>738</v>
      </c>
      <c r="L735" s="15">
        <v>1</v>
      </c>
      <c r="M735" s="12" t="s">
        <v>150</v>
      </c>
      <c r="N735" s="12">
        <v>3</v>
      </c>
      <c r="O735" s="12">
        <v>3</v>
      </c>
      <c r="P735" s="12">
        <v>0</v>
      </c>
      <c r="Q735" s="16">
        <v>3</v>
      </c>
      <c r="R735" s="16">
        <v>0</v>
      </c>
      <c r="S735" s="16"/>
      <c r="T735" s="16" t="e">
        <v>#N/A</v>
      </c>
      <c r="U735" s="16" t="e">
        <v>#N/A</v>
      </c>
    </row>
    <row r="736" spans="1:21" x14ac:dyDescent="0.25">
      <c r="A736" s="12" t="s">
        <v>21</v>
      </c>
      <c r="B736" s="12" t="s">
        <v>732</v>
      </c>
      <c r="C736" s="12" t="s">
        <v>23</v>
      </c>
      <c r="D736" s="13">
        <v>46256.374837962961</v>
      </c>
      <c r="E736" s="12" t="s">
        <v>258</v>
      </c>
      <c r="F736" s="12" t="s">
        <v>733</v>
      </c>
      <c r="G736" s="12">
        <v>3</v>
      </c>
      <c r="H736" s="12">
        <v>3</v>
      </c>
      <c r="I736" s="14"/>
      <c r="J736" s="14" t="s">
        <v>61</v>
      </c>
      <c r="K736" s="12" t="s">
        <v>739</v>
      </c>
      <c r="L736" s="15">
        <v>1</v>
      </c>
      <c r="M736" s="12" t="s">
        <v>150</v>
      </c>
      <c r="N736" s="12">
        <v>3</v>
      </c>
      <c r="O736" s="12">
        <v>3</v>
      </c>
      <c r="P736" s="12">
        <v>0</v>
      </c>
      <c r="Q736" s="16">
        <v>3</v>
      </c>
      <c r="R736" s="16">
        <v>2</v>
      </c>
      <c r="S736" s="16"/>
      <c r="T736" s="16" t="e">
        <v>#N/A</v>
      </c>
      <c r="U736" s="16" t="e">
        <v>#N/A</v>
      </c>
    </row>
    <row r="737" spans="1:21" x14ac:dyDescent="0.25">
      <c r="A737" s="12" t="s">
        <v>21</v>
      </c>
      <c r="B737" s="12" t="s">
        <v>732</v>
      </c>
      <c r="C737" s="12" t="s">
        <v>23</v>
      </c>
      <c r="D737" s="13">
        <v>46256.374837962961</v>
      </c>
      <c r="E737" s="12" t="s">
        <v>258</v>
      </c>
      <c r="F737" s="12" t="s">
        <v>734</v>
      </c>
      <c r="G737" s="12">
        <v>3</v>
      </c>
      <c r="H737" s="12">
        <v>3</v>
      </c>
      <c r="I737" s="14"/>
      <c r="J737" s="14" t="s">
        <v>61</v>
      </c>
      <c r="K737" s="12" t="s">
        <v>740</v>
      </c>
      <c r="L737" s="15">
        <v>1</v>
      </c>
      <c r="M737" s="12" t="s">
        <v>150</v>
      </c>
      <c r="N737" s="12">
        <v>3</v>
      </c>
      <c r="O737" s="12">
        <v>3</v>
      </c>
      <c r="P737" s="12">
        <v>0</v>
      </c>
      <c r="Q737" s="16">
        <v>3</v>
      </c>
      <c r="R737" s="16">
        <v>0</v>
      </c>
      <c r="S737" s="16"/>
      <c r="T737" s="16" t="e">
        <v>#N/A</v>
      </c>
      <c r="U737" s="16" t="e">
        <v>#N/A</v>
      </c>
    </row>
    <row r="738" spans="1:21" x14ac:dyDescent="0.25">
      <c r="A738" s="12" t="s">
        <v>21</v>
      </c>
      <c r="B738" s="12" t="s">
        <v>732</v>
      </c>
      <c r="C738" s="12" t="s">
        <v>23</v>
      </c>
      <c r="D738" s="13">
        <v>46256.374837962961</v>
      </c>
      <c r="E738" s="12" t="s">
        <v>258</v>
      </c>
      <c r="F738" s="12" t="s">
        <v>735</v>
      </c>
      <c r="G738" s="12">
        <v>1</v>
      </c>
      <c r="H738" s="12">
        <v>1</v>
      </c>
      <c r="I738" s="14"/>
      <c r="J738" s="14" t="s">
        <v>61</v>
      </c>
      <c r="K738" s="12" t="s">
        <v>741</v>
      </c>
      <c r="L738" s="15">
        <v>1</v>
      </c>
      <c r="M738" s="12" t="s">
        <v>150</v>
      </c>
      <c r="N738" s="12">
        <v>1</v>
      </c>
      <c r="O738" s="12">
        <v>1</v>
      </c>
      <c r="P738" s="12">
        <v>0</v>
      </c>
      <c r="Q738" s="16">
        <v>1</v>
      </c>
      <c r="R738" s="16">
        <v>0</v>
      </c>
      <c r="S738" s="16"/>
      <c r="T738" s="16" t="e">
        <v>#N/A</v>
      </c>
      <c r="U738" s="16" t="e">
        <v>#N/A</v>
      </c>
    </row>
    <row r="739" spans="1:21" x14ac:dyDescent="0.25">
      <c r="A739" s="12" t="s">
        <v>21</v>
      </c>
      <c r="B739" s="12" t="s">
        <v>732</v>
      </c>
      <c r="C739" s="12" t="s">
        <v>23</v>
      </c>
      <c r="D739" s="13">
        <v>46256.374837962961</v>
      </c>
      <c r="E739" s="12" t="s">
        <v>258</v>
      </c>
      <c r="F739" s="12" t="s">
        <v>736</v>
      </c>
      <c r="G739" s="12">
        <v>20</v>
      </c>
      <c r="H739" s="12">
        <v>20</v>
      </c>
      <c r="I739" s="14"/>
      <c r="J739" s="14" t="s">
        <v>61</v>
      </c>
      <c r="K739" s="12" t="s">
        <v>742</v>
      </c>
      <c r="L739" s="15">
        <v>1</v>
      </c>
      <c r="M739" s="12" t="s">
        <v>150</v>
      </c>
      <c r="N739" s="12">
        <v>20</v>
      </c>
      <c r="O739" s="12">
        <v>20</v>
      </c>
      <c r="P739" s="12">
        <v>0</v>
      </c>
      <c r="Q739" s="16">
        <v>20</v>
      </c>
      <c r="R739" s="16">
        <v>0</v>
      </c>
      <c r="S739" s="16"/>
      <c r="T739" s="16" t="e">
        <v>#N/A</v>
      </c>
      <c r="U739" s="16" t="e">
        <v>#N/A</v>
      </c>
    </row>
    <row r="740" spans="1:21" x14ac:dyDescent="0.25">
      <c r="A740" s="12" t="s">
        <v>21</v>
      </c>
      <c r="B740" s="12" t="s">
        <v>732</v>
      </c>
      <c r="C740" s="12" t="s">
        <v>23</v>
      </c>
      <c r="D740" s="13">
        <v>46256.374837962961</v>
      </c>
      <c r="E740" s="12" t="s">
        <v>258</v>
      </c>
      <c r="F740" s="12" t="s">
        <v>703</v>
      </c>
      <c r="G740" s="12">
        <v>9</v>
      </c>
      <c r="H740" s="12">
        <v>9</v>
      </c>
      <c r="I740" s="14"/>
      <c r="J740" s="14" t="s">
        <v>61</v>
      </c>
      <c r="K740" s="12" t="s">
        <v>743</v>
      </c>
      <c r="L740" s="15">
        <v>1</v>
      </c>
      <c r="M740" s="12" t="s">
        <v>150</v>
      </c>
      <c r="N740" s="12">
        <v>9</v>
      </c>
      <c r="O740" s="12">
        <v>9</v>
      </c>
      <c r="P740" s="12">
        <v>0</v>
      </c>
      <c r="Q740" s="16">
        <v>9</v>
      </c>
      <c r="R740" s="16">
        <v>0</v>
      </c>
      <c r="S740" s="16"/>
      <c r="T740" s="16" t="e">
        <v>#N/A</v>
      </c>
      <c r="U740" s="16" t="e">
        <v>#N/A</v>
      </c>
    </row>
    <row r="741" spans="1:21" x14ac:dyDescent="0.25">
      <c r="A741" s="12" t="s">
        <v>21</v>
      </c>
      <c r="B741" s="12" t="s">
        <v>744</v>
      </c>
      <c r="C741" s="12" t="s">
        <v>23</v>
      </c>
      <c r="D741" s="13">
        <v>46256.424629629626</v>
      </c>
      <c r="E741" s="12" t="s">
        <v>258</v>
      </c>
      <c r="F741" s="12" t="s">
        <v>105</v>
      </c>
      <c r="G741" s="12">
        <v>3</v>
      </c>
      <c r="H741" s="12">
        <v>3</v>
      </c>
      <c r="I741" s="14"/>
      <c r="J741" s="14" t="s">
        <v>61</v>
      </c>
      <c r="K741" s="12" t="s">
        <v>745</v>
      </c>
      <c r="L741" s="15">
        <v>1</v>
      </c>
      <c r="M741" s="12" t="s">
        <v>150</v>
      </c>
      <c r="N741" s="12">
        <v>3</v>
      </c>
      <c r="O741" s="12">
        <v>3</v>
      </c>
      <c r="P741" s="12">
        <v>0</v>
      </c>
      <c r="Q741" s="16">
        <v>3</v>
      </c>
      <c r="R741" s="16">
        <v>0</v>
      </c>
      <c r="S741" s="16"/>
      <c r="T741" s="16" t="e">
        <v>#N/A</v>
      </c>
      <c r="U741" s="16" t="e">
        <v>#N/A</v>
      </c>
    </row>
    <row r="742" spans="1:21" x14ac:dyDescent="0.25">
      <c r="A742" s="12" t="s">
        <v>21</v>
      </c>
      <c r="B742" s="12" t="s">
        <v>744</v>
      </c>
      <c r="C742" s="12" t="s">
        <v>23</v>
      </c>
      <c r="D742" s="13">
        <v>46256.424629629626</v>
      </c>
      <c r="E742" s="12" t="s">
        <v>258</v>
      </c>
      <c r="F742" s="12" t="s">
        <v>106</v>
      </c>
      <c r="G742" s="12">
        <v>17</v>
      </c>
      <c r="H742" s="12">
        <v>17</v>
      </c>
      <c r="I742" s="14"/>
      <c r="J742" s="14" t="s">
        <v>61</v>
      </c>
      <c r="K742" s="12" t="s">
        <v>746</v>
      </c>
      <c r="L742" s="15">
        <v>1</v>
      </c>
      <c r="M742" s="12" t="s">
        <v>150</v>
      </c>
      <c r="N742" s="12">
        <v>17</v>
      </c>
      <c r="O742" s="12">
        <v>17</v>
      </c>
      <c r="P742" s="12">
        <v>0</v>
      </c>
      <c r="Q742" s="16">
        <v>17</v>
      </c>
      <c r="R742" s="16">
        <v>0</v>
      </c>
      <c r="S742" s="16"/>
      <c r="T742" s="16" t="e">
        <v>#N/A</v>
      </c>
      <c r="U742" s="16" t="e">
        <v>#N/A</v>
      </c>
    </row>
    <row r="743" spans="1:21" x14ac:dyDescent="0.25">
      <c r="A743" s="12" t="s">
        <v>21</v>
      </c>
      <c r="B743" s="12" t="s">
        <v>744</v>
      </c>
      <c r="C743" s="12" t="s">
        <v>23</v>
      </c>
      <c r="D743" s="13">
        <v>46256.424629629626</v>
      </c>
      <c r="E743" s="12" t="s">
        <v>258</v>
      </c>
      <c r="F743" s="12" t="s">
        <v>107</v>
      </c>
      <c r="G743" s="12">
        <v>17</v>
      </c>
      <c r="H743" s="12">
        <v>17</v>
      </c>
      <c r="I743" s="14"/>
      <c r="J743" s="14" t="s">
        <v>61</v>
      </c>
      <c r="K743" s="12" t="s">
        <v>747</v>
      </c>
      <c r="L743" s="15">
        <v>1</v>
      </c>
      <c r="M743" s="12" t="s">
        <v>150</v>
      </c>
      <c r="N743" s="12">
        <v>17</v>
      </c>
      <c r="O743" s="12">
        <v>17</v>
      </c>
      <c r="P743" s="12">
        <v>0</v>
      </c>
      <c r="Q743" s="16">
        <v>17</v>
      </c>
      <c r="R743" s="16">
        <v>0</v>
      </c>
      <c r="S743" s="16"/>
      <c r="T743" s="16" t="e">
        <v>#N/A</v>
      </c>
      <c r="U743" s="16" t="e">
        <v>#N/A</v>
      </c>
    </row>
    <row r="744" spans="1:21" x14ac:dyDescent="0.25">
      <c r="A744" s="12" t="s">
        <v>21</v>
      </c>
      <c r="B744" s="12" t="s">
        <v>744</v>
      </c>
      <c r="C744" s="12" t="s">
        <v>23</v>
      </c>
      <c r="D744" s="13">
        <v>46256.424629629626</v>
      </c>
      <c r="E744" s="12" t="s">
        <v>258</v>
      </c>
      <c r="F744" s="12" t="s">
        <v>122</v>
      </c>
      <c r="G744" s="12">
        <v>10</v>
      </c>
      <c r="H744" s="12">
        <v>10</v>
      </c>
      <c r="I744" s="14"/>
      <c r="J744" s="14" t="s">
        <v>61</v>
      </c>
      <c r="K744" s="12" t="s">
        <v>748</v>
      </c>
      <c r="L744" s="15">
        <v>1</v>
      </c>
      <c r="M744" s="12" t="s">
        <v>150</v>
      </c>
      <c r="N744" s="12">
        <v>10</v>
      </c>
      <c r="O744" s="12">
        <v>10</v>
      </c>
      <c r="P744" s="12">
        <v>0</v>
      </c>
      <c r="Q744" s="16">
        <v>10</v>
      </c>
      <c r="R744" s="16">
        <v>0</v>
      </c>
      <c r="S744" s="16"/>
      <c r="T744" s="16" t="e">
        <v>#N/A</v>
      </c>
      <c r="U744" s="16" t="e">
        <v>#N/A</v>
      </c>
    </row>
    <row r="745" spans="1:21" x14ac:dyDescent="0.25">
      <c r="A745" s="12" t="s">
        <v>21</v>
      </c>
      <c r="B745" s="12" t="s">
        <v>744</v>
      </c>
      <c r="C745" s="12" t="s">
        <v>23</v>
      </c>
      <c r="D745" s="13">
        <v>46256.424629629626</v>
      </c>
      <c r="E745" s="12" t="s">
        <v>258</v>
      </c>
      <c r="F745" s="12" t="s">
        <v>123</v>
      </c>
      <c r="G745" s="12">
        <v>30</v>
      </c>
      <c r="H745" s="12">
        <v>30</v>
      </c>
      <c r="I745" s="14"/>
      <c r="J745" s="14" t="s">
        <v>61</v>
      </c>
      <c r="K745" s="12" t="s">
        <v>749</v>
      </c>
      <c r="L745" s="15">
        <v>1</v>
      </c>
      <c r="M745" s="12" t="s">
        <v>150</v>
      </c>
      <c r="N745" s="12">
        <v>30</v>
      </c>
      <c r="O745" s="12">
        <v>30</v>
      </c>
      <c r="P745" s="12">
        <v>0</v>
      </c>
      <c r="Q745" s="16">
        <v>30</v>
      </c>
      <c r="R745" s="16">
        <v>0</v>
      </c>
      <c r="S745" s="16"/>
      <c r="T745" s="16" t="e">
        <v>#N/A</v>
      </c>
      <c r="U745" s="16" t="e">
        <v>#N/A</v>
      </c>
    </row>
    <row r="746" spans="1:21" x14ac:dyDescent="0.25">
      <c r="A746" s="12" t="s">
        <v>21</v>
      </c>
      <c r="B746" s="12" t="s">
        <v>750</v>
      </c>
      <c r="C746" s="12" t="s">
        <v>23</v>
      </c>
      <c r="D746" s="13">
        <v>46256.457442129627</v>
      </c>
      <c r="E746" s="12" t="s">
        <v>751</v>
      </c>
      <c r="F746" s="12" t="s">
        <v>442</v>
      </c>
      <c r="G746" s="12">
        <v>50</v>
      </c>
      <c r="H746" s="12">
        <v>50</v>
      </c>
      <c r="I746" s="14"/>
      <c r="J746" s="14" t="s">
        <v>61</v>
      </c>
      <c r="K746" s="12" t="s">
        <v>752</v>
      </c>
      <c r="L746" s="15">
        <v>1</v>
      </c>
      <c r="M746" s="12" t="s">
        <v>150</v>
      </c>
      <c r="N746" s="12">
        <v>50</v>
      </c>
      <c r="O746" s="12">
        <v>50</v>
      </c>
      <c r="P746" s="12">
        <v>0</v>
      </c>
      <c r="Q746" s="16">
        <v>100</v>
      </c>
      <c r="R746" s="16">
        <v>0</v>
      </c>
      <c r="S746" s="16"/>
      <c r="T746" s="16" t="e">
        <v>#N/A</v>
      </c>
      <c r="U746" s="16" t="e">
        <v>#N/A</v>
      </c>
    </row>
    <row r="747" spans="1:21" x14ac:dyDescent="0.25">
      <c r="A747" s="12" t="s">
        <v>21</v>
      </c>
      <c r="B747" s="12" t="s">
        <v>750</v>
      </c>
      <c r="C747" s="12" t="s">
        <v>23</v>
      </c>
      <c r="D747" s="13">
        <v>46256.457442129627</v>
      </c>
      <c r="E747" s="12" t="s">
        <v>751</v>
      </c>
      <c r="F747" s="12" t="s">
        <v>326</v>
      </c>
      <c r="G747" s="12">
        <v>20</v>
      </c>
      <c r="H747" s="12">
        <v>20</v>
      </c>
      <c r="I747" s="14"/>
      <c r="J747" s="14" t="s">
        <v>61</v>
      </c>
      <c r="K747" s="12" t="s">
        <v>753</v>
      </c>
      <c r="L747" s="15">
        <v>1</v>
      </c>
      <c r="M747" s="12" t="s">
        <v>150</v>
      </c>
      <c r="N747" s="12">
        <v>20</v>
      </c>
      <c r="O747" s="12">
        <v>20</v>
      </c>
      <c r="P747" s="12">
        <v>0</v>
      </c>
      <c r="Q747" s="16">
        <v>40</v>
      </c>
      <c r="R747" s="16">
        <v>0</v>
      </c>
      <c r="S747" s="16"/>
      <c r="T747" s="16" t="e">
        <v>#N/A</v>
      </c>
      <c r="U747" s="16" t="e">
        <v>#N/A</v>
      </c>
    </row>
    <row r="748" spans="1:21" x14ac:dyDescent="0.25">
      <c r="A748" s="12" t="s">
        <v>21</v>
      </c>
      <c r="B748" s="12" t="s">
        <v>750</v>
      </c>
      <c r="C748" s="12" t="s">
        <v>23</v>
      </c>
      <c r="D748" s="13">
        <v>46256.457442129627</v>
      </c>
      <c r="E748" s="12" t="s">
        <v>751</v>
      </c>
      <c r="F748" s="12" t="s">
        <v>247</v>
      </c>
      <c r="G748" s="12">
        <v>20</v>
      </c>
      <c r="H748" s="12">
        <v>20</v>
      </c>
      <c r="I748" s="14"/>
      <c r="J748" s="14" t="s">
        <v>61</v>
      </c>
      <c r="K748" s="12" t="s">
        <v>754</v>
      </c>
      <c r="L748" s="15">
        <v>1</v>
      </c>
      <c r="M748" s="12" t="s">
        <v>150</v>
      </c>
      <c r="N748" s="12">
        <v>20</v>
      </c>
      <c r="O748" s="12">
        <v>20</v>
      </c>
      <c r="P748" s="12">
        <v>0</v>
      </c>
      <c r="Q748" s="16">
        <v>20</v>
      </c>
      <c r="R748" s="16">
        <v>0</v>
      </c>
      <c r="S748" s="16"/>
      <c r="T748" s="16" t="e">
        <v>#N/A</v>
      </c>
      <c r="U748" s="16" t="e">
        <v>#N/A</v>
      </c>
    </row>
    <row r="749" spans="1:21" x14ac:dyDescent="0.25">
      <c r="A749" s="12" t="s">
        <v>21</v>
      </c>
      <c r="B749" s="12" t="s">
        <v>750</v>
      </c>
      <c r="C749" s="12" t="s">
        <v>23</v>
      </c>
      <c r="D749" s="13">
        <v>46256.457442129627</v>
      </c>
      <c r="E749" s="12" t="s">
        <v>751</v>
      </c>
      <c r="F749" s="12" t="s">
        <v>67</v>
      </c>
      <c r="G749" s="12">
        <v>20</v>
      </c>
      <c r="H749" s="12">
        <v>20</v>
      </c>
      <c r="I749" s="14"/>
      <c r="J749" s="14" t="s">
        <v>61</v>
      </c>
      <c r="K749" s="12" t="s">
        <v>755</v>
      </c>
      <c r="L749" s="15">
        <v>1</v>
      </c>
      <c r="M749" s="12" t="s">
        <v>150</v>
      </c>
      <c r="N749" s="12">
        <v>20</v>
      </c>
      <c r="O749" s="12">
        <v>20</v>
      </c>
      <c r="P749" s="12">
        <v>0</v>
      </c>
      <c r="Q749" s="16">
        <v>50</v>
      </c>
      <c r="R749" s="16">
        <v>0</v>
      </c>
      <c r="S749" s="16"/>
      <c r="T749" s="16" t="e">
        <v>#N/A</v>
      </c>
      <c r="U749" s="16" t="e">
        <v>#N/A</v>
      </c>
    </row>
    <row r="750" spans="1:21" x14ac:dyDescent="0.25">
      <c r="A750" s="12" t="s">
        <v>21</v>
      </c>
      <c r="B750" s="12" t="s">
        <v>756</v>
      </c>
      <c r="C750" s="12" t="s">
        <v>23</v>
      </c>
      <c r="D750" s="13">
        <v>46256.465150462966</v>
      </c>
      <c r="E750" s="12" t="s">
        <v>686</v>
      </c>
      <c r="F750" s="12" t="s">
        <v>757</v>
      </c>
      <c r="G750" s="12">
        <v>2</v>
      </c>
      <c r="H750" s="12">
        <v>2</v>
      </c>
      <c r="I750" s="14"/>
      <c r="J750" s="14" t="s">
        <v>26</v>
      </c>
      <c r="K750" s="12" t="s">
        <v>27</v>
      </c>
      <c r="L750" s="15"/>
      <c r="M750" s="12" t="s">
        <v>28</v>
      </c>
      <c r="N750" s="12"/>
      <c r="O750" s="12"/>
      <c r="P750" s="12"/>
      <c r="Q750" s="16">
        <v>0</v>
      </c>
      <c r="R750" s="16">
        <v>0</v>
      </c>
      <c r="S750" s="16"/>
      <c r="T750" s="16" t="e">
        <v>#N/A</v>
      </c>
      <c r="U750" s="16" t="e">
        <v>#N/A</v>
      </c>
    </row>
    <row r="751" spans="1:21" x14ac:dyDescent="0.25">
      <c r="A751" s="12" t="s">
        <v>21</v>
      </c>
      <c r="B751" s="12" t="s">
        <v>758</v>
      </c>
      <c r="C751" s="12" t="s">
        <v>23</v>
      </c>
      <c r="D751" s="13">
        <v>46258.403113425928</v>
      </c>
      <c r="E751" s="12" t="s">
        <v>759</v>
      </c>
      <c r="F751" s="12" t="s">
        <v>760</v>
      </c>
      <c r="G751" s="12">
        <v>24</v>
      </c>
      <c r="H751" s="12">
        <v>24</v>
      </c>
      <c r="I751" s="14"/>
      <c r="J751" s="14" t="s">
        <v>61</v>
      </c>
      <c r="K751" s="12" t="s">
        <v>761</v>
      </c>
      <c r="L751" s="15">
        <v>1</v>
      </c>
      <c r="M751" s="12" t="s">
        <v>150</v>
      </c>
      <c r="N751" s="12">
        <v>24</v>
      </c>
      <c r="O751" s="12">
        <v>24</v>
      </c>
      <c r="P751" s="12">
        <v>0</v>
      </c>
      <c r="Q751" s="16">
        <v>48</v>
      </c>
      <c r="R751" s="16">
        <v>0</v>
      </c>
      <c r="S751" s="16"/>
      <c r="T751" s="16" t="e">
        <v>#N/A</v>
      </c>
      <c r="U751" s="16" t="e">
        <v>#N/A</v>
      </c>
    </row>
    <row r="752" spans="1:21" x14ac:dyDescent="0.25">
      <c r="A752" s="12" t="s">
        <v>21</v>
      </c>
      <c r="B752" s="12" t="s">
        <v>758</v>
      </c>
      <c r="C752" s="12" t="s">
        <v>23</v>
      </c>
      <c r="D752" s="13">
        <v>46258.403113425928</v>
      </c>
      <c r="E752" s="12" t="s">
        <v>759</v>
      </c>
      <c r="F752" s="12" t="s">
        <v>553</v>
      </c>
      <c r="G752" s="12">
        <v>24</v>
      </c>
      <c r="H752" s="12">
        <v>24</v>
      </c>
      <c r="I752" s="14"/>
      <c r="J752" s="14" t="s">
        <v>61</v>
      </c>
      <c r="K752" s="12" t="s">
        <v>763</v>
      </c>
      <c r="L752" s="15">
        <v>1</v>
      </c>
      <c r="M752" s="12" t="s">
        <v>150</v>
      </c>
      <c r="N752" s="12">
        <v>24</v>
      </c>
      <c r="O752" s="12">
        <v>24</v>
      </c>
      <c r="P752" s="12">
        <v>0</v>
      </c>
      <c r="Q752" s="16">
        <v>48</v>
      </c>
      <c r="R752" s="16">
        <v>2</v>
      </c>
      <c r="S752" s="16"/>
      <c r="T752" s="16" t="e">
        <v>#N/A</v>
      </c>
      <c r="U752" s="16" t="e">
        <v>#N/A</v>
      </c>
    </row>
    <row r="753" spans="1:21" x14ac:dyDescent="0.25">
      <c r="A753" s="12" t="s">
        <v>21</v>
      </c>
      <c r="B753" s="12" t="s">
        <v>758</v>
      </c>
      <c r="C753" s="12" t="s">
        <v>23</v>
      </c>
      <c r="D753" s="13">
        <v>46258.403113425928</v>
      </c>
      <c r="E753" s="12" t="s">
        <v>759</v>
      </c>
      <c r="F753" s="12" t="s">
        <v>762</v>
      </c>
      <c r="G753" s="12">
        <v>8</v>
      </c>
      <c r="H753" s="12">
        <v>8</v>
      </c>
      <c r="I753" s="14"/>
      <c r="J753" s="14" t="s">
        <v>61</v>
      </c>
      <c r="K753" s="12" t="s">
        <v>764</v>
      </c>
      <c r="L753" s="15">
        <v>1</v>
      </c>
      <c r="M753" s="12" t="s">
        <v>150</v>
      </c>
      <c r="N753" s="12">
        <v>8</v>
      </c>
      <c r="O753" s="12">
        <v>8</v>
      </c>
      <c r="P753" s="12">
        <v>0</v>
      </c>
      <c r="Q753" s="16">
        <v>8</v>
      </c>
      <c r="R753" s="16">
        <v>0</v>
      </c>
      <c r="S753" s="16"/>
      <c r="T753" s="16" t="e">
        <v>#N/A</v>
      </c>
      <c r="U753" s="16" t="e">
        <v>#N/A</v>
      </c>
    </row>
    <row r="754" spans="1:21" x14ac:dyDescent="0.25">
      <c r="A754" s="12" t="s">
        <v>21</v>
      </c>
      <c r="B754" s="12" t="s">
        <v>758</v>
      </c>
      <c r="C754" s="12" t="s">
        <v>23</v>
      </c>
      <c r="D754" s="13">
        <v>46258.403113425928</v>
      </c>
      <c r="E754" s="12" t="s">
        <v>759</v>
      </c>
      <c r="F754" s="12" t="s">
        <v>701</v>
      </c>
      <c r="G754" s="12">
        <v>8</v>
      </c>
      <c r="H754" s="12">
        <v>8</v>
      </c>
      <c r="I754" s="14"/>
      <c r="J754" s="14" t="s">
        <v>61</v>
      </c>
      <c r="K754" s="12" t="s">
        <v>765</v>
      </c>
      <c r="L754" s="15">
        <v>1</v>
      </c>
      <c r="M754" s="12" t="s">
        <v>150</v>
      </c>
      <c r="N754" s="12">
        <v>8</v>
      </c>
      <c r="O754" s="12">
        <v>8</v>
      </c>
      <c r="P754" s="12">
        <v>0</v>
      </c>
      <c r="Q754" s="16">
        <v>8</v>
      </c>
      <c r="R754" s="16">
        <v>0</v>
      </c>
      <c r="S754" s="16"/>
      <c r="T754" s="16" t="e">
        <v>#N/A</v>
      </c>
      <c r="U754" s="16" t="e">
        <v>#N/A</v>
      </c>
    </row>
    <row r="755" spans="1:21" x14ac:dyDescent="0.25">
      <c r="A755" s="12" t="s">
        <v>21</v>
      </c>
      <c r="B755" s="12" t="s">
        <v>758</v>
      </c>
      <c r="C755" s="12" t="s">
        <v>23</v>
      </c>
      <c r="D755" s="13">
        <v>46258.403113425928</v>
      </c>
      <c r="E755" s="12" t="s">
        <v>759</v>
      </c>
      <c r="F755" s="12" t="s">
        <v>560</v>
      </c>
      <c r="G755" s="12">
        <v>24</v>
      </c>
      <c r="H755" s="12">
        <v>24</v>
      </c>
      <c r="I755" s="14"/>
      <c r="J755" s="14" t="s">
        <v>61</v>
      </c>
      <c r="K755" s="12" t="s">
        <v>766</v>
      </c>
      <c r="L755" s="15">
        <v>1</v>
      </c>
      <c r="M755" s="12" t="s">
        <v>150</v>
      </c>
      <c r="N755" s="12">
        <v>24</v>
      </c>
      <c r="O755" s="12">
        <v>24</v>
      </c>
      <c r="P755" s="12">
        <v>0</v>
      </c>
      <c r="Q755" s="16">
        <v>24</v>
      </c>
      <c r="R755" s="16">
        <v>0</v>
      </c>
      <c r="S755" s="16"/>
      <c r="T755" s="16" t="e">
        <v>#N/A</v>
      </c>
      <c r="U755" s="16" t="e">
        <v>#N/A</v>
      </c>
    </row>
    <row r="756" spans="1:21" x14ac:dyDescent="0.25">
      <c r="A756" s="12" t="s">
        <v>21</v>
      </c>
      <c r="B756" s="12" t="s">
        <v>758</v>
      </c>
      <c r="C756" s="12" t="s">
        <v>23</v>
      </c>
      <c r="D756" s="13">
        <v>46258.403113425928</v>
      </c>
      <c r="E756" s="12" t="s">
        <v>759</v>
      </c>
      <c r="F756" s="12" t="s">
        <v>326</v>
      </c>
      <c r="G756" s="12">
        <v>24</v>
      </c>
      <c r="H756" s="12">
        <v>24</v>
      </c>
      <c r="I756" s="14"/>
      <c r="J756" s="14" t="s">
        <v>61</v>
      </c>
      <c r="K756" s="12" t="s">
        <v>768</v>
      </c>
      <c r="L756" s="15">
        <v>1</v>
      </c>
      <c r="M756" s="12" t="s">
        <v>150</v>
      </c>
      <c r="N756" s="12">
        <v>24</v>
      </c>
      <c r="O756" s="12">
        <v>24</v>
      </c>
      <c r="P756" s="12">
        <v>0</v>
      </c>
      <c r="Q756" s="16">
        <v>24</v>
      </c>
      <c r="R756" s="16">
        <v>0</v>
      </c>
      <c r="S756" s="16"/>
      <c r="T756" s="16" t="e">
        <v>#N/A</v>
      </c>
      <c r="U756" s="16" t="e">
        <v>#N/A</v>
      </c>
    </row>
    <row r="757" spans="1:21" x14ac:dyDescent="0.25">
      <c r="A757" s="12" t="s">
        <v>21</v>
      </c>
      <c r="B757" s="12" t="s">
        <v>758</v>
      </c>
      <c r="C757" s="12" t="s">
        <v>23</v>
      </c>
      <c r="D757" s="13">
        <v>46258.403113425928</v>
      </c>
      <c r="E757" s="12" t="s">
        <v>759</v>
      </c>
      <c r="F757" s="12" t="s">
        <v>767</v>
      </c>
      <c r="G757" s="12">
        <v>24</v>
      </c>
      <c r="H757" s="12">
        <v>24</v>
      </c>
      <c r="I757" s="14"/>
      <c r="J757" s="14" t="s">
        <v>61</v>
      </c>
      <c r="K757" s="12" t="s">
        <v>769</v>
      </c>
      <c r="L757" s="15">
        <v>1</v>
      </c>
      <c r="M757" s="12" t="s">
        <v>150</v>
      </c>
      <c r="N757" s="12">
        <v>24</v>
      </c>
      <c r="O757" s="12">
        <v>24</v>
      </c>
      <c r="P757" s="12">
        <v>0</v>
      </c>
      <c r="Q757" s="16">
        <v>24</v>
      </c>
      <c r="R757" s="16">
        <v>0</v>
      </c>
      <c r="S757" s="16"/>
      <c r="T757" s="16" t="e">
        <v>#N/A</v>
      </c>
      <c r="U757" s="16" t="e">
        <v>#N/A</v>
      </c>
    </row>
    <row r="758" spans="1:21" x14ac:dyDescent="0.25">
      <c r="A758" s="12" t="s">
        <v>21</v>
      </c>
      <c r="B758" s="12" t="s">
        <v>758</v>
      </c>
      <c r="C758" s="12" t="s">
        <v>23</v>
      </c>
      <c r="D758" s="13">
        <v>46258.403113425928</v>
      </c>
      <c r="E758" s="12" t="s">
        <v>759</v>
      </c>
      <c r="F758" s="12" t="s">
        <v>437</v>
      </c>
      <c r="G758" s="12">
        <v>200</v>
      </c>
      <c r="H758" s="12">
        <v>200</v>
      </c>
      <c r="I758" s="14"/>
      <c r="J758" s="14" t="s">
        <v>26</v>
      </c>
      <c r="K758" s="12" t="s">
        <v>27</v>
      </c>
      <c r="L758" s="15"/>
      <c r="M758" s="12" t="s">
        <v>28</v>
      </c>
      <c r="N758" s="12"/>
      <c r="O758" s="12"/>
      <c r="P758" s="12"/>
      <c r="Q758" s="16">
        <v>0</v>
      </c>
      <c r="R758" s="16">
        <v>0</v>
      </c>
      <c r="S758" s="16"/>
      <c r="T758" s="16" t="e">
        <v>#N/A</v>
      </c>
      <c r="U758" s="16" t="e">
        <v>#N/A</v>
      </c>
    </row>
    <row r="759" spans="1:21" x14ac:dyDescent="0.25">
      <c r="A759" s="12" t="s">
        <v>21</v>
      </c>
      <c r="B759" s="12" t="s">
        <v>758</v>
      </c>
      <c r="C759" s="12" t="s">
        <v>23</v>
      </c>
      <c r="D759" s="13">
        <v>46258.403113425928</v>
      </c>
      <c r="E759" s="12" t="s">
        <v>759</v>
      </c>
      <c r="F759" s="12" t="s">
        <v>262</v>
      </c>
      <c r="G759" s="12">
        <v>200</v>
      </c>
      <c r="H759" s="12">
        <v>200</v>
      </c>
      <c r="I759" s="14"/>
      <c r="J759" s="14" t="s">
        <v>26</v>
      </c>
      <c r="K759" s="12" t="s">
        <v>27</v>
      </c>
      <c r="L759" s="15"/>
      <c r="M759" s="12" t="s">
        <v>28</v>
      </c>
      <c r="N759" s="12"/>
      <c r="O759" s="12"/>
      <c r="P759" s="12"/>
      <c r="Q759" s="16">
        <v>0</v>
      </c>
      <c r="R759" s="16">
        <v>0</v>
      </c>
      <c r="S759" s="16"/>
      <c r="T759" s="16" t="e">
        <v>#N/A</v>
      </c>
      <c r="U759" s="16" t="e">
        <v>#N/A</v>
      </c>
    </row>
    <row r="760" spans="1:21" x14ac:dyDescent="0.25">
      <c r="A760" s="12" t="s">
        <v>21</v>
      </c>
      <c r="B760" s="12" t="s">
        <v>758</v>
      </c>
      <c r="C760" s="12" t="s">
        <v>23</v>
      </c>
      <c r="D760" s="13">
        <v>46258.403113425928</v>
      </c>
      <c r="E760" s="12" t="s">
        <v>759</v>
      </c>
      <c r="F760" s="12" t="s">
        <v>572</v>
      </c>
      <c r="G760" s="12">
        <v>10</v>
      </c>
      <c r="H760" s="12">
        <v>10</v>
      </c>
      <c r="I760" s="14"/>
      <c r="J760" s="14" t="s">
        <v>61</v>
      </c>
      <c r="K760" s="12" t="s">
        <v>770</v>
      </c>
      <c r="L760" s="15">
        <v>1</v>
      </c>
      <c r="M760" s="12" t="s">
        <v>150</v>
      </c>
      <c r="N760" s="12">
        <v>10</v>
      </c>
      <c r="O760" s="12">
        <v>10</v>
      </c>
      <c r="P760" s="12">
        <v>0</v>
      </c>
      <c r="Q760" s="16">
        <v>20</v>
      </c>
      <c r="R760" s="16">
        <v>10</v>
      </c>
      <c r="S760" s="16"/>
      <c r="T760" s="16" t="e">
        <v>#N/A</v>
      </c>
      <c r="U760" s="16" t="e">
        <v>#N/A</v>
      </c>
    </row>
    <row r="761" spans="1:21" x14ac:dyDescent="0.25">
      <c r="A761" s="12" t="s">
        <v>21</v>
      </c>
      <c r="B761" s="12" t="s">
        <v>771</v>
      </c>
      <c r="C761" s="12" t="s">
        <v>23</v>
      </c>
      <c r="D761" s="13">
        <v>46258.438125000001</v>
      </c>
      <c r="E761" s="12" t="s">
        <v>522</v>
      </c>
      <c r="F761" s="12" t="s">
        <v>437</v>
      </c>
      <c r="G761" s="12">
        <v>600</v>
      </c>
      <c r="H761" s="12">
        <v>600</v>
      </c>
      <c r="I761" s="14"/>
      <c r="J761" s="14" t="s">
        <v>26</v>
      </c>
      <c r="K761" s="12" t="s">
        <v>27</v>
      </c>
      <c r="L761" s="15"/>
      <c r="M761" s="12" t="s">
        <v>28</v>
      </c>
      <c r="N761" s="12"/>
      <c r="O761" s="12"/>
      <c r="P761" s="12"/>
      <c r="Q761" s="16">
        <v>0</v>
      </c>
      <c r="R761" s="16">
        <v>90</v>
      </c>
      <c r="S761" s="16"/>
      <c r="T761" s="16" t="e">
        <v>#N/A</v>
      </c>
      <c r="U761" s="16" t="e">
        <v>#N/A</v>
      </c>
    </row>
    <row r="762" spans="1:21" x14ac:dyDescent="0.25">
      <c r="A762" s="12" t="s">
        <v>21</v>
      </c>
      <c r="B762" s="12" t="s">
        <v>771</v>
      </c>
      <c r="C762" s="12" t="s">
        <v>23</v>
      </c>
      <c r="D762" s="13">
        <v>46258.438125000001</v>
      </c>
      <c r="E762" s="12" t="s">
        <v>522</v>
      </c>
      <c r="F762" s="12" t="s">
        <v>262</v>
      </c>
      <c r="G762" s="12">
        <v>2000</v>
      </c>
      <c r="H762" s="12">
        <v>1000</v>
      </c>
      <c r="I762" s="14"/>
      <c r="J762" s="14" t="s">
        <v>26</v>
      </c>
      <c r="K762" s="12" t="s">
        <v>27</v>
      </c>
      <c r="L762" s="15"/>
      <c r="M762" s="12" t="s">
        <v>28</v>
      </c>
      <c r="N762" s="12"/>
      <c r="O762" s="12"/>
      <c r="P762" s="12"/>
      <c r="Q762" s="16">
        <v>0</v>
      </c>
      <c r="R762" s="16">
        <v>0</v>
      </c>
      <c r="S762" s="16"/>
      <c r="T762" s="16" t="e">
        <v>#N/A</v>
      </c>
      <c r="U762" s="16" t="e">
        <v>#N/A</v>
      </c>
    </row>
    <row r="763" spans="1:21" x14ac:dyDescent="0.25">
      <c r="A763" s="12" t="s">
        <v>21</v>
      </c>
      <c r="B763" s="12" t="s">
        <v>772</v>
      </c>
      <c r="C763" s="12" t="s">
        <v>23</v>
      </c>
      <c r="D763" s="13">
        <v>46258.508391203701</v>
      </c>
      <c r="E763" s="12" t="s">
        <v>773</v>
      </c>
      <c r="F763" s="12" t="s">
        <v>699</v>
      </c>
      <c r="G763" s="12">
        <v>1</v>
      </c>
      <c r="H763" s="12">
        <v>1</v>
      </c>
      <c r="I763" s="14"/>
      <c r="J763" s="14" t="s">
        <v>61</v>
      </c>
      <c r="K763" s="12" t="s">
        <v>774</v>
      </c>
      <c r="L763" s="15">
        <v>1</v>
      </c>
      <c r="M763" s="12" t="s">
        <v>150</v>
      </c>
      <c r="N763" s="12">
        <v>1</v>
      </c>
      <c r="O763" s="12">
        <v>1</v>
      </c>
      <c r="P763" s="12">
        <v>0</v>
      </c>
      <c r="Q763" s="16">
        <v>1</v>
      </c>
      <c r="R763" s="16">
        <v>0</v>
      </c>
      <c r="S763" s="16"/>
      <c r="T763" s="16" t="e">
        <v>#N/A</v>
      </c>
      <c r="U763" s="16" t="e">
        <v>#N/A</v>
      </c>
    </row>
    <row r="764" spans="1:21" x14ac:dyDescent="0.25">
      <c r="A764" s="12" t="s">
        <v>21</v>
      </c>
      <c r="B764" s="12" t="s">
        <v>772</v>
      </c>
      <c r="C764" s="12" t="s">
        <v>23</v>
      </c>
      <c r="D764" s="13">
        <v>46258.508391203701</v>
      </c>
      <c r="E764" s="12" t="s">
        <v>773</v>
      </c>
      <c r="F764" s="12" t="s">
        <v>67</v>
      </c>
      <c r="G764" s="12">
        <v>7</v>
      </c>
      <c r="H764" s="12">
        <v>7</v>
      </c>
      <c r="I764" s="14"/>
      <c r="J764" s="14" t="s">
        <v>61</v>
      </c>
      <c r="K764" s="12" t="s">
        <v>775</v>
      </c>
      <c r="L764" s="15">
        <v>1</v>
      </c>
      <c r="M764" s="12" t="s">
        <v>150</v>
      </c>
      <c r="N764" s="12">
        <v>7</v>
      </c>
      <c r="O764" s="12">
        <v>7</v>
      </c>
      <c r="P764" s="12">
        <v>0</v>
      </c>
      <c r="Q764" s="16">
        <v>7</v>
      </c>
      <c r="R764" s="16">
        <v>0</v>
      </c>
      <c r="S764" s="16"/>
      <c r="T764" s="16" t="e">
        <v>#N/A</v>
      </c>
      <c r="U764" s="16" t="e">
        <v>#N/A</v>
      </c>
    </row>
    <row r="765" spans="1:21" x14ac:dyDescent="0.25">
      <c r="A765" s="12" t="s">
        <v>21</v>
      </c>
      <c r="B765" s="12" t="s">
        <v>772</v>
      </c>
      <c r="C765" s="12" t="s">
        <v>23</v>
      </c>
      <c r="D765" s="13">
        <v>46258.508391203701</v>
      </c>
      <c r="E765" s="12" t="s">
        <v>773</v>
      </c>
      <c r="F765" s="12" t="s">
        <v>703</v>
      </c>
      <c r="G765" s="12">
        <v>4</v>
      </c>
      <c r="H765" s="12">
        <v>4</v>
      </c>
      <c r="I765" s="14"/>
      <c r="J765" s="14" t="s">
        <v>61</v>
      </c>
      <c r="K765" s="12" t="s">
        <v>776</v>
      </c>
      <c r="L765" s="15">
        <v>1</v>
      </c>
      <c r="M765" s="12" t="s">
        <v>150</v>
      </c>
      <c r="N765" s="12">
        <v>4</v>
      </c>
      <c r="O765" s="12">
        <v>4</v>
      </c>
      <c r="P765" s="12">
        <v>0</v>
      </c>
      <c r="Q765" s="16">
        <v>4</v>
      </c>
      <c r="R765" s="16">
        <v>0</v>
      </c>
      <c r="S765" s="16"/>
      <c r="T765" s="16" t="e">
        <v>#N/A</v>
      </c>
      <c r="U765" s="16" t="e">
        <v>#N/A</v>
      </c>
    </row>
    <row r="766" spans="1:21" x14ac:dyDescent="0.25">
      <c r="A766" s="12" t="s">
        <v>21</v>
      </c>
      <c r="B766" s="12" t="s">
        <v>777</v>
      </c>
      <c r="C766" s="12" t="s">
        <v>23</v>
      </c>
      <c r="D766" s="13">
        <v>46258.578530092593</v>
      </c>
      <c r="E766" s="12" t="s">
        <v>778</v>
      </c>
      <c r="F766" s="12" t="s">
        <v>267</v>
      </c>
      <c r="G766" s="12">
        <v>6</v>
      </c>
      <c r="H766" s="12">
        <v>6</v>
      </c>
      <c r="I766" s="14"/>
      <c r="J766" s="14" t="s">
        <v>61</v>
      </c>
      <c r="K766" s="12" t="s">
        <v>779</v>
      </c>
      <c r="L766" s="15">
        <v>1</v>
      </c>
      <c r="M766" s="12" t="s">
        <v>150</v>
      </c>
      <c r="N766" s="12">
        <v>6</v>
      </c>
      <c r="O766" s="12">
        <v>6</v>
      </c>
      <c r="P766" s="12">
        <v>0</v>
      </c>
      <c r="Q766" s="16">
        <v>6</v>
      </c>
      <c r="R766" s="16">
        <v>0</v>
      </c>
      <c r="S766" s="16"/>
      <c r="T766" s="16" t="e">
        <v>#N/A</v>
      </c>
      <c r="U766" s="16" t="e">
        <v>#N/A</v>
      </c>
    </row>
    <row r="767" spans="1:21" x14ac:dyDescent="0.25">
      <c r="A767" s="12" t="s">
        <v>21</v>
      </c>
      <c r="B767" s="12" t="s">
        <v>777</v>
      </c>
      <c r="C767" s="12" t="s">
        <v>23</v>
      </c>
      <c r="D767" s="13">
        <v>46258.578530092593</v>
      </c>
      <c r="E767" s="12" t="s">
        <v>778</v>
      </c>
      <c r="F767" s="12" t="s">
        <v>699</v>
      </c>
      <c r="G767" s="12">
        <v>10</v>
      </c>
      <c r="H767" s="12">
        <v>10</v>
      </c>
      <c r="I767" s="14"/>
      <c r="J767" s="14" t="s">
        <v>61</v>
      </c>
      <c r="K767" s="12" t="s">
        <v>780</v>
      </c>
      <c r="L767" s="15">
        <v>1</v>
      </c>
      <c r="M767" s="12" t="s">
        <v>150</v>
      </c>
      <c r="N767" s="12">
        <v>10</v>
      </c>
      <c r="O767" s="12">
        <v>10</v>
      </c>
      <c r="P767" s="12">
        <v>0</v>
      </c>
      <c r="Q767" s="16">
        <v>10</v>
      </c>
      <c r="R767" s="16">
        <v>0</v>
      </c>
      <c r="S767" s="16"/>
      <c r="T767" s="16" t="e">
        <v>#N/A</v>
      </c>
      <c r="U767" s="16" t="e">
        <v>#N/A</v>
      </c>
    </row>
    <row r="768" spans="1:21" x14ac:dyDescent="0.25">
      <c r="A768" s="12" t="s">
        <v>21</v>
      </c>
      <c r="B768" s="12" t="s">
        <v>777</v>
      </c>
      <c r="C768" s="12" t="s">
        <v>23</v>
      </c>
      <c r="D768" s="13">
        <v>46258.578530092593</v>
      </c>
      <c r="E768" s="12" t="s">
        <v>778</v>
      </c>
      <c r="F768" s="12" t="s">
        <v>553</v>
      </c>
      <c r="G768" s="12">
        <v>20</v>
      </c>
      <c r="H768" s="12">
        <v>20</v>
      </c>
      <c r="I768" s="14"/>
      <c r="J768" s="14" t="s">
        <v>61</v>
      </c>
      <c r="K768" s="12" t="s">
        <v>781</v>
      </c>
      <c r="L768" s="15">
        <v>1</v>
      </c>
      <c r="M768" s="12" t="s">
        <v>150</v>
      </c>
      <c r="N768" s="12">
        <v>20</v>
      </c>
      <c r="O768" s="12">
        <v>20</v>
      </c>
      <c r="P768" s="12">
        <v>0</v>
      </c>
      <c r="Q768" s="16">
        <v>20</v>
      </c>
      <c r="R768" s="16">
        <v>2</v>
      </c>
      <c r="S768" s="16"/>
      <c r="T768" s="16" t="e">
        <v>#N/A</v>
      </c>
      <c r="U768" s="16" t="e">
        <v>#N/A</v>
      </c>
    </row>
    <row r="769" spans="1:21" x14ac:dyDescent="0.25">
      <c r="A769" s="12" t="s">
        <v>21</v>
      </c>
      <c r="B769" s="12" t="s">
        <v>777</v>
      </c>
      <c r="C769" s="12" t="s">
        <v>23</v>
      </c>
      <c r="D769" s="13">
        <v>46258.578530092593</v>
      </c>
      <c r="E769" s="12" t="s">
        <v>778</v>
      </c>
      <c r="F769" s="12" t="s">
        <v>326</v>
      </c>
      <c r="G769" s="12">
        <v>20</v>
      </c>
      <c r="H769" s="12">
        <v>20</v>
      </c>
      <c r="I769" s="14"/>
      <c r="J769" s="14" t="s">
        <v>61</v>
      </c>
      <c r="K769" s="12" t="s">
        <v>782</v>
      </c>
      <c r="L769" s="15">
        <v>1</v>
      </c>
      <c r="M769" s="12" t="s">
        <v>150</v>
      </c>
      <c r="N769" s="12">
        <v>20</v>
      </c>
      <c r="O769" s="12">
        <v>20</v>
      </c>
      <c r="P769" s="12">
        <v>0</v>
      </c>
      <c r="Q769" s="16">
        <v>20</v>
      </c>
      <c r="R769" s="16">
        <v>0</v>
      </c>
      <c r="S769" s="16"/>
      <c r="T769" s="16" t="e">
        <v>#N/A</v>
      </c>
      <c r="U769" s="16" t="e">
        <v>#N/A</v>
      </c>
    </row>
    <row r="770" spans="1:21" x14ac:dyDescent="0.25">
      <c r="A770" s="12" t="s">
        <v>21</v>
      </c>
      <c r="B770" s="12" t="s">
        <v>777</v>
      </c>
      <c r="C770" s="12" t="s">
        <v>23</v>
      </c>
      <c r="D770" s="13">
        <v>46258.578530092593</v>
      </c>
      <c r="E770" s="12" t="s">
        <v>778</v>
      </c>
      <c r="F770" s="12" t="s">
        <v>735</v>
      </c>
      <c r="G770" s="12">
        <v>6</v>
      </c>
      <c r="H770" s="12">
        <v>6</v>
      </c>
      <c r="I770" s="14"/>
      <c r="J770" s="14" t="s">
        <v>61</v>
      </c>
      <c r="K770" s="12" t="s">
        <v>783</v>
      </c>
      <c r="L770" s="15">
        <v>1</v>
      </c>
      <c r="M770" s="12" t="s">
        <v>150</v>
      </c>
      <c r="N770" s="12">
        <v>6</v>
      </c>
      <c r="O770" s="12">
        <v>6</v>
      </c>
      <c r="P770" s="12">
        <v>0</v>
      </c>
      <c r="Q770" s="16">
        <v>6</v>
      </c>
      <c r="R770" s="16">
        <v>0</v>
      </c>
      <c r="S770" s="16"/>
      <c r="T770" s="16" t="e">
        <v>#N/A</v>
      </c>
      <c r="U770" s="16" t="e">
        <v>#N/A</v>
      </c>
    </row>
    <row r="771" spans="1:21" x14ac:dyDescent="0.25">
      <c r="A771" s="12" t="s">
        <v>21</v>
      </c>
      <c r="B771" s="12" t="s">
        <v>784</v>
      </c>
      <c r="C771" s="12" t="s">
        <v>23</v>
      </c>
      <c r="D771" s="13">
        <v>46259.434999999998</v>
      </c>
      <c r="E771" s="12" t="s">
        <v>785</v>
      </c>
      <c r="F771" s="12" t="s">
        <v>106</v>
      </c>
      <c r="G771" s="12">
        <v>9</v>
      </c>
      <c r="H771" s="12">
        <v>9</v>
      </c>
      <c r="I771" s="14"/>
      <c r="J771" s="14" t="s">
        <v>61</v>
      </c>
      <c r="K771" s="12" t="s">
        <v>786</v>
      </c>
      <c r="L771" s="15">
        <v>1</v>
      </c>
      <c r="M771" s="12" t="s">
        <v>150</v>
      </c>
      <c r="N771" s="12">
        <v>9</v>
      </c>
      <c r="O771" s="12">
        <v>9</v>
      </c>
      <c r="P771" s="12">
        <v>0</v>
      </c>
      <c r="Q771" s="16">
        <v>9</v>
      </c>
      <c r="R771" s="16">
        <v>0</v>
      </c>
      <c r="S771" s="16"/>
      <c r="T771" s="16" t="e">
        <v>#N/A</v>
      </c>
      <c r="U771" s="16" t="e">
        <v>#N/A</v>
      </c>
    </row>
    <row r="772" spans="1:21" x14ac:dyDescent="0.25">
      <c r="A772" s="12" t="s">
        <v>21</v>
      </c>
      <c r="B772" s="12" t="s">
        <v>784</v>
      </c>
      <c r="C772" s="12" t="s">
        <v>23</v>
      </c>
      <c r="D772" s="13">
        <v>46259.434999999998</v>
      </c>
      <c r="E772" s="12" t="s">
        <v>785</v>
      </c>
      <c r="F772" s="12" t="s">
        <v>718</v>
      </c>
      <c r="G772" s="12">
        <v>10</v>
      </c>
      <c r="H772" s="12">
        <v>10</v>
      </c>
      <c r="I772" s="14"/>
      <c r="J772" s="14" t="s">
        <v>61</v>
      </c>
      <c r="K772" s="12" t="s">
        <v>787</v>
      </c>
      <c r="L772" s="15">
        <v>1</v>
      </c>
      <c r="M772" s="12" t="s">
        <v>150</v>
      </c>
      <c r="N772" s="12">
        <v>10</v>
      </c>
      <c r="O772" s="12">
        <v>10</v>
      </c>
      <c r="P772" s="12">
        <v>0</v>
      </c>
      <c r="Q772" s="16">
        <v>10</v>
      </c>
      <c r="R772" s="16">
        <v>0</v>
      </c>
      <c r="S772" s="16"/>
      <c r="T772" s="16" t="e">
        <v>#N/A</v>
      </c>
      <c r="U772" s="16" t="e">
        <v>#N/A</v>
      </c>
    </row>
    <row r="773" spans="1:21" x14ac:dyDescent="0.25">
      <c r="A773" s="12" t="s">
        <v>21</v>
      </c>
      <c r="B773" s="12" t="s">
        <v>784</v>
      </c>
      <c r="C773" s="12" t="s">
        <v>23</v>
      </c>
      <c r="D773" s="13">
        <v>46259.434999999998</v>
      </c>
      <c r="E773" s="12" t="s">
        <v>785</v>
      </c>
      <c r="F773" s="12" t="s">
        <v>107</v>
      </c>
      <c r="G773" s="12">
        <v>10</v>
      </c>
      <c r="H773" s="12">
        <v>10</v>
      </c>
      <c r="I773" s="14"/>
      <c r="J773" s="14" t="s">
        <v>61</v>
      </c>
      <c r="K773" s="12" t="s">
        <v>788</v>
      </c>
      <c r="L773" s="15">
        <v>1</v>
      </c>
      <c r="M773" s="12" t="s">
        <v>150</v>
      </c>
      <c r="N773" s="12">
        <v>10</v>
      </c>
      <c r="O773" s="12">
        <v>10</v>
      </c>
      <c r="P773" s="12">
        <v>0</v>
      </c>
      <c r="Q773" s="16">
        <v>10</v>
      </c>
      <c r="R773" s="16">
        <v>0</v>
      </c>
      <c r="S773" s="16"/>
      <c r="T773" s="16" t="e">
        <v>#N/A</v>
      </c>
      <c r="U773" s="16" t="e">
        <v>#N/A</v>
      </c>
    </row>
    <row r="774" spans="1:21" x14ac:dyDescent="0.25">
      <c r="A774" s="12" t="s">
        <v>21</v>
      </c>
      <c r="B774" s="12" t="s">
        <v>784</v>
      </c>
      <c r="C774" s="12" t="s">
        <v>23</v>
      </c>
      <c r="D774" s="13">
        <v>46259.434999999998</v>
      </c>
      <c r="E774" s="12" t="s">
        <v>785</v>
      </c>
      <c r="F774" s="12" t="s">
        <v>789</v>
      </c>
      <c r="G774" s="12">
        <v>17</v>
      </c>
      <c r="H774" s="12">
        <v>17</v>
      </c>
      <c r="I774" s="14"/>
      <c r="J774" s="14" t="s">
        <v>61</v>
      </c>
      <c r="K774" s="12" t="s">
        <v>790</v>
      </c>
      <c r="L774" s="15">
        <v>1</v>
      </c>
      <c r="M774" s="12" t="s">
        <v>150</v>
      </c>
      <c r="N774" s="12">
        <v>17</v>
      </c>
      <c r="O774" s="12">
        <v>17</v>
      </c>
      <c r="P774" s="12">
        <v>0</v>
      </c>
      <c r="Q774" s="16">
        <v>17</v>
      </c>
      <c r="R774" s="16">
        <v>0</v>
      </c>
      <c r="S774" s="16"/>
      <c r="T774" s="16" t="e">
        <v>#N/A</v>
      </c>
      <c r="U774" s="16" t="e">
        <v>#N/A</v>
      </c>
    </row>
    <row r="775" spans="1:21" x14ac:dyDescent="0.25">
      <c r="A775" s="12" t="s">
        <v>21</v>
      </c>
      <c r="B775" s="12" t="s">
        <v>784</v>
      </c>
      <c r="C775" s="12" t="s">
        <v>23</v>
      </c>
      <c r="D775" s="13">
        <v>46259.434999999998</v>
      </c>
      <c r="E775" s="12" t="s">
        <v>785</v>
      </c>
      <c r="F775" s="12" t="s">
        <v>125</v>
      </c>
      <c r="G775" s="12">
        <v>6</v>
      </c>
      <c r="H775" s="12">
        <v>6</v>
      </c>
      <c r="I775" s="14"/>
      <c r="J775" s="14" t="s">
        <v>61</v>
      </c>
      <c r="K775" s="12" t="s">
        <v>791</v>
      </c>
      <c r="L775" s="15">
        <v>1</v>
      </c>
      <c r="M775" s="12" t="s">
        <v>150</v>
      </c>
      <c r="N775" s="12">
        <v>6</v>
      </c>
      <c r="O775" s="12">
        <v>6</v>
      </c>
      <c r="P775" s="12">
        <v>0</v>
      </c>
      <c r="Q775" s="16">
        <v>6</v>
      </c>
      <c r="R775" s="16">
        <v>0</v>
      </c>
      <c r="S775" s="16"/>
      <c r="T775" s="16" t="e">
        <v>#N/A</v>
      </c>
      <c r="U775" s="16" t="e">
        <v>#N/A</v>
      </c>
    </row>
    <row r="776" spans="1:21" x14ac:dyDescent="0.25">
      <c r="A776" s="12" t="s">
        <v>21</v>
      </c>
      <c r="B776" s="12" t="s">
        <v>792</v>
      </c>
      <c r="C776" s="12" t="s">
        <v>23</v>
      </c>
      <c r="D776" s="13">
        <v>46260.398888888885</v>
      </c>
      <c r="E776" s="12" t="s">
        <v>24</v>
      </c>
      <c r="F776" s="12" t="s">
        <v>59</v>
      </c>
      <c r="G776" s="12">
        <v>18</v>
      </c>
      <c r="H776" s="12">
        <v>18</v>
      </c>
      <c r="I776" s="14"/>
      <c r="J776" s="14" t="s">
        <v>26</v>
      </c>
      <c r="K776" s="12" t="s">
        <v>27</v>
      </c>
      <c r="L776" s="15"/>
      <c r="M776" s="12" t="s">
        <v>28</v>
      </c>
      <c r="N776" s="12"/>
      <c r="O776" s="12"/>
      <c r="P776" s="12"/>
      <c r="Q776" s="16">
        <v>0</v>
      </c>
      <c r="R776" s="16">
        <v>0</v>
      </c>
      <c r="S776" s="16">
        <v>4</v>
      </c>
      <c r="T776" s="16" t="e">
        <v>#N/A</v>
      </c>
      <c r="U776" s="16" t="e">
        <v>#N/A</v>
      </c>
    </row>
    <row r="777" spans="1:21" x14ac:dyDescent="0.25">
      <c r="A777" s="12" t="s">
        <v>21</v>
      </c>
      <c r="B777" s="12" t="s">
        <v>792</v>
      </c>
      <c r="C777" s="12" t="s">
        <v>23</v>
      </c>
      <c r="D777" s="13">
        <v>46260.398888888885</v>
      </c>
      <c r="E777" s="12" t="s">
        <v>24</v>
      </c>
      <c r="F777" s="12" t="s">
        <v>793</v>
      </c>
      <c r="G777" s="12">
        <v>7</v>
      </c>
      <c r="H777" s="12">
        <v>7</v>
      </c>
      <c r="I777" s="14"/>
      <c r="J777" s="14" t="s">
        <v>26</v>
      </c>
      <c r="K777" s="12" t="s">
        <v>794</v>
      </c>
      <c r="L777" s="15">
        <v>1</v>
      </c>
      <c r="M777" s="12" t="s">
        <v>150</v>
      </c>
      <c r="N777" s="12">
        <v>7</v>
      </c>
      <c r="O777" s="12">
        <v>7</v>
      </c>
      <c r="P777" s="12">
        <v>0</v>
      </c>
      <c r="Q777" s="16">
        <v>0</v>
      </c>
      <c r="R777" s="16">
        <v>0</v>
      </c>
      <c r="S777" s="16"/>
      <c r="T777" s="16" t="e">
        <v>#N/A</v>
      </c>
      <c r="U777" s="16" t="e">
        <v>#N/A</v>
      </c>
    </row>
    <row r="778" spans="1:21" x14ac:dyDescent="0.25">
      <c r="A778" s="12" t="s">
        <v>21</v>
      </c>
      <c r="B778" s="12" t="s">
        <v>792</v>
      </c>
      <c r="C778" s="12" t="s">
        <v>23</v>
      </c>
      <c r="D778" s="13">
        <v>46260.398888888885</v>
      </c>
      <c r="E778" s="12" t="s">
        <v>24</v>
      </c>
      <c r="F778" s="12" t="s">
        <v>795</v>
      </c>
      <c r="G778" s="12">
        <v>3</v>
      </c>
      <c r="H778" s="12">
        <v>3</v>
      </c>
      <c r="I778" s="14"/>
      <c r="J778" s="14" t="s">
        <v>61</v>
      </c>
      <c r="K778" s="12" t="s">
        <v>801</v>
      </c>
      <c r="L778" s="15">
        <v>1</v>
      </c>
      <c r="M778" s="12" t="s">
        <v>150</v>
      </c>
      <c r="N778" s="12">
        <v>3</v>
      </c>
      <c r="O778" s="12">
        <v>3</v>
      </c>
      <c r="P778" s="12">
        <v>0</v>
      </c>
      <c r="Q778" s="16">
        <v>3</v>
      </c>
      <c r="R778" s="16">
        <v>0</v>
      </c>
      <c r="S778" s="16"/>
      <c r="T778" s="16" t="e">
        <v>#N/A</v>
      </c>
      <c r="U778" s="16" t="e">
        <v>#N/A</v>
      </c>
    </row>
    <row r="779" spans="1:21" x14ac:dyDescent="0.25">
      <c r="A779" s="12" t="s">
        <v>21</v>
      </c>
      <c r="B779" s="12" t="s">
        <v>792</v>
      </c>
      <c r="C779" s="12" t="s">
        <v>23</v>
      </c>
      <c r="D779" s="13">
        <v>46260.398888888885</v>
      </c>
      <c r="E779" s="12" t="s">
        <v>24</v>
      </c>
      <c r="F779" s="12" t="s">
        <v>796</v>
      </c>
      <c r="G779" s="12">
        <v>21</v>
      </c>
      <c r="H779" s="12">
        <v>21</v>
      </c>
      <c r="I779" s="14"/>
      <c r="J779" s="14" t="s">
        <v>61</v>
      </c>
      <c r="K779" s="12" t="s">
        <v>802</v>
      </c>
      <c r="L779" s="15">
        <v>1</v>
      </c>
      <c r="M779" s="12" t="s">
        <v>150</v>
      </c>
      <c r="N779" s="12">
        <v>21</v>
      </c>
      <c r="O779" s="12">
        <v>21</v>
      </c>
      <c r="P779" s="12">
        <v>0</v>
      </c>
      <c r="Q779" s="16">
        <v>21</v>
      </c>
      <c r="R779" s="16">
        <v>0</v>
      </c>
      <c r="S779" s="16"/>
      <c r="T779" s="16" t="e">
        <v>#N/A</v>
      </c>
      <c r="U779" s="16" t="e">
        <v>#N/A</v>
      </c>
    </row>
    <row r="780" spans="1:21" x14ac:dyDescent="0.25">
      <c r="A780" s="12" t="s">
        <v>21</v>
      </c>
      <c r="B780" s="12" t="s">
        <v>792</v>
      </c>
      <c r="C780" s="12" t="s">
        <v>23</v>
      </c>
      <c r="D780" s="13">
        <v>46260.398888888885</v>
      </c>
      <c r="E780" s="12" t="s">
        <v>24</v>
      </c>
      <c r="F780" s="12" t="s">
        <v>797</v>
      </c>
      <c r="G780" s="12">
        <v>8</v>
      </c>
      <c r="H780" s="12">
        <v>8</v>
      </c>
      <c r="I780" s="14"/>
      <c r="J780" s="14" t="s">
        <v>61</v>
      </c>
      <c r="K780" s="12" t="s">
        <v>803</v>
      </c>
      <c r="L780" s="15">
        <v>1</v>
      </c>
      <c r="M780" s="12" t="s">
        <v>150</v>
      </c>
      <c r="N780" s="12">
        <v>8</v>
      </c>
      <c r="O780" s="12">
        <v>8</v>
      </c>
      <c r="P780" s="12">
        <v>0</v>
      </c>
      <c r="Q780" s="16">
        <v>8</v>
      </c>
      <c r="R780" s="16">
        <v>0</v>
      </c>
      <c r="S780" s="16"/>
      <c r="T780" s="16" t="e">
        <v>#N/A</v>
      </c>
      <c r="U780" s="16" t="e">
        <v>#N/A</v>
      </c>
    </row>
    <row r="781" spans="1:21" x14ac:dyDescent="0.25">
      <c r="A781" s="12" t="s">
        <v>21</v>
      </c>
      <c r="B781" s="12" t="s">
        <v>792</v>
      </c>
      <c r="C781" s="12" t="s">
        <v>23</v>
      </c>
      <c r="D781" s="13">
        <v>46260.398888888885</v>
      </c>
      <c r="E781" s="12" t="s">
        <v>24</v>
      </c>
      <c r="F781" s="12" t="s">
        <v>798</v>
      </c>
      <c r="G781" s="12">
        <v>8</v>
      </c>
      <c r="H781" s="12">
        <v>8</v>
      </c>
      <c r="I781" s="14"/>
      <c r="J781" s="14" t="s">
        <v>61</v>
      </c>
      <c r="K781" s="12" t="s">
        <v>804</v>
      </c>
      <c r="L781" s="15">
        <v>1</v>
      </c>
      <c r="M781" s="12" t="s">
        <v>150</v>
      </c>
      <c r="N781" s="12">
        <v>8</v>
      </c>
      <c r="O781" s="12">
        <v>8</v>
      </c>
      <c r="P781" s="12">
        <v>0</v>
      </c>
      <c r="Q781" s="16">
        <v>8</v>
      </c>
      <c r="R781" s="16">
        <v>0</v>
      </c>
      <c r="S781" s="16"/>
      <c r="T781" s="16" t="e">
        <v>#N/A</v>
      </c>
      <c r="U781" s="16" t="e">
        <v>#N/A</v>
      </c>
    </row>
    <row r="782" spans="1:21" x14ac:dyDescent="0.25">
      <c r="A782" s="12" t="s">
        <v>21</v>
      </c>
      <c r="B782" s="12" t="s">
        <v>792</v>
      </c>
      <c r="C782" s="12" t="s">
        <v>23</v>
      </c>
      <c r="D782" s="13">
        <v>46260.398888888885</v>
      </c>
      <c r="E782" s="12" t="s">
        <v>24</v>
      </c>
      <c r="F782" s="12" t="s">
        <v>799</v>
      </c>
      <c r="G782" s="12">
        <v>1</v>
      </c>
      <c r="H782" s="12">
        <v>1</v>
      </c>
      <c r="I782" s="14"/>
      <c r="J782" s="14" t="s">
        <v>61</v>
      </c>
      <c r="K782" s="12" t="s">
        <v>805</v>
      </c>
      <c r="L782" s="15">
        <v>1</v>
      </c>
      <c r="M782" s="12" t="s">
        <v>150</v>
      </c>
      <c r="N782" s="12">
        <v>1</v>
      </c>
      <c r="O782" s="12">
        <v>1</v>
      </c>
      <c r="P782" s="12">
        <v>0</v>
      </c>
      <c r="Q782" s="16">
        <v>1</v>
      </c>
      <c r="R782" s="16">
        <v>0</v>
      </c>
      <c r="S782" s="16"/>
      <c r="T782" s="16" t="e">
        <v>#N/A</v>
      </c>
      <c r="U782" s="16" t="e">
        <v>#N/A</v>
      </c>
    </row>
    <row r="783" spans="1:21" x14ac:dyDescent="0.25">
      <c r="A783" s="12" t="s">
        <v>21</v>
      </c>
      <c r="B783" s="12" t="s">
        <v>792</v>
      </c>
      <c r="C783" s="12" t="s">
        <v>23</v>
      </c>
      <c r="D783" s="13">
        <v>46260.398888888885</v>
      </c>
      <c r="E783" s="12" t="s">
        <v>24</v>
      </c>
      <c r="F783" s="12" t="s">
        <v>800</v>
      </c>
      <c r="G783" s="12">
        <v>36</v>
      </c>
      <c r="H783" s="12">
        <v>36</v>
      </c>
      <c r="I783" s="14"/>
      <c r="J783" s="14" t="s">
        <v>61</v>
      </c>
      <c r="K783" s="12" t="s">
        <v>806</v>
      </c>
      <c r="L783" s="15">
        <v>1</v>
      </c>
      <c r="M783" s="12" t="s">
        <v>150</v>
      </c>
      <c r="N783" s="12">
        <v>36</v>
      </c>
      <c r="O783" s="12">
        <v>36</v>
      </c>
      <c r="P783" s="12">
        <v>0</v>
      </c>
      <c r="Q783" s="16">
        <v>36</v>
      </c>
      <c r="R783" s="16">
        <v>0</v>
      </c>
      <c r="S783" s="16"/>
      <c r="T783" s="16" t="e">
        <v>#N/A</v>
      </c>
      <c r="U783" s="16" t="e">
        <v>#N/A</v>
      </c>
    </row>
    <row r="784" spans="1:21" x14ac:dyDescent="0.25">
      <c r="A784" s="12" t="s">
        <v>21</v>
      </c>
      <c r="B784" s="12" t="s">
        <v>792</v>
      </c>
      <c r="C784" s="12" t="s">
        <v>23</v>
      </c>
      <c r="D784" s="13">
        <v>46260.398888888885</v>
      </c>
      <c r="E784" s="12" t="s">
        <v>24</v>
      </c>
      <c r="F784" s="12" t="s">
        <v>807</v>
      </c>
      <c r="G784" s="12">
        <v>12</v>
      </c>
      <c r="H784" s="12">
        <v>12</v>
      </c>
      <c r="I784" s="14"/>
      <c r="J784" s="14" t="s">
        <v>61</v>
      </c>
      <c r="K784" s="12" t="s">
        <v>818</v>
      </c>
      <c r="L784" s="15">
        <v>1</v>
      </c>
      <c r="M784" s="12" t="s">
        <v>150</v>
      </c>
      <c r="N784" s="12">
        <v>12</v>
      </c>
      <c r="O784" s="12">
        <v>12</v>
      </c>
      <c r="P784" s="12">
        <v>0</v>
      </c>
      <c r="Q784" s="16">
        <v>12</v>
      </c>
      <c r="R784" s="16">
        <v>1</v>
      </c>
      <c r="S784" s="16"/>
      <c r="T784" s="16" t="e">
        <v>#N/A</v>
      </c>
      <c r="U784" s="16" t="e">
        <v>#N/A</v>
      </c>
    </row>
    <row r="785" spans="1:21" x14ac:dyDescent="0.25">
      <c r="A785" s="12" t="s">
        <v>21</v>
      </c>
      <c r="B785" s="12" t="s">
        <v>792</v>
      </c>
      <c r="C785" s="12" t="s">
        <v>23</v>
      </c>
      <c r="D785" s="13">
        <v>46260.398888888885</v>
      </c>
      <c r="E785" s="12" t="s">
        <v>24</v>
      </c>
      <c r="F785" s="12" t="s">
        <v>808</v>
      </c>
      <c r="G785" s="12">
        <v>1</v>
      </c>
      <c r="H785" s="12">
        <v>1</v>
      </c>
      <c r="I785" s="14"/>
      <c r="J785" s="14" t="s">
        <v>61</v>
      </c>
      <c r="K785" s="12" t="s">
        <v>819</v>
      </c>
      <c r="L785" s="15">
        <v>1</v>
      </c>
      <c r="M785" s="12" t="s">
        <v>150</v>
      </c>
      <c r="N785" s="12">
        <v>1</v>
      </c>
      <c r="O785" s="12">
        <v>1</v>
      </c>
      <c r="P785" s="12">
        <v>0</v>
      </c>
      <c r="Q785" s="16">
        <v>1</v>
      </c>
      <c r="R785" s="16">
        <v>0</v>
      </c>
      <c r="S785" s="16"/>
      <c r="T785" s="16" t="e">
        <v>#N/A</v>
      </c>
      <c r="U785" s="16" t="e">
        <v>#N/A</v>
      </c>
    </row>
    <row r="786" spans="1:21" x14ac:dyDescent="0.25">
      <c r="A786" s="12" t="s">
        <v>21</v>
      </c>
      <c r="B786" s="12" t="s">
        <v>792</v>
      </c>
      <c r="C786" s="12" t="s">
        <v>23</v>
      </c>
      <c r="D786" s="13">
        <v>46260.398888888885</v>
      </c>
      <c r="E786" s="12" t="s">
        <v>24</v>
      </c>
      <c r="F786" s="12" t="s">
        <v>809</v>
      </c>
      <c r="G786" s="12">
        <v>1</v>
      </c>
      <c r="H786" s="12">
        <v>1</v>
      </c>
      <c r="I786" s="14"/>
      <c r="J786" s="14" t="s">
        <v>61</v>
      </c>
      <c r="K786" s="12" t="s">
        <v>820</v>
      </c>
      <c r="L786" s="15">
        <v>1</v>
      </c>
      <c r="M786" s="12" t="s">
        <v>150</v>
      </c>
      <c r="N786" s="12">
        <v>1</v>
      </c>
      <c r="O786" s="12">
        <v>1</v>
      </c>
      <c r="P786" s="12">
        <v>0</v>
      </c>
      <c r="Q786" s="16">
        <v>1</v>
      </c>
      <c r="R786" s="16">
        <v>0</v>
      </c>
      <c r="S786" s="16"/>
      <c r="T786" s="16" t="e">
        <v>#N/A</v>
      </c>
      <c r="U786" s="16" t="e">
        <v>#N/A</v>
      </c>
    </row>
    <row r="787" spans="1:21" x14ac:dyDescent="0.25">
      <c r="A787" s="12" t="s">
        <v>21</v>
      </c>
      <c r="B787" s="12" t="s">
        <v>792</v>
      </c>
      <c r="C787" s="12" t="s">
        <v>23</v>
      </c>
      <c r="D787" s="13">
        <v>46260.398888888885</v>
      </c>
      <c r="E787" s="12" t="s">
        <v>24</v>
      </c>
      <c r="F787" s="12" t="s">
        <v>810</v>
      </c>
      <c r="G787" s="12">
        <v>3</v>
      </c>
      <c r="H787" s="12">
        <v>3</v>
      </c>
      <c r="I787" s="14"/>
      <c r="J787" s="14" t="s">
        <v>61</v>
      </c>
      <c r="K787" s="12" t="s">
        <v>821</v>
      </c>
      <c r="L787" s="15">
        <v>1</v>
      </c>
      <c r="M787" s="12" t="s">
        <v>150</v>
      </c>
      <c r="N787" s="12">
        <v>3</v>
      </c>
      <c r="O787" s="12">
        <v>3</v>
      </c>
      <c r="P787" s="12">
        <v>0</v>
      </c>
      <c r="Q787" s="16">
        <v>3</v>
      </c>
      <c r="R787" s="16">
        <v>0</v>
      </c>
      <c r="S787" s="16"/>
      <c r="T787" s="16" t="e">
        <v>#N/A</v>
      </c>
      <c r="U787" s="16" t="e">
        <v>#N/A</v>
      </c>
    </row>
    <row r="788" spans="1:21" x14ac:dyDescent="0.25">
      <c r="A788" s="12" t="s">
        <v>21</v>
      </c>
      <c r="B788" s="12" t="s">
        <v>792</v>
      </c>
      <c r="C788" s="12" t="s">
        <v>23</v>
      </c>
      <c r="D788" s="13">
        <v>46260.398888888885</v>
      </c>
      <c r="E788" s="12" t="s">
        <v>24</v>
      </c>
      <c r="F788" s="12" t="s">
        <v>811</v>
      </c>
      <c r="G788" s="12">
        <v>2</v>
      </c>
      <c r="H788" s="12">
        <v>2</v>
      </c>
      <c r="I788" s="14"/>
      <c r="J788" s="14" t="s">
        <v>61</v>
      </c>
      <c r="K788" s="12" t="s">
        <v>822</v>
      </c>
      <c r="L788" s="15">
        <v>1</v>
      </c>
      <c r="M788" s="12" t="s">
        <v>150</v>
      </c>
      <c r="N788" s="12">
        <v>2</v>
      </c>
      <c r="O788" s="12">
        <v>2</v>
      </c>
      <c r="P788" s="12">
        <v>0</v>
      </c>
      <c r="Q788" s="16">
        <v>2</v>
      </c>
      <c r="R788" s="16">
        <v>0</v>
      </c>
      <c r="S788" s="16"/>
      <c r="T788" s="16" t="e">
        <v>#N/A</v>
      </c>
      <c r="U788" s="16" t="e">
        <v>#N/A</v>
      </c>
    </row>
    <row r="789" spans="1:21" x14ac:dyDescent="0.25">
      <c r="A789" s="12" t="s">
        <v>21</v>
      </c>
      <c r="B789" s="12" t="s">
        <v>792</v>
      </c>
      <c r="C789" s="12" t="s">
        <v>23</v>
      </c>
      <c r="D789" s="13">
        <v>46260.398888888885</v>
      </c>
      <c r="E789" s="12" t="s">
        <v>24</v>
      </c>
      <c r="F789" s="12" t="s">
        <v>812</v>
      </c>
      <c r="G789" s="12">
        <v>23</v>
      </c>
      <c r="H789" s="12">
        <v>23</v>
      </c>
      <c r="I789" s="14"/>
      <c r="J789" s="14" t="s">
        <v>61</v>
      </c>
      <c r="K789" s="12" t="s">
        <v>823</v>
      </c>
      <c r="L789" s="15">
        <v>1</v>
      </c>
      <c r="M789" s="12" t="s">
        <v>150</v>
      </c>
      <c r="N789" s="12">
        <v>23</v>
      </c>
      <c r="O789" s="12">
        <v>23</v>
      </c>
      <c r="P789" s="12">
        <v>0</v>
      </c>
      <c r="Q789" s="16">
        <v>23</v>
      </c>
      <c r="R789" s="16">
        <v>0</v>
      </c>
      <c r="S789" s="16"/>
      <c r="T789" s="16" t="e">
        <v>#N/A</v>
      </c>
      <c r="U789" s="16" t="e">
        <v>#N/A</v>
      </c>
    </row>
    <row r="790" spans="1:21" x14ac:dyDescent="0.25">
      <c r="A790" s="12" t="s">
        <v>21</v>
      </c>
      <c r="B790" s="12" t="s">
        <v>792</v>
      </c>
      <c r="C790" s="12" t="s">
        <v>23</v>
      </c>
      <c r="D790" s="13">
        <v>46260.398888888885</v>
      </c>
      <c r="E790" s="12" t="s">
        <v>24</v>
      </c>
      <c r="F790" s="12" t="s">
        <v>813</v>
      </c>
      <c r="G790" s="12">
        <v>1</v>
      </c>
      <c r="H790" s="12">
        <v>1</v>
      </c>
      <c r="I790" s="14"/>
      <c r="J790" s="14" t="s">
        <v>61</v>
      </c>
      <c r="K790" s="12" t="s">
        <v>824</v>
      </c>
      <c r="L790" s="15">
        <v>1</v>
      </c>
      <c r="M790" s="12" t="s">
        <v>150</v>
      </c>
      <c r="N790" s="12">
        <v>1</v>
      </c>
      <c r="O790" s="12">
        <v>1</v>
      </c>
      <c r="P790" s="12">
        <v>0</v>
      </c>
      <c r="Q790" s="16">
        <v>1</v>
      </c>
      <c r="R790" s="16">
        <v>1</v>
      </c>
      <c r="S790" s="16"/>
      <c r="T790" s="16" t="e">
        <v>#N/A</v>
      </c>
      <c r="U790" s="16" t="e">
        <v>#N/A</v>
      </c>
    </row>
    <row r="791" spans="1:21" x14ac:dyDescent="0.25">
      <c r="A791" s="12" t="s">
        <v>21</v>
      </c>
      <c r="B791" s="12" t="s">
        <v>792</v>
      </c>
      <c r="C791" s="12" t="s">
        <v>23</v>
      </c>
      <c r="D791" s="13">
        <v>46260.398888888885</v>
      </c>
      <c r="E791" s="12" t="s">
        <v>24</v>
      </c>
      <c r="F791" s="12" t="s">
        <v>814</v>
      </c>
      <c r="G791" s="12">
        <v>1</v>
      </c>
      <c r="H791" s="12">
        <v>1</v>
      </c>
      <c r="I791" s="14"/>
      <c r="J791" s="14" t="s">
        <v>61</v>
      </c>
      <c r="K791" s="12" t="s">
        <v>825</v>
      </c>
      <c r="L791" s="15">
        <v>1</v>
      </c>
      <c r="M791" s="12" t="s">
        <v>150</v>
      </c>
      <c r="N791" s="12">
        <v>1</v>
      </c>
      <c r="O791" s="12">
        <v>1</v>
      </c>
      <c r="P791" s="12">
        <v>0</v>
      </c>
      <c r="Q791" s="16">
        <v>1</v>
      </c>
      <c r="R791" s="16">
        <v>0</v>
      </c>
      <c r="S791" s="16"/>
      <c r="T791" s="16" t="e">
        <v>#N/A</v>
      </c>
      <c r="U791" s="16" t="e">
        <v>#N/A</v>
      </c>
    </row>
    <row r="792" spans="1:21" x14ac:dyDescent="0.25">
      <c r="A792" s="12" t="s">
        <v>21</v>
      </c>
      <c r="B792" s="12" t="s">
        <v>792</v>
      </c>
      <c r="C792" s="12" t="s">
        <v>23</v>
      </c>
      <c r="D792" s="13">
        <v>46260.398888888885</v>
      </c>
      <c r="E792" s="12" t="s">
        <v>24</v>
      </c>
      <c r="F792" s="12" t="s">
        <v>815</v>
      </c>
      <c r="G792" s="12">
        <v>17</v>
      </c>
      <c r="H792" s="12">
        <v>17</v>
      </c>
      <c r="I792" s="14"/>
      <c r="J792" s="14" t="s">
        <v>61</v>
      </c>
      <c r="K792" s="12" t="s">
        <v>826</v>
      </c>
      <c r="L792" s="15">
        <v>1</v>
      </c>
      <c r="M792" s="12" t="s">
        <v>150</v>
      </c>
      <c r="N792" s="12">
        <v>17</v>
      </c>
      <c r="O792" s="12">
        <v>17</v>
      </c>
      <c r="P792" s="12">
        <v>0</v>
      </c>
      <c r="Q792" s="16">
        <v>17</v>
      </c>
      <c r="R792" s="16">
        <v>0</v>
      </c>
      <c r="S792" s="16"/>
      <c r="T792" s="16" t="e">
        <v>#N/A</v>
      </c>
      <c r="U792" s="16" t="e">
        <v>#N/A</v>
      </c>
    </row>
    <row r="793" spans="1:21" x14ac:dyDescent="0.25">
      <c r="A793" s="12" t="s">
        <v>21</v>
      </c>
      <c r="B793" s="12" t="s">
        <v>792</v>
      </c>
      <c r="C793" s="12" t="s">
        <v>23</v>
      </c>
      <c r="D793" s="13">
        <v>46260.398888888885</v>
      </c>
      <c r="E793" s="12" t="s">
        <v>24</v>
      </c>
      <c r="F793" s="12" t="s">
        <v>816</v>
      </c>
      <c r="G793" s="12">
        <v>8</v>
      </c>
      <c r="H793" s="12">
        <v>8</v>
      </c>
      <c r="I793" s="14"/>
      <c r="J793" s="14" t="s">
        <v>61</v>
      </c>
      <c r="K793" s="12" t="s">
        <v>827</v>
      </c>
      <c r="L793" s="15">
        <v>1</v>
      </c>
      <c r="M793" s="12" t="s">
        <v>150</v>
      </c>
      <c r="N793" s="12">
        <v>8</v>
      </c>
      <c r="O793" s="12">
        <v>8</v>
      </c>
      <c r="P793" s="12">
        <v>0</v>
      </c>
      <c r="Q793" s="16">
        <v>8</v>
      </c>
      <c r="R793" s="16">
        <v>0</v>
      </c>
      <c r="S793" s="16"/>
      <c r="T793" s="16" t="e">
        <v>#N/A</v>
      </c>
      <c r="U793" s="16" t="e">
        <v>#N/A</v>
      </c>
    </row>
    <row r="794" spans="1:21" x14ac:dyDescent="0.25">
      <c r="A794" s="12" t="s">
        <v>21</v>
      </c>
      <c r="B794" s="12" t="s">
        <v>792</v>
      </c>
      <c r="C794" s="12" t="s">
        <v>23</v>
      </c>
      <c r="D794" s="13">
        <v>46260.398888888885</v>
      </c>
      <c r="E794" s="12" t="s">
        <v>24</v>
      </c>
      <c r="F794" s="12" t="s">
        <v>817</v>
      </c>
      <c r="G794" s="12">
        <v>10</v>
      </c>
      <c r="H794" s="12">
        <v>10</v>
      </c>
      <c r="I794" s="14"/>
      <c r="J794" s="14" t="s">
        <v>61</v>
      </c>
      <c r="K794" s="12" t="s">
        <v>828</v>
      </c>
      <c r="L794" s="15">
        <v>1</v>
      </c>
      <c r="M794" s="12" t="s">
        <v>150</v>
      </c>
      <c r="N794" s="12">
        <v>10</v>
      </c>
      <c r="O794" s="12">
        <v>10</v>
      </c>
      <c r="P794" s="12">
        <v>0</v>
      </c>
      <c r="Q794" s="16">
        <v>10</v>
      </c>
      <c r="R794" s="16">
        <v>0</v>
      </c>
      <c r="S794" s="16"/>
      <c r="T794" s="16" t="e">
        <v>#N/A</v>
      </c>
      <c r="U794" s="16" t="e">
        <v>#N/A</v>
      </c>
    </row>
    <row r="795" spans="1:21" x14ac:dyDescent="0.25">
      <c r="A795" s="12" t="s">
        <v>21</v>
      </c>
      <c r="B795" s="12" t="s">
        <v>792</v>
      </c>
      <c r="C795" s="12" t="s">
        <v>23</v>
      </c>
      <c r="D795" s="13">
        <v>46260.398888888885</v>
      </c>
      <c r="E795" s="12" t="s">
        <v>24</v>
      </c>
      <c r="F795" s="12" t="s">
        <v>829</v>
      </c>
      <c r="G795" s="12">
        <v>17</v>
      </c>
      <c r="H795" s="12">
        <v>17</v>
      </c>
      <c r="I795" s="14"/>
      <c r="J795" s="14" t="s">
        <v>61</v>
      </c>
      <c r="K795" s="12" t="s">
        <v>830</v>
      </c>
      <c r="L795" s="15">
        <v>1</v>
      </c>
      <c r="M795" s="12" t="s">
        <v>150</v>
      </c>
      <c r="N795" s="12">
        <v>17</v>
      </c>
      <c r="O795" s="12">
        <v>17</v>
      </c>
      <c r="P795" s="12">
        <v>0</v>
      </c>
      <c r="Q795" s="16">
        <v>17</v>
      </c>
      <c r="R795" s="16">
        <v>0</v>
      </c>
      <c r="S795" s="16"/>
      <c r="T795" s="16" t="e">
        <v>#N/A</v>
      </c>
      <c r="U795" s="16" t="e">
        <v>#N/A</v>
      </c>
    </row>
    <row r="796" spans="1:21" x14ac:dyDescent="0.25">
      <c r="A796" s="12" t="s">
        <v>21</v>
      </c>
      <c r="B796" s="12" t="s">
        <v>831</v>
      </c>
      <c r="C796" s="12" t="s">
        <v>23</v>
      </c>
      <c r="D796" s="13">
        <v>46260.417627314811</v>
      </c>
      <c r="E796" s="12" t="s">
        <v>832</v>
      </c>
      <c r="F796" s="12" t="s">
        <v>833</v>
      </c>
      <c r="G796" s="12">
        <v>4</v>
      </c>
      <c r="H796" s="12">
        <v>4</v>
      </c>
      <c r="I796" s="14"/>
      <c r="J796" s="14" t="s">
        <v>61</v>
      </c>
      <c r="K796" s="12" t="s">
        <v>835</v>
      </c>
      <c r="L796" s="15">
        <v>1</v>
      </c>
      <c r="M796" s="12" t="s">
        <v>150</v>
      </c>
      <c r="N796" s="12">
        <v>4</v>
      </c>
      <c r="O796" s="12">
        <v>4</v>
      </c>
      <c r="P796" s="12">
        <v>0</v>
      </c>
      <c r="Q796" s="16">
        <v>4</v>
      </c>
      <c r="R796" s="16">
        <v>0</v>
      </c>
      <c r="S796" s="16"/>
      <c r="T796" s="16" t="e">
        <v>#N/A</v>
      </c>
      <c r="U796" s="16" t="e">
        <v>#N/A</v>
      </c>
    </row>
    <row r="797" spans="1:21" x14ac:dyDescent="0.25">
      <c r="A797" s="12" t="s">
        <v>21</v>
      </c>
      <c r="B797" s="12" t="s">
        <v>831</v>
      </c>
      <c r="C797" s="12" t="s">
        <v>23</v>
      </c>
      <c r="D797" s="13">
        <v>46260.417627314811</v>
      </c>
      <c r="E797" s="12" t="s">
        <v>832</v>
      </c>
      <c r="F797" s="12" t="s">
        <v>834</v>
      </c>
      <c r="G797" s="12">
        <v>2</v>
      </c>
      <c r="H797" s="12">
        <v>1</v>
      </c>
      <c r="I797" s="14"/>
      <c r="J797" s="14" t="s">
        <v>61</v>
      </c>
      <c r="K797" s="12" t="s">
        <v>836</v>
      </c>
      <c r="L797" s="15">
        <v>1</v>
      </c>
      <c r="M797" s="12" t="s">
        <v>150</v>
      </c>
      <c r="N797" s="12">
        <v>1</v>
      </c>
      <c r="O797" s="12">
        <v>1</v>
      </c>
      <c r="P797" s="12">
        <v>0</v>
      </c>
      <c r="Q797" s="16">
        <v>2</v>
      </c>
      <c r="R797" s="16">
        <v>0</v>
      </c>
      <c r="S797" s="16"/>
      <c r="T797" s="16" t="e">
        <v>#N/A</v>
      </c>
      <c r="U797" s="16" t="e">
        <v>#N/A</v>
      </c>
    </row>
    <row r="798" spans="1:21" x14ac:dyDescent="0.25">
      <c r="A798" s="12" t="s">
        <v>21</v>
      </c>
      <c r="B798" s="12" t="s">
        <v>837</v>
      </c>
      <c r="C798" s="12" t="s">
        <v>23</v>
      </c>
      <c r="D798" s="13">
        <v>46260.566678240742</v>
      </c>
      <c r="E798" s="12" t="s">
        <v>522</v>
      </c>
      <c r="F798" s="12" t="s">
        <v>326</v>
      </c>
      <c r="G798" s="12">
        <v>20</v>
      </c>
      <c r="H798" s="12">
        <v>20</v>
      </c>
      <c r="I798" s="14"/>
      <c r="J798" s="14" t="s">
        <v>61</v>
      </c>
      <c r="K798" s="12" t="s">
        <v>839</v>
      </c>
      <c r="L798" s="15">
        <v>1</v>
      </c>
      <c r="M798" s="12" t="s">
        <v>150</v>
      </c>
      <c r="N798" s="12">
        <v>20</v>
      </c>
      <c r="O798" s="12">
        <v>20</v>
      </c>
      <c r="P798" s="12">
        <v>0</v>
      </c>
      <c r="Q798" s="16">
        <v>20</v>
      </c>
      <c r="R798" s="16">
        <v>0</v>
      </c>
      <c r="S798" s="16"/>
      <c r="T798" s="16" t="e">
        <v>#N/A</v>
      </c>
      <c r="U798" s="16" t="e">
        <v>#N/A</v>
      </c>
    </row>
    <row r="799" spans="1:21" x14ac:dyDescent="0.25">
      <c r="A799" s="12" t="s">
        <v>21</v>
      </c>
      <c r="B799" s="12" t="s">
        <v>837</v>
      </c>
      <c r="C799" s="12" t="s">
        <v>23</v>
      </c>
      <c r="D799" s="13">
        <v>46260.566678240742</v>
      </c>
      <c r="E799" s="12" t="s">
        <v>522</v>
      </c>
      <c r="F799" s="12" t="s">
        <v>67</v>
      </c>
      <c r="G799" s="12">
        <v>100</v>
      </c>
      <c r="H799" s="12">
        <v>100</v>
      </c>
      <c r="I799" s="14"/>
      <c r="J799" s="14" t="s">
        <v>61</v>
      </c>
      <c r="K799" s="12" t="s">
        <v>840</v>
      </c>
      <c r="L799" s="15">
        <v>1</v>
      </c>
      <c r="M799" s="12" t="s">
        <v>150</v>
      </c>
      <c r="N799" s="12">
        <v>100</v>
      </c>
      <c r="O799" s="12">
        <v>100</v>
      </c>
      <c r="P799" s="12">
        <v>0</v>
      </c>
      <c r="Q799" s="16">
        <v>100</v>
      </c>
      <c r="R799" s="16">
        <v>0</v>
      </c>
      <c r="S799" s="16"/>
      <c r="T799" s="16" t="e">
        <v>#N/A</v>
      </c>
      <c r="U799" s="16" t="e">
        <v>#N/A</v>
      </c>
    </row>
    <row r="800" spans="1:21" x14ac:dyDescent="0.25">
      <c r="A800" s="12" t="s">
        <v>21</v>
      </c>
      <c r="B800" s="12" t="s">
        <v>837</v>
      </c>
      <c r="C800" s="12" t="s">
        <v>23</v>
      </c>
      <c r="D800" s="13">
        <v>46260.566678240742</v>
      </c>
      <c r="E800" s="12" t="s">
        <v>522</v>
      </c>
      <c r="F800" s="12" t="s">
        <v>735</v>
      </c>
      <c r="G800" s="12">
        <v>8</v>
      </c>
      <c r="H800" s="12">
        <v>8</v>
      </c>
      <c r="I800" s="14"/>
      <c r="J800" s="14" t="s">
        <v>61</v>
      </c>
      <c r="K800" s="12" t="s">
        <v>841</v>
      </c>
      <c r="L800" s="15">
        <v>1</v>
      </c>
      <c r="M800" s="12" t="s">
        <v>150</v>
      </c>
      <c r="N800" s="12">
        <v>8</v>
      </c>
      <c r="O800" s="12">
        <v>8</v>
      </c>
      <c r="P800" s="12">
        <v>0</v>
      </c>
      <c r="Q800" s="16">
        <v>8</v>
      </c>
      <c r="R800" s="16">
        <v>0</v>
      </c>
      <c r="S800" s="16"/>
      <c r="T800" s="16" t="e">
        <v>#N/A</v>
      </c>
      <c r="U800" s="16" t="e">
        <v>#N/A</v>
      </c>
    </row>
    <row r="801" spans="1:21" x14ac:dyDescent="0.25">
      <c r="A801" s="12" t="s">
        <v>21</v>
      </c>
      <c r="B801" s="12" t="s">
        <v>837</v>
      </c>
      <c r="C801" s="12" t="s">
        <v>23</v>
      </c>
      <c r="D801" s="13">
        <v>46260.566678240742</v>
      </c>
      <c r="E801" s="12" t="s">
        <v>522</v>
      </c>
      <c r="F801" s="12" t="s">
        <v>838</v>
      </c>
      <c r="G801" s="12">
        <v>50</v>
      </c>
      <c r="H801" s="12">
        <v>50</v>
      </c>
      <c r="I801" s="14"/>
      <c r="J801" s="14" t="s">
        <v>61</v>
      </c>
      <c r="K801" s="12" t="s">
        <v>842</v>
      </c>
      <c r="L801" s="15">
        <v>1</v>
      </c>
      <c r="M801" s="12" t="s">
        <v>150</v>
      </c>
      <c r="N801" s="12">
        <v>50</v>
      </c>
      <c r="O801" s="12">
        <v>50</v>
      </c>
      <c r="P801" s="12">
        <v>0</v>
      </c>
      <c r="Q801" s="16">
        <v>50</v>
      </c>
      <c r="R801" s="16">
        <v>0</v>
      </c>
      <c r="S801" s="16"/>
      <c r="T801" s="16" t="e">
        <v>#N/A</v>
      </c>
      <c r="U801" s="16" t="e">
        <v>#N/A</v>
      </c>
    </row>
    <row r="802" spans="1:21" x14ac:dyDescent="0.25">
      <c r="A802" s="12" t="s">
        <v>21</v>
      </c>
      <c r="B802" s="12" t="s">
        <v>843</v>
      </c>
      <c r="C802" s="12" t="s">
        <v>23</v>
      </c>
      <c r="D802" s="13">
        <v>46261.381307870368</v>
      </c>
      <c r="E802" s="12" t="s">
        <v>398</v>
      </c>
      <c r="F802" s="12" t="s">
        <v>332</v>
      </c>
      <c r="G802" s="12">
        <v>10</v>
      </c>
      <c r="H802" s="12">
        <v>10</v>
      </c>
      <c r="I802" s="14"/>
      <c r="J802" s="14" t="s">
        <v>26</v>
      </c>
      <c r="K802" s="12" t="s">
        <v>848</v>
      </c>
      <c r="L802" s="15">
        <v>1</v>
      </c>
      <c r="M802" s="12" t="s">
        <v>150</v>
      </c>
      <c r="N802" s="12">
        <v>10</v>
      </c>
      <c r="O802" s="12">
        <v>10</v>
      </c>
      <c r="P802" s="12">
        <v>0</v>
      </c>
      <c r="Q802" s="16">
        <v>0</v>
      </c>
      <c r="R802" s="16">
        <v>0</v>
      </c>
      <c r="S802" s="16"/>
      <c r="T802" s="16" t="e">
        <v>#N/A</v>
      </c>
      <c r="U802" s="16" t="e">
        <v>#N/A</v>
      </c>
    </row>
    <row r="803" spans="1:21" x14ac:dyDescent="0.25">
      <c r="A803" s="12" t="s">
        <v>21</v>
      </c>
      <c r="B803" s="12" t="s">
        <v>843</v>
      </c>
      <c r="C803" s="12" t="s">
        <v>23</v>
      </c>
      <c r="D803" s="13">
        <v>46261.381307870368</v>
      </c>
      <c r="E803" s="12" t="s">
        <v>398</v>
      </c>
      <c r="F803" s="12" t="s">
        <v>489</v>
      </c>
      <c r="G803" s="12">
        <v>10</v>
      </c>
      <c r="H803" s="12">
        <v>10</v>
      </c>
      <c r="I803" s="14"/>
      <c r="J803" s="14" t="s">
        <v>26</v>
      </c>
      <c r="K803" s="12" t="s">
        <v>27</v>
      </c>
      <c r="L803" s="15"/>
      <c r="M803" s="12" t="s">
        <v>28</v>
      </c>
      <c r="N803" s="12"/>
      <c r="O803" s="12"/>
      <c r="P803" s="12"/>
      <c r="Q803" s="16">
        <v>0</v>
      </c>
      <c r="R803" s="16">
        <v>0</v>
      </c>
      <c r="S803" s="16"/>
      <c r="T803" s="16" t="e">
        <v>#N/A</v>
      </c>
      <c r="U803" s="16" t="e">
        <v>#N/A</v>
      </c>
    </row>
    <row r="804" spans="1:21" x14ac:dyDescent="0.25">
      <c r="A804" s="12" t="s">
        <v>21</v>
      </c>
      <c r="B804" s="12" t="s">
        <v>843</v>
      </c>
      <c r="C804" s="12" t="s">
        <v>23</v>
      </c>
      <c r="D804" s="13">
        <v>46261.381307870368</v>
      </c>
      <c r="E804" s="12" t="s">
        <v>398</v>
      </c>
      <c r="F804" s="12" t="s">
        <v>530</v>
      </c>
      <c r="G804" s="12">
        <v>10</v>
      </c>
      <c r="H804" s="12">
        <v>10</v>
      </c>
      <c r="I804" s="14"/>
      <c r="J804" s="14" t="s">
        <v>61</v>
      </c>
      <c r="K804" s="12" t="s">
        <v>849</v>
      </c>
      <c r="L804" s="15">
        <v>1</v>
      </c>
      <c r="M804" s="12" t="s">
        <v>150</v>
      </c>
      <c r="N804" s="12">
        <v>10</v>
      </c>
      <c r="O804" s="12">
        <v>10</v>
      </c>
      <c r="P804" s="12">
        <v>0</v>
      </c>
      <c r="Q804" s="16">
        <v>10</v>
      </c>
      <c r="R804" s="16">
        <v>0</v>
      </c>
      <c r="S804" s="16"/>
      <c r="T804" s="16" t="e">
        <v>#N/A</v>
      </c>
      <c r="U804" s="16" t="e">
        <v>#N/A</v>
      </c>
    </row>
    <row r="805" spans="1:21" x14ac:dyDescent="0.25">
      <c r="A805" s="12" t="s">
        <v>21</v>
      </c>
      <c r="B805" s="12" t="s">
        <v>843</v>
      </c>
      <c r="C805" s="12" t="s">
        <v>23</v>
      </c>
      <c r="D805" s="13">
        <v>46261.381307870368</v>
      </c>
      <c r="E805" s="12" t="s">
        <v>398</v>
      </c>
      <c r="F805" s="12" t="s">
        <v>844</v>
      </c>
      <c r="G805" s="12">
        <v>18</v>
      </c>
      <c r="H805" s="12">
        <v>18</v>
      </c>
      <c r="I805" s="14"/>
      <c r="J805" s="14" t="s">
        <v>61</v>
      </c>
      <c r="K805" s="12" t="s">
        <v>850</v>
      </c>
      <c r="L805" s="15">
        <v>1</v>
      </c>
      <c r="M805" s="12" t="s">
        <v>150</v>
      </c>
      <c r="N805" s="12">
        <v>18</v>
      </c>
      <c r="O805" s="12">
        <v>18</v>
      </c>
      <c r="P805" s="12">
        <v>0</v>
      </c>
      <c r="Q805" s="16">
        <v>18</v>
      </c>
      <c r="R805" s="16">
        <v>0</v>
      </c>
      <c r="S805" s="16"/>
      <c r="T805" s="16" t="e">
        <v>#N/A</v>
      </c>
      <c r="U805" s="16" t="e">
        <v>#N/A</v>
      </c>
    </row>
    <row r="806" spans="1:21" x14ac:dyDescent="0.25">
      <c r="A806" s="12" t="s">
        <v>21</v>
      </c>
      <c r="B806" s="12" t="s">
        <v>843</v>
      </c>
      <c r="C806" s="12" t="s">
        <v>23</v>
      </c>
      <c r="D806" s="13">
        <v>46261.381307870368</v>
      </c>
      <c r="E806" s="12" t="s">
        <v>398</v>
      </c>
      <c r="F806" s="12" t="s">
        <v>531</v>
      </c>
      <c r="G806" s="12">
        <v>16</v>
      </c>
      <c r="H806" s="12">
        <v>16</v>
      </c>
      <c r="I806" s="14"/>
      <c r="J806" s="14" t="s">
        <v>61</v>
      </c>
      <c r="K806" s="12" t="s">
        <v>851</v>
      </c>
      <c r="L806" s="15">
        <v>1</v>
      </c>
      <c r="M806" s="12" t="s">
        <v>150</v>
      </c>
      <c r="N806" s="12">
        <v>16</v>
      </c>
      <c r="O806" s="12">
        <v>16</v>
      </c>
      <c r="P806" s="12">
        <v>0</v>
      </c>
      <c r="Q806" s="16">
        <v>16</v>
      </c>
      <c r="R806" s="16">
        <v>0</v>
      </c>
      <c r="S806" s="16"/>
      <c r="T806" s="16" t="e">
        <v>#N/A</v>
      </c>
      <c r="U806" s="16" t="e">
        <v>#N/A</v>
      </c>
    </row>
    <row r="807" spans="1:21" x14ac:dyDescent="0.25">
      <c r="A807" s="12" t="s">
        <v>21</v>
      </c>
      <c r="B807" s="12" t="s">
        <v>843</v>
      </c>
      <c r="C807" s="12" t="s">
        <v>23</v>
      </c>
      <c r="D807" s="13">
        <v>46261.381307870368</v>
      </c>
      <c r="E807" s="12" t="s">
        <v>398</v>
      </c>
      <c r="F807" s="12" t="s">
        <v>845</v>
      </c>
      <c r="G807" s="12">
        <v>10</v>
      </c>
      <c r="H807" s="12">
        <v>10</v>
      </c>
      <c r="I807" s="14"/>
      <c r="J807" s="14" t="s">
        <v>61</v>
      </c>
      <c r="K807" s="12" t="s">
        <v>852</v>
      </c>
      <c r="L807" s="15">
        <v>1</v>
      </c>
      <c r="M807" s="12" t="s">
        <v>150</v>
      </c>
      <c r="N807" s="12">
        <v>10</v>
      </c>
      <c r="O807" s="12">
        <v>10</v>
      </c>
      <c r="P807" s="12">
        <v>0</v>
      </c>
      <c r="Q807" s="16">
        <v>10</v>
      </c>
      <c r="R807" s="16">
        <v>0</v>
      </c>
      <c r="S807" s="16"/>
      <c r="T807" s="16" t="e">
        <v>#N/A</v>
      </c>
      <c r="U807" s="16" t="e">
        <v>#N/A</v>
      </c>
    </row>
    <row r="808" spans="1:21" x14ac:dyDescent="0.25">
      <c r="A808" s="12" t="s">
        <v>21</v>
      </c>
      <c r="B808" s="12" t="s">
        <v>843</v>
      </c>
      <c r="C808" s="12" t="s">
        <v>23</v>
      </c>
      <c r="D808" s="13">
        <v>46261.381307870368</v>
      </c>
      <c r="E808" s="12" t="s">
        <v>398</v>
      </c>
      <c r="F808" s="12" t="s">
        <v>846</v>
      </c>
      <c r="G808" s="12">
        <v>2</v>
      </c>
      <c r="H808" s="12">
        <v>2</v>
      </c>
      <c r="I808" s="14"/>
      <c r="J808" s="14" t="s">
        <v>61</v>
      </c>
      <c r="K808" s="12" t="s">
        <v>853</v>
      </c>
      <c r="L808" s="15">
        <v>1</v>
      </c>
      <c r="M808" s="12" t="s">
        <v>150</v>
      </c>
      <c r="N808" s="12">
        <v>2</v>
      </c>
      <c r="O808" s="12">
        <v>2</v>
      </c>
      <c r="P808" s="12">
        <v>0</v>
      </c>
      <c r="Q808" s="16">
        <v>2</v>
      </c>
      <c r="R808" s="16">
        <v>0</v>
      </c>
      <c r="S808" s="16"/>
      <c r="T808" s="16" t="e">
        <v>#N/A</v>
      </c>
      <c r="U808" s="16" t="e">
        <v>#N/A</v>
      </c>
    </row>
    <row r="809" spans="1:21" x14ac:dyDescent="0.25">
      <c r="A809" s="12" t="s">
        <v>21</v>
      </c>
      <c r="B809" s="12" t="s">
        <v>843</v>
      </c>
      <c r="C809" s="12" t="s">
        <v>23</v>
      </c>
      <c r="D809" s="13">
        <v>46261.381307870368</v>
      </c>
      <c r="E809" s="12" t="s">
        <v>398</v>
      </c>
      <c r="F809" s="12" t="s">
        <v>847</v>
      </c>
      <c r="G809" s="12">
        <v>20</v>
      </c>
      <c r="H809" s="12">
        <v>20</v>
      </c>
      <c r="I809" s="14"/>
      <c r="J809" s="14" t="s">
        <v>61</v>
      </c>
      <c r="K809" s="12" t="s">
        <v>854</v>
      </c>
      <c r="L809" s="15">
        <v>1</v>
      </c>
      <c r="M809" s="12" t="s">
        <v>150</v>
      </c>
      <c r="N809" s="12">
        <v>20</v>
      </c>
      <c r="O809" s="12">
        <v>20</v>
      </c>
      <c r="P809" s="12">
        <v>0</v>
      </c>
      <c r="Q809" s="16">
        <v>20</v>
      </c>
      <c r="R809" s="16">
        <v>0</v>
      </c>
      <c r="S809" s="16"/>
      <c r="T809" s="16" t="e">
        <v>#N/A</v>
      </c>
      <c r="U809" s="16" t="e">
        <v>#N/A</v>
      </c>
    </row>
    <row r="810" spans="1:21" x14ac:dyDescent="0.25">
      <c r="A810" s="12" t="s">
        <v>21</v>
      </c>
      <c r="B810" s="12" t="s">
        <v>855</v>
      </c>
      <c r="C810" s="12" t="s">
        <v>23</v>
      </c>
      <c r="D810" s="13">
        <v>46261.431909722225</v>
      </c>
      <c r="E810" s="12" t="s">
        <v>856</v>
      </c>
      <c r="F810" s="12" t="s">
        <v>857</v>
      </c>
      <c r="G810" s="12">
        <v>1</v>
      </c>
      <c r="H810" s="12">
        <v>1</v>
      </c>
      <c r="I810" s="14"/>
      <c r="J810" s="14" t="s">
        <v>61</v>
      </c>
      <c r="K810" s="12" t="s">
        <v>860</v>
      </c>
      <c r="L810" s="15">
        <v>1</v>
      </c>
      <c r="M810" s="12" t="s">
        <v>150</v>
      </c>
      <c r="N810" s="12">
        <v>1</v>
      </c>
      <c r="O810" s="12">
        <v>1</v>
      </c>
      <c r="P810" s="12">
        <v>0</v>
      </c>
      <c r="Q810" s="16">
        <v>1</v>
      </c>
      <c r="R810" s="16">
        <v>0</v>
      </c>
      <c r="S810" s="16"/>
      <c r="T810" s="16" t="e">
        <v>#N/A</v>
      </c>
      <c r="U810" s="16" t="e">
        <v>#N/A</v>
      </c>
    </row>
    <row r="811" spans="1:21" x14ac:dyDescent="0.25">
      <c r="A811" s="12" t="s">
        <v>21</v>
      </c>
      <c r="B811" s="12" t="s">
        <v>855</v>
      </c>
      <c r="C811" s="12" t="s">
        <v>23</v>
      </c>
      <c r="D811" s="13">
        <v>46261.431909722225</v>
      </c>
      <c r="E811" s="12" t="s">
        <v>856</v>
      </c>
      <c r="F811" s="12" t="s">
        <v>858</v>
      </c>
      <c r="G811" s="12">
        <v>2</v>
      </c>
      <c r="H811" s="12">
        <v>2</v>
      </c>
      <c r="I811" s="14"/>
      <c r="J811" s="14" t="s">
        <v>61</v>
      </c>
      <c r="K811" s="12" t="s">
        <v>861</v>
      </c>
      <c r="L811" s="15">
        <v>1</v>
      </c>
      <c r="M811" s="12" t="s">
        <v>150</v>
      </c>
      <c r="N811" s="12">
        <v>2</v>
      </c>
      <c r="O811" s="12">
        <v>2</v>
      </c>
      <c r="P811" s="12">
        <v>0</v>
      </c>
      <c r="Q811" s="16">
        <v>2</v>
      </c>
      <c r="R811" s="16">
        <v>0</v>
      </c>
      <c r="S811" s="16"/>
      <c r="T811" s="16" t="e">
        <v>#N/A</v>
      </c>
      <c r="U811" s="16" t="e">
        <v>#N/A</v>
      </c>
    </row>
    <row r="812" spans="1:21" x14ac:dyDescent="0.25">
      <c r="A812" s="12" t="s">
        <v>21</v>
      </c>
      <c r="B812" s="12" t="s">
        <v>855</v>
      </c>
      <c r="C812" s="12" t="s">
        <v>23</v>
      </c>
      <c r="D812" s="13">
        <v>46261.431909722225</v>
      </c>
      <c r="E812" s="12" t="s">
        <v>856</v>
      </c>
      <c r="F812" s="12" t="s">
        <v>859</v>
      </c>
      <c r="G812" s="12">
        <v>2</v>
      </c>
      <c r="H812" s="12">
        <v>2</v>
      </c>
      <c r="I812" s="14"/>
      <c r="J812" s="14" t="s">
        <v>61</v>
      </c>
      <c r="K812" s="12" t="s">
        <v>862</v>
      </c>
      <c r="L812" s="15">
        <v>1</v>
      </c>
      <c r="M812" s="12" t="s">
        <v>150</v>
      </c>
      <c r="N812" s="12">
        <v>2</v>
      </c>
      <c r="O812" s="12">
        <v>2</v>
      </c>
      <c r="P812" s="12">
        <v>0</v>
      </c>
      <c r="Q812" s="16">
        <v>2</v>
      </c>
      <c r="R812" s="16">
        <v>0</v>
      </c>
      <c r="S812" s="16"/>
      <c r="T812" s="16" t="e">
        <v>#N/A</v>
      </c>
      <c r="U812" s="16" t="e">
        <v>#N/A</v>
      </c>
    </row>
    <row r="813" spans="1:21" x14ac:dyDescent="0.25">
      <c r="A813" s="12" t="s">
        <v>21</v>
      </c>
      <c r="B813" s="12" t="s">
        <v>855</v>
      </c>
      <c r="C813" s="12" t="s">
        <v>23</v>
      </c>
      <c r="D813" s="13">
        <v>46261.431909722225</v>
      </c>
      <c r="E813" s="12" t="s">
        <v>856</v>
      </c>
      <c r="F813" s="12" t="s">
        <v>863</v>
      </c>
      <c r="G813" s="12">
        <v>4</v>
      </c>
      <c r="H813" s="12">
        <v>4</v>
      </c>
      <c r="I813" s="14"/>
      <c r="J813" s="14" t="s">
        <v>61</v>
      </c>
      <c r="K813" s="12" t="s">
        <v>865</v>
      </c>
      <c r="L813" s="15">
        <v>1</v>
      </c>
      <c r="M813" s="12" t="s">
        <v>150</v>
      </c>
      <c r="N813" s="12">
        <v>4</v>
      </c>
      <c r="O813" s="12">
        <v>4</v>
      </c>
      <c r="P813" s="12">
        <v>0</v>
      </c>
      <c r="Q813" s="16">
        <v>4</v>
      </c>
      <c r="R813" s="16">
        <v>3</v>
      </c>
      <c r="S813" s="16"/>
      <c r="T813" s="16" t="e">
        <v>#N/A</v>
      </c>
      <c r="U813" s="16" t="e">
        <v>#N/A</v>
      </c>
    </row>
    <row r="814" spans="1:21" x14ac:dyDescent="0.25">
      <c r="A814" s="12" t="s">
        <v>21</v>
      </c>
      <c r="B814" s="12" t="s">
        <v>855</v>
      </c>
      <c r="C814" s="12" t="s">
        <v>23</v>
      </c>
      <c r="D814" s="13">
        <v>46261.431909722225</v>
      </c>
      <c r="E814" s="12" t="s">
        <v>856</v>
      </c>
      <c r="F814" s="12" t="s">
        <v>864</v>
      </c>
      <c r="G814" s="12">
        <v>4</v>
      </c>
      <c r="H814" s="12">
        <v>4</v>
      </c>
      <c r="I814" s="14"/>
      <c r="J814" s="14" t="s">
        <v>61</v>
      </c>
      <c r="K814" s="12" t="s">
        <v>866</v>
      </c>
      <c r="L814" s="15">
        <v>1</v>
      </c>
      <c r="M814" s="12" t="s">
        <v>150</v>
      </c>
      <c r="N814" s="12">
        <v>4</v>
      </c>
      <c r="O814" s="12">
        <v>4</v>
      </c>
      <c r="P814" s="12">
        <v>0</v>
      </c>
      <c r="Q814" s="16">
        <v>4</v>
      </c>
      <c r="R814" s="16">
        <v>0</v>
      </c>
      <c r="S814" s="16"/>
      <c r="T814" s="16" t="e">
        <v>#N/A</v>
      </c>
      <c r="U814" s="16" t="e">
        <v>#N/A</v>
      </c>
    </row>
    <row r="815" spans="1:21" x14ac:dyDescent="0.25">
      <c r="A815" s="12" t="s">
        <v>21</v>
      </c>
      <c r="B815" s="12" t="s">
        <v>855</v>
      </c>
      <c r="C815" s="12" t="s">
        <v>23</v>
      </c>
      <c r="D815" s="13">
        <v>46261.431909722225</v>
      </c>
      <c r="E815" s="12" t="s">
        <v>856</v>
      </c>
      <c r="F815" s="12" t="s">
        <v>43</v>
      </c>
      <c r="G815" s="12">
        <v>54</v>
      </c>
      <c r="H815" s="12">
        <v>54</v>
      </c>
      <c r="I815" s="14"/>
      <c r="J815" s="14" t="s">
        <v>26</v>
      </c>
      <c r="K815" s="12" t="s">
        <v>27</v>
      </c>
      <c r="L815" s="15"/>
      <c r="M815" s="12" t="s">
        <v>28</v>
      </c>
      <c r="N815" s="12"/>
      <c r="O815" s="12"/>
      <c r="P815" s="12"/>
      <c r="Q815" s="16">
        <v>0</v>
      </c>
      <c r="R815" s="16">
        <v>0</v>
      </c>
      <c r="S815" s="16"/>
      <c r="T815" s="16" t="e">
        <v>#N/A</v>
      </c>
      <c r="U815" s="16" t="e">
        <v>#N/A</v>
      </c>
    </row>
    <row r="816" spans="1:21" x14ac:dyDescent="0.25">
      <c r="A816" s="12" t="s">
        <v>21</v>
      </c>
      <c r="B816" s="12" t="s">
        <v>855</v>
      </c>
      <c r="C816" s="12" t="s">
        <v>23</v>
      </c>
      <c r="D816" s="13">
        <v>46261.431909722225</v>
      </c>
      <c r="E816" s="12" t="s">
        <v>856</v>
      </c>
      <c r="F816" s="12" t="s">
        <v>43</v>
      </c>
      <c r="G816" s="12">
        <v>80</v>
      </c>
      <c r="H816" s="12">
        <v>80</v>
      </c>
      <c r="I816" s="14"/>
      <c r="J816" s="14" t="s">
        <v>26</v>
      </c>
      <c r="K816" s="12" t="s">
        <v>27</v>
      </c>
      <c r="L816" s="15"/>
      <c r="M816" s="12" t="s">
        <v>28</v>
      </c>
      <c r="N816" s="12"/>
      <c r="O816" s="12"/>
      <c r="P816" s="12"/>
      <c r="Q816" s="16">
        <v>0</v>
      </c>
      <c r="R816" s="16">
        <v>0</v>
      </c>
      <c r="S816" s="16"/>
      <c r="T816" s="16" t="e">
        <v>#N/A</v>
      </c>
      <c r="U816" s="16" t="e">
        <v>#N/A</v>
      </c>
    </row>
    <row r="817" spans="1:21" x14ac:dyDescent="0.25">
      <c r="A817" s="12" t="s">
        <v>21</v>
      </c>
      <c r="B817" s="12" t="s">
        <v>855</v>
      </c>
      <c r="C817" s="12" t="s">
        <v>23</v>
      </c>
      <c r="D817" s="13">
        <v>46261.431909722225</v>
      </c>
      <c r="E817" s="12" t="s">
        <v>856</v>
      </c>
      <c r="F817" s="12" t="s">
        <v>406</v>
      </c>
      <c r="G817" s="12">
        <v>8</v>
      </c>
      <c r="H817" s="12">
        <v>8</v>
      </c>
      <c r="I817" s="14"/>
      <c r="J817" s="14" t="s">
        <v>26</v>
      </c>
      <c r="K817" s="12" t="s">
        <v>27</v>
      </c>
      <c r="L817" s="15"/>
      <c r="M817" s="12" t="s">
        <v>28</v>
      </c>
      <c r="N817" s="12"/>
      <c r="O817" s="12"/>
      <c r="P817" s="12"/>
      <c r="Q817" s="16">
        <v>0</v>
      </c>
      <c r="R817" s="16">
        <v>0</v>
      </c>
      <c r="S817" s="16"/>
      <c r="T817" s="16" t="e">
        <v>#N/A</v>
      </c>
      <c r="U817" s="16" t="e">
        <v>#N/A</v>
      </c>
    </row>
    <row r="818" spans="1:21" x14ac:dyDescent="0.25">
      <c r="A818" s="12" t="s">
        <v>21</v>
      </c>
      <c r="B818" s="12" t="s">
        <v>855</v>
      </c>
      <c r="C818" s="12" t="s">
        <v>23</v>
      </c>
      <c r="D818" s="13">
        <v>46261.431909722225</v>
      </c>
      <c r="E818" s="12" t="s">
        <v>856</v>
      </c>
      <c r="F818" s="12" t="s">
        <v>406</v>
      </c>
      <c r="G818" s="12">
        <v>8</v>
      </c>
      <c r="H818" s="12">
        <v>8</v>
      </c>
      <c r="I818" s="14"/>
      <c r="J818" s="14" t="s">
        <v>26</v>
      </c>
      <c r="K818" s="12" t="s">
        <v>27</v>
      </c>
      <c r="L818" s="15"/>
      <c r="M818" s="12" t="s">
        <v>28</v>
      </c>
      <c r="N818" s="12"/>
      <c r="O818" s="12"/>
      <c r="P818" s="12"/>
      <c r="Q818" s="16">
        <v>0</v>
      </c>
      <c r="R818" s="16">
        <v>0</v>
      </c>
      <c r="S818" s="16"/>
      <c r="T818" s="16" t="e">
        <v>#N/A</v>
      </c>
      <c r="U818" s="16" t="e">
        <v>#N/A</v>
      </c>
    </row>
    <row r="819" spans="1:21" x14ac:dyDescent="0.25">
      <c r="A819" s="12" t="s">
        <v>21</v>
      </c>
      <c r="B819" s="12" t="s">
        <v>855</v>
      </c>
      <c r="C819" s="12" t="s">
        <v>23</v>
      </c>
      <c r="D819" s="13">
        <v>46261.431909722225</v>
      </c>
      <c r="E819" s="12" t="s">
        <v>856</v>
      </c>
      <c r="F819" s="12" t="s">
        <v>867</v>
      </c>
      <c r="G819" s="12">
        <v>16</v>
      </c>
      <c r="H819" s="12">
        <v>16</v>
      </c>
      <c r="I819" s="14"/>
      <c r="J819" s="14" t="s">
        <v>61</v>
      </c>
      <c r="K819" s="12" t="s">
        <v>868</v>
      </c>
      <c r="L819" s="15">
        <v>1</v>
      </c>
      <c r="M819" s="12" t="s">
        <v>150</v>
      </c>
      <c r="N819" s="12">
        <v>16</v>
      </c>
      <c r="O819" s="12">
        <v>16</v>
      </c>
      <c r="P819" s="12">
        <v>0</v>
      </c>
      <c r="Q819" s="16">
        <v>16</v>
      </c>
      <c r="R819" s="16">
        <v>0</v>
      </c>
      <c r="S819" s="16"/>
      <c r="T819" s="16" t="e">
        <v>#N/A</v>
      </c>
      <c r="U819" s="16" t="e">
        <v>#N/A</v>
      </c>
    </row>
    <row r="820" spans="1:21" x14ac:dyDescent="0.25">
      <c r="A820" s="12" t="s">
        <v>21</v>
      </c>
      <c r="B820" s="12" t="s">
        <v>855</v>
      </c>
      <c r="C820" s="12" t="s">
        <v>23</v>
      </c>
      <c r="D820" s="13">
        <v>46261.431909722225</v>
      </c>
      <c r="E820" s="12" t="s">
        <v>856</v>
      </c>
      <c r="F820" s="12" t="s">
        <v>869</v>
      </c>
      <c r="G820" s="12">
        <v>2</v>
      </c>
      <c r="H820" s="12">
        <v>2</v>
      </c>
      <c r="I820" s="14"/>
      <c r="J820" s="14" t="s">
        <v>61</v>
      </c>
      <c r="K820" s="12" t="s">
        <v>872</v>
      </c>
      <c r="L820" s="15">
        <v>1</v>
      </c>
      <c r="M820" s="12" t="s">
        <v>150</v>
      </c>
      <c r="N820" s="12">
        <v>2</v>
      </c>
      <c r="O820" s="12">
        <v>2</v>
      </c>
      <c r="P820" s="12">
        <v>0</v>
      </c>
      <c r="Q820" s="16">
        <v>2</v>
      </c>
      <c r="R820" s="16">
        <v>0</v>
      </c>
      <c r="S820" s="16"/>
      <c r="T820" s="16" t="e">
        <v>#N/A</v>
      </c>
      <c r="U820" s="16" t="e">
        <v>#N/A</v>
      </c>
    </row>
    <row r="821" spans="1:21" x14ac:dyDescent="0.25">
      <c r="A821" s="12" t="s">
        <v>21</v>
      </c>
      <c r="B821" s="12" t="s">
        <v>855</v>
      </c>
      <c r="C821" s="12" t="s">
        <v>23</v>
      </c>
      <c r="D821" s="13">
        <v>46261.431909722225</v>
      </c>
      <c r="E821" s="12" t="s">
        <v>856</v>
      </c>
      <c r="F821" s="12" t="s">
        <v>870</v>
      </c>
      <c r="G821" s="12">
        <v>1</v>
      </c>
      <c r="H821" s="12">
        <v>1</v>
      </c>
      <c r="I821" s="14"/>
      <c r="J821" s="14" t="s">
        <v>61</v>
      </c>
      <c r="K821" s="12" t="s">
        <v>873</v>
      </c>
      <c r="L821" s="15">
        <v>1</v>
      </c>
      <c r="M821" s="12" t="s">
        <v>150</v>
      </c>
      <c r="N821" s="12">
        <v>1</v>
      </c>
      <c r="O821" s="12">
        <v>1</v>
      </c>
      <c r="P821" s="12">
        <v>0</v>
      </c>
      <c r="Q821" s="16">
        <v>1</v>
      </c>
      <c r="R821" s="16">
        <v>0</v>
      </c>
      <c r="S821" s="16"/>
      <c r="T821" s="16" t="e">
        <v>#N/A</v>
      </c>
      <c r="U821" s="16" t="e">
        <v>#N/A</v>
      </c>
    </row>
    <row r="822" spans="1:21" x14ac:dyDescent="0.25">
      <c r="A822" s="12" t="s">
        <v>21</v>
      </c>
      <c r="B822" s="12" t="s">
        <v>855</v>
      </c>
      <c r="C822" s="12" t="s">
        <v>23</v>
      </c>
      <c r="D822" s="13">
        <v>46261.431909722225</v>
      </c>
      <c r="E822" s="12" t="s">
        <v>856</v>
      </c>
      <c r="F822" s="12" t="s">
        <v>871</v>
      </c>
      <c r="G822" s="12">
        <v>2</v>
      </c>
      <c r="H822" s="12">
        <v>2</v>
      </c>
      <c r="I822" s="14"/>
      <c r="J822" s="14" t="s">
        <v>61</v>
      </c>
      <c r="K822" s="12" t="s">
        <v>874</v>
      </c>
      <c r="L822" s="15">
        <v>1</v>
      </c>
      <c r="M822" s="12" t="s">
        <v>150</v>
      </c>
      <c r="N822" s="12">
        <v>2</v>
      </c>
      <c r="O822" s="12">
        <v>2</v>
      </c>
      <c r="P822" s="12">
        <v>0</v>
      </c>
      <c r="Q822" s="16">
        <v>2</v>
      </c>
      <c r="R822" s="16">
        <v>0</v>
      </c>
      <c r="S822" s="16"/>
      <c r="T822" s="16" t="e">
        <v>#N/A</v>
      </c>
      <c r="U822" s="16" t="e">
        <v>#N/A</v>
      </c>
    </row>
    <row r="823" spans="1:21" x14ac:dyDescent="0.25">
      <c r="A823" s="12" t="s">
        <v>21</v>
      </c>
      <c r="B823" s="12" t="s">
        <v>855</v>
      </c>
      <c r="C823" s="12" t="s">
        <v>23</v>
      </c>
      <c r="D823" s="13">
        <v>46261.431909722225</v>
      </c>
      <c r="E823" s="12" t="s">
        <v>856</v>
      </c>
      <c r="F823" s="12" t="s">
        <v>875</v>
      </c>
      <c r="G823" s="12">
        <v>2</v>
      </c>
      <c r="H823" s="12">
        <v>2</v>
      </c>
      <c r="I823" s="14"/>
      <c r="J823" s="14" t="s">
        <v>61</v>
      </c>
      <c r="K823" s="12" t="s">
        <v>878</v>
      </c>
      <c r="L823" s="15">
        <v>1</v>
      </c>
      <c r="M823" s="12" t="s">
        <v>150</v>
      </c>
      <c r="N823" s="12">
        <v>2</v>
      </c>
      <c r="O823" s="12">
        <v>2</v>
      </c>
      <c r="P823" s="12">
        <v>0</v>
      </c>
      <c r="Q823" s="16">
        <v>2</v>
      </c>
      <c r="R823" s="16">
        <v>0</v>
      </c>
      <c r="S823" s="16"/>
      <c r="T823" s="16" t="e">
        <v>#N/A</v>
      </c>
      <c r="U823" s="16" t="e">
        <v>#N/A</v>
      </c>
    </row>
    <row r="824" spans="1:21" x14ac:dyDescent="0.25">
      <c r="A824" s="12" t="s">
        <v>21</v>
      </c>
      <c r="B824" s="12" t="s">
        <v>855</v>
      </c>
      <c r="C824" s="12" t="s">
        <v>23</v>
      </c>
      <c r="D824" s="13">
        <v>46261.431909722225</v>
      </c>
      <c r="E824" s="12" t="s">
        <v>856</v>
      </c>
      <c r="F824" s="12" t="s">
        <v>876</v>
      </c>
      <c r="G824" s="12">
        <v>1</v>
      </c>
      <c r="H824" s="12">
        <v>1</v>
      </c>
      <c r="I824" s="14"/>
      <c r="J824" s="14" t="s">
        <v>61</v>
      </c>
      <c r="K824" s="12" t="s">
        <v>879</v>
      </c>
      <c r="L824" s="15">
        <v>1</v>
      </c>
      <c r="M824" s="12" t="s">
        <v>150</v>
      </c>
      <c r="N824" s="12">
        <v>1</v>
      </c>
      <c r="O824" s="12">
        <v>1</v>
      </c>
      <c r="P824" s="12">
        <v>0</v>
      </c>
      <c r="Q824" s="16">
        <v>1</v>
      </c>
      <c r="R824" s="16">
        <v>0</v>
      </c>
      <c r="S824" s="16"/>
      <c r="T824" s="16" t="e">
        <v>#N/A</v>
      </c>
      <c r="U824" s="16" t="e">
        <v>#N/A</v>
      </c>
    </row>
    <row r="825" spans="1:21" x14ac:dyDescent="0.25">
      <c r="A825" s="12" t="s">
        <v>21</v>
      </c>
      <c r="B825" s="12" t="s">
        <v>855</v>
      </c>
      <c r="C825" s="12" t="s">
        <v>23</v>
      </c>
      <c r="D825" s="13">
        <v>46261.431909722225</v>
      </c>
      <c r="E825" s="12" t="s">
        <v>856</v>
      </c>
      <c r="F825" s="12" t="s">
        <v>877</v>
      </c>
      <c r="G825" s="12">
        <v>1</v>
      </c>
      <c r="H825" s="12">
        <v>1</v>
      </c>
      <c r="I825" s="14"/>
      <c r="J825" s="14" t="s">
        <v>61</v>
      </c>
      <c r="K825" s="12" t="s">
        <v>880</v>
      </c>
      <c r="L825" s="15">
        <v>1</v>
      </c>
      <c r="M825" s="12" t="s">
        <v>150</v>
      </c>
      <c r="N825" s="12">
        <v>1</v>
      </c>
      <c r="O825" s="12">
        <v>1</v>
      </c>
      <c r="P825" s="12">
        <v>0</v>
      </c>
      <c r="Q825" s="16">
        <v>1</v>
      </c>
      <c r="R825" s="16">
        <v>0</v>
      </c>
      <c r="S825" s="16"/>
      <c r="T825" s="16" t="e">
        <v>#N/A</v>
      </c>
      <c r="U825" s="16" t="e">
        <v>#N/A</v>
      </c>
    </row>
    <row r="826" spans="1:21" x14ac:dyDescent="0.25">
      <c r="A826" s="12" t="s">
        <v>21</v>
      </c>
      <c r="B826" s="12" t="s">
        <v>855</v>
      </c>
      <c r="C826" s="12" t="s">
        <v>23</v>
      </c>
      <c r="D826" s="13">
        <v>46261.431909722225</v>
      </c>
      <c r="E826" s="12" t="s">
        <v>856</v>
      </c>
      <c r="F826" s="12" t="s">
        <v>881</v>
      </c>
      <c r="G826" s="12">
        <v>2</v>
      </c>
      <c r="H826" s="12">
        <v>2</v>
      </c>
      <c r="I826" s="14"/>
      <c r="J826" s="14" t="s">
        <v>61</v>
      </c>
      <c r="K826" s="12" t="s">
        <v>884</v>
      </c>
      <c r="L826" s="15">
        <v>1</v>
      </c>
      <c r="M826" s="12" t="s">
        <v>150</v>
      </c>
      <c r="N826" s="12">
        <v>2</v>
      </c>
      <c r="O826" s="12">
        <v>2</v>
      </c>
      <c r="P826" s="12">
        <v>0</v>
      </c>
      <c r="Q826" s="16">
        <v>6</v>
      </c>
      <c r="R826" s="16">
        <v>0</v>
      </c>
      <c r="S826" s="16"/>
      <c r="T826" s="16" t="e">
        <v>#N/A</v>
      </c>
      <c r="U826" s="16" t="e">
        <v>#N/A</v>
      </c>
    </row>
    <row r="827" spans="1:21" x14ac:dyDescent="0.25">
      <c r="A827" s="12" t="s">
        <v>21</v>
      </c>
      <c r="B827" s="12" t="s">
        <v>855</v>
      </c>
      <c r="C827" s="12" t="s">
        <v>23</v>
      </c>
      <c r="D827" s="13">
        <v>46261.431909722225</v>
      </c>
      <c r="E827" s="12" t="s">
        <v>856</v>
      </c>
      <c r="F827" s="12" t="s">
        <v>881</v>
      </c>
      <c r="G827" s="12">
        <v>4</v>
      </c>
      <c r="H827" s="12">
        <v>4</v>
      </c>
      <c r="I827" s="14"/>
      <c r="J827" s="14" t="s">
        <v>61</v>
      </c>
      <c r="K827" s="12" t="s">
        <v>885</v>
      </c>
      <c r="L827" s="15">
        <v>1</v>
      </c>
      <c r="M827" s="12" t="s">
        <v>150</v>
      </c>
      <c r="N827" s="12">
        <v>4</v>
      </c>
      <c r="O827" s="12">
        <v>4</v>
      </c>
      <c r="P827" s="12">
        <v>0</v>
      </c>
      <c r="Q827" s="16">
        <v>6</v>
      </c>
      <c r="R827" s="16">
        <v>0</v>
      </c>
      <c r="S827" s="16"/>
      <c r="T827" s="16" t="e">
        <v>#N/A</v>
      </c>
      <c r="U827" s="16" t="e">
        <v>#N/A</v>
      </c>
    </row>
    <row r="828" spans="1:21" x14ac:dyDescent="0.25">
      <c r="A828" s="12" t="s">
        <v>21</v>
      </c>
      <c r="B828" s="12" t="s">
        <v>855</v>
      </c>
      <c r="C828" s="12" t="s">
        <v>23</v>
      </c>
      <c r="D828" s="13">
        <v>46261.431909722225</v>
      </c>
      <c r="E828" s="12" t="s">
        <v>856</v>
      </c>
      <c r="F828" s="12" t="s">
        <v>882</v>
      </c>
      <c r="G828" s="12">
        <v>2</v>
      </c>
      <c r="H828" s="12">
        <v>2</v>
      </c>
      <c r="I828" s="14"/>
      <c r="J828" s="14" t="s">
        <v>61</v>
      </c>
      <c r="K828" s="12" t="s">
        <v>886</v>
      </c>
      <c r="L828" s="15">
        <v>1</v>
      </c>
      <c r="M828" s="12" t="s">
        <v>150</v>
      </c>
      <c r="N828" s="12">
        <v>2</v>
      </c>
      <c r="O828" s="12">
        <v>2</v>
      </c>
      <c r="P828" s="12">
        <v>0</v>
      </c>
      <c r="Q828" s="16">
        <v>2</v>
      </c>
      <c r="R828" s="16">
        <v>0</v>
      </c>
      <c r="S828" s="16"/>
      <c r="T828" s="16" t="e">
        <v>#N/A</v>
      </c>
      <c r="U828" s="16" t="e">
        <v>#N/A</v>
      </c>
    </row>
    <row r="829" spans="1:21" x14ac:dyDescent="0.25">
      <c r="A829" s="12" t="s">
        <v>21</v>
      </c>
      <c r="B829" s="12" t="s">
        <v>855</v>
      </c>
      <c r="C829" s="12" t="s">
        <v>23</v>
      </c>
      <c r="D829" s="13">
        <v>46261.431909722225</v>
      </c>
      <c r="E829" s="12" t="s">
        <v>856</v>
      </c>
      <c r="F829" s="12" t="s">
        <v>883</v>
      </c>
      <c r="G829" s="12">
        <v>2</v>
      </c>
      <c r="H829" s="12">
        <v>2</v>
      </c>
      <c r="I829" s="14"/>
      <c r="J829" s="14" t="s">
        <v>61</v>
      </c>
      <c r="K829" s="12" t="s">
        <v>887</v>
      </c>
      <c r="L829" s="15">
        <v>1</v>
      </c>
      <c r="M829" s="12" t="s">
        <v>150</v>
      </c>
      <c r="N829" s="12">
        <v>2</v>
      </c>
      <c r="O829" s="12">
        <v>2</v>
      </c>
      <c r="P829" s="12">
        <v>0</v>
      </c>
      <c r="Q829" s="16">
        <v>2</v>
      </c>
      <c r="R829" s="16">
        <v>0</v>
      </c>
      <c r="S829" s="16"/>
      <c r="T829" s="16" t="e">
        <v>#N/A</v>
      </c>
      <c r="U829" s="16" t="e">
        <v>#N/A</v>
      </c>
    </row>
    <row r="830" spans="1:21" x14ac:dyDescent="0.25">
      <c r="A830" s="12" t="s">
        <v>21</v>
      </c>
      <c r="B830" s="12" t="s">
        <v>888</v>
      </c>
      <c r="C830" s="12" t="s">
        <v>23</v>
      </c>
      <c r="D830" s="13">
        <v>46261.508750000001</v>
      </c>
      <c r="E830" s="12" t="s">
        <v>502</v>
      </c>
      <c r="F830" s="12" t="s">
        <v>600</v>
      </c>
      <c r="G830" s="12">
        <v>2</v>
      </c>
      <c r="H830" s="12">
        <v>2</v>
      </c>
      <c r="I830" s="14"/>
      <c r="J830" s="14" t="s">
        <v>61</v>
      </c>
      <c r="K830" s="12" t="s">
        <v>889</v>
      </c>
      <c r="L830" s="15">
        <v>1</v>
      </c>
      <c r="M830" s="12" t="s">
        <v>150</v>
      </c>
      <c r="N830" s="12">
        <v>2</v>
      </c>
      <c r="O830" s="12">
        <v>2</v>
      </c>
      <c r="P830" s="12">
        <v>0</v>
      </c>
      <c r="Q830" s="16">
        <v>2</v>
      </c>
      <c r="R830" s="16">
        <v>1</v>
      </c>
      <c r="S830" s="16"/>
      <c r="T830" s="16" t="e">
        <v>#N/A</v>
      </c>
      <c r="U830" s="16" t="e">
        <v>#N/A</v>
      </c>
    </row>
    <row r="831" spans="1:21" x14ac:dyDescent="0.25">
      <c r="A831" s="12" t="s">
        <v>21</v>
      </c>
      <c r="B831" s="12" t="s">
        <v>888</v>
      </c>
      <c r="C831" s="12" t="s">
        <v>23</v>
      </c>
      <c r="D831" s="13">
        <v>46261.508750000001</v>
      </c>
      <c r="E831" s="12" t="s">
        <v>502</v>
      </c>
      <c r="F831" s="12" t="s">
        <v>633</v>
      </c>
      <c r="G831" s="12">
        <v>12</v>
      </c>
      <c r="H831" s="12">
        <v>12</v>
      </c>
      <c r="I831" s="14"/>
      <c r="J831" s="14" t="s">
        <v>61</v>
      </c>
      <c r="K831" s="12" t="s">
        <v>890</v>
      </c>
      <c r="L831" s="15">
        <v>1</v>
      </c>
      <c r="M831" s="12" t="s">
        <v>150</v>
      </c>
      <c r="N831" s="12">
        <v>12</v>
      </c>
      <c r="O831" s="12">
        <v>12</v>
      </c>
      <c r="P831" s="12">
        <v>0</v>
      </c>
      <c r="Q831" s="16">
        <v>12</v>
      </c>
      <c r="R831" s="16">
        <v>0</v>
      </c>
      <c r="S831" s="16"/>
      <c r="T831" s="16" t="e">
        <v>#N/A</v>
      </c>
      <c r="U831" s="16" t="e">
        <v>#N/A</v>
      </c>
    </row>
    <row r="832" spans="1:21" x14ac:dyDescent="0.25">
      <c r="A832" s="12" t="s">
        <v>21</v>
      </c>
      <c r="B832" s="12" t="s">
        <v>888</v>
      </c>
      <c r="C832" s="12" t="s">
        <v>23</v>
      </c>
      <c r="D832" s="13">
        <v>46261.508750000001</v>
      </c>
      <c r="E832" s="12" t="s">
        <v>502</v>
      </c>
      <c r="F832" s="12" t="s">
        <v>634</v>
      </c>
      <c r="G832" s="12">
        <v>12</v>
      </c>
      <c r="H832" s="12">
        <v>12</v>
      </c>
      <c r="I832" s="14"/>
      <c r="J832" s="14" t="s">
        <v>61</v>
      </c>
      <c r="K832" s="12" t="s">
        <v>891</v>
      </c>
      <c r="L832" s="15">
        <v>1</v>
      </c>
      <c r="M832" s="12" t="s">
        <v>150</v>
      </c>
      <c r="N832" s="12">
        <v>12</v>
      </c>
      <c r="O832" s="12">
        <v>12</v>
      </c>
      <c r="P832" s="12">
        <v>0</v>
      </c>
      <c r="Q832" s="16">
        <v>12</v>
      </c>
      <c r="R832" s="16">
        <v>0</v>
      </c>
      <c r="S832" s="16"/>
      <c r="T832" s="16" t="e">
        <v>#N/A</v>
      </c>
      <c r="U832" s="16" t="e">
        <v>#N/A</v>
      </c>
    </row>
    <row r="833" spans="1:21" x14ac:dyDescent="0.25">
      <c r="A833" s="12" t="s">
        <v>21</v>
      </c>
      <c r="B833" s="12" t="s">
        <v>888</v>
      </c>
      <c r="C833" s="12" t="s">
        <v>23</v>
      </c>
      <c r="D833" s="13">
        <v>46261.508750000001</v>
      </c>
      <c r="E833" s="12" t="s">
        <v>502</v>
      </c>
      <c r="F833" s="12" t="s">
        <v>602</v>
      </c>
      <c r="G833" s="12">
        <v>4</v>
      </c>
      <c r="H833" s="12">
        <v>4</v>
      </c>
      <c r="I833" s="14"/>
      <c r="J833" s="14" t="s">
        <v>61</v>
      </c>
      <c r="K833" s="12" t="s">
        <v>897</v>
      </c>
      <c r="L833" s="15">
        <v>1</v>
      </c>
      <c r="M833" s="12" t="s">
        <v>150</v>
      </c>
      <c r="N833" s="12">
        <v>4</v>
      </c>
      <c r="O833" s="12">
        <v>4</v>
      </c>
      <c r="P833" s="12">
        <v>0</v>
      </c>
      <c r="Q833" s="16">
        <v>4</v>
      </c>
      <c r="R833" s="16">
        <v>0</v>
      </c>
      <c r="S833" s="16"/>
      <c r="T833" s="16" t="e">
        <v>#N/A</v>
      </c>
      <c r="U833" s="16" t="e">
        <v>#N/A</v>
      </c>
    </row>
    <row r="834" spans="1:21" x14ac:dyDescent="0.25">
      <c r="A834" s="12" t="s">
        <v>21</v>
      </c>
      <c r="B834" s="12" t="s">
        <v>888</v>
      </c>
      <c r="C834" s="12" t="s">
        <v>23</v>
      </c>
      <c r="D834" s="13">
        <v>46261.508750000001</v>
      </c>
      <c r="E834" s="12" t="s">
        <v>502</v>
      </c>
      <c r="F834" s="12" t="s">
        <v>892</v>
      </c>
      <c r="G834" s="12">
        <v>4</v>
      </c>
      <c r="H834" s="12">
        <v>4</v>
      </c>
      <c r="I834" s="14"/>
      <c r="J834" s="14" t="s">
        <v>61</v>
      </c>
      <c r="K834" s="12" t="s">
        <v>898</v>
      </c>
      <c r="L834" s="15">
        <v>1</v>
      </c>
      <c r="M834" s="12" t="s">
        <v>150</v>
      </c>
      <c r="N834" s="12">
        <v>4</v>
      </c>
      <c r="O834" s="12">
        <v>4</v>
      </c>
      <c r="P834" s="12">
        <v>0</v>
      </c>
      <c r="Q834" s="16">
        <v>4</v>
      </c>
      <c r="R834" s="16">
        <v>0</v>
      </c>
      <c r="S834" s="16"/>
      <c r="T834" s="16" t="e">
        <v>#N/A</v>
      </c>
      <c r="U834" s="16" t="e">
        <v>#N/A</v>
      </c>
    </row>
    <row r="835" spans="1:21" x14ac:dyDescent="0.25">
      <c r="A835" s="12" t="s">
        <v>21</v>
      </c>
      <c r="B835" s="12" t="s">
        <v>888</v>
      </c>
      <c r="C835" s="12" t="s">
        <v>23</v>
      </c>
      <c r="D835" s="13">
        <v>46261.508750000001</v>
      </c>
      <c r="E835" s="12" t="s">
        <v>502</v>
      </c>
      <c r="F835" s="12" t="s">
        <v>893</v>
      </c>
      <c r="G835" s="12">
        <v>8</v>
      </c>
      <c r="H835" s="12">
        <v>8</v>
      </c>
      <c r="I835" s="14"/>
      <c r="J835" s="14" t="s">
        <v>61</v>
      </c>
      <c r="K835" s="12" t="s">
        <v>899</v>
      </c>
      <c r="L835" s="15">
        <v>1</v>
      </c>
      <c r="M835" s="12" t="s">
        <v>150</v>
      </c>
      <c r="N835" s="12">
        <v>8</v>
      </c>
      <c r="O835" s="12">
        <v>8</v>
      </c>
      <c r="P835" s="12">
        <v>0</v>
      </c>
      <c r="Q835" s="16">
        <v>8</v>
      </c>
      <c r="R835" s="16">
        <v>0</v>
      </c>
      <c r="S835" s="16"/>
      <c r="T835" s="16" t="e">
        <v>#N/A</v>
      </c>
      <c r="U835" s="16" t="e">
        <v>#N/A</v>
      </c>
    </row>
    <row r="836" spans="1:21" x14ac:dyDescent="0.25">
      <c r="A836" s="12" t="s">
        <v>21</v>
      </c>
      <c r="B836" s="12" t="s">
        <v>888</v>
      </c>
      <c r="C836" s="12" t="s">
        <v>23</v>
      </c>
      <c r="D836" s="13">
        <v>46261.508750000001</v>
      </c>
      <c r="E836" s="12" t="s">
        <v>502</v>
      </c>
      <c r="F836" s="12" t="s">
        <v>894</v>
      </c>
      <c r="G836" s="12">
        <v>4</v>
      </c>
      <c r="H836" s="12">
        <v>4</v>
      </c>
      <c r="I836" s="14"/>
      <c r="J836" s="14" t="s">
        <v>61</v>
      </c>
      <c r="K836" s="12" t="s">
        <v>900</v>
      </c>
      <c r="L836" s="15">
        <v>1</v>
      </c>
      <c r="M836" s="12" t="s">
        <v>150</v>
      </c>
      <c r="N836" s="12">
        <v>4</v>
      </c>
      <c r="O836" s="12">
        <v>4</v>
      </c>
      <c r="P836" s="12">
        <v>0</v>
      </c>
      <c r="Q836" s="16">
        <v>4</v>
      </c>
      <c r="R836" s="16">
        <v>2</v>
      </c>
      <c r="S836" s="16"/>
      <c r="T836" s="16" t="e">
        <v>#N/A</v>
      </c>
      <c r="U836" s="16" t="e">
        <v>#N/A</v>
      </c>
    </row>
    <row r="837" spans="1:21" x14ac:dyDescent="0.25">
      <c r="A837" s="12" t="s">
        <v>21</v>
      </c>
      <c r="B837" s="12" t="s">
        <v>888</v>
      </c>
      <c r="C837" s="12" t="s">
        <v>23</v>
      </c>
      <c r="D837" s="13">
        <v>46261.508750000001</v>
      </c>
      <c r="E837" s="12" t="s">
        <v>502</v>
      </c>
      <c r="F837" s="12" t="s">
        <v>895</v>
      </c>
      <c r="G837" s="12">
        <v>10</v>
      </c>
      <c r="H837" s="12">
        <v>10</v>
      </c>
      <c r="I837" s="14"/>
      <c r="J837" s="14" t="s">
        <v>61</v>
      </c>
      <c r="K837" s="12" t="s">
        <v>901</v>
      </c>
      <c r="L837" s="15">
        <v>1</v>
      </c>
      <c r="M837" s="12" t="s">
        <v>150</v>
      </c>
      <c r="N837" s="12">
        <v>10</v>
      </c>
      <c r="O837" s="12">
        <v>10</v>
      </c>
      <c r="P837" s="12">
        <v>0</v>
      </c>
      <c r="Q837" s="16">
        <v>10</v>
      </c>
      <c r="R837" s="16">
        <v>4</v>
      </c>
      <c r="S837" s="16"/>
      <c r="T837" s="16" t="e">
        <v>#N/A</v>
      </c>
      <c r="U837" s="16" t="e">
        <v>#N/A</v>
      </c>
    </row>
    <row r="838" spans="1:21" x14ac:dyDescent="0.25">
      <c r="A838" s="12" t="s">
        <v>21</v>
      </c>
      <c r="B838" s="12" t="s">
        <v>888</v>
      </c>
      <c r="C838" s="12" t="s">
        <v>23</v>
      </c>
      <c r="D838" s="13">
        <v>46261.508750000001</v>
      </c>
      <c r="E838" s="12" t="s">
        <v>502</v>
      </c>
      <c r="F838" s="12" t="s">
        <v>694</v>
      </c>
      <c r="G838" s="12">
        <v>4</v>
      </c>
      <c r="H838" s="12">
        <v>4</v>
      </c>
      <c r="I838" s="14"/>
      <c r="J838" s="14" t="s">
        <v>61</v>
      </c>
      <c r="K838" s="12" t="s">
        <v>902</v>
      </c>
      <c r="L838" s="15">
        <v>1</v>
      </c>
      <c r="M838" s="12" t="s">
        <v>150</v>
      </c>
      <c r="N838" s="12">
        <v>4</v>
      </c>
      <c r="O838" s="12">
        <v>4</v>
      </c>
      <c r="P838" s="12">
        <v>0</v>
      </c>
      <c r="Q838" s="16">
        <v>4</v>
      </c>
      <c r="R838" s="16">
        <v>0</v>
      </c>
      <c r="S838" s="16"/>
      <c r="T838" s="16" t="e">
        <v>#N/A</v>
      </c>
      <c r="U838" s="16" t="e">
        <v>#N/A</v>
      </c>
    </row>
    <row r="839" spans="1:21" x14ac:dyDescent="0.25">
      <c r="A839" s="12" t="s">
        <v>21</v>
      </c>
      <c r="B839" s="12" t="s">
        <v>888</v>
      </c>
      <c r="C839" s="12" t="s">
        <v>23</v>
      </c>
      <c r="D839" s="13">
        <v>46261.508750000001</v>
      </c>
      <c r="E839" s="12" t="s">
        <v>502</v>
      </c>
      <c r="F839" s="12" t="s">
        <v>896</v>
      </c>
      <c r="G839" s="12">
        <v>2</v>
      </c>
      <c r="H839" s="12">
        <v>2</v>
      </c>
      <c r="I839" s="14"/>
      <c r="J839" s="14" t="s">
        <v>61</v>
      </c>
      <c r="K839" s="12" t="s">
        <v>903</v>
      </c>
      <c r="L839" s="15">
        <v>1</v>
      </c>
      <c r="M839" s="12" t="s">
        <v>150</v>
      </c>
      <c r="N839" s="12">
        <v>2</v>
      </c>
      <c r="O839" s="12">
        <v>2</v>
      </c>
      <c r="P839" s="12">
        <v>0</v>
      </c>
      <c r="Q839" s="16">
        <v>2</v>
      </c>
      <c r="R839" s="16">
        <v>2</v>
      </c>
      <c r="S839" s="16"/>
      <c r="T839" s="16" t="e">
        <v>#N/A</v>
      </c>
      <c r="U839" s="16" t="e">
        <v>#N/A</v>
      </c>
    </row>
    <row r="840" spans="1:21" x14ac:dyDescent="0.25">
      <c r="A840" s="12" t="s">
        <v>21</v>
      </c>
      <c r="B840" s="12" t="s">
        <v>888</v>
      </c>
      <c r="C840" s="12" t="s">
        <v>23</v>
      </c>
      <c r="D840" s="13">
        <v>46261.508750000001</v>
      </c>
      <c r="E840" s="12" t="s">
        <v>502</v>
      </c>
      <c r="F840" s="12" t="s">
        <v>904</v>
      </c>
      <c r="G840" s="12">
        <v>10</v>
      </c>
      <c r="H840" s="12">
        <v>10</v>
      </c>
      <c r="I840" s="14"/>
      <c r="J840" s="14" t="s">
        <v>61</v>
      </c>
      <c r="K840" s="12" t="s">
        <v>908</v>
      </c>
      <c r="L840" s="15">
        <v>1</v>
      </c>
      <c r="M840" s="12" t="s">
        <v>150</v>
      </c>
      <c r="N840" s="12">
        <v>10</v>
      </c>
      <c r="O840" s="12">
        <v>10</v>
      </c>
      <c r="P840" s="12">
        <v>0</v>
      </c>
      <c r="Q840" s="16">
        <v>10</v>
      </c>
      <c r="R840" s="16">
        <v>1</v>
      </c>
      <c r="S840" s="16"/>
      <c r="T840" s="16" t="e">
        <v>#N/A</v>
      </c>
      <c r="U840" s="16" t="e">
        <v>#N/A</v>
      </c>
    </row>
    <row r="841" spans="1:21" x14ac:dyDescent="0.25">
      <c r="A841" s="12" t="s">
        <v>21</v>
      </c>
      <c r="B841" s="12" t="s">
        <v>888</v>
      </c>
      <c r="C841" s="12" t="s">
        <v>23</v>
      </c>
      <c r="D841" s="13">
        <v>46261.508750000001</v>
      </c>
      <c r="E841" s="12" t="s">
        <v>502</v>
      </c>
      <c r="F841" s="12" t="s">
        <v>905</v>
      </c>
      <c r="G841" s="12">
        <v>4</v>
      </c>
      <c r="H841" s="12">
        <v>4</v>
      </c>
      <c r="I841" s="14"/>
      <c r="J841" s="14" t="s">
        <v>61</v>
      </c>
      <c r="K841" s="12" t="s">
        <v>909</v>
      </c>
      <c r="L841" s="15">
        <v>1</v>
      </c>
      <c r="M841" s="12" t="s">
        <v>150</v>
      </c>
      <c r="N841" s="12">
        <v>4</v>
      </c>
      <c r="O841" s="12">
        <v>4</v>
      </c>
      <c r="P841" s="12">
        <v>0</v>
      </c>
      <c r="Q841" s="16">
        <v>4</v>
      </c>
      <c r="R841" s="16">
        <v>0</v>
      </c>
      <c r="S841" s="16"/>
      <c r="T841" s="16" t="e">
        <v>#N/A</v>
      </c>
      <c r="U841" s="16" t="e">
        <v>#N/A</v>
      </c>
    </row>
    <row r="842" spans="1:21" x14ac:dyDescent="0.25">
      <c r="A842" s="12" t="s">
        <v>21</v>
      </c>
      <c r="B842" s="12" t="s">
        <v>888</v>
      </c>
      <c r="C842" s="12" t="s">
        <v>23</v>
      </c>
      <c r="D842" s="13">
        <v>46261.508750000001</v>
      </c>
      <c r="E842" s="12" t="s">
        <v>502</v>
      </c>
      <c r="F842" s="12" t="s">
        <v>695</v>
      </c>
      <c r="G842" s="12">
        <v>4</v>
      </c>
      <c r="H842" s="12">
        <v>4</v>
      </c>
      <c r="I842" s="14"/>
      <c r="J842" s="14" t="s">
        <v>61</v>
      </c>
      <c r="K842" s="12" t="s">
        <v>910</v>
      </c>
      <c r="L842" s="15">
        <v>1</v>
      </c>
      <c r="M842" s="12" t="s">
        <v>150</v>
      </c>
      <c r="N842" s="12">
        <v>4</v>
      </c>
      <c r="O842" s="12">
        <v>4</v>
      </c>
      <c r="P842" s="12">
        <v>0</v>
      </c>
      <c r="Q842" s="16">
        <v>4</v>
      </c>
      <c r="R842" s="16">
        <v>0</v>
      </c>
      <c r="S842" s="16"/>
      <c r="T842" s="16" t="e">
        <v>#N/A</v>
      </c>
      <c r="U842" s="16" t="e">
        <v>#N/A</v>
      </c>
    </row>
    <row r="843" spans="1:21" x14ac:dyDescent="0.25">
      <c r="A843" s="12" t="s">
        <v>21</v>
      </c>
      <c r="B843" s="12" t="s">
        <v>888</v>
      </c>
      <c r="C843" s="12" t="s">
        <v>23</v>
      </c>
      <c r="D843" s="13">
        <v>46261.508750000001</v>
      </c>
      <c r="E843" s="12" t="s">
        <v>502</v>
      </c>
      <c r="F843" s="12" t="s">
        <v>906</v>
      </c>
      <c r="G843" s="12">
        <v>10</v>
      </c>
      <c r="H843" s="12">
        <v>10</v>
      </c>
      <c r="I843" s="14"/>
      <c r="J843" s="14" t="s">
        <v>61</v>
      </c>
      <c r="K843" s="12" t="s">
        <v>911</v>
      </c>
      <c r="L843" s="15">
        <v>1</v>
      </c>
      <c r="M843" s="12" t="s">
        <v>150</v>
      </c>
      <c r="N843" s="12">
        <v>10</v>
      </c>
      <c r="O843" s="12">
        <v>10</v>
      </c>
      <c r="P843" s="12">
        <v>0</v>
      </c>
      <c r="Q843" s="16">
        <v>10</v>
      </c>
      <c r="R843" s="16">
        <v>5</v>
      </c>
      <c r="S843" s="16"/>
      <c r="T843" s="16" t="e">
        <v>#N/A</v>
      </c>
      <c r="U843" s="16" t="e">
        <v>#N/A</v>
      </c>
    </row>
    <row r="844" spans="1:21" x14ac:dyDescent="0.25">
      <c r="A844" s="12" t="s">
        <v>21</v>
      </c>
      <c r="B844" s="12" t="s">
        <v>888</v>
      </c>
      <c r="C844" s="12" t="s">
        <v>23</v>
      </c>
      <c r="D844" s="13">
        <v>46261.508750000001</v>
      </c>
      <c r="E844" s="12" t="s">
        <v>502</v>
      </c>
      <c r="F844" s="12" t="s">
        <v>907</v>
      </c>
      <c r="G844" s="12">
        <v>8</v>
      </c>
      <c r="H844" s="12">
        <v>8</v>
      </c>
      <c r="I844" s="14"/>
      <c r="J844" s="14" t="s">
        <v>61</v>
      </c>
      <c r="K844" s="12" t="s">
        <v>912</v>
      </c>
      <c r="L844" s="15">
        <v>1</v>
      </c>
      <c r="M844" s="12" t="s">
        <v>150</v>
      </c>
      <c r="N844" s="12">
        <v>8</v>
      </c>
      <c r="O844" s="12">
        <v>8</v>
      </c>
      <c r="P844" s="12">
        <v>0</v>
      </c>
      <c r="Q844" s="16">
        <v>8</v>
      </c>
      <c r="R844" s="16">
        <v>0</v>
      </c>
      <c r="S844" s="16"/>
      <c r="T844" s="16" t="e">
        <v>#N/A</v>
      </c>
      <c r="U844" s="16" t="e">
        <v>#N/A</v>
      </c>
    </row>
    <row r="845" spans="1:21" x14ac:dyDescent="0.25">
      <c r="A845" s="12" t="s">
        <v>21</v>
      </c>
      <c r="B845" s="12" t="s">
        <v>913</v>
      </c>
      <c r="C845" s="12" t="s">
        <v>23</v>
      </c>
      <c r="D845" s="13">
        <v>46262.275011574071</v>
      </c>
      <c r="E845" s="12" t="s">
        <v>491</v>
      </c>
      <c r="F845" s="12" t="s">
        <v>437</v>
      </c>
      <c r="G845" s="12">
        <v>2000</v>
      </c>
      <c r="H845" s="12">
        <v>2000</v>
      </c>
      <c r="I845" s="14"/>
      <c r="J845" s="14" t="s">
        <v>26</v>
      </c>
      <c r="K845" s="12" t="s">
        <v>27</v>
      </c>
      <c r="L845" s="15"/>
      <c r="M845" s="12" t="s">
        <v>28</v>
      </c>
      <c r="N845" s="12"/>
      <c r="O845" s="12"/>
      <c r="P845" s="12"/>
      <c r="Q845" s="16">
        <v>0</v>
      </c>
      <c r="R845" s="16">
        <v>90</v>
      </c>
      <c r="S845" s="16"/>
      <c r="T845" s="16" t="e">
        <v>#N/A</v>
      </c>
      <c r="U845" s="16" t="e">
        <v>#N/A</v>
      </c>
    </row>
    <row r="846" spans="1:21" x14ac:dyDescent="0.25">
      <c r="A846" s="12" t="s">
        <v>21</v>
      </c>
      <c r="B846" s="12" t="s">
        <v>913</v>
      </c>
      <c r="C846" s="12" t="s">
        <v>23</v>
      </c>
      <c r="D846" s="13">
        <v>46262.275011574071</v>
      </c>
      <c r="E846" s="12" t="s">
        <v>491</v>
      </c>
      <c r="F846" s="12" t="s">
        <v>262</v>
      </c>
      <c r="G846" s="12">
        <v>12000</v>
      </c>
      <c r="H846" s="12">
        <v>7680</v>
      </c>
      <c r="I846" s="14"/>
      <c r="J846" s="14" t="s">
        <v>26</v>
      </c>
      <c r="K846" s="12" t="s">
        <v>27</v>
      </c>
      <c r="L846" s="15"/>
      <c r="M846" s="12" t="s">
        <v>28</v>
      </c>
      <c r="N846" s="12"/>
      <c r="O846" s="12"/>
      <c r="P846" s="12"/>
      <c r="Q846" s="16">
        <v>0</v>
      </c>
      <c r="R846" s="16">
        <v>0</v>
      </c>
      <c r="S846" s="16"/>
      <c r="T846" s="16" t="e">
        <v>#N/A</v>
      </c>
      <c r="U846" s="16" t="e">
        <v>#N/A</v>
      </c>
    </row>
    <row r="847" spans="1:21" x14ac:dyDescent="0.25">
      <c r="A847" s="12" t="s">
        <v>21</v>
      </c>
      <c r="B847" s="12" t="s">
        <v>913</v>
      </c>
      <c r="C847" s="12" t="s">
        <v>23</v>
      </c>
      <c r="D847" s="13">
        <v>46262.275011574071</v>
      </c>
      <c r="E847" s="12" t="s">
        <v>491</v>
      </c>
      <c r="F847" s="12" t="s">
        <v>535</v>
      </c>
      <c r="G847" s="12">
        <v>1000</v>
      </c>
      <c r="H847" s="12">
        <v>1000</v>
      </c>
      <c r="I847" s="14"/>
      <c r="J847" s="14" t="s">
        <v>26</v>
      </c>
      <c r="K847" s="12" t="s">
        <v>27</v>
      </c>
      <c r="L847" s="15"/>
      <c r="M847" s="12" t="s">
        <v>28</v>
      </c>
      <c r="N847" s="12"/>
      <c r="O847" s="12"/>
      <c r="P847" s="12"/>
      <c r="Q847" s="16">
        <v>0</v>
      </c>
      <c r="R847" s="16">
        <v>0</v>
      </c>
      <c r="S847" s="16"/>
      <c r="T847" s="16" t="e">
        <v>#N/A</v>
      </c>
      <c r="U847" s="16" t="e">
        <v>#N/A</v>
      </c>
    </row>
    <row r="848" spans="1:21" x14ac:dyDescent="0.25">
      <c r="A848" s="12" t="s">
        <v>21</v>
      </c>
      <c r="B848" s="12" t="s">
        <v>913</v>
      </c>
      <c r="C848" s="12" t="s">
        <v>23</v>
      </c>
      <c r="D848" s="13">
        <v>46262.275011574071</v>
      </c>
      <c r="E848" s="12" t="s">
        <v>491</v>
      </c>
      <c r="F848" s="12" t="s">
        <v>439</v>
      </c>
      <c r="G848" s="12">
        <v>2000</v>
      </c>
      <c r="H848" s="12">
        <v>2000</v>
      </c>
      <c r="I848" s="14"/>
      <c r="J848" s="14" t="s">
        <v>26</v>
      </c>
      <c r="K848" s="12" t="s">
        <v>27</v>
      </c>
      <c r="L848" s="15"/>
      <c r="M848" s="12" t="s">
        <v>28</v>
      </c>
      <c r="N848" s="12"/>
      <c r="O848" s="12"/>
      <c r="P848" s="12"/>
      <c r="Q848" s="16">
        <v>0</v>
      </c>
      <c r="R848" s="16">
        <v>0</v>
      </c>
      <c r="S848" s="16"/>
      <c r="T848" s="16" t="e">
        <v>#N/A</v>
      </c>
      <c r="U848" s="16" t="e">
        <v>#N/A</v>
      </c>
    </row>
    <row r="849" spans="1:21" x14ac:dyDescent="0.25">
      <c r="A849" s="12" t="s">
        <v>21</v>
      </c>
      <c r="B849" s="12" t="s">
        <v>914</v>
      </c>
      <c r="C849" s="12" t="s">
        <v>23</v>
      </c>
      <c r="D849" s="13">
        <v>46262.275995370372</v>
      </c>
      <c r="E849" s="12" t="s">
        <v>491</v>
      </c>
      <c r="F849" s="12" t="s">
        <v>437</v>
      </c>
      <c r="G849" s="12">
        <v>1500</v>
      </c>
      <c r="H849" s="12">
        <v>1500</v>
      </c>
      <c r="I849" s="14"/>
      <c r="J849" s="14" t="s">
        <v>26</v>
      </c>
      <c r="K849" s="12" t="s">
        <v>27</v>
      </c>
      <c r="L849" s="15"/>
      <c r="M849" s="12" t="s">
        <v>28</v>
      </c>
      <c r="N849" s="12"/>
      <c r="O849" s="12"/>
      <c r="P849" s="12"/>
      <c r="Q849" s="16">
        <v>0</v>
      </c>
      <c r="R849" s="16">
        <v>90</v>
      </c>
      <c r="S849" s="16"/>
      <c r="T849" s="16" t="e">
        <v>#N/A</v>
      </c>
      <c r="U849" s="16" t="e">
        <v>#N/A</v>
      </c>
    </row>
    <row r="850" spans="1:21" x14ac:dyDescent="0.25">
      <c r="A850" s="12" t="s">
        <v>21</v>
      </c>
      <c r="B850" s="12" t="s">
        <v>914</v>
      </c>
      <c r="C850" s="12" t="s">
        <v>23</v>
      </c>
      <c r="D850" s="13">
        <v>46262.275995370372</v>
      </c>
      <c r="E850" s="12" t="s">
        <v>491</v>
      </c>
      <c r="F850" s="12" t="s">
        <v>262</v>
      </c>
      <c r="G850" s="12">
        <v>7000</v>
      </c>
      <c r="H850" s="12">
        <v>1000</v>
      </c>
      <c r="I850" s="14"/>
      <c r="J850" s="14" t="s">
        <v>26</v>
      </c>
      <c r="K850" s="12" t="s">
        <v>27</v>
      </c>
      <c r="L850" s="15"/>
      <c r="M850" s="12" t="s">
        <v>28</v>
      </c>
      <c r="N850" s="12"/>
      <c r="O850" s="12"/>
      <c r="P850" s="12"/>
      <c r="Q850" s="16">
        <v>0</v>
      </c>
      <c r="R850" s="16">
        <v>0</v>
      </c>
      <c r="S850" s="16"/>
      <c r="T850" s="16" t="e">
        <v>#N/A</v>
      </c>
      <c r="U850" s="16" t="e">
        <v>#N/A</v>
      </c>
    </row>
    <row r="851" spans="1:21" x14ac:dyDescent="0.25">
      <c r="A851" s="12" t="s">
        <v>21</v>
      </c>
      <c r="B851" s="12" t="s">
        <v>914</v>
      </c>
      <c r="C851" s="12" t="s">
        <v>23</v>
      </c>
      <c r="D851" s="13">
        <v>46262.275995370372</v>
      </c>
      <c r="E851" s="12" t="s">
        <v>491</v>
      </c>
      <c r="F851" s="12" t="s">
        <v>535</v>
      </c>
      <c r="G851" s="12">
        <v>600</v>
      </c>
      <c r="H851" s="12">
        <v>600</v>
      </c>
      <c r="I851" s="14"/>
      <c r="J851" s="14" t="s">
        <v>26</v>
      </c>
      <c r="K851" s="12" t="s">
        <v>27</v>
      </c>
      <c r="L851" s="15"/>
      <c r="M851" s="12" t="s">
        <v>28</v>
      </c>
      <c r="N851" s="12"/>
      <c r="O851" s="12"/>
      <c r="P851" s="12"/>
      <c r="Q851" s="16">
        <v>0</v>
      </c>
      <c r="R851" s="16">
        <v>0</v>
      </c>
      <c r="S851" s="16"/>
      <c r="T851" s="16" t="e">
        <v>#N/A</v>
      </c>
      <c r="U851" s="16" t="e">
        <v>#N/A</v>
      </c>
    </row>
    <row r="852" spans="1:21" x14ac:dyDescent="0.25">
      <c r="A852" s="12" t="s">
        <v>21</v>
      </c>
      <c r="B852" s="12" t="s">
        <v>914</v>
      </c>
      <c r="C852" s="12" t="s">
        <v>23</v>
      </c>
      <c r="D852" s="13">
        <v>46262.275995370372</v>
      </c>
      <c r="E852" s="12" t="s">
        <v>491</v>
      </c>
      <c r="F852" s="12" t="s">
        <v>915</v>
      </c>
      <c r="G852" s="12">
        <v>400</v>
      </c>
      <c r="H852" s="12">
        <v>400</v>
      </c>
      <c r="I852" s="14"/>
      <c r="J852" s="14" t="s">
        <v>26</v>
      </c>
      <c r="K852" s="12" t="s">
        <v>27</v>
      </c>
      <c r="L852" s="15"/>
      <c r="M852" s="12" t="s">
        <v>28</v>
      </c>
      <c r="N852" s="12"/>
      <c r="O852" s="12"/>
      <c r="P852" s="12"/>
      <c r="Q852" s="16">
        <v>0</v>
      </c>
      <c r="R852" s="16">
        <v>0</v>
      </c>
      <c r="S852" s="16"/>
      <c r="T852" s="16" t="e">
        <v>#N/A</v>
      </c>
      <c r="U852" s="16" t="e">
        <v>#N/A</v>
      </c>
    </row>
    <row r="853" spans="1:21" x14ac:dyDescent="0.25">
      <c r="A853" s="12" t="s">
        <v>21</v>
      </c>
      <c r="B853" s="12" t="s">
        <v>916</v>
      </c>
      <c r="C853" s="12" t="s">
        <v>23</v>
      </c>
      <c r="D853" s="13">
        <v>46262.429675925923</v>
      </c>
      <c r="E853" s="12" t="s">
        <v>258</v>
      </c>
      <c r="F853" s="12" t="s">
        <v>917</v>
      </c>
      <c r="G853" s="12">
        <v>1</v>
      </c>
      <c r="H853" s="12">
        <v>1</v>
      </c>
      <c r="I853" s="14"/>
      <c r="J853" s="14" t="s">
        <v>26</v>
      </c>
      <c r="K853" s="12" t="s">
        <v>27</v>
      </c>
      <c r="L853" s="15"/>
      <c r="M853" s="12" t="s">
        <v>28</v>
      </c>
      <c r="N853" s="12"/>
      <c r="O853" s="12"/>
      <c r="P853" s="12"/>
      <c r="Q853" s="16">
        <v>0</v>
      </c>
      <c r="R853" s="16"/>
      <c r="S853" s="16"/>
      <c r="T853" s="16" t="e">
        <v>#N/A</v>
      </c>
      <c r="U853" s="16" t="e">
        <v>#N/A</v>
      </c>
    </row>
    <row r="854" spans="1:21" x14ac:dyDescent="0.25">
      <c r="A854" s="12" t="s">
        <v>21</v>
      </c>
      <c r="B854" s="12" t="s">
        <v>916</v>
      </c>
      <c r="C854" s="12" t="s">
        <v>23</v>
      </c>
      <c r="D854" s="13">
        <v>46262.429675925923</v>
      </c>
      <c r="E854" s="12" t="s">
        <v>258</v>
      </c>
      <c r="F854" s="12" t="s">
        <v>918</v>
      </c>
      <c r="G854" s="12">
        <v>4</v>
      </c>
      <c r="H854" s="12">
        <v>4</v>
      </c>
      <c r="I854" s="14"/>
      <c r="J854" s="14" t="s">
        <v>26</v>
      </c>
      <c r="K854" s="12" t="s">
        <v>27</v>
      </c>
      <c r="L854" s="15"/>
      <c r="M854" s="12" t="s">
        <v>28</v>
      </c>
      <c r="N854" s="12"/>
      <c r="O854" s="12"/>
      <c r="P854" s="12"/>
      <c r="Q854" s="16">
        <v>0</v>
      </c>
      <c r="R854" s="16">
        <v>0</v>
      </c>
      <c r="S854" s="16"/>
      <c r="T854" s="16" t="e">
        <v>#N/A</v>
      </c>
      <c r="U854" s="16" t="e">
        <v>#N/A</v>
      </c>
    </row>
    <row r="855" spans="1:21" x14ac:dyDescent="0.25">
      <c r="A855" s="12" t="s">
        <v>21</v>
      </c>
      <c r="B855" s="12" t="s">
        <v>919</v>
      </c>
      <c r="C855" s="12" t="s">
        <v>23</v>
      </c>
      <c r="D855" s="13">
        <v>46262.462083333332</v>
      </c>
      <c r="E855" s="12" t="s">
        <v>398</v>
      </c>
      <c r="F855" s="12" t="s">
        <v>712</v>
      </c>
      <c r="G855" s="12">
        <v>60</v>
      </c>
      <c r="H855" s="12">
        <v>60</v>
      </c>
      <c r="I855" s="14"/>
      <c r="J855" s="14" t="s">
        <v>61</v>
      </c>
      <c r="K855" s="12" t="s">
        <v>920</v>
      </c>
      <c r="L855" s="15">
        <v>1</v>
      </c>
      <c r="M855" s="12" t="s">
        <v>150</v>
      </c>
      <c r="N855" s="12">
        <v>60</v>
      </c>
      <c r="O855" s="12">
        <v>60</v>
      </c>
      <c r="P855" s="12">
        <v>0</v>
      </c>
      <c r="Q855" s="16">
        <v>60</v>
      </c>
      <c r="R855" s="16">
        <v>0</v>
      </c>
      <c r="S855" s="16"/>
      <c r="T855" s="16" t="e">
        <v>#N/A</v>
      </c>
      <c r="U855" s="16" t="e">
        <v>#N/A</v>
      </c>
    </row>
    <row r="856" spans="1:21" x14ac:dyDescent="0.25">
      <c r="A856" s="12" t="s">
        <v>21</v>
      </c>
      <c r="B856" s="12" t="s">
        <v>921</v>
      </c>
      <c r="C856" s="12" t="s">
        <v>23</v>
      </c>
      <c r="D856" s="13">
        <v>46262.541180555556</v>
      </c>
      <c r="E856" s="12" t="s">
        <v>502</v>
      </c>
      <c r="F856" s="12" t="s">
        <v>273</v>
      </c>
      <c r="G856" s="12">
        <v>4</v>
      </c>
      <c r="H856" s="12">
        <v>4</v>
      </c>
      <c r="I856" s="14"/>
      <c r="J856" s="14" t="s">
        <v>61</v>
      </c>
      <c r="K856" s="12" t="s">
        <v>922</v>
      </c>
      <c r="L856" s="15">
        <v>1</v>
      </c>
      <c r="M856" s="12" t="s">
        <v>150</v>
      </c>
      <c r="N856" s="12">
        <v>4</v>
      </c>
      <c r="O856" s="12">
        <v>4</v>
      </c>
      <c r="P856" s="12">
        <v>0</v>
      </c>
      <c r="Q856" s="16">
        <v>4</v>
      </c>
      <c r="R856" s="16">
        <v>0</v>
      </c>
      <c r="S856" s="16"/>
      <c r="T856" s="16" t="e">
        <v>#N/A</v>
      </c>
      <c r="U856" s="16" t="e">
        <v>#N/A</v>
      </c>
    </row>
    <row r="857" spans="1:21" x14ac:dyDescent="0.25">
      <c r="A857" s="12" t="s">
        <v>21</v>
      </c>
      <c r="B857" s="12" t="s">
        <v>923</v>
      </c>
      <c r="C857" s="12" t="s">
        <v>23</v>
      </c>
      <c r="D857" s="13">
        <v>46262.577372685184</v>
      </c>
      <c r="E857" s="12" t="s">
        <v>511</v>
      </c>
      <c r="F857" s="12" t="s">
        <v>442</v>
      </c>
      <c r="G857" s="12">
        <v>20</v>
      </c>
      <c r="H857" s="12">
        <v>20</v>
      </c>
      <c r="I857" s="14"/>
      <c r="J857" s="14" t="s">
        <v>61</v>
      </c>
      <c r="K857" s="12" t="s">
        <v>925</v>
      </c>
      <c r="L857" s="15">
        <v>1</v>
      </c>
      <c r="M857" s="12" t="s">
        <v>150</v>
      </c>
      <c r="N857" s="12">
        <v>20</v>
      </c>
      <c r="O857" s="12">
        <v>20</v>
      </c>
      <c r="P857" s="12">
        <v>0</v>
      </c>
      <c r="Q857" s="16">
        <v>20</v>
      </c>
      <c r="R857" s="16">
        <v>0</v>
      </c>
      <c r="S857" s="16"/>
      <c r="T857" s="16" t="e">
        <v>#N/A</v>
      </c>
      <c r="U857" s="16" t="e">
        <v>#N/A</v>
      </c>
    </row>
    <row r="858" spans="1:21" x14ac:dyDescent="0.25">
      <c r="A858" s="12" t="s">
        <v>21</v>
      </c>
      <c r="B858" s="12" t="s">
        <v>923</v>
      </c>
      <c r="C858" s="12" t="s">
        <v>23</v>
      </c>
      <c r="D858" s="13">
        <v>46262.577372685184</v>
      </c>
      <c r="E858" s="12" t="s">
        <v>511</v>
      </c>
      <c r="F858" s="12" t="s">
        <v>924</v>
      </c>
      <c r="G858" s="12">
        <v>50</v>
      </c>
      <c r="H858" s="12">
        <v>50</v>
      </c>
      <c r="I858" s="14"/>
      <c r="J858" s="14" t="s">
        <v>26</v>
      </c>
      <c r="K858" s="12" t="s">
        <v>27</v>
      </c>
      <c r="L858" s="15"/>
      <c r="M858" s="12" t="s">
        <v>28</v>
      </c>
      <c r="N858" s="12"/>
      <c r="O858" s="12"/>
      <c r="P858" s="12"/>
      <c r="Q858" s="16">
        <v>0</v>
      </c>
      <c r="R858" s="16">
        <v>0</v>
      </c>
      <c r="S858" s="16"/>
      <c r="T858" s="16" t="e">
        <v>#N/A</v>
      </c>
      <c r="U858" s="16" t="e">
        <v>#N/A</v>
      </c>
    </row>
    <row r="859" spans="1:21" x14ac:dyDescent="0.25">
      <c r="A859" s="12" t="s">
        <v>21</v>
      </c>
      <c r="B859" s="12" t="s">
        <v>923</v>
      </c>
      <c r="C859" s="12" t="s">
        <v>23</v>
      </c>
      <c r="D859" s="13">
        <v>46262.577372685184</v>
      </c>
      <c r="E859" s="12" t="s">
        <v>511</v>
      </c>
      <c r="F859" s="12" t="s">
        <v>443</v>
      </c>
      <c r="G859" s="12">
        <v>30</v>
      </c>
      <c r="H859" s="12">
        <v>30</v>
      </c>
      <c r="I859" s="14"/>
      <c r="J859" s="14" t="s">
        <v>26</v>
      </c>
      <c r="K859" s="12" t="s">
        <v>27</v>
      </c>
      <c r="L859" s="15"/>
      <c r="M859" s="12" t="s">
        <v>28</v>
      </c>
      <c r="N859" s="12"/>
      <c r="O859" s="12"/>
      <c r="P859" s="12"/>
      <c r="Q859" s="16">
        <v>0</v>
      </c>
      <c r="R859" s="16">
        <v>0</v>
      </c>
      <c r="S859" s="16"/>
      <c r="T859" s="16" t="e">
        <v>#N/A</v>
      </c>
      <c r="U859" s="16" t="e">
        <v>#N/A</v>
      </c>
    </row>
    <row r="860" spans="1:21" x14ac:dyDescent="0.25">
      <c r="A860" s="12" t="s">
        <v>21</v>
      </c>
      <c r="B860" s="12" t="s">
        <v>926</v>
      </c>
      <c r="C860" s="12" t="s">
        <v>23</v>
      </c>
      <c r="D860" s="13">
        <v>46263.292673611111</v>
      </c>
      <c r="E860" s="12" t="s">
        <v>198</v>
      </c>
      <c r="F860" s="12" t="s">
        <v>59</v>
      </c>
      <c r="G860" s="12">
        <v>15</v>
      </c>
      <c r="H860" s="12">
        <v>15</v>
      </c>
      <c r="I860" s="14"/>
      <c r="J860" s="14" t="s">
        <v>26</v>
      </c>
      <c r="K860" s="12" t="s">
        <v>27</v>
      </c>
      <c r="L860" s="15"/>
      <c r="M860" s="12" t="s">
        <v>28</v>
      </c>
      <c r="N860" s="12"/>
      <c r="O860" s="12"/>
      <c r="P860" s="12"/>
      <c r="Q860" s="16">
        <v>0</v>
      </c>
      <c r="R860" s="16">
        <v>0</v>
      </c>
      <c r="S860" s="16"/>
      <c r="T860" s="16" t="e">
        <v>#N/A</v>
      </c>
      <c r="U860" s="16" t="e">
        <v>#N/A</v>
      </c>
    </row>
    <row r="861" spans="1:21" x14ac:dyDescent="0.25">
      <c r="A861" s="12" t="s">
        <v>21</v>
      </c>
      <c r="B861" s="12" t="s">
        <v>926</v>
      </c>
      <c r="C861" s="12" t="s">
        <v>23</v>
      </c>
      <c r="D861" s="13">
        <v>46263.292673611111</v>
      </c>
      <c r="E861" s="12" t="s">
        <v>198</v>
      </c>
      <c r="F861" s="12" t="s">
        <v>927</v>
      </c>
      <c r="G861" s="12">
        <v>1</v>
      </c>
      <c r="H861" s="12">
        <v>1</v>
      </c>
      <c r="I861" s="14"/>
      <c r="J861" s="14" t="s">
        <v>26</v>
      </c>
      <c r="K861" s="12" t="s">
        <v>27</v>
      </c>
      <c r="L861" s="15"/>
      <c r="M861" s="12" t="s">
        <v>28</v>
      </c>
      <c r="N861" s="12"/>
      <c r="O861" s="12"/>
      <c r="P861" s="12"/>
      <c r="Q861" s="16">
        <v>0</v>
      </c>
      <c r="R861" s="16">
        <v>0</v>
      </c>
      <c r="S861" s="16"/>
      <c r="T861" s="16" t="e">
        <v>#N/A</v>
      </c>
      <c r="U861" s="16" t="e">
        <v>#N/A</v>
      </c>
    </row>
    <row r="862" spans="1:21" x14ac:dyDescent="0.25">
      <c r="A862" s="12" t="s">
        <v>21</v>
      </c>
      <c r="B862" s="12" t="s">
        <v>926</v>
      </c>
      <c r="C862" s="12" t="s">
        <v>23</v>
      </c>
      <c r="D862" s="13">
        <v>46263.292673611111</v>
      </c>
      <c r="E862" s="12" t="s">
        <v>198</v>
      </c>
      <c r="F862" s="12" t="s">
        <v>103</v>
      </c>
      <c r="G862" s="12">
        <v>6</v>
      </c>
      <c r="H862" s="12">
        <v>6</v>
      </c>
      <c r="I862" s="14"/>
      <c r="J862" s="14" t="s">
        <v>26</v>
      </c>
      <c r="K862" s="12" t="s">
        <v>27</v>
      </c>
      <c r="L862" s="15"/>
      <c r="M862" s="12" t="s">
        <v>28</v>
      </c>
      <c r="N862" s="12"/>
      <c r="O862" s="12"/>
      <c r="P862" s="12"/>
      <c r="Q862" s="16">
        <v>0</v>
      </c>
      <c r="R862" s="16">
        <v>100</v>
      </c>
      <c r="S862" s="16"/>
      <c r="T862" s="16" t="e">
        <v>#N/A</v>
      </c>
      <c r="U862" s="16" t="e">
        <v>#N/A</v>
      </c>
    </row>
    <row r="863" spans="1:21" x14ac:dyDescent="0.25">
      <c r="A863" s="12" t="s">
        <v>21</v>
      </c>
      <c r="B863" s="12" t="s">
        <v>926</v>
      </c>
      <c r="C863" s="12" t="s">
        <v>23</v>
      </c>
      <c r="D863" s="13">
        <v>46263.292673611111</v>
      </c>
      <c r="E863" s="12" t="s">
        <v>198</v>
      </c>
      <c r="F863" s="12" t="s">
        <v>928</v>
      </c>
      <c r="G863" s="12">
        <v>1</v>
      </c>
      <c r="H863" s="12">
        <v>1</v>
      </c>
      <c r="I863" s="14"/>
      <c r="J863" s="14" t="s">
        <v>26</v>
      </c>
      <c r="K863" s="12" t="s">
        <v>27</v>
      </c>
      <c r="L863" s="15"/>
      <c r="M863" s="12" t="s">
        <v>28</v>
      </c>
      <c r="N863" s="12"/>
      <c r="O863" s="12"/>
      <c r="P863" s="12"/>
      <c r="Q863" s="16">
        <v>0</v>
      </c>
      <c r="R863" s="16">
        <v>0</v>
      </c>
      <c r="S863" s="16"/>
      <c r="T863" s="16" t="e">
        <v>#N/A</v>
      </c>
      <c r="U863" s="16" t="e">
        <v>#N/A</v>
      </c>
    </row>
    <row r="864" spans="1:21" x14ac:dyDescent="0.25">
      <c r="A864" s="12" t="s">
        <v>21</v>
      </c>
      <c r="B864" s="12" t="s">
        <v>926</v>
      </c>
      <c r="C864" s="12" t="s">
        <v>23</v>
      </c>
      <c r="D864" s="13">
        <v>46263.292673611111</v>
      </c>
      <c r="E864" s="12" t="s">
        <v>198</v>
      </c>
      <c r="F864" s="12" t="s">
        <v>929</v>
      </c>
      <c r="G864" s="12">
        <v>3</v>
      </c>
      <c r="H864" s="12">
        <v>3</v>
      </c>
      <c r="I864" s="14"/>
      <c r="J864" s="14" t="s">
        <v>26</v>
      </c>
      <c r="K864" s="12" t="s">
        <v>27</v>
      </c>
      <c r="L864" s="15"/>
      <c r="M864" s="12" t="s">
        <v>28</v>
      </c>
      <c r="N864" s="12"/>
      <c r="O864" s="12"/>
      <c r="P864" s="12"/>
      <c r="Q864" s="16">
        <v>0</v>
      </c>
      <c r="R864" s="16">
        <v>31</v>
      </c>
      <c r="S864" s="16"/>
      <c r="T864" s="16" t="e">
        <v>#N/A</v>
      </c>
      <c r="U864" s="16" t="e">
        <v>#N/A</v>
      </c>
    </row>
    <row r="865" spans="1:21" x14ac:dyDescent="0.25">
      <c r="A865" s="12" t="s">
        <v>21</v>
      </c>
      <c r="B865" s="12" t="s">
        <v>926</v>
      </c>
      <c r="C865" s="12" t="s">
        <v>23</v>
      </c>
      <c r="D865" s="13">
        <v>46263.292673611111</v>
      </c>
      <c r="E865" s="12" t="s">
        <v>198</v>
      </c>
      <c r="F865" s="12" t="s">
        <v>532</v>
      </c>
      <c r="G865" s="12">
        <v>2</v>
      </c>
      <c r="H865" s="12">
        <v>2</v>
      </c>
      <c r="I865" s="14"/>
      <c r="J865" s="14" t="s">
        <v>26</v>
      </c>
      <c r="K865" s="12" t="s">
        <v>27</v>
      </c>
      <c r="L865" s="15"/>
      <c r="M865" s="12" t="s">
        <v>28</v>
      </c>
      <c r="N865" s="12"/>
      <c r="O865" s="12"/>
      <c r="P865" s="12"/>
      <c r="Q865" s="16">
        <v>0</v>
      </c>
      <c r="R865" s="16">
        <v>0</v>
      </c>
      <c r="S865" s="16"/>
      <c r="T865" s="16" t="e">
        <v>#N/A</v>
      </c>
      <c r="U865" s="16" t="e">
        <v>#N/A</v>
      </c>
    </row>
    <row r="866" spans="1:21" x14ac:dyDescent="0.25">
      <c r="A866" s="12" t="s">
        <v>21</v>
      </c>
      <c r="B866" s="12" t="s">
        <v>930</v>
      </c>
      <c r="C866" s="12" t="s">
        <v>23</v>
      </c>
      <c r="D866" s="13">
        <v>46263.373611111114</v>
      </c>
      <c r="E866" s="12" t="s">
        <v>24</v>
      </c>
      <c r="F866" s="12" t="s">
        <v>262</v>
      </c>
      <c r="G866" s="12">
        <v>200</v>
      </c>
      <c r="H866" s="12">
        <v>200</v>
      </c>
      <c r="I866" s="14"/>
      <c r="J866" s="14" t="s">
        <v>26</v>
      </c>
      <c r="K866" s="12" t="s">
        <v>27</v>
      </c>
      <c r="L866" s="15"/>
      <c r="M866" s="12" t="s">
        <v>28</v>
      </c>
      <c r="N866" s="12"/>
      <c r="O866" s="12"/>
      <c r="P866" s="12"/>
      <c r="Q866" s="16">
        <v>0</v>
      </c>
      <c r="R866" s="16">
        <v>0</v>
      </c>
      <c r="S866" s="16"/>
      <c r="T866" s="16" t="e">
        <v>#N/A</v>
      </c>
      <c r="U866" s="16" t="e">
        <v>#N/A</v>
      </c>
    </row>
    <row r="867" spans="1:21" x14ac:dyDescent="0.25">
      <c r="A867" s="12" t="s">
        <v>21</v>
      </c>
      <c r="B867" s="12" t="s">
        <v>930</v>
      </c>
      <c r="C867" s="12" t="s">
        <v>23</v>
      </c>
      <c r="D867" s="13">
        <v>46263.373611111114</v>
      </c>
      <c r="E867" s="12" t="s">
        <v>24</v>
      </c>
      <c r="F867" s="12" t="s">
        <v>535</v>
      </c>
      <c r="G867" s="12">
        <v>400</v>
      </c>
      <c r="H867" s="12">
        <v>400</v>
      </c>
      <c r="I867" s="14"/>
      <c r="J867" s="14" t="s">
        <v>26</v>
      </c>
      <c r="K867" s="12" t="s">
        <v>27</v>
      </c>
      <c r="L867" s="15"/>
      <c r="M867" s="12" t="s">
        <v>28</v>
      </c>
      <c r="N867" s="12"/>
      <c r="O867" s="12"/>
      <c r="P867" s="12"/>
      <c r="Q867" s="16">
        <v>0</v>
      </c>
      <c r="R867" s="16">
        <v>0</v>
      </c>
      <c r="S867" s="16"/>
      <c r="T867" s="16" t="e">
        <v>#N/A</v>
      </c>
      <c r="U867" s="16" t="e">
        <v>#N/A</v>
      </c>
    </row>
    <row r="868" spans="1:21" x14ac:dyDescent="0.25">
      <c r="A868" s="12" t="s">
        <v>21</v>
      </c>
      <c r="B868" s="12" t="s">
        <v>930</v>
      </c>
      <c r="C868" s="12" t="s">
        <v>23</v>
      </c>
      <c r="D868" s="13">
        <v>46263.373611111114</v>
      </c>
      <c r="E868" s="12" t="s">
        <v>24</v>
      </c>
      <c r="F868" s="12" t="s">
        <v>439</v>
      </c>
      <c r="G868" s="12">
        <v>400</v>
      </c>
      <c r="H868" s="12">
        <v>400</v>
      </c>
      <c r="I868" s="14"/>
      <c r="J868" s="14" t="s">
        <v>26</v>
      </c>
      <c r="K868" s="12" t="s">
        <v>27</v>
      </c>
      <c r="L868" s="15"/>
      <c r="M868" s="12" t="s">
        <v>28</v>
      </c>
      <c r="N868" s="12"/>
      <c r="O868" s="12"/>
      <c r="P868" s="12"/>
      <c r="Q868" s="16">
        <v>0</v>
      </c>
      <c r="R868" s="16">
        <v>0</v>
      </c>
      <c r="S868" s="16"/>
      <c r="T868" s="16" t="e">
        <v>#N/A</v>
      </c>
      <c r="U868" s="16" t="e">
        <v>#N/A</v>
      </c>
    </row>
    <row r="869" spans="1:21" x14ac:dyDescent="0.25">
      <c r="A869" s="12" t="s">
        <v>21</v>
      </c>
      <c r="B869" s="12" t="s">
        <v>931</v>
      </c>
      <c r="C869" s="12" t="s">
        <v>23</v>
      </c>
      <c r="D869" s="13">
        <v>46263.380335648151</v>
      </c>
      <c r="E869" s="12" t="s">
        <v>423</v>
      </c>
      <c r="F869" s="12" t="s">
        <v>932</v>
      </c>
      <c r="G869" s="12">
        <v>40</v>
      </c>
      <c r="H869" s="12">
        <v>40</v>
      </c>
      <c r="I869" s="14"/>
      <c r="J869" s="14" t="s">
        <v>61</v>
      </c>
      <c r="K869" s="12" t="s">
        <v>934</v>
      </c>
      <c r="L869" s="15">
        <v>1</v>
      </c>
      <c r="M869" s="12" t="s">
        <v>150</v>
      </c>
      <c r="N869" s="12">
        <v>40</v>
      </c>
      <c r="O869" s="12">
        <v>40</v>
      </c>
      <c r="P869" s="12">
        <v>0</v>
      </c>
      <c r="Q869" s="16">
        <v>90</v>
      </c>
      <c r="R869" s="16">
        <v>0</v>
      </c>
      <c r="S869" s="16"/>
      <c r="T869" s="16" t="e">
        <v>#N/A</v>
      </c>
      <c r="U869" s="16" t="e">
        <v>#N/A</v>
      </c>
    </row>
    <row r="870" spans="1:21" x14ac:dyDescent="0.25">
      <c r="A870" s="12" t="s">
        <v>21</v>
      </c>
      <c r="B870" s="12" t="s">
        <v>931</v>
      </c>
      <c r="C870" s="12" t="s">
        <v>23</v>
      </c>
      <c r="D870" s="13">
        <v>46263.380335648151</v>
      </c>
      <c r="E870" s="12" t="s">
        <v>423</v>
      </c>
      <c r="F870" s="12" t="s">
        <v>933</v>
      </c>
      <c r="G870" s="12">
        <v>60</v>
      </c>
      <c r="H870" s="12">
        <v>60</v>
      </c>
      <c r="I870" s="14"/>
      <c r="J870" s="14" t="s">
        <v>61</v>
      </c>
      <c r="K870" s="12" t="s">
        <v>935</v>
      </c>
      <c r="L870" s="15">
        <v>1</v>
      </c>
      <c r="M870" s="12" t="s">
        <v>150</v>
      </c>
      <c r="N870" s="12">
        <v>60</v>
      </c>
      <c r="O870" s="12">
        <v>60</v>
      </c>
      <c r="P870" s="12">
        <v>0</v>
      </c>
      <c r="Q870" s="16">
        <v>60</v>
      </c>
      <c r="R870" s="16">
        <v>0</v>
      </c>
      <c r="S870" s="16"/>
      <c r="T870" s="16" t="e">
        <v>#N/A</v>
      </c>
      <c r="U870" s="16" t="e">
        <v>#N/A</v>
      </c>
    </row>
    <row r="871" spans="1:21" x14ac:dyDescent="0.25">
      <c r="A871" s="12" t="s">
        <v>21</v>
      </c>
      <c r="B871" s="12" t="s">
        <v>931</v>
      </c>
      <c r="C871" s="12" t="s">
        <v>23</v>
      </c>
      <c r="D871" s="13">
        <v>46263.380335648151</v>
      </c>
      <c r="E871" s="12" t="s">
        <v>423</v>
      </c>
      <c r="F871" s="12" t="s">
        <v>936</v>
      </c>
      <c r="G871" s="12">
        <v>50</v>
      </c>
      <c r="H871" s="12">
        <v>50</v>
      </c>
      <c r="I871" s="14"/>
      <c r="J871" s="14" t="s">
        <v>61</v>
      </c>
      <c r="K871" s="12" t="s">
        <v>937</v>
      </c>
      <c r="L871" s="15">
        <v>1</v>
      </c>
      <c r="M871" s="12" t="s">
        <v>150</v>
      </c>
      <c r="N871" s="12">
        <v>50</v>
      </c>
      <c r="O871" s="12">
        <v>50</v>
      </c>
      <c r="P871" s="12">
        <v>0</v>
      </c>
      <c r="Q871" s="16">
        <v>90</v>
      </c>
      <c r="R871" s="16">
        <v>0</v>
      </c>
      <c r="S871" s="16"/>
      <c r="T871" s="16" t="e">
        <v>#N/A</v>
      </c>
      <c r="U871" s="16" t="e">
        <v>#N/A</v>
      </c>
    </row>
    <row r="872" spans="1:21" x14ac:dyDescent="0.25">
      <c r="A872" s="12" t="s">
        <v>21</v>
      </c>
      <c r="B872" s="12" t="s">
        <v>931</v>
      </c>
      <c r="C872" s="12" t="s">
        <v>23</v>
      </c>
      <c r="D872" s="13">
        <v>46263.380335648151</v>
      </c>
      <c r="E872" s="12" t="s">
        <v>423</v>
      </c>
      <c r="F872" s="12" t="s">
        <v>70</v>
      </c>
      <c r="G872" s="12">
        <v>81</v>
      </c>
      <c r="H872" s="12">
        <v>81</v>
      </c>
      <c r="I872" s="14"/>
      <c r="J872" s="14" t="s">
        <v>61</v>
      </c>
      <c r="K872" s="12" t="s">
        <v>938</v>
      </c>
      <c r="L872" s="15">
        <v>1</v>
      </c>
      <c r="M872" s="12" t="s">
        <v>150</v>
      </c>
      <c r="N872" s="12">
        <v>81</v>
      </c>
      <c r="O872" s="12">
        <v>81</v>
      </c>
      <c r="P872" s="12">
        <v>0</v>
      </c>
      <c r="Q872" s="16">
        <v>81</v>
      </c>
      <c r="R872" s="16">
        <v>0</v>
      </c>
      <c r="S872" s="16"/>
      <c r="T872" s="16" t="e">
        <v>#N/A</v>
      </c>
      <c r="U872" s="16" t="e">
        <v>#N/A</v>
      </c>
    </row>
    <row r="873" spans="1:21" x14ac:dyDescent="0.25">
      <c r="A873" s="12" t="s">
        <v>21</v>
      </c>
      <c r="B873" s="12" t="s">
        <v>931</v>
      </c>
      <c r="C873" s="12" t="s">
        <v>23</v>
      </c>
      <c r="D873" s="13">
        <v>46263.380335648151</v>
      </c>
      <c r="E873" s="12" t="s">
        <v>423</v>
      </c>
      <c r="F873" s="12" t="s">
        <v>924</v>
      </c>
      <c r="G873" s="12">
        <v>100</v>
      </c>
      <c r="H873" s="12">
        <v>100</v>
      </c>
      <c r="I873" s="14"/>
      <c r="J873" s="14" t="s">
        <v>61</v>
      </c>
      <c r="K873" s="12" t="s">
        <v>939</v>
      </c>
      <c r="L873" s="15">
        <v>1</v>
      </c>
      <c r="M873" s="12" t="s">
        <v>150</v>
      </c>
      <c r="N873" s="12">
        <v>100</v>
      </c>
      <c r="O873" s="12">
        <v>100</v>
      </c>
      <c r="P873" s="12">
        <v>0</v>
      </c>
      <c r="Q873" s="16">
        <v>100</v>
      </c>
      <c r="R873" s="16">
        <v>0</v>
      </c>
      <c r="S873" s="16"/>
      <c r="T873" s="16" t="e">
        <v>#N/A</v>
      </c>
      <c r="U873" s="16" t="e">
        <v>#N/A</v>
      </c>
    </row>
    <row r="874" spans="1:21" x14ac:dyDescent="0.25">
      <c r="A874" s="12" t="s">
        <v>21</v>
      </c>
      <c r="B874" s="12" t="s">
        <v>931</v>
      </c>
      <c r="C874" s="12" t="s">
        <v>23</v>
      </c>
      <c r="D874" s="13">
        <v>46263.380335648151</v>
      </c>
      <c r="E874" s="12" t="s">
        <v>423</v>
      </c>
      <c r="F874" s="12" t="s">
        <v>525</v>
      </c>
      <c r="G874" s="12">
        <v>100</v>
      </c>
      <c r="H874" s="12">
        <v>100</v>
      </c>
      <c r="I874" s="14"/>
      <c r="J874" s="14" t="s">
        <v>61</v>
      </c>
      <c r="K874" s="12" t="s">
        <v>942</v>
      </c>
      <c r="L874" s="15">
        <v>1</v>
      </c>
      <c r="M874" s="12" t="s">
        <v>150</v>
      </c>
      <c r="N874" s="12">
        <v>100</v>
      </c>
      <c r="O874" s="12">
        <v>100</v>
      </c>
      <c r="P874" s="12">
        <v>0</v>
      </c>
      <c r="Q874" s="16">
        <v>100</v>
      </c>
      <c r="R874" s="16">
        <v>0</v>
      </c>
      <c r="S874" s="16"/>
      <c r="T874" s="16" t="e">
        <v>#N/A</v>
      </c>
      <c r="U874" s="16" t="e">
        <v>#N/A</v>
      </c>
    </row>
    <row r="875" spans="1:21" x14ac:dyDescent="0.25">
      <c r="A875" s="12" t="s">
        <v>21</v>
      </c>
      <c r="B875" s="12" t="s">
        <v>931</v>
      </c>
      <c r="C875" s="12" t="s">
        <v>23</v>
      </c>
      <c r="D875" s="13">
        <v>46263.380335648151</v>
      </c>
      <c r="E875" s="12" t="s">
        <v>423</v>
      </c>
      <c r="F875" s="12" t="s">
        <v>767</v>
      </c>
      <c r="G875" s="12">
        <v>20</v>
      </c>
      <c r="H875" s="12">
        <v>20</v>
      </c>
      <c r="I875" s="14"/>
      <c r="J875" s="14" t="s">
        <v>61</v>
      </c>
      <c r="K875" s="12" t="s">
        <v>943</v>
      </c>
      <c r="L875" s="15">
        <v>1</v>
      </c>
      <c r="M875" s="12" t="s">
        <v>150</v>
      </c>
      <c r="N875" s="12">
        <v>20</v>
      </c>
      <c r="O875" s="12">
        <v>20</v>
      </c>
      <c r="P875" s="12">
        <v>0</v>
      </c>
      <c r="Q875" s="16">
        <v>20</v>
      </c>
      <c r="R875" s="16">
        <v>0</v>
      </c>
      <c r="S875" s="16"/>
      <c r="T875" s="16" t="e">
        <v>#N/A</v>
      </c>
      <c r="U875" s="16" t="e">
        <v>#N/A</v>
      </c>
    </row>
    <row r="876" spans="1:21" x14ac:dyDescent="0.25">
      <c r="A876" s="12" t="s">
        <v>21</v>
      </c>
      <c r="B876" s="12" t="s">
        <v>940</v>
      </c>
      <c r="C876" s="12" t="s">
        <v>23</v>
      </c>
      <c r="D876" s="13">
        <v>46263.399872685186</v>
      </c>
      <c r="E876" s="12" t="s">
        <v>24</v>
      </c>
      <c r="F876" s="12" t="s">
        <v>941</v>
      </c>
      <c r="G876" s="12">
        <v>2</v>
      </c>
      <c r="H876" s="12">
        <v>2</v>
      </c>
      <c r="I876" s="14"/>
      <c r="J876" s="14" t="s">
        <v>61</v>
      </c>
      <c r="K876" s="12" t="s">
        <v>944</v>
      </c>
      <c r="L876" s="15">
        <v>1</v>
      </c>
      <c r="M876" s="12" t="s">
        <v>150</v>
      </c>
      <c r="N876" s="12">
        <v>2</v>
      </c>
      <c r="O876" s="12">
        <v>2</v>
      </c>
      <c r="P876" s="12">
        <v>0</v>
      </c>
      <c r="Q876" s="16">
        <v>2</v>
      </c>
      <c r="R876" s="16">
        <v>0</v>
      </c>
      <c r="S876" s="16"/>
      <c r="T876" s="16" t="e">
        <v>#N/A</v>
      </c>
      <c r="U876" s="16" t="e">
        <v>#N/A</v>
      </c>
    </row>
    <row r="877" spans="1:21" x14ac:dyDescent="0.25">
      <c r="A877" s="12" t="s">
        <v>21</v>
      </c>
      <c r="B877" s="12" t="s">
        <v>940</v>
      </c>
      <c r="C877" s="12" t="s">
        <v>23</v>
      </c>
      <c r="D877" s="13">
        <v>46263.399872685186</v>
      </c>
      <c r="E877" s="12" t="s">
        <v>24</v>
      </c>
      <c r="F877" s="12" t="s">
        <v>242</v>
      </c>
      <c r="G877" s="12">
        <v>3</v>
      </c>
      <c r="H877" s="12">
        <v>3</v>
      </c>
      <c r="I877" s="14"/>
      <c r="J877" s="14" t="s">
        <v>61</v>
      </c>
      <c r="K877" s="12" t="s">
        <v>945</v>
      </c>
      <c r="L877" s="15">
        <v>1</v>
      </c>
      <c r="M877" s="12" t="s">
        <v>150</v>
      </c>
      <c r="N877" s="12">
        <v>3</v>
      </c>
      <c r="O877" s="12">
        <v>3</v>
      </c>
      <c r="P877" s="12">
        <v>0</v>
      </c>
      <c r="Q877" s="16">
        <v>3</v>
      </c>
      <c r="R877" s="16">
        <v>0</v>
      </c>
      <c r="S877" s="16"/>
      <c r="T877" s="16" t="e">
        <v>#N/A</v>
      </c>
      <c r="U877" s="16" t="e">
        <v>#N/A</v>
      </c>
    </row>
    <row r="878" spans="1:21" x14ac:dyDescent="0.25">
      <c r="A878" s="12" t="s">
        <v>21</v>
      </c>
      <c r="B878" s="12" t="s">
        <v>940</v>
      </c>
      <c r="C878" s="12" t="s">
        <v>23</v>
      </c>
      <c r="D878" s="13">
        <v>46263.399872685186</v>
      </c>
      <c r="E878" s="12" t="s">
        <v>24</v>
      </c>
      <c r="F878" s="12" t="s">
        <v>243</v>
      </c>
      <c r="G878" s="12">
        <v>8</v>
      </c>
      <c r="H878" s="12">
        <v>8</v>
      </c>
      <c r="I878" s="14"/>
      <c r="J878" s="14" t="s">
        <v>61</v>
      </c>
      <c r="K878" s="12" t="s">
        <v>946</v>
      </c>
      <c r="L878" s="15">
        <v>1</v>
      </c>
      <c r="M878" s="12" t="s">
        <v>150</v>
      </c>
      <c r="N878" s="12">
        <v>8</v>
      </c>
      <c r="O878" s="12">
        <v>8</v>
      </c>
      <c r="P878" s="12">
        <v>0</v>
      </c>
      <c r="Q878" s="16">
        <v>8</v>
      </c>
      <c r="R878" s="16">
        <v>1</v>
      </c>
      <c r="S878" s="16"/>
      <c r="T878" s="16" t="e">
        <v>#N/A</v>
      </c>
      <c r="U878" s="16" t="e">
        <v>#N/A</v>
      </c>
    </row>
    <row r="879" spans="1:21" x14ac:dyDescent="0.25">
      <c r="A879" s="12" t="s">
        <v>21</v>
      </c>
      <c r="B879" s="12" t="s">
        <v>940</v>
      </c>
      <c r="C879" s="12" t="s">
        <v>23</v>
      </c>
      <c r="D879" s="13">
        <v>46263.399872685186</v>
      </c>
      <c r="E879" s="12" t="s">
        <v>24</v>
      </c>
      <c r="F879" s="12" t="s">
        <v>245</v>
      </c>
      <c r="G879" s="12">
        <v>30</v>
      </c>
      <c r="H879" s="12">
        <v>30</v>
      </c>
      <c r="I879" s="14"/>
      <c r="J879" s="14" t="s">
        <v>61</v>
      </c>
      <c r="K879" s="12" t="s">
        <v>947</v>
      </c>
      <c r="L879" s="15">
        <v>1</v>
      </c>
      <c r="M879" s="12" t="s">
        <v>150</v>
      </c>
      <c r="N879" s="12">
        <v>30</v>
      </c>
      <c r="O879" s="12">
        <v>30</v>
      </c>
      <c r="P879" s="12">
        <v>0</v>
      </c>
      <c r="Q879" s="16">
        <v>30</v>
      </c>
      <c r="R879" s="16">
        <v>0</v>
      </c>
      <c r="S879" s="16"/>
      <c r="T879" s="16" t="e">
        <v>#N/A</v>
      </c>
      <c r="U879" s="16" t="e">
        <v>#N/A</v>
      </c>
    </row>
    <row r="880" spans="1:21" x14ac:dyDescent="0.25">
      <c r="A880" s="12" t="s">
        <v>21</v>
      </c>
      <c r="B880" s="12" t="s">
        <v>940</v>
      </c>
      <c r="C880" s="12" t="s">
        <v>23</v>
      </c>
      <c r="D880" s="13">
        <v>46263.399872685186</v>
      </c>
      <c r="E880" s="12" t="s">
        <v>24</v>
      </c>
      <c r="F880" s="12" t="s">
        <v>67</v>
      </c>
      <c r="G880" s="12">
        <v>4</v>
      </c>
      <c r="H880" s="12">
        <v>4</v>
      </c>
      <c r="I880" s="14"/>
      <c r="J880" s="14" t="s">
        <v>61</v>
      </c>
      <c r="K880" s="12" t="s">
        <v>948</v>
      </c>
      <c r="L880" s="15">
        <v>1</v>
      </c>
      <c r="M880" s="12" t="s">
        <v>150</v>
      </c>
      <c r="N880" s="12">
        <v>4</v>
      </c>
      <c r="O880" s="12">
        <v>4</v>
      </c>
      <c r="P880" s="12">
        <v>0</v>
      </c>
      <c r="Q880" s="16">
        <v>4</v>
      </c>
      <c r="R880" s="16">
        <v>0</v>
      </c>
      <c r="S880" s="16"/>
      <c r="T880" s="16" t="e">
        <v>#N/A</v>
      </c>
      <c r="U880" s="16" t="e">
        <v>#N/A</v>
      </c>
    </row>
    <row r="881" spans="1:21" x14ac:dyDescent="0.25">
      <c r="A881" s="12" t="s">
        <v>21</v>
      </c>
      <c r="B881" s="12" t="s">
        <v>940</v>
      </c>
      <c r="C881" s="12" t="s">
        <v>23</v>
      </c>
      <c r="D881" s="13">
        <v>46263.399872685186</v>
      </c>
      <c r="E881" s="12" t="s">
        <v>24</v>
      </c>
      <c r="F881" s="12" t="s">
        <v>731</v>
      </c>
      <c r="G881" s="12">
        <v>1</v>
      </c>
      <c r="H881" s="12">
        <v>1</v>
      </c>
      <c r="I881" s="14"/>
      <c r="J881" s="14" t="s">
        <v>61</v>
      </c>
      <c r="K881" s="12" t="s">
        <v>949</v>
      </c>
      <c r="L881" s="15">
        <v>1</v>
      </c>
      <c r="M881" s="12" t="s">
        <v>150</v>
      </c>
      <c r="N881" s="12">
        <v>1</v>
      </c>
      <c r="O881" s="12">
        <v>1</v>
      </c>
      <c r="P881" s="12">
        <v>0</v>
      </c>
      <c r="Q881" s="16">
        <v>1</v>
      </c>
      <c r="R881" s="16">
        <v>0</v>
      </c>
      <c r="S881" s="16"/>
      <c r="T881" s="16" t="e">
        <v>#N/A</v>
      </c>
      <c r="U881" s="16" t="e">
        <v>#N/A</v>
      </c>
    </row>
    <row r="882" spans="1:21" x14ac:dyDescent="0.25">
      <c r="A882" s="12" t="s">
        <v>21</v>
      </c>
      <c r="B882" s="12" t="s">
        <v>940</v>
      </c>
      <c r="C882" s="12" t="s">
        <v>23</v>
      </c>
      <c r="D882" s="13">
        <v>46263.399872685186</v>
      </c>
      <c r="E882" s="12" t="s">
        <v>24</v>
      </c>
      <c r="F882" s="12" t="s">
        <v>253</v>
      </c>
      <c r="G882" s="12">
        <v>10</v>
      </c>
      <c r="H882" s="12">
        <v>10</v>
      </c>
      <c r="I882" s="14"/>
      <c r="J882" s="14" t="s">
        <v>61</v>
      </c>
      <c r="K882" s="12" t="s">
        <v>950</v>
      </c>
      <c r="L882" s="15">
        <v>1</v>
      </c>
      <c r="M882" s="12" t="s">
        <v>150</v>
      </c>
      <c r="N882" s="12">
        <v>10</v>
      </c>
      <c r="O882" s="12">
        <v>10</v>
      </c>
      <c r="P882" s="12">
        <v>0</v>
      </c>
      <c r="Q882" s="16">
        <v>10</v>
      </c>
      <c r="R882" s="16">
        <v>0</v>
      </c>
      <c r="S882" s="16"/>
      <c r="T882" s="16" t="e">
        <v>#N/A</v>
      </c>
      <c r="U882" s="16" t="e">
        <v>#N/A</v>
      </c>
    </row>
    <row r="883" spans="1:21" x14ac:dyDescent="0.25">
      <c r="A883" s="12" t="s">
        <v>21</v>
      </c>
      <c r="B883" s="12" t="s">
        <v>940</v>
      </c>
      <c r="C883" s="12" t="s">
        <v>23</v>
      </c>
      <c r="D883" s="13">
        <v>46263.399872685186</v>
      </c>
      <c r="E883" s="12" t="s">
        <v>24</v>
      </c>
      <c r="F883" s="12" t="s">
        <v>703</v>
      </c>
      <c r="G883" s="12">
        <v>6</v>
      </c>
      <c r="H883" s="12">
        <v>6</v>
      </c>
      <c r="I883" s="14"/>
      <c r="J883" s="14" t="s">
        <v>61</v>
      </c>
      <c r="K883" s="12" t="s">
        <v>951</v>
      </c>
      <c r="L883" s="15">
        <v>1</v>
      </c>
      <c r="M883" s="12" t="s">
        <v>150</v>
      </c>
      <c r="N883" s="12">
        <v>6</v>
      </c>
      <c r="O883" s="12">
        <v>6</v>
      </c>
      <c r="P883" s="12">
        <v>0</v>
      </c>
      <c r="Q883" s="16">
        <v>6</v>
      </c>
      <c r="R883" s="16">
        <v>0</v>
      </c>
      <c r="S883" s="16"/>
      <c r="T883" s="16" t="e">
        <v>#N/A</v>
      </c>
      <c r="U883" s="16" t="e">
        <v>#N/A</v>
      </c>
    </row>
    <row r="884" spans="1:21" x14ac:dyDescent="0.25">
      <c r="A884" s="12" t="s">
        <v>21</v>
      </c>
      <c r="B884" s="12" t="s">
        <v>952</v>
      </c>
      <c r="C884" s="12" t="s">
        <v>23</v>
      </c>
      <c r="D884" s="13">
        <v>46263.424432870372</v>
      </c>
      <c r="E884" s="12" t="s">
        <v>335</v>
      </c>
      <c r="F884" s="12" t="s">
        <v>320</v>
      </c>
      <c r="G884" s="12">
        <v>50</v>
      </c>
      <c r="H884" s="12">
        <v>50</v>
      </c>
      <c r="I884" s="14"/>
      <c r="J884" s="14" t="s">
        <v>26</v>
      </c>
      <c r="K884" s="12" t="s">
        <v>27</v>
      </c>
      <c r="L884" s="15"/>
      <c r="M884" s="12" t="s">
        <v>28</v>
      </c>
      <c r="N884" s="12"/>
      <c r="O884" s="12"/>
      <c r="P884" s="12"/>
      <c r="Q884" s="16">
        <v>0</v>
      </c>
      <c r="R884" s="16">
        <v>1</v>
      </c>
      <c r="S884" s="16"/>
      <c r="T884" s="16" t="e">
        <v>#N/A</v>
      </c>
      <c r="U884" s="16" t="e">
        <v>#N/A</v>
      </c>
    </row>
    <row r="885" spans="1:21" x14ac:dyDescent="0.25">
      <c r="A885" s="12" t="s">
        <v>21</v>
      </c>
      <c r="B885" s="12" t="s">
        <v>953</v>
      </c>
      <c r="C885" s="12" t="s">
        <v>23</v>
      </c>
      <c r="D885" s="13">
        <v>46263.483680555553</v>
      </c>
      <c r="E885" s="12" t="s">
        <v>423</v>
      </c>
      <c r="F885" s="12" t="s">
        <v>552</v>
      </c>
      <c r="G885" s="12">
        <v>150</v>
      </c>
      <c r="H885" s="12">
        <v>150</v>
      </c>
      <c r="I885" s="14"/>
      <c r="J885" s="14" t="s">
        <v>61</v>
      </c>
      <c r="K885" s="12" t="s">
        <v>957</v>
      </c>
      <c r="L885" s="15">
        <v>1</v>
      </c>
      <c r="M885" s="12" t="s">
        <v>150</v>
      </c>
      <c r="N885" s="12">
        <v>150</v>
      </c>
      <c r="O885" s="12">
        <v>150</v>
      </c>
      <c r="P885" s="12">
        <v>0</v>
      </c>
      <c r="Q885" s="16">
        <v>150</v>
      </c>
      <c r="R885" s="16">
        <v>0</v>
      </c>
      <c r="S885" s="16"/>
      <c r="T885" s="16" t="e">
        <v>#N/A</v>
      </c>
      <c r="U885" s="16" t="e">
        <v>#N/A</v>
      </c>
    </row>
    <row r="886" spans="1:21" x14ac:dyDescent="0.25">
      <c r="A886" s="12" t="s">
        <v>21</v>
      </c>
      <c r="B886" s="12" t="s">
        <v>953</v>
      </c>
      <c r="C886" s="12" t="s">
        <v>23</v>
      </c>
      <c r="D886" s="13">
        <v>46263.483680555553</v>
      </c>
      <c r="E886" s="12" t="s">
        <v>423</v>
      </c>
      <c r="F886" s="12" t="s">
        <v>472</v>
      </c>
      <c r="G886" s="12">
        <v>100</v>
      </c>
      <c r="H886" s="12">
        <v>100</v>
      </c>
      <c r="I886" s="14"/>
      <c r="J886" s="14" t="s">
        <v>61</v>
      </c>
      <c r="K886" s="12" t="s">
        <v>958</v>
      </c>
      <c r="L886" s="15">
        <v>1</v>
      </c>
      <c r="M886" s="12" t="s">
        <v>150</v>
      </c>
      <c r="N886" s="12">
        <v>100</v>
      </c>
      <c r="O886" s="12">
        <v>100</v>
      </c>
      <c r="P886" s="12">
        <v>0</v>
      </c>
      <c r="Q886" s="16">
        <v>100</v>
      </c>
      <c r="R886" s="16">
        <v>0</v>
      </c>
      <c r="S886" s="16"/>
      <c r="T886" s="16" t="e">
        <v>#N/A</v>
      </c>
      <c r="U886" s="16" t="e">
        <v>#N/A</v>
      </c>
    </row>
    <row r="887" spans="1:21" x14ac:dyDescent="0.25">
      <c r="A887" s="12" t="s">
        <v>21</v>
      </c>
      <c r="B887" s="12" t="s">
        <v>953</v>
      </c>
      <c r="C887" s="12" t="s">
        <v>23</v>
      </c>
      <c r="D887" s="13">
        <v>46263.483680555553</v>
      </c>
      <c r="E887" s="12" t="s">
        <v>423</v>
      </c>
      <c r="F887" s="12" t="s">
        <v>557</v>
      </c>
      <c r="G887" s="12">
        <v>70</v>
      </c>
      <c r="H887" s="12">
        <v>70</v>
      </c>
      <c r="I887" s="14"/>
      <c r="J887" s="14" t="s">
        <v>61</v>
      </c>
      <c r="K887" s="12" t="s">
        <v>959</v>
      </c>
      <c r="L887" s="15">
        <v>1</v>
      </c>
      <c r="M887" s="12" t="s">
        <v>150</v>
      </c>
      <c r="N887" s="12">
        <v>70</v>
      </c>
      <c r="O887" s="12">
        <v>70</v>
      </c>
      <c r="P887" s="12">
        <v>0</v>
      </c>
      <c r="Q887" s="16">
        <v>70</v>
      </c>
      <c r="R887" s="16">
        <v>0</v>
      </c>
      <c r="S887" s="16"/>
      <c r="T887" s="16" t="e">
        <v>#N/A</v>
      </c>
      <c r="U887" s="16" t="e">
        <v>#N/A</v>
      </c>
    </row>
    <row r="888" spans="1:21" x14ac:dyDescent="0.25">
      <c r="A888" s="12" t="s">
        <v>21</v>
      </c>
      <c r="B888" s="12" t="s">
        <v>953</v>
      </c>
      <c r="C888" s="12" t="s">
        <v>23</v>
      </c>
      <c r="D888" s="13">
        <v>46263.483680555553</v>
      </c>
      <c r="E888" s="12" t="s">
        <v>423</v>
      </c>
      <c r="F888" s="12" t="s">
        <v>559</v>
      </c>
      <c r="G888" s="12">
        <v>100</v>
      </c>
      <c r="H888" s="12">
        <v>100</v>
      </c>
      <c r="I888" s="14"/>
      <c r="J888" s="14" t="s">
        <v>61</v>
      </c>
      <c r="K888" s="12" t="s">
        <v>960</v>
      </c>
      <c r="L888" s="15">
        <v>1</v>
      </c>
      <c r="M888" s="12" t="s">
        <v>150</v>
      </c>
      <c r="N888" s="12">
        <v>100</v>
      </c>
      <c r="O888" s="12">
        <v>100</v>
      </c>
      <c r="P888" s="12">
        <v>0</v>
      </c>
      <c r="Q888" s="16">
        <v>100</v>
      </c>
      <c r="R888" s="16">
        <v>0</v>
      </c>
      <c r="S888" s="16"/>
      <c r="T888" s="16" t="e">
        <v>#N/A</v>
      </c>
      <c r="U888" s="16" t="e">
        <v>#N/A</v>
      </c>
    </row>
    <row r="889" spans="1:21" x14ac:dyDescent="0.25">
      <c r="A889" s="12" t="s">
        <v>21</v>
      </c>
      <c r="B889" s="12" t="s">
        <v>953</v>
      </c>
      <c r="C889" s="12" t="s">
        <v>23</v>
      </c>
      <c r="D889" s="13">
        <v>46263.483680555553</v>
      </c>
      <c r="E889" s="12" t="s">
        <v>423</v>
      </c>
      <c r="F889" s="12" t="s">
        <v>955</v>
      </c>
      <c r="G889" s="12">
        <v>40</v>
      </c>
      <c r="H889" s="12">
        <v>40</v>
      </c>
      <c r="I889" s="14"/>
      <c r="J889" s="14" t="s">
        <v>61</v>
      </c>
      <c r="K889" s="12" t="s">
        <v>961</v>
      </c>
      <c r="L889" s="15">
        <v>1</v>
      </c>
      <c r="M889" s="12" t="s">
        <v>150</v>
      </c>
      <c r="N889" s="12">
        <v>40</v>
      </c>
      <c r="O889" s="12">
        <v>40</v>
      </c>
      <c r="P889" s="12">
        <v>0</v>
      </c>
      <c r="Q889" s="16">
        <v>40</v>
      </c>
      <c r="R889" s="16">
        <v>0</v>
      </c>
      <c r="S889" s="16"/>
      <c r="T889" s="16" t="e">
        <v>#N/A</v>
      </c>
      <c r="U889" s="16" t="e">
        <v>#N/A</v>
      </c>
    </row>
    <row r="890" spans="1:21" x14ac:dyDescent="0.25">
      <c r="A890" s="12" t="s">
        <v>21</v>
      </c>
      <c r="B890" s="12" t="s">
        <v>954</v>
      </c>
      <c r="C890" s="12" t="s">
        <v>23</v>
      </c>
      <c r="D890" s="13">
        <v>46263.489895833336</v>
      </c>
      <c r="E890" s="12" t="s">
        <v>258</v>
      </c>
      <c r="F890" s="12" t="s">
        <v>956</v>
      </c>
      <c r="G890" s="12">
        <v>3</v>
      </c>
      <c r="H890" s="12">
        <v>3</v>
      </c>
      <c r="I890" s="14"/>
      <c r="J890" s="14" t="s">
        <v>61</v>
      </c>
      <c r="K890" s="12" t="s">
        <v>962</v>
      </c>
      <c r="L890" s="15">
        <v>1</v>
      </c>
      <c r="M890" s="12" t="s">
        <v>150</v>
      </c>
      <c r="N890" s="12">
        <v>3</v>
      </c>
      <c r="O890" s="12">
        <v>3</v>
      </c>
      <c r="P890" s="12">
        <v>0</v>
      </c>
      <c r="Q890" s="16">
        <v>3</v>
      </c>
      <c r="R890" s="16">
        <v>2</v>
      </c>
      <c r="S890" s="16"/>
      <c r="T890" s="16" t="e">
        <v>#N/A</v>
      </c>
      <c r="U890" s="16" t="e">
        <v>#N/A</v>
      </c>
    </row>
    <row r="891" spans="1:21" x14ac:dyDescent="0.25">
      <c r="A891" s="12" t="s">
        <v>21</v>
      </c>
      <c r="B891" s="12" t="s">
        <v>963</v>
      </c>
      <c r="C891" s="12" t="s">
        <v>23</v>
      </c>
      <c r="D891" s="13">
        <v>46265.30091435185</v>
      </c>
      <c r="E891" s="12" t="s">
        <v>484</v>
      </c>
      <c r="F891" s="12" t="s">
        <v>964</v>
      </c>
      <c r="G891" s="12">
        <v>2</v>
      </c>
      <c r="H891" s="12">
        <v>2</v>
      </c>
      <c r="I891" s="14"/>
      <c r="J891" s="14" t="s">
        <v>26</v>
      </c>
      <c r="K891" s="12" t="s">
        <v>969</v>
      </c>
      <c r="L891" s="15">
        <v>1</v>
      </c>
      <c r="M891" s="12" t="s">
        <v>150</v>
      </c>
      <c r="N891" s="12">
        <v>2</v>
      </c>
      <c r="O891" s="12">
        <v>2</v>
      </c>
      <c r="P891" s="12">
        <v>0</v>
      </c>
      <c r="Q891" s="16">
        <v>0</v>
      </c>
      <c r="R891" s="16">
        <v>0</v>
      </c>
      <c r="S891" s="16"/>
      <c r="T891" s="16" t="e">
        <v>#N/A</v>
      </c>
      <c r="U891" s="16" t="e">
        <v>#N/A</v>
      </c>
    </row>
    <row r="892" spans="1:21" x14ac:dyDescent="0.25">
      <c r="A892" s="12" t="s">
        <v>21</v>
      </c>
      <c r="B892" s="12" t="s">
        <v>963</v>
      </c>
      <c r="C892" s="12" t="s">
        <v>23</v>
      </c>
      <c r="D892" s="13">
        <v>46265.30091435185</v>
      </c>
      <c r="E892" s="12" t="s">
        <v>484</v>
      </c>
      <c r="F892" s="12" t="s">
        <v>965</v>
      </c>
      <c r="G892" s="12">
        <v>2</v>
      </c>
      <c r="H892" s="12">
        <v>2</v>
      </c>
      <c r="I892" s="14"/>
      <c r="J892" s="14" t="s">
        <v>26</v>
      </c>
      <c r="K892" s="12" t="s">
        <v>970</v>
      </c>
      <c r="L892" s="15">
        <v>1</v>
      </c>
      <c r="M892" s="12" t="s">
        <v>150</v>
      </c>
      <c r="N892" s="12">
        <v>2</v>
      </c>
      <c r="O892" s="12">
        <v>2</v>
      </c>
      <c r="P892" s="12">
        <v>0</v>
      </c>
      <c r="Q892" s="16">
        <v>0</v>
      </c>
      <c r="R892" s="16">
        <v>0</v>
      </c>
      <c r="S892" s="16"/>
      <c r="T892" s="16" t="e">
        <v>#N/A</v>
      </c>
      <c r="U892" s="16" t="e">
        <v>#N/A</v>
      </c>
    </row>
    <row r="893" spans="1:21" x14ac:dyDescent="0.25">
      <c r="A893" s="12" t="s">
        <v>21</v>
      </c>
      <c r="B893" s="12" t="s">
        <v>963</v>
      </c>
      <c r="C893" s="12" t="s">
        <v>23</v>
      </c>
      <c r="D893" s="13">
        <v>46265.30091435185</v>
      </c>
      <c r="E893" s="12" t="s">
        <v>484</v>
      </c>
      <c r="F893" s="12" t="s">
        <v>966</v>
      </c>
      <c r="G893" s="12">
        <v>1</v>
      </c>
      <c r="H893" s="12">
        <v>1</v>
      </c>
      <c r="I893" s="14"/>
      <c r="J893" s="14" t="s">
        <v>61</v>
      </c>
      <c r="K893" s="12" t="s">
        <v>971</v>
      </c>
      <c r="L893" s="15">
        <v>1</v>
      </c>
      <c r="M893" s="12" t="s">
        <v>150</v>
      </c>
      <c r="N893" s="12">
        <v>1</v>
      </c>
      <c r="O893" s="12">
        <v>1</v>
      </c>
      <c r="P893" s="12">
        <v>0</v>
      </c>
      <c r="Q893" s="16">
        <v>1</v>
      </c>
      <c r="R893" s="16">
        <v>0</v>
      </c>
      <c r="S893" s="16"/>
      <c r="T893" s="16" t="e">
        <v>#N/A</v>
      </c>
      <c r="U893" s="16" t="e">
        <v>#N/A</v>
      </c>
    </row>
    <row r="894" spans="1:21" x14ac:dyDescent="0.25">
      <c r="A894" s="12" t="s">
        <v>21</v>
      </c>
      <c r="B894" s="12" t="s">
        <v>963</v>
      </c>
      <c r="C894" s="12" t="s">
        <v>23</v>
      </c>
      <c r="D894" s="13">
        <v>46265.30091435185</v>
      </c>
      <c r="E894" s="12" t="s">
        <v>484</v>
      </c>
      <c r="F894" s="12" t="s">
        <v>531</v>
      </c>
      <c r="G894" s="12">
        <v>8</v>
      </c>
      <c r="H894" s="12">
        <v>8</v>
      </c>
      <c r="I894" s="14"/>
      <c r="J894" s="14" t="s">
        <v>61</v>
      </c>
      <c r="K894" s="12" t="s">
        <v>972</v>
      </c>
      <c r="L894" s="15">
        <v>1</v>
      </c>
      <c r="M894" s="12" t="s">
        <v>150</v>
      </c>
      <c r="N894" s="12">
        <v>8</v>
      </c>
      <c r="O894" s="12">
        <v>8</v>
      </c>
      <c r="P894" s="12">
        <v>0</v>
      </c>
      <c r="Q894" s="16">
        <v>8</v>
      </c>
      <c r="R894" s="16">
        <v>0</v>
      </c>
      <c r="S894" s="16"/>
      <c r="T894" s="16" t="e">
        <v>#N/A</v>
      </c>
      <c r="U894" s="16" t="e">
        <v>#N/A</v>
      </c>
    </row>
    <row r="895" spans="1:21" x14ac:dyDescent="0.25">
      <c r="A895" s="12" t="s">
        <v>21</v>
      </c>
      <c r="B895" s="12" t="s">
        <v>963</v>
      </c>
      <c r="C895" s="12" t="s">
        <v>23</v>
      </c>
      <c r="D895" s="13">
        <v>46265.30091435185</v>
      </c>
      <c r="E895" s="12" t="s">
        <v>484</v>
      </c>
      <c r="F895" s="12" t="s">
        <v>967</v>
      </c>
      <c r="G895" s="12">
        <v>1</v>
      </c>
      <c r="H895" s="12">
        <v>1</v>
      </c>
      <c r="I895" s="14"/>
      <c r="J895" s="14" t="s">
        <v>61</v>
      </c>
      <c r="K895" s="12" t="s">
        <v>973</v>
      </c>
      <c r="L895" s="15">
        <v>1</v>
      </c>
      <c r="M895" s="12" t="s">
        <v>150</v>
      </c>
      <c r="N895" s="12">
        <v>1</v>
      </c>
      <c r="O895" s="12">
        <v>1</v>
      </c>
      <c r="P895" s="12">
        <v>0</v>
      </c>
      <c r="Q895" s="16">
        <v>1</v>
      </c>
      <c r="R895" s="16">
        <v>0</v>
      </c>
      <c r="S895" s="16"/>
      <c r="T895" s="16" t="e">
        <v>#N/A</v>
      </c>
      <c r="U895" s="16" t="e">
        <v>#N/A</v>
      </c>
    </row>
    <row r="896" spans="1:21" x14ac:dyDescent="0.25">
      <c r="A896" s="12" t="s">
        <v>21</v>
      </c>
      <c r="B896" s="12" t="s">
        <v>963</v>
      </c>
      <c r="C896" s="12" t="s">
        <v>23</v>
      </c>
      <c r="D896" s="13">
        <v>46265.30091435185</v>
      </c>
      <c r="E896" s="12" t="s">
        <v>484</v>
      </c>
      <c r="F896" s="12" t="s">
        <v>968</v>
      </c>
      <c r="G896" s="12">
        <v>2</v>
      </c>
      <c r="H896" s="12">
        <v>2</v>
      </c>
      <c r="I896" s="14"/>
      <c r="J896" s="14" t="s">
        <v>61</v>
      </c>
      <c r="K896" s="12" t="s">
        <v>974</v>
      </c>
      <c r="L896" s="15">
        <v>1</v>
      </c>
      <c r="M896" s="12" t="s">
        <v>150</v>
      </c>
      <c r="N896" s="12">
        <v>2</v>
      </c>
      <c r="O896" s="12">
        <v>2</v>
      </c>
      <c r="P896" s="12">
        <v>0</v>
      </c>
      <c r="Q896" s="16">
        <v>2</v>
      </c>
      <c r="R896" s="16">
        <v>0</v>
      </c>
      <c r="S896" s="16"/>
      <c r="T896" s="16" t="e">
        <v>#N/A</v>
      </c>
      <c r="U896" s="16" t="e">
        <v>#N/A</v>
      </c>
    </row>
    <row r="897" spans="1:21" x14ac:dyDescent="0.25">
      <c r="A897" s="12" t="s">
        <v>21</v>
      </c>
      <c r="B897" s="12" t="s">
        <v>975</v>
      </c>
      <c r="C897" s="12" t="s">
        <v>23</v>
      </c>
      <c r="D897" s="13">
        <v>46265.412523148145</v>
      </c>
      <c r="E897" s="12" t="s">
        <v>646</v>
      </c>
      <c r="F897" s="12" t="s">
        <v>525</v>
      </c>
      <c r="G897" s="12">
        <v>8</v>
      </c>
      <c r="H897" s="12">
        <v>8</v>
      </c>
      <c r="I897" s="14"/>
      <c r="J897" s="14" t="s">
        <v>26</v>
      </c>
      <c r="K897" s="12" t="s">
        <v>27</v>
      </c>
      <c r="L897" s="15"/>
      <c r="M897" s="12" t="s">
        <v>28</v>
      </c>
      <c r="N897" s="12"/>
      <c r="O897" s="12"/>
      <c r="P897" s="12"/>
      <c r="Q897" s="16">
        <v>0</v>
      </c>
      <c r="R897" s="16">
        <v>0</v>
      </c>
      <c r="S897" s="16"/>
      <c r="T897" s="16" t="e">
        <v>#N/A</v>
      </c>
      <c r="U897" s="16" t="e">
        <v>#N/A</v>
      </c>
    </row>
    <row r="898" spans="1:21" x14ac:dyDescent="0.25">
      <c r="A898" s="12" t="s">
        <v>21</v>
      </c>
      <c r="B898" s="12" t="s">
        <v>975</v>
      </c>
      <c r="C898" s="12" t="s">
        <v>23</v>
      </c>
      <c r="D898" s="13">
        <v>46265.412523148145</v>
      </c>
      <c r="E898" s="12" t="s">
        <v>646</v>
      </c>
      <c r="F898" s="12" t="s">
        <v>320</v>
      </c>
      <c r="G898" s="12">
        <v>10</v>
      </c>
      <c r="H898" s="12">
        <v>10</v>
      </c>
      <c r="I898" s="14"/>
      <c r="J898" s="14" t="s">
        <v>26</v>
      </c>
      <c r="K898" s="12" t="s">
        <v>27</v>
      </c>
      <c r="L898" s="15"/>
      <c r="M898" s="12" t="s">
        <v>28</v>
      </c>
      <c r="N898" s="12"/>
      <c r="O898" s="12"/>
      <c r="P898" s="12"/>
      <c r="Q898" s="16">
        <v>0</v>
      </c>
      <c r="R898" s="16">
        <v>1</v>
      </c>
      <c r="S898" s="16"/>
      <c r="T898" s="16" t="e">
        <v>#N/A</v>
      </c>
      <c r="U898" s="16" t="e">
        <v>#N/A</v>
      </c>
    </row>
    <row r="899" spans="1:21" x14ac:dyDescent="0.25">
      <c r="A899" s="12" t="s">
        <v>21</v>
      </c>
      <c r="B899" s="12" t="s">
        <v>976</v>
      </c>
      <c r="C899" s="12" t="s">
        <v>23</v>
      </c>
      <c r="D899" s="13">
        <v>46265.444305555553</v>
      </c>
      <c r="E899" s="12" t="s">
        <v>24</v>
      </c>
      <c r="F899" s="12" t="s">
        <v>977</v>
      </c>
      <c r="G899" s="12">
        <v>3</v>
      </c>
      <c r="H899" s="12">
        <v>3</v>
      </c>
      <c r="I899" s="14"/>
      <c r="J899" s="14" t="s">
        <v>26</v>
      </c>
      <c r="K899" s="12" t="s">
        <v>980</v>
      </c>
      <c r="L899" s="15">
        <v>1</v>
      </c>
      <c r="M899" s="12" t="s">
        <v>150</v>
      </c>
      <c r="N899" s="12">
        <v>3</v>
      </c>
      <c r="O899" s="12">
        <v>3</v>
      </c>
      <c r="P899" s="12">
        <v>0</v>
      </c>
      <c r="Q899" s="16">
        <v>0</v>
      </c>
      <c r="R899" s="16">
        <v>0</v>
      </c>
      <c r="S899" s="16"/>
      <c r="T899" s="16" t="e">
        <v>#N/A</v>
      </c>
      <c r="U899" s="16" t="e">
        <v>#N/A</v>
      </c>
    </row>
    <row r="900" spans="1:21" x14ac:dyDescent="0.25">
      <c r="A900" s="12" t="s">
        <v>21</v>
      </c>
      <c r="B900" s="12" t="s">
        <v>976</v>
      </c>
      <c r="C900" s="12" t="s">
        <v>23</v>
      </c>
      <c r="D900" s="13">
        <v>46265.444305555553</v>
      </c>
      <c r="E900" s="12" t="s">
        <v>24</v>
      </c>
      <c r="F900" s="12" t="s">
        <v>978</v>
      </c>
      <c r="G900" s="12">
        <v>2</v>
      </c>
      <c r="H900" s="12">
        <v>2</v>
      </c>
      <c r="I900" s="14"/>
      <c r="J900" s="14" t="s">
        <v>26</v>
      </c>
      <c r="K900" s="12" t="s">
        <v>981</v>
      </c>
      <c r="L900" s="15">
        <v>1</v>
      </c>
      <c r="M900" s="12" t="s">
        <v>150</v>
      </c>
      <c r="N900" s="12">
        <v>2</v>
      </c>
      <c r="O900" s="12">
        <v>2</v>
      </c>
      <c r="P900" s="12">
        <v>0</v>
      </c>
      <c r="Q900" s="16">
        <v>0</v>
      </c>
      <c r="R900" s="16">
        <v>0</v>
      </c>
      <c r="S900" s="16"/>
      <c r="T900" s="16" t="e">
        <v>#N/A</v>
      </c>
      <c r="U900" s="16" t="e">
        <v>#N/A</v>
      </c>
    </row>
    <row r="901" spans="1:21" x14ac:dyDescent="0.25">
      <c r="A901" s="12" t="s">
        <v>21</v>
      </c>
      <c r="B901" s="12" t="s">
        <v>976</v>
      </c>
      <c r="C901" s="12" t="s">
        <v>23</v>
      </c>
      <c r="D901" s="13">
        <v>46265.444305555553</v>
      </c>
      <c r="E901" s="12" t="s">
        <v>24</v>
      </c>
      <c r="F901" s="12" t="s">
        <v>979</v>
      </c>
      <c r="G901" s="12">
        <v>4</v>
      </c>
      <c r="H901" s="12">
        <v>4</v>
      </c>
      <c r="I901" s="14"/>
      <c r="J901" s="14" t="s">
        <v>26</v>
      </c>
      <c r="K901" s="12" t="s">
        <v>982</v>
      </c>
      <c r="L901" s="15">
        <v>1</v>
      </c>
      <c r="M901" s="12" t="s">
        <v>150</v>
      </c>
      <c r="N901" s="12">
        <v>4</v>
      </c>
      <c r="O901" s="12">
        <v>4</v>
      </c>
      <c r="P901" s="12">
        <v>0</v>
      </c>
      <c r="Q901" s="16">
        <v>0</v>
      </c>
      <c r="R901" s="16">
        <v>0</v>
      </c>
      <c r="S901" s="16"/>
      <c r="T901" s="16" t="e">
        <v>#N/A</v>
      </c>
      <c r="U901" s="16" t="e">
        <v>#N/A</v>
      </c>
    </row>
    <row r="902" spans="1:21" x14ac:dyDescent="0.25">
      <c r="A902" s="12" t="s">
        <v>21</v>
      </c>
      <c r="B902" s="12" t="s">
        <v>983</v>
      </c>
      <c r="C902" s="12" t="s">
        <v>23</v>
      </c>
      <c r="D902" s="13">
        <v>46265.499872685185</v>
      </c>
      <c r="E902" s="12" t="s">
        <v>986</v>
      </c>
      <c r="F902" s="12" t="s">
        <v>987</v>
      </c>
      <c r="G902" s="12">
        <v>12</v>
      </c>
      <c r="H902" s="12">
        <v>12</v>
      </c>
      <c r="I902" s="14"/>
      <c r="J902" s="14" t="s">
        <v>61</v>
      </c>
      <c r="K902" s="12" t="s">
        <v>989</v>
      </c>
      <c r="L902" s="15">
        <v>1</v>
      </c>
      <c r="M902" s="12" t="s">
        <v>150</v>
      </c>
      <c r="N902" s="12">
        <v>12</v>
      </c>
      <c r="O902" s="12">
        <v>12</v>
      </c>
      <c r="P902" s="12">
        <v>0</v>
      </c>
      <c r="Q902" s="16">
        <v>12</v>
      </c>
      <c r="R902" s="16">
        <v>0</v>
      </c>
      <c r="S902" s="16"/>
      <c r="T902" s="16" t="e">
        <v>#N/A</v>
      </c>
      <c r="U902" s="16" t="e">
        <v>#N/A</v>
      </c>
    </row>
    <row r="903" spans="1:21" x14ac:dyDescent="0.25">
      <c r="A903" s="12" t="s">
        <v>21</v>
      </c>
      <c r="B903" s="12" t="s">
        <v>983</v>
      </c>
      <c r="C903" s="12" t="s">
        <v>23</v>
      </c>
      <c r="D903" s="13">
        <v>46265.499872685185</v>
      </c>
      <c r="E903" s="12" t="s">
        <v>986</v>
      </c>
      <c r="F903" s="12" t="s">
        <v>552</v>
      </c>
      <c r="G903" s="12">
        <v>100</v>
      </c>
      <c r="H903" s="12">
        <v>100</v>
      </c>
      <c r="I903" s="14"/>
      <c r="J903" s="14" t="s">
        <v>61</v>
      </c>
      <c r="K903" s="12" t="s">
        <v>27</v>
      </c>
      <c r="L903" s="15"/>
      <c r="M903" s="12" t="s">
        <v>28</v>
      </c>
      <c r="N903" s="12"/>
      <c r="O903" s="12"/>
      <c r="P903" s="12"/>
      <c r="Q903" s="16">
        <v>200</v>
      </c>
      <c r="R903" s="16">
        <v>0</v>
      </c>
      <c r="S903" s="16"/>
      <c r="T903" s="16" t="e">
        <v>#N/A</v>
      </c>
      <c r="U903" s="16" t="e">
        <v>#N/A</v>
      </c>
    </row>
    <row r="904" spans="1:21" x14ac:dyDescent="0.25">
      <c r="A904" s="12" t="s">
        <v>21</v>
      </c>
      <c r="B904" s="12" t="s">
        <v>983</v>
      </c>
      <c r="C904" s="12" t="s">
        <v>23</v>
      </c>
      <c r="D904" s="13">
        <v>46265.499872685185</v>
      </c>
      <c r="E904" s="12" t="s">
        <v>986</v>
      </c>
      <c r="F904" s="12" t="s">
        <v>472</v>
      </c>
      <c r="G904" s="12">
        <v>100</v>
      </c>
      <c r="H904" s="12">
        <v>100</v>
      </c>
      <c r="I904" s="14"/>
      <c r="J904" s="14" t="s">
        <v>61</v>
      </c>
      <c r="K904" s="12" t="s">
        <v>990</v>
      </c>
      <c r="L904" s="15">
        <v>1</v>
      </c>
      <c r="M904" s="12" t="s">
        <v>150</v>
      </c>
      <c r="N904" s="12">
        <v>100</v>
      </c>
      <c r="O904" s="12">
        <v>100</v>
      </c>
      <c r="P904" s="12">
        <v>0</v>
      </c>
      <c r="Q904" s="16">
        <v>100</v>
      </c>
      <c r="R904" s="16">
        <v>0</v>
      </c>
      <c r="S904" s="16"/>
      <c r="T904" s="16" t="e">
        <v>#N/A</v>
      </c>
      <c r="U904" s="16" t="e">
        <v>#N/A</v>
      </c>
    </row>
    <row r="905" spans="1:21" x14ac:dyDescent="0.25">
      <c r="A905" s="12" t="s">
        <v>21</v>
      </c>
      <c r="B905" s="12" t="s">
        <v>983</v>
      </c>
      <c r="C905" s="12" t="s">
        <v>23</v>
      </c>
      <c r="D905" s="13">
        <v>46265.499872685185</v>
      </c>
      <c r="E905" s="12" t="s">
        <v>986</v>
      </c>
      <c r="F905" s="12" t="s">
        <v>557</v>
      </c>
      <c r="G905" s="12">
        <v>40</v>
      </c>
      <c r="H905" s="12">
        <v>40</v>
      </c>
      <c r="I905" s="14"/>
      <c r="J905" s="14" t="s">
        <v>61</v>
      </c>
      <c r="K905" s="12" t="s">
        <v>991</v>
      </c>
      <c r="L905" s="15">
        <v>1</v>
      </c>
      <c r="M905" s="12" t="s">
        <v>150</v>
      </c>
      <c r="N905" s="12">
        <v>40</v>
      </c>
      <c r="O905" s="12">
        <v>40</v>
      </c>
      <c r="P905" s="12">
        <v>0</v>
      </c>
      <c r="Q905" s="16">
        <v>40</v>
      </c>
      <c r="R905" s="16">
        <v>0</v>
      </c>
      <c r="S905" s="16"/>
      <c r="T905" s="16" t="e">
        <v>#N/A</v>
      </c>
      <c r="U905" s="16" t="e">
        <v>#N/A</v>
      </c>
    </row>
    <row r="906" spans="1:21" x14ac:dyDescent="0.25">
      <c r="A906" s="12" t="s">
        <v>21</v>
      </c>
      <c r="B906" s="12" t="s">
        <v>983</v>
      </c>
      <c r="C906" s="12" t="s">
        <v>23</v>
      </c>
      <c r="D906" s="13">
        <v>46265.499872685185</v>
      </c>
      <c r="E906" s="12" t="s">
        <v>986</v>
      </c>
      <c r="F906" s="12" t="s">
        <v>559</v>
      </c>
      <c r="G906" s="12">
        <v>60</v>
      </c>
      <c r="H906" s="12">
        <v>60</v>
      </c>
      <c r="I906" s="14"/>
      <c r="J906" s="14" t="s">
        <v>61</v>
      </c>
      <c r="K906" s="12" t="s">
        <v>992</v>
      </c>
      <c r="L906" s="15">
        <v>1</v>
      </c>
      <c r="M906" s="12" t="s">
        <v>150</v>
      </c>
      <c r="N906" s="12">
        <v>60</v>
      </c>
      <c r="O906" s="12">
        <v>60</v>
      </c>
      <c r="P906" s="12">
        <v>0</v>
      </c>
      <c r="Q906" s="16">
        <v>60</v>
      </c>
      <c r="R906" s="16">
        <v>0</v>
      </c>
      <c r="S906" s="16"/>
      <c r="T906" s="16" t="e">
        <v>#N/A</v>
      </c>
      <c r="U906" s="16" t="e">
        <v>#N/A</v>
      </c>
    </row>
    <row r="907" spans="1:21" x14ac:dyDescent="0.25">
      <c r="A907" s="12" t="s">
        <v>21</v>
      </c>
      <c r="B907" s="12" t="s">
        <v>983</v>
      </c>
      <c r="C907" s="12" t="s">
        <v>23</v>
      </c>
      <c r="D907" s="13">
        <v>46265.499872685185</v>
      </c>
      <c r="E907" s="12" t="s">
        <v>986</v>
      </c>
      <c r="F907" s="12" t="s">
        <v>346</v>
      </c>
      <c r="G907" s="12">
        <v>20</v>
      </c>
      <c r="H907" s="12">
        <v>20</v>
      </c>
      <c r="I907" s="14"/>
      <c r="J907" s="14" t="s">
        <v>61</v>
      </c>
      <c r="K907" s="12" t="s">
        <v>993</v>
      </c>
      <c r="L907" s="15">
        <v>1</v>
      </c>
      <c r="M907" s="12" t="s">
        <v>150</v>
      </c>
      <c r="N907" s="12">
        <v>20</v>
      </c>
      <c r="O907" s="12">
        <v>20</v>
      </c>
      <c r="P907" s="12">
        <v>0</v>
      </c>
      <c r="Q907" s="16">
        <v>20</v>
      </c>
      <c r="R907" s="16">
        <v>0</v>
      </c>
      <c r="S907" s="16"/>
      <c r="T907" s="16" t="e">
        <v>#N/A</v>
      </c>
      <c r="U907" s="16" t="e">
        <v>#N/A</v>
      </c>
    </row>
    <row r="908" spans="1:21" x14ac:dyDescent="0.25">
      <c r="A908" s="12" t="s">
        <v>21</v>
      </c>
      <c r="B908" s="12" t="s">
        <v>983</v>
      </c>
      <c r="C908" s="12" t="s">
        <v>23</v>
      </c>
      <c r="D908" s="13">
        <v>46265.499872685185</v>
      </c>
      <c r="E908" s="12" t="s">
        <v>986</v>
      </c>
      <c r="F908" s="12" t="s">
        <v>567</v>
      </c>
      <c r="G908" s="12">
        <v>30</v>
      </c>
      <c r="H908" s="12">
        <v>30</v>
      </c>
      <c r="I908" s="14"/>
      <c r="J908" s="14" t="s">
        <v>61</v>
      </c>
      <c r="K908" s="12" t="s">
        <v>994</v>
      </c>
      <c r="L908" s="15">
        <v>1</v>
      </c>
      <c r="M908" s="12" t="s">
        <v>150</v>
      </c>
      <c r="N908" s="12">
        <v>30</v>
      </c>
      <c r="O908" s="12">
        <v>30</v>
      </c>
      <c r="P908" s="12">
        <v>0</v>
      </c>
      <c r="Q908" s="16">
        <v>30</v>
      </c>
      <c r="R908" s="16">
        <v>0</v>
      </c>
      <c r="S908" s="16"/>
      <c r="T908" s="16" t="e">
        <v>#N/A</v>
      </c>
      <c r="U908" s="16" t="e">
        <v>#N/A</v>
      </c>
    </row>
    <row r="909" spans="1:21" x14ac:dyDescent="0.25">
      <c r="A909" s="12" t="s">
        <v>21</v>
      </c>
      <c r="B909" s="12" t="s">
        <v>983</v>
      </c>
      <c r="C909" s="12" t="s">
        <v>23</v>
      </c>
      <c r="D909" s="13">
        <v>46265.499872685185</v>
      </c>
      <c r="E909" s="12" t="s">
        <v>986</v>
      </c>
      <c r="F909" s="12" t="s">
        <v>955</v>
      </c>
      <c r="G909" s="12">
        <v>40</v>
      </c>
      <c r="H909" s="12">
        <v>40</v>
      </c>
      <c r="I909" s="14"/>
      <c r="J909" s="14" t="s">
        <v>61</v>
      </c>
      <c r="K909" s="12" t="s">
        <v>995</v>
      </c>
      <c r="L909" s="15">
        <v>1</v>
      </c>
      <c r="M909" s="12" t="s">
        <v>150</v>
      </c>
      <c r="N909" s="12">
        <v>40</v>
      </c>
      <c r="O909" s="12">
        <v>40</v>
      </c>
      <c r="P909" s="12">
        <v>0</v>
      </c>
      <c r="Q909" s="16">
        <v>40</v>
      </c>
      <c r="R909" s="16">
        <v>0</v>
      </c>
      <c r="S909" s="16"/>
      <c r="T909" s="16" t="e">
        <v>#N/A</v>
      </c>
      <c r="U909" s="16" t="e">
        <v>#N/A</v>
      </c>
    </row>
    <row r="910" spans="1:21" x14ac:dyDescent="0.25">
      <c r="A910" s="12" t="s">
        <v>21</v>
      </c>
      <c r="B910" s="12" t="s">
        <v>983</v>
      </c>
      <c r="C910" s="12" t="s">
        <v>23</v>
      </c>
      <c r="D910" s="13">
        <v>46265.499872685185</v>
      </c>
      <c r="E910" s="12" t="s">
        <v>986</v>
      </c>
      <c r="F910" s="12" t="s">
        <v>457</v>
      </c>
      <c r="G910" s="12">
        <v>20</v>
      </c>
      <c r="H910" s="12">
        <v>20</v>
      </c>
      <c r="I910" s="14"/>
      <c r="J910" s="14" t="s">
        <v>61</v>
      </c>
      <c r="K910" s="12" t="s">
        <v>996</v>
      </c>
      <c r="L910" s="15">
        <v>1</v>
      </c>
      <c r="M910" s="12" t="s">
        <v>150</v>
      </c>
      <c r="N910" s="12">
        <v>20</v>
      </c>
      <c r="O910" s="12">
        <v>20</v>
      </c>
      <c r="P910" s="12">
        <v>0</v>
      </c>
      <c r="Q910" s="16">
        <v>20</v>
      </c>
      <c r="R910" s="16">
        <v>0</v>
      </c>
      <c r="S910" s="16"/>
      <c r="T910" s="16" t="e">
        <v>#N/A</v>
      </c>
      <c r="U910" s="16" t="e">
        <v>#N/A</v>
      </c>
    </row>
    <row r="911" spans="1:21" x14ac:dyDescent="0.25">
      <c r="A911" s="12" t="s">
        <v>21</v>
      </c>
      <c r="B911" s="12" t="s">
        <v>984</v>
      </c>
      <c r="C911" s="12" t="s">
        <v>23</v>
      </c>
      <c r="D911" s="13">
        <v>46265.500104166669</v>
      </c>
      <c r="E911" s="12" t="s">
        <v>986</v>
      </c>
      <c r="F911" s="12" t="s">
        <v>496</v>
      </c>
      <c r="G911" s="12">
        <v>50</v>
      </c>
      <c r="H911" s="12">
        <v>50</v>
      </c>
      <c r="I911" s="14"/>
      <c r="J911" s="14" t="s">
        <v>61</v>
      </c>
      <c r="K911" s="12" t="s">
        <v>997</v>
      </c>
      <c r="L911" s="15">
        <v>1</v>
      </c>
      <c r="M911" s="12" t="s">
        <v>150</v>
      </c>
      <c r="N911" s="12">
        <v>50</v>
      </c>
      <c r="O911" s="12">
        <v>50</v>
      </c>
      <c r="P911" s="12">
        <v>0</v>
      </c>
      <c r="Q911" s="16">
        <v>50</v>
      </c>
      <c r="R911" s="16">
        <v>0</v>
      </c>
      <c r="S911" s="16"/>
      <c r="T911" s="16" t="e">
        <v>#N/A</v>
      </c>
      <c r="U911" s="16" t="e">
        <v>#N/A</v>
      </c>
    </row>
    <row r="912" spans="1:21" x14ac:dyDescent="0.25">
      <c r="A912" s="12" t="s">
        <v>21</v>
      </c>
      <c r="B912" s="12" t="s">
        <v>984</v>
      </c>
      <c r="C912" s="12" t="s">
        <v>23</v>
      </c>
      <c r="D912" s="13">
        <v>46265.500104166669</v>
      </c>
      <c r="E912" s="12" t="s">
        <v>986</v>
      </c>
      <c r="F912" s="12" t="s">
        <v>988</v>
      </c>
      <c r="G912" s="12">
        <v>4</v>
      </c>
      <c r="H912" s="12">
        <v>4</v>
      </c>
      <c r="I912" s="14"/>
      <c r="J912" s="14" t="s">
        <v>61</v>
      </c>
      <c r="K912" s="12" t="s">
        <v>998</v>
      </c>
      <c r="L912" s="15">
        <v>1</v>
      </c>
      <c r="M912" s="12" t="s">
        <v>150</v>
      </c>
      <c r="N912" s="12">
        <v>4</v>
      </c>
      <c r="O912" s="12">
        <v>4</v>
      </c>
      <c r="P912" s="12">
        <v>0</v>
      </c>
      <c r="Q912" s="16">
        <v>4</v>
      </c>
      <c r="R912" s="16">
        <v>0</v>
      </c>
      <c r="S912" s="16"/>
      <c r="T912" s="16" t="e">
        <v>#N/A</v>
      </c>
      <c r="U912" s="16" t="e">
        <v>#N/A</v>
      </c>
    </row>
    <row r="913" spans="1:21" x14ac:dyDescent="0.25">
      <c r="A913" s="12" t="s">
        <v>21</v>
      </c>
      <c r="B913" s="12" t="s">
        <v>984</v>
      </c>
      <c r="C913" s="12" t="s">
        <v>23</v>
      </c>
      <c r="D913" s="13">
        <v>46265.500104166669</v>
      </c>
      <c r="E913" s="12" t="s">
        <v>986</v>
      </c>
      <c r="F913" s="12" t="s">
        <v>273</v>
      </c>
      <c r="G913" s="12">
        <v>30</v>
      </c>
      <c r="H913" s="12">
        <v>30</v>
      </c>
      <c r="I913" s="14"/>
      <c r="J913" s="14" t="s">
        <v>61</v>
      </c>
      <c r="K913" s="12" t="s">
        <v>999</v>
      </c>
      <c r="L913" s="15">
        <v>1</v>
      </c>
      <c r="M913" s="12" t="s">
        <v>150</v>
      </c>
      <c r="N913" s="12">
        <v>30</v>
      </c>
      <c r="O913" s="12">
        <v>30</v>
      </c>
      <c r="P913" s="12">
        <v>0</v>
      </c>
      <c r="Q913" s="16">
        <v>30</v>
      </c>
      <c r="R913" s="16">
        <v>0</v>
      </c>
      <c r="S913" s="16"/>
      <c r="T913" s="16" t="e">
        <v>#N/A</v>
      </c>
      <c r="U913" s="16" t="e">
        <v>#N/A</v>
      </c>
    </row>
    <row r="914" spans="1:21" x14ac:dyDescent="0.25">
      <c r="A914" s="12" t="s">
        <v>21</v>
      </c>
      <c r="B914" s="12" t="s">
        <v>984</v>
      </c>
      <c r="C914" s="12" t="s">
        <v>23</v>
      </c>
      <c r="D914" s="13">
        <v>46265.500104166669</v>
      </c>
      <c r="E914" s="12" t="s">
        <v>986</v>
      </c>
      <c r="F914" s="12" t="s">
        <v>274</v>
      </c>
      <c r="G914" s="12">
        <v>20</v>
      </c>
      <c r="H914" s="12">
        <v>20</v>
      </c>
      <c r="I914" s="14"/>
      <c r="J914" s="14" t="s">
        <v>61</v>
      </c>
      <c r="K914" s="12" t="s">
        <v>1000</v>
      </c>
      <c r="L914" s="15">
        <v>1</v>
      </c>
      <c r="M914" s="12" t="s">
        <v>150</v>
      </c>
      <c r="N914" s="12">
        <v>20</v>
      </c>
      <c r="O914" s="12">
        <v>20</v>
      </c>
      <c r="P914" s="12">
        <v>0</v>
      </c>
      <c r="Q914" s="16">
        <v>20</v>
      </c>
      <c r="R914" s="16">
        <v>0</v>
      </c>
      <c r="S914" s="16"/>
      <c r="T914" s="16" t="e">
        <v>#N/A</v>
      </c>
      <c r="U914" s="16" t="e">
        <v>#N/A</v>
      </c>
    </row>
    <row r="915" spans="1:21" x14ac:dyDescent="0.25">
      <c r="A915" s="12" t="s">
        <v>21</v>
      </c>
      <c r="B915" s="12" t="s">
        <v>984</v>
      </c>
      <c r="C915" s="12" t="s">
        <v>23</v>
      </c>
      <c r="D915" s="13">
        <v>46265.500104166669</v>
      </c>
      <c r="E915" s="12" t="s">
        <v>986</v>
      </c>
      <c r="F915" s="12" t="s">
        <v>558</v>
      </c>
      <c r="G915" s="12">
        <v>40</v>
      </c>
      <c r="H915" s="12">
        <v>40</v>
      </c>
      <c r="I915" s="14"/>
      <c r="J915" s="14" t="s">
        <v>61</v>
      </c>
      <c r="K915" s="12" t="s">
        <v>1001</v>
      </c>
      <c r="L915" s="15">
        <v>1</v>
      </c>
      <c r="M915" s="12" t="s">
        <v>150</v>
      </c>
      <c r="N915" s="12">
        <v>40</v>
      </c>
      <c r="O915" s="12">
        <v>40</v>
      </c>
      <c r="P915" s="12">
        <v>0</v>
      </c>
      <c r="Q915" s="16">
        <v>40</v>
      </c>
      <c r="R915" s="16">
        <v>0</v>
      </c>
      <c r="S915" s="16"/>
      <c r="T915" s="16" t="e">
        <v>#N/A</v>
      </c>
      <c r="U915" s="16" t="e">
        <v>#N/A</v>
      </c>
    </row>
    <row r="916" spans="1:21" x14ac:dyDescent="0.25">
      <c r="A916" s="12" t="s">
        <v>21</v>
      </c>
      <c r="B916" s="12" t="s">
        <v>984</v>
      </c>
      <c r="C916" s="12" t="s">
        <v>23</v>
      </c>
      <c r="D916" s="13">
        <v>46265.500104166669</v>
      </c>
      <c r="E916" s="12" t="s">
        <v>986</v>
      </c>
      <c r="F916" s="12" t="s">
        <v>424</v>
      </c>
      <c r="G916" s="12">
        <v>8</v>
      </c>
      <c r="H916" s="12">
        <v>8</v>
      </c>
      <c r="I916" s="14"/>
      <c r="J916" s="14" t="s">
        <v>61</v>
      </c>
      <c r="K916" s="12" t="s">
        <v>1002</v>
      </c>
      <c r="L916" s="15">
        <v>1</v>
      </c>
      <c r="M916" s="12" t="s">
        <v>150</v>
      </c>
      <c r="N916" s="12">
        <v>8</v>
      </c>
      <c r="O916" s="12">
        <v>8</v>
      </c>
      <c r="P916" s="12">
        <v>0</v>
      </c>
      <c r="Q916" s="16">
        <v>8</v>
      </c>
      <c r="R916" s="16">
        <v>0</v>
      </c>
      <c r="S916" s="16"/>
      <c r="T916" s="16" t="e">
        <v>#N/A</v>
      </c>
      <c r="U916" s="16" t="e">
        <v>#N/A</v>
      </c>
    </row>
    <row r="917" spans="1:21" x14ac:dyDescent="0.25">
      <c r="A917" s="12" t="s">
        <v>21</v>
      </c>
      <c r="B917" s="12" t="s">
        <v>985</v>
      </c>
      <c r="C917" s="12" t="s">
        <v>23</v>
      </c>
      <c r="D917" s="13">
        <v>46265.519386574073</v>
      </c>
      <c r="E917" s="12" t="s">
        <v>627</v>
      </c>
      <c r="F917" s="12" t="s">
        <v>496</v>
      </c>
      <c r="G917" s="12">
        <v>25</v>
      </c>
      <c r="H917" s="12">
        <v>25</v>
      </c>
      <c r="I917" s="14"/>
      <c r="J917" s="14" t="s">
        <v>61</v>
      </c>
      <c r="K917" s="12" t="s">
        <v>1003</v>
      </c>
      <c r="L917" s="15">
        <v>1</v>
      </c>
      <c r="M917" s="12" t="s">
        <v>150</v>
      </c>
      <c r="N917" s="12">
        <v>25</v>
      </c>
      <c r="O917" s="12">
        <v>25</v>
      </c>
      <c r="P917" s="12">
        <v>0</v>
      </c>
      <c r="Q917" s="16">
        <v>25</v>
      </c>
      <c r="R917" s="16">
        <v>0</v>
      </c>
      <c r="S917" s="16"/>
      <c r="T917" s="16" t="e">
        <v>#N/A</v>
      </c>
      <c r="U917" s="16" t="e">
        <v>#N/A</v>
      </c>
    </row>
    <row r="918" spans="1:21" x14ac:dyDescent="0.25">
      <c r="A918" s="12" t="s">
        <v>21</v>
      </c>
      <c r="B918" s="12" t="s">
        <v>985</v>
      </c>
      <c r="C918" s="12" t="s">
        <v>23</v>
      </c>
      <c r="D918" s="13">
        <v>46265.519386574073</v>
      </c>
      <c r="E918" s="12" t="s">
        <v>627</v>
      </c>
      <c r="F918" s="12" t="s">
        <v>273</v>
      </c>
      <c r="G918" s="12">
        <v>10</v>
      </c>
      <c r="H918" s="12">
        <v>10</v>
      </c>
      <c r="I918" s="14"/>
      <c r="J918" s="14" t="s">
        <v>61</v>
      </c>
      <c r="K918" s="12" t="s">
        <v>1006</v>
      </c>
      <c r="L918" s="15">
        <v>1</v>
      </c>
      <c r="M918" s="12" t="s">
        <v>150</v>
      </c>
      <c r="N918" s="12">
        <v>10</v>
      </c>
      <c r="O918" s="12">
        <v>10</v>
      </c>
      <c r="P918" s="12">
        <v>0</v>
      </c>
      <c r="Q918" s="16">
        <v>10</v>
      </c>
      <c r="R918" s="16">
        <v>0</v>
      </c>
      <c r="S918" s="16"/>
      <c r="T918" s="16" t="e">
        <v>#N/A</v>
      </c>
      <c r="U918" s="16" t="e">
        <v>#N/A</v>
      </c>
    </row>
    <row r="919" spans="1:21" x14ac:dyDescent="0.25">
      <c r="A919" s="12" t="s">
        <v>21</v>
      </c>
      <c r="B919" s="12" t="s">
        <v>985</v>
      </c>
      <c r="C919" s="12" t="s">
        <v>23</v>
      </c>
      <c r="D919" s="13">
        <v>46265.519386574073</v>
      </c>
      <c r="E919" s="12" t="s">
        <v>627</v>
      </c>
      <c r="F919" s="12" t="s">
        <v>1004</v>
      </c>
      <c r="G919" s="12">
        <v>10</v>
      </c>
      <c r="H919" s="12">
        <v>10</v>
      </c>
      <c r="I919" s="14"/>
      <c r="J919" s="14" t="s">
        <v>61</v>
      </c>
      <c r="K919" s="12" t="s">
        <v>1007</v>
      </c>
      <c r="L919" s="15">
        <v>1</v>
      </c>
      <c r="M919" s="12" t="s">
        <v>150</v>
      </c>
      <c r="N919" s="12">
        <v>10</v>
      </c>
      <c r="O919" s="12">
        <v>10</v>
      </c>
      <c r="P919" s="12">
        <v>0</v>
      </c>
      <c r="Q919" s="16">
        <v>10</v>
      </c>
      <c r="R919" s="16">
        <v>57</v>
      </c>
      <c r="S919" s="16"/>
      <c r="T919" s="16" t="e">
        <v>#N/A</v>
      </c>
      <c r="U919" s="16" t="e">
        <v>#N/A</v>
      </c>
    </row>
    <row r="920" spans="1:21" x14ac:dyDescent="0.25">
      <c r="A920" s="12" t="s">
        <v>21</v>
      </c>
      <c r="B920" s="12" t="s">
        <v>985</v>
      </c>
      <c r="C920" s="12" t="s">
        <v>23</v>
      </c>
      <c r="D920" s="13">
        <v>46265.519386574073</v>
      </c>
      <c r="E920" s="12" t="s">
        <v>627</v>
      </c>
      <c r="F920" s="12" t="s">
        <v>71</v>
      </c>
      <c r="G920" s="12">
        <v>50</v>
      </c>
      <c r="H920" s="12">
        <v>50</v>
      </c>
      <c r="I920" s="14"/>
      <c r="J920" s="14" t="s">
        <v>26</v>
      </c>
      <c r="K920" s="12" t="s">
        <v>27</v>
      </c>
      <c r="L920" s="15"/>
      <c r="M920" s="12" t="s">
        <v>28</v>
      </c>
      <c r="N920" s="12"/>
      <c r="O920" s="12"/>
      <c r="P920" s="12"/>
      <c r="Q920" s="16">
        <v>0</v>
      </c>
      <c r="R920" s="16">
        <v>0</v>
      </c>
      <c r="S920" s="16"/>
      <c r="T920" s="16" t="e">
        <v>#N/A</v>
      </c>
      <c r="U920" s="16" t="e">
        <v>#N/A</v>
      </c>
    </row>
    <row r="921" spans="1:21" x14ac:dyDescent="0.25">
      <c r="A921" s="12" t="s">
        <v>21</v>
      </c>
      <c r="B921" s="12" t="s">
        <v>985</v>
      </c>
      <c r="C921" s="12" t="s">
        <v>23</v>
      </c>
      <c r="D921" s="13">
        <v>46265.519386574073</v>
      </c>
      <c r="E921" s="12" t="s">
        <v>627</v>
      </c>
      <c r="F921" s="12" t="s">
        <v>283</v>
      </c>
      <c r="G921" s="12">
        <v>30</v>
      </c>
      <c r="H921" s="12">
        <v>30</v>
      </c>
      <c r="I921" s="14"/>
      <c r="J921" s="14" t="s">
        <v>26</v>
      </c>
      <c r="K921" s="12" t="s">
        <v>27</v>
      </c>
      <c r="L921" s="15"/>
      <c r="M921" s="12" t="s">
        <v>28</v>
      </c>
      <c r="N921" s="12"/>
      <c r="O921" s="12"/>
      <c r="P921" s="12"/>
      <c r="Q921" s="16">
        <v>0</v>
      </c>
      <c r="R921" s="16">
        <v>0</v>
      </c>
      <c r="S921" s="16"/>
      <c r="T921" s="16" t="e">
        <v>#N/A</v>
      </c>
      <c r="U921" s="16" t="e">
        <v>#N/A</v>
      </c>
    </row>
    <row r="922" spans="1:21" x14ac:dyDescent="0.25">
      <c r="A922" s="12" t="s">
        <v>21</v>
      </c>
      <c r="B922" s="12" t="s">
        <v>985</v>
      </c>
      <c r="C922" s="12" t="s">
        <v>23</v>
      </c>
      <c r="D922" s="13">
        <v>46265.519386574073</v>
      </c>
      <c r="E922" s="12" t="s">
        <v>627</v>
      </c>
      <c r="F922" s="12" t="s">
        <v>924</v>
      </c>
      <c r="G922" s="12">
        <v>8</v>
      </c>
      <c r="H922" s="12">
        <v>8</v>
      </c>
      <c r="I922" s="14"/>
      <c r="J922" s="14" t="s">
        <v>26</v>
      </c>
      <c r="K922" s="12" t="s">
        <v>27</v>
      </c>
      <c r="L922" s="15"/>
      <c r="M922" s="12" t="s">
        <v>28</v>
      </c>
      <c r="N922" s="12"/>
      <c r="O922" s="12"/>
      <c r="P922" s="12"/>
      <c r="Q922" s="16">
        <v>0</v>
      </c>
      <c r="R922" s="16">
        <v>0</v>
      </c>
      <c r="S922" s="16"/>
      <c r="T922" s="16" t="e">
        <v>#N/A</v>
      </c>
      <c r="U922" s="16" t="e">
        <v>#N/A</v>
      </c>
    </row>
    <row r="923" spans="1:21" x14ac:dyDescent="0.25">
      <c r="A923" s="12" t="s">
        <v>21</v>
      </c>
      <c r="B923" s="12" t="s">
        <v>985</v>
      </c>
      <c r="C923" s="12" t="s">
        <v>23</v>
      </c>
      <c r="D923" s="13">
        <v>46265.519386574073</v>
      </c>
      <c r="E923" s="12" t="s">
        <v>627</v>
      </c>
      <c r="F923" s="12" t="s">
        <v>525</v>
      </c>
      <c r="G923" s="12">
        <v>28</v>
      </c>
      <c r="H923" s="12">
        <v>28</v>
      </c>
      <c r="I923" s="14"/>
      <c r="J923" s="14" t="s">
        <v>61</v>
      </c>
      <c r="K923" s="12" t="s">
        <v>27</v>
      </c>
      <c r="L923" s="15"/>
      <c r="M923" s="12" t="s">
        <v>28</v>
      </c>
      <c r="N923" s="12"/>
      <c r="O923" s="12"/>
      <c r="P923" s="12"/>
      <c r="Q923" s="16">
        <v>10</v>
      </c>
      <c r="R923" s="16">
        <v>0</v>
      </c>
      <c r="S923" s="16"/>
      <c r="T923" s="16" t="e">
        <v>#N/A</v>
      </c>
      <c r="U923" s="16" t="e">
        <v>#N/A</v>
      </c>
    </row>
    <row r="924" spans="1:21" x14ac:dyDescent="0.25">
      <c r="A924" s="12" t="s">
        <v>21</v>
      </c>
      <c r="B924" s="12" t="s">
        <v>985</v>
      </c>
      <c r="C924" s="12" t="s">
        <v>23</v>
      </c>
      <c r="D924" s="13">
        <v>46265.519386574073</v>
      </c>
      <c r="E924" s="12" t="s">
        <v>627</v>
      </c>
      <c r="F924" s="12" t="s">
        <v>1005</v>
      </c>
      <c r="G924" s="12">
        <v>5</v>
      </c>
      <c r="H924" s="12">
        <v>5</v>
      </c>
      <c r="I924" s="14"/>
      <c r="J924" s="14" t="s">
        <v>61</v>
      </c>
      <c r="K924" s="12" t="s">
        <v>1008</v>
      </c>
      <c r="L924" s="15">
        <v>1</v>
      </c>
      <c r="M924" s="12" t="s">
        <v>150</v>
      </c>
      <c r="N924" s="12">
        <v>5</v>
      </c>
      <c r="O924" s="12">
        <v>5</v>
      </c>
      <c r="P924" s="12">
        <v>0</v>
      </c>
      <c r="Q924" s="16">
        <v>5</v>
      </c>
      <c r="R924" s="16">
        <v>0</v>
      </c>
      <c r="S924" s="16"/>
      <c r="T924" s="16" t="e">
        <v>#N/A</v>
      </c>
      <c r="U924" s="16" t="e">
        <v>#N/A</v>
      </c>
    </row>
    <row r="925" spans="1:21" x14ac:dyDescent="0.25">
      <c r="A925" s="12" t="s">
        <v>21</v>
      </c>
      <c r="B925" s="12" t="s">
        <v>985</v>
      </c>
      <c r="C925" s="12" t="s">
        <v>23</v>
      </c>
      <c r="D925" s="13">
        <v>46265.519386574073</v>
      </c>
      <c r="E925" s="12" t="s">
        <v>627</v>
      </c>
      <c r="F925" s="12" t="s">
        <v>201</v>
      </c>
      <c r="G925" s="12">
        <v>28</v>
      </c>
      <c r="H925" s="12">
        <v>28</v>
      </c>
      <c r="I925" s="14"/>
      <c r="J925" s="14" t="s">
        <v>26</v>
      </c>
      <c r="K925" s="12" t="s">
        <v>27</v>
      </c>
      <c r="L925" s="15"/>
      <c r="M925" s="12" t="s">
        <v>28</v>
      </c>
      <c r="N925" s="12"/>
      <c r="O925" s="12"/>
      <c r="P925" s="12"/>
      <c r="Q925" s="16">
        <v>0</v>
      </c>
      <c r="R925" s="16">
        <v>0</v>
      </c>
      <c r="S925" s="16"/>
      <c r="T925" s="16" t="e">
        <v>#N/A</v>
      </c>
      <c r="U925" s="16" t="e">
        <v>#N/A</v>
      </c>
    </row>
    <row r="926" spans="1:21" x14ac:dyDescent="0.25">
      <c r="A926" s="12" t="s">
        <v>21</v>
      </c>
      <c r="B926" s="12" t="s">
        <v>985</v>
      </c>
      <c r="C926" s="12" t="s">
        <v>23</v>
      </c>
      <c r="D926" s="13">
        <v>46265.519386574073</v>
      </c>
      <c r="E926" s="12" t="s">
        <v>627</v>
      </c>
      <c r="F926" s="12" t="s">
        <v>443</v>
      </c>
      <c r="G926" s="12">
        <v>8</v>
      </c>
      <c r="H926" s="12">
        <v>8</v>
      </c>
      <c r="I926" s="14"/>
      <c r="J926" s="14" t="s">
        <v>26</v>
      </c>
      <c r="K926" s="12" t="s">
        <v>27</v>
      </c>
      <c r="L926" s="15"/>
      <c r="M926" s="12" t="s">
        <v>28</v>
      </c>
      <c r="N926" s="12"/>
      <c r="O926" s="12"/>
      <c r="P926" s="12"/>
      <c r="Q926" s="16">
        <v>0</v>
      </c>
      <c r="R926" s="16">
        <v>0</v>
      </c>
      <c r="S926" s="16"/>
      <c r="T926" s="16" t="e">
        <v>#N/A</v>
      </c>
      <c r="U926" s="16" t="e">
        <v>#N/A</v>
      </c>
    </row>
    <row r="927" spans="1:21" x14ac:dyDescent="0.25">
      <c r="A927" s="12" t="s">
        <v>21</v>
      </c>
      <c r="B927" s="12" t="s">
        <v>1009</v>
      </c>
      <c r="C927" s="12" t="s">
        <v>23</v>
      </c>
      <c r="D927" s="13">
        <v>46265.555798611109</v>
      </c>
      <c r="E927" s="12" t="s">
        <v>24</v>
      </c>
      <c r="F927" s="12" t="s">
        <v>669</v>
      </c>
      <c r="G927" s="12">
        <v>5</v>
      </c>
      <c r="H927" s="12">
        <v>5</v>
      </c>
      <c r="I927" s="14"/>
      <c r="J927" s="14" t="s">
        <v>61</v>
      </c>
      <c r="K927" s="12" t="s">
        <v>27</v>
      </c>
      <c r="L927" s="15"/>
      <c r="M927" s="12" t="s">
        <v>28</v>
      </c>
      <c r="N927" s="12"/>
      <c r="O927" s="12"/>
      <c r="P927" s="12"/>
      <c r="Q927" s="16">
        <v>5</v>
      </c>
      <c r="R927" s="16">
        <v>0</v>
      </c>
      <c r="S927" s="16"/>
      <c r="T927" s="16" t="e">
        <v>#N/A</v>
      </c>
      <c r="U927" s="16" t="e">
        <v>#N/A</v>
      </c>
    </row>
    <row r="928" spans="1:21" x14ac:dyDescent="0.25">
      <c r="A928" s="12" t="s">
        <v>21</v>
      </c>
      <c r="B928" s="12" t="s">
        <v>1009</v>
      </c>
      <c r="C928" s="12" t="s">
        <v>23</v>
      </c>
      <c r="D928" s="13">
        <v>46265.555798611109</v>
      </c>
      <c r="E928" s="12" t="s">
        <v>24</v>
      </c>
      <c r="F928" s="12" t="s">
        <v>1010</v>
      </c>
      <c r="G928" s="12">
        <v>3</v>
      </c>
      <c r="H928" s="12">
        <v>3</v>
      </c>
      <c r="I928" s="14"/>
      <c r="J928" s="14" t="s">
        <v>26</v>
      </c>
      <c r="K928" s="12" t="s">
        <v>27</v>
      </c>
      <c r="L928" s="15"/>
      <c r="M928" s="12" t="s">
        <v>28</v>
      </c>
      <c r="N928" s="12"/>
      <c r="O928" s="12"/>
      <c r="P928" s="12"/>
      <c r="Q928" s="16">
        <v>0</v>
      </c>
      <c r="R928" s="16">
        <v>0</v>
      </c>
      <c r="S928" s="16"/>
      <c r="T928" s="16" t="e">
        <v>#N/A</v>
      </c>
      <c r="U928" s="16" t="e">
        <v>#N/A</v>
      </c>
    </row>
    <row r="929" spans="1:21" x14ac:dyDescent="0.25">
      <c r="A929" s="12" t="s">
        <v>21</v>
      </c>
      <c r="B929" s="12" t="s">
        <v>1009</v>
      </c>
      <c r="C929" s="12" t="s">
        <v>23</v>
      </c>
      <c r="D929" s="13">
        <v>46265.555798611109</v>
      </c>
      <c r="E929" s="12" t="s">
        <v>24</v>
      </c>
      <c r="F929" s="12" t="s">
        <v>1011</v>
      </c>
      <c r="G929" s="12">
        <v>3</v>
      </c>
      <c r="H929" s="12">
        <v>3</v>
      </c>
      <c r="I929" s="14"/>
      <c r="J929" s="14" t="s">
        <v>26</v>
      </c>
      <c r="K929" s="12" t="s">
        <v>27</v>
      </c>
      <c r="L929" s="15"/>
      <c r="M929" s="12" t="s">
        <v>28</v>
      </c>
      <c r="N929" s="12"/>
      <c r="O929" s="12"/>
      <c r="P929" s="12"/>
      <c r="Q929" s="16">
        <v>0</v>
      </c>
      <c r="R929" s="16">
        <v>0</v>
      </c>
      <c r="S929" s="16"/>
      <c r="T929" s="16" t="e">
        <v>#N/A</v>
      </c>
      <c r="U929" s="16" t="e">
        <v>#N/A</v>
      </c>
    </row>
    <row r="930" spans="1:21" x14ac:dyDescent="0.25">
      <c r="A930" s="12" t="s">
        <v>21</v>
      </c>
      <c r="B930" s="12" t="s">
        <v>1009</v>
      </c>
      <c r="C930" s="12" t="s">
        <v>23</v>
      </c>
      <c r="D930" s="13">
        <v>46265.555798611109</v>
      </c>
      <c r="E930" s="12" t="s">
        <v>24</v>
      </c>
      <c r="F930" s="12" t="s">
        <v>489</v>
      </c>
      <c r="G930" s="12">
        <v>3</v>
      </c>
      <c r="H930" s="12">
        <v>3</v>
      </c>
      <c r="I930" s="14"/>
      <c r="J930" s="14" t="s">
        <v>26</v>
      </c>
      <c r="K930" s="12" t="s">
        <v>27</v>
      </c>
      <c r="L930" s="15"/>
      <c r="M930" s="12" t="s">
        <v>28</v>
      </c>
      <c r="N930" s="12"/>
      <c r="O930" s="12"/>
      <c r="P930" s="12"/>
      <c r="Q930" s="16">
        <v>0</v>
      </c>
      <c r="R930" s="16">
        <v>0</v>
      </c>
      <c r="S930" s="16"/>
      <c r="T930" s="16" t="e">
        <v>#N/A</v>
      </c>
      <c r="U930" s="16" t="e">
        <v>#N/A</v>
      </c>
    </row>
    <row r="931" spans="1:21" x14ac:dyDescent="0.25">
      <c r="A931" s="12" t="s">
        <v>21</v>
      </c>
      <c r="B931" s="12" t="s">
        <v>1009</v>
      </c>
      <c r="C931" s="12" t="s">
        <v>23</v>
      </c>
      <c r="D931" s="13">
        <v>46265.555798611109</v>
      </c>
      <c r="E931" s="12" t="s">
        <v>24</v>
      </c>
      <c r="F931" s="12" t="s">
        <v>1012</v>
      </c>
      <c r="G931" s="12">
        <v>5</v>
      </c>
      <c r="H931" s="12">
        <v>5</v>
      </c>
      <c r="I931" s="14"/>
      <c r="J931" s="14" t="s">
        <v>26</v>
      </c>
      <c r="K931" s="12" t="s">
        <v>27</v>
      </c>
      <c r="L931" s="15"/>
      <c r="M931" s="12" t="s">
        <v>28</v>
      </c>
      <c r="N931" s="12"/>
      <c r="O931" s="12"/>
      <c r="P931" s="12"/>
      <c r="Q931" s="16">
        <v>0</v>
      </c>
      <c r="R931" s="16">
        <v>11880.00072</v>
      </c>
      <c r="S931" s="16"/>
      <c r="T931" s="16" t="e">
        <v>#N/A</v>
      </c>
      <c r="U931" s="16" t="e">
        <v>#N/A</v>
      </c>
    </row>
    <row r="932" spans="1:21" x14ac:dyDescent="0.25">
      <c r="A932" s="12" t="s">
        <v>21</v>
      </c>
      <c r="B932" s="12" t="s">
        <v>1009</v>
      </c>
      <c r="C932" s="12" t="s">
        <v>23</v>
      </c>
      <c r="D932" s="13">
        <v>46265.555798611109</v>
      </c>
      <c r="E932" s="12" t="s">
        <v>24</v>
      </c>
      <c r="F932" s="12" t="s">
        <v>1013</v>
      </c>
      <c r="G932" s="12">
        <v>1</v>
      </c>
      <c r="H932" s="12">
        <v>1</v>
      </c>
      <c r="I932" s="14"/>
      <c r="J932" s="14" t="s">
        <v>26</v>
      </c>
      <c r="K932" s="12" t="s">
        <v>27</v>
      </c>
      <c r="L932" s="15"/>
      <c r="M932" s="12" t="s">
        <v>28</v>
      </c>
      <c r="N932" s="12"/>
      <c r="O932" s="12"/>
      <c r="P932" s="12"/>
      <c r="Q932" s="16">
        <v>0</v>
      </c>
      <c r="R932" s="16">
        <v>0</v>
      </c>
      <c r="S932" s="16"/>
      <c r="T932" s="16" t="e">
        <v>#N/A</v>
      </c>
      <c r="U932" s="16" t="e">
        <v>#N/A</v>
      </c>
    </row>
    <row r="933" spans="1:21" x14ac:dyDescent="0.25">
      <c r="A933" s="12" t="s">
        <v>21</v>
      </c>
      <c r="B933" s="12" t="s">
        <v>1009</v>
      </c>
      <c r="C933" s="12" t="s">
        <v>23</v>
      </c>
      <c r="D933" s="13">
        <v>46265.555798611109</v>
      </c>
      <c r="E933" s="12" t="s">
        <v>24</v>
      </c>
      <c r="F933" s="12" t="s">
        <v>1014</v>
      </c>
      <c r="G933" s="12">
        <v>6</v>
      </c>
      <c r="H933" s="12">
        <v>6</v>
      </c>
      <c r="I933" s="14"/>
      <c r="J933" s="14" t="s">
        <v>61</v>
      </c>
      <c r="K933" s="12" t="s">
        <v>27</v>
      </c>
      <c r="L933" s="15"/>
      <c r="M933" s="12" t="s">
        <v>28</v>
      </c>
      <c r="N933" s="12"/>
      <c r="O933" s="12"/>
      <c r="P933" s="12"/>
      <c r="Q933" s="16">
        <v>6</v>
      </c>
      <c r="R933" s="16">
        <v>0</v>
      </c>
      <c r="S933" s="16"/>
      <c r="T933" s="16" t="e">
        <v>#N/A</v>
      </c>
      <c r="U933" s="16" t="e">
        <v>#N/A</v>
      </c>
    </row>
    <row r="934" spans="1:21" x14ac:dyDescent="0.25">
      <c r="A934" s="12" t="s">
        <v>21</v>
      </c>
      <c r="B934" s="12" t="s">
        <v>1009</v>
      </c>
      <c r="C934" s="12" t="s">
        <v>23</v>
      </c>
      <c r="D934" s="13">
        <v>46265.555798611109</v>
      </c>
      <c r="E934" s="12" t="s">
        <v>24</v>
      </c>
      <c r="F934" s="12" t="s">
        <v>356</v>
      </c>
      <c r="G934" s="12">
        <v>3</v>
      </c>
      <c r="H934" s="12">
        <v>3</v>
      </c>
      <c r="I934" s="14"/>
      <c r="J934" s="14" t="s">
        <v>26</v>
      </c>
      <c r="K934" s="12" t="s">
        <v>27</v>
      </c>
      <c r="L934" s="15"/>
      <c r="M934" s="12" t="s">
        <v>28</v>
      </c>
      <c r="N934" s="12"/>
      <c r="O934" s="12"/>
      <c r="P934" s="12"/>
      <c r="Q934" s="16">
        <v>0</v>
      </c>
      <c r="R934" s="16">
        <v>0</v>
      </c>
      <c r="S934" s="16"/>
      <c r="T934" s="16" t="e">
        <v>#N/A</v>
      </c>
      <c r="U934" s="16" t="e">
        <v>#N/A</v>
      </c>
    </row>
    <row r="935" spans="1:21" x14ac:dyDescent="0.25">
      <c r="A935" s="12" t="s">
        <v>21</v>
      </c>
      <c r="B935" s="12" t="s">
        <v>1009</v>
      </c>
      <c r="C935" s="12" t="s">
        <v>23</v>
      </c>
      <c r="D935" s="13">
        <v>46265.555798611109</v>
      </c>
      <c r="E935" s="12" t="s">
        <v>24</v>
      </c>
      <c r="F935" s="12" t="s">
        <v>967</v>
      </c>
      <c r="G935" s="12">
        <v>1</v>
      </c>
      <c r="H935" s="12">
        <v>1</v>
      </c>
      <c r="I935" s="14"/>
      <c r="J935" s="14" t="s">
        <v>61</v>
      </c>
      <c r="K935" s="12" t="s">
        <v>27</v>
      </c>
      <c r="L935" s="15"/>
      <c r="M935" s="12" t="s">
        <v>28</v>
      </c>
      <c r="N935" s="12"/>
      <c r="O935" s="12"/>
      <c r="P935" s="12"/>
      <c r="Q935" s="16">
        <v>1</v>
      </c>
      <c r="R935" s="16">
        <v>0</v>
      </c>
      <c r="S935" s="16"/>
      <c r="T935" s="16" t="e">
        <v>#N/A</v>
      </c>
      <c r="U935" s="16" t="e">
        <v>#N/A</v>
      </c>
    </row>
    <row r="936" spans="1:21" x14ac:dyDescent="0.25">
      <c r="A936" s="12" t="s">
        <v>21</v>
      </c>
      <c r="B936" s="12" t="s">
        <v>1009</v>
      </c>
      <c r="C936" s="12" t="s">
        <v>23</v>
      </c>
      <c r="D936" s="13">
        <v>46265.555798611109</v>
      </c>
      <c r="E936" s="12" t="s">
        <v>24</v>
      </c>
      <c r="F936" s="12" t="s">
        <v>357</v>
      </c>
      <c r="G936" s="12">
        <v>5</v>
      </c>
      <c r="H936" s="12">
        <v>5</v>
      </c>
      <c r="I936" s="14"/>
      <c r="J936" s="14" t="s">
        <v>61</v>
      </c>
      <c r="K936" s="12" t="s">
        <v>27</v>
      </c>
      <c r="L936" s="15"/>
      <c r="M936" s="12" t="s">
        <v>28</v>
      </c>
      <c r="N936" s="12"/>
      <c r="O936" s="12"/>
      <c r="P936" s="12"/>
      <c r="Q936" s="16">
        <v>5</v>
      </c>
      <c r="R936" s="16">
        <v>0</v>
      </c>
      <c r="S936" s="16"/>
      <c r="T936" s="16" t="e">
        <v>#N/A</v>
      </c>
      <c r="U936" s="16" t="e">
        <v>#N/A</v>
      </c>
    </row>
    <row r="937" spans="1:21" x14ac:dyDescent="0.25">
      <c r="A937" s="12" t="s">
        <v>21</v>
      </c>
      <c r="B937" s="12" t="s">
        <v>1009</v>
      </c>
      <c r="C937" s="12" t="s">
        <v>23</v>
      </c>
      <c r="D937" s="13">
        <v>46265.555798611109</v>
      </c>
      <c r="E937" s="12" t="s">
        <v>24</v>
      </c>
      <c r="F937" s="12" t="s">
        <v>968</v>
      </c>
      <c r="G937" s="12">
        <v>2</v>
      </c>
      <c r="H937" s="12">
        <v>2</v>
      </c>
      <c r="I937" s="14"/>
      <c r="J937" s="14" t="s">
        <v>61</v>
      </c>
      <c r="K937" s="12" t="s">
        <v>27</v>
      </c>
      <c r="L937" s="15"/>
      <c r="M937" s="12" t="s">
        <v>28</v>
      </c>
      <c r="N937" s="12"/>
      <c r="O937" s="12"/>
      <c r="P937" s="12"/>
      <c r="Q937" s="16">
        <v>2</v>
      </c>
      <c r="R937" s="16">
        <v>0</v>
      </c>
      <c r="S937" s="16"/>
      <c r="T937" s="16" t="e">
        <v>#N/A</v>
      </c>
      <c r="U937" s="16" t="e">
        <v>#N/A</v>
      </c>
    </row>
    <row r="938" spans="1:21" x14ac:dyDescent="0.25">
      <c r="A938" s="12" t="s">
        <v>21</v>
      </c>
      <c r="B938" s="12" t="s">
        <v>1009</v>
      </c>
      <c r="C938" s="12" t="s">
        <v>23</v>
      </c>
      <c r="D938" s="13">
        <v>46265.555798611109</v>
      </c>
      <c r="E938" s="12" t="s">
        <v>24</v>
      </c>
      <c r="F938" s="12" t="s">
        <v>681</v>
      </c>
      <c r="G938" s="12">
        <v>11</v>
      </c>
      <c r="H938" s="12">
        <v>11</v>
      </c>
      <c r="I938" s="14"/>
      <c r="J938" s="14" t="s">
        <v>61</v>
      </c>
      <c r="K938" s="12" t="s">
        <v>27</v>
      </c>
      <c r="L938" s="15"/>
      <c r="M938" s="12" t="s">
        <v>28</v>
      </c>
      <c r="N938" s="12"/>
      <c r="O938" s="12"/>
      <c r="P938" s="12"/>
      <c r="Q938" s="16">
        <v>11</v>
      </c>
      <c r="R938" s="16">
        <v>0</v>
      </c>
      <c r="S938" s="16"/>
      <c r="T938" s="16" t="e">
        <v>#N/A</v>
      </c>
      <c r="U938" s="16" t="e">
        <v>#N/A</v>
      </c>
    </row>
    <row r="939" spans="1:21" x14ac:dyDescent="0.25">
      <c r="A939" s="12" t="s">
        <v>21</v>
      </c>
      <c r="B939" s="12" t="s">
        <v>1015</v>
      </c>
      <c r="C939" s="12" t="s">
        <v>23</v>
      </c>
      <c r="D939" s="13">
        <v>46266.397581018522</v>
      </c>
      <c r="E939" s="12" t="s">
        <v>24</v>
      </c>
      <c r="F939" s="12" t="s">
        <v>449</v>
      </c>
      <c r="G939" s="12">
        <v>200</v>
      </c>
      <c r="H939" s="12">
        <v>200</v>
      </c>
      <c r="I939" s="14"/>
      <c r="J939" s="14" t="s">
        <v>26</v>
      </c>
      <c r="K939" s="12" t="s">
        <v>27</v>
      </c>
      <c r="L939" s="15"/>
      <c r="M939" s="12" t="s">
        <v>28</v>
      </c>
      <c r="N939" s="12"/>
      <c r="O939" s="12"/>
      <c r="P939" s="12"/>
      <c r="Q939" s="16">
        <v>0</v>
      </c>
      <c r="R939" s="16">
        <v>0</v>
      </c>
      <c r="S939" s="16"/>
      <c r="T939" s="16" t="e">
        <v>#N/A</v>
      </c>
      <c r="U939" s="16" t="e">
        <v>#N/A</v>
      </c>
    </row>
    <row r="940" spans="1:21" x14ac:dyDescent="0.25">
      <c r="A940" s="12" t="s">
        <v>21</v>
      </c>
      <c r="B940" s="12" t="s">
        <v>1016</v>
      </c>
      <c r="C940" s="12" t="s">
        <v>23</v>
      </c>
      <c r="D940" s="13">
        <v>46266.406585648147</v>
      </c>
      <c r="E940" s="12" t="s">
        <v>599</v>
      </c>
      <c r="F940" s="12" t="s">
        <v>243</v>
      </c>
      <c r="G940" s="12">
        <v>40</v>
      </c>
      <c r="H940" s="12">
        <v>40</v>
      </c>
      <c r="I940" s="14"/>
      <c r="J940" s="14" t="s">
        <v>61</v>
      </c>
      <c r="K940" s="12" t="s">
        <v>1017</v>
      </c>
      <c r="L940" s="15">
        <v>1</v>
      </c>
      <c r="M940" s="12" t="s">
        <v>150</v>
      </c>
      <c r="N940" s="12">
        <v>40</v>
      </c>
      <c r="O940" s="12">
        <v>40</v>
      </c>
      <c r="P940" s="12">
        <v>0</v>
      </c>
      <c r="Q940" s="16">
        <v>40</v>
      </c>
      <c r="R940" s="16">
        <v>1</v>
      </c>
      <c r="S940" s="16"/>
      <c r="T940" s="16" t="e">
        <v>#N/A</v>
      </c>
      <c r="U940" s="16" t="e">
        <v>#N/A</v>
      </c>
    </row>
    <row r="941" spans="1:21" x14ac:dyDescent="0.25">
      <c r="A941" s="12" t="s">
        <v>21</v>
      </c>
      <c r="B941" s="12" t="s">
        <v>1016</v>
      </c>
      <c r="C941" s="12" t="s">
        <v>23</v>
      </c>
      <c r="D941" s="13">
        <v>46266.406585648147</v>
      </c>
      <c r="E941" s="12" t="s">
        <v>599</v>
      </c>
      <c r="F941" s="12" t="s">
        <v>246</v>
      </c>
      <c r="G941" s="12">
        <v>50</v>
      </c>
      <c r="H941" s="12">
        <v>50</v>
      </c>
      <c r="I941" s="14"/>
      <c r="J941" s="14" t="s">
        <v>26</v>
      </c>
      <c r="K941" s="12" t="s">
        <v>27</v>
      </c>
      <c r="L941" s="15"/>
      <c r="M941" s="12" t="s">
        <v>28</v>
      </c>
      <c r="N941" s="12"/>
      <c r="O941" s="12"/>
      <c r="P941" s="12"/>
      <c r="Q941" s="16">
        <v>0</v>
      </c>
      <c r="R941" s="16">
        <v>0</v>
      </c>
      <c r="S941" s="16"/>
      <c r="T941" s="16" t="e">
        <v>#N/A</v>
      </c>
      <c r="U941" s="16" t="e">
        <v>#N/A</v>
      </c>
    </row>
    <row r="942" spans="1:21" x14ac:dyDescent="0.25">
      <c r="A942" s="12" t="s">
        <v>21</v>
      </c>
      <c r="B942" s="12" t="s">
        <v>1016</v>
      </c>
      <c r="C942" s="12" t="s">
        <v>23</v>
      </c>
      <c r="D942" s="13">
        <v>46266.406585648147</v>
      </c>
      <c r="E942" s="12" t="s">
        <v>599</v>
      </c>
      <c r="F942" s="12" t="s">
        <v>1018</v>
      </c>
      <c r="G942" s="12">
        <v>20</v>
      </c>
      <c r="H942" s="12">
        <v>20</v>
      </c>
      <c r="I942" s="14"/>
      <c r="J942" s="14" t="s">
        <v>26</v>
      </c>
      <c r="K942" s="12" t="s">
        <v>27</v>
      </c>
      <c r="L942" s="15"/>
      <c r="M942" s="12" t="s">
        <v>28</v>
      </c>
      <c r="N942" s="12"/>
      <c r="O942" s="12"/>
      <c r="P942" s="12"/>
      <c r="Q942" s="16">
        <v>0</v>
      </c>
      <c r="R942" s="16">
        <v>0</v>
      </c>
      <c r="S942" s="16"/>
      <c r="T942" s="16" t="e">
        <v>#N/A</v>
      </c>
      <c r="U942" s="16" t="e">
        <v>#N/A</v>
      </c>
    </row>
    <row r="943" spans="1:21" x14ac:dyDescent="0.25">
      <c r="A943" s="12" t="s">
        <v>21</v>
      </c>
      <c r="B943" s="12" t="s">
        <v>1016</v>
      </c>
      <c r="C943" s="12" t="s">
        <v>23</v>
      </c>
      <c r="D943" s="13">
        <v>46266.406585648147</v>
      </c>
      <c r="E943" s="12" t="s">
        <v>599</v>
      </c>
      <c r="F943" s="12" t="s">
        <v>600</v>
      </c>
      <c r="G943" s="12">
        <v>50</v>
      </c>
      <c r="H943" s="12">
        <v>50</v>
      </c>
      <c r="I943" s="14"/>
      <c r="J943" s="14" t="s">
        <v>61</v>
      </c>
      <c r="K943" s="12" t="s">
        <v>1019</v>
      </c>
      <c r="L943" s="15">
        <v>1</v>
      </c>
      <c r="M943" s="12" t="s">
        <v>150</v>
      </c>
      <c r="N943" s="12">
        <v>50</v>
      </c>
      <c r="O943" s="12">
        <v>50</v>
      </c>
      <c r="P943" s="12">
        <v>0</v>
      </c>
      <c r="Q943" s="16">
        <v>50</v>
      </c>
      <c r="R943" s="16">
        <v>1</v>
      </c>
      <c r="S943" s="16"/>
      <c r="T943" s="16" t="e">
        <v>#N/A</v>
      </c>
      <c r="U943" s="16" t="e">
        <v>#N/A</v>
      </c>
    </row>
    <row r="944" spans="1:21" x14ac:dyDescent="0.25">
      <c r="A944" s="12" t="s">
        <v>21</v>
      </c>
      <c r="B944" s="12" t="s">
        <v>1016</v>
      </c>
      <c r="C944" s="12" t="s">
        <v>23</v>
      </c>
      <c r="D944" s="13">
        <v>46266.406585648147</v>
      </c>
      <c r="E944" s="12" t="s">
        <v>599</v>
      </c>
      <c r="F944" s="12" t="s">
        <v>496</v>
      </c>
      <c r="G944" s="12">
        <v>50</v>
      </c>
      <c r="H944" s="12">
        <v>50</v>
      </c>
      <c r="I944" s="14"/>
      <c r="J944" s="14" t="s">
        <v>61</v>
      </c>
      <c r="K944" s="12" t="s">
        <v>1020</v>
      </c>
      <c r="L944" s="15">
        <v>1</v>
      </c>
      <c r="M944" s="12" t="s">
        <v>150</v>
      </c>
      <c r="N944" s="12">
        <v>50</v>
      </c>
      <c r="O944" s="12">
        <v>50</v>
      </c>
      <c r="P944" s="12">
        <v>0</v>
      </c>
      <c r="Q944" s="16">
        <v>50</v>
      </c>
      <c r="R944" s="16">
        <v>0</v>
      </c>
      <c r="S944" s="16"/>
      <c r="T944" s="16" t="e">
        <v>#N/A</v>
      </c>
      <c r="U944" s="16" t="e">
        <v>#N/A</v>
      </c>
    </row>
    <row r="945" spans="1:21" x14ac:dyDescent="0.25">
      <c r="A945" s="12" t="s">
        <v>21</v>
      </c>
      <c r="B945" s="12" t="s">
        <v>1016</v>
      </c>
      <c r="C945" s="12" t="s">
        <v>23</v>
      </c>
      <c r="D945" s="13">
        <v>46266.406585648147</v>
      </c>
      <c r="E945" s="12" t="s">
        <v>599</v>
      </c>
      <c r="F945" s="12" t="s">
        <v>70</v>
      </c>
      <c r="G945" s="12">
        <v>100</v>
      </c>
      <c r="H945" s="12">
        <v>100</v>
      </c>
      <c r="I945" s="14"/>
      <c r="J945" s="14" t="s">
        <v>61</v>
      </c>
      <c r="K945" s="12" t="s">
        <v>27</v>
      </c>
      <c r="L945" s="15"/>
      <c r="M945" s="12" t="s">
        <v>28</v>
      </c>
      <c r="N945" s="12"/>
      <c r="O945" s="12"/>
      <c r="P945" s="12"/>
      <c r="Q945" s="16">
        <v>50</v>
      </c>
      <c r="R945" s="16">
        <v>0</v>
      </c>
      <c r="S945" s="16">
        <v>50</v>
      </c>
      <c r="T945" s="16" t="e">
        <v>#N/A</v>
      </c>
      <c r="U945" s="16" t="e">
        <v>#N/A</v>
      </c>
    </row>
    <row r="946" spans="1:21" x14ac:dyDescent="0.25">
      <c r="A946" s="12" t="s">
        <v>21</v>
      </c>
      <c r="B946" s="12" t="s">
        <v>1016</v>
      </c>
      <c r="C946" s="12" t="s">
        <v>23</v>
      </c>
      <c r="D946" s="13">
        <v>46266.406585648147</v>
      </c>
      <c r="E946" s="12" t="s">
        <v>599</v>
      </c>
      <c r="F946" s="12" t="s">
        <v>283</v>
      </c>
      <c r="G946" s="12">
        <v>100</v>
      </c>
      <c r="H946" s="12">
        <v>100</v>
      </c>
      <c r="I946" s="14"/>
      <c r="J946" s="14" t="s">
        <v>61</v>
      </c>
      <c r="K946" s="12" t="s">
        <v>1052</v>
      </c>
      <c r="L946" s="15">
        <v>1</v>
      </c>
      <c r="M946" s="12" t="s">
        <v>150</v>
      </c>
      <c r="N946" s="12">
        <v>100</v>
      </c>
      <c r="O946" s="12">
        <v>100</v>
      </c>
      <c r="P946" s="12">
        <v>0</v>
      </c>
      <c r="Q946" s="16">
        <v>200</v>
      </c>
      <c r="R946" s="16">
        <v>0</v>
      </c>
      <c r="S946" s="16"/>
      <c r="T946" s="16" t="e">
        <v>#N/A</v>
      </c>
      <c r="U946" s="16" t="e">
        <v>#N/A</v>
      </c>
    </row>
    <row r="947" spans="1:21" x14ac:dyDescent="0.25">
      <c r="A947" s="12" t="s">
        <v>21</v>
      </c>
      <c r="B947" s="12" t="s">
        <v>1016</v>
      </c>
      <c r="C947" s="12" t="s">
        <v>23</v>
      </c>
      <c r="D947" s="13">
        <v>46266.406585648147</v>
      </c>
      <c r="E947" s="12" t="s">
        <v>599</v>
      </c>
      <c r="F947" s="12" t="s">
        <v>248</v>
      </c>
      <c r="G947" s="12">
        <v>50</v>
      </c>
      <c r="H947" s="12">
        <v>50</v>
      </c>
      <c r="I947" s="14"/>
      <c r="J947" s="14" t="s">
        <v>26</v>
      </c>
      <c r="K947" s="12" t="s">
        <v>27</v>
      </c>
      <c r="L947" s="15"/>
      <c r="M947" s="12" t="s">
        <v>28</v>
      </c>
      <c r="N947" s="12"/>
      <c r="O947" s="12"/>
      <c r="P947" s="12"/>
      <c r="Q947" s="16">
        <v>0</v>
      </c>
      <c r="R947" s="16">
        <v>2</v>
      </c>
      <c r="S947" s="16"/>
      <c r="T947" s="16" t="e">
        <v>#N/A</v>
      </c>
      <c r="U947" s="16" t="e">
        <v>#N/A</v>
      </c>
    </row>
    <row r="948" spans="1:21" x14ac:dyDescent="0.25">
      <c r="A948" s="12" t="s">
        <v>21</v>
      </c>
      <c r="B948" s="12" t="s">
        <v>1016</v>
      </c>
      <c r="C948" s="12" t="s">
        <v>23</v>
      </c>
      <c r="D948" s="13">
        <v>46266.406585648147</v>
      </c>
      <c r="E948" s="12" t="s">
        <v>599</v>
      </c>
      <c r="F948" s="12" t="s">
        <v>247</v>
      </c>
      <c r="G948" s="12">
        <v>24</v>
      </c>
      <c r="H948" s="12">
        <v>24</v>
      </c>
      <c r="I948" s="14"/>
      <c r="J948" s="14" t="s">
        <v>26</v>
      </c>
      <c r="K948" s="12" t="s">
        <v>27</v>
      </c>
      <c r="L948" s="15"/>
      <c r="M948" s="12" t="s">
        <v>28</v>
      </c>
      <c r="N948" s="12"/>
      <c r="O948" s="12"/>
      <c r="P948" s="12"/>
      <c r="Q948" s="16">
        <v>0</v>
      </c>
      <c r="R948" s="16">
        <v>0</v>
      </c>
      <c r="S948" s="16"/>
      <c r="T948" s="16" t="e">
        <v>#N/A</v>
      </c>
      <c r="U948" s="16" t="e">
        <v>#N/A</v>
      </c>
    </row>
    <row r="949" spans="1:21" x14ac:dyDescent="0.25">
      <c r="A949" s="12" t="s">
        <v>21</v>
      </c>
      <c r="B949" s="12" t="s">
        <v>1016</v>
      </c>
      <c r="C949" s="12" t="s">
        <v>23</v>
      </c>
      <c r="D949" s="13">
        <v>46266.406585648147</v>
      </c>
      <c r="E949" s="12" t="s">
        <v>599</v>
      </c>
      <c r="F949" s="12" t="s">
        <v>67</v>
      </c>
      <c r="G949" s="12">
        <v>100</v>
      </c>
      <c r="H949" s="12">
        <v>100</v>
      </c>
      <c r="I949" s="14"/>
      <c r="J949" s="14" t="s">
        <v>61</v>
      </c>
      <c r="K949" s="12" t="s">
        <v>1053</v>
      </c>
      <c r="L949" s="15">
        <v>1</v>
      </c>
      <c r="M949" s="12" t="s">
        <v>150</v>
      </c>
      <c r="N949" s="12">
        <v>100</v>
      </c>
      <c r="O949" s="12">
        <v>100</v>
      </c>
      <c r="P949" s="12">
        <v>0</v>
      </c>
      <c r="Q949" s="16">
        <v>200</v>
      </c>
      <c r="R949" s="16">
        <v>0</v>
      </c>
      <c r="S949" s="16"/>
      <c r="T949" s="16" t="e">
        <v>#N/A</v>
      </c>
      <c r="U949" s="16" t="e">
        <v>#N/A</v>
      </c>
    </row>
    <row r="950" spans="1:21" x14ac:dyDescent="0.25">
      <c r="A950" s="12" t="s">
        <v>21</v>
      </c>
      <c r="B950" s="12" t="s">
        <v>1016</v>
      </c>
      <c r="C950" s="12" t="s">
        <v>23</v>
      </c>
      <c r="D950" s="13">
        <v>46266.406585648147</v>
      </c>
      <c r="E950" s="12" t="s">
        <v>599</v>
      </c>
      <c r="F950" s="12" t="s">
        <v>259</v>
      </c>
      <c r="G950" s="12">
        <v>50</v>
      </c>
      <c r="H950" s="12">
        <v>50</v>
      </c>
      <c r="I950" s="14"/>
      <c r="J950" s="14" t="s">
        <v>26</v>
      </c>
      <c r="K950" s="12" t="s">
        <v>27</v>
      </c>
      <c r="L950" s="15"/>
      <c r="M950" s="12" t="s">
        <v>28</v>
      </c>
      <c r="N950" s="12"/>
      <c r="O950" s="12"/>
      <c r="P950" s="12"/>
      <c r="Q950" s="16">
        <v>0</v>
      </c>
      <c r="R950" s="16">
        <v>4</v>
      </c>
      <c r="S950" s="16"/>
      <c r="T950" s="16" t="e">
        <v>#N/A</v>
      </c>
      <c r="U950" s="16" t="e">
        <v>#N/A</v>
      </c>
    </row>
    <row r="951" spans="1:21" x14ac:dyDescent="0.25">
      <c r="A951" s="12" t="s">
        <v>21</v>
      </c>
      <c r="B951" s="12" t="s">
        <v>1016</v>
      </c>
      <c r="C951" s="12" t="s">
        <v>23</v>
      </c>
      <c r="D951" s="13">
        <v>46266.406585648147</v>
      </c>
      <c r="E951" s="12" t="s">
        <v>599</v>
      </c>
      <c r="F951" s="12" t="s">
        <v>1022</v>
      </c>
      <c r="G951" s="12">
        <v>100</v>
      </c>
      <c r="H951" s="12">
        <v>100</v>
      </c>
      <c r="I951" s="14"/>
      <c r="J951" s="14" t="s">
        <v>61</v>
      </c>
      <c r="K951" s="12" t="s">
        <v>1054</v>
      </c>
      <c r="L951" s="15">
        <v>1</v>
      </c>
      <c r="M951" s="12" t="s">
        <v>150</v>
      </c>
      <c r="N951" s="12">
        <v>100</v>
      </c>
      <c r="O951" s="12">
        <v>100</v>
      </c>
      <c r="P951" s="12">
        <v>0</v>
      </c>
      <c r="Q951" s="16">
        <v>100</v>
      </c>
      <c r="R951" s="16">
        <v>3</v>
      </c>
      <c r="S951" s="16"/>
      <c r="T951" s="16" t="e">
        <v>#N/A</v>
      </c>
      <c r="U951" s="16" t="e">
        <v>#N/A</v>
      </c>
    </row>
    <row r="952" spans="1:21" x14ac:dyDescent="0.25">
      <c r="A952" s="12" t="s">
        <v>21</v>
      </c>
      <c r="B952" s="12" t="s">
        <v>1016</v>
      </c>
      <c r="C952" s="12" t="s">
        <v>23</v>
      </c>
      <c r="D952" s="13">
        <v>46266.406585648147</v>
      </c>
      <c r="E952" s="12" t="s">
        <v>599</v>
      </c>
      <c r="F952" s="12" t="s">
        <v>134</v>
      </c>
      <c r="G952" s="12">
        <v>200</v>
      </c>
      <c r="H952" s="12">
        <v>200</v>
      </c>
      <c r="I952" s="14"/>
      <c r="J952" s="14" t="s">
        <v>61</v>
      </c>
      <c r="K952" s="12" t="s">
        <v>27</v>
      </c>
      <c r="L952" s="15"/>
      <c r="M952" s="12" t="s">
        <v>28</v>
      </c>
      <c r="N952" s="12"/>
      <c r="O952" s="12"/>
      <c r="P952" s="12"/>
      <c r="Q952" s="16">
        <v>30</v>
      </c>
      <c r="R952" s="16">
        <v>6</v>
      </c>
      <c r="S952" s="16"/>
      <c r="T952" s="16" t="e">
        <v>#N/A</v>
      </c>
      <c r="U952" s="16" t="e">
        <v>#N/A</v>
      </c>
    </row>
    <row r="953" spans="1:21" x14ac:dyDescent="0.25">
      <c r="A953" s="12" t="s">
        <v>21</v>
      </c>
      <c r="B953" s="12" t="s">
        <v>1016</v>
      </c>
      <c r="C953" s="12" t="s">
        <v>23</v>
      </c>
      <c r="D953" s="13">
        <v>46266.406585648147</v>
      </c>
      <c r="E953" s="12" t="s">
        <v>599</v>
      </c>
      <c r="F953" s="12" t="s">
        <v>371</v>
      </c>
      <c r="G953" s="12">
        <v>1000</v>
      </c>
      <c r="H953" s="12">
        <v>1000</v>
      </c>
      <c r="I953" s="14"/>
      <c r="J953" s="14" t="s">
        <v>26</v>
      </c>
      <c r="K953" s="12" t="s">
        <v>27</v>
      </c>
      <c r="L953" s="15"/>
      <c r="M953" s="12" t="s">
        <v>28</v>
      </c>
      <c r="N953" s="12"/>
      <c r="O953" s="12"/>
      <c r="P953" s="12"/>
      <c r="Q953" s="16">
        <v>0</v>
      </c>
      <c r="R953" s="16">
        <v>1</v>
      </c>
      <c r="S953" s="16"/>
      <c r="T953" s="16" t="e">
        <v>#N/A</v>
      </c>
      <c r="U953" s="16" t="e">
        <v>#N/A</v>
      </c>
    </row>
    <row r="954" spans="1:21" x14ac:dyDescent="0.25">
      <c r="A954" s="12" t="s">
        <v>21</v>
      </c>
      <c r="B954" s="12" t="s">
        <v>1016</v>
      </c>
      <c r="C954" s="12" t="s">
        <v>23</v>
      </c>
      <c r="D954" s="13">
        <v>46266.406585648147</v>
      </c>
      <c r="E954" s="12" t="s">
        <v>599</v>
      </c>
      <c r="F954" s="12" t="s">
        <v>1023</v>
      </c>
      <c r="G954" s="12">
        <v>30</v>
      </c>
      <c r="H954" s="12">
        <v>30</v>
      </c>
      <c r="I954" s="14"/>
      <c r="J954" s="14" t="s">
        <v>61</v>
      </c>
      <c r="K954" s="12" t="s">
        <v>1055</v>
      </c>
      <c r="L954" s="15">
        <v>1</v>
      </c>
      <c r="M954" s="12" t="s">
        <v>150</v>
      </c>
      <c r="N954" s="12">
        <v>30</v>
      </c>
      <c r="O954" s="12">
        <v>30</v>
      </c>
      <c r="P954" s="12">
        <v>0</v>
      </c>
      <c r="Q954" s="16">
        <v>30</v>
      </c>
      <c r="R954" s="16">
        <v>6</v>
      </c>
      <c r="S954" s="16"/>
      <c r="T954" s="16" t="e">
        <v>#N/A</v>
      </c>
      <c r="U954" s="16" t="e">
        <v>#N/A</v>
      </c>
    </row>
    <row r="955" spans="1:21" x14ac:dyDescent="0.25">
      <c r="A955" s="12" t="s">
        <v>21</v>
      </c>
      <c r="B955" s="12" t="s">
        <v>1016</v>
      </c>
      <c r="C955" s="12" t="s">
        <v>23</v>
      </c>
      <c r="D955" s="13">
        <v>46266.406585648147</v>
      </c>
      <c r="E955" s="12" t="s">
        <v>599</v>
      </c>
      <c r="F955" s="12" t="s">
        <v>572</v>
      </c>
      <c r="G955" s="12">
        <v>100</v>
      </c>
      <c r="H955" s="12">
        <v>100</v>
      </c>
      <c r="I955" s="14"/>
      <c r="J955" s="14" t="s">
        <v>61</v>
      </c>
      <c r="K955" s="12" t="s">
        <v>27</v>
      </c>
      <c r="L955" s="15"/>
      <c r="M955" s="12" t="s">
        <v>28</v>
      </c>
      <c r="N955" s="12"/>
      <c r="O955" s="12"/>
      <c r="P955" s="12"/>
      <c r="Q955" s="16">
        <v>50</v>
      </c>
      <c r="R955" s="16">
        <v>10</v>
      </c>
      <c r="S955" s="16"/>
      <c r="T955" s="16" t="e">
        <v>#N/A</v>
      </c>
      <c r="U955" s="16" t="e">
        <v>#N/A</v>
      </c>
    </row>
    <row r="956" spans="1:21" x14ac:dyDescent="0.25">
      <c r="A956" s="12" t="s">
        <v>21</v>
      </c>
      <c r="B956" s="12" t="s">
        <v>1016</v>
      </c>
      <c r="C956" s="12" t="s">
        <v>23</v>
      </c>
      <c r="D956" s="13">
        <v>46266.406585648147</v>
      </c>
      <c r="E956" s="12" t="s">
        <v>599</v>
      </c>
      <c r="F956" s="12" t="s">
        <v>1024</v>
      </c>
      <c r="G956" s="12">
        <v>50</v>
      </c>
      <c r="H956" s="12">
        <v>50</v>
      </c>
      <c r="I956" s="14"/>
      <c r="J956" s="14" t="s">
        <v>26</v>
      </c>
      <c r="K956" s="12" t="s">
        <v>27</v>
      </c>
      <c r="L956" s="15"/>
      <c r="M956" s="12" t="s">
        <v>28</v>
      </c>
      <c r="N956" s="12"/>
      <c r="O956" s="12"/>
      <c r="P956" s="12"/>
      <c r="Q956" s="16">
        <v>0</v>
      </c>
      <c r="R956" s="16">
        <v>0</v>
      </c>
      <c r="S956" s="16"/>
      <c r="T956" s="16" t="e">
        <v>#N/A</v>
      </c>
      <c r="U956" s="16" t="e">
        <v>#N/A</v>
      </c>
    </row>
    <row r="957" spans="1:21" x14ac:dyDescent="0.25">
      <c r="A957" s="12" t="s">
        <v>21</v>
      </c>
      <c r="B957" s="12" t="s">
        <v>1021</v>
      </c>
      <c r="C957" s="12" t="s">
        <v>23</v>
      </c>
      <c r="D957" s="13">
        <v>46266.424675925926</v>
      </c>
      <c r="E957" s="12" t="s">
        <v>24</v>
      </c>
      <c r="F957" s="12" t="s">
        <v>1025</v>
      </c>
      <c r="G957" s="12">
        <v>9</v>
      </c>
      <c r="H957" s="12">
        <v>9</v>
      </c>
      <c r="I957" s="14"/>
      <c r="J957" s="14" t="s">
        <v>61</v>
      </c>
      <c r="K957" s="12" t="s">
        <v>1056</v>
      </c>
      <c r="L957" s="15">
        <v>1</v>
      </c>
      <c r="M957" s="12" t="s">
        <v>150</v>
      </c>
      <c r="N957" s="12">
        <v>9</v>
      </c>
      <c r="O957" s="12">
        <v>9</v>
      </c>
      <c r="P957" s="12">
        <v>0</v>
      </c>
      <c r="Q957" s="16">
        <v>9</v>
      </c>
      <c r="R957" s="16">
        <v>0</v>
      </c>
      <c r="S957" s="16"/>
      <c r="T957" s="16" t="e">
        <v>#N/A</v>
      </c>
      <c r="U957" s="16" t="e">
        <v>#N/A</v>
      </c>
    </row>
    <row r="958" spans="1:21" x14ac:dyDescent="0.25">
      <c r="A958" s="12" t="s">
        <v>21</v>
      </c>
      <c r="B958" s="12" t="s">
        <v>1021</v>
      </c>
      <c r="C958" s="12" t="s">
        <v>23</v>
      </c>
      <c r="D958" s="13">
        <v>46266.424675925926</v>
      </c>
      <c r="E958" s="12" t="s">
        <v>24</v>
      </c>
      <c r="F958" s="12" t="s">
        <v>1026</v>
      </c>
      <c r="G958" s="12">
        <v>2</v>
      </c>
      <c r="H958" s="12">
        <v>2</v>
      </c>
      <c r="I958" s="14"/>
      <c r="J958" s="14" t="s">
        <v>61</v>
      </c>
      <c r="K958" s="12" t="s">
        <v>1057</v>
      </c>
      <c r="L958" s="15">
        <v>1</v>
      </c>
      <c r="M958" s="12" t="s">
        <v>150</v>
      </c>
      <c r="N958" s="12">
        <v>2</v>
      </c>
      <c r="O958" s="12">
        <v>2</v>
      </c>
      <c r="P958" s="12">
        <v>0</v>
      </c>
      <c r="Q958" s="16">
        <v>2</v>
      </c>
      <c r="R958" s="16">
        <v>0</v>
      </c>
      <c r="S958" s="16"/>
      <c r="T958" s="16" t="e">
        <v>#N/A</v>
      </c>
      <c r="U958" s="16" t="e">
        <v>#N/A</v>
      </c>
    </row>
    <row r="959" spans="1:21" x14ac:dyDescent="0.25">
      <c r="A959" s="12" t="s">
        <v>21</v>
      </c>
      <c r="B959" s="12" t="s">
        <v>1021</v>
      </c>
      <c r="C959" s="12" t="s">
        <v>23</v>
      </c>
      <c r="D959" s="13">
        <v>46266.424675925926</v>
      </c>
      <c r="E959" s="12" t="s">
        <v>24</v>
      </c>
      <c r="F959" s="12" t="s">
        <v>1027</v>
      </c>
      <c r="G959" s="12">
        <v>3</v>
      </c>
      <c r="H959" s="12">
        <v>3</v>
      </c>
      <c r="I959" s="14"/>
      <c r="J959" s="14" t="s">
        <v>26</v>
      </c>
      <c r="K959" s="12" t="s">
        <v>27</v>
      </c>
      <c r="L959" s="15"/>
      <c r="M959" s="12" t="s">
        <v>28</v>
      </c>
      <c r="N959" s="12"/>
      <c r="O959" s="12"/>
      <c r="P959" s="12"/>
      <c r="Q959" s="16">
        <v>0</v>
      </c>
      <c r="R959" s="16">
        <v>0</v>
      </c>
      <c r="S959" s="16"/>
      <c r="T959" s="16" t="e">
        <v>#N/A</v>
      </c>
      <c r="U959" s="16" t="e">
        <v>#N/A</v>
      </c>
    </row>
    <row r="960" spans="1:21" x14ac:dyDescent="0.25">
      <c r="A960" s="12" t="s">
        <v>21</v>
      </c>
      <c r="B960" s="12" t="s">
        <v>1021</v>
      </c>
      <c r="C960" s="12" t="s">
        <v>23</v>
      </c>
      <c r="D960" s="13">
        <v>46266.424675925926</v>
      </c>
      <c r="E960" s="12" t="s">
        <v>24</v>
      </c>
      <c r="F960" s="12" t="s">
        <v>1028</v>
      </c>
      <c r="G960" s="12">
        <v>4</v>
      </c>
      <c r="H960" s="12">
        <v>4</v>
      </c>
      <c r="I960" s="14"/>
      <c r="J960" s="14" t="s">
        <v>61</v>
      </c>
      <c r="K960" s="12" t="s">
        <v>1058</v>
      </c>
      <c r="L960" s="15">
        <v>1</v>
      </c>
      <c r="M960" s="12" t="s">
        <v>150</v>
      </c>
      <c r="N960" s="12">
        <v>4</v>
      </c>
      <c r="O960" s="12">
        <v>4</v>
      </c>
      <c r="P960" s="12">
        <v>0</v>
      </c>
      <c r="Q960" s="16">
        <v>4</v>
      </c>
      <c r="R960" s="16">
        <v>0</v>
      </c>
      <c r="S960" s="16"/>
      <c r="T960" s="16" t="e">
        <v>#N/A</v>
      </c>
      <c r="U960" s="16" t="e">
        <v>#N/A</v>
      </c>
    </row>
    <row r="961" spans="1:21" x14ac:dyDescent="0.25">
      <c r="A961" s="12" t="s">
        <v>21</v>
      </c>
      <c r="B961" s="12" t="s">
        <v>1021</v>
      </c>
      <c r="C961" s="12" t="s">
        <v>23</v>
      </c>
      <c r="D961" s="13">
        <v>46266.424675925926</v>
      </c>
      <c r="E961" s="12" t="s">
        <v>24</v>
      </c>
      <c r="F961" s="12" t="s">
        <v>1029</v>
      </c>
      <c r="G961" s="12">
        <v>10</v>
      </c>
      <c r="H961" s="12">
        <v>10</v>
      </c>
      <c r="I961" s="14"/>
      <c r="J961" s="14" t="s">
        <v>61</v>
      </c>
      <c r="K961" s="12" t="s">
        <v>1059</v>
      </c>
      <c r="L961" s="15">
        <v>1</v>
      </c>
      <c r="M961" s="12" t="s">
        <v>150</v>
      </c>
      <c r="N961" s="12">
        <v>10</v>
      </c>
      <c r="O961" s="12">
        <v>10</v>
      </c>
      <c r="P961" s="12">
        <v>0</v>
      </c>
      <c r="Q961" s="16">
        <v>10</v>
      </c>
      <c r="R961" s="16">
        <v>0</v>
      </c>
      <c r="S961" s="16"/>
      <c r="T961" s="16" t="e">
        <v>#N/A</v>
      </c>
      <c r="U961" s="16" t="e">
        <v>#N/A</v>
      </c>
    </row>
    <row r="962" spans="1:21" x14ac:dyDescent="0.25">
      <c r="A962" s="12" t="s">
        <v>21</v>
      </c>
      <c r="B962" s="12" t="s">
        <v>1021</v>
      </c>
      <c r="C962" s="12" t="s">
        <v>23</v>
      </c>
      <c r="D962" s="13">
        <v>46266.424675925926</v>
      </c>
      <c r="E962" s="12" t="s">
        <v>24</v>
      </c>
      <c r="F962" s="12" t="s">
        <v>1030</v>
      </c>
      <c r="G962" s="12">
        <v>55</v>
      </c>
      <c r="H962" s="12">
        <v>55</v>
      </c>
      <c r="I962" s="14"/>
      <c r="J962" s="14" t="s">
        <v>61</v>
      </c>
      <c r="K962" s="12" t="s">
        <v>1060</v>
      </c>
      <c r="L962" s="15">
        <v>1</v>
      </c>
      <c r="M962" s="12" t="s">
        <v>150</v>
      </c>
      <c r="N962" s="12">
        <v>55</v>
      </c>
      <c r="O962" s="12">
        <v>55</v>
      </c>
      <c r="P962" s="12">
        <v>0</v>
      </c>
      <c r="Q962" s="16">
        <v>55</v>
      </c>
      <c r="R962" s="16">
        <v>0</v>
      </c>
      <c r="S962" s="16"/>
      <c r="T962" s="16" t="e">
        <v>#N/A</v>
      </c>
      <c r="U962" s="16" t="e">
        <v>#N/A</v>
      </c>
    </row>
    <row r="963" spans="1:21" x14ac:dyDescent="0.25">
      <c r="A963" s="12" t="s">
        <v>21</v>
      </c>
      <c r="B963" s="12" t="s">
        <v>1021</v>
      </c>
      <c r="C963" s="12" t="s">
        <v>23</v>
      </c>
      <c r="D963" s="13">
        <v>46266.424675925926</v>
      </c>
      <c r="E963" s="12" t="s">
        <v>24</v>
      </c>
      <c r="F963" s="12" t="s">
        <v>1031</v>
      </c>
      <c r="G963" s="12">
        <v>5</v>
      </c>
      <c r="H963" s="12">
        <v>5</v>
      </c>
      <c r="I963" s="14"/>
      <c r="J963" s="14" t="s">
        <v>26</v>
      </c>
      <c r="K963" s="12" t="s">
        <v>27</v>
      </c>
      <c r="L963" s="15"/>
      <c r="M963" s="12" t="s">
        <v>28</v>
      </c>
      <c r="N963" s="12"/>
      <c r="O963" s="12"/>
      <c r="P963" s="12"/>
      <c r="Q963" s="16">
        <v>0</v>
      </c>
      <c r="R963" s="16">
        <v>0</v>
      </c>
      <c r="S963" s="16"/>
      <c r="T963" s="16" t="e">
        <v>#N/A</v>
      </c>
      <c r="U963" s="16" t="e">
        <v>#N/A</v>
      </c>
    </row>
    <row r="964" spans="1:21" x14ac:dyDescent="0.25">
      <c r="A964" s="12" t="s">
        <v>21</v>
      </c>
      <c r="B964" s="12" t="s">
        <v>1021</v>
      </c>
      <c r="C964" s="12" t="s">
        <v>23</v>
      </c>
      <c r="D964" s="13">
        <v>46266.424675925926</v>
      </c>
      <c r="E964" s="12" t="s">
        <v>24</v>
      </c>
      <c r="F964" s="12" t="s">
        <v>1032</v>
      </c>
      <c r="G964" s="12">
        <v>7</v>
      </c>
      <c r="H964" s="12">
        <v>7</v>
      </c>
      <c r="I964" s="14"/>
      <c r="J964" s="14" t="s">
        <v>61</v>
      </c>
      <c r="K964" s="12" t="s">
        <v>1061</v>
      </c>
      <c r="L964" s="15">
        <v>1</v>
      </c>
      <c r="M964" s="12" t="s">
        <v>150</v>
      </c>
      <c r="N964" s="12">
        <v>7</v>
      </c>
      <c r="O964" s="12">
        <v>7</v>
      </c>
      <c r="P964" s="12">
        <v>0</v>
      </c>
      <c r="Q964" s="16">
        <v>7</v>
      </c>
      <c r="R964" s="16">
        <v>0</v>
      </c>
      <c r="S964" s="16"/>
      <c r="T964" s="16" t="e">
        <v>#N/A</v>
      </c>
      <c r="U964" s="16" t="e">
        <v>#N/A</v>
      </c>
    </row>
    <row r="965" spans="1:21" x14ac:dyDescent="0.25">
      <c r="A965" s="12" t="s">
        <v>21</v>
      </c>
      <c r="B965" s="12" t="s">
        <v>1021</v>
      </c>
      <c r="C965" s="12" t="s">
        <v>23</v>
      </c>
      <c r="D965" s="13">
        <v>46266.424675925926</v>
      </c>
      <c r="E965" s="12" t="s">
        <v>24</v>
      </c>
      <c r="F965" s="12" t="s">
        <v>1033</v>
      </c>
      <c r="G965" s="12">
        <v>12</v>
      </c>
      <c r="H965" s="12">
        <v>12</v>
      </c>
      <c r="I965" s="14"/>
      <c r="J965" s="14" t="s">
        <v>61</v>
      </c>
      <c r="K965" s="12" t="s">
        <v>1062</v>
      </c>
      <c r="L965" s="15">
        <v>1</v>
      </c>
      <c r="M965" s="12" t="s">
        <v>150</v>
      </c>
      <c r="N965" s="12">
        <v>12</v>
      </c>
      <c r="O965" s="12">
        <v>12</v>
      </c>
      <c r="P965" s="12">
        <v>0</v>
      </c>
      <c r="Q965" s="16">
        <v>12</v>
      </c>
      <c r="R965" s="16">
        <v>0</v>
      </c>
      <c r="S965" s="16"/>
      <c r="T965" s="16" t="e">
        <v>#N/A</v>
      </c>
      <c r="U965" s="16" t="e">
        <v>#N/A</v>
      </c>
    </row>
    <row r="966" spans="1:21" x14ac:dyDescent="0.25">
      <c r="A966" s="12" t="s">
        <v>21</v>
      </c>
      <c r="B966" s="12" t="s">
        <v>1021</v>
      </c>
      <c r="C966" s="12" t="s">
        <v>23</v>
      </c>
      <c r="D966" s="13">
        <v>46266.424675925926</v>
      </c>
      <c r="E966" s="12" t="s">
        <v>24</v>
      </c>
      <c r="F966" s="12" t="s">
        <v>1034</v>
      </c>
      <c r="G966" s="12">
        <v>4</v>
      </c>
      <c r="H966" s="12">
        <v>4</v>
      </c>
      <c r="I966" s="14"/>
      <c r="J966" s="14" t="s">
        <v>26</v>
      </c>
      <c r="K966" s="12" t="s">
        <v>27</v>
      </c>
      <c r="L966" s="15"/>
      <c r="M966" s="12" t="s">
        <v>28</v>
      </c>
      <c r="N966" s="12"/>
      <c r="O966" s="12"/>
      <c r="P966" s="12"/>
      <c r="Q966" s="16">
        <v>0</v>
      </c>
      <c r="R966" s="16">
        <v>0</v>
      </c>
      <c r="S966" s="16"/>
      <c r="T966" s="16" t="e">
        <v>#N/A</v>
      </c>
      <c r="U966" s="16" t="e">
        <v>#N/A</v>
      </c>
    </row>
    <row r="967" spans="1:21" x14ac:dyDescent="0.25">
      <c r="A967" s="12" t="s">
        <v>21</v>
      </c>
      <c r="B967" s="12" t="s">
        <v>1021</v>
      </c>
      <c r="C967" s="12" t="s">
        <v>23</v>
      </c>
      <c r="D967" s="13">
        <v>46266.424675925926</v>
      </c>
      <c r="E967" s="12" t="s">
        <v>24</v>
      </c>
      <c r="F967" s="12" t="s">
        <v>966</v>
      </c>
      <c r="G967" s="12">
        <v>1</v>
      </c>
      <c r="H967" s="12">
        <v>1</v>
      </c>
      <c r="I967" s="14"/>
      <c r="J967" s="14" t="s">
        <v>61</v>
      </c>
      <c r="K967" s="12" t="s">
        <v>1063</v>
      </c>
      <c r="L967" s="15">
        <v>1</v>
      </c>
      <c r="M967" s="12" t="s">
        <v>150</v>
      </c>
      <c r="N967" s="12">
        <v>1</v>
      </c>
      <c r="O967" s="12">
        <v>1</v>
      </c>
      <c r="P967" s="12">
        <v>0</v>
      </c>
      <c r="Q967" s="16">
        <v>1</v>
      </c>
      <c r="R967" s="16">
        <v>0</v>
      </c>
      <c r="S967" s="16"/>
      <c r="T967" s="16" t="e">
        <v>#N/A</v>
      </c>
      <c r="U967" s="16" t="e">
        <v>#N/A</v>
      </c>
    </row>
    <row r="968" spans="1:21" x14ac:dyDescent="0.25">
      <c r="A968" s="12" t="s">
        <v>21</v>
      </c>
      <c r="B968" s="12" t="s">
        <v>1021</v>
      </c>
      <c r="C968" s="12" t="s">
        <v>23</v>
      </c>
      <c r="D968" s="13">
        <v>46266.424675925926</v>
      </c>
      <c r="E968" s="12" t="s">
        <v>24</v>
      </c>
      <c r="F968" s="12" t="s">
        <v>1035</v>
      </c>
      <c r="G968" s="12">
        <v>10</v>
      </c>
      <c r="H968" s="12">
        <v>10</v>
      </c>
      <c r="I968" s="14"/>
      <c r="J968" s="14" t="s">
        <v>61</v>
      </c>
      <c r="K968" s="12" t="s">
        <v>1064</v>
      </c>
      <c r="L968" s="15">
        <v>1</v>
      </c>
      <c r="M968" s="12" t="s">
        <v>150</v>
      </c>
      <c r="N968" s="12">
        <v>10</v>
      </c>
      <c r="O968" s="12">
        <v>10</v>
      </c>
      <c r="P968" s="12">
        <v>0</v>
      </c>
      <c r="Q968" s="16">
        <v>10</v>
      </c>
      <c r="R968" s="16">
        <v>0</v>
      </c>
      <c r="S968" s="16"/>
      <c r="T968" s="16" t="e">
        <v>#N/A</v>
      </c>
      <c r="U968" s="16" t="e">
        <v>#N/A</v>
      </c>
    </row>
    <row r="969" spans="1:21" x14ac:dyDescent="0.25">
      <c r="A969" s="12" t="s">
        <v>21</v>
      </c>
      <c r="B969" s="12" t="s">
        <v>1021</v>
      </c>
      <c r="C969" s="12" t="s">
        <v>23</v>
      </c>
      <c r="D969" s="13">
        <v>46266.424675925926</v>
      </c>
      <c r="E969" s="12" t="s">
        <v>24</v>
      </c>
      <c r="F969" s="12" t="s">
        <v>1036</v>
      </c>
      <c r="G969" s="12">
        <v>10</v>
      </c>
      <c r="H969" s="12">
        <v>10</v>
      </c>
      <c r="I969" s="14"/>
      <c r="J969" s="14" t="s">
        <v>61</v>
      </c>
      <c r="K969" s="12" t="s">
        <v>1065</v>
      </c>
      <c r="L969" s="15">
        <v>1</v>
      </c>
      <c r="M969" s="12" t="s">
        <v>150</v>
      </c>
      <c r="N969" s="12">
        <v>10</v>
      </c>
      <c r="O969" s="12">
        <v>10</v>
      </c>
      <c r="P969" s="12">
        <v>0</v>
      </c>
      <c r="Q969" s="16">
        <v>10</v>
      </c>
      <c r="R969" s="16">
        <v>0</v>
      </c>
      <c r="S969" s="16"/>
      <c r="T969" s="16" t="e">
        <v>#N/A</v>
      </c>
      <c r="U969" s="16" t="e">
        <v>#N/A</v>
      </c>
    </row>
    <row r="970" spans="1:21" x14ac:dyDescent="0.25">
      <c r="A970" s="12" t="s">
        <v>21</v>
      </c>
      <c r="B970" s="12" t="s">
        <v>1021</v>
      </c>
      <c r="C970" s="12" t="s">
        <v>23</v>
      </c>
      <c r="D970" s="13">
        <v>46266.424675925926</v>
      </c>
      <c r="E970" s="12" t="s">
        <v>24</v>
      </c>
      <c r="F970" s="12" t="s">
        <v>531</v>
      </c>
      <c r="G970" s="12">
        <v>8</v>
      </c>
      <c r="H970" s="12">
        <v>8</v>
      </c>
      <c r="I970" s="14"/>
      <c r="J970" s="14" t="s">
        <v>61</v>
      </c>
      <c r="K970" s="12" t="s">
        <v>1066</v>
      </c>
      <c r="L970" s="15">
        <v>1</v>
      </c>
      <c r="M970" s="12" t="s">
        <v>150</v>
      </c>
      <c r="N970" s="12">
        <v>8</v>
      </c>
      <c r="O970" s="12">
        <v>8</v>
      </c>
      <c r="P970" s="12">
        <v>0</v>
      </c>
      <c r="Q970" s="16">
        <v>8</v>
      </c>
      <c r="R970" s="16">
        <v>0</v>
      </c>
      <c r="S970" s="16"/>
      <c r="T970" s="16" t="e">
        <v>#N/A</v>
      </c>
      <c r="U970" s="16" t="e">
        <v>#N/A</v>
      </c>
    </row>
    <row r="971" spans="1:21" x14ac:dyDescent="0.25">
      <c r="A971" s="12" t="s">
        <v>21</v>
      </c>
      <c r="B971" s="12" t="s">
        <v>1021</v>
      </c>
      <c r="C971" s="12" t="s">
        <v>23</v>
      </c>
      <c r="D971" s="13">
        <v>46266.424675925926</v>
      </c>
      <c r="E971" s="12" t="s">
        <v>24</v>
      </c>
      <c r="F971" s="12" t="s">
        <v>845</v>
      </c>
      <c r="G971" s="12">
        <v>4</v>
      </c>
      <c r="H971" s="12">
        <v>4</v>
      </c>
      <c r="I971" s="14"/>
      <c r="J971" s="14" t="s">
        <v>61</v>
      </c>
      <c r="K971" s="12" t="s">
        <v>1067</v>
      </c>
      <c r="L971" s="15">
        <v>1</v>
      </c>
      <c r="M971" s="12" t="s">
        <v>150</v>
      </c>
      <c r="N971" s="12">
        <v>4</v>
      </c>
      <c r="O971" s="12">
        <v>4</v>
      </c>
      <c r="P971" s="12">
        <v>0</v>
      </c>
      <c r="Q971" s="16">
        <v>4</v>
      </c>
      <c r="R971" s="16">
        <v>0</v>
      </c>
      <c r="S971" s="16"/>
      <c r="T971" s="16" t="e">
        <v>#N/A</v>
      </c>
      <c r="U971" s="16" t="e">
        <v>#N/A</v>
      </c>
    </row>
    <row r="972" spans="1:21" x14ac:dyDescent="0.25">
      <c r="A972" s="12" t="s">
        <v>21</v>
      </c>
      <c r="B972" s="12" t="s">
        <v>1021</v>
      </c>
      <c r="C972" s="12" t="s">
        <v>23</v>
      </c>
      <c r="D972" s="13">
        <v>46266.424675925926</v>
      </c>
      <c r="E972" s="12" t="s">
        <v>24</v>
      </c>
      <c r="F972" s="12" t="s">
        <v>381</v>
      </c>
      <c r="G972" s="12">
        <v>4</v>
      </c>
      <c r="H972" s="12">
        <v>4</v>
      </c>
      <c r="I972" s="14"/>
      <c r="J972" s="14" t="s">
        <v>26</v>
      </c>
      <c r="K972" s="12" t="s">
        <v>27</v>
      </c>
      <c r="L972" s="15"/>
      <c r="M972" s="12" t="s">
        <v>28</v>
      </c>
      <c r="N972" s="12"/>
      <c r="O972" s="12"/>
      <c r="P972" s="12"/>
      <c r="Q972" s="16">
        <v>0</v>
      </c>
      <c r="R972" s="16">
        <v>0</v>
      </c>
      <c r="S972" s="16"/>
      <c r="T972" s="16" t="e">
        <v>#N/A</v>
      </c>
      <c r="U972" s="16" t="e">
        <v>#N/A</v>
      </c>
    </row>
    <row r="973" spans="1:21" x14ac:dyDescent="0.25">
      <c r="A973" s="12" t="s">
        <v>21</v>
      </c>
      <c r="B973" s="12" t="s">
        <v>1021</v>
      </c>
      <c r="C973" s="12" t="s">
        <v>23</v>
      </c>
      <c r="D973" s="13">
        <v>46266.424675925926</v>
      </c>
      <c r="E973" s="12" t="s">
        <v>24</v>
      </c>
      <c r="F973" s="12" t="s">
        <v>1037</v>
      </c>
      <c r="G973" s="12">
        <v>6</v>
      </c>
      <c r="H973" s="12">
        <v>6</v>
      </c>
      <c r="I973" s="14"/>
      <c r="J973" s="14" t="s">
        <v>61</v>
      </c>
      <c r="K973" s="12" t="s">
        <v>1068</v>
      </c>
      <c r="L973" s="15">
        <v>1</v>
      </c>
      <c r="M973" s="12" t="s">
        <v>150</v>
      </c>
      <c r="N973" s="12">
        <v>6</v>
      </c>
      <c r="O973" s="12">
        <v>6</v>
      </c>
      <c r="P973" s="12">
        <v>0</v>
      </c>
      <c r="Q973" s="16">
        <v>6</v>
      </c>
      <c r="R973" s="16">
        <v>1</v>
      </c>
      <c r="S973" s="16"/>
      <c r="T973" s="16" t="e">
        <v>#N/A</v>
      </c>
      <c r="U973" s="16" t="e">
        <v>#N/A</v>
      </c>
    </row>
    <row r="974" spans="1:21" x14ac:dyDescent="0.25">
      <c r="A974" s="12" t="s">
        <v>21</v>
      </c>
      <c r="B974" s="12" t="s">
        <v>1021</v>
      </c>
      <c r="C974" s="12" t="s">
        <v>23</v>
      </c>
      <c r="D974" s="13">
        <v>46266.424675925926</v>
      </c>
      <c r="E974" s="12" t="s">
        <v>24</v>
      </c>
      <c r="F974" s="12" t="s">
        <v>356</v>
      </c>
      <c r="G974" s="12">
        <v>10</v>
      </c>
      <c r="H974" s="12">
        <v>10</v>
      </c>
      <c r="I974" s="14"/>
      <c r="J974" s="14" t="s">
        <v>26</v>
      </c>
      <c r="K974" s="12" t="s">
        <v>27</v>
      </c>
      <c r="L974" s="15"/>
      <c r="M974" s="12" t="s">
        <v>28</v>
      </c>
      <c r="N974" s="12"/>
      <c r="O974" s="12"/>
      <c r="P974" s="12"/>
      <c r="Q974" s="16">
        <v>0</v>
      </c>
      <c r="R974" s="16">
        <v>0</v>
      </c>
      <c r="S974" s="16"/>
      <c r="T974" s="16" t="e">
        <v>#N/A</v>
      </c>
      <c r="U974" s="16" t="e">
        <v>#N/A</v>
      </c>
    </row>
    <row r="975" spans="1:21" x14ac:dyDescent="0.25">
      <c r="A975" s="12" t="s">
        <v>21</v>
      </c>
      <c r="B975" s="12" t="s">
        <v>1021</v>
      </c>
      <c r="C975" s="12" t="s">
        <v>23</v>
      </c>
      <c r="D975" s="13">
        <v>46266.424675925926</v>
      </c>
      <c r="E975" s="12" t="s">
        <v>24</v>
      </c>
      <c r="F975" s="12" t="s">
        <v>1038</v>
      </c>
      <c r="G975" s="12">
        <v>1</v>
      </c>
      <c r="H975" s="12">
        <v>1</v>
      </c>
      <c r="I975" s="14"/>
      <c r="J975" s="14" t="s">
        <v>61</v>
      </c>
      <c r="K975" s="12" t="s">
        <v>1069</v>
      </c>
      <c r="L975" s="15">
        <v>1</v>
      </c>
      <c r="M975" s="12" t="s">
        <v>150</v>
      </c>
      <c r="N975" s="12">
        <v>1</v>
      </c>
      <c r="O975" s="12">
        <v>1</v>
      </c>
      <c r="P975" s="12">
        <v>0</v>
      </c>
      <c r="Q975" s="16">
        <v>1</v>
      </c>
      <c r="R975" s="16">
        <v>0</v>
      </c>
      <c r="S975" s="16"/>
      <c r="T975" s="16" t="e">
        <v>#N/A</v>
      </c>
      <c r="U975" s="16" t="e">
        <v>#N/A</v>
      </c>
    </row>
    <row r="976" spans="1:21" x14ac:dyDescent="0.25">
      <c r="A976" s="12" t="s">
        <v>21</v>
      </c>
      <c r="B976" s="12" t="s">
        <v>1021</v>
      </c>
      <c r="C976" s="12" t="s">
        <v>23</v>
      </c>
      <c r="D976" s="13">
        <v>46266.424675925926</v>
      </c>
      <c r="E976" s="12" t="s">
        <v>24</v>
      </c>
      <c r="F976" s="12" t="s">
        <v>1039</v>
      </c>
      <c r="G976" s="12">
        <v>3</v>
      </c>
      <c r="H976" s="12">
        <v>3</v>
      </c>
      <c r="I976" s="14"/>
      <c r="J976" s="14" t="s">
        <v>61</v>
      </c>
      <c r="K976" s="12" t="s">
        <v>1070</v>
      </c>
      <c r="L976" s="15">
        <v>1</v>
      </c>
      <c r="M976" s="12" t="s">
        <v>150</v>
      </c>
      <c r="N976" s="12">
        <v>3</v>
      </c>
      <c r="O976" s="12">
        <v>3</v>
      </c>
      <c r="P976" s="12">
        <v>0</v>
      </c>
      <c r="Q976" s="16">
        <v>3</v>
      </c>
      <c r="R976" s="16">
        <v>0</v>
      </c>
      <c r="S976" s="16"/>
      <c r="T976" s="16" t="e">
        <v>#N/A</v>
      </c>
      <c r="U976" s="16" t="e">
        <v>#N/A</v>
      </c>
    </row>
    <row r="977" spans="1:21" x14ac:dyDescent="0.25">
      <c r="A977" s="12" t="s">
        <v>21</v>
      </c>
      <c r="B977" s="12" t="s">
        <v>1021</v>
      </c>
      <c r="C977" s="12" t="s">
        <v>23</v>
      </c>
      <c r="D977" s="13">
        <v>46266.424675925926</v>
      </c>
      <c r="E977" s="12" t="s">
        <v>24</v>
      </c>
      <c r="F977" s="12" t="s">
        <v>1040</v>
      </c>
      <c r="G977" s="12">
        <v>3</v>
      </c>
      <c r="H977" s="12">
        <v>3</v>
      </c>
      <c r="I977" s="14"/>
      <c r="J977" s="14" t="s">
        <v>61</v>
      </c>
      <c r="K977" s="12" t="s">
        <v>1071</v>
      </c>
      <c r="L977" s="15">
        <v>1</v>
      </c>
      <c r="M977" s="12" t="s">
        <v>150</v>
      </c>
      <c r="N977" s="12">
        <v>3</v>
      </c>
      <c r="O977" s="12">
        <v>3</v>
      </c>
      <c r="P977" s="12">
        <v>0</v>
      </c>
      <c r="Q977" s="16">
        <v>3</v>
      </c>
      <c r="R977" s="16">
        <v>2</v>
      </c>
      <c r="S977" s="16"/>
      <c r="T977" s="16" t="e">
        <v>#N/A</v>
      </c>
      <c r="U977" s="16" t="e">
        <v>#N/A</v>
      </c>
    </row>
    <row r="978" spans="1:21" x14ac:dyDescent="0.25">
      <c r="A978" s="12" t="s">
        <v>21</v>
      </c>
      <c r="B978" s="12" t="s">
        <v>1021</v>
      </c>
      <c r="C978" s="12" t="s">
        <v>23</v>
      </c>
      <c r="D978" s="13">
        <v>46266.424675925926</v>
      </c>
      <c r="E978" s="12" t="s">
        <v>24</v>
      </c>
      <c r="F978" s="12" t="s">
        <v>1041</v>
      </c>
      <c r="G978" s="12">
        <v>18</v>
      </c>
      <c r="H978" s="12">
        <v>18</v>
      </c>
      <c r="I978" s="14"/>
      <c r="J978" s="14" t="s">
        <v>61</v>
      </c>
      <c r="K978" s="12" t="s">
        <v>1072</v>
      </c>
      <c r="L978" s="15">
        <v>1</v>
      </c>
      <c r="M978" s="12" t="s">
        <v>150</v>
      </c>
      <c r="N978" s="12">
        <v>18</v>
      </c>
      <c r="O978" s="12">
        <v>18</v>
      </c>
      <c r="P978" s="12">
        <v>0</v>
      </c>
      <c r="Q978" s="16">
        <v>18</v>
      </c>
      <c r="R978" s="16">
        <v>0</v>
      </c>
      <c r="S978" s="16"/>
      <c r="T978" s="16" t="e">
        <v>#N/A</v>
      </c>
      <c r="U978" s="16" t="e">
        <v>#N/A</v>
      </c>
    </row>
    <row r="979" spans="1:21" x14ac:dyDescent="0.25">
      <c r="A979" s="12" t="s">
        <v>21</v>
      </c>
      <c r="B979" s="12" t="s">
        <v>1021</v>
      </c>
      <c r="C979" s="12" t="s">
        <v>23</v>
      </c>
      <c r="D979" s="13">
        <v>46266.424675925926</v>
      </c>
      <c r="E979" s="12" t="s">
        <v>24</v>
      </c>
      <c r="F979" s="12" t="s">
        <v>1042</v>
      </c>
      <c r="G979" s="12">
        <v>33</v>
      </c>
      <c r="H979" s="12">
        <v>33</v>
      </c>
      <c r="I979" s="14"/>
      <c r="J979" s="14" t="s">
        <v>26</v>
      </c>
      <c r="K979" s="12" t="s">
        <v>27</v>
      </c>
      <c r="L979" s="15"/>
      <c r="M979" s="12" t="s">
        <v>28</v>
      </c>
      <c r="N979" s="12"/>
      <c r="O979" s="12"/>
      <c r="P979" s="12"/>
      <c r="Q979" s="16">
        <v>0</v>
      </c>
      <c r="R979" s="16">
        <v>0</v>
      </c>
      <c r="S979" s="16"/>
      <c r="T979" s="16" t="e">
        <v>#N/A</v>
      </c>
      <c r="U979" s="16" t="e">
        <v>#N/A</v>
      </c>
    </row>
    <row r="980" spans="1:21" x14ac:dyDescent="0.25">
      <c r="A980" s="12" t="s">
        <v>21</v>
      </c>
      <c r="B980" s="12" t="s">
        <v>1021</v>
      </c>
      <c r="C980" s="12" t="s">
        <v>23</v>
      </c>
      <c r="D980" s="13">
        <v>46266.424675925926</v>
      </c>
      <c r="E980" s="12" t="s">
        <v>24</v>
      </c>
      <c r="F980" s="12" t="s">
        <v>1043</v>
      </c>
      <c r="G980" s="12">
        <v>33</v>
      </c>
      <c r="H980" s="12">
        <v>33</v>
      </c>
      <c r="I980" s="14"/>
      <c r="J980" s="14" t="s">
        <v>61</v>
      </c>
      <c r="K980" s="12" t="s">
        <v>1073</v>
      </c>
      <c r="L980" s="15">
        <v>1</v>
      </c>
      <c r="M980" s="12" t="s">
        <v>150</v>
      </c>
      <c r="N980" s="12">
        <v>33</v>
      </c>
      <c r="O980" s="12">
        <v>33</v>
      </c>
      <c r="P980" s="12">
        <v>0</v>
      </c>
      <c r="Q980" s="16">
        <v>33</v>
      </c>
      <c r="R980" s="16">
        <v>0</v>
      </c>
      <c r="S980" s="16"/>
      <c r="T980" s="16" t="e">
        <v>#N/A</v>
      </c>
      <c r="U980" s="16" t="e">
        <v>#N/A</v>
      </c>
    </row>
    <row r="981" spans="1:21" x14ac:dyDescent="0.25">
      <c r="A981" s="12" t="s">
        <v>21</v>
      </c>
      <c r="B981" s="12" t="s">
        <v>1021</v>
      </c>
      <c r="C981" s="12" t="s">
        <v>23</v>
      </c>
      <c r="D981" s="13">
        <v>46266.424675925926</v>
      </c>
      <c r="E981" s="12" t="s">
        <v>24</v>
      </c>
      <c r="F981" s="12" t="s">
        <v>833</v>
      </c>
      <c r="G981" s="12">
        <v>8</v>
      </c>
      <c r="H981" s="12">
        <v>8</v>
      </c>
      <c r="I981" s="14"/>
      <c r="J981" s="14" t="s">
        <v>61</v>
      </c>
      <c r="K981" s="12" t="s">
        <v>1074</v>
      </c>
      <c r="L981" s="15">
        <v>1</v>
      </c>
      <c r="M981" s="12" t="s">
        <v>150</v>
      </c>
      <c r="N981" s="12">
        <v>8</v>
      </c>
      <c r="O981" s="12">
        <v>8</v>
      </c>
      <c r="P981" s="12">
        <v>0</v>
      </c>
      <c r="Q981" s="16">
        <v>8</v>
      </c>
      <c r="R981" s="16">
        <v>0</v>
      </c>
      <c r="S981" s="16"/>
      <c r="T981" s="16" t="e">
        <v>#N/A</v>
      </c>
      <c r="U981" s="16" t="e">
        <v>#N/A</v>
      </c>
    </row>
    <row r="982" spans="1:21" x14ac:dyDescent="0.25">
      <c r="A982" s="12" t="s">
        <v>21</v>
      </c>
      <c r="B982" s="12" t="s">
        <v>1021</v>
      </c>
      <c r="C982" s="12" t="s">
        <v>23</v>
      </c>
      <c r="D982" s="13">
        <v>46266.424675925926</v>
      </c>
      <c r="E982" s="12" t="s">
        <v>24</v>
      </c>
      <c r="F982" s="12" t="s">
        <v>1044</v>
      </c>
      <c r="G982" s="12">
        <v>3</v>
      </c>
      <c r="H982" s="12">
        <v>3</v>
      </c>
      <c r="I982" s="14"/>
      <c r="J982" s="14" t="s">
        <v>61</v>
      </c>
      <c r="K982" s="12" t="s">
        <v>1075</v>
      </c>
      <c r="L982" s="15">
        <v>1</v>
      </c>
      <c r="M982" s="12" t="s">
        <v>150</v>
      </c>
      <c r="N982" s="12">
        <v>3</v>
      </c>
      <c r="O982" s="12">
        <v>3</v>
      </c>
      <c r="P982" s="12">
        <v>0</v>
      </c>
      <c r="Q982" s="16">
        <v>3</v>
      </c>
      <c r="R982" s="16">
        <v>0</v>
      </c>
      <c r="S982" s="16"/>
      <c r="T982" s="16" t="e">
        <v>#N/A</v>
      </c>
      <c r="U982" s="16" t="e">
        <v>#N/A</v>
      </c>
    </row>
    <row r="983" spans="1:21" x14ac:dyDescent="0.25">
      <c r="A983" s="12" t="s">
        <v>21</v>
      </c>
      <c r="B983" s="12" t="s">
        <v>1021</v>
      </c>
      <c r="C983" s="12" t="s">
        <v>23</v>
      </c>
      <c r="D983" s="13">
        <v>46266.424675925926</v>
      </c>
      <c r="E983" s="12" t="s">
        <v>24</v>
      </c>
      <c r="F983" s="12" t="s">
        <v>1045</v>
      </c>
      <c r="G983" s="12">
        <v>14</v>
      </c>
      <c r="H983" s="12">
        <v>14</v>
      </c>
      <c r="I983" s="14"/>
      <c r="J983" s="14" t="s">
        <v>61</v>
      </c>
      <c r="K983" s="12" t="s">
        <v>1076</v>
      </c>
      <c r="L983" s="15">
        <v>1</v>
      </c>
      <c r="M983" s="12" t="s">
        <v>150</v>
      </c>
      <c r="N983" s="12">
        <v>14</v>
      </c>
      <c r="O983" s="12">
        <v>14</v>
      </c>
      <c r="P983" s="12">
        <v>0</v>
      </c>
      <c r="Q983" s="16">
        <v>14</v>
      </c>
      <c r="R983" s="16">
        <v>2</v>
      </c>
      <c r="S983" s="16"/>
      <c r="T983" s="16" t="e">
        <v>#N/A</v>
      </c>
      <c r="U983" s="16" t="e">
        <v>#N/A</v>
      </c>
    </row>
    <row r="984" spans="1:21" x14ac:dyDescent="0.25">
      <c r="A984" s="12" t="s">
        <v>21</v>
      </c>
      <c r="B984" s="12" t="s">
        <v>1021</v>
      </c>
      <c r="C984" s="12" t="s">
        <v>23</v>
      </c>
      <c r="D984" s="13">
        <v>46266.424675925926</v>
      </c>
      <c r="E984" s="12" t="s">
        <v>24</v>
      </c>
      <c r="F984" s="12" t="s">
        <v>1046</v>
      </c>
      <c r="G984" s="12">
        <v>5</v>
      </c>
      <c r="H984" s="12">
        <v>5</v>
      </c>
      <c r="I984" s="14"/>
      <c r="J984" s="14" t="s">
        <v>61</v>
      </c>
      <c r="K984" s="12" t="s">
        <v>1077</v>
      </c>
      <c r="L984" s="15">
        <v>1</v>
      </c>
      <c r="M984" s="12" t="s">
        <v>150</v>
      </c>
      <c r="N984" s="12">
        <v>5</v>
      </c>
      <c r="O984" s="12">
        <v>5</v>
      </c>
      <c r="P984" s="12">
        <v>0</v>
      </c>
      <c r="Q984" s="16">
        <v>5</v>
      </c>
      <c r="R984" s="16">
        <v>0</v>
      </c>
      <c r="S984" s="16"/>
      <c r="T984" s="16" t="e">
        <v>#N/A</v>
      </c>
      <c r="U984" s="16" t="e">
        <v>#N/A</v>
      </c>
    </row>
    <row r="985" spans="1:21" x14ac:dyDescent="0.25">
      <c r="A985" s="12" t="s">
        <v>21</v>
      </c>
      <c r="B985" s="12" t="s">
        <v>1021</v>
      </c>
      <c r="C985" s="12" t="s">
        <v>23</v>
      </c>
      <c r="D985" s="13">
        <v>46266.424675925926</v>
      </c>
      <c r="E985" s="12" t="s">
        <v>24</v>
      </c>
      <c r="F985" s="12" t="s">
        <v>1047</v>
      </c>
      <c r="G985" s="12">
        <v>6</v>
      </c>
      <c r="H985" s="12">
        <v>6</v>
      </c>
      <c r="I985" s="14"/>
      <c r="J985" s="14" t="s">
        <v>26</v>
      </c>
      <c r="K985" s="12" t="s">
        <v>27</v>
      </c>
      <c r="L985" s="15"/>
      <c r="M985" s="12" t="s">
        <v>28</v>
      </c>
      <c r="N985" s="12"/>
      <c r="O985" s="12"/>
      <c r="P985" s="12"/>
      <c r="Q985" s="16">
        <v>0</v>
      </c>
      <c r="R985" s="16">
        <v>0</v>
      </c>
      <c r="S985" s="16"/>
      <c r="T985" s="16" t="e">
        <v>#N/A</v>
      </c>
      <c r="U985" s="16" t="e">
        <v>#N/A</v>
      </c>
    </row>
    <row r="986" spans="1:21" x14ac:dyDescent="0.25">
      <c r="A986" s="12" t="s">
        <v>21</v>
      </c>
      <c r="B986" s="12" t="s">
        <v>1021</v>
      </c>
      <c r="C986" s="12" t="s">
        <v>23</v>
      </c>
      <c r="D986" s="13">
        <v>46266.424675925926</v>
      </c>
      <c r="E986" s="12" t="s">
        <v>24</v>
      </c>
      <c r="F986" s="12" t="s">
        <v>1048</v>
      </c>
      <c r="G986" s="12">
        <v>12</v>
      </c>
      <c r="H986" s="12">
        <v>12</v>
      </c>
      <c r="I986" s="14"/>
      <c r="J986" s="14" t="s">
        <v>61</v>
      </c>
      <c r="K986" s="12" t="s">
        <v>1078</v>
      </c>
      <c r="L986" s="15">
        <v>1</v>
      </c>
      <c r="M986" s="12" t="s">
        <v>150</v>
      </c>
      <c r="N986" s="12">
        <v>12</v>
      </c>
      <c r="O986" s="12">
        <v>12</v>
      </c>
      <c r="P986" s="12">
        <v>0</v>
      </c>
      <c r="Q986" s="16">
        <v>12</v>
      </c>
      <c r="R986" s="16">
        <v>0</v>
      </c>
      <c r="S986" s="16"/>
      <c r="T986" s="16" t="e">
        <v>#N/A</v>
      </c>
      <c r="U986" s="16" t="e">
        <v>#N/A</v>
      </c>
    </row>
    <row r="987" spans="1:21" x14ac:dyDescent="0.25">
      <c r="A987" s="12" t="s">
        <v>21</v>
      </c>
      <c r="B987" s="12" t="s">
        <v>1021</v>
      </c>
      <c r="C987" s="12" t="s">
        <v>23</v>
      </c>
      <c r="D987" s="13">
        <v>46266.424675925926</v>
      </c>
      <c r="E987" s="12" t="s">
        <v>24</v>
      </c>
      <c r="F987" s="12" t="s">
        <v>1049</v>
      </c>
      <c r="G987" s="12">
        <v>4</v>
      </c>
      <c r="H987" s="12">
        <v>4</v>
      </c>
      <c r="I987" s="14"/>
      <c r="J987" s="14" t="s">
        <v>61</v>
      </c>
      <c r="K987" s="12" t="s">
        <v>1079</v>
      </c>
      <c r="L987" s="15">
        <v>1</v>
      </c>
      <c r="M987" s="12" t="s">
        <v>150</v>
      </c>
      <c r="N987" s="12">
        <v>4</v>
      </c>
      <c r="O987" s="12">
        <v>4</v>
      </c>
      <c r="P987" s="12">
        <v>0</v>
      </c>
      <c r="Q987" s="16">
        <v>4</v>
      </c>
      <c r="R987" s="16">
        <v>0</v>
      </c>
      <c r="S987" s="16"/>
      <c r="T987" s="16" t="e">
        <v>#N/A</v>
      </c>
      <c r="U987" s="16" t="e">
        <v>#N/A</v>
      </c>
    </row>
    <row r="988" spans="1:21" x14ac:dyDescent="0.25">
      <c r="A988" s="12" t="s">
        <v>21</v>
      </c>
      <c r="B988" s="12" t="s">
        <v>1021</v>
      </c>
      <c r="C988" s="12" t="s">
        <v>23</v>
      </c>
      <c r="D988" s="13">
        <v>46266.424675925926</v>
      </c>
      <c r="E988" s="12" t="s">
        <v>24</v>
      </c>
      <c r="F988" s="12" t="s">
        <v>834</v>
      </c>
      <c r="G988" s="12">
        <v>16</v>
      </c>
      <c r="H988" s="12">
        <v>16</v>
      </c>
      <c r="I988" s="14"/>
      <c r="J988" s="14" t="s">
        <v>61</v>
      </c>
      <c r="K988" s="12" t="s">
        <v>1080</v>
      </c>
      <c r="L988" s="15">
        <v>1</v>
      </c>
      <c r="M988" s="12" t="s">
        <v>150</v>
      </c>
      <c r="N988" s="12">
        <v>16</v>
      </c>
      <c r="O988" s="12">
        <v>16</v>
      </c>
      <c r="P988" s="12">
        <v>0</v>
      </c>
      <c r="Q988" s="16">
        <v>16</v>
      </c>
      <c r="R988" s="16">
        <v>0</v>
      </c>
      <c r="S988" s="16"/>
      <c r="T988" s="16" t="e">
        <v>#N/A</v>
      </c>
      <c r="U988" s="16" t="e">
        <v>#N/A</v>
      </c>
    </row>
    <row r="989" spans="1:21" x14ac:dyDescent="0.25">
      <c r="A989" s="12" t="s">
        <v>21</v>
      </c>
      <c r="B989" s="12" t="s">
        <v>1021</v>
      </c>
      <c r="C989" s="12" t="s">
        <v>23</v>
      </c>
      <c r="D989" s="13">
        <v>46266.424675925926</v>
      </c>
      <c r="E989" s="12" t="s">
        <v>24</v>
      </c>
      <c r="F989" s="12" t="s">
        <v>1050</v>
      </c>
      <c r="G989" s="12">
        <v>14</v>
      </c>
      <c r="H989" s="12">
        <v>14</v>
      </c>
      <c r="I989" s="14"/>
      <c r="J989" s="14" t="s">
        <v>26</v>
      </c>
      <c r="K989" s="12" t="s">
        <v>27</v>
      </c>
      <c r="L989" s="15"/>
      <c r="M989" s="12" t="s">
        <v>28</v>
      </c>
      <c r="N989" s="12"/>
      <c r="O989" s="12"/>
      <c r="P989" s="12"/>
      <c r="Q989" s="16">
        <v>0</v>
      </c>
      <c r="R989" s="16">
        <v>0</v>
      </c>
      <c r="S989" s="16">
        <v>3</v>
      </c>
      <c r="T989" s="16" t="e">
        <v>#N/A</v>
      </c>
      <c r="U989" s="16" t="e">
        <v>#N/A</v>
      </c>
    </row>
    <row r="990" spans="1:21" x14ac:dyDescent="0.25">
      <c r="A990" s="12" t="s">
        <v>21</v>
      </c>
      <c r="B990" s="12" t="s">
        <v>1021</v>
      </c>
      <c r="C990" s="12" t="s">
        <v>23</v>
      </c>
      <c r="D990" s="13">
        <v>46266.424675925926</v>
      </c>
      <c r="E990" s="12" t="s">
        <v>24</v>
      </c>
      <c r="F990" s="12" t="s">
        <v>1051</v>
      </c>
      <c r="G990" s="12">
        <v>14</v>
      </c>
      <c r="H990" s="12">
        <v>14</v>
      </c>
      <c r="I990" s="14"/>
      <c r="J990" s="14" t="s">
        <v>61</v>
      </c>
      <c r="K990" s="12" t="s">
        <v>1081</v>
      </c>
      <c r="L990" s="15">
        <v>1</v>
      </c>
      <c r="M990" s="12" t="s">
        <v>150</v>
      </c>
      <c r="N990" s="12">
        <v>14</v>
      </c>
      <c r="O990" s="12">
        <v>14</v>
      </c>
      <c r="P990" s="12">
        <v>0</v>
      </c>
      <c r="Q990" s="16">
        <v>14</v>
      </c>
      <c r="R990" s="16">
        <v>0</v>
      </c>
      <c r="S990" s="16"/>
      <c r="T990" s="16" t="e">
        <v>#N/A</v>
      </c>
      <c r="U990" s="16" t="e">
        <v>#N/A</v>
      </c>
    </row>
    <row r="991" spans="1:21" x14ac:dyDescent="0.25">
      <c r="A991" s="12" t="s">
        <v>21</v>
      </c>
      <c r="B991" s="12" t="s">
        <v>1082</v>
      </c>
      <c r="C991" s="12" t="s">
        <v>23</v>
      </c>
      <c r="D991" s="13">
        <v>46266.490532407406</v>
      </c>
      <c r="E991" s="12" t="s">
        <v>505</v>
      </c>
      <c r="F991" s="12" t="s">
        <v>243</v>
      </c>
      <c r="G991" s="12">
        <v>24</v>
      </c>
      <c r="H991" s="12">
        <v>24</v>
      </c>
      <c r="I991" s="14"/>
      <c r="J991" s="14" t="s">
        <v>61</v>
      </c>
      <c r="K991" s="12" t="s">
        <v>1083</v>
      </c>
      <c r="L991" s="15">
        <v>1</v>
      </c>
      <c r="M991" s="12" t="s">
        <v>150</v>
      </c>
      <c r="N991" s="12">
        <v>24</v>
      </c>
      <c r="O991" s="12">
        <v>24</v>
      </c>
      <c r="P991" s="12">
        <v>0</v>
      </c>
      <c r="Q991" s="16">
        <v>40</v>
      </c>
      <c r="R991" s="16">
        <v>1</v>
      </c>
      <c r="S991" s="16"/>
      <c r="T991" s="16" t="e">
        <v>#N/A</v>
      </c>
      <c r="U991" s="16" t="e">
        <v>#N/A</v>
      </c>
    </row>
    <row r="992" spans="1:21" x14ac:dyDescent="0.25">
      <c r="A992" s="12" t="s">
        <v>21</v>
      </c>
      <c r="B992" s="12" t="s">
        <v>1082</v>
      </c>
      <c r="C992" s="12" t="s">
        <v>23</v>
      </c>
      <c r="D992" s="13">
        <v>46266.490532407406</v>
      </c>
      <c r="E992" s="12" t="s">
        <v>505</v>
      </c>
      <c r="F992" s="12" t="s">
        <v>158</v>
      </c>
      <c r="G992" s="12">
        <v>20</v>
      </c>
      <c r="H992" s="12">
        <v>20</v>
      </c>
      <c r="I992" s="14"/>
      <c r="J992" s="14" t="s">
        <v>61</v>
      </c>
      <c r="K992" s="12" t="s">
        <v>27</v>
      </c>
      <c r="L992" s="15"/>
      <c r="M992" s="12" t="s">
        <v>28</v>
      </c>
      <c r="N992" s="12"/>
      <c r="O992" s="12"/>
      <c r="P992" s="12"/>
      <c r="Q992" s="16">
        <v>40</v>
      </c>
      <c r="R992" s="16">
        <v>0</v>
      </c>
      <c r="S992" s="16"/>
      <c r="T992" s="16" t="e">
        <v>#N/A</v>
      </c>
      <c r="U992" s="16" t="e">
        <v>#N/A</v>
      </c>
    </row>
    <row r="993" spans="1:21" x14ac:dyDescent="0.25">
      <c r="A993" s="12" t="s">
        <v>21</v>
      </c>
      <c r="B993" s="12" t="s">
        <v>1082</v>
      </c>
      <c r="C993" s="12" t="s">
        <v>23</v>
      </c>
      <c r="D993" s="13">
        <v>46266.490532407406</v>
      </c>
      <c r="E993" s="12" t="s">
        <v>505</v>
      </c>
      <c r="F993" s="12" t="s">
        <v>289</v>
      </c>
      <c r="G993" s="12">
        <v>8</v>
      </c>
      <c r="H993" s="12">
        <v>8</v>
      </c>
      <c r="I993" s="14"/>
      <c r="J993" s="14" t="s">
        <v>61</v>
      </c>
      <c r="K993" s="12" t="s">
        <v>1084</v>
      </c>
      <c r="L993" s="15">
        <v>1</v>
      </c>
      <c r="M993" s="12" t="s">
        <v>150</v>
      </c>
      <c r="N993" s="12">
        <v>8</v>
      </c>
      <c r="O993" s="12">
        <v>8</v>
      </c>
      <c r="P993" s="12">
        <v>0</v>
      </c>
      <c r="Q993" s="16">
        <v>40</v>
      </c>
      <c r="R993" s="16">
        <v>0</v>
      </c>
      <c r="S993" s="16"/>
      <c r="T993" s="16" t="e">
        <v>#N/A</v>
      </c>
      <c r="U993" s="16" t="e">
        <v>#N/A</v>
      </c>
    </row>
    <row r="994" spans="1:21" x14ac:dyDescent="0.25">
      <c r="A994" s="12" t="s">
        <v>21</v>
      </c>
      <c r="B994" s="12" t="s">
        <v>1082</v>
      </c>
      <c r="C994" s="12" t="s">
        <v>23</v>
      </c>
      <c r="D994" s="13">
        <v>46266.490532407406</v>
      </c>
      <c r="E994" s="12" t="s">
        <v>505</v>
      </c>
      <c r="F994" s="12" t="s">
        <v>553</v>
      </c>
      <c r="G994" s="12">
        <v>16</v>
      </c>
      <c r="H994" s="12">
        <v>16</v>
      </c>
      <c r="I994" s="14"/>
      <c r="J994" s="14" t="s">
        <v>61</v>
      </c>
      <c r="K994" s="12" t="s">
        <v>1085</v>
      </c>
      <c r="L994" s="15">
        <v>1</v>
      </c>
      <c r="M994" s="12" t="s">
        <v>150</v>
      </c>
      <c r="N994" s="12">
        <v>16</v>
      </c>
      <c r="O994" s="12">
        <v>16</v>
      </c>
      <c r="P994" s="12">
        <v>0</v>
      </c>
      <c r="Q994" s="16">
        <v>44</v>
      </c>
      <c r="R994" s="16">
        <v>2</v>
      </c>
      <c r="S994" s="16"/>
      <c r="T994" s="16" t="e">
        <v>#N/A</v>
      </c>
      <c r="U994" s="16" t="e">
        <v>#N/A</v>
      </c>
    </row>
    <row r="995" spans="1:21" x14ac:dyDescent="0.25">
      <c r="A995" s="12" t="s">
        <v>21</v>
      </c>
      <c r="B995" s="12" t="s">
        <v>1082</v>
      </c>
      <c r="C995" s="12" t="s">
        <v>23</v>
      </c>
      <c r="D995" s="13">
        <v>46266.490532407406</v>
      </c>
      <c r="E995" s="12" t="s">
        <v>505</v>
      </c>
      <c r="F995" s="12" t="s">
        <v>442</v>
      </c>
      <c r="G995" s="12">
        <v>30</v>
      </c>
      <c r="H995" s="12">
        <v>30</v>
      </c>
      <c r="I995" s="14"/>
      <c r="J995" s="14" t="s">
        <v>61</v>
      </c>
      <c r="K995" s="12" t="s">
        <v>1086</v>
      </c>
      <c r="L995" s="15">
        <v>1</v>
      </c>
      <c r="M995" s="12" t="s">
        <v>150</v>
      </c>
      <c r="N995" s="12">
        <v>30</v>
      </c>
      <c r="O995" s="12">
        <v>30</v>
      </c>
      <c r="P995" s="12">
        <v>0</v>
      </c>
      <c r="Q995" s="16">
        <v>30</v>
      </c>
      <c r="R995" s="16">
        <v>0</v>
      </c>
      <c r="S995" s="16"/>
      <c r="T995" s="16" t="e">
        <v>#N/A</v>
      </c>
      <c r="U995" s="16" t="e">
        <v>#N/A</v>
      </c>
    </row>
    <row r="996" spans="1:21" x14ac:dyDescent="0.25">
      <c r="A996" s="12" t="s">
        <v>21</v>
      </c>
      <c r="B996" s="12" t="s">
        <v>1082</v>
      </c>
      <c r="C996" s="12" t="s">
        <v>23</v>
      </c>
      <c r="D996" s="13">
        <v>46266.490532407406</v>
      </c>
      <c r="E996" s="12" t="s">
        <v>505</v>
      </c>
      <c r="F996" s="12" t="s">
        <v>71</v>
      </c>
      <c r="G996" s="12">
        <v>50</v>
      </c>
      <c r="H996" s="12">
        <v>28</v>
      </c>
      <c r="I996" s="14"/>
      <c r="J996" s="14" t="s">
        <v>61</v>
      </c>
      <c r="K996" s="12" t="s">
        <v>27</v>
      </c>
      <c r="L996" s="15"/>
      <c r="M996" s="12" t="s">
        <v>28</v>
      </c>
      <c r="N996" s="12"/>
      <c r="O996" s="12"/>
      <c r="P996" s="12"/>
      <c r="Q996" s="16">
        <v>30</v>
      </c>
      <c r="R996" s="16">
        <v>0</v>
      </c>
      <c r="S996" s="16"/>
      <c r="T996" s="16" t="e">
        <v>#N/A</v>
      </c>
      <c r="U996" s="16" t="e">
        <v>#N/A</v>
      </c>
    </row>
    <row r="997" spans="1:21" x14ac:dyDescent="0.25">
      <c r="A997" s="12" t="s">
        <v>21</v>
      </c>
      <c r="B997" s="12" t="s">
        <v>1082</v>
      </c>
      <c r="C997" s="12" t="s">
        <v>23</v>
      </c>
      <c r="D997" s="13">
        <v>46266.490532407406</v>
      </c>
      <c r="E997" s="12" t="s">
        <v>505</v>
      </c>
      <c r="F997" s="12" t="s">
        <v>283</v>
      </c>
      <c r="G997" s="12">
        <v>40</v>
      </c>
      <c r="H997" s="12">
        <v>40</v>
      </c>
      <c r="I997" s="14"/>
      <c r="J997" s="14" t="s">
        <v>61</v>
      </c>
      <c r="K997" s="12" t="s">
        <v>1087</v>
      </c>
      <c r="L997" s="15">
        <v>1</v>
      </c>
      <c r="M997" s="12" t="s">
        <v>150</v>
      </c>
      <c r="N997" s="12">
        <v>40</v>
      </c>
      <c r="O997" s="12">
        <v>40</v>
      </c>
      <c r="P997" s="12">
        <v>0</v>
      </c>
      <c r="Q997" s="16">
        <v>68</v>
      </c>
      <c r="R997" s="16">
        <v>0</v>
      </c>
      <c r="S997" s="16"/>
      <c r="T997" s="16" t="e">
        <v>#N/A</v>
      </c>
      <c r="U997" s="16" t="e">
        <v>#N/A</v>
      </c>
    </row>
    <row r="998" spans="1:21" x14ac:dyDescent="0.25">
      <c r="A998" s="12" t="s">
        <v>21</v>
      </c>
      <c r="B998" s="12" t="s">
        <v>1082</v>
      </c>
      <c r="C998" s="12" t="s">
        <v>23</v>
      </c>
      <c r="D998" s="13">
        <v>46266.490532407406</v>
      </c>
      <c r="E998" s="12" t="s">
        <v>505</v>
      </c>
      <c r="F998" s="12" t="s">
        <v>525</v>
      </c>
      <c r="G998" s="12">
        <v>28</v>
      </c>
      <c r="H998" s="12">
        <v>28</v>
      </c>
      <c r="I998" s="14"/>
      <c r="J998" s="14" t="s">
        <v>61</v>
      </c>
      <c r="K998" s="12" t="s">
        <v>27</v>
      </c>
      <c r="L998" s="15"/>
      <c r="M998" s="12" t="s">
        <v>28</v>
      </c>
      <c r="N998" s="12"/>
      <c r="O998" s="12"/>
      <c r="P998" s="12"/>
      <c r="Q998" s="16">
        <v>44</v>
      </c>
      <c r="R998" s="16">
        <v>0</v>
      </c>
      <c r="S998" s="16"/>
      <c r="T998" s="16" t="e">
        <v>#N/A</v>
      </c>
      <c r="U998" s="16" t="e">
        <v>#N/A</v>
      </c>
    </row>
    <row r="999" spans="1:21" x14ac:dyDescent="0.25">
      <c r="A999" s="12" t="s">
        <v>21</v>
      </c>
      <c r="B999" s="12" t="s">
        <v>1082</v>
      </c>
      <c r="C999" s="12" t="s">
        <v>23</v>
      </c>
      <c r="D999" s="13">
        <v>46266.490532407406</v>
      </c>
      <c r="E999" s="12" t="s">
        <v>505</v>
      </c>
      <c r="F999" s="12" t="s">
        <v>1088</v>
      </c>
      <c r="G999" s="12">
        <v>16</v>
      </c>
      <c r="H999" s="12">
        <v>16</v>
      </c>
      <c r="I999" s="14"/>
      <c r="J999" s="14" t="s">
        <v>61</v>
      </c>
      <c r="K999" s="12" t="s">
        <v>1089</v>
      </c>
      <c r="L999" s="15">
        <v>1</v>
      </c>
      <c r="M999" s="12" t="s">
        <v>150</v>
      </c>
      <c r="N999" s="12">
        <v>16</v>
      </c>
      <c r="O999" s="12">
        <v>16</v>
      </c>
      <c r="P999" s="12">
        <v>0</v>
      </c>
      <c r="Q999" s="16">
        <v>68</v>
      </c>
      <c r="R999" s="16">
        <v>8</v>
      </c>
      <c r="S999" s="16"/>
      <c r="T999" s="16" t="e">
        <v>#N/A</v>
      </c>
      <c r="U999" s="16" t="e">
        <v>#N/A</v>
      </c>
    </row>
    <row r="1000" spans="1:21" x14ac:dyDescent="0.25">
      <c r="A1000" s="12" t="s">
        <v>21</v>
      </c>
      <c r="B1000" s="12" t="s">
        <v>1082</v>
      </c>
      <c r="C1000" s="12" t="s">
        <v>23</v>
      </c>
      <c r="D1000" s="13">
        <v>46266.490532407406</v>
      </c>
      <c r="E1000" s="12" t="s">
        <v>505</v>
      </c>
      <c r="F1000" s="12" t="s">
        <v>268</v>
      </c>
      <c r="G1000" s="12">
        <v>10</v>
      </c>
      <c r="H1000" s="12">
        <v>1</v>
      </c>
      <c r="I1000" s="14"/>
      <c r="J1000" s="14" t="s">
        <v>61</v>
      </c>
      <c r="K1000" s="12" t="s">
        <v>27</v>
      </c>
      <c r="L1000" s="15"/>
      <c r="M1000" s="12" t="s">
        <v>28</v>
      </c>
      <c r="N1000" s="12"/>
      <c r="O1000" s="12"/>
      <c r="P1000" s="12"/>
      <c r="Q1000" s="16">
        <v>12</v>
      </c>
      <c r="R1000" s="16">
        <v>0</v>
      </c>
      <c r="S1000" s="16"/>
      <c r="T1000" s="16" t="e">
        <v>#N/A</v>
      </c>
      <c r="U1000" s="16" t="e">
        <v>#N/A</v>
      </c>
    </row>
    <row r="1001" spans="1:21" x14ac:dyDescent="0.25">
      <c r="A1001" s="12" t="s">
        <v>21</v>
      </c>
      <c r="B1001" s="12" t="s">
        <v>1082</v>
      </c>
      <c r="C1001" s="12" t="s">
        <v>23</v>
      </c>
      <c r="D1001" s="13">
        <v>46266.490532407406</v>
      </c>
      <c r="E1001" s="12" t="s">
        <v>505</v>
      </c>
      <c r="F1001" s="12" t="s">
        <v>479</v>
      </c>
      <c r="G1001" s="12">
        <v>8</v>
      </c>
      <c r="H1001" s="12">
        <v>8</v>
      </c>
      <c r="I1001" s="14"/>
      <c r="J1001" s="14" t="s">
        <v>61</v>
      </c>
      <c r="K1001" s="12" t="s">
        <v>1092</v>
      </c>
      <c r="L1001" s="15">
        <v>1</v>
      </c>
      <c r="M1001" s="12" t="s">
        <v>150</v>
      </c>
      <c r="N1001" s="12">
        <v>8</v>
      </c>
      <c r="O1001" s="12">
        <v>8</v>
      </c>
      <c r="P1001" s="12">
        <v>0</v>
      </c>
      <c r="Q1001" s="16">
        <v>12</v>
      </c>
      <c r="R1001" s="16">
        <v>0</v>
      </c>
      <c r="S1001" s="16"/>
      <c r="T1001" s="16" t="e">
        <v>#N/A</v>
      </c>
      <c r="U1001" s="16" t="e">
        <v>#N/A</v>
      </c>
    </row>
    <row r="1002" spans="1:21" x14ac:dyDescent="0.25">
      <c r="A1002" s="12" t="s">
        <v>21</v>
      </c>
      <c r="B1002" s="12" t="s">
        <v>1082</v>
      </c>
      <c r="C1002" s="12" t="s">
        <v>23</v>
      </c>
      <c r="D1002" s="13">
        <v>46266.490532407406</v>
      </c>
      <c r="E1002" s="12" t="s">
        <v>505</v>
      </c>
      <c r="F1002" s="12" t="s">
        <v>1090</v>
      </c>
      <c r="G1002" s="12">
        <v>8</v>
      </c>
      <c r="H1002" s="12">
        <v>8</v>
      </c>
      <c r="I1002" s="14"/>
      <c r="J1002" s="14" t="s">
        <v>61</v>
      </c>
      <c r="K1002" s="12" t="s">
        <v>1093</v>
      </c>
      <c r="L1002" s="15">
        <v>1</v>
      </c>
      <c r="M1002" s="12" t="s">
        <v>150</v>
      </c>
      <c r="N1002" s="12">
        <v>8</v>
      </c>
      <c r="O1002" s="12">
        <v>8</v>
      </c>
      <c r="P1002" s="12">
        <v>0</v>
      </c>
      <c r="Q1002" s="16">
        <v>24</v>
      </c>
      <c r="R1002" s="16">
        <v>0</v>
      </c>
      <c r="S1002" s="16"/>
      <c r="T1002" s="16" t="e">
        <v>#N/A</v>
      </c>
      <c r="U1002" s="16" t="e">
        <v>#N/A</v>
      </c>
    </row>
    <row r="1003" spans="1:21" x14ac:dyDescent="0.25">
      <c r="A1003" s="12" t="s">
        <v>21</v>
      </c>
      <c r="B1003" s="12" t="s">
        <v>1082</v>
      </c>
      <c r="C1003" s="12" t="s">
        <v>23</v>
      </c>
      <c r="D1003" s="13">
        <v>46266.490532407406</v>
      </c>
      <c r="E1003" s="12" t="s">
        <v>505</v>
      </c>
      <c r="F1003" s="12" t="s">
        <v>401</v>
      </c>
      <c r="G1003" s="12">
        <v>16</v>
      </c>
      <c r="H1003" s="12">
        <v>16</v>
      </c>
      <c r="I1003" s="14"/>
      <c r="J1003" s="14" t="s">
        <v>61</v>
      </c>
      <c r="K1003" s="12" t="s">
        <v>27</v>
      </c>
      <c r="L1003" s="15"/>
      <c r="M1003" s="12" t="s">
        <v>28</v>
      </c>
      <c r="N1003" s="12"/>
      <c r="O1003" s="12"/>
      <c r="P1003" s="12"/>
      <c r="Q1003" s="16">
        <v>24</v>
      </c>
      <c r="R1003" s="16">
        <v>0</v>
      </c>
      <c r="S1003" s="16"/>
      <c r="T1003" s="16" t="e">
        <v>#N/A</v>
      </c>
      <c r="U1003" s="16" t="e">
        <v>#N/A</v>
      </c>
    </row>
    <row r="1004" spans="1:21" x14ac:dyDescent="0.25">
      <c r="A1004" s="12" t="s">
        <v>21</v>
      </c>
      <c r="B1004" s="12" t="s">
        <v>1082</v>
      </c>
      <c r="C1004" s="12" t="s">
        <v>23</v>
      </c>
      <c r="D1004" s="13">
        <v>46266.490532407406</v>
      </c>
      <c r="E1004" s="12" t="s">
        <v>505</v>
      </c>
      <c r="F1004" s="12" t="s">
        <v>1091</v>
      </c>
      <c r="G1004" s="12">
        <v>16</v>
      </c>
      <c r="H1004" s="12">
        <v>16</v>
      </c>
      <c r="I1004" s="14"/>
      <c r="J1004" s="14" t="s">
        <v>61</v>
      </c>
      <c r="K1004" s="12" t="s">
        <v>1094</v>
      </c>
      <c r="L1004" s="15">
        <v>1</v>
      </c>
      <c r="M1004" s="12" t="s">
        <v>150</v>
      </c>
      <c r="N1004" s="12">
        <v>16</v>
      </c>
      <c r="O1004" s="12">
        <v>16</v>
      </c>
      <c r="P1004" s="12">
        <v>0</v>
      </c>
      <c r="Q1004" s="16">
        <v>16</v>
      </c>
      <c r="R1004" s="16">
        <v>1</v>
      </c>
      <c r="S1004" s="16"/>
      <c r="T1004" s="16" t="e">
        <v>#N/A</v>
      </c>
      <c r="U1004" s="16" t="e">
        <v>#N/A</v>
      </c>
    </row>
    <row r="1005" spans="1:21" x14ac:dyDescent="0.25">
      <c r="A1005" s="12" t="s">
        <v>21</v>
      </c>
      <c r="B1005" s="12" t="s">
        <v>1082</v>
      </c>
      <c r="C1005" s="12" t="s">
        <v>23</v>
      </c>
      <c r="D1005" s="13">
        <v>46266.490532407406</v>
      </c>
      <c r="E1005" s="12" t="s">
        <v>505</v>
      </c>
      <c r="F1005" s="12" t="s">
        <v>320</v>
      </c>
      <c r="G1005" s="12">
        <v>100</v>
      </c>
      <c r="H1005" s="12">
        <v>100</v>
      </c>
      <c r="I1005" s="14"/>
      <c r="J1005" s="14" t="s">
        <v>26</v>
      </c>
      <c r="K1005" s="12" t="s">
        <v>27</v>
      </c>
      <c r="L1005" s="15"/>
      <c r="M1005" s="12" t="s">
        <v>28</v>
      </c>
      <c r="N1005" s="12"/>
      <c r="O1005" s="12"/>
      <c r="P1005" s="12"/>
      <c r="Q1005" s="16">
        <v>0</v>
      </c>
      <c r="R1005" s="16">
        <v>1</v>
      </c>
      <c r="S1005" s="16"/>
      <c r="T1005" s="16" t="e">
        <v>#N/A</v>
      </c>
      <c r="U1005" s="16" t="e">
        <v>#N/A</v>
      </c>
    </row>
    <row r="1006" spans="1:21" x14ac:dyDescent="0.25">
      <c r="A1006" s="12" t="s">
        <v>21</v>
      </c>
      <c r="B1006" s="12" t="s">
        <v>1082</v>
      </c>
      <c r="C1006" s="12" t="s">
        <v>23</v>
      </c>
      <c r="D1006" s="13">
        <v>46266.490532407406</v>
      </c>
      <c r="E1006" s="12" t="s">
        <v>505</v>
      </c>
      <c r="F1006" s="12" t="s">
        <v>573</v>
      </c>
      <c r="G1006" s="12">
        <v>30</v>
      </c>
      <c r="H1006" s="12">
        <v>30</v>
      </c>
      <c r="I1006" s="14"/>
      <c r="J1006" s="14" t="s">
        <v>61</v>
      </c>
      <c r="K1006" s="12" t="s">
        <v>27</v>
      </c>
      <c r="L1006" s="15"/>
      <c r="M1006" s="12" t="s">
        <v>28</v>
      </c>
      <c r="N1006" s="12"/>
      <c r="O1006" s="12"/>
      <c r="P1006" s="12"/>
      <c r="Q1006" s="16">
        <v>30</v>
      </c>
      <c r="R1006" s="16">
        <v>4</v>
      </c>
      <c r="S1006" s="16"/>
      <c r="T1006" s="16" t="e">
        <v>#N/A</v>
      </c>
      <c r="U1006" s="16" t="e">
        <v>#N/A</v>
      </c>
    </row>
    <row r="1007" spans="1:21" x14ac:dyDescent="0.25">
      <c r="A1007" s="12" t="s">
        <v>21</v>
      </c>
      <c r="B1007" s="12" t="s">
        <v>1095</v>
      </c>
      <c r="C1007" s="12" t="s">
        <v>23</v>
      </c>
      <c r="D1007" s="13">
        <v>46266.555497685185</v>
      </c>
      <c r="E1007" s="12" t="s">
        <v>24</v>
      </c>
      <c r="F1007" s="12" t="s">
        <v>924</v>
      </c>
      <c r="G1007" s="12">
        <v>12</v>
      </c>
      <c r="H1007" s="12">
        <v>12</v>
      </c>
      <c r="I1007" s="14"/>
      <c r="J1007" s="14" t="s">
        <v>26</v>
      </c>
      <c r="K1007" s="12" t="s">
        <v>27</v>
      </c>
      <c r="L1007" s="15"/>
      <c r="M1007" s="12" t="s">
        <v>28</v>
      </c>
      <c r="N1007" s="12"/>
      <c r="O1007" s="12"/>
      <c r="P1007" s="12"/>
      <c r="Q1007" s="16">
        <v>0</v>
      </c>
      <c r="R1007" s="16">
        <v>0</v>
      </c>
      <c r="S1007" s="16"/>
      <c r="T1007" s="16" t="e">
        <v>#N/A</v>
      </c>
      <c r="U1007" s="16" t="e">
        <v>#N/A</v>
      </c>
    </row>
    <row r="1008" spans="1:21" x14ac:dyDescent="0.25">
      <c r="A1008" s="12" t="s">
        <v>21</v>
      </c>
      <c r="B1008" s="12" t="s">
        <v>1095</v>
      </c>
      <c r="C1008" s="12" t="s">
        <v>23</v>
      </c>
      <c r="D1008" s="13">
        <v>46266.555497685185</v>
      </c>
      <c r="E1008" s="12" t="s">
        <v>24</v>
      </c>
      <c r="F1008" s="12" t="s">
        <v>525</v>
      </c>
      <c r="G1008" s="12">
        <v>6</v>
      </c>
      <c r="H1008" s="12">
        <v>6</v>
      </c>
      <c r="I1008" s="14"/>
      <c r="J1008" s="14" t="s">
        <v>26</v>
      </c>
      <c r="K1008" s="12" t="s">
        <v>27</v>
      </c>
      <c r="L1008" s="15"/>
      <c r="M1008" s="12" t="s">
        <v>28</v>
      </c>
      <c r="N1008" s="12"/>
      <c r="O1008" s="12"/>
      <c r="P1008" s="12"/>
      <c r="Q1008" s="16">
        <v>0</v>
      </c>
      <c r="R1008" s="16">
        <v>0</v>
      </c>
      <c r="S1008" s="16"/>
      <c r="T1008" s="16" t="e">
        <v>#N/A</v>
      </c>
      <c r="U1008" s="16" t="e">
        <v>#N/A</v>
      </c>
    </row>
    <row r="1009" spans="1:21" x14ac:dyDescent="0.25">
      <c r="A1009" s="12" t="s">
        <v>21</v>
      </c>
      <c r="B1009" s="12" t="s">
        <v>1095</v>
      </c>
      <c r="C1009" s="12" t="s">
        <v>23</v>
      </c>
      <c r="D1009" s="13">
        <v>46266.555497685185</v>
      </c>
      <c r="E1009" s="12" t="s">
        <v>24</v>
      </c>
      <c r="F1009" s="12" t="s">
        <v>259</v>
      </c>
      <c r="G1009" s="12">
        <v>10</v>
      </c>
      <c r="H1009" s="12">
        <v>10</v>
      </c>
      <c r="I1009" s="14"/>
      <c r="J1009" s="14" t="s">
        <v>26</v>
      </c>
      <c r="K1009" s="12" t="s">
        <v>27</v>
      </c>
      <c r="L1009" s="15"/>
      <c r="M1009" s="12" t="s">
        <v>28</v>
      </c>
      <c r="N1009" s="12"/>
      <c r="O1009" s="12"/>
      <c r="P1009" s="12"/>
      <c r="Q1009" s="16">
        <v>0</v>
      </c>
      <c r="R1009" s="16">
        <v>4</v>
      </c>
      <c r="S1009" s="16">
        <v>6</v>
      </c>
      <c r="T1009" s="16" t="e">
        <v>#N/A</v>
      </c>
      <c r="U1009" s="16" t="e">
        <v>#N/A</v>
      </c>
    </row>
    <row r="1010" spans="1:21" x14ac:dyDescent="0.25">
      <c r="A1010" s="12" t="s">
        <v>21</v>
      </c>
      <c r="B1010" s="12" t="s">
        <v>1095</v>
      </c>
      <c r="C1010" s="12" t="s">
        <v>23</v>
      </c>
      <c r="D1010" s="13">
        <v>46266.555497685185</v>
      </c>
      <c r="E1010" s="12" t="s">
        <v>24</v>
      </c>
      <c r="F1010" s="12" t="s">
        <v>1096</v>
      </c>
      <c r="G1010" s="12">
        <v>20</v>
      </c>
      <c r="H1010" s="12">
        <v>20</v>
      </c>
      <c r="I1010" s="14"/>
      <c r="J1010" s="14" t="s">
        <v>61</v>
      </c>
      <c r="K1010" s="12" t="s">
        <v>1097</v>
      </c>
      <c r="L1010" s="15">
        <v>1</v>
      </c>
      <c r="M1010" s="12" t="s">
        <v>150</v>
      </c>
      <c r="N1010" s="12">
        <v>20</v>
      </c>
      <c r="O1010" s="12">
        <v>20</v>
      </c>
      <c r="P1010" s="12">
        <v>0</v>
      </c>
      <c r="Q1010" s="16">
        <v>20</v>
      </c>
      <c r="R1010" s="16">
        <v>0</v>
      </c>
      <c r="S1010" s="16"/>
      <c r="T1010" s="16" t="e">
        <v>#N/A</v>
      </c>
      <c r="U1010" s="16" t="e">
        <v>#N/A</v>
      </c>
    </row>
    <row r="1011" spans="1:21" x14ac:dyDescent="0.25">
      <c r="A1011" s="12" t="s">
        <v>21</v>
      </c>
      <c r="B1011" s="12" t="s">
        <v>1098</v>
      </c>
      <c r="C1011" s="12" t="s">
        <v>23</v>
      </c>
      <c r="D1011" s="13">
        <v>46266.575185185182</v>
      </c>
      <c r="E1011" s="12" t="s">
        <v>24</v>
      </c>
      <c r="F1011" s="12" t="s">
        <v>42</v>
      </c>
      <c r="G1011" s="12">
        <v>2</v>
      </c>
      <c r="H1011" s="12">
        <v>2</v>
      </c>
      <c r="I1011" s="14"/>
      <c r="J1011" s="14" t="s">
        <v>26</v>
      </c>
      <c r="K1011" s="12" t="s">
        <v>27</v>
      </c>
      <c r="L1011" s="15"/>
      <c r="M1011" s="12" t="s">
        <v>28</v>
      </c>
      <c r="N1011" s="12"/>
      <c r="O1011" s="12"/>
      <c r="P1011" s="12"/>
      <c r="Q1011" s="16">
        <v>0</v>
      </c>
      <c r="R1011" s="16">
        <v>0</v>
      </c>
      <c r="S1011" s="16"/>
      <c r="T1011" s="16" t="e">
        <v>#N/A</v>
      </c>
      <c r="U1011" s="16" t="e">
        <v>#N/A</v>
      </c>
    </row>
    <row r="1012" spans="1:21" x14ac:dyDescent="0.25">
      <c r="A1012" s="12" t="s">
        <v>21</v>
      </c>
      <c r="B1012" s="12" t="s">
        <v>1098</v>
      </c>
      <c r="C1012" s="12" t="s">
        <v>23</v>
      </c>
      <c r="D1012" s="13">
        <v>46266.575185185182</v>
      </c>
      <c r="E1012" s="12" t="s">
        <v>24</v>
      </c>
      <c r="F1012" s="12" t="s">
        <v>145</v>
      </c>
      <c r="G1012" s="12">
        <v>16</v>
      </c>
      <c r="H1012" s="12">
        <v>16</v>
      </c>
      <c r="I1012" s="14"/>
      <c r="J1012" s="14" t="s">
        <v>26</v>
      </c>
      <c r="K1012" s="12" t="s">
        <v>27</v>
      </c>
      <c r="L1012" s="15"/>
      <c r="M1012" s="12" t="s">
        <v>28</v>
      </c>
      <c r="N1012" s="12"/>
      <c r="O1012" s="12"/>
      <c r="P1012" s="12"/>
      <c r="Q1012" s="16">
        <v>0</v>
      </c>
      <c r="R1012" s="16">
        <v>0</v>
      </c>
      <c r="S1012" s="16"/>
      <c r="T1012" s="16" t="e">
        <v>#N/A</v>
      </c>
      <c r="U1012" s="16" t="e">
        <v>#N/A</v>
      </c>
    </row>
    <row r="1013" spans="1:21" x14ac:dyDescent="0.25">
      <c r="A1013" s="12" t="s">
        <v>21</v>
      </c>
      <c r="B1013" s="12" t="s">
        <v>1098</v>
      </c>
      <c r="C1013" s="12" t="s">
        <v>23</v>
      </c>
      <c r="D1013" s="13">
        <v>46266.575185185182</v>
      </c>
      <c r="E1013" s="12" t="s">
        <v>24</v>
      </c>
      <c r="F1013" s="12" t="s">
        <v>1099</v>
      </c>
      <c r="G1013" s="12">
        <v>1</v>
      </c>
      <c r="H1013" s="12">
        <v>1</v>
      </c>
      <c r="I1013" s="14"/>
      <c r="J1013" s="14" t="s">
        <v>26</v>
      </c>
      <c r="K1013" s="12" t="s">
        <v>1101</v>
      </c>
      <c r="L1013" s="15">
        <v>1</v>
      </c>
      <c r="M1013" s="12" t="s">
        <v>150</v>
      </c>
      <c r="N1013" s="12">
        <v>1</v>
      </c>
      <c r="O1013" s="12">
        <v>1</v>
      </c>
      <c r="P1013" s="12">
        <v>0</v>
      </c>
      <c r="Q1013" s="16">
        <v>0</v>
      </c>
      <c r="R1013" s="16">
        <v>0</v>
      </c>
      <c r="S1013" s="16"/>
      <c r="T1013" s="16" t="e">
        <v>#N/A</v>
      </c>
      <c r="U1013" s="16" t="e">
        <v>#N/A</v>
      </c>
    </row>
    <row r="1014" spans="1:21" x14ac:dyDescent="0.25">
      <c r="A1014" s="12" t="s">
        <v>21</v>
      </c>
      <c r="B1014" s="12" t="s">
        <v>1098</v>
      </c>
      <c r="C1014" s="12" t="s">
        <v>23</v>
      </c>
      <c r="D1014" s="13">
        <v>46266.575185185182</v>
      </c>
      <c r="E1014" s="12" t="s">
        <v>24</v>
      </c>
      <c r="F1014" s="12" t="s">
        <v>262</v>
      </c>
      <c r="G1014" s="12">
        <v>5000</v>
      </c>
      <c r="H1014" s="12">
        <v>3400</v>
      </c>
      <c r="I1014" s="14"/>
      <c r="J1014" s="14" t="s">
        <v>26</v>
      </c>
      <c r="K1014" s="12" t="s">
        <v>27</v>
      </c>
      <c r="L1014" s="15"/>
      <c r="M1014" s="12" t="s">
        <v>28</v>
      </c>
      <c r="N1014" s="12"/>
      <c r="O1014" s="12"/>
      <c r="P1014" s="12"/>
      <c r="Q1014" s="16">
        <v>0</v>
      </c>
      <c r="R1014" s="16">
        <v>0</v>
      </c>
      <c r="S1014" s="16"/>
      <c r="T1014" s="16" t="e">
        <v>#N/A</v>
      </c>
      <c r="U1014" s="16" t="e">
        <v>#N/A</v>
      </c>
    </row>
    <row r="1015" spans="1:21" x14ac:dyDescent="0.25">
      <c r="A1015" s="12" t="s">
        <v>21</v>
      </c>
      <c r="B1015" s="12" t="s">
        <v>1098</v>
      </c>
      <c r="C1015" s="12" t="s">
        <v>23</v>
      </c>
      <c r="D1015" s="13">
        <v>46266.575185185182</v>
      </c>
      <c r="E1015" s="12" t="s">
        <v>24</v>
      </c>
      <c r="F1015" s="12" t="s">
        <v>1100</v>
      </c>
      <c r="G1015" s="12">
        <v>2</v>
      </c>
      <c r="H1015" s="12">
        <v>2</v>
      </c>
      <c r="I1015" s="14"/>
      <c r="J1015" s="14" t="s">
        <v>26</v>
      </c>
      <c r="K1015" s="12" t="s">
        <v>1102</v>
      </c>
      <c r="L1015" s="15">
        <v>1</v>
      </c>
      <c r="M1015" s="12" t="s">
        <v>150</v>
      </c>
      <c r="N1015" s="12">
        <v>2</v>
      </c>
      <c r="O1015" s="12">
        <v>2</v>
      </c>
      <c r="P1015" s="12">
        <v>0</v>
      </c>
      <c r="Q1015" s="16">
        <v>0</v>
      </c>
      <c r="R1015" s="16">
        <v>0</v>
      </c>
      <c r="S1015" s="16"/>
      <c r="T1015" s="16" t="e">
        <v>#N/A</v>
      </c>
      <c r="U1015" s="16" t="e">
        <v>#N/A</v>
      </c>
    </row>
    <row r="1016" spans="1:21" x14ac:dyDescent="0.25">
      <c r="A1016" s="12" t="s">
        <v>21</v>
      </c>
      <c r="B1016" s="12" t="s">
        <v>1098</v>
      </c>
      <c r="C1016" s="12" t="s">
        <v>23</v>
      </c>
      <c r="D1016" s="13">
        <v>46266.575185185182</v>
      </c>
      <c r="E1016" s="12" t="s">
        <v>24</v>
      </c>
      <c r="F1016" s="12" t="s">
        <v>1103</v>
      </c>
      <c r="G1016" s="12">
        <v>2</v>
      </c>
      <c r="H1016" s="12">
        <v>2</v>
      </c>
      <c r="I1016" s="14"/>
      <c r="J1016" s="14" t="s">
        <v>26</v>
      </c>
      <c r="K1016" s="12" t="s">
        <v>1106</v>
      </c>
      <c r="L1016" s="15">
        <v>1</v>
      </c>
      <c r="M1016" s="12" t="s">
        <v>150</v>
      </c>
      <c r="N1016" s="12">
        <v>2</v>
      </c>
      <c r="O1016" s="12">
        <v>2</v>
      </c>
      <c r="P1016" s="12">
        <v>0</v>
      </c>
      <c r="Q1016" s="16">
        <v>0</v>
      </c>
      <c r="R1016" s="16">
        <v>0</v>
      </c>
      <c r="S1016" s="16"/>
      <c r="T1016" s="16" t="e">
        <v>#N/A</v>
      </c>
      <c r="U1016" s="16" t="e">
        <v>#N/A</v>
      </c>
    </row>
    <row r="1017" spans="1:21" x14ac:dyDescent="0.25">
      <c r="A1017" s="12" t="s">
        <v>21</v>
      </c>
      <c r="B1017" s="12" t="s">
        <v>1098</v>
      </c>
      <c r="C1017" s="12" t="s">
        <v>23</v>
      </c>
      <c r="D1017" s="13">
        <v>46266.575185185182</v>
      </c>
      <c r="E1017" s="12" t="s">
        <v>24</v>
      </c>
      <c r="F1017" s="12" t="s">
        <v>1104</v>
      </c>
      <c r="G1017" s="12">
        <v>2</v>
      </c>
      <c r="H1017" s="12">
        <v>2</v>
      </c>
      <c r="I1017" s="14"/>
      <c r="J1017" s="14" t="s">
        <v>26</v>
      </c>
      <c r="K1017" s="12" t="s">
        <v>1107</v>
      </c>
      <c r="L1017" s="15">
        <v>1</v>
      </c>
      <c r="M1017" s="12" t="s">
        <v>150</v>
      </c>
      <c r="N1017" s="12">
        <v>2</v>
      </c>
      <c r="O1017" s="12">
        <v>2</v>
      </c>
      <c r="P1017" s="12">
        <v>0</v>
      </c>
      <c r="Q1017" s="16">
        <v>0</v>
      </c>
      <c r="R1017" s="16">
        <v>0</v>
      </c>
      <c r="S1017" s="16"/>
      <c r="T1017" s="16" t="e">
        <v>#N/A</v>
      </c>
      <c r="U1017" s="16" t="e">
        <v>#N/A</v>
      </c>
    </row>
    <row r="1018" spans="1:21" x14ac:dyDescent="0.25">
      <c r="A1018" s="12" t="s">
        <v>21</v>
      </c>
      <c r="B1018" s="12" t="s">
        <v>1098</v>
      </c>
      <c r="C1018" s="12" t="s">
        <v>23</v>
      </c>
      <c r="D1018" s="13">
        <v>46266.575185185182</v>
      </c>
      <c r="E1018" s="12" t="s">
        <v>24</v>
      </c>
      <c r="F1018" s="12" t="s">
        <v>1105</v>
      </c>
      <c r="G1018" s="12">
        <v>1</v>
      </c>
      <c r="H1018" s="12">
        <v>1</v>
      </c>
      <c r="I1018" s="14"/>
      <c r="J1018" s="14" t="s">
        <v>26</v>
      </c>
      <c r="K1018" s="12" t="s">
        <v>1108</v>
      </c>
      <c r="L1018" s="15">
        <v>1</v>
      </c>
      <c r="M1018" s="12" t="s">
        <v>150</v>
      </c>
      <c r="N1018" s="12">
        <v>1</v>
      </c>
      <c r="O1018" s="12">
        <v>1</v>
      </c>
      <c r="P1018" s="12">
        <v>0</v>
      </c>
      <c r="Q1018" s="16">
        <v>0</v>
      </c>
      <c r="R1018" s="16">
        <v>0</v>
      </c>
      <c r="S1018" s="16"/>
      <c r="T1018" s="16" t="e">
        <v>#N/A</v>
      </c>
      <c r="U1018" s="16" t="e">
        <v>#N/A</v>
      </c>
    </row>
    <row r="1019" spans="1:21" x14ac:dyDescent="0.25">
      <c r="A1019" s="12" t="s">
        <v>21</v>
      </c>
      <c r="B1019" s="12" t="s">
        <v>1098</v>
      </c>
      <c r="C1019" s="12" t="s">
        <v>23</v>
      </c>
      <c r="D1019" s="13">
        <v>46266.575185185182</v>
      </c>
      <c r="E1019" s="12" t="s">
        <v>24</v>
      </c>
      <c r="F1019" s="12" t="s">
        <v>1109</v>
      </c>
      <c r="G1019" s="12">
        <v>1</v>
      </c>
      <c r="H1019" s="12">
        <v>1</v>
      </c>
      <c r="I1019" s="14"/>
      <c r="J1019" s="14" t="s">
        <v>26</v>
      </c>
      <c r="K1019" s="12" t="s">
        <v>1111</v>
      </c>
      <c r="L1019" s="15">
        <v>1</v>
      </c>
      <c r="M1019" s="12" t="s">
        <v>150</v>
      </c>
      <c r="N1019" s="12">
        <v>1</v>
      </c>
      <c r="O1019" s="12">
        <v>1</v>
      </c>
      <c r="P1019" s="12">
        <v>0</v>
      </c>
      <c r="Q1019" s="16">
        <v>0</v>
      </c>
      <c r="R1019" s="16">
        <v>1</v>
      </c>
      <c r="S1019" s="16"/>
      <c r="T1019" s="16" t="e">
        <v>#N/A</v>
      </c>
      <c r="U1019" s="16" t="e">
        <v>#N/A</v>
      </c>
    </row>
    <row r="1020" spans="1:21" x14ac:dyDescent="0.25">
      <c r="A1020" s="12" t="s">
        <v>21</v>
      </c>
      <c r="B1020" s="12" t="s">
        <v>1098</v>
      </c>
      <c r="C1020" s="12" t="s">
        <v>23</v>
      </c>
      <c r="D1020" s="13">
        <v>46266.575185185182</v>
      </c>
      <c r="E1020" s="12" t="s">
        <v>24</v>
      </c>
      <c r="F1020" s="12" t="s">
        <v>1110</v>
      </c>
      <c r="G1020" s="12">
        <v>2</v>
      </c>
      <c r="H1020" s="12">
        <v>2</v>
      </c>
      <c r="I1020" s="14"/>
      <c r="J1020" s="14" t="s">
        <v>26</v>
      </c>
      <c r="K1020" s="12" t="s">
        <v>1112</v>
      </c>
      <c r="L1020" s="15">
        <v>1</v>
      </c>
      <c r="M1020" s="12" t="s">
        <v>150</v>
      </c>
      <c r="N1020" s="12">
        <v>2</v>
      </c>
      <c r="O1020" s="12">
        <v>2</v>
      </c>
      <c r="P1020" s="12">
        <v>0</v>
      </c>
      <c r="Q1020" s="16">
        <v>0</v>
      </c>
      <c r="R1020" s="16">
        <v>0</v>
      </c>
      <c r="S1020" s="16"/>
      <c r="T1020" s="16" t="e">
        <v>#N/A</v>
      </c>
      <c r="U1020" s="16" t="e">
        <v>#N/A</v>
      </c>
    </row>
    <row r="1021" spans="1:21" x14ac:dyDescent="0.25">
      <c r="A1021" s="12" t="s">
        <v>21</v>
      </c>
      <c r="B1021" s="12" t="s">
        <v>1113</v>
      </c>
      <c r="C1021" s="12" t="s">
        <v>23</v>
      </c>
      <c r="D1021" s="13">
        <v>46266.586840277778</v>
      </c>
      <c r="E1021" s="12" t="s">
        <v>69</v>
      </c>
      <c r="F1021" s="12" t="s">
        <v>525</v>
      </c>
      <c r="G1021" s="12">
        <v>100</v>
      </c>
      <c r="H1021" s="12">
        <v>100</v>
      </c>
      <c r="I1021" s="14"/>
      <c r="J1021" s="14" t="s">
        <v>61</v>
      </c>
      <c r="K1021" s="12" t="s">
        <v>1114</v>
      </c>
      <c r="L1021" s="15">
        <v>1</v>
      </c>
      <c r="M1021" s="12" t="s">
        <v>150</v>
      </c>
      <c r="N1021" s="12">
        <v>100</v>
      </c>
      <c r="O1021" s="12">
        <v>100</v>
      </c>
      <c r="P1021" s="12">
        <v>0</v>
      </c>
      <c r="Q1021" s="16">
        <v>100</v>
      </c>
      <c r="R1021" s="16">
        <v>0</v>
      </c>
      <c r="S1021" s="16"/>
      <c r="T1021" s="16" t="e">
        <v>#N/A</v>
      </c>
      <c r="U1021" s="16" t="e">
        <v>#N/A</v>
      </c>
    </row>
    <row r="1022" spans="1:21" x14ac:dyDescent="0.25">
      <c r="A1022" s="12" t="s">
        <v>21</v>
      </c>
      <c r="B1022" s="12" t="s">
        <v>1115</v>
      </c>
      <c r="C1022" s="12" t="s">
        <v>23</v>
      </c>
      <c r="D1022" s="13">
        <v>46267.292060185187</v>
      </c>
      <c r="E1022" s="12" t="s">
        <v>198</v>
      </c>
      <c r="F1022" s="12" t="s">
        <v>1116</v>
      </c>
      <c r="G1022" s="12">
        <v>10</v>
      </c>
      <c r="H1022" s="12">
        <v>10</v>
      </c>
      <c r="I1022" s="14"/>
      <c r="J1022" s="14" t="s">
        <v>61</v>
      </c>
      <c r="K1022" s="12" t="s">
        <v>1118</v>
      </c>
      <c r="L1022" s="15">
        <v>1</v>
      </c>
      <c r="M1022" s="12" t="s">
        <v>150</v>
      </c>
      <c r="N1022" s="12">
        <v>10</v>
      </c>
      <c r="O1022" s="12">
        <v>10</v>
      </c>
      <c r="P1022" s="12">
        <v>0</v>
      </c>
      <c r="Q1022" s="16">
        <v>10</v>
      </c>
      <c r="R1022" s="16">
        <v>0</v>
      </c>
      <c r="S1022" s="16"/>
      <c r="T1022" s="16" t="e">
        <v>#N/A</v>
      </c>
      <c r="U1022" s="16" t="e">
        <v>#N/A</v>
      </c>
    </row>
    <row r="1023" spans="1:21" x14ac:dyDescent="0.25">
      <c r="A1023" s="12" t="s">
        <v>21</v>
      </c>
      <c r="B1023" s="12" t="s">
        <v>1115</v>
      </c>
      <c r="C1023" s="12" t="s">
        <v>23</v>
      </c>
      <c r="D1023" s="13">
        <v>46267.292060185187</v>
      </c>
      <c r="E1023" s="12" t="s">
        <v>198</v>
      </c>
      <c r="F1023" s="12" t="s">
        <v>1117</v>
      </c>
      <c r="G1023" s="12">
        <v>1</v>
      </c>
      <c r="H1023" s="12">
        <v>1</v>
      </c>
      <c r="I1023" s="14"/>
      <c r="J1023" s="14" t="s">
        <v>61</v>
      </c>
      <c r="K1023" s="12" t="s">
        <v>1119</v>
      </c>
      <c r="L1023" s="15">
        <v>1</v>
      </c>
      <c r="M1023" s="12" t="s">
        <v>150</v>
      </c>
      <c r="N1023" s="12">
        <v>1</v>
      </c>
      <c r="O1023" s="12">
        <v>1</v>
      </c>
      <c r="P1023" s="12">
        <v>0</v>
      </c>
      <c r="Q1023" s="16">
        <v>1</v>
      </c>
      <c r="R1023" s="16">
        <v>0</v>
      </c>
      <c r="S1023" s="16"/>
      <c r="T1023" s="16" t="e">
        <v>#N/A</v>
      </c>
      <c r="U1023" s="16" t="e">
        <v>#N/A</v>
      </c>
    </row>
    <row r="1024" spans="1:21" x14ac:dyDescent="0.25">
      <c r="A1024" s="12" t="s">
        <v>21</v>
      </c>
      <c r="B1024" s="12" t="s">
        <v>1120</v>
      </c>
      <c r="C1024" s="12" t="s">
        <v>23</v>
      </c>
      <c r="D1024" s="13">
        <v>46267.311238425929</v>
      </c>
      <c r="E1024" s="12" t="s">
        <v>331</v>
      </c>
      <c r="F1024" s="12" t="s">
        <v>1121</v>
      </c>
      <c r="G1024" s="12">
        <v>50</v>
      </c>
      <c r="H1024" s="12">
        <v>50</v>
      </c>
      <c r="I1024" s="14"/>
      <c r="J1024" s="14" t="s">
        <v>26</v>
      </c>
      <c r="K1024" s="12" t="s">
        <v>27</v>
      </c>
      <c r="L1024" s="15"/>
      <c r="M1024" s="12" t="s">
        <v>28</v>
      </c>
      <c r="N1024" s="12"/>
      <c r="O1024" s="12"/>
      <c r="P1024" s="12"/>
      <c r="Q1024" s="16">
        <v>0</v>
      </c>
      <c r="R1024" s="16">
        <v>0</v>
      </c>
      <c r="S1024" s="16"/>
      <c r="T1024" s="16" t="e">
        <v>#N/A</v>
      </c>
      <c r="U1024" s="16" t="e">
        <v>#N/A</v>
      </c>
    </row>
    <row r="1025" spans="1:21" x14ac:dyDescent="0.25">
      <c r="A1025" s="12" t="s">
        <v>21</v>
      </c>
      <c r="B1025" s="12" t="s">
        <v>1122</v>
      </c>
      <c r="C1025" s="12" t="s">
        <v>23</v>
      </c>
      <c r="D1025" s="13">
        <v>46267.311493055553</v>
      </c>
      <c r="E1025" s="12" t="s">
        <v>331</v>
      </c>
      <c r="F1025" s="12" t="s">
        <v>320</v>
      </c>
      <c r="G1025" s="12">
        <v>200</v>
      </c>
      <c r="H1025" s="12">
        <v>200</v>
      </c>
      <c r="I1025" s="14"/>
      <c r="J1025" s="14" t="s">
        <v>26</v>
      </c>
      <c r="K1025" s="12" t="s">
        <v>27</v>
      </c>
      <c r="L1025" s="15"/>
      <c r="M1025" s="12" t="s">
        <v>28</v>
      </c>
      <c r="N1025" s="12"/>
      <c r="O1025" s="12"/>
      <c r="P1025" s="12"/>
      <c r="Q1025" s="16">
        <v>0</v>
      </c>
      <c r="R1025" s="16">
        <v>1</v>
      </c>
      <c r="S1025" s="16"/>
      <c r="T1025" s="16" t="e">
        <v>#N/A</v>
      </c>
      <c r="U1025" s="16" t="e">
        <v>#N/A</v>
      </c>
    </row>
    <row r="1026" spans="1:21" x14ac:dyDescent="0.25">
      <c r="A1026" s="12" t="s">
        <v>21</v>
      </c>
      <c r="B1026" s="12" t="s">
        <v>1123</v>
      </c>
      <c r="C1026" s="12" t="s">
        <v>23</v>
      </c>
      <c r="D1026" s="13">
        <v>46267.314710648148</v>
      </c>
      <c r="E1026" s="12" t="s">
        <v>24</v>
      </c>
      <c r="F1026" s="12" t="s">
        <v>1124</v>
      </c>
      <c r="G1026" s="12">
        <v>9</v>
      </c>
      <c r="H1026" s="12">
        <v>9</v>
      </c>
      <c r="I1026" s="14"/>
      <c r="J1026" s="14" t="s">
        <v>26</v>
      </c>
      <c r="K1026" s="12" t="s">
        <v>27</v>
      </c>
      <c r="L1026" s="15"/>
      <c r="M1026" s="12" t="s">
        <v>28</v>
      </c>
      <c r="N1026" s="12"/>
      <c r="O1026" s="12"/>
      <c r="P1026" s="12"/>
      <c r="Q1026" s="16">
        <v>0</v>
      </c>
      <c r="R1026" s="16">
        <v>0</v>
      </c>
      <c r="S1026" s="16"/>
      <c r="T1026" s="16" t="e">
        <v>#N/A</v>
      </c>
      <c r="U1026" s="16" t="e">
        <v>#N/A</v>
      </c>
    </row>
    <row r="1027" spans="1:21" x14ac:dyDescent="0.25">
      <c r="A1027" s="12" t="s">
        <v>21</v>
      </c>
      <c r="B1027" s="12" t="s">
        <v>1123</v>
      </c>
      <c r="C1027" s="12" t="s">
        <v>23</v>
      </c>
      <c r="D1027" s="13">
        <v>46267.314710648148</v>
      </c>
      <c r="E1027" s="12" t="s">
        <v>24</v>
      </c>
      <c r="F1027" s="12" t="s">
        <v>669</v>
      </c>
      <c r="G1027" s="12">
        <v>4</v>
      </c>
      <c r="H1027" s="12">
        <v>4</v>
      </c>
      <c r="I1027" s="14"/>
      <c r="J1027" s="14" t="s">
        <v>61</v>
      </c>
      <c r="K1027" s="12" t="s">
        <v>1129</v>
      </c>
      <c r="L1027" s="15">
        <v>1</v>
      </c>
      <c r="M1027" s="12" t="s">
        <v>150</v>
      </c>
      <c r="N1027" s="12">
        <v>4</v>
      </c>
      <c r="O1027" s="12">
        <v>4</v>
      </c>
      <c r="P1027" s="12">
        <v>0</v>
      </c>
      <c r="Q1027" s="16">
        <v>4</v>
      </c>
      <c r="R1027" s="16">
        <v>0</v>
      </c>
      <c r="S1027" s="16"/>
      <c r="T1027" s="16" t="e">
        <v>#N/A</v>
      </c>
      <c r="U1027" s="16" t="e">
        <v>#N/A</v>
      </c>
    </row>
    <row r="1028" spans="1:21" x14ac:dyDescent="0.25">
      <c r="A1028" s="12" t="s">
        <v>21</v>
      </c>
      <c r="B1028" s="12" t="s">
        <v>1123</v>
      </c>
      <c r="C1028" s="12" t="s">
        <v>23</v>
      </c>
      <c r="D1028" s="13">
        <v>46267.314710648148</v>
      </c>
      <c r="E1028" s="12" t="s">
        <v>24</v>
      </c>
      <c r="F1028" s="12" t="s">
        <v>332</v>
      </c>
      <c r="G1028" s="12">
        <v>2</v>
      </c>
      <c r="H1028" s="12">
        <v>2</v>
      </c>
      <c r="I1028" s="14"/>
      <c r="J1028" s="14" t="s">
        <v>61</v>
      </c>
      <c r="K1028" s="12" t="s">
        <v>1130</v>
      </c>
      <c r="L1028" s="15">
        <v>1</v>
      </c>
      <c r="M1028" s="12" t="s">
        <v>150</v>
      </c>
      <c r="N1028" s="12">
        <v>2</v>
      </c>
      <c r="O1028" s="12">
        <v>2</v>
      </c>
      <c r="P1028" s="12">
        <v>0</v>
      </c>
      <c r="Q1028" s="16">
        <v>2</v>
      </c>
      <c r="R1028" s="16">
        <v>0</v>
      </c>
      <c r="S1028" s="16"/>
      <c r="T1028" s="16" t="e">
        <v>#N/A</v>
      </c>
      <c r="U1028" s="16" t="e">
        <v>#N/A</v>
      </c>
    </row>
    <row r="1029" spans="1:21" x14ac:dyDescent="0.25">
      <c r="A1029" s="12" t="s">
        <v>21</v>
      </c>
      <c r="B1029" s="12" t="s">
        <v>1123</v>
      </c>
      <c r="C1029" s="12" t="s">
        <v>23</v>
      </c>
      <c r="D1029" s="13">
        <v>46267.314710648148</v>
      </c>
      <c r="E1029" s="12" t="s">
        <v>24</v>
      </c>
      <c r="F1029" s="12" t="s">
        <v>1125</v>
      </c>
      <c r="G1029" s="12">
        <v>2</v>
      </c>
      <c r="H1029" s="12">
        <v>2</v>
      </c>
      <c r="I1029" s="14"/>
      <c r="J1029" s="14" t="s">
        <v>61</v>
      </c>
      <c r="K1029" s="12" t="s">
        <v>1131</v>
      </c>
      <c r="L1029" s="15">
        <v>1</v>
      </c>
      <c r="M1029" s="12" t="s">
        <v>150</v>
      </c>
      <c r="N1029" s="12">
        <v>2</v>
      </c>
      <c r="O1029" s="12">
        <v>2</v>
      </c>
      <c r="P1029" s="12">
        <v>0</v>
      </c>
      <c r="Q1029" s="16">
        <v>2</v>
      </c>
      <c r="R1029" s="16">
        <v>0</v>
      </c>
      <c r="S1029" s="16"/>
      <c r="T1029" s="16" t="e">
        <v>#N/A</v>
      </c>
      <c r="U1029" s="16" t="e">
        <v>#N/A</v>
      </c>
    </row>
    <row r="1030" spans="1:21" x14ac:dyDescent="0.25">
      <c r="A1030" s="12" t="s">
        <v>21</v>
      </c>
      <c r="B1030" s="12" t="s">
        <v>1123</v>
      </c>
      <c r="C1030" s="12" t="s">
        <v>23</v>
      </c>
      <c r="D1030" s="13">
        <v>46267.314710648148</v>
      </c>
      <c r="E1030" s="12" t="s">
        <v>24</v>
      </c>
      <c r="F1030" s="12" t="s">
        <v>966</v>
      </c>
      <c r="G1030" s="12">
        <v>2</v>
      </c>
      <c r="H1030" s="12">
        <v>2</v>
      </c>
      <c r="I1030" s="14"/>
      <c r="J1030" s="14" t="s">
        <v>61</v>
      </c>
      <c r="K1030" s="12" t="s">
        <v>1132</v>
      </c>
      <c r="L1030" s="15">
        <v>1</v>
      </c>
      <c r="M1030" s="12" t="s">
        <v>150</v>
      </c>
      <c r="N1030" s="12">
        <v>2</v>
      </c>
      <c r="O1030" s="12">
        <v>2</v>
      </c>
      <c r="P1030" s="12">
        <v>0</v>
      </c>
      <c r="Q1030" s="16">
        <v>2</v>
      </c>
      <c r="R1030" s="16">
        <v>0</v>
      </c>
      <c r="S1030" s="16"/>
      <c r="T1030" s="16" t="e">
        <v>#N/A</v>
      </c>
      <c r="U1030" s="16" t="e">
        <v>#N/A</v>
      </c>
    </row>
    <row r="1031" spans="1:21" x14ac:dyDescent="0.25">
      <c r="A1031" s="12" t="s">
        <v>21</v>
      </c>
      <c r="B1031" s="12" t="s">
        <v>1123</v>
      </c>
      <c r="C1031" s="12" t="s">
        <v>23</v>
      </c>
      <c r="D1031" s="13">
        <v>46267.314710648148</v>
      </c>
      <c r="E1031" s="12" t="s">
        <v>24</v>
      </c>
      <c r="F1031" s="12" t="s">
        <v>530</v>
      </c>
      <c r="G1031" s="12">
        <v>2</v>
      </c>
      <c r="H1031" s="12">
        <v>2</v>
      </c>
      <c r="I1031" s="14"/>
      <c r="J1031" s="14" t="s">
        <v>61</v>
      </c>
      <c r="K1031" s="12" t="s">
        <v>1133</v>
      </c>
      <c r="L1031" s="15">
        <v>1</v>
      </c>
      <c r="M1031" s="12" t="s">
        <v>150</v>
      </c>
      <c r="N1031" s="12">
        <v>2</v>
      </c>
      <c r="O1031" s="12">
        <v>2</v>
      </c>
      <c r="P1031" s="12">
        <v>0</v>
      </c>
      <c r="Q1031" s="16">
        <v>2</v>
      </c>
      <c r="R1031" s="16">
        <v>0</v>
      </c>
      <c r="S1031" s="16"/>
      <c r="T1031" s="16" t="e">
        <v>#N/A</v>
      </c>
      <c r="U1031" s="16" t="e">
        <v>#N/A</v>
      </c>
    </row>
    <row r="1032" spans="1:21" x14ac:dyDescent="0.25">
      <c r="A1032" s="12" t="s">
        <v>21</v>
      </c>
      <c r="B1032" s="12" t="s">
        <v>1123</v>
      </c>
      <c r="C1032" s="12" t="s">
        <v>23</v>
      </c>
      <c r="D1032" s="13">
        <v>46267.314710648148</v>
      </c>
      <c r="E1032" s="12" t="s">
        <v>24</v>
      </c>
      <c r="F1032" s="12" t="s">
        <v>1126</v>
      </c>
      <c r="G1032" s="12">
        <v>10</v>
      </c>
      <c r="H1032" s="12">
        <v>10</v>
      </c>
      <c r="I1032" s="14"/>
      <c r="J1032" s="14" t="s">
        <v>61</v>
      </c>
      <c r="K1032" s="12" t="s">
        <v>1134</v>
      </c>
      <c r="L1032" s="15">
        <v>1</v>
      </c>
      <c r="M1032" s="12" t="s">
        <v>150</v>
      </c>
      <c r="N1032" s="12">
        <v>10</v>
      </c>
      <c r="O1032" s="12">
        <v>10</v>
      </c>
      <c r="P1032" s="12">
        <v>0</v>
      </c>
      <c r="Q1032" s="16">
        <v>10</v>
      </c>
      <c r="R1032" s="16">
        <v>1</v>
      </c>
      <c r="S1032" s="16"/>
      <c r="T1032" s="16" t="e">
        <v>#N/A</v>
      </c>
      <c r="U1032" s="16" t="e">
        <v>#N/A</v>
      </c>
    </row>
    <row r="1033" spans="1:21" x14ac:dyDescent="0.25">
      <c r="A1033" s="12" t="s">
        <v>21</v>
      </c>
      <c r="B1033" s="12" t="s">
        <v>1123</v>
      </c>
      <c r="C1033" s="12" t="s">
        <v>23</v>
      </c>
      <c r="D1033" s="13">
        <v>46267.314710648148</v>
      </c>
      <c r="E1033" s="12" t="s">
        <v>24</v>
      </c>
      <c r="F1033" s="12" t="s">
        <v>1127</v>
      </c>
      <c r="G1033" s="12">
        <v>2</v>
      </c>
      <c r="H1033" s="12">
        <v>2</v>
      </c>
      <c r="I1033" s="14"/>
      <c r="J1033" s="14" t="s">
        <v>61</v>
      </c>
      <c r="K1033" s="12" t="s">
        <v>1135</v>
      </c>
      <c r="L1033" s="15">
        <v>1</v>
      </c>
      <c r="M1033" s="12" t="s">
        <v>150</v>
      </c>
      <c r="N1033" s="12">
        <v>2</v>
      </c>
      <c r="O1033" s="12">
        <v>2</v>
      </c>
      <c r="P1033" s="12">
        <v>0</v>
      </c>
      <c r="Q1033" s="16">
        <v>2</v>
      </c>
      <c r="R1033" s="16">
        <v>0</v>
      </c>
      <c r="S1033" s="16"/>
      <c r="T1033" s="16" t="e">
        <v>#N/A</v>
      </c>
      <c r="U1033" s="16" t="e">
        <v>#N/A</v>
      </c>
    </row>
    <row r="1034" spans="1:21" x14ac:dyDescent="0.25">
      <c r="A1034" s="12" t="s">
        <v>21</v>
      </c>
      <c r="B1034" s="12" t="s">
        <v>1123</v>
      </c>
      <c r="C1034" s="12" t="s">
        <v>23</v>
      </c>
      <c r="D1034" s="13">
        <v>46267.314710648148</v>
      </c>
      <c r="E1034" s="12" t="s">
        <v>24</v>
      </c>
      <c r="F1034" s="12" t="s">
        <v>1128</v>
      </c>
      <c r="G1034" s="12">
        <v>1</v>
      </c>
      <c r="H1034" s="12">
        <v>1</v>
      </c>
      <c r="I1034" s="14"/>
      <c r="J1034" s="14" t="s">
        <v>61</v>
      </c>
      <c r="K1034" s="12" t="s">
        <v>1136</v>
      </c>
      <c r="L1034" s="15">
        <v>1</v>
      </c>
      <c r="M1034" s="12" t="s">
        <v>150</v>
      </c>
      <c r="N1034" s="12">
        <v>1</v>
      </c>
      <c r="O1034" s="12">
        <v>1</v>
      </c>
      <c r="P1034" s="12">
        <v>0</v>
      </c>
      <c r="Q1034" s="16">
        <v>1</v>
      </c>
      <c r="R1034" s="16">
        <v>0</v>
      </c>
      <c r="S1034" s="16"/>
      <c r="T1034" s="16" t="e">
        <v>#N/A</v>
      </c>
      <c r="U1034" s="16" t="e">
        <v>#N/A</v>
      </c>
    </row>
    <row r="1035" spans="1:21" x14ac:dyDescent="0.25">
      <c r="A1035" s="12" t="s">
        <v>21</v>
      </c>
      <c r="B1035" s="12" t="s">
        <v>1123</v>
      </c>
      <c r="C1035" s="12" t="s">
        <v>23</v>
      </c>
      <c r="D1035" s="13">
        <v>46267.314710648148</v>
      </c>
      <c r="E1035" s="12" t="s">
        <v>24</v>
      </c>
      <c r="F1035" s="12" t="s">
        <v>1037</v>
      </c>
      <c r="G1035" s="12">
        <v>2</v>
      </c>
      <c r="H1035" s="12">
        <v>2</v>
      </c>
      <c r="I1035" s="14"/>
      <c r="J1035" s="14" t="s">
        <v>61</v>
      </c>
      <c r="K1035" s="12" t="s">
        <v>1137</v>
      </c>
      <c r="L1035" s="15">
        <v>1</v>
      </c>
      <c r="M1035" s="12" t="s">
        <v>150</v>
      </c>
      <c r="N1035" s="12">
        <v>2</v>
      </c>
      <c r="O1035" s="12">
        <v>2</v>
      </c>
      <c r="P1035" s="12">
        <v>0</v>
      </c>
      <c r="Q1035" s="16">
        <v>2</v>
      </c>
      <c r="R1035" s="16">
        <v>1</v>
      </c>
      <c r="S1035" s="16"/>
      <c r="T1035" s="16" t="e">
        <v>#N/A</v>
      </c>
      <c r="U1035" s="16" t="e">
        <v>#N/A</v>
      </c>
    </row>
    <row r="1036" spans="1:21" x14ac:dyDescent="0.25">
      <c r="A1036" s="12" t="s">
        <v>21</v>
      </c>
      <c r="B1036" s="12" t="s">
        <v>1123</v>
      </c>
      <c r="C1036" s="12" t="s">
        <v>23</v>
      </c>
      <c r="D1036" s="13">
        <v>46267.314710648148</v>
      </c>
      <c r="E1036" s="12" t="s">
        <v>24</v>
      </c>
      <c r="F1036" s="12" t="s">
        <v>356</v>
      </c>
      <c r="G1036" s="12">
        <v>11</v>
      </c>
      <c r="H1036" s="12">
        <v>11</v>
      </c>
      <c r="I1036" s="14"/>
      <c r="J1036" s="14" t="s">
        <v>26</v>
      </c>
      <c r="K1036" s="12" t="s">
        <v>27</v>
      </c>
      <c r="L1036" s="15"/>
      <c r="M1036" s="12" t="s">
        <v>28</v>
      </c>
      <c r="N1036" s="12"/>
      <c r="O1036" s="12"/>
      <c r="P1036" s="12"/>
      <c r="Q1036" s="16">
        <v>0</v>
      </c>
      <c r="R1036" s="16">
        <v>0</v>
      </c>
      <c r="S1036" s="16"/>
      <c r="T1036" s="16" t="e">
        <v>#N/A</v>
      </c>
      <c r="U1036" s="16" t="e">
        <v>#N/A</v>
      </c>
    </row>
    <row r="1037" spans="1:21" x14ac:dyDescent="0.25">
      <c r="A1037" s="12" t="s">
        <v>21</v>
      </c>
      <c r="B1037" s="12" t="s">
        <v>1123</v>
      </c>
      <c r="C1037" s="12" t="s">
        <v>23</v>
      </c>
      <c r="D1037" s="13">
        <v>46267.314710648148</v>
      </c>
      <c r="E1037" s="12" t="s">
        <v>24</v>
      </c>
      <c r="F1037" s="12" t="s">
        <v>967</v>
      </c>
      <c r="G1037" s="12">
        <v>3</v>
      </c>
      <c r="H1037" s="12">
        <v>3</v>
      </c>
      <c r="I1037" s="14"/>
      <c r="J1037" s="14" t="s">
        <v>61</v>
      </c>
      <c r="K1037" s="12" t="s">
        <v>1138</v>
      </c>
      <c r="L1037" s="15">
        <v>1</v>
      </c>
      <c r="M1037" s="12" t="s">
        <v>150</v>
      </c>
      <c r="N1037" s="12">
        <v>3</v>
      </c>
      <c r="O1037" s="12">
        <v>3</v>
      </c>
      <c r="P1037" s="12">
        <v>0</v>
      </c>
      <c r="Q1037" s="16">
        <v>3</v>
      </c>
      <c r="R1037" s="16">
        <v>0</v>
      </c>
      <c r="S1037" s="16"/>
      <c r="T1037" s="16" t="e">
        <v>#N/A</v>
      </c>
      <c r="U1037" s="16" t="e">
        <v>#N/A</v>
      </c>
    </row>
    <row r="1038" spans="1:21" x14ac:dyDescent="0.25">
      <c r="A1038" s="12" t="s">
        <v>21</v>
      </c>
      <c r="B1038" s="12" t="s">
        <v>1123</v>
      </c>
      <c r="C1038" s="12" t="s">
        <v>23</v>
      </c>
      <c r="D1038" s="13">
        <v>46267.314710648148</v>
      </c>
      <c r="E1038" s="12" t="s">
        <v>24</v>
      </c>
      <c r="F1038" s="12" t="s">
        <v>357</v>
      </c>
      <c r="G1038" s="12">
        <v>16</v>
      </c>
      <c r="H1038" s="12">
        <v>16</v>
      </c>
      <c r="I1038" s="14"/>
      <c r="J1038" s="14" t="s">
        <v>61</v>
      </c>
      <c r="K1038" s="12" t="s">
        <v>1139</v>
      </c>
      <c r="L1038" s="15">
        <v>1</v>
      </c>
      <c r="M1038" s="12" t="s">
        <v>150</v>
      </c>
      <c r="N1038" s="12">
        <v>16</v>
      </c>
      <c r="O1038" s="12">
        <v>16</v>
      </c>
      <c r="P1038" s="12">
        <v>0</v>
      </c>
      <c r="Q1038" s="16">
        <v>16</v>
      </c>
      <c r="R1038" s="16">
        <v>0</v>
      </c>
      <c r="S1038" s="16"/>
      <c r="T1038" s="16" t="e">
        <v>#N/A</v>
      </c>
      <c r="U1038" s="16" t="e">
        <v>#N/A</v>
      </c>
    </row>
    <row r="1039" spans="1:21" x14ac:dyDescent="0.25">
      <c r="A1039" s="12" t="s">
        <v>21</v>
      </c>
      <c r="B1039" s="12" t="s">
        <v>1140</v>
      </c>
      <c r="C1039" s="12" t="s">
        <v>23</v>
      </c>
      <c r="D1039" s="13">
        <v>46267.32135416667</v>
      </c>
      <c r="E1039" s="12" t="s">
        <v>24</v>
      </c>
      <c r="F1039" s="12" t="s">
        <v>201</v>
      </c>
      <c r="G1039" s="12">
        <v>40</v>
      </c>
      <c r="H1039" s="12">
        <v>40</v>
      </c>
      <c r="I1039" s="14"/>
      <c r="J1039" s="14" t="s">
        <v>61</v>
      </c>
      <c r="K1039" s="12" t="s">
        <v>1143</v>
      </c>
      <c r="L1039" s="15">
        <v>1</v>
      </c>
      <c r="M1039" s="12" t="s">
        <v>150</v>
      </c>
      <c r="N1039" s="12">
        <v>40</v>
      </c>
      <c r="O1039" s="12">
        <v>40</v>
      </c>
      <c r="P1039" s="12">
        <v>0</v>
      </c>
      <c r="Q1039" s="16">
        <v>40</v>
      </c>
      <c r="R1039" s="16">
        <v>0</v>
      </c>
      <c r="S1039" s="16"/>
      <c r="T1039" s="16" t="e">
        <v>#N/A</v>
      </c>
      <c r="U1039" s="16" t="e">
        <v>#N/A</v>
      </c>
    </row>
    <row r="1040" spans="1:21" x14ac:dyDescent="0.25">
      <c r="A1040" s="12" t="s">
        <v>21</v>
      </c>
      <c r="B1040" s="12" t="s">
        <v>1141</v>
      </c>
      <c r="C1040" s="12" t="s">
        <v>23</v>
      </c>
      <c r="D1040" s="13">
        <v>46267.323657407411</v>
      </c>
      <c r="E1040" s="12" t="s">
        <v>585</v>
      </c>
      <c r="F1040" s="12" t="s">
        <v>243</v>
      </c>
      <c r="G1040" s="12">
        <v>80</v>
      </c>
      <c r="H1040" s="12">
        <v>80</v>
      </c>
      <c r="I1040" s="14"/>
      <c r="J1040" s="14" t="s">
        <v>61</v>
      </c>
      <c r="K1040" s="12" t="s">
        <v>1144</v>
      </c>
      <c r="L1040" s="15">
        <v>1</v>
      </c>
      <c r="M1040" s="12" t="s">
        <v>150</v>
      </c>
      <c r="N1040" s="12">
        <v>80</v>
      </c>
      <c r="O1040" s="12">
        <v>80</v>
      </c>
      <c r="P1040" s="12">
        <v>0</v>
      </c>
      <c r="Q1040" s="16">
        <v>80</v>
      </c>
      <c r="R1040" s="16">
        <v>1</v>
      </c>
      <c r="S1040" s="16"/>
      <c r="T1040" s="16" t="e">
        <v>#N/A</v>
      </c>
      <c r="U1040" s="16" t="e">
        <v>#N/A</v>
      </c>
    </row>
    <row r="1041" spans="1:21" x14ac:dyDescent="0.25">
      <c r="A1041" s="12" t="s">
        <v>21</v>
      </c>
      <c r="B1041" s="12" t="s">
        <v>1141</v>
      </c>
      <c r="C1041" s="12" t="s">
        <v>23</v>
      </c>
      <c r="D1041" s="13">
        <v>46267.323657407411</v>
      </c>
      <c r="E1041" s="12" t="s">
        <v>585</v>
      </c>
      <c r="F1041" s="12" t="s">
        <v>244</v>
      </c>
      <c r="G1041" s="12">
        <v>60</v>
      </c>
      <c r="H1041" s="12">
        <v>60</v>
      </c>
      <c r="I1041" s="14"/>
      <c r="J1041" s="14" t="s">
        <v>61</v>
      </c>
      <c r="K1041" s="12" t="s">
        <v>1145</v>
      </c>
      <c r="L1041" s="15">
        <v>1</v>
      </c>
      <c r="M1041" s="12" t="s">
        <v>150</v>
      </c>
      <c r="N1041" s="12">
        <v>60</v>
      </c>
      <c r="O1041" s="12">
        <v>60</v>
      </c>
      <c r="P1041" s="12">
        <v>0</v>
      </c>
      <c r="Q1041" s="16">
        <v>60</v>
      </c>
      <c r="R1041" s="16">
        <v>0</v>
      </c>
      <c r="S1041" s="16"/>
      <c r="T1041" s="16" t="e">
        <v>#N/A</v>
      </c>
      <c r="U1041" s="16" t="e">
        <v>#N/A</v>
      </c>
    </row>
    <row r="1042" spans="1:21" x14ac:dyDescent="0.25">
      <c r="A1042" s="12" t="s">
        <v>21</v>
      </c>
      <c r="B1042" s="12" t="s">
        <v>1141</v>
      </c>
      <c r="C1042" s="12" t="s">
        <v>23</v>
      </c>
      <c r="D1042" s="13">
        <v>46267.323657407411</v>
      </c>
      <c r="E1042" s="12" t="s">
        <v>585</v>
      </c>
      <c r="F1042" s="12" t="s">
        <v>245</v>
      </c>
      <c r="G1042" s="12">
        <v>200</v>
      </c>
      <c r="H1042" s="12">
        <v>200</v>
      </c>
      <c r="I1042" s="14"/>
      <c r="J1042" s="14" t="s">
        <v>61</v>
      </c>
      <c r="K1042" s="12" t="s">
        <v>1146</v>
      </c>
      <c r="L1042" s="15">
        <v>1</v>
      </c>
      <c r="M1042" s="12" t="s">
        <v>150</v>
      </c>
      <c r="N1042" s="12">
        <v>200</v>
      </c>
      <c r="O1042" s="12">
        <v>200</v>
      </c>
      <c r="P1042" s="12">
        <v>0</v>
      </c>
      <c r="Q1042" s="16">
        <v>200</v>
      </c>
      <c r="R1042" s="16">
        <v>0</v>
      </c>
      <c r="S1042" s="16"/>
      <c r="T1042" s="16" t="e">
        <v>#N/A</v>
      </c>
      <c r="U1042" s="16" t="e">
        <v>#N/A</v>
      </c>
    </row>
    <row r="1043" spans="1:21" x14ac:dyDescent="0.25">
      <c r="A1043" s="12" t="s">
        <v>21</v>
      </c>
      <c r="B1043" s="12" t="s">
        <v>1141</v>
      </c>
      <c r="C1043" s="12" t="s">
        <v>23</v>
      </c>
      <c r="D1043" s="13">
        <v>46267.323657407411</v>
      </c>
      <c r="E1043" s="12" t="s">
        <v>585</v>
      </c>
      <c r="F1043" s="12" t="s">
        <v>267</v>
      </c>
      <c r="G1043" s="12">
        <v>20</v>
      </c>
      <c r="H1043" s="12">
        <v>20</v>
      </c>
      <c r="I1043" s="14"/>
      <c r="J1043" s="14" t="s">
        <v>61</v>
      </c>
      <c r="K1043" s="12" t="s">
        <v>1147</v>
      </c>
      <c r="L1043" s="15">
        <v>1</v>
      </c>
      <c r="M1043" s="12" t="s">
        <v>150</v>
      </c>
      <c r="N1043" s="12">
        <v>20</v>
      </c>
      <c r="O1043" s="12">
        <v>20</v>
      </c>
      <c r="P1043" s="12">
        <v>0</v>
      </c>
      <c r="Q1043" s="16">
        <v>20</v>
      </c>
      <c r="R1043" s="16">
        <v>0</v>
      </c>
      <c r="S1043" s="16"/>
      <c r="T1043" s="16" t="e">
        <v>#N/A</v>
      </c>
      <c r="U1043" s="16" t="e">
        <v>#N/A</v>
      </c>
    </row>
    <row r="1044" spans="1:21" x14ac:dyDescent="0.25">
      <c r="A1044" s="12" t="s">
        <v>21</v>
      </c>
      <c r="B1044" s="12" t="s">
        <v>1141</v>
      </c>
      <c r="C1044" s="12" t="s">
        <v>23</v>
      </c>
      <c r="D1044" s="13">
        <v>46267.323657407411</v>
      </c>
      <c r="E1044" s="12" t="s">
        <v>585</v>
      </c>
      <c r="F1044" s="12" t="s">
        <v>699</v>
      </c>
      <c r="G1044" s="12">
        <v>12</v>
      </c>
      <c r="H1044" s="12">
        <v>12</v>
      </c>
      <c r="I1044" s="14"/>
      <c r="J1044" s="14" t="s">
        <v>61</v>
      </c>
      <c r="K1044" s="12" t="s">
        <v>1148</v>
      </c>
      <c r="L1044" s="15">
        <v>1</v>
      </c>
      <c r="M1044" s="12" t="s">
        <v>150</v>
      </c>
      <c r="N1044" s="12">
        <v>12</v>
      </c>
      <c r="O1044" s="12">
        <v>12</v>
      </c>
      <c r="P1044" s="12">
        <v>0</v>
      </c>
      <c r="Q1044" s="16">
        <v>12</v>
      </c>
      <c r="R1044" s="16">
        <v>0</v>
      </c>
      <c r="S1044" s="16"/>
      <c r="T1044" s="16" t="e">
        <v>#N/A</v>
      </c>
      <c r="U1044" s="16" t="e">
        <v>#N/A</v>
      </c>
    </row>
    <row r="1045" spans="1:21" x14ac:dyDescent="0.25">
      <c r="A1045" s="12" t="s">
        <v>21</v>
      </c>
      <c r="B1045" s="12" t="s">
        <v>1141</v>
      </c>
      <c r="C1045" s="12" t="s">
        <v>23</v>
      </c>
      <c r="D1045" s="13">
        <v>46267.323657407411</v>
      </c>
      <c r="E1045" s="12" t="s">
        <v>585</v>
      </c>
      <c r="F1045" s="12" t="s">
        <v>472</v>
      </c>
      <c r="G1045" s="12">
        <v>100</v>
      </c>
      <c r="H1045" s="12">
        <v>100</v>
      </c>
      <c r="I1045" s="14"/>
      <c r="J1045" s="14" t="s">
        <v>26</v>
      </c>
      <c r="K1045" s="12" t="s">
        <v>27</v>
      </c>
      <c r="L1045" s="15"/>
      <c r="M1045" s="12" t="s">
        <v>28</v>
      </c>
      <c r="N1045" s="12"/>
      <c r="O1045" s="12"/>
      <c r="P1045" s="12"/>
      <c r="Q1045" s="16">
        <v>0</v>
      </c>
      <c r="R1045" s="16">
        <v>0</v>
      </c>
      <c r="S1045" s="16"/>
      <c r="T1045" s="16" t="e">
        <v>#N/A</v>
      </c>
      <c r="U1045" s="16" t="e">
        <v>#N/A</v>
      </c>
    </row>
    <row r="1046" spans="1:21" x14ac:dyDescent="0.25">
      <c r="A1046" s="12" t="s">
        <v>21</v>
      </c>
      <c r="B1046" s="12" t="s">
        <v>1141</v>
      </c>
      <c r="C1046" s="12" t="s">
        <v>23</v>
      </c>
      <c r="D1046" s="13">
        <v>46267.323657407411</v>
      </c>
      <c r="E1046" s="12" t="s">
        <v>585</v>
      </c>
      <c r="F1046" s="12" t="s">
        <v>442</v>
      </c>
      <c r="G1046" s="12">
        <v>150</v>
      </c>
      <c r="H1046" s="12">
        <v>150</v>
      </c>
      <c r="I1046" s="14"/>
      <c r="J1046" s="14" t="s">
        <v>26</v>
      </c>
      <c r="K1046" s="12" t="s">
        <v>27</v>
      </c>
      <c r="L1046" s="15"/>
      <c r="M1046" s="12" t="s">
        <v>28</v>
      </c>
      <c r="N1046" s="12"/>
      <c r="O1046" s="12"/>
      <c r="P1046" s="12"/>
      <c r="Q1046" s="16">
        <v>0</v>
      </c>
      <c r="R1046" s="16">
        <v>0</v>
      </c>
      <c r="S1046" s="16"/>
      <c r="T1046" s="16" t="e">
        <v>#N/A</v>
      </c>
      <c r="U1046" s="16" t="e">
        <v>#N/A</v>
      </c>
    </row>
    <row r="1047" spans="1:21" x14ac:dyDescent="0.25">
      <c r="A1047" s="12" t="s">
        <v>21</v>
      </c>
      <c r="B1047" s="12" t="s">
        <v>1141</v>
      </c>
      <c r="C1047" s="12" t="s">
        <v>23</v>
      </c>
      <c r="D1047" s="13">
        <v>46267.323657407411</v>
      </c>
      <c r="E1047" s="12" t="s">
        <v>585</v>
      </c>
      <c r="F1047" s="12" t="s">
        <v>253</v>
      </c>
      <c r="G1047" s="12">
        <v>80</v>
      </c>
      <c r="H1047" s="12">
        <v>80</v>
      </c>
      <c r="I1047" s="14"/>
      <c r="J1047" s="14" t="s">
        <v>61</v>
      </c>
      <c r="K1047" s="12" t="s">
        <v>1149</v>
      </c>
      <c r="L1047" s="15">
        <v>1</v>
      </c>
      <c r="M1047" s="12" t="s">
        <v>150</v>
      </c>
      <c r="N1047" s="12">
        <v>80</v>
      </c>
      <c r="O1047" s="12">
        <v>80</v>
      </c>
      <c r="P1047" s="12">
        <v>0</v>
      </c>
      <c r="Q1047" s="16">
        <v>80</v>
      </c>
      <c r="R1047" s="16">
        <v>0</v>
      </c>
      <c r="S1047" s="16"/>
      <c r="T1047" s="16" t="e">
        <v>#N/A</v>
      </c>
      <c r="U1047" s="16" t="e">
        <v>#N/A</v>
      </c>
    </row>
    <row r="1048" spans="1:21" x14ac:dyDescent="0.25">
      <c r="A1048" s="12" t="s">
        <v>21</v>
      </c>
      <c r="B1048" s="12" t="s">
        <v>1141</v>
      </c>
      <c r="C1048" s="12" t="s">
        <v>23</v>
      </c>
      <c r="D1048" s="13">
        <v>46267.323657407411</v>
      </c>
      <c r="E1048" s="12" t="s">
        <v>585</v>
      </c>
      <c r="F1048" s="12" t="s">
        <v>703</v>
      </c>
      <c r="G1048" s="12">
        <v>80</v>
      </c>
      <c r="H1048" s="12">
        <v>80</v>
      </c>
      <c r="I1048" s="14"/>
      <c r="J1048" s="14" t="s">
        <v>61</v>
      </c>
      <c r="K1048" s="12" t="s">
        <v>1150</v>
      </c>
      <c r="L1048" s="15">
        <v>1</v>
      </c>
      <c r="M1048" s="12" t="s">
        <v>150</v>
      </c>
      <c r="N1048" s="12">
        <v>80</v>
      </c>
      <c r="O1048" s="12">
        <v>80</v>
      </c>
      <c r="P1048" s="12">
        <v>0</v>
      </c>
      <c r="Q1048" s="16">
        <v>80</v>
      </c>
      <c r="R1048" s="16">
        <v>0</v>
      </c>
      <c r="S1048" s="16"/>
      <c r="T1048" s="16" t="e">
        <v>#N/A</v>
      </c>
      <c r="U1048" s="16" t="e">
        <v>#N/A</v>
      </c>
    </row>
    <row r="1049" spans="1:21" x14ac:dyDescent="0.25">
      <c r="A1049" s="12" t="s">
        <v>21</v>
      </c>
      <c r="B1049" s="12" t="s">
        <v>1142</v>
      </c>
      <c r="C1049" s="12" t="s">
        <v>23</v>
      </c>
      <c r="D1049" s="13">
        <v>46267.323807870373</v>
      </c>
      <c r="E1049" s="12" t="s">
        <v>585</v>
      </c>
      <c r="F1049" s="12" t="s">
        <v>157</v>
      </c>
      <c r="G1049" s="12">
        <v>50</v>
      </c>
      <c r="H1049" s="12">
        <v>50</v>
      </c>
      <c r="I1049" s="14"/>
      <c r="J1049" s="14" t="s">
        <v>61</v>
      </c>
      <c r="K1049" s="12" t="s">
        <v>1151</v>
      </c>
      <c r="L1049" s="15">
        <v>1</v>
      </c>
      <c r="M1049" s="12" t="s">
        <v>150</v>
      </c>
      <c r="N1049" s="12">
        <v>50</v>
      </c>
      <c r="O1049" s="12">
        <v>50</v>
      </c>
      <c r="P1049" s="12">
        <v>0</v>
      </c>
      <c r="Q1049" s="16">
        <v>50</v>
      </c>
      <c r="R1049" s="16">
        <v>0</v>
      </c>
      <c r="S1049" s="16"/>
      <c r="T1049" s="16" t="e">
        <v>#N/A</v>
      </c>
      <c r="U1049" s="16" t="e">
        <v>#N/A</v>
      </c>
    </row>
    <row r="1050" spans="1:21" x14ac:dyDescent="0.25">
      <c r="A1050" s="12" t="s">
        <v>21</v>
      </c>
      <c r="B1050" s="12" t="s">
        <v>1142</v>
      </c>
      <c r="C1050" s="12" t="s">
        <v>23</v>
      </c>
      <c r="D1050" s="13">
        <v>46267.323807870373</v>
      </c>
      <c r="E1050" s="12" t="s">
        <v>585</v>
      </c>
      <c r="F1050" s="12" t="s">
        <v>617</v>
      </c>
      <c r="G1050" s="12">
        <v>20</v>
      </c>
      <c r="H1050" s="12">
        <v>20</v>
      </c>
      <c r="I1050" s="14"/>
      <c r="J1050" s="14" t="s">
        <v>61</v>
      </c>
      <c r="K1050" s="12" t="s">
        <v>1152</v>
      </c>
      <c r="L1050" s="15">
        <v>1</v>
      </c>
      <c r="M1050" s="12" t="s">
        <v>150</v>
      </c>
      <c r="N1050" s="12">
        <v>20</v>
      </c>
      <c r="O1050" s="12">
        <v>20</v>
      </c>
      <c r="P1050" s="12">
        <v>0</v>
      </c>
      <c r="Q1050" s="16">
        <v>20</v>
      </c>
      <c r="R1050" s="16">
        <v>0</v>
      </c>
      <c r="S1050" s="16"/>
      <c r="T1050" s="16" t="e">
        <v>#N/A</v>
      </c>
      <c r="U1050" s="16" t="e">
        <v>#N/A</v>
      </c>
    </row>
    <row r="1051" spans="1:21" x14ac:dyDescent="0.25">
      <c r="A1051" s="12" t="s">
        <v>21</v>
      </c>
      <c r="B1051" s="12" t="s">
        <v>1142</v>
      </c>
      <c r="C1051" s="12" t="s">
        <v>23</v>
      </c>
      <c r="D1051" s="13">
        <v>46267.323807870373</v>
      </c>
      <c r="E1051" s="12" t="s">
        <v>585</v>
      </c>
      <c r="F1051" s="12" t="s">
        <v>71</v>
      </c>
      <c r="G1051" s="12">
        <v>150</v>
      </c>
      <c r="H1051" s="12">
        <v>150</v>
      </c>
      <c r="I1051" s="14"/>
      <c r="J1051" s="14" t="s">
        <v>26</v>
      </c>
      <c r="K1051" s="12" t="s">
        <v>27</v>
      </c>
      <c r="L1051" s="15"/>
      <c r="M1051" s="12" t="s">
        <v>28</v>
      </c>
      <c r="N1051" s="12"/>
      <c r="O1051" s="12"/>
      <c r="P1051" s="12"/>
      <c r="Q1051" s="16">
        <v>0</v>
      </c>
      <c r="R1051" s="16">
        <v>0</v>
      </c>
      <c r="S1051" s="16">
        <v>100</v>
      </c>
      <c r="T1051" s="16" t="e">
        <v>#N/A</v>
      </c>
      <c r="U1051" s="16" t="e">
        <v>#N/A</v>
      </c>
    </row>
    <row r="1052" spans="1:21" x14ac:dyDescent="0.25">
      <c r="A1052" s="12" t="s">
        <v>21</v>
      </c>
      <c r="B1052" s="12" t="s">
        <v>1142</v>
      </c>
      <c r="C1052" s="12" t="s">
        <v>23</v>
      </c>
      <c r="D1052" s="13">
        <v>46267.323807870373</v>
      </c>
      <c r="E1052" s="12" t="s">
        <v>585</v>
      </c>
      <c r="F1052" s="12" t="s">
        <v>401</v>
      </c>
      <c r="G1052" s="12">
        <v>10</v>
      </c>
      <c r="H1052" s="12">
        <v>10</v>
      </c>
      <c r="I1052" s="14"/>
      <c r="J1052" s="14" t="s">
        <v>61</v>
      </c>
      <c r="K1052" s="12" t="s">
        <v>1158</v>
      </c>
      <c r="L1052" s="15">
        <v>1</v>
      </c>
      <c r="M1052" s="12" t="s">
        <v>150</v>
      </c>
      <c r="N1052" s="12">
        <v>10</v>
      </c>
      <c r="O1052" s="12">
        <v>10</v>
      </c>
      <c r="P1052" s="12">
        <v>0</v>
      </c>
      <c r="Q1052" s="16">
        <v>10</v>
      </c>
      <c r="R1052" s="16">
        <v>0</v>
      </c>
      <c r="S1052" s="16"/>
      <c r="T1052" s="16" t="e">
        <v>#N/A</v>
      </c>
      <c r="U1052" s="16" t="e">
        <v>#N/A</v>
      </c>
    </row>
    <row r="1053" spans="1:21" x14ac:dyDescent="0.25">
      <c r="A1053" s="12" t="s">
        <v>21</v>
      </c>
      <c r="B1053" s="12" t="s">
        <v>1142</v>
      </c>
      <c r="C1053" s="12" t="s">
        <v>23</v>
      </c>
      <c r="D1053" s="13">
        <v>46267.323807870373</v>
      </c>
      <c r="E1053" s="12" t="s">
        <v>585</v>
      </c>
      <c r="F1053" s="12" t="s">
        <v>201</v>
      </c>
      <c r="G1053" s="12">
        <v>80</v>
      </c>
      <c r="H1053" s="12">
        <v>80</v>
      </c>
      <c r="I1053" s="14"/>
      <c r="J1053" s="14" t="s">
        <v>61</v>
      </c>
      <c r="K1053" s="12" t="s">
        <v>1159</v>
      </c>
      <c r="L1053" s="15">
        <v>1</v>
      </c>
      <c r="M1053" s="12" t="s">
        <v>150</v>
      </c>
      <c r="N1053" s="12">
        <v>80</v>
      </c>
      <c r="O1053" s="12">
        <v>80</v>
      </c>
      <c r="P1053" s="12">
        <v>0</v>
      </c>
      <c r="Q1053" s="16">
        <v>80</v>
      </c>
      <c r="R1053" s="16">
        <v>0</v>
      </c>
      <c r="S1053" s="16"/>
      <c r="T1053" s="16" t="e">
        <v>#N/A</v>
      </c>
      <c r="U1053" s="16" t="e">
        <v>#N/A</v>
      </c>
    </row>
    <row r="1054" spans="1:21" x14ac:dyDescent="0.25">
      <c r="A1054" s="12" t="s">
        <v>21</v>
      </c>
      <c r="B1054" s="12" t="s">
        <v>1142</v>
      </c>
      <c r="C1054" s="12" t="s">
        <v>23</v>
      </c>
      <c r="D1054" s="13">
        <v>46267.323807870373</v>
      </c>
      <c r="E1054" s="12" t="s">
        <v>585</v>
      </c>
      <c r="F1054" s="12" t="s">
        <v>443</v>
      </c>
      <c r="G1054" s="12">
        <v>60</v>
      </c>
      <c r="H1054" s="12">
        <v>60</v>
      </c>
      <c r="I1054" s="14"/>
      <c r="J1054" s="14" t="s">
        <v>26</v>
      </c>
      <c r="K1054" s="12" t="s">
        <v>27</v>
      </c>
      <c r="L1054" s="15"/>
      <c r="M1054" s="12" t="s">
        <v>28</v>
      </c>
      <c r="N1054" s="12"/>
      <c r="O1054" s="12"/>
      <c r="P1054" s="12"/>
      <c r="Q1054" s="16">
        <v>0</v>
      </c>
      <c r="R1054" s="16">
        <v>0</v>
      </c>
      <c r="S1054" s="16">
        <v>20</v>
      </c>
      <c r="T1054" s="16" t="e">
        <v>#N/A</v>
      </c>
      <c r="U1054" s="16" t="e">
        <v>#N/A</v>
      </c>
    </row>
    <row r="1055" spans="1:21" x14ac:dyDescent="0.25">
      <c r="A1055" s="12" t="s">
        <v>21</v>
      </c>
      <c r="B1055" s="12" t="s">
        <v>1153</v>
      </c>
      <c r="C1055" s="12" t="s">
        <v>23</v>
      </c>
      <c r="D1055" s="13">
        <v>46267.412812499999</v>
      </c>
      <c r="E1055" s="12" t="s">
        <v>522</v>
      </c>
      <c r="F1055" s="12" t="s">
        <v>1154</v>
      </c>
      <c r="G1055" s="12">
        <v>3</v>
      </c>
      <c r="H1055" s="12">
        <v>3</v>
      </c>
      <c r="I1055" s="14"/>
      <c r="J1055" s="14" t="s">
        <v>26</v>
      </c>
      <c r="K1055" s="12" t="s">
        <v>27</v>
      </c>
      <c r="L1055" s="15"/>
      <c r="M1055" s="12" t="s">
        <v>28</v>
      </c>
      <c r="N1055" s="12"/>
      <c r="O1055" s="12"/>
      <c r="P1055" s="12"/>
      <c r="Q1055" s="16">
        <v>0</v>
      </c>
      <c r="R1055" s="16">
        <v>0</v>
      </c>
      <c r="S1055" s="16"/>
      <c r="T1055" s="16" t="e">
        <v>#N/A</v>
      </c>
      <c r="U1055" s="16" t="e">
        <v>#N/A</v>
      </c>
    </row>
    <row r="1056" spans="1:21" x14ac:dyDescent="0.25">
      <c r="A1056" s="12" t="s">
        <v>21</v>
      </c>
      <c r="B1056" s="12" t="s">
        <v>1153</v>
      </c>
      <c r="C1056" s="12" t="s">
        <v>23</v>
      </c>
      <c r="D1056" s="13">
        <v>46267.412812499999</v>
      </c>
      <c r="E1056" s="12" t="s">
        <v>522</v>
      </c>
      <c r="F1056" s="12" t="s">
        <v>1155</v>
      </c>
      <c r="G1056" s="12">
        <v>3</v>
      </c>
      <c r="H1056" s="12">
        <v>3</v>
      </c>
      <c r="I1056" s="14"/>
      <c r="J1056" s="14" t="s">
        <v>26</v>
      </c>
      <c r="K1056" s="12" t="s">
        <v>27</v>
      </c>
      <c r="L1056" s="15"/>
      <c r="M1056" s="12" t="s">
        <v>28</v>
      </c>
      <c r="N1056" s="12"/>
      <c r="O1056" s="12"/>
      <c r="P1056" s="12"/>
      <c r="Q1056" s="16">
        <v>0</v>
      </c>
      <c r="R1056" s="16">
        <v>0</v>
      </c>
      <c r="S1056" s="16"/>
      <c r="T1056" s="16" t="e">
        <v>#N/A</v>
      </c>
      <c r="U1056" s="16" t="e">
        <v>#N/A</v>
      </c>
    </row>
    <row r="1057" spans="1:21" x14ac:dyDescent="0.25">
      <c r="A1057" s="12" t="s">
        <v>21</v>
      </c>
      <c r="B1057" s="12" t="s">
        <v>1153</v>
      </c>
      <c r="C1057" s="12" t="s">
        <v>23</v>
      </c>
      <c r="D1057" s="13">
        <v>46267.412812499999</v>
      </c>
      <c r="E1057" s="12" t="s">
        <v>522</v>
      </c>
      <c r="F1057" s="12" t="s">
        <v>1156</v>
      </c>
      <c r="G1057" s="12">
        <v>3</v>
      </c>
      <c r="H1057" s="12">
        <v>3</v>
      </c>
      <c r="I1057" s="14"/>
      <c r="J1057" s="14" t="s">
        <v>26</v>
      </c>
      <c r="K1057" s="12" t="s">
        <v>27</v>
      </c>
      <c r="L1057" s="15"/>
      <c r="M1057" s="12" t="s">
        <v>28</v>
      </c>
      <c r="N1057" s="12"/>
      <c r="O1057" s="12"/>
      <c r="P1057" s="12"/>
      <c r="Q1057" s="16">
        <v>0</v>
      </c>
      <c r="R1057" s="16">
        <v>0</v>
      </c>
      <c r="S1057" s="16"/>
      <c r="T1057" s="16" t="e">
        <v>#N/A</v>
      </c>
      <c r="U1057" s="16" t="e">
        <v>#N/A</v>
      </c>
    </row>
    <row r="1058" spans="1:21" x14ac:dyDescent="0.25">
      <c r="A1058" s="12" t="s">
        <v>21</v>
      </c>
      <c r="B1058" s="12" t="s">
        <v>1153</v>
      </c>
      <c r="C1058" s="12" t="s">
        <v>23</v>
      </c>
      <c r="D1058" s="13">
        <v>46267.412812499999</v>
      </c>
      <c r="E1058" s="12" t="s">
        <v>522</v>
      </c>
      <c r="F1058" s="12" t="s">
        <v>1157</v>
      </c>
      <c r="G1058" s="12">
        <v>3</v>
      </c>
      <c r="H1058" s="12">
        <v>3</v>
      </c>
      <c r="I1058" s="14"/>
      <c r="J1058" s="14" t="s">
        <v>26</v>
      </c>
      <c r="K1058" s="12" t="s">
        <v>27</v>
      </c>
      <c r="L1058" s="15"/>
      <c r="M1058" s="12" t="s">
        <v>28</v>
      </c>
      <c r="N1058" s="12"/>
      <c r="O1058" s="12"/>
      <c r="P1058" s="12"/>
      <c r="Q1058" s="16">
        <v>0</v>
      </c>
      <c r="R1058" s="16">
        <v>0</v>
      </c>
      <c r="S1058" s="16"/>
      <c r="T1058" s="16" t="e">
        <v>#N/A</v>
      </c>
      <c r="U1058" s="16" t="e">
        <v>#N/A</v>
      </c>
    </row>
    <row r="1059" spans="1:21" x14ac:dyDescent="0.25">
      <c r="A1059" s="12" t="s">
        <v>21</v>
      </c>
      <c r="B1059" s="12" t="s">
        <v>1153</v>
      </c>
      <c r="C1059" s="12" t="s">
        <v>23</v>
      </c>
      <c r="D1059" s="13">
        <v>46267.412812499999</v>
      </c>
      <c r="E1059" s="12" t="s">
        <v>522</v>
      </c>
      <c r="F1059" s="12" t="s">
        <v>669</v>
      </c>
      <c r="G1059" s="12">
        <v>5</v>
      </c>
      <c r="H1059" s="12">
        <v>5</v>
      </c>
      <c r="I1059" s="14"/>
      <c r="J1059" s="14" t="s">
        <v>61</v>
      </c>
      <c r="K1059" s="12" t="s">
        <v>1160</v>
      </c>
      <c r="L1059" s="15">
        <v>1</v>
      </c>
      <c r="M1059" s="12" t="s">
        <v>150</v>
      </c>
      <c r="N1059" s="12">
        <v>5</v>
      </c>
      <c r="O1059" s="12">
        <v>5</v>
      </c>
      <c r="P1059" s="12">
        <v>0</v>
      </c>
      <c r="Q1059" s="16">
        <v>5</v>
      </c>
      <c r="R1059" s="16">
        <v>0</v>
      </c>
      <c r="S1059" s="16"/>
      <c r="T1059" s="16" t="e">
        <v>#N/A</v>
      </c>
      <c r="U1059" s="16" t="e">
        <v>#N/A</v>
      </c>
    </row>
    <row r="1060" spans="1:21" x14ac:dyDescent="0.25">
      <c r="A1060" s="12" t="s">
        <v>21</v>
      </c>
      <c r="B1060" s="12" t="s">
        <v>1153</v>
      </c>
      <c r="C1060" s="12" t="s">
        <v>23</v>
      </c>
      <c r="D1060" s="13">
        <v>46267.412812499999</v>
      </c>
      <c r="E1060" s="12" t="s">
        <v>522</v>
      </c>
      <c r="F1060" s="12" t="s">
        <v>1163</v>
      </c>
      <c r="G1060" s="12">
        <v>1</v>
      </c>
      <c r="H1060" s="12">
        <v>1</v>
      </c>
      <c r="I1060" s="14"/>
      <c r="J1060" s="14" t="s">
        <v>61</v>
      </c>
      <c r="K1060" s="12" t="s">
        <v>1169</v>
      </c>
      <c r="L1060" s="15">
        <v>1</v>
      </c>
      <c r="M1060" s="12" t="s">
        <v>150</v>
      </c>
      <c r="N1060" s="12">
        <v>1</v>
      </c>
      <c r="O1060" s="12">
        <v>1</v>
      </c>
      <c r="P1060" s="12">
        <v>0</v>
      </c>
      <c r="Q1060" s="16">
        <v>1</v>
      </c>
      <c r="R1060" s="16">
        <v>0</v>
      </c>
      <c r="S1060" s="16"/>
      <c r="T1060" s="16" t="e">
        <v>#N/A</v>
      </c>
      <c r="U1060" s="16" t="e">
        <v>#N/A</v>
      </c>
    </row>
    <row r="1061" spans="1:21" x14ac:dyDescent="0.25">
      <c r="A1061" s="12" t="s">
        <v>21</v>
      </c>
      <c r="B1061" s="12" t="s">
        <v>1153</v>
      </c>
      <c r="C1061" s="12" t="s">
        <v>23</v>
      </c>
      <c r="D1061" s="13">
        <v>46267.412812499999</v>
      </c>
      <c r="E1061" s="12" t="s">
        <v>522</v>
      </c>
      <c r="F1061" s="12" t="s">
        <v>1014</v>
      </c>
      <c r="G1061" s="12">
        <v>6</v>
      </c>
      <c r="H1061" s="12">
        <v>6</v>
      </c>
      <c r="I1061" s="14"/>
      <c r="J1061" s="14" t="s">
        <v>61</v>
      </c>
      <c r="K1061" s="12" t="s">
        <v>1170</v>
      </c>
      <c r="L1061" s="15">
        <v>1</v>
      </c>
      <c r="M1061" s="12" t="s">
        <v>150</v>
      </c>
      <c r="N1061" s="12">
        <v>6</v>
      </c>
      <c r="O1061" s="12">
        <v>6</v>
      </c>
      <c r="P1061" s="12">
        <v>0</v>
      </c>
      <c r="Q1061" s="16">
        <v>6</v>
      </c>
      <c r="R1061" s="16">
        <v>0</v>
      </c>
      <c r="S1061" s="16"/>
      <c r="T1061" s="16" t="e">
        <v>#N/A</v>
      </c>
      <c r="U1061" s="16" t="e">
        <v>#N/A</v>
      </c>
    </row>
    <row r="1062" spans="1:21" x14ac:dyDescent="0.25">
      <c r="A1062" s="12" t="s">
        <v>21</v>
      </c>
      <c r="B1062" s="12" t="s">
        <v>1153</v>
      </c>
      <c r="C1062" s="12" t="s">
        <v>23</v>
      </c>
      <c r="D1062" s="13">
        <v>46267.412812499999</v>
      </c>
      <c r="E1062" s="12" t="s">
        <v>522</v>
      </c>
      <c r="F1062" s="12" t="s">
        <v>967</v>
      </c>
      <c r="G1062" s="12">
        <v>1</v>
      </c>
      <c r="H1062" s="12">
        <v>1</v>
      </c>
      <c r="I1062" s="14"/>
      <c r="J1062" s="14" t="s">
        <v>26</v>
      </c>
      <c r="K1062" s="12" t="s">
        <v>1171</v>
      </c>
      <c r="L1062" s="15">
        <v>1</v>
      </c>
      <c r="M1062" s="12" t="s">
        <v>150</v>
      </c>
      <c r="N1062" s="12">
        <v>1</v>
      </c>
      <c r="O1062" s="12">
        <v>1</v>
      </c>
      <c r="P1062" s="12">
        <v>0</v>
      </c>
      <c r="Q1062" s="16">
        <v>0</v>
      </c>
      <c r="R1062" s="16">
        <v>0</v>
      </c>
      <c r="S1062" s="16"/>
      <c r="T1062" s="16" t="e">
        <v>#N/A</v>
      </c>
      <c r="U1062" s="16" t="e">
        <v>#N/A</v>
      </c>
    </row>
    <row r="1063" spans="1:21" x14ac:dyDescent="0.25">
      <c r="A1063" s="12" t="s">
        <v>21</v>
      </c>
      <c r="B1063" s="12" t="s">
        <v>1153</v>
      </c>
      <c r="C1063" s="12" t="s">
        <v>23</v>
      </c>
      <c r="D1063" s="13">
        <v>46267.412812499999</v>
      </c>
      <c r="E1063" s="12" t="s">
        <v>522</v>
      </c>
      <c r="F1063" s="12" t="s">
        <v>357</v>
      </c>
      <c r="G1063" s="12">
        <v>5</v>
      </c>
      <c r="H1063" s="12">
        <v>5</v>
      </c>
      <c r="I1063" s="14"/>
      <c r="J1063" s="14" t="s">
        <v>61</v>
      </c>
      <c r="K1063" s="12" t="s">
        <v>1172</v>
      </c>
      <c r="L1063" s="15">
        <v>1</v>
      </c>
      <c r="M1063" s="12" t="s">
        <v>150</v>
      </c>
      <c r="N1063" s="12">
        <v>5</v>
      </c>
      <c r="O1063" s="12">
        <v>5</v>
      </c>
      <c r="P1063" s="12">
        <v>0</v>
      </c>
      <c r="Q1063" s="16">
        <v>5</v>
      </c>
      <c r="R1063" s="16">
        <v>0</v>
      </c>
      <c r="S1063" s="16"/>
      <c r="T1063" s="16" t="e">
        <v>#N/A</v>
      </c>
      <c r="U1063" s="16" t="e">
        <v>#N/A</v>
      </c>
    </row>
    <row r="1064" spans="1:21" x14ac:dyDescent="0.25">
      <c r="A1064" s="12" t="s">
        <v>21</v>
      </c>
      <c r="B1064" s="12" t="s">
        <v>1153</v>
      </c>
      <c r="C1064" s="12" t="s">
        <v>23</v>
      </c>
      <c r="D1064" s="13">
        <v>46267.412812499999</v>
      </c>
      <c r="E1064" s="12" t="s">
        <v>522</v>
      </c>
      <c r="F1064" s="12" t="s">
        <v>968</v>
      </c>
      <c r="G1064" s="12">
        <v>2</v>
      </c>
      <c r="H1064" s="12">
        <v>2</v>
      </c>
      <c r="I1064" s="14"/>
      <c r="J1064" s="14" t="s">
        <v>61</v>
      </c>
      <c r="K1064" s="12" t="s">
        <v>1173</v>
      </c>
      <c r="L1064" s="15">
        <v>1</v>
      </c>
      <c r="M1064" s="12" t="s">
        <v>150</v>
      </c>
      <c r="N1064" s="12">
        <v>2</v>
      </c>
      <c r="O1064" s="12">
        <v>2</v>
      </c>
      <c r="P1064" s="12">
        <v>0</v>
      </c>
      <c r="Q1064" s="16">
        <v>2</v>
      </c>
      <c r="R1064" s="16">
        <v>0</v>
      </c>
      <c r="S1064" s="16"/>
      <c r="T1064" s="16" t="e">
        <v>#N/A</v>
      </c>
      <c r="U1064" s="16" t="e">
        <v>#N/A</v>
      </c>
    </row>
    <row r="1065" spans="1:21" x14ac:dyDescent="0.25">
      <c r="A1065" s="12" t="s">
        <v>21</v>
      </c>
      <c r="B1065" s="12" t="s">
        <v>1153</v>
      </c>
      <c r="C1065" s="12" t="s">
        <v>23</v>
      </c>
      <c r="D1065" s="13">
        <v>46267.412812499999</v>
      </c>
      <c r="E1065" s="12" t="s">
        <v>522</v>
      </c>
      <c r="F1065" s="12" t="s">
        <v>681</v>
      </c>
      <c r="G1065" s="12">
        <v>11</v>
      </c>
      <c r="H1065" s="12">
        <v>11</v>
      </c>
      <c r="I1065" s="14"/>
      <c r="J1065" s="14" t="s">
        <v>61</v>
      </c>
      <c r="K1065" s="12" t="s">
        <v>1174</v>
      </c>
      <c r="L1065" s="15">
        <v>1</v>
      </c>
      <c r="M1065" s="12" t="s">
        <v>150</v>
      </c>
      <c r="N1065" s="12">
        <v>11</v>
      </c>
      <c r="O1065" s="12">
        <v>11</v>
      </c>
      <c r="P1065" s="12">
        <v>0</v>
      </c>
      <c r="Q1065" s="16">
        <v>11</v>
      </c>
      <c r="R1065" s="16">
        <v>0</v>
      </c>
      <c r="S1065" s="16"/>
      <c r="T1065" s="16" t="e">
        <v>#N/A</v>
      </c>
      <c r="U1065" s="16" t="e">
        <v>#N/A</v>
      </c>
    </row>
    <row r="1066" spans="1:21" x14ac:dyDescent="0.25">
      <c r="A1066" s="12" t="s">
        <v>21</v>
      </c>
      <c r="B1066" s="12" t="s">
        <v>1161</v>
      </c>
      <c r="C1066" s="12" t="s">
        <v>23</v>
      </c>
      <c r="D1066" s="13">
        <v>46267.415729166663</v>
      </c>
      <c r="E1066" s="12" t="s">
        <v>661</v>
      </c>
      <c r="F1066" s="12" t="s">
        <v>1164</v>
      </c>
      <c r="G1066" s="12">
        <v>12</v>
      </c>
      <c r="H1066" s="12">
        <v>12</v>
      </c>
      <c r="I1066" s="14"/>
      <c r="J1066" s="14" t="s">
        <v>61</v>
      </c>
      <c r="K1066" s="12" t="s">
        <v>1175</v>
      </c>
      <c r="L1066" s="15">
        <v>1</v>
      </c>
      <c r="M1066" s="12" t="s">
        <v>150</v>
      </c>
      <c r="N1066" s="12">
        <v>12</v>
      </c>
      <c r="O1066" s="12">
        <v>12</v>
      </c>
      <c r="P1066" s="12">
        <v>0</v>
      </c>
      <c r="Q1066" s="16">
        <v>12</v>
      </c>
      <c r="R1066" s="16">
        <v>0</v>
      </c>
      <c r="S1066" s="16"/>
      <c r="T1066" s="16" t="e">
        <v>#N/A</v>
      </c>
      <c r="U1066" s="16" t="e">
        <v>#N/A</v>
      </c>
    </row>
    <row r="1067" spans="1:21" x14ac:dyDescent="0.25">
      <c r="A1067" s="12" t="s">
        <v>21</v>
      </c>
      <c r="B1067" s="12" t="s">
        <v>1161</v>
      </c>
      <c r="C1067" s="12" t="s">
        <v>23</v>
      </c>
      <c r="D1067" s="13">
        <v>46267.415729166663</v>
      </c>
      <c r="E1067" s="12" t="s">
        <v>661</v>
      </c>
      <c r="F1067" s="12" t="s">
        <v>1165</v>
      </c>
      <c r="G1067" s="12">
        <v>1</v>
      </c>
      <c r="H1067" s="12">
        <v>1</v>
      </c>
      <c r="I1067" s="14"/>
      <c r="J1067" s="14" t="s">
        <v>61</v>
      </c>
      <c r="K1067" s="12" t="s">
        <v>1176</v>
      </c>
      <c r="L1067" s="15">
        <v>1</v>
      </c>
      <c r="M1067" s="12" t="s">
        <v>150</v>
      </c>
      <c r="N1067" s="12">
        <v>1</v>
      </c>
      <c r="O1067" s="12">
        <v>1</v>
      </c>
      <c r="P1067" s="12">
        <v>0</v>
      </c>
      <c r="Q1067" s="16">
        <v>1</v>
      </c>
      <c r="R1067" s="16">
        <v>0</v>
      </c>
      <c r="S1067" s="16"/>
      <c r="T1067" s="16" t="e">
        <v>#N/A</v>
      </c>
      <c r="U1067" s="16" t="e">
        <v>#N/A</v>
      </c>
    </row>
    <row r="1068" spans="1:21" x14ac:dyDescent="0.25">
      <c r="A1068" s="12" t="s">
        <v>21</v>
      </c>
      <c r="B1068" s="12" t="s">
        <v>1161</v>
      </c>
      <c r="C1068" s="12" t="s">
        <v>23</v>
      </c>
      <c r="D1068" s="13">
        <v>46267.415729166663</v>
      </c>
      <c r="E1068" s="12" t="s">
        <v>661</v>
      </c>
      <c r="F1068" s="12" t="s">
        <v>1166</v>
      </c>
      <c r="G1068" s="12">
        <v>10</v>
      </c>
      <c r="H1068" s="12">
        <v>10</v>
      </c>
      <c r="I1068" s="14"/>
      <c r="J1068" s="14" t="s">
        <v>61</v>
      </c>
      <c r="K1068" s="12" t="s">
        <v>1177</v>
      </c>
      <c r="L1068" s="15">
        <v>1</v>
      </c>
      <c r="M1068" s="12" t="s">
        <v>150</v>
      </c>
      <c r="N1068" s="12">
        <v>10</v>
      </c>
      <c r="O1068" s="12">
        <v>10</v>
      </c>
      <c r="P1068" s="12">
        <v>0</v>
      </c>
      <c r="Q1068" s="16">
        <v>10</v>
      </c>
      <c r="R1068" s="16">
        <v>0</v>
      </c>
      <c r="S1068" s="16"/>
      <c r="T1068" s="16" t="e">
        <v>#N/A</v>
      </c>
      <c r="U1068" s="16" t="e">
        <v>#N/A</v>
      </c>
    </row>
    <row r="1069" spans="1:21" x14ac:dyDescent="0.25">
      <c r="A1069" s="12" t="s">
        <v>21</v>
      </c>
      <c r="B1069" s="12" t="s">
        <v>1161</v>
      </c>
      <c r="C1069" s="12" t="s">
        <v>23</v>
      </c>
      <c r="D1069" s="13">
        <v>46267.415729166663</v>
      </c>
      <c r="E1069" s="12" t="s">
        <v>661</v>
      </c>
      <c r="F1069" s="12" t="s">
        <v>567</v>
      </c>
      <c r="G1069" s="12">
        <v>20</v>
      </c>
      <c r="H1069" s="12">
        <v>20</v>
      </c>
      <c r="I1069" s="14"/>
      <c r="J1069" s="14" t="s">
        <v>61</v>
      </c>
      <c r="K1069" s="12" t="s">
        <v>1178</v>
      </c>
      <c r="L1069" s="15">
        <v>1</v>
      </c>
      <c r="M1069" s="12" t="s">
        <v>150</v>
      </c>
      <c r="N1069" s="12">
        <v>20</v>
      </c>
      <c r="O1069" s="12">
        <v>20</v>
      </c>
      <c r="P1069" s="12">
        <v>0</v>
      </c>
      <c r="Q1069" s="16">
        <v>20</v>
      </c>
      <c r="R1069" s="16">
        <v>0</v>
      </c>
      <c r="S1069" s="16"/>
      <c r="T1069" s="16" t="e">
        <v>#N/A</v>
      </c>
      <c r="U1069" s="16" t="e">
        <v>#N/A</v>
      </c>
    </row>
    <row r="1070" spans="1:21" x14ac:dyDescent="0.25">
      <c r="A1070" s="12" t="s">
        <v>21</v>
      </c>
      <c r="B1070" s="12" t="s">
        <v>1161</v>
      </c>
      <c r="C1070" s="12" t="s">
        <v>23</v>
      </c>
      <c r="D1070" s="13">
        <v>46267.415729166663</v>
      </c>
      <c r="E1070" s="12" t="s">
        <v>661</v>
      </c>
      <c r="F1070" s="12" t="s">
        <v>1167</v>
      </c>
      <c r="G1070" s="12">
        <v>10</v>
      </c>
      <c r="H1070" s="12">
        <v>10</v>
      </c>
      <c r="I1070" s="14"/>
      <c r="J1070" s="14" t="s">
        <v>61</v>
      </c>
      <c r="K1070" s="12" t="s">
        <v>1179</v>
      </c>
      <c r="L1070" s="15">
        <v>1</v>
      </c>
      <c r="M1070" s="12" t="s">
        <v>150</v>
      </c>
      <c r="N1070" s="12">
        <v>10</v>
      </c>
      <c r="O1070" s="12">
        <v>10</v>
      </c>
      <c r="P1070" s="12">
        <v>0</v>
      </c>
      <c r="Q1070" s="16">
        <v>10</v>
      </c>
      <c r="R1070" s="16">
        <v>0</v>
      </c>
      <c r="S1070" s="16"/>
      <c r="T1070" s="16" t="e">
        <v>#N/A</v>
      </c>
      <c r="U1070" s="16" t="e">
        <v>#N/A</v>
      </c>
    </row>
    <row r="1071" spans="1:21" x14ac:dyDescent="0.25">
      <c r="A1071" s="12" t="s">
        <v>21</v>
      </c>
      <c r="B1071" s="12" t="s">
        <v>1162</v>
      </c>
      <c r="C1071" s="12" t="s">
        <v>23</v>
      </c>
      <c r="D1071" s="13">
        <v>46267.43309027778</v>
      </c>
      <c r="E1071" s="12" t="s">
        <v>627</v>
      </c>
      <c r="F1071" s="12" t="s">
        <v>760</v>
      </c>
      <c r="G1071" s="12">
        <v>6</v>
      </c>
      <c r="H1071" s="12">
        <v>6</v>
      </c>
      <c r="I1071" s="14"/>
      <c r="J1071" s="14" t="s">
        <v>61</v>
      </c>
      <c r="K1071" s="12" t="s">
        <v>1180</v>
      </c>
      <c r="L1071" s="15">
        <v>1</v>
      </c>
      <c r="M1071" s="12" t="s">
        <v>150</v>
      </c>
      <c r="N1071" s="12">
        <v>6</v>
      </c>
      <c r="O1071" s="12">
        <v>6</v>
      </c>
      <c r="P1071" s="12">
        <v>0</v>
      </c>
      <c r="Q1071" s="16">
        <v>6</v>
      </c>
      <c r="R1071" s="16">
        <v>0</v>
      </c>
      <c r="S1071" s="16"/>
      <c r="T1071" s="16" t="e">
        <v>#N/A</v>
      </c>
      <c r="U1071" s="16" t="e">
        <v>#N/A</v>
      </c>
    </row>
    <row r="1072" spans="1:21" x14ac:dyDescent="0.25">
      <c r="A1072" s="12" t="s">
        <v>21</v>
      </c>
      <c r="B1072" s="12" t="s">
        <v>1162</v>
      </c>
      <c r="C1072" s="12" t="s">
        <v>23</v>
      </c>
      <c r="D1072" s="13">
        <v>46267.43309027778</v>
      </c>
      <c r="E1072" s="12" t="s">
        <v>627</v>
      </c>
      <c r="F1072" s="12" t="s">
        <v>553</v>
      </c>
      <c r="G1072" s="12">
        <v>20</v>
      </c>
      <c r="H1072" s="12">
        <v>20</v>
      </c>
      <c r="I1072" s="14"/>
      <c r="J1072" s="14" t="s">
        <v>61</v>
      </c>
      <c r="K1072" s="12" t="s">
        <v>1181</v>
      </c>
      <c r="L1072" s="15">
        <v>1</v>
      </c>
      <c r="M1072" s="12" t="s">
        <v>150</v>
      </c>
      <c r="N1072" s="12">
        <v>20</v>
      </c>
      <c r="O1072" s="12">
        <v>20</v>
      </c>
      <c r="P1072" s="12">
        <v>0</v>
      </c>
      <c r="Q1072" s="16">
        <v>20</v>
      </c>
      <c r="R1072" s="16">
        <v>2</v>
      </c>
      <c r="S1072" s="16"/>
      <c r="T1072" s="16" t="e">
        <v>#N/A</v>
      </c>
      <c r="U1072" s="16" t="e">
        <v>#N/A</v>
      </c>
    </row>
    <row r="1073" spans="1:21" x14ac:dyDescent="0.25">
      <c r="A1073" s="12" t="s">
        <v>21</v>
      </c>
      <c r="B1073" s="12" t="s">
        <v>1162</v>
      </c>
      <c r="C1073" s="12" t="s">
        <v>23</v>
      </c>
      <c r="D1073" s="13">
        <v>46267.43309027778</v>
      </c>
      <c r="E1073" s="12" t="s">
        <v>627</v>
      </c>
      <c r="F1073" s="12" t="s">
        <v>442</v>
      </c>
      <c r="G1073" s="12">
        <v>40</v>
      </c>
      <c r="H1073" s="12">
        <v>40</v>
      </c>
      <c r="I1073" s="14"/>
      <c r="J1073" s="14" t="s">
        <v>61</v>
      </c>
      <c r="K1073" s="12" t="s">
        <v>1182</v>
      </c>
      <c r="L1073" s="15">
        <v>1</v>
      </c>
      <c r="M1073" s="12" t="s">
        <v>150</v>
      </c>
      <c r="N1073" s="12">
        <v>40</v>
      </c>
      <c r="O1073" s="12">
        <v>40</v>
      </c>
      <c r="P1073" s="12">
        <v>0</v>
      </c>
      <c r="Q1073" s="16">
        <v>40</v>
      </c>
      <c r="R1073" s="16">
        <v>0</v>
      </c>
      <c r="S1073" s="16"/>
      <c r="T1073" s="16" t="e">
        <v>#N/A</v>
      </c>
      <c r="U1073" s="16" t="e">
        <v>#N/A</v>
      </c>
    </row>
    <row r="1074" spans="1:21" x14ac:dyDescent="0.25">
      <c r="A1074" s="12" t="s">
        <v>21</v>
      </c>
      <c r="B1074" s="12" t="s">
        <v>1162</v>
      </c>
      <c r="C1074" s="12" t="s">
        <v>23</v>
      </c>
      <c r="D1074" s="13">
        <v>46267.43309027778</v>
      </c>
      <c r="E1074" s="12" t="s">
        <v>627</v>
      </c>
      <c r="F1074" s="12" t="s">
        <v>572</v>
      </c>
      <c r="G1074" s="12">
        <v>20</v>
      </c>
      <c r="H1074" s="12">
        <v>20</v>
      </c>
      <c r="I1074" s="14"/>
      <c r="J1074" s="14" t="s">
        <v>26</v>
      </c>
      <c r="K1074" s="12" t="s">
        <v>27</v>
      </c>
      <c r="L1074" s="15"/>
      <c r="M1074" s="12" t="s">
        <v>28</v>
      </c>
      <c r="N1074" s="12"/>
      <c r="O1074" s="12"/>
      <c r="P1074" s="12"/>
      <c r="Q1074" s="16">
        <v>0</v>
      </c>
      <c r="R1074" s="16">
        <v>10</v>
      </c>
      <c r="S1074" s="16"/>
      <c r="T1074" s="16" t="e">
        <v>#N/A</v>
      </c>
      <c r="U1074" s="16" t="e">
        <v>#N/A</v>
      </c>
    </row>
    <row r="1075" spans="1:21" x14ac:dyDescent="0.25">
      <c r="A1075" s="12" t="s">
        <v>21</v>
      </c>
      <c r="B1075" s="12" t="s">
        <v>1162</v>
      </c>
      <c r="C1075" s="12" t="s">
        <v>23</v>
      </c>
      <c r="D1075" s="13">
        <v>46267.43309027778</v>
      </c>
      <c r="E1075" s="12" t="s">
        <v>627</v>
      </c>
      <c r="F1075" s="12" t="s">
        <v>1168</v>
      </c>
      <c r="G1075" s="12">
        <v>20</v>
      </c>
      <c r="H1075" s="12">
        <v>20</v>
      </c>
      <c r="I1075" s="14"/>
      <c r="J1075" s="14" t="s">
        <v>61</v>
      </c>
      <c r="K1075" s="12" t="s">
        <v>1183</v>
      </c>
      <c r="L1075" s="15">
        <v>1</v>
      </c>
      <c r="M1075" s="12" t="s">
        <v>150</v>
      </c>
      <c r="N1075" s="12">
        <v>20</v>
      </c>
      <c r="O1075" s="12">
        <v>20</v>
      </c>
      <c r="P1075" s="12">
        <v>0</v>
      </c>
      <c r="Q1075" s="16">
        <v>20</v>
      </c>
      <c r="R1075" s="16">
        <v>0</v>
      </c>
      <c r="S1075" s="16"/>
      <c r="T1075" s="16" t="e">
        <v>#N/A</v>
      </c>
      <c r="U1075" s="16" t="e">
        <v>#N/A</v>
      </c>
    </row>
    <row r="1076" spans="1:21" x14ac:dyDescent="0.25">
      <c r="A1076" s="12" t="s">
        <v>21</v>
      </c>
      <c r="B1076" s="12" t="s">
        <v>1184</v>
      </c>
      <c r="C1076" s="12" t="s">
        <v>23</v>
      </c>
      <c r="D1076" s="13">
        <v>46267.440092592595</v>
      </c>
      <c r="E1076" s="12" t="s">
        <v>340</v>
      </c>
      <c r="F1076" s="12" t="s">
        <v>1185</v>
      </c>
      <c r="G1076" s="12">
        <v>-150</v>
      </c>
      <c r="H1076" s="12">
        <v>-150</v>
      </c>
      <c r="I1076" s="14"/>
      <c r="J1076" s="14" t="s">
        <v>26</v>
      </c>
      <c r="K1076" s="12" t="s">
        <v>27</v>
      </c>
      <c r="L1076" s="15"/>
      <c r="M1076" s="12" t="s">
        <v>28</v>
      </c>
      <c r="N1076" s="12"/>
      <c r="O1076" s="12"/>
      <c r="P1076" s="12"/>
      <c r="Q1076" s="16">
        <v>0</v>
      </c>
      <c r="R1076" s="16">
        <v>3269</v>
      </c>
      <c r="S1076" s="16"/>
      <c r="T1076" s="16" t="e">
        <v>#N/A</v>
      </c>
      <c r="U1076" s="16" t="e">
        <v>#N/A</v>
      </c>
    </row>
    <row r="1077" spans="1:21" x14ac:dyDescent="0.25">
      <c r="A1077" s="12" t="s">
        <v>21</v>
      </c>
      <c r="B1077" s="12" t="s">
        <v>1184</v>
      </c>
      <c r="C1077" s="12" t="s">
        <v>23</v>
      </c>
      <c r="D1077" s="13">
        <v>46267.440092592595</v>
      </c>
      <c r="E1077" s="12" t="s">
        <v>340</v>
      </c>
      <c r="F1077" s="12" t="s">
        <v>1185</v>
      </c>
      <c r="G1077" s="12">
        <v>-80</v>
      </c>
      <c r="H1077" s="12">
        <v>-80</v>
      </c>
      <c r="I1077" s="14"/>
      <c r="J1077" s="14" t="s">
        <v>26</v>
      </c>
      <c r="K1077" s="12" t="s">
        <v>27</v>
      </c>
      <c r="L1077" s="15"/>
      <c r="M1077" s="12" t="s">
        <v>28</v>
      </c>
      <c r="N1077" s="12"/>
      <c r="O1077" s="12"/>
      <c r="P1077" s="12"/>
      <c r="Q1077" s="16">
        <v>0</v>
      </c>
      <c r="R1077" s="16">
        <v>3269</v>
      </c>
      <c r="S1077" s="16"/>
      <c r="T1077" s="16" t="e">
        <v>#N/A</v>
      </c>
      <c r="U1077" s="16" t="e">
        <v>#N/A</v>
      </c>
    </row>
    <row r="1078" spans="1:21" x14ac:dyDescent="0.25">
      <c r="A1078" s="12" t="s">
        <v>21</v>
      </c>
      <c r="B1078" s="12" t="s">
        <v>1186</v>
      </c>
      <c r="C1078" s="12" t="s">
        <v>23</v>
      </c>
      <c r="D1078" s="13">
        <v>46267.531759259262</v>
      </c>
      <c r="E1078" s="12" t="s">
        <v>258</v>
      </c>
      <c r="F1078" s="12" t="s">
        <v>1029</v>
      </c>
      <c r="G1078" s="12">
        <v>2</v>
      </c>
      <c r="H1078" s="12">
        <v>2</v>
      </c>
      <c r="I1078" s="14"/>
      <c r="J1078" s="14" t="s">
        <v>61</v>
      </c>
      <c r="K1078" s="12" t="s">
        <v>1190</v>
      </c>
      <c r="L1078" s="15">
        <v>1</v>
      </c>
      <c r="M1078" s="12" t="s">
        <v>150</v>
      </c>
      <c r="N1078" s="12">
        <v>2</v>
      </c>
      <c r="O1078" s="12">
        <v>2</v>
      </c>
      <c r="P1078" s="12">
        <v>0</v>
      </c>
      <c r="Q1078" s="16">
        <v>2</v>
      </c>
      <c r="R1078" s="16">
        <v>0</v>
      </c>
      <c r="S1078" s="16"/>
      <c r="T1078" s="16" t="e">
        <v>#N/A</v>
      </c>
      <c r="U1078" s="16" t="e">
        <v>#N/A</v>
      </c>
    </row>
    <row r="1079" spans="1:21" x14ac:dyDescent="0.25">
      <c r="A1079" s="12" t="s">
        <v>21</v>
      </c>
      <c r="B1079" s="12" t="s">
        <v>1186</v>
      </c>
      <c r="C1079" s="12" t="s">
        <v>23</v>
      </c>
      <c r="D1079" s="13">
        <v>46267.531759259262</v>
      </c>
      <c r="E1079" s="12" t="s">
        <v>258</v>
      </c>
      <c r="F1079" s="12" t="s">
        <v>1041</v>
      </c>
      <c r="G1079" s="12">
        <v>8</v>
      </c>
      <c r="H1079" s="12">
        <v>8</v>
      </c>
      <c r="I1079" s="14"/>
      <c r="J1079" s="14" t="s">
        <v>61</v>
      </c>
      <c r="K1079" s="12" t="s">
        <v>1191</v>
      </c>
      <c r="L1079" s="15">
        <v>1</v>
      </c>
      <c r="M1079" s="12" t="s">
        <v>150</v>
      </c>
      <c r="N1079" s="12">
        <v>8</v>
      </c>
      <c r="O1079" s="12">
        <v>8</v>
      </c>
      <c r="P1079" s="12">
        <v>0</v>
      </c>
      <c r="Q1079" s="16">
        <v>8</v>
      </c>
      <c r="R1079" s="16">
        <v>0</v>
      </c>
      <c r="S1079" s="16"/>
      <c r="T1079" s="16" t="e">
        <v>#N/A</v>
      </c>
      <c r="U1079" s="16" t="e">
        <v>#N/A</v>
      </c>
    </row>
    <row r="1080" spans="1:21" x14ac:dyDescent="0.25">
      <c r="A1080" s="12" t="s">
        <v>21</v>
      </c>
      <c r="B1080" s="12" t="s">
        <v>1186</v>
      </c>
      <c r="C1080" s="12" t="s">
        <v>23</v>
      </c>
      <c r="D1080" s="13">
        <v>46267.531759259262</v>
      </c>
      <c r="E1080" s="12" t="s">
        <v>258</v>
      </c>
      <c r="F1080" s="12" t="s">
        <v>1188</v>
      </c>
      <c r="G1080" s="12">
        <v>3</v>
      </c>
      <c r="H1080" s="12">
        <v>3</v>
      </c>
      <c r="I1080" s="14"/>
      <c r="J1080" s="14" t="s">
        <v>61</v>
      </c>
      <c r="K1080" s="12" t="s">
        <v>1192</v>
      </c>
      <c r="L1080" s="15">
        <v>1</v>
      </c>
      <c r="M1080" s="12" t="s">
        <v>150</v>
      </c>
      <c r="N1080" s="12">
        <v>3</v>
      </c>
      <c r="O1080" s="12">
        <v>3</v>
      </c>
      <c r="P1080" s="12">
        <v>0</v>
      </c>
      <c r="Q1080" s="16">
        <v>3</v>
      </c>
      <c r="R1080" s="16">
        <v>4</v>
      </c>
      <c r="S1080" s="16"/>
      <c r="T1080" s="16" t="e">
        <v>#N/A</v>
      </c>
      <c r="U1080" s="16" t="e">
        <v>#N/A</v>
      </c>
    </row>
    <row r="1081" spans="1:21" x14ac:dyDescent="0.25">
      <c r="A1081" s="12" t="s">
        <v>21</v>
      </c>
      <c r="B1081" s="12" t="s">
        <v>1186</v>
      </c>
      <c r="C1081" s="12" t="s">
        <v>23</v>
      </c>
      <c r="D1081" s="13">
        <v>46267.531759259262</v>
      </c>
      <c r="E1081" s="12" t="s">
        <v>258</v>
      </c>
      <c r="F1081" s="12" t="s">
        <v>1189</v>
      </c>
      <c r="G1081" s="12">
        <v>4</v>
      </c>
      <c r="H1081" s="12">
        <v>4</v>
      </c>
      <c r="I1081" s="14"/>
      <c r="J1081" s="14" t="s">
        <v>61</v>
      </c>
      <c r="K1081" s="12" t="s">
        <v>1193</v>
      </c>
      <c r="L1081" s="15">
        <v>1</v>
      </c>
      <c r="M1081" s="12" t="s">
        <v>150</v>
      </c>
      <c r="N1081" s="12">
        <v>4</v>
      </c>
      <c r="O1081" s="12">
        <v>4</v>
      </c>
      <c r="P1081" s="12">
        <v>0</v>
      </c>
      <c r="Q1081" s="16">
        <v>4</v>
      </c>
      <c r="R1081" s="16">
        <v>0</v>
      </c>
      <c r="S1081" s="16"/>
      <c r="T1081" s="16" t="e">
        <v>#N/A</v>
      </c>
      <c r="U1081" s="16" t="e">
        <v>#N/A</v>
      </c>
    </row>
    <row r="1082" spans="1:21" x14ac:dyDescent="0.25">
      <c r="A1082" s="12" t="s">
        <v>21</v>
      </c>
      <c r="B1082" s="12" t="s">
        <v>1187</v>
      </c>
      <c r="C1082" s="12" t="s">
        <v>23</v>
      </c>
      <c r="D1082" s="13">
        <v>46267.547002314815</v>
      </c>
      <c r="E1082" s="12" t="s">
        <v>627</v>
      </c>
      <c r="F1082" s="12" t="s">
        <v>568</v>
      </c>
      <c r="G1082" s="12">
        <v>2</v>
      </c>
      <c r="H1082" s="12">
        <v>2</v>
      </c>
      <c r="I1082" s="14"/>
      <c r="J1082" s="14" t="s">
        <v>61</v>
      </c>
      <c r="K1082" s="12" t="s">
        <v>1194</v>
      </c>
      <c r="L1082" s="15">
        <v>1</v>
      </c>
      <c r="M1082" s="12" t="s">
        <v>150</v>
      </c>
      <c r="N1082" s="12">
        <v>2</v>
      </c>
      <c r="O1082" s="12">
        <v>2</v>
      </c>
      <c r="P1082" s="12">
        <v>0</v>
      </c>
      <c r="Q1082" s="16">
        <v>2</v>
      </c>
      <c r="R1082" s="16">
        <v>0</v>
      </c>
      <c r="S1082" s="16"/>
      <c r="T1082" s="16" t="e">
        <v>#N/A</v>
      </c>
      <c r="U1082" s="16" t="e">
        <v>#N/A</v>
      </c>
    </row>
    <row r="1083" spans="1:21" x14ac:dyDescent="0.25">
      <c r="A1083" s="12" t="s">
        <v>21</v>
      </c>
      <c r="B1083" s="12" t="s">
        <v>1187</v>
      </c>
      <c r="C1083" s="12" t="s">
        <v>23</v>
      </c>
      <c r="D1083" s="13">
        <v>46267.547002314815</v>
      </c>
      <c r="E1083" s="12" t="s">
        <v>627</v>
      </c>
      <c r="F1083" s="12" t="s">
        <v>1022</v>
      </c>
      <c r="G1083" s="12">
        <v>60</v>
      </c>
      <c r="H1083" s="12">
        <v>30</v>
      </c>
      <c r="I1083" s="14"/>
      <c r="J1083" s="14" t="s">
        <v>61</v>
      </c>
      <c r="K1083" s="12" t="s">
        <v>1195</v>
      </c>
      <c r="L1083" s="15">
        <v>1</v>
      </c>
      <c r="M1083" s="12" t="s">
        <v>150</v>
      </c>
      <c r="N1083" s="12">
        <v>30</v>
      </c>
      <c r="O1083" s="12">
        <v>30</v>
      </c>
      <c r="P1083" s="12">
        <v>0</v>
      </c>
      <c r="Q1083" s="16">
        <v>30</v>
      </c>
      <c r="R1083" s="16">
        <v>3</v>
      </c>
      <c r="S1083" s="16"/>
      <c r="T1083" s="16" t="e">
        <v>#N/A</v>
      </c>
      <c r="U1083" s="16" t="e">
        <v>#N/A</v>
      </c>
    </row>
    <row r="1084" spans="1:21" x14ac:dyDescent="0.25">
      <c r="A1084" s="12" t="s">
        <v>21</v>
      </c>
      <c r="B1084" s="12" t="s">
        <v>1187</v>
      </c>
      <c r="C1084" s="12" t="s">
        <v>23</v>
      </c>
      <c r="D1084" s="13">
        <v>46267.547002314815</v>
      </c>
      <c r="E1084" s="12" t="s">
        <v>627</v>
      </c>
      <c r="F1084" s="12" t="s">
        <v>1023</v>
      </c>
      <c r="G1084" s="12">
        <v>7</v>
      </c>
      <c r="H1084" s="12">
        <v>7</v>
      </c>
      <c r="I1084" s="14"/>
      <c r="J1084" s="14" t="s">
        <v>61</v>
      </c>
      <c r="K1084" s="12" t="s">
        <v>1196</v>
      </c>
      <c r="L1084" s="15">
        <v>1</v>
      </c>
      <c r="M1084" s="12" t="s">
        <v>150</v>
      </c>
      <c r="N1084" s="12">
        <v>7</v>
      </c>
      <c r="O1084" s="12">
        <v>7</v>
      </c>
      <c r="P1084" s="12">
        <v>0</v>
      </c>
      <c r="Q1084" s="16">
        <v>7</v>
      </c>
      <c r="R1084" s="16">
        <v>6</v>
      </c>
      <c r="S1084" s="16"/>
      <c r="T1084" s="16" t="e">
        <v>#N/A</v>
      </c>
      <c r="U1084" s="16" t="e">
        <v>#N/A</v>
      </c>
    </row>
    <row r="1085" spans="1:21" x14ac:dyDescent="0.25">
      <c r="A1085" s="12" t="s">
        <v>21</v>
      </c>
      <c r="B1085" s="12" t="s">
        <v>1197</v>
      </c>
      <c r="C1085" s="12" t="s">
        <v>23</v>
      </c>
      <c r="D1085" s="13">
        <v>46267.551539351851</v>
      </c>
      <c r="E1085" s="12" t="s">
        <v>24</v>
      </c>
      <c r="F1085" s="12" t="s">
        <v>267</v>
      </c>
      <c r="G1085" s="12">
        <v>45</v>
      </c>
      <c r="H1085" s="12">
        <v>45</v>
      </c>
      <c r="I1085" s="14"/>
      <c r="J1085" s="14" t="s">
        <v>61</v>
      </c>
      <c r="K1085" s="12" t="s">
        <v>1203</v>
      </c>
      <c r="L1085" s="15">
        <v>1</v>
      </c>
      <c r="M1085" s="12" t="s">
        <v>150</v>
      </c>
      <c r="N1085" s="12">
        <v>45</v>
      </c>
      <c r="O1085" s="12">
        <v>45</v>
      </c>
      <c r="P1085" s="12">
        <v>0</v>
      </c>
      <c r="Q1085" s="16">
        <v>135</v>
      </c>
      <c r="R1085" s="16">
        <v>0</v>
      </c>
      <c r="S1085" s="16"/>
      <c r="T1085" s="16" t="e">
        <v>#N/A</v>
      </c>
      <c r="U1085" s="16" t="e">
        <v>#N/A</v>
      </c>
    </row>
    <row r="1086" spans="1:21" x14ac:dyDescent="0.25">
      <c r="A1086" s="12" t="s">
        <v>21</v>
      </c>
      <c r="B1086" s="12" t="s">
        <v>1197</v>
      </c>
      <c r="C1086" s="12" t="s">
        <v>23</v>
      </c>
      <c r="D1086" s="13">
        <v>46267.551539351851</v>
      </c>
      <c r="E1086" s="12" t="s">
        <v>24</v>
      </c>
      <c r="F1086" s="12" t="s">
        <v>760</v>
      </c>
      <c r="G1086" s="12">
        <v>60</v>
      </c>
      <c r="H1086" s="12">
        <v>60</v>
      </c>
      <c r="I1086" s="14"/>
      <c r="J1086" s="14" t="s">
        <v>26</v>
      </c>
      <c r="K1086" s="12" t="s">
        <v>27</v>
      </c>
      <c r="L1086" s="15"/>
      <c r="M1086" s="12" t="s">
        <v>28</v>
      </c>
      <c r="N1086" s="12"/>
      <c r="O1086" s="12"/>
      <c r="P1086" s="12"/>
      <c r="Q1086" s="16">
        <v>0</v>
      </c>
      <c r="R1086" s="16">
        <v>0</v>
      </c>
      <c r="S1086" s="16"/>
      <c r="T1086" s="16" t="e">
        <v>#N/A</v>
      </c>
      <c r="U1086" s="16" t="e">
        <v>#N/A</v>
      </c>
    </row>
    <row r="1087" spans="1:21" x14ac:dyDescent="0.25">
      <c r="A1087" s="12" t="s">
        <v>21</v>
      </c>
      <c r="B1087" s="12" t="s">
        <v>1197</v>
      </c>
      <c r="C1087" s="12" t="s">
        <v>23</v>
      </c>
      <c r="D1087" s="13">
        <v>46267.551539351851</v>
      </c>
      <c r="E1087" s="12" t="s">
        <v>24</v>
      </c>
      <c r="F1087" s="12" t="s">
        <v>1198</v>
      </c>
      <c r="G1087" s="12">
        <v>40</v>
      </c>
      <c r="H1087" s="12">
        <v>40</v>
      </c>
      <c r="I1087" s="14"/>
      <c r="J1087" s="14" t="s">
        <v>26</v>
      </c>
      <c r="K1087" s="12" t="s">
        <v>27</v>
      </c>
      <c r="L1087" s="15"/>
      <c r="M1087" s="12" t="s">
        <v>28</v>
      </c>
      <c r="N1087" s="12"/>
      <c r="O1087" s="12"/>
      <c r="P1087" s="12"/>
      <c r="Q1087" s="16">
        <v>0</v>
      </c>
      <c r="R1087" s="16">
        <v>0</v>
      </c>
      <c r="S1087" s="16"/>
      <c r="T1087" s="16" t="e">
        <v>#N/A</v>
      </c>
      <c r="U1087" s="16" t="e">
        <v>#N/A</v>
      </c>
    </row>
    <row r="1088" spans="1:21" x14ac:dyDescent="0.25">
      <c r="A1088" s="12" t="s">
        <v>21</v>
      </c>
      <c r="B1088" s="12" t="s">
        <v>1197</v>
      </c>
      <c r="C1088" s="12" t="s">
        <v>23</v>
      </c>
      <c r="D1088" s="13">
        <v>46267.551539351851</v>
      </c>
      <c r="E1088" s="12" t="s">
        <v>24</v>
      </c>
      <c r="F1088" s="12" t="s">
        <v>496</v>
      </c>
      <c r="G1088" s="12">
        <v>200</v>
      </c>
      <c r="H1088" s="12">
        <v>200</v>
      </c>
      <c r="I1088" s="14"/>
      <c r="J1088" s="14" t="s">
        <v>61</v>
      </c>
      <c r="K1088" s="12" t="s">
        <v>1204</v>
      </c>
      <c r="L1088" s="15">
        <v>1</v>
      </c>
      <c r="M1088" s="12" t="s">
        <v>150</v>
      </c>
      <c r="N1088" s="12">
        <v>200</v>
      </c>
      <c r="O1088" s="12">
        <v>200</v>
      </c>
      <c r="P1088" s="12">
        <v>0</v>
      </c>
      <c r="Q1088" s="16">
        <v>800</v>
      </c>
      <c r="R1088" s="16">
        <v>0</v>
      </c>
      <c r="S1088" s="16"/>
      <c r="T1088" s="16" t="e">
        <v>#N/A</v>
      </c>
      <c r="U1088" s="16" t="e">
        <v>#N/A</v>
      </c>
    </row>
    <row r="1089" spans="1:21" x14ac:dyDescent="0.25">
      <c r="A1089" s="12" t="s">
        <v>21</v>
      </c>
      <c r="B1089" s="12" t="s">
        <v>1197</v>
      </c>
      <c r="C1089" s="12" t="s">
        <v>23</v>
      </c>
      <c r="D1089" s="13">
        <v>46267.551539351851</v>
      </c>
      <c r="E1089" s="12" t="s">
        <v>24</v>
      </c>
      <c r="F1089" s="12" t="s">
        <v>373</v>
      </c>
      <c r="G1089" s="12">
        <v>60</v>
      </c>
      <c r="H1089" s="12">
        <v>60</v>
      </c>
      <c r="I1089" s="14"/>
      <c r="J1089" s="14" t="s">
        <v>61</v>
      </c>
      <c r="K1089" s="12" t="s">
        <v>27</v>
      </c>
      <c r="L1089" s="15"/>
      <c r="M1089" s="12" t="s">
        <v>28</v>
      </c>
      <c r="N1089" s="12"/>
      <c r="O1089" s="12"/>
      <c r="P1089" s="12"/>
      <c r="Q1089" s="16">
        <v>135</v>
      </c>
      <c r="R1089" s="16">
        <v>2</v>
      </c>
      <c r="S1089" s="16"/>
      <c r="T1089" s="16" t="e">
        <v>#N/A</v>
      </c>
      <c r="U1089" s="16" t="e">
        <v>#N/A</v>
      </c>
    </row>
    <row r="1090" spans="1:21" x14ac:dyDescent="0.25">
      <c r="A1090" s="12" t="s">
        <v>21</v>
      </c>
      <c r="B1090" s="12" t="s">
        <v>1197</v>
      </c>
      <c r="C1090" s="12" t="s">
        <v>23</v>
      </c>
      <c r="D1090" s="13">
        <v>46267.551539351851</v>
      </c>
      <c r="E1090" s="12" t="s">
        <v>24</v>
      </c>
      <c r="F1090" s="12" t="s">
        <v>1199</v>
      </c>
      <c r="G1090" s="12">
        <v>45</v>
      </c>
      <c r="H1090" s="12">
        <v>45</v>
      </c>
      <c r="I1090" s="14"/>
      <c r="J1090" s="14" t="s">
        <v>61</v>
      </c>
      <c r="K1090" s="12" t="s">
        <v>1205</v>
      </c>
      <c r="L1090" s="15">
        <v>1</v>
      </c>
      <c r="M1090" s="12" t="s">
        <v>150</v>
      </c>
      <c r="N1090" s="12">
        <v>45</v>
      </c>
      <c r="O1090" s="12">
        <v>45</v>
      </c>
      <c r="P1090" s="12">
        <v>0</v>
      </c>
      <c r="Q1090" s="16">
        <v>135</v>
      </c>
      <c r="R1090" s="16">
        <v>0</v>
      </c>
      <c r="S1090" s="16"/>
      <c r="T1090" s="16" t="e">
        <v>#N/A</v>
      </c>
      <c r="U1090" s="16" t="e">
        <v>#N/A</v>
      </c>
    </row>
    <row r="1091" spans="1:21" x14ac:dyDescent="0.25">
      <c r="A1091" s="12" t="s">
        <v>21</v>
      </c>
      <c r="B1091" s="12" t="s">
        <v>1197</v>
      </c>
      <c r="C1091" s="12" t="s">
        <v>23</v>
      </c>
      <c r="D1091" s="13">
        <v>46267.551539351851</v>
      </c>
      <c r="E1091" s="12" t="s">
        <v>24</v>
      </c>
      <c r="F1091" s="12" t="s">
        <v>549</v>
      </c>
      <c r="G1091" s="12">
        <v>10</v>
      </c>
      <c r="H1091" s="12">
        <v>10</v>
      </c>
      <c r="I1091" s="14"/>
      <c r="J1091" s="14" t="s">
        <v>26</v>
      </c>
      <c r="K1091" s="12" t="s">
        <v>27</v>
      </c>
      <c r="L1091" s="15"/>
      <c r="M1091" s="12" t="s">
        <v>28</v>
      </c>
      <c r="N1091" s="12"/>
      <c r="O1091" s="12"/>
      <c r="P1091" s="12"/>
      <c r="Q1091" s="16">
        <v>0</v>
      </c>
      <c r="R1091" s="16">
        <v>1</v>
      </c>
      <c r="S1091" s="16"/>
      <c r="T1091" s="16" t="e">
        <v>#N/A</v>
      </c>
      <c r="U1091" s="16" t="e">
        <v>#N/A</v>
      </c>
    </row>
    <row r="1092" spans="1:21" x14ac:dyDescent="0.25">
      <c r="A1092" s="12" t="s">
        <v>21</v>
      </c>
      <c r="B1092" s="12" t="s">
        <v>1197</v>
      </c>
      <c r="C1092" s="12" t="s">
        <v>23</v>
      </c>
      <c r="D1092" s="13">
        <v>46267.551539351851</v>
      </c>
      <c r="E1092" s="12" t="s">
        <v>24</v>
      </c>
      <c r="F1092" s="12" t="s">
        <v>550</v>
      </c>
      <c r="G1092" s="12">
        <v>32</v>
      </c>
      <c r="H1092" s="12">
        <v>32</v>
      </c>
      <c r="I1092" s="14"/>
      <c r="J1092" s="14" t="s">
        <v>26</v>
      </c>
      <c r="K1092" s="12" t="s">
        <v>27</v>
      </c>
      <c r="L1092" s="15"/>
      <c r="M1092" s="12" t="s">
        <v>28</v>
      </c>
      <c r="N1092" s="12"/>
      <c r="O1092" s="12"/>
      <c r="P1092" s="12"/>
      <c r="Q1092" s="16">
        <v>0</v>
      </c>
      <c r="R1092" s="16">
        <v>0</v>
      </c>
      <c r="S1092" s="16"/>
      <c r="T1092" s="16" t="e">
        <v>#N/A</v>
      </c>
      <c r="U1092" s="16" t="e">
        <v>#N/A</v>
      </c>
    </row>
    <row r="1093" spans="1:21" x14ac:dyDescent="0.25">
      <c r="A1093" s="12" t="s">
        <v>21</v>
      </c>
      <c r="B1093" s="12" t="s">
        <v>1197</v>
      </c>
      <c r="C1093" s="12" t="s">
        <v>23</v>
      </c>
      <c r="D1093" s="13">
        <v>46267.551539351851</v>
      </c>
      <c r="E1093" s="12" t="s">
        <v>24</v>
      </c>
      <c r="F1093" s="12" t="s">
        <v>551</v>
      </c>
      <c r="G1093" s="12">
        <v>20</v>
      </c>
      <c r="H1093" s="12">
        <v>20</v>
      </c>
      <c r="I1093" s="14"/>
      <c r="J1093" s="14" t="s">
        <v>61</v>
      </c>
      <c r="K1093" s="12" t="s">
        <v>1206</v>
      </c>
      <c r="L1093" s="15">
        <v>1</v>
      </c>
      <c r="M1093" s="12" t="s">
        <v>150</v>
      </c>
      <c r="N1093" s="12">
        <v>20</v>
      </c>
      <c r="O1093" s="12">
        <v>20</v>
      </c>
      <c r="P1093" s="12">
        <v>0</v>
      </c>
      <c r="Q1093" s="16">
        <v>20</v>
      </c>
      <c r="R1093" s="16">
        <v>0</v>
      </c>
      <c r="S1093" s="16"/>
      <c r="T1093" s="16" t="e">
        <v>#N/A</v>
      </c>
      <c r="U1093" s="16" t="e">
        <v>#N/A</v>
      </c>
    </row>
    <row r="1094" spans="1:21" x14ac:dyDescent="0.25">
      <c r="A1094" s="12" t="s">
        <v>21</v>
      </c>
      <c r="B1094" s="12" t="s">
        <v>1197</v>
      </c>
      <c r="C1094" s="12" t="s">
        <v>23</v>
      </c>
      <c r="D1094" s="13">
        <v>46267.551539351851</v>
      </c>
      <c r="E1094" s="12" t="s">
        <v>24</v>
      </c>
      <c r="F1094" s="12" t="s">
        <v>70</v>
      </c>
      <c r="G1094" s="12">
        <v>400</v>
      </c>
      <c r="H1094" s="12">
        <v>400</v>
      </c>
      <c r="I1094" s="14"/>
      <c r="J1094" s="14" t="s">
        <v>61</v>
      </c>
      <c r="K1094" s="12" t="s">
        <v>1207</v>
      </c>
      <c r="L1094" s="15">
        <v>1</v>
      </c>
      <c r="M1094" s="12" t="s">
        <v>150</v>
      </c>
      <c r="N1094" s="12">
        <v>400</v>
      </c>
      <c r="O1094" s="12">
        <v>400</v>
      </c>
      <c r="P1094" s="12">
        <v>0</v>
      </c>
      <c r="Q1094" s="16">
        <v>800</v>
      </c>
      <c r="R1094" s="16">
        <v>0</v>
      </c>
      <c r="S1094" s="16"/>
      <c r="T1094" s="16" t="e">
        <v>#N/A</v>
      </c>
      <c r="U1094" s="16" t="e">
        <v>#N/A</v>
      </c>
    </row>
    <row r="1095" spans="1:21" x14ac:dyDescent="0.25">
      <c r="A1095" s="12" t="s">
        <v>21</v>
      </c>
      <c r="B1095" s="12" t="s">
        <v>1197</v>
      </c>
      <c r="C1095" s="12" t="s">
        <v>23</v>
      </c>
      <c r="D1095" s="13">
        <v>46267.551539351851</v>
      </c>
      <c r="E1095" s="12" t="s">
        <v>24</v>
      </c>
      <c r="F1095" s="12" t="s">
        <v>362</v>
      </c>
      <c r="G1095" s="12">
        <v>16</v>
      </c>
      <c r="H1095" s="12">
        <v>16</v>
      </c>
      <c r="I1095" s="14"/>
      <c r="J1095" s="14" t="s">
        <v>61</v>
      </c>
      <c r="K1095" s="12" t="s">
        <v>27</v>
      </c>
      <c r="L1095" s="15"/>
      <c r="M1095" s="12" t="s">
        <v>28</v>
      </c>
      <c r="N1095" s="12"/>
      <c r="O1095" s="12"/>
      <c r="P1095" s="12"/>
      <c r="Q1095" s="16">
        <v>20</v>
      </c>
      <c r="R1095" s="16">
        <v>0</v>
      </c>
      <c r="S1095" s="16"/>
      <c r="T1095" s="16" t="e">
        <v>#N/A</v>
      </c>
      <c r="U1095" s="16" t="e">
        <v>#N/A</v>
      </c>
    </row>
    <row r="1096" spans="1:21" x14ac:dyDescent="0.25">
      <c r="A1096" s="12" t="s">
        <v>21</v>
      </c>
      <c r="B1096" s="12" t="s">
        <v>1197</v>
      </c>
      <c r="C1096" s="12" t="s">
        <v>23</v>
      </c>
      <c r="D1096" s="13">
        <v>46267.551539351851</v>
      </c>
      <c r="E1096" s="12" t="s">
        <v>24</v>
      </c>
      <c r="F1096" s="12" t="s">
        <v>552</v>
      </c>
      <c r="G1096" s="12">
        <v>200</v>
      </c>
      <c r="H1096" s="12">
        <v>200</v>
      </c>
      <c r="I1096" s="14"/>
      <c r="J1096" s="14" t="s">
        <v>61</v>
      </c>
      <c r="K1096" s="12" t="s">
        <v>1208</v>
      </c>
      <c r="L1096" s="15">
        <v>1</v>
      </c>
      <c r="M1096" s="12" t="s">
        <v>150</v>
      </c>
      <c r="N1096" s="12">
        <v>200</v>
      </c>
      <c r="O1096" s="12">
        <v>200</v>
      </c>
      <c r="P1096" s="12">
        <v>0</v>
      </c>
      <c r="Q1096" s="16">
        <v>800</v>
      </c>
      <c r="R1096" s="16">
        <v>0</v>
      </c>
      <c r="S1096" s="16"/>
      <c r="T1096" s="16" t="e">
        <v>#N/A</v>
      </c>
      <c r="U1096" s="16" t="e">
        <v>#N/A</v>
      </c>
    </row>
    <row r="1097" spans="1:21" x14ac:dyDescent="0.25">
      <c r="A1097" s="12" t="s">
        <v>21</v>
      </c>
      <c r="B1097" s="12" t="s">
        <v>1197</v>
      </c>
      <c r="C1097" s="12" t="s">
        <v>23</v>
      </c>
      <c r="D1097" s="13">
        <v>46267.551539351851</v>
      </c>
      <c r="E1097" s="12" t="s">
        <v>24</v>
      </c>
      <c r="F1097" s="12" t="s">
        <v>987</v>
      </c>
      <c r="G1097" s="12">
        <v>60</v>
      </c>
      <c r="H1097" s="12">
        <v>60</v>
      </c>
      <c r="I1097" s="14"/>
      <c r="J1097" s="14" t="s">
        <v>26</v>
      </c>
      <c r="K1097" s="12" t="s">
        <v>27</v>
      </c>
      <c r="L1097" s="15"/>
      <c r="M1097" s="12" t="s">
        <v>28</v>
      </c>
      <c r="N1097" s="12"/>
      <c r="O1097" s="12"/>
      <c r="P1097" s="12"/>
      <c r="Q1097" s="16">
        <v>0</v>
      </c>
      <c r="R1097" s="16">
        <v>0</v>
      </c>
      <c r="S1097" s="16"/>
      <c r="T1097" s="16" t="e">
        <v>#N/A</v>
      </c>
      <c r="U1097" s="16" t="e">
        <v>#N/A</v>
      </c>
    </row>
    <row r="1098" spans="1:21" x14ac:dyDescent="0.25">
      <c r="A1098" s="12" t="s">
        <v>21</v>
      </c>
      <c r="B1098" s="12" t="s">
        <v>1197</v>
      </c>
      <c r="C1098" s="12" t="s">
        <v>23</v>
      </c>
      <c r="D1098" s="13">
        <v>46267.551539351851</v>
      </c>
      <c r="E1098" s="12" t="s">
        <v>24</v>
      </c>
      <c r="F1098" s="12" t="s">
        <v>472</v>
      </c>
      <c r="G1098" s="12">
        <v>200</v>
      </c>
      <c r="H1098" s="12">
        <v>200</v>
      </c>
      <c r="I1098" s="14"/>
      <c r="J1098" s="14" t="s">
        <v>26</v>
      </c>
      <c r="K1098" s="12" t="s">
        <v>27</v>
      </c>
      <c r="L1098" s="15"/>
      <c r="M1098" s="12" t="s">
        <v>28</v>
      </c>
      <c r="N1098" s="12"/>
      <c r="O1098" s="12"/>
      <c r="P1098" s="12"/>
      <c r="Q1098" s="16">
        <v>0</v>
      </c>
      <c r="R1098" s="16">
        <v>0</v>
      </c>
      <c r="S1098" s="16"/>
      <c r="T1098" s="16" t="e">
        <v>#N/A</v>
      </c>
      <c r="U1098" s="16" t="e">
        <v>#N/A</v>
      </c>
    </row>
    <row r="1099" spans="1:21" x14ac:dyDescent="0.25">
      <c r="A1099" s="12" t="s">
        <v>21</v>
      </c>
      <c r="B1099" s="12" t="s">
        <v>1197</v>
      </c>
      <c r="C1099" s="12" t="s">
        <v>23</v>
      </c>
      <c r="D1099" s="13">
        <v>46267.551539351851</v>
      </c>
      <c r="E1099" s="12" t="s">
        <v>24</v>
      </c>
      <c r="F1099" s="12" t="s">
        <v>988</v>
      </c>
      <c r="G1099" s="12">
        <v>30</v>
      </c>
      <c r="H1099" s="12">
        <v>30</v>
      </c>
      <c r="I1099" s="14"/>
      <c r="J1099" s="14" t="s">
        <v>61</v>
      </c>
      <c r="K1099" s="12" t="s">
        <v>27</v>
      </c>
      <c r="L1099" s="15"/>
      <c r="M1099" s="12" t="s">
        <v>28</v>
      </c>
      <c r="N1099" s="12"/>
      <c r="O1099" s="12"/>
      <c r="P1099" s="12"/>
      <c r="Q1099" s="16">
        <v>20</v>
      </c>
      <c r="R1099" s="16">
        <v>0</v>
      </c>
      <c r="S1099" s="16"/>
      <c r="T1099" s="16" t="e">
        <v>#N/A</v>
      </c>
      <c r="U1099" s="16" t="e">
        <v>#N/A</v>
      </c>
    </row>
    <row r="1100" spans="1:21" x14ac:dyDescent="0.25">
      <c r="A1100" s="12" t="s">
        <v>21</v>
      </c>
      <c r="B1100" s="12" t="s">
        <v>1197</v>
      </c>
      <c r="C1100" s="12" t="s">
        <v>23</v>
      </c>
      <c r="D1100" s="13">
        <v>46267.551539351851</v>
      </c>
      <c r="E1100" s="12" t="s">
        <v>24</v>
      </c>
      <c r="F1100" s="12" t="s">
        <v>1200</v>
      </c>
      <c r="G1100" s="12">
        <v>20</v>
      </c>
      <c r="H1100" s="12">
        <v>20</v>
      </c>
      <c r="I1100" s="14"/>
      <c r="J1100" s="14" t="s">
        <v>61</v>
      </c>
      <c r="K1100" s="12" t="s">
        <v>1209</v>
      </c>
      <c r="L1100" s="15">
        <v>1</v>
      </c>
      <c r="M1100" s="12" t="s">
        <v>150</v>
      </c>
      <c r="N1100" s="12">
        <v>20</v>
      </c>
      <c r="O1100" s="12">
        <v>20</v>
      </c>
      <c r="P1100" s="12">
        <v>0</v>
      </c>
      <c r="Q1100" s="16">
        <v>30</v>
      </c>
      <c r="R1100" s="16">
        <v>1</v>
      </c>
      <c r="S1100" s="16"/>
      <c r="T1100" s="16" t="e">
        <v>#N/A</v>
      </c>
      <c r="U1100" s="16" t="e">
        <v>#N/A</v>
      </c>
    </row>
    <row r="1101" spans="1:21" x14ac:dyDescent="0.25">
      <c r="A1101" s="12" t="s">
        <v>21</v>
      </c>
      <c r="B1101" s="12" t="s">
        <v>1197</v>
      </c>
      <c r="C1101" s="12" t="s">
        <v>23</v>
      </c>
      <c r="D1101" s="13">
        <v>46267.551539351851</v>
      </c>
      <c r="E1101" s="12" t="s">
        <v>24</v>
      </c>
      <c r="F1101" s="12" t="s">
        <v>1201</v>
      </c>
      <c r="G1101" s="12">
        <v>10</v>
      </c>
      <c r="H1101" s="12">
        <v>10</v>
      </c>
      <c r="I1101" s="14"/>
      <c r="J1101" s="14" t="s">
        <v>26</v>
      </c>
      <c r="K1101" s="12" t="s">
        <v>27</v>
      </c>
      <c r="L1101" s="15"/>
      <c r="M1101" s="12" t="s">
        <v>28</v>
      </c>
      <c r="N1101" s="12"/>
      <c r="O1101" s="12"/>
      <c r="P1101" s="12"/>
      <c r="Q1101" s="16">
        <v>0</v>
      </c>
      <c r="R1101" s="16">
        <v>0</v>
      </c>
      <c r="S1101" s="16"/>
      <c r="T1101" s="16" t="e">
        <v>#N/A</v>
      </c>
      <c r="U1101" s="16" t="e">
        <v>#N/A</v>
      </c>
    </row>
    <row r="1102" spans="1:21" x14ac:dyDescent="0.25">
      <c r="A1102" s="12" t="s">
        <v>21</v>
      </c>
      <c r="B1102" s="12" t="s">
        <v>1197</v>
      </c>
      <c r="C1102" s="12" t="s">
        <v>23</v>
      </c>
      <c r="D1102" s="13">
        <v>46267.551539351851</v>
      </c>
      <c r="E1102" s="12" t="s">
        <v>24</v>
      </c>
      <c r="F1102" s="12" t="s">
        <v>553</v>
      </c>
      <c r="G1102" s="12">
        <v>60</v>
      </c>
      <c r="H1102" s="12">
        <v>60</v>
      </c>
      <c r="I1102" s="14"/>
      <c r="J1102" s="14" t="s">
        <v>61</v>
      </c>
      <c r="K1102" s="12" t="s">
        <v>1210</v>
      </c>
      <c r="L1102" s="15">
        <v>1</v>
      </c>
      <c r="M1102" s="12" t="s">
        <v>150</v>
      </c>
      <c r="N1102" s="12">
        <v>60</v>
      </c>
      <c r="O1102" s="12">
        <v>60</v>
      </c>
      <c r="P1102" s="12">
        <v>0</v>
      </c>
      <c r="Q1102" s="16">
        <v>280</v>
      </c>
      <c r="R1102" s="16">
        <v>2</v>
      </c>
      <c r="S1102" s="16"/>
      <c r="T1102" s="16" t="e">
        <v>#N/A</v>
      </c>
      <c r="U1102" s="16" t="e">
        <v>#N/A</v>
      </c>
    </row>
    <row r="1103" spans="1:21" x14ac:dyDescent="0.25">
      <c r="A1103" s="12" t="s">
        <v>21</v>
      </c>
      <c r="B1103" s="12" t="s">
        <v>1197</v>
      </c>
      <c r="C1103" s="12" t="s">
        <v>23</v>
      </c>
      <c r="D1103" s="13">
        <v>46267.551539351851</v>
      </c>
      <c r="E1103" s="12" t="s">
        <v>24</v>
      </c>
      <c r="F1103" s="12" t="s">
        <v>273</v>
      </c>
      <c r="G1103" s="12">
        <v>100</v>
      </c>
      <c r="H1103" s="12">
        <v>100</v>
      </c>
      <c r="I1103" s="14"/>
      <c r="J1103" s="14" t="s">
        <v>61</v>
      </c>
      <c r="K1103" s="12" t="s">
        <v>1211</v>
      </c>
      <c r="L1103" s="15">
        <v>1</v>
      </c>
      <c r="M1103" s="12" t="s">
        <v>150</v>
      </c>
      <c r="N1103" s="12">
        <v>100</v>
      </c>
      <c r="O1103" s="12">
        <v>100</v>
      </c>
      <c r="P1103" s="12">
        <v>0</v>
      </c>
      <c r="Q1103" s="16">
        <v>280</v>
      </c>
      <c r="R1103" s="16">
        <v>0</v>
      </c>
      <c r="S1103" s="16"/>
      <c r="T1103" s="16" t="e">
        <v>#N/A</v>
      </c>
      <c r="U1103" s="16" t="e">
        <v>#N/A</v>
      </c>
    </row>
    <row r="1104" spans="1:21" x14ac:dyDescent="0.25">
      <c r="A1104" s="12" t="s">
        <v>21</v>
      </c>
      <c r="B1104" s="12" t="s">
        <v>1197</v>
      </c>
      <c r="C1104" s="12" t="s">
        <v>23</v>
      </c>
      <c r="D1104" s="13">
        <v>46267.551539351851</v>
      </c>
      <c r="E1104" s="12" t="s">
        <v>24</v>
      </c>
      <c r="F1104" s="12" t="s">
        <v>399</v>
      </c>
      <c r="G1104" s="12">
        <v>30</v>
      </c>
      <c r="H1104" s="12">
        <v>30</v>
      </c>
      <c r="I1104" s="14"/>
      <c r="J1104" s="14" t="s">
        <v>26</v>
      </c>
      <c r="K1104" s="12" t="s">
        <v>27</v>
      </c>
      <c r="L1104" s="15"/>
      <c r="M1104" s="12" t="s">
        <v>28</v>
      </c>
      <c r="N1104" s="12"/>
      <c r="O1104" s="12"/>
      <c r="P1104" s="12"/>
      <c r="Q1104" s="16">
        <v>0</v>
      </c>
      <c r="R1104" s="16">
        <v>1</v>
      </c>
      <c r="S1104" s="16"/>
      <c r="T1104" s="16" t="e">
        <v>#N/A</v>
      </c>
      <c r="U1104" s="16" t="e">
        <v>#N/A</v>
      </c>
    </row>
    <row r="1105" spans="1:21" x14ac:dyDescent="0.25">
      <c r="A1105" s="12" t="s">
        <v>21</v>
      </c>
      <c r="B1105" s="12" t="s">
        <v>1197</v>
      </c>
      <c r="C1105" s="12" t="s">
        <v>23</v>
      </c>
      <c r="D1105" s="13">
        <v>46267.551539351851</v>
      </c>
      <c r="E1105" s="12" t="s">
        <v>24</v>
      </c>
      <c r="F1105" s="12" t="s">
        <v>442</v>
      </c>
      <c r="G1105" s="12">
        <v>200</v>
      </c>
      <c r="H1105" s="12">
        <v>200</v>
      </c>
      <c r="I1105" s="14"/>
      <c r="J1105" s="14" t="s">
        <v>26</v>
      </c>
      <c r="K1105" s="12" t="s">
        <v>27</v>
      </c>
      <c r="L1105" s="15"/>
      <c r="M1105" s="12" t="s">
        <v>28</v>
      </c>
      <c r="N1105" s="12"/>
      <c r="O1105" s="12"/>
      <c r="P1105" s="12"/>
      <c r="Q1105" s="16">
        <v>0</v>
      </c>
      <c r="R1105" s="16">
        <v>0</v>
      </c>
      <c r="S1105" s="16"/>
      <c r="T1105" s="16" t="e">
        <v>#N/A</v>
      </c>
      <c r="U1105" s="16" t="e">
        <v>#N/A</v>
      </c>
    </row>
    <row r="1106" spans="1:21" x14ac:dyDescent="0.25">
      <c r="A1106" s="12" t="s">
        <v>21</v>
      </c>
      <c r="B1106" s="12" t="s">
        <v>1197</v>
      </c>
      <c r="C1106" s="12" t="s">
        <v>23</v>
      </c>
      <c r="D1106" s="13">
        <v>46267.551539351851</v>
      </c>
      <c r="E1106" s="12" t="s">
        <v>24</v>
      </c>
      <c r="F1106" s="12" t="s">
        <v>1202</v>
      </c>
      <c r="G1106" s="12">
        <v>10</v>
      </c>
      <c r="H1106" s="12">
        <v>10</v>
      </c>
      <c r="I1106" s="14"/>
      <c r="J1106" s="14" t="s">
        <v>61</v>
      </c>
      <c r="K1106" s="12" t="s">
        <v>1212</v>
      </c>
      <c r="L1106" s="15">
        <v>1</v>
      </c>
      <c r="M1106" s="12" t="s">
        <v>150</v>
      </c>
      <c r="N1106" s="12">
        <v>10</v>
      </c>
      <c r="O1106" s="12">
        <v>10</v>
      </c>
      <c r="P1106" s="12">
        <v>0</v>
      </c>
      <c r="Q1106" s="16">
        <v>30</v>
      </c>
      <c r="R1106" s="16">
        <v>0</v>
      </c>
      <c r="S1106" s="16"/>
      <c r="T1106" s="16" t="e">
        <v>#N/A</v>
      </c>
      <c r="U1106" s="16" t="e">
        <v>#N/A</v>
      </c>
    </row>
    <row r="1107" spans="1:21" x14ac:dyDescent="0.25">
      <c r="A1107" s="12" t="s">
        <v>21</v>
      </c>
      <c r="B1107" s="12" t="s">
        <v>1197</v>
      </c>
      <c r="C1107" s="12" t="s">
        <v>23</v>
      </c>
      <c r="D1107" s="13">
        <v>46267.551539351851</v>
      </c>
      <c r="E1107" s="12" t="s">
        <v>24</v>
      </c>
      <c r="F1107" s="12" t="s">
        <v>274</v>
      </c>
      <c r="G1107" s="12">
        <v>100</v>
      </c>
      <c r="H1107" s="12">
        <v>100</v>
      </c>
      <c r="I1107" s="14"/>
      <c r="J1107" s="14" t="s">
        <v>61</v>
      </c>
      <c r="K1107" s="12" t="s">
        <v>1213</v>
      </c>
      <c r="L1107" s="15">
        <v>1</v>
      </c>
      <c r="M1107" s="12" t="s">
        <v>150</v>
      </c>
      <c r="N1107" s="12">
        <v>100</v>
      </c>
      <c r="O1107" s="12">
        <v>100</v>
      </c>
      <c r="P1107" s="12">
        <v>0</v>
      </c>
      <c r="Q1107" s="16">
        <v>400</v>
      </c>
      <c r="R1107" s="16">
        <v>0</v>
      </c>
      <c r="S1107" s="16"/>
      <c r="T1107" s="16" t="e">
        <v>#N/A</v>
      </c>
      <c r="U1107" s="16" t="e">
        <v>#N/A</v>
      </c>
    </row>
    <row r="1108" spans="1:21" x14ac:dyDescent="0.25">
      <c r="A1108" s="12" t="s">
        <v>21</v>
      </c>
      <c r="B1108" s="12" t="s">
        <v>1197</v>
      </c>
      <c r="C1108" s="12" t="s">
        <v>23</v>
      </c>
      <c r="D1108" s="13">
        <v>46267.551539351851</v>
      </c>
      <c r="E1108" s="12" t="s">
        <v>24</v>
      </c>
      <c r="F1108" s="12" t="s">
        <v>557</v>
      </c>
      <c r="G1108" s="12">
        <v>260</v>
      </c>
      <c r="H1108" s="12">
        <v>260</v>
      </c>
      <c r="I1108" s="14"/>
      <c r="J1108" s="14" t="s">
        <v>61</v>
      </c>
      <c r="K1108" s="12" t="s">
        <v>1214</v>
      </c>
      <c r="L1108" s="15">
        <v>1</v>
      </c>
      <c r="M1108" s="12" t="s">
        <v>150</v>
      </c>
      <c r="N1108" s="12">
        <v>260</v>
      </c>
      <c r="O1108" s="12">
        <v>260</v>
      </c>
      <c r="P1108" s="12">
        <v>0</v>
      </c>
      <c r="Q1108" s="16">
        <v>400</v>
      </c>
      <c r="R1108" s="16">
        <v>0</v>
      </c>
      <c r="S1108" s="16"/>
      <c r="T1108" s="16" t="e">
        <v>#N/A</v>
      </c>
      <c r="U1108" s="16" t="e">
        <v>#N/A</v>
      </c>
    </row>
    <row r="1109" spans="1:21" x14ac:dyDescent="0.25">
      <c r="A1109" s="12" t="s">
        <v>21</v>
      </c>
      <c r="B1109" s="12" t="s">
        <v>1197</v>
      </c>
      <c r="C1109" s="12" t="s">
        <v>23</v>
      </c>
      <c r="D1109" s="13">
        <v>46267.551539351851</v>
      </c>
      <c r="E1109" s="12" t="s">
        <v>24</v>
      </c>
      <c r="F1109" s="12" t="s">
        <v>559</v>
      </c>
      <c r="G1109" s="12">
        <v>120</v>
      </c>
      <c r="H1109" s="12">
        <v>120</v>
      </c>
      <c r="I1109" s="14"/>
      <c r="J1109" s="14" t="s">
        <v>61</v>
      </c>
      <c r="K1109" s="12" t="s">
        <v>1215</v>
      </c>
      <c r="L1109" s="15">
        <v>1</v>
      </c>
      <c r="M1109" s="12" t="s">
        <v>150</v>
      </c>
      <c r="N1109" s="12">
        <v>120</v>
      </c>
      <c r="O1109" s="12">
        <v>120</v>
      </c>
      <c r="P1109" s="12">
        <v>0</v>
      </c>
      <c r="Q1109" s="16">
        <v>280</v>
      </c>
      <c r="R1109" s="16">
        <v>0</v>
      </c>
      <c r="S1109" s="16"/>
      <c r="T1109" s="16" t="e">
        <v>#N/A</v>
      </c>
      <c r="U1109" s="16" t="e">
        <v>#N/A</v>
      </c>
    </row>
    <row r="1110" spans="1:21" x14ac:dyDescent="0.25">
      <c r="A1110" s="12" t="s">
        <v>21</v>
      </c>
      <c r="B1110" s="12" t="s">
        <v>1197</v>
      </c>
      <c r="C1110" s="12" t="s">
        <v>23</v>
      </c>
      <c r="D1110" s="13">
        <v>46267.551539351851</v>
      </c>
      <c r="E1110" s="12" t="s">
        <v>24</v>
      </c>
      <c r="F1110" s="12" t="s">
        <v>560</v>
      </c>
      <c r="G1110" s="12">
        <v>40</v>
      </c>
      <c r="H1110" s="12">
        <v>40</v>
      </c>
      <c r="I1110" s="14"/>
      <c r="J1110" s="14" t="s">
        <v>61</v>
      </c>
      <c r="K1110" s="12" t="s">
        <v>1216</v>
      </c>
      <c r="L1110" s="15">
        <v>1</v>
      </c>
      <c r="M1110" s="12" t="s">
        <v>150</v>
      </c>
      <c r="N1110" s="12">
        <v>40</v>
      </c>
      <c r="O1110" s="12">
        <v>40</v>
      </c>
      <c r="P1110" s="12">
        <v>0</v>
      </c>
      <c r="Q1110" s="16">
        <v>400</v>
      </c>
      <c r="R1110" s="16">
        <v>0</v>
      </c>
      <c r="S1110" s="16"/>
      <c r="T1110" s="16" t="e">
        <v>#N/A</v>
      </c>
      <c r="U1110" s="16" t="e">
        <v>#N/A</v>
      </c>
    </row>
    <row r="1111" spans="1:21" x14ac:dyDescent="0.25">
      <c r="A1111" s="12" t="s">
        <v>21</v>
      </c>
      <c r="B1111" s="12" t="s">
        <v>1197</v>
      </c>
      <c r="C1111" s="12" t="s">
        <v>23</v>
      </c>
      <c r="D1111" s="13">
        <v>46267.551539351851</v>
      </c>
      <c r="E1111" s="12" t="s">
        <v>24</v>
      </c>
      <c r="F1111" s="12" t="s">
        <v>924</v>
      </c>
      <c r="G1111" s="12">
        <v>60</v>
      </c>
      <c r="H1111" s="12">
        <v>60</v>
      </c>
      <c r="I1111" s="14"/>
      <c r="J1111" s="14" t="s">
        <v>61</v>
      </c>
      <c r="K1111" s="12" t="s">
        <v>27</v>
      </c>
      <c r="L1111" s="15"/>
      <c r="M1111" s="12" t="s">
        <v>28</v>
      </c>
      <c r="N1111" s="12"/>
      <c r="O1111" s="12"/>
      <c r="P1111" s="12"/>
      <c r="Q1111" s="16">
        <v>400</v>
      </c>
      <c r="R1111" s="16">
        <v>0</v>
      </c>
      <c r="S1111" s="16"/>
      <c r="T1111" s="16" t="e">
        <v>#N/A</v>
      </c>
      <c r="U1111" s="16" t="e">
        <v>#N/A</v>
      </c>
    </row>
    <row r="1112" spans="1:21" x14ac:dyDescent="0.25">
      <c r="A1112" s="12" t="s">
        <v>21</v>
      </c>
      <c r="B1112" s="12" t="s">
        <v>1197</v>
      </c>
      <c r="C1112" s="12" t="s">
        <v>23</v>
      </c>
      <c r="D1112" s="13">
        <v>46267.551539351851</v>
      </c>
      <c r="E1112" s="12" t="s">
        <v>24</v>
      </c>
      <c r="F1112" s="12" t="s">
        <v>525</v>
      </c>
      <c r="G1112" s="12">
        <v>200</v>
      </c>
      <c r="H1112" s="12">
        <v>200</v>
      </c>
      <c r="I1112" s="14"/>
      <c r="J1112" s="14" t="s">
        <v>61</v>
      </c>
      <c r="K1112" s="12" t="s">
        <v>27</v>
      </c>
      <c r="L1112" s="15"/>
      <c r="M1112" s="12" t="s">
        <v>28</v>
      </c>
      <c r="N1112" s="12"/>
      <c r="O1112" s="12"/>
      <c r="P1112" s="12"/>
      <c r="Q1112" s="16">
        <v>280</v>
      </c>
      <c r="R1112" s="16">
        <v>0</v>
      </c>
      <c r="S1112" s="16"/>
      <c r="T1112" s="16" t="e">
        <v>#N/A</v>
      </c>
      <c r="U1112" s="16" t="e">
        <v>#N/A</v>
      </c>
    </row>
    <row r="1113" spans="1:21" x14ac:dyDescent="0.25">
      <c r="A1113" s="12" t="s">
        <v>21</v>
      </c>
      <c r="B1113" s="12" t="s">
        <v>1197</v>
      </c>
      <c r="C1113" s="12" t="s">
        <v>23</v>
      </c>
      <c r="D1113" s="13">
        <v>46267.551539351851</v>
      </c>
      <c r="E1113" s="12" t="s">
        <v>24</v>
      </c>
      <c r="F1113" s="12" t="s">
        <v>572</v>
      </c>
      <c r="G1113" s="12">
        <v>150</v>
      </c>
      <c r="H1113" s="12">
        <v>150</v>
      </c>
      <c r="I1113" s="14"/>
      <c r="J1113" s="14" t="s">
        <v>61</v>
      </c>
      <c r="K1113" s="12" t="s">
        <v>27</v>
      </c>
      <c r="L1113" s="15"/>
      <c r="M1113" s="12" t="s">
        <v>28</v>
      </c>
      <c r="N1113" s="12"/>
      <c r="O1113" s="12"/>
      <c r="P1113" s="12"/>
      <c r="Q1113" s="16">
        <v>800</v>
      </c>
      <c r="R1113" s="16">
        <v>10</v>
      </c>
      <c r="S1113" s="16"/>
      <c r="T1113" s="16" t="e">
        <v>#N/A</v>
      </c>
      <c r="U1113" s="16" t="e">
        <v>#N/A</v>
      </c>
    </row>
    <row r="1114" spans="1:21" x14ac:dyDescent="0.25">
      <c r="A1114" s="12" t="s">
        <v>21</v>
      </c>
      <c r="B1114" s="12" t="s">
        <v>1197</v>
      </c>
      <c r="C1114" s="12" t="s">
        <v>23</v>
      </c>
      <c r="D1114" s="13">
        <v>46267.551539351851</v>
      </c>
      <c r="E1114" s="12" t="s">
        <v>24</v>
      </c>
      <c r="F1114" s="12" t="s">
        <v>375</v>
      </c>
      <c r="G1114" s="12">
        <v>45</v>
      </c>
      <c r="H1114" s="12">
        <v>45</v>
      </c>
      <c r="I1114" s="14"/>
      <c r="J1114" s="14" t="s">
        <v>61</v>
      </c>
      <c r="K1114" s="12" t="s">
        <v>1217</v>
      </c>
      <c r="L1114" s="15">
        <v>1</v>
      </c>
      <c r="M1114" s="12" t="s">
        <v>150</v>
      </c>
      <c r="N1114" s="12">
        <v>45</v>
      </c>
      <c r="O1114" s="12">
        <v>45</v>
      </c>
      <c r="P1114" s="12">
        <v>0</v>
      </c>
      <c r="Q1114" s="16">
        <v>135</v>
      </c>
      <c r="R1114" s="16">
        <v>0</v>
      </c>
      <c r="S1114" s="16"/>
      <c r="T1114" s="16" t="e">
        <v>#N/A</v>
      </c>
      <c r="U1114" s="16" t="e">
        <v>#N/A</v>
      </c>
    </row>
    <row r="1115" spans="1:21" x14ac:dyDescent="0.25">
      <c r="A1115" s="12" t="s">
        <v>21</v>
      </c>
      <c r="B1115" s="12" t="s">
        <v>1197</v>
      </c>
      <c r="C1115" s="12" t="s">
        <v>23</v>
      </c>
      <c r="D1115" s="13">
        <v>46267.551539351851</v>
      </c>
      <c r="E1115" s="12" t="s">
        <v>24</v>
      </c>
      <c r="F1115" s="12" t="s">
        <v>424</v>
      </c>
      <c r="G1115" s="12">
        <v>40</v>
      </c>
      <c r="H1115" s="12">
        <v>40</v>
      </c>
      <c r="I1115" s="14"/>
      <c r="J1115" s="14" t="s">
        <v>26</v>
      </c>
      <c r="K1115" s="12" t="s">
        <v>27</v>
      </c>
      <c r="L1115" s="15"/>
      <c r="M1115" s="12" t="s">
        <v>28</v>
      </c>
      <c r="N1115" s="12"/>
      <c r="O1115" s="12"/>
      <c r="P1115" s="12"/>
      <c r="Q1115" s="16">
        <v>0</v>
      </c>
      <c r="R1115" s="16">
        <v>0</v>
      </c>
      <c r="S1115" s="16"/>
      <c r="T1115" s="16" t="e">
        <v>#N/A</v>
      </c>
      <c r="U1115" s="16" t="e">
        <v>#N/A</v>
      </c>
    </row>
    <row r="1116" spans="1:21" x14ac:dyDescent="0.25">
      <c r="A1116" s="12" t="s">
        <v>21</v>
      </c>
      <c r="B1116" s="12" t="s">
        <v>1218</v>
      </c>
      <c r="C1116" s="12" t="s">
        <v>23</v>
      </c>
      <c r="D1116" s="13">
        <v>46268.354953703703</v>
      </c>
      <c r="E1116" s="12" t="s">
        <v>24</v>
      </c>
      <c r="F1116" s="12" t="s">
        <v>668</v>
      </c>
      <c r="G1116" s="12">
        <v>4</v>
      </c>
      <c r="H1116" s="12">
        <v>4</v>
      </c>
      <c r="I1116" s="14"/>
      <c r="J1116" s="14" t="s">
        <v>61</v>
      </c>
      <c r="K1116" s="12" t="s">
        <v>1220</v>
      </c>
      <c r="L1116" s="15">
        <v>1</v>
      </c>
      <c r="M1116" s="12" t="s">
        <v>150</v>
      </c>
      <c r="N1116" s="12">
        <v>4</v>
      </c>
      <c r="O1116" s="12">
        <v>4</v>
      </c>
      <c r="P1116" s="12">
        <v>0</v>
      </c>
      <c r="Q1116" s="16">
        <v>4</v>
      </c>
      <c r="R1116" s="16">
        <v>0</v>
      </c>
      <c r="S1116" s="16"/>
      <c r="T1116" s="16" t="e">
        <v>#N/A</v>
      </c>
      <c r="U1116" s="16" t="e">
        <v>#N/A</v>
      </c>
    </row>
    <row r="1117" spans="1:21" x14ac:dyDescent="0.25">
      <c r="A1117" s="12" t="s">
        <v>21</v>
      </c>
      <c r="B1117" s="12" t="s">
        <v>1218</v>
      </c>
      <c r="C1117" s="12" t="s">
        <v>23</v>
      </c>
      <c r="D1117" s="13">
        <v>46268.354953703703</v>
      </c>
      <c r="E1117" s="12" t="s">
        <v>24</v>
      </c>
      <c r="F1117" s="12" t="s">
        <v>670</v>
      </c>
      <c r="G1117" s="12">
        <v>12</v>
      </c>
      <c r="H1117" s="12">
        <v>12</v>
      </c>
      <c r="I1117" s="14"/>
      <c r="J1117" s="14" t="s">
        <v>61</v>
      </c>
      <c r="K1117" s="12" t="s">
        <v>1221</v>
      </c>
      <c r="L1117" s="15">
        <v>1</v>
      </c>
      <c r="M1117" s="12" t="s">
        <v>150</v>
      </c>
      <c r="N1117" s="12">
        <v>12</v>
      </c>
      <c r="O1117" s="12">
        <v>12</v>
      </c>
      <c r="P1117" s="12">
        <v>0</v>
      </c>
      <c r="Q1117" s="16">
        <v>12</v>
      </c>
      <c r="R1117" s="16">
        <v>0</v>
      </c>
      <c r="S1117" s="16"/>
      <c r="T1117" s="16" t="e">
        <v>#N/A</v>
      </c>
      <c r="U1117" s="16" t="e">
        <v>#N/A</v>
      </c>
    </row>
    <row r="1118" spans="1:21" x14ac:dyDescent="0.25">
      <c r="A1118" s="12" t="s">
        <v>21</v>
      </c>
      <c r="B1118" s="12" t="s">
        <v>1218</v>
      </c>
      <c r="C1118" s="12" t="s">
        <v>23</v>
      </c>
      <c r="D1118" s="13">
        <v>46268.354953703703</v>
      </c>
      <c r="E1118" s="12" t="s">
        <v>24</v>
      </c>
      <c r="F1118" s="12" t="s">
        <v>671</v>
      </c>
      <c r="G1118" s="12">
        <v>16</v>
      </c>
      <c r="H1118" s="12">
        <v>16</v>
      </c>
      <c r="I1118" s="14"/>
      <c r="J1118" s="14" t="s">
        <v>61</v>
      </c>
      <c r="K1118" s="12" t="s">
        <v>1222</v>
      </c>
      <c r="L1118" s="15">
        <v>1</v>
      </c>
      <c r="M1118" s="12" t="s">
        <v>150</v>
      </c>
      <c r="N1118" s="12">
        <v>16</v>
      </c>
      <c r="O1118" s="12">
        <v>16</v>
      </c>
      <c r="P1118" s="12">
        <v>0</v>
      </c>
      <c r="Q1118" s="16">
        <v>16</v>
      </c>
      <c r="R1118" s="16">
        <v>1</v>
      </c>
      <c r="S1118" s="16"/>
      <c r="T1118" s="16" t="e">
        <v>#N/A</v>
      </c>
      <c r="U1118" s="16" t="e">
        <v>#N/A</v>
      </c>
    </row>
    <row r="1119" spans="1:21" x14ac:dyDescent="0.25">
      <c r="A1119" s="12" t="s">
        <v>21</v>
      </c>
      <c r="B1119" s="12" t="s">
        <v>1218</v>
      </c>
      <c r="C1119" s="12" t="s">
        <v>23</v>
      </c>
      <c r="D1119" s="13">
        <v>46268.354953703703</v>
      </c>
      <c r="E1119" s="12" t="s">
        <v>24</v>
      </c>
      <c r="F1119" s="12" t="s">
        <v>346</v>
      </c>
      <c r="G1119" s="12">
        <v>4</v>
      </c>
      <c r="H1119" s="12">
        <v>4</v>
      </c>
      <c r="I1119" s="14"/>
      <c r="J1119" s="14" t="s">
        <v>61</v>
      </c>
      <c r="K1119" s="12" t="s">
        <v>1223</v>
      </c>
      <c r="L1119" s="15">
        <v>1</v>
      </c>
      <c r="M1119" s="12" t="s">
        <v>150</v>
      </c>
      <c r="N1119" s="12">
        <v>4</v>
      </c>
      <c r="O1119" s="12">
        <v>4</v>
      </c>
      <c r="P1119" s="12">
        <v>0</v>
      </c>
      <c r="Q1119" s="16">
        <v>4</v>
      </c>
      <c r="R1119" s="16">
        <v>0</v>
      </c>
      <c r="S1119" s="16"/>
      <c r="T1119" s="16" t="e">
        <v>#N/A</v>
      </c>
      <c r="U1119" s="16" t="e">
        <v>#N/A</v>
      </c>
    </row>
    <row r="1120" spans="1:21" x14ac:dyDescent="0.25">
      <c r="A1120" s="12" t="s">
        <v>21</v>
      </c>
      <c r="B1120" s="12" t="s">
        <v>1218</v>
      </c>
      <c r="C1120" s="12" t="s">
        <v>23</v>
      </c>
      <c r="D1120" s="13">
        <v>46268.354953703703</v>
      </c>
      <c r="E1120" s="12" t="s">
        <v>24</v>
      </c>
      <c r="F1120" s="12" t="s">
        <v>1165</v>
      </c>
      <c r="G1120" s="12">
        <v>1</v>
      </c>
      <c r="H1120" s="12">
        <v>1</v>
      </c>
      <c r="I1120" s="14"/>
      <c r="J1120" s="14" t="s">
        <v>61</v>
      </c>
      <c r="K1120" s="12" t="s">
        <v>1224</v>
      </c>
      <c r="L1120" s="15">
        <v>1</v>
      </c>
      <c r="M1120" s="12" t="s">
        <v>150</v>
      </c>
      <c r="N1120" s="12">
        <v>1</v>
      </c>
      <c r="O1120" s="12">
        <v>1</v>
      </c>
      <c r="P1120" s="12">
        <v>0</v>
      </c>
      <c r="Q1120" s="16">
        <v>1</v>
      </c>
      <c r="R1120" s="16">
        <v>0</v>
      </c>
      <c r="S1120" s="16"/>
      <c r="T1120" s="16" t="e">
        <v>#N/A</v>
      </c>
      <c r="U1120" s="16" t="e">
        <v>#N/A</v>
      </c>
    </row>
    <row r="1121" spans="1:21" x14ac:dyDescent="0.25">
      <c r="A1121" s="12" t="s">
        <v>21</v>
      </c>
      <c r="B1121" s="12" t="s">
        <v>1218</v>
      </c>
      <c r="C1121" s="12" t="s">
        <v>23</v>
      </c>
      <c r="D1121" s="13">
        <v>46268.354953703703</v>
      </c>
      <c r="E1121" s="12" t="s">
        <v>24</v>
      </c>
      <c r="F1121" s="12" t="s">
        <v>1166</v>
      </c>
      <c r="G1121" s="12">
        <v>7</v>
      </c>
      <c r="H1121" s="12">
        <v>7</v>
      </c>
      <c r="I1121" s="14"/>
      <c r="J1121" s="14" t="s">
        <v>61</v>
      </c>
      <c r="K1121" s="12" t="s">
        <v>1225</v>
      </c>
      <c r="L1121" s="15">
        <v>1</v>
      </c>
      <c r="M1121" s="12" t="s">
        <v>150</v>
      </c>
      <c r="N1121" s="12">
        <v>7</v>
      </c>
      <c r="O1121" s="12">
        <v>7</v>
      </c>
      <c r="P1121" s="12">
        <v>0</v>
      </c>
      <c r="Q1121" s="16">
        <v>7</v>
      </c>
      <c r="R1121" s="16">
        <v>0</v>
      </c>
      <c r="S1121" s="16"/>
      <c r="T1121" s="16" t="e">
        <v>#N/A</v>
      </c>
      <c r="U1121" s="16" t="e">
        <v>#N/A</v>
      </c>
    </row>
    <row r="1122" spans="1:21" x14ac:dyDescent="0.25">
      <c r="A1122" s="12" t="s">
        <v>21</v>
      </c>
      <c r="B1122" s="12" t="s">
        <v>1218</v>
      </c>
      <c r="C1122" s="12" t="s">
        <v>23</v>
      </c>
      <c r="D1122" s="13">
        <v>46268.354953703703</v>
      </c>
      <c r="E1122" s="12" t="s">
        <v>24</v>
      </c>
      <c r="F1122" s="12" t="s">
        <v>1219</v>
      </c>
      <c r="G1122" s="12">
        <v>4</v>
      </c>
      <c r="H1122" s="12">
        <v>4</v>
      </c>
      <c r="I1122" s="14"/>
      <c r="J1122" s="14" t="s">
        <v>61</v>
      </c>
      <c r="K1122" s="12" t="s">
        <v>1226</v>
      </c>
      <c r="L1122" s="15">
        <v>1</v>
      </c>
      <c r="M1122" s="12" t="s">
        <v>150</v>
      </c>
      <c r="N1122" s="12">
        <v>4</v>
      </c>
      <c r="O1122" s="12">
        <v>4</v>
      </c>
      <c r="P1122" s="12">
        <v>0</v>
      </c>
      <c r="Q1122" s="16">
        <v>4</v>
      </c>
      <c r="R1122" s="16">
        <v>0</v>
      </c>
      <c r="S1122" s="16"/>
      <c r="T1122" s="16" t="e">
        <v>#N/A</v>
      </c>
      <c r="U1122" s="16" t="e">
        <v>#N/A</v>
      </c>
    </row>
    <row r="1123" spans="1:21" x14ac:dyDescent="0.25">
      <c r="A1123" s="12" t="s">
        <v>21</v>
      </c>
      <c r="B1123" s="12" t="s">
        <v>1227</v>
      </c>
      <c r="C1123" s="12" t="s">
        <v>23</v>
      </c>
      <c r="D1123" s="13">
        <v>46268.399537037039</v>
      </c>
      <c r="E1123" s="12" t="s">
        <v>24</v>
      </c>
      <c r="F1123" s="12" t="s">
        <v>84</v>
      </c>
      <c r="G1123" s="12">
        <v>7</v>
      </c>
      <c r="H1123" s="12">
        <v>7</v>
      </c>
      <c r="I1123" s="14"/>
      <c r="J1123" s="14" t="s">
        <v>61</v>
      </c>
      <c r="K1123" s="12" t="s">
        <v>1228</v>
      </c>
      <c r="L1123" s="15">
        <v>1</v>
      </c>
      <c r="M1123" s="12" t="s">
        <v>150</v>
      </c>
      <c r="N1123" s="12">
        <v>7</v>
      </c>
      <c r="O1123" s="12">
        <v>7</v>
      </c>
      <c r="P1123" s="12">
        <v>0</v>
      </c>
      <c r="Q1123" s="16">
        <v>7</v>
      </c>
      <c r="R1123" s="16">
        <v>0</v>
      </c>
      <c r="S1123" s="16"/>
      <c r="T1123" s="16" t="e">
        <v>#N/A</v>
      </c>
      <c r="U1123" s="16" t="e">
        <v>#N/A</v>
      </c>
    </row>
    <row r="1124" spans="1:21" x14ac:dyDescent="0.25">
      <c r="A1124" s="12" t="s">
        <v>21</v>
      </c>
      <c r="B1124" s="12" t="s">
        <v>1229</v>
      </c>
      <c r="C1124" s="12" t="s">
        <v>23</v>
      </c>
      <c r="D1124" s="13">
        <v>46268.400879629633</v>
      </c>
      <c r="E1124" s="12" t="s">
        <v>24</v>
      </c>
      <c r="F1124" s="12" t="s">
        <v>283</v>
      </c>
      <c r="G1124" s="12">
        <v>10</v>
      </c>
      <c r="H1124" s="12">
        <v>10</v>
      </c>
      <c r="I1124" s="14"/>
      <c r="J1124" s="14" t="s">
        <v>26</v>
      </c>
      <c r="K1124" s="12" t="s">
        <v>27</v>
      </c>
      <c r="L1124" s="15"/>
      <c r="M1124" s="12" t="s">
        <v>28</v>
      </c>
      <c r="N1124" s="12"/>
      <c r="O1124" s="12"/>
      <c r="P1124" s="12"/>
      <c r="Q1124" s="16">
        <v>0</v>
      </c>
      <c r="R1124" s="16">
        <v>0</v>
      </c>
      <c r="S1124" s="16">
        <v>4</v>
      </c>
      <c r="T1124" s="16" t="e">
        <v>#N/A</v>
      </c>
      <c r="U1124" s="16" t="e">
        <v>#N/A</v>
      </c>
    </row>
    <row r="1125" spans="1:21" x14ac:dyDescent="0.25">
      <c r="A1125" s="12" t="s">
        <v>21</v>
      </c>
      <c r="B1125" s="12" t="s">
        <v>1229</v>
      </c>
      <c r="C1125" s="12" t="s">
        <v>23</v>
      </c>
      <c r="D1125" s="13">
        <v>46268.400879629633</v>
      </c>
      <c r="E1125" s="12" t="s">
        <v>24</v>
      </c>
      <c r="F1125" s="12" t="s">
        <v>268</v>
      </c>
      <c r="G1125" s="12">
        <v>9</v>
      </c>
      <c r="H1125" s="12">
        <v>9</v>
      </c>
      <c r="I1125" s="14"/>
      <c r="J1125" s="14" t="s">
        <v>26</v>
      </c>
      <c r="K1125" s="12" t="s">
        <v>27</v>
      </c>
      <c r="L1125" s="15"/>
      <c r="M1125" s="12" t="s">
        <v>28</v>
      </c>
      <c r="N1125" s="12"/>
      <c r="O1125" s="12"/>
      <c r="P1125" s="12"/>
      <c r="Q1125" s="16">
        <v>0</v>
      </c>
      <c r="R1125" s="16">
        <v>0</v>
      </c>
      <c r="S1125" s="16"/>
      <c r="T1125" s="16" t="e">
        <v>#N/A</v>
      </c>
      <c r="U1125" s="16" t="e">
        <v>#N/A</v>
      </c>
    </row>
    <row r="1126" spans="1:21" x14ac:dyDescent="0.25">
      <c r="A1126" s="12" t="s">
        <v>21</v>
      </c>
      <c r="B1126" s="12" t="s">
        <v>1229</v>
      </c>
      <c r="C1126" s="12" t="s">
        <v>23</v>
      </c>
      <c r="D1126" s="13">
        <v>46268.400879629633</v>
      </c>
      <c r="E1126" s="12" t="s">
        <v>24</v>
      </c>
      <c r="F1126" s="12" t="s">
        <v>401</v>
      </c>
      <c r="G1126" s="12">
        <v>10</v>
      </c>
      <c r="H1126" s="12">
        <v>10</v>
      </c>
      <c r="I1126" s="14"/>
      <c r="J1126" s="14" t="s">
        <v>26</v>
      </c>
      <c r="K1126" s="12" t="s">
        <v>27</v>
      </c>
      <c r="L1126" s="15"/>
      <c r="M1126" s="12" t="s">
        <v>28</v>
      </c>
      <c r="N1126" s="12"/>
      <c r="O1126" s="12"/>
      <c r="P1126" s="12"/>
      <c r="Q1126" s="16">
        <v>0</v>
      </c>
      <c r="R1126" s="16">
        <v>0</v>
      </c>
      <c r="S1126" s="16"/>
      <c r="T1126" s="16" t="e">
        <v>#N/A</v>
      </c>
      <c r="U1126" s="16" t="e">
        <v>#N/A</v>
      </c>
    </row>
    <row r="1127" spans="1:21" x14ac:dyDescent="0.25">
      <c r="A1127" s="12" t="s">
        <v>21</v>
      </c>
      <c r="B1127" s="12" t="s">
        <v>1229</v>
      </c>
      <c r="C1127" s="12" t="s">
        <v>23</v>
      </c>
      <c r="D1127" s="13">
        <v>46268.400879629633</v>
      </c>
      <c r="E1127" s="12" t="s">
        <v>24</v>
      </c>
      <c r="F1127" s="12" t="s">
        <v>201</v>
      </c>
      <c r="G1127" s="12">
        <v>16</v>
      </c>
      <c r="H1127" s="12">
        <v>16</v>
      </c>
      <c r="I1127" s="14"/>
      <c r="J1127" s="14" t="s">
        <v>26</v>
      </c>
      <c r="K1127" s="12" t="s">
        <v>27</v>
      </c>
      <c r="L1127" s="15"/>
      <c r="M1127" s="12" t="s">
        <v>28</v>
      </c>
      <c r="N1127" s="12"/>
      <c r="O1127" s="12"/>
      <c r="P1127" s="12"/>
      <c r="Q1127" s="16">
        <v>0</v>
      </c>
      <c r="R1127" s="16">
        <v>0</v>
      </c>
      <c r="S1127" s="16"/>
      <c r="T1127" s="16" t="e">
        <v>#N/A</v>
      </c>
      <c r="U1127" s="16" t="e">
        <v>#N/A</v>
      </c>
    </row>
    <row r="1128" spans="1:21" x14ac:dyDescent="0.25">
      <c r="A1128" s="12" t="s">
        <v>21</v>
      </c>
      <c r="B1128" s="12" t="s">
        <v>1229</v>
      </c>
      <c r="C1128" s="12" t="s">
        <v>23</v>
      </c>
      <c r="D1128" s="13">
        <v>46268.400879629633</v>
      </c>
      <c r="E1128" s="12" t="s">
        <v>24</v>
      </c>
      <c r="F1128" s="12" t="s">
        <v>320</v>
      </c>
      <c r="G1128" s="12">
        <v>30</v>
      </c>
      <c r="H1128" s="12">
        <v>30</v>
      </c>
      <c r="I1128" s="14"/>
      <c r="J1128" s="14" t="s">
        <v>26</v>
      </c>
      <c r="K1128" s="12" t="s">
        <v>27</v>
      </c>
      <c r="L1128" s="15"/>
      <c r="M1128" s="12" t="s">
        <v>28</v>
      </c>
      <c r="N1128" s="12"/>
      <c r="O1128" s="12"/>
      <c r="P1128" s="12"/>
      <c r="Q1128" s="16">
        <v>0</v>
      </c>
      <c r="R1128" s="16">
        <v>1</v>
      </c>
      <c r="S1128" s="16"/>
      <c r="T1128" s="16" t="e">
        <v>#N/A</v>
      </c>
      <c r="U1128" s="16" t="e">
        <v>#N/A</v>
      </c>
    </row>
    <row r="1129" spans="1:21" x14ac:dyDescent="0.25">
      <c r="A1129" s="12" t="s">
        <v>21</v>
      </c>
      <c r="B1129" s="12" t="s">
        <v>1229</v>
      </c>
      <c r="C1129" s="12" t="s">
        <v>23</v>
      </c>
      <c r="D1129" s="13">
        <v>46268.400879629633</v>
      </c>
      <c r="E1129" s="12" t="s">
        <v>24</v>
      </c>
      <c r="F1129" s="12" t="s">
        <v>277</v>
      </c>
      <c r="G1129" s="12">
        <v>9</v>
      </c>
      <c r="H1129" s="12">
        <v>9</v>
      </c>
      <c r="I1129" s="14"/>
      <c r="J1129" s="14" t="s">
        <v>26</v>
      </c>
      <c r="K1129" s="12" t="s">
        <v>27</v>
      </c>
      <c r="L1129" s="15"/>
      <c r="M1129" s="12" t="s">
        <v>28</v>
      </c>
      <c r="N1129" s="12"/>
      <c r="O1129" s="12"/>
      <c r="P1129" s="12"/>
      <c r="Q1129" s="16">
        <v>0</v>
      </c>
      <c r="R1129" s="16">
        <v>0</v>
      </c>
      <c r="S1129" s="16"/>
      <c r="T1129" s="16" t="e">
        <v>#N/A</v>
      </c>
      <c r="U1129" s="16" t="e">
        <v>#N/A</v>
      </c>
    </row>
    <row r="1130" spans="1:21" x14ac:dyDescent="0.25">
      <c r="A1130" s="12" t="s">
        <v>21</v>
      </c>
      <c r="B1130" s="12" t="s">
        <v>1230</v>
      </c>
      <c r="C1130" s="12" t="s">
        <v>23</v>
      </c>
      <c r="D1130" s="13">
        <v>46268.418807870374</v>
      </c>
      <c r="E1130" s="12" t="s">
        <v>345</v>
      </c>
      <c r="F1130" s="12" t="s">
        <v>699</v>
      </c>
      <c r="G1130" s="12">
        <v>6</v>
      </c>
      <c r="H1130" s="12">
        <v>6</v>
      </c>
      <c r="I1130" s="14"/>
      <c r="J1130" s="14" t="s">
        <v>61</v>
      </c>
      <c r="K1130" s="12" t="s">
        <v>1233</v>
      </c>
      <c r="L1130" s="15">
        <v>1</v>
      </c>
      <c r="M1130" s="12" t="s">
        <v>150</v>
      </c>
      <c r="N1130" s="12">
        <v>6</v>
      </c>
      <c r="O1130" s="12">
        <v>6</v>
      </c>
      <c r="P1130" s="12">
        <v>0</v>
      </c>
      <c r="Q1130" s="16">
        <v>6</v>
      </c>
      <c r="R1130" s="16">
        <v>0</v>
      </c>
      <c r="S1130" s="16"/>
      <c r="T1130" s="16" t="e">
        <v>#N/A</v>
      </c>
      <c r="U1130" s="16" t="e">
        <v>#N/A</v>
      </c>
    </row>
    <row r="1131" spans="1:21" x14ac:dyDescent="0.25">
      <c r="A1131" s="12" t="s">
        <v>21</v>
      </c>
      <c r="B1131" s="12" t="s">
        <v>1230</v>
      </c>
      <c r="C1131" s="12" t="s">
        <v>23</v>
      </c>
      <c r="D1131" s="13">
        <v>46268.418807870374</v>
      </c>
      <c r="E1131" s="12" t="s">
        <v>345</v>
      </c>
      <c r="F1131" s="12" t="s">
        <v>1231</v>
      </c>
      <c r="G1131" s="12">
        <v>10</v>
      </c>
      <c r="H1131" s="12">
        <v>10</v>
      </c>
      <c r="I1131" s="14"/>
      <c r="J1131" s="14" t="s">
        <v>61</v>
      </c>
      <c r="K1131" s="12" t="s">
        <v>1234</v>
      </c>
      <c r="L1131" s="15">
        <v>1</v>
      </c>
      <c r="M1131" s="12" t="s">
        <v>150</v>
      </c>
      <c r="N1131" s="12">
        <v>10</v>
      </c>
      <c r="O1131" s="12">
        <v>10</v>
      </c>
      <c r="P1131" s="12">
        <v>0</v>
      </c>
      <c r="Q1131" s="16">
        <v>10</v>
      </c>
      <c r="R1131" s="16">
        <v>0</v>
      </c>
      <c r="S1131" s="16"/>
      <c r="T1131" s="16" t="e">
        <v>#N/A</v>
      </c>
      <c r="U1131" s="16" t="e">
        <v>#N/A</v>
      </c>
    </row>
    <row r="1132" spans="1:21" x14ac:dyDescent="0.25">
      <c r="A1132" s="12" t="s">
        <v>21</v>
      </c>
      <c r="B1132" s="12" t="s">
        <v>1230</v>
      </c>
      <c r="C1132" s="12" t="s">
        <v>23</v>
      </c>
      <c r="D1132" s="13">
        <v>46268.418807870374</v>
      </c>
      <c r="E1132" s="12" t="s">
        <v>345</v>
      </c>
      <c r="F1132" s="12" t="s">
        <v>1232</v>
      </c>
      <c r="G1132" s="12">
        <v>20</v>
      </c>
      <c r="H1132" s="12">
        <v>20</v>
      </c>
      <c r="I1132" s="14"/>
      <c r="J1132" s="14" t="s">
        <v>61</v>
      </c>
      <c r="K1132" s="12" t="s">
        <v>1235</v>
      </c>
      <c r="L1132" s="15">
        <v>1</v>
      </c>
      <c r="M1132" s="12" t="s">
        <v>150</v>
      </c>
      <c r="N1132" s="12">
        <v>20</v>
      </c>
      <c r="O1132" s="12">
        <v>20</v>
      </c>
      <c r="P1132" s="12">
        <v>0</v>
      </c>
      <c r="Q1132" s="16">
        <v>20</v>
      </c>
      <c r="R1132" s="16">
        <v>0</v>
      </c>
      <c r="S1132" s="16"/>
      <c r="T1132" s="16" t="e">
        <v>#N/A</v>
      </c>
      <c r="U1132" s="16" t="e">
        <v>#N/A</v>
      </c>
    </row>
    <row r="1133" spans="1:21" x14ac:dyDescent="0.25">
      <c r="A1133" s="12" t="s">
        <v>21</v>
      </c>
      <c r="B1133" s="12" t="s">
        <v>1230</v>
      </c>
      <c r="C1133" s="12" t="s">
        <v>23</v>
      </c>
      <c r="D1133" s="13">
        <v>46268.418807870374</v>
      </c>
      <c r="E1133" s="12" t="s">
        <v>345</v>
      </c>
      <c r="F1133" s="12" t="s">
        <v>735</v>
      </c>
      <c r="G1133" s="12">
        <v>12</v>
      </c>
      <c r="H1133" s="12">
        <v>12</v>
      </c>
      <c r="I1133" s="14"/>
      <c r="J1133" s="14" t="s">
        <v>61</v>
      </c>
      <c r="K1133" s="12" t="s">
        <v>1236</v>
      </c>
      <c r="L1133" s="15">
        <v>1</v>
      </c>
      <c r="M1133" s="12" t="s">
        <v>150</v>
      </c>
      <c r="N1133" s="12">
        <v>12</v>
      </c>
      <c r="O1133" s="12">
        <v>12</v>
      </c>
      <c r="P1133" s="12">
        <v>0</v>
      </c>
      <c r="Q1133" s="16">
        <v>12</v>
      </c>
      <c r="R1133" s="16">
        <v>0</v>
      </c>
      <c r="S1133" s="16"/>
      <c r="T1133" s="16" t="e">
        <v>#N/A</v>
      </c>
      <c r="U1133" s="16" t="e">
        <v>#N/A</v>
      </c>
    </row>
    <row r="1134" spans="1:21" x14ac:dyDescent="0.25">
      <c r="A1134" s="12" t="s">
        <v>21</v>
      </c>
      <c r="B1134" s="12" t="s">
        <v>1230</v>
      </c>
      <c r="C1134" s="12" t="s">
        <v>23</v>
      </c>
      <c r="D1134" s="13">
        <v>46268.418807870374</v>
      </c>
      <c r="E1134" s="12" t="s">
        <v>345</v>
      </c>
      <c r="F1134" s="12" t="s">
        <v>253</v>
      </c>
      <c r="G1134" s="12">
        <v>20</v>
      </c>
      <c r="H1134" s="12">
        <v>20</v>
      </c>
      <c r="I1134" s="14"/>
      <c r="J1134" s="14" t="s">
        <v>61</v>
      </c>
      <c r="K1134" s="12" t="s">
        <v>1237</v>
      </c>
      <c r="L1134" s="15">
        <v>1</v>
      </c>
      <c r="M1134" s="12" t="s">
        <v>150</v>
      </c>
      <c r="N1134" s="12">
        <v>20</v>
      </c>
      <c r="O1134" s="12">
        <v>20</v>
      </c>
      <c r="P1134" s="12">
        <v>0</v>
      </c>
      <c r="Q1134" s="16">
        <v>20</v>
      </c>
      <c r="R1134" s="16">
        <v>0</v>
      </c>
      <c r="S1134" s="16"/>
      <c r="T1134" s="16" t="e">
        <v>#N/A</v>
      </c>
      <c r="U1134" s="16" t="e">
        <v>#N/A</v>
      </c>
    </row>
    <row r="1135" spans="1:21" x14ac:dyDescent="0.25">
      <c r="A1135" s="12" t="s">
        <v>21</v>
      </c>
      <c r="B1135" s="12" t="s">
        <v>1230</v>
      </c>
      <c r="C1135" s="12" t="s">
        <v>23</v>
      </c>
      <c r="D1135" s="13">
        <v>46268.418807870374</v>
      </c>
      <c r="E1135" s="12" t="s">
        <v>345</v>
      </c>
      <c r="F1135" s="12" t="s">
        <v>703</v>
      </c>
      <c r="G1135" s="12">
        <v>12</v>
      </c>
      <c r="H1135" s="12">
        <v>12</v>
      </c>
      <c r="I1135" s="14"/>
      <c r="J1135" s="14" t="s">
        <v>61</v>
      </c>
      <c r="K1135" s="12" t="s">
        <v>1238</v>
      </c>
      <c r="L1135" s="15">
        <v>1</v>
      </c>
      <c r="M1135" s="12" t="s">
        <v>150</v>
      </c>
      <c r="N1135" s="12">
        <v>12</v>
      </c>
      <c r="O1135" s="12">
        <v>12</v>
      </c>
      <c r="P1135" s="12">
        <v>0</v>
      </c>
      <c r="Q1135" s="16">
        <v>12</v>
      </c>
      <c r="R1135" s="16">
        <v>0</v>
      </c>
      <c r="S1135" s="16"/>
      <c r="T1135" s="16" t="e">
        <v>#N/A</v>
      </c>
      <c r="U1135" s="16" t="e">
        <v>#N/A</v>
      </c>
    </row>
    <row r="1136" spans="1:21" x14ac:dyDescent="0.25">
      <c r="A1136" s="12" t="s">
        <v>21</v>
      </c>
      <c r="B1136" s="12" t="s">
        <v>1239</v>
      </c>
      <c r="C1136" s="12" t="s">
        <v>23</v>
      </c>
      <c r="D1136" s="13">
        <v>46268.495775462965</v>
      </c>
      <c r="E1136" s="12" t="s">
        <v>24</v>
      </c>
      <c r="F1136" s="12" t="s">
        <v>59</v>
      </c>
      <c r="G1136" s="12">
        <v>5</v>
      </c>
      <c r="H1136" s="12">
        <v>5</v>
      </c>
      <c r="I1136" s="14"/>
      <c r="J1136" s="14" t="s">
        <v>26</v>
      </c>
      <c r="K1136" s="12" t="s">
        <v>27</v>
      </c>
      <c r="L1136" s="15"/>
      <c r="M1136" s="12" t="s">
        <v>28</v>
      </c>
      <c r="N1136" s="12"/>
      <c r="O1136" s="12"/>
      <c r="P1136" s="12"/>
      <c r="Q1136" s="16">
        <v>0</v>
      </c>
      <c r="R1136" s="16">
        <v>0</v>
      </c>
      <c r="S1136" s="16"/>
      <c r="T1136" s="16" t="e">
        <v>#N/A</v>
      </c>
      <c r="U1136" s="16" t="e">
        <v>#N/A</v>
      </c>
    </row>
    <row r="1137" spans="1:21" x14ac:dyDescent="0.25">
      <c r="A1137" s="12" t="s">
        <v>21</v>
      </c>
      <c r="B1137" s="12" t="s">
        <v>1240</v>
      </c>
      <c r="C1137" s="12" t="s">
        <v>23</v>
      </c>
      <c r="D1137" s="13">
        <v>46268.498668981483</v>
      </c>
      <c r="E1137" s="12" t="s">
        <v>585</v>
      </c>
      <c r="F1137" s="12" t="s">
        <v>438</v>
      </c>
      <c r="G1137" s="12">
        <v>600</v>
      </c>
      <c r="H1137" s="12">
        <v>600</v>
      </c>
      <c r="I1137" s="14"/>
      <c r="J1137" s="14" t="s">
        <v>26</v>
      </c>
      <c r="K1137" s="12" t="s">
        <v>27</v>
      </c>
      <c r="L1137" s="15"/>
      <c r="M1137" s="12" t="s">
        <v>28</v>
      </c>
      <c r="N1137" s="12"/>
      <c r="O1137" s="12"/>
      <c r="P1137" s="12"/>
      <c r="Q1137" s="16">
        <v>0</v>
      </c>
      <c r="R1137" s="16">
        <v>113</v>
      </c>
      <c r="S1137" s="16"/>
      <c r="T1137" s="16" t="e">
        <v>#N/A</v>
      </c>
      <c r="U1137" s="16" t="e">
        <v>#N/A</v>
      </c>
    </row>
    <row r="1138" spans="1:21" x14ac:dyDescent="0.25">
      <c r="A1138" s="12" t="s">
        <v>21</v>
      </c>
      <c r="B1138" s="12" t="s">
        <v>1240</v>
      </c>
      <c r="C1138" s="12" t="s">
        <v>23</v>
      </c>
      <c r="D1138" s="13">
        <v>46268.498668981483</v>
      </c>
      <c r="E1138" s="12" t="s">
        <v>585</v>
      </c>
      <c r="F1138" s="12" t="s">
        <v>262</v>
      </c>
      <c r="G1138" s="12">
        <v>2000</v>
      </c>
      <c r="H1138" s="12">
        <v>2000</v>
      </c>
      <c r="I1138" s="14"/>
      <c r="J1138" s="14" t="s">
        <v>26</v>
      </c>
      <c r="K1138" s="12" t="s">
        <v>27</v>
      </c>
      <c r="L1138" s="15"/>
      <c r="M1138" s="12" t="s">
        <v>28</v>
      </c>
      <c r="N1138" s="12"/>
      <c r="O1138" s="12"/>
      <c r="P1138" s="12"/>
      <c r="Q1138" s="16">
        <v>0</v>
      </c>
      <c r="R1138" s="16">
        <v>0</v>
      </c>
      <c r="S1138" s="16"/>
      <c r="T1138" s="16" t="e">
        <v>#N/A</v>
      </c>
      <c r="U1138" s="16" t="e">
        <v>#N/A</v>
      </c>
    </row>
    <row r="1139" spans="1:21" x14ac:dyDescent="0.25">
      <c r="A1139" s="12" t="s">
        <v>21</v>
      </c>
      <c r="B1139" s="12" t="s">
        <v>1240</v>
      </c>
      <c r="C1139" s="12" t="s">
        <v>23</v>
      </c>
      <c r="D1139" s="13">
        <v>46268.498668981483</v>
      </c>
      <c r="E1139" s="12" t="s">
        <v>585</v>
      </c>
      <c r="F1139" s="12" t="s">
        <v>439</v>
      </c>
      <c r="G1139" s="12">
        <v>600</v>
      </c>
      <c r="H1139" s="12">
        <v>600</v>
      </c>
      <c r="I1139" s="14"/>
      <c r="J1139" s="14" t="s">
        <v>26</v>
      </c>
      <c r="K1139" s="12" t="s">
        <v>27</v>
      </c>
      <c r="L1139" s="15"/>
      <c r="M1139" s="12" t="s">
        <v>28</v>
      </c>
      <c r="N1139" s="12"/>
      <c r="O1139" s="12"/>
      <c r="P1139" s="12"/>
      <c r="Q1139" s="16">
        <v>0</v>
      </c>
      <c r="R1139" s="16">
        <v>0</v>
      </c>
      <c r="S1139" s="16">
        <v>160</v>
      </c>
      <c r="T1139" s="16" t="e">
        <v>#N/A</v>
      </c>
      <c r="U1139" s="16" t="e">
        <v>#N/A</v>
      </c>
    </row>
    <row r="1140" spans="1:21" x14ac:dyDescent="0.25">
      <c r="A1140" s="12" t="s">
        <v>21</v>
      </c>
      <c r="B1140" s="12" t="s">
        <v>1241</v>
      </c>
      <c r="C1140" s="12" t="s">
        <v>23</v>
      </c>
      <c r="D1140" s="13">
        <v>46268.574664351851</v>
      </c>
      <c r="E1140" s="12" t="s">
        <v>368</v>
      </c>
      <c r="F1140" s="12" t="s">
        <v>987</v>
      </c>
      <c r="G1140" s="12">
        <v>2</v>
      </c>
      <c r="H1140" s="12">
        <v>2</v>
      </c>
      <c r="I1140" s="14"/>
      <c r="J1140" s="14" t="s">
        <v>61</v>
      </c>
      <c r="K1140" s="12" t="s">
        <v>1247</v>
      </c>
      <c r="L1140" s="15">
        <v>1</v>
      </c>
      <c r="M1140" s="12" t="s">
        <v>150</v>
      </c>
      <c r="N1140" s="12">
        <v>2</v>
      </c>
      <c r="O1140" s="12">
        <v>2</v>
      </c>
      <c r="P1140" s="12">
        <v>0</v>
      </c>
      <c r="Q1140" s="16">
        <v>2</v>
      </c>
      <c r="R1140" s="16">
        <v>0</v>
      </c>
      <c r="S1140" s="16"/>
      <c r="T1140" s="16" t="e">
        <v>#N/A</v>
      </c>
      <c r="U1140" s="16" t="e">
        <v>#N/A</v>
      </c>
    </row>
    <row r="1141" spans="1:21" x14ac:dyDescent="0.25">
      <c r="A1141" s="12" t="s">
        <v>21</v>
      </c>
      <c r="B1141" s="12" t="s">
        <v>1241</v>
      </c>
      <c r="C1141" s="12" t="s">
        <v>23</v>
      </c>
      <c r="D1141" s="13">
        <v>46268.574664351851</v>
      </c>
      <c r="E1141" s="12" t="s">
        <v>368</v>
      </c>
      <c r="F1141" s="12" t="s">
        <v>1244</v>
      </c>
      <c r="G1141" s="12">
        <v>4</v>
      </c>
      <c r="H1141" s="12">
        <v>4</v>
      </c>
      <c r="I1141" s="14"/>
      <c r="J1141" s="14" t="s">
        <v>26</v>
      </c>
      <c r="K1141" s="12" t="s">
        <v>27</v>
      </c>
      <c r="L1141" s="15"/>
      <c r="M1141" s="12" t="s">
        <v>28</v>
      </c>
      <c r="N1141" s="12"/>
      <c r="O1141" s="12"/>
      <c r="P1141" s="12"/>
      <c r="Q1141" s="16">
        <v>0</v>
      </c>
      <c r="R1141" s="16">
        <v>3</v>
      </c>
      <c r="S1141" s="16"/>
      <c r="T1141" s="16" t="e">
        <v>#N/A</v>
      </c>
      <c r="U1141" s="16" t="e">
        <v>#N/A</v>
      </c>
    </row>
    <row r="1142" spans="1:21" x14ac:dyDescent="0.25">
      <c r="A1142" s="12" t="s">
        <v>21</v>
      </c>
      <c r="B1142" s="12" t="s">
        <v>1241</v>
      </c>
      <c r="C1142" s="12" t="s">
        <v>23</v>
      </c>
      <c r="D1142" s="13">
        <v>46268.574664351851</v>
      </c>
      <c r="E1142" s="12" t="s">
        <v>368</v>
      </c>
      <c r="F1142" s="12" t="s">
        <v>474</v>
      </c>
      <c r="G1142" s="12">
        <v>6</v>
      </c>
      <c r="H1142" s="12">
        <v>6</v>
      </c>
      <c r="I1142" s="14"/>
      <c r="J1142" s="14" t="s">
        <v>26</v>
      </c>
      <c r="K1142" s="12" t="s">
        <v>27</v>
      </c>
      <c r="L1142" s="15"/>
      <c r="M1142" s="12" t="s">
        <v>28</v>
      </c>
      <c r="N1142" s="12"/>
      <c r="O1142" s="12"/>
      <c r="P1142" s="12"/>
      <c r="Q1142" s="16">
        <v>0</v>
      </c>
      <c r="R1142" s="16">
        <v>0</v>
      </c>
      <c r="S1142" s="16"/>
      <c r="T1142" s="16" t="e">
        <v>#N/A</v>
      </c>
      <c r="U1142" s="16" t="e">
        <v>#N/A</v>
      </c>
    </row>
    <row r="1143" spans="1:21" x14ac:dyDescent="0.25">
      <c r="A1143" s="12" t="s">
        <v>21</v>
      </c>
      <c r="B1143" s="12" t="s">
        <v>1241</v>
      </c>
      <c r="C1143" s="12" t="s">
        <v>23</v>
      </c>
      <c r="D1143" s="13">
        <v>46268.574664351851</v>
      </c>
      <c r="E1143" s="12" t="s">
        <v>368</v>
      </c>
      <c r="F1143" s="12" t="s">
        <v>1166</v>
      </c>
      <c r="G1143" s="12">
        <v>10</v>
      </c>
      <c r="H1143" s="12">
        <v>10</v>
      </c>
      <c r="I1143" s="14"/>
      <c r="J1143" s="14" t="s">
        <v>61</v>
      </c>
      <c r="K1143" s="12" t="s">
        <v>1248</v>
      </c>
      <c r="L1143" s="15">
        <v>1</v>
      </c>
      <c r="M1143" s="12" t="s">
        <v>150</v>
      </c>
      <c r="N1143" s="12">
        <v>10</v>
      </c>
      <c r="O1143" s="12">
        <v>10</v>
      </c>
      <c r="P1143" s="12">
        <v>0</v>
      </c>
      <c r="Q1143" s="16">
        <v>10</v>
      </c>
      <c r="R1143" s="16">
        <v>0</v>
      </c>
      <c r="S1143" s="16"/>
      <c r="T1143" s="16" t="e">
        <v>#N/A</v>
      </c>
      <c r="U1143" s="16" t="e">
        <v>#N/A</v>
      </c>
    </row>
    <row r="1144" spans="1:21" x14ac:dyDescent="0.25">
      <c r="A1144" s="12" t="s">
        <v>21</v>
      </c>
      <c r="B1144" s="12" t="s">
        <v>1241</v>
      </c>
      <c r="C1144" s="12" t="s">
        <v>23</v>
      </c>
      <c r="D1144" s="13">
        <v>46268.574664351851</v>
      </c>
      <c r="E1144" s="12" t="s">
        <v>368</v>
      </c>
      <c r="F1144" s="12" t="s">
        <v>1219</v>
      </c>
      <c r="G1144" s="12">
        <v>14</v>
      </c>
      <c r="H1144" s="12">
        <v>14</v>
      </c>
      <c r="I1144" s="14"/>
      <c r="J1144" s="14" t="s">
        <v>61</v>
      </c>
      <c r="K1144" s="12" t="s">
        <v>1249</v>
      </c>
      <c r="L1144" s="15">
        <v>1</v>
      </c>
      <c r="M1144" s="12" t="s">
        <v>150</v>
      </c>
      <c r="N1144" s="12">
        <v>14</v>
      </c>
      <c r="O1144" s="12">
        <v>14</v>
      </c>
      <c r="P1144" s="12">
        <v>0</v>
      </c>
      <c r="Q1144" s="16">
        <v>14</v>
      </c>
      <c r="R1144" s="16">
        <v>0</v>
      </c>
      <c r="S1144" s="16"/>
      <c r="T1144" s="16" t="e">
        <v>#N/A</v>
      </c>
      <c r="U1144" s="16" t="e">
        <v>#N/A</v>
      </c>
    </row>
    <row r="1145" spans="1:21" x14ac:dyDescent="0.25">
      <c r="A1145" s="12" t="s">
        <v>21</v>
      </c>
      <c r="B1145" s="12" t="s">
        <v>1242</v>
      </c>
      <c r="C1145" s="12" t="s">
        <v>23</v>
      </c>
      <c r="D1145" s="13">
        <v>46268.574895833335</v>
      </c>
      <c r="E1145" s="12" t="s">
        <v>368</v>
      </c>
      <c r="F1145" s="12" t="s">
        <v>1199</v>
      </c>
      <c r="G1145" s="12">
        <v>3</v>
      </c>
      <c r="H1145" s="12">
        <v>3</v>
      </c>
      <c r="I1145" s="14"/>
      <c r="J1145" s="14" t="s">
        <v>61</v>
      </c>
      <c r="K1145" s="12" t="s">
        <v>1250</v>
      </c>
      <c r="L1145" s="15">
        <v>1</v>
      </c>
      <c r="M1145" s="12" t="s">
        <v>150</v>
      </c>
      <c r="N1145" s="12">
        <v>3</v>
      </c>
      <c r="O1145" s="12">
        <v>3</v>
      </c>
      <c r="P1145" s="12">
        <v>0</v>
      </c>
      <c r="Q1145" s="16">
        <v>3</v>
      </c>
      <c r="R1145" s="16">
        <v>0</v>
      </c>
      <c r="S1145" s="16"/>
      <c r="T1145" s="16" t="e">
        <v>#N/A</v>
      </c>
      <c r="U1145" s="16" t="e">
        <v>#N/A</v>
      </c>
    </row>
    <row r="1146" spans="1:21" x14ac:dyDescent="0.25">
      <c r="A1146" s="12" t="s">
        <v>21</v>
      </c>
      <c r="B1146" s="12" t="s">
        <v>1242</v>
      </c>
      <c r="C1146" s="12" t="s">
        <v>23</v>
      </c>
      <c r="D1146" s="13">
        <v>46268.574895833335</v>
      </c>
      <c r="E1146" s="12" t="s">
        <v>368</v>
      </c>
      <c r="F1146" s="12" t="s">
        <v>1090</v>
      </c>
      <c r="G1146" s="12">
        <v>4</v>
      </c>
      <c r="H1146" s="12">
        <v>4</v>
      </c>
      <c r="I1146" s="14"/>
      <c r="J1146" s="14" t="s">
        <v>61</v>
      </c>
      <c r="K1146" s="12" t="s">
        <v>1251</v>
      </c>
      <c r="L1146" s="15">
        <v>1</v>
      </c>
      <c r="M1146" s="12" t="s">
        <v>150</v>
      </c>
      <c r="N1146" s="12">
        <v>4</v>
      </c>
      <c r="O1146" s="12">
        <v>4</v>
      </c>
      <c r="P1146" s="12">
        <v>0</v>
      </c>
      <c r="Q1146" s="16">
        <v>4</v>
      </c>
      <c r="R1146" s="16">
        <v>0</v>
      </c>
      <c r="S1146" s="16"/>
      <c r="T1146" s="16" t="e">
        <v>#N/A</v>
      </c>
      <c r="U1146" s="16" t="e">
        <v>#N/A</v>
      </c>
    </row>
    <row r="1147" spans="1:21" x14ac:dyDescent="0.25">
      <c r="A1147" s="12" t="s">
        <v>21</v>
      </c>
      <c r="B1147" s="12" t="s">
        <v>1242</v>
      </c>
      <c r="C1147" s="12" t="s">
        <v>23</v>
      </c>
      <c r="D1147" s="13">
        <v>46268.574895833335</v>
      </c>
      <c r="E1147" s="12" t="s">
        <v>368</v>
      </c>
      <c r="F1147" s="12" t="s">
        <v>276</v>
      </c>
      <c r="G1147" s="12">
        <v>5</v>
      </c>
      <c r="H1147" s="12">
        <v>5</v>
      </c>
      <c r="I1147" s="14"/>
      <c r="J1147" s="14" t="s">
        <v>26</v>
      </c>
      <c r="K1147" s="12" t="s">
        <v>27</v>
      </c>
      <c r="L1147" s="15"/>
      <c r="M1147" s="12" t="s">
        <v>28</v>
      </c>
      <c r="N1147" s="12"/>
      <c r="O1147" s="12"/>
      <c r="P1147" s="12"/>
      <c r="Q1147" s="16">
        <v>0</v>
      </c>
      <c r="R1147" s="16">
        <v>11</v>
      </c>
      <c r="S1147" s="16"/>
      <c r="T1147" s="16" t="e">
        <v>#N/A</v>
      </c>
      <c r="U1147" s="16" t="e">
        <v>#N/A</v>
      </c>
    </row>
    <row r="1148" spans="1:21" x14ac:dyDescent="0.25">
      <c r="A1148" s="12" t="s">
        <v>21</v>
      </c>
      <c r="B1148" s="12" t="s">
        <v>1242</v>
      </c>
      <c r="C1148" s="12" t="s">
        <v>23</v>
      </c>
      <c r="D1148" s="13">
        <v>46268.574895833335</v>
      </c>
      <c r="E1148" s="12" t="s">
        <v>368</v>
      </c>
      <c r="F1148" s="12" t="s">
        <v>1091</v>
      </c>
      <c r="G1148" s="12">
        <v>8</v>
      </c>
      <c r="H1148" s="12">
        <v>8</v>
      </c>
      <c r="I1148" s="14"/>
      <c r="J1148" s="14" t="s">
        <v>61</v>
      </c>
      <c r="K1148" s="12" t="s">
        <v>1252</v>
      </c>
      <c r="L1148" s="15">
        <v>1</v>
      </c>
      <c r="M1148" s="12" t="s">
        <v>150</v>
      </c>
      <c r="N1148" s="12">
        <v>8</v>
      </c>
      <c r="O1148" s="12">
        <v>8</v>
      </c>
      <c r="P1148" s="12">
        <v>0</v>
      </c>
      <c r="Q1148" s="16">
        <v>8</v>
      </c>
      <c r="R1148" s="16">
        <v>1</v>
      </c>
      <c r="S1148" s="16"/>
      <c r="T1148" s="16" t="e">
        <v>#N/A</v>
      </c>
      <c r="U1148" s="16" t="e">
        <v>#N/A</v>
      </c>
    </row>
    <row r="1149" spans="1:21" x14ac:dyDescent="0.25">
      <c r="A1149" s="12" t="s">
        <v>21</v>
      </c>
      <c r="B1149" s="12" t="s">
        <v>1242</v>
      </c>
      <c r="C1149" s="12" t="s">
        <v>23</v>
      </c>
      <c r="D1149" s="13">
        <v>46268.574895833335</v>
      </c>
      <c r="E1149" s="12" t="s">
        <v>368</v>
      </c>
      <c r="F1149" s="12" t="s">
        <v>1245</v>
      </c>
      <c r="G1149" s="12">
        <v>8</v>
      </c>
      <c r="H1149" s="12">
        <v>8</v>
      </c>
      <c r="I1149" s="14"/>
      <c r="J1149" s="14" t="s">
        <v>61</v>
      </c>
      <c r="K1149" s="12" t="s">
        <v>1253</v>
      </c>
      <c r="L1149" s="15">
        <v>1</v>
      </c>
      <c r="M1149" s="12" t="s">
        <v>150</v>
      </c>
      <c r="N1149" s="12">
        <v>8</v>
      </c>
      <c r="O1149" s="12">
        <v>8</v>
      </c>
      <c r="P1149" s="12">
        <v>0</v>
      </c>
      <c r="Q1149" s="16">
        <v>8</v>
      </c>
      <c r="R1149" s="16">
        <v>7</v>
      </c>
      <c r="S1149" s="16"/>
      <c r="T1149" s="16" t="e">
        <v>#N/A</v>
      </c>
      <c r="U1149" s="16" t="e">
        <v>#N/A</v>
      </c>
    </row>
    <row r="1150" spans="1:21" x14ac:dyDescent="0.25">
      <c r="A1150" s="12" t="s">
        <v>21</v>
      </c>
      <c r="B1150" s="12" t="s">
        <v>1243</v>
      </c>
      <c r="C1150" s="12" t="s">
        <v>23</v>
      </c>
      <c r="D1150" s="13">
        <v>46268.575127314813</v>
      </c>
      <c r="E1150" s="12" t="s">
        <v>368</v>
      </c>
      <c r="F1150" s="12" t="s">
        <v>441</v>
      </c>
      <c r="G1150" s="12">
        <v>2</v>
      </c>
      <c r="H1150" s="12">
        <v>2</v>
      </c>
      <c r="I1150" s="14"/>
      <c r="J1150" s="14" t="s">
        <v>61</v>
      </c>
      <c r="K1150" s="12" t="s">
        <v>1254</v>
      </c>
      <c r="L1150" s="15">
        <v>1</v>
      </c>
      <c r="M1150" s="12" t="s">
        <v>150</v>
      </c>
      <c r="N1150" s="12">
        <v>2</v>
      </c>
      <c r="O1150" s="12">
        <v>2</v>
      </c>
      <c r="P1150" s="12">
        <v>0</v>
      </c>
      <c r="Q1150" s="16">
        <v>2</v>
      </c>
      <c r="R1150" s="16">
        <v>0</v>
      </c>
      <c r="S1150" s="16"/>
      <c r="T1150" s="16" t="e">
        <v>#N/A</v>
      </c>
      <c r="U1150" s="16" t="e">
        <v>#N/A</v>
      </c>
    </row>
    <row r="1151" spans="1:21" x14ac:dyDescent="0.25">
      <c r="A1151" s="12" t="s">
        <v>21</v>
      </c>
      <c r="B1151" s="12" t="s">
        <v>1243</v>
      </c>
      <c r="C1151" s="12" t="s">
        <v>23</v>
      </c>
      <c r="D1151" s="13">
        <v>46268.575127314813</v>
      </c>
      <c r="E1151" s="12" t="s">
        <v>368</v>
      </c>
      <c r="F1151" s="12" t="s">
        <v>1246</v>
      </c>
      <c r="G1151" s="12">
        <v>6</v>
      </c>
      <c r="H1151" s="12">
        <v>6</v>
      </c>
      <c r="I1151" s="14"/>
      <c r="J1151" s="14" t="s">
        <v>26</v>
      </c>
      <c r="K1151" s="12" t="s">
        <v>27</v>
      </c>
      <c r="L1151" s="15"/>
      <c r="M1151" s="12" t="s">
        <v>28</v>
      </c>
      <c r="N1151" s="12"/>
      <c r="O1151" s="12"/>
      <c r="P1151" s="12"/>
      <c r="Q1151" s="16">
        <v>0</v>
      </c>
      <c r="R1151" s="16">
        <v>0</v>
      </c>
      <c r="S1151" s="16"/>
      <c r="T1151" s="16" t="e">
        <v>#N/A</v>
      </c>
      <c r="U1151" s="16" t="e">
        <v>#N/A</v>
      </c>
    </row>
    <row r="1152" spans="1:21" x14ac:dyDescent="0.25">
      <c r="A1152" s="12" t="s">
        <v>21</v>
      </c>
      <c r="B1152" s="12" t="s">
        <v>1243</v>
      </c>
      <c r="C1152" s="12" t="s">
        <v>23</v>
      </c>
      <c r="D1152" s="13">
        <v>46268.575127314813</v>
      </c>
      <c r="E1152" s="12" t="s">
        <v>368</v>
      </c>
      <c r="F1152" s="12" t="s">
        <v>245</v>
      </c>
      <c r="G1152" s="12">
        <v>50</v>
      </c>
      <c r="H1152" s="12">
        <v>50</v>
      </c>
      <c r="I1152" s="14"/>
      <c r="J1152" s="14" t="s">
        <v>61</v>
      </c>
      <c r="K1152" s="12" t="s">
        <v>1255</v>
      </c>
      <c r="L1152" s="15">
        <v>1</v>
      </c>
      <c r="M1152" s="12" t="s">
        <v>150</v>
      </c>
      <c r="N1152" s="12">
        <v>50</v>
      </c>
      <c r="O1152" s="12">
        <v>50</v>
      </c>
      <c r="P1152" s="12">
        <v>0</v>
      </c>
      <c r="Q1152" s="16">
        <v>50</v>
      </c>
      <c r="R1152" s="16">
        <v>0</v>
      </c>
      <c r="S1152" s="16"/>
      <c r="T1152" s="16" t="e">
        <v>#N/A</v>
      </c>
      <c r="U1152" s="16" t="e">
        <v>#N/A</v>
      </c>
    </row>
    <row r="1153" spans="1:21" x14ac:dyDescent="0.25">
      <c r="A1153" s="12" t="s">
        <v>21</v>
      </c>
      <c r="B1153" s="12" t="s">
        <v>1243</v>
      </c>
      <c r="C1153" s="12" t="s">
        <v>23</v>
      </c>
      <c r="D1153" s="13">
        <v>46268.575127314813</v>
      </c>
      <c r="E1153" s="12" t="s">
        <v>368</v>
      </c>
      <c r="F1153" s="12" t="s">
        <v>1018</v>
      </c>
      <c r="G1153" s="12">
        <v>14</v>
      </c>
      <c r="H1153" s="12">
        <v>14</v>
      </c>
      <c r="I1153" s="14"/>
      <c r="J1153" s="14" t="s">
        <v>26</v>
      </c>
      <c r="K1153" s="12" t="s">
        <v>27</v>
      </c>
      <c r="L1153" s="15"/>
      <c r="M1153" s="12" t="s">
        <v>28</v>
      </c>
      <c r="N1153" s="12"/>
      <c r="O1153" s="12"/>
      <c r="P1153" s="12"/>
      <c r="Q1153" s="16">
        <v>0</v>
      </c>
      <c r="R1153" s="16">
        <v>0</v>
      </c>
      <c r="S1153" s="16"/>
      <c r="T1153" s="16" t="e">
        <v>#N/A</v>
      </c>
      <c r="U1153" s="16" t="e">
        <v>#N/A</v>
      </c>
    </row>
    <row r="1154" spans="1:21" x14ac:dyDescent="0.25">
      <c r="A1154" s="12" t="s">
        <v>21</v>
      </c>
      <c r="B1154" s="12" t="s">
        <v>1243</v>
      </c>
      <c r="C1154" s="12" t="s">
        <v>23</v>
      </c>
      <c r="D1154" s="13">
        <v>46268.575127314813</v>
      </c>
      <c r="E1154" s="12" t="s">
        <v>368</v>
      </c>
      <c r="F1154" s="12" t="s">
        <v>248</v>
      </c>
      <c r="G1154" s="12">
        <v>20</v>
      </c>
      <c r="H1154" s="12">
        <v>20</v>
      </c>
      <c r="I1154" s="14"/>
      <c r="J1154" s="14" t="s">
        <v>26</v>
      </c>
      <c r="K1154" s="12" t="s">
        <v>27</v>
      </c>
      <c r="L1154" s="15"/>
      <c r="M1154" s="12" t="s">
        <v>28</v>
      </c>
      <c r="N1154" s="12"/>
      <c r="O1154" s="12"/>
      <c r="P1154" s="12"/>
      <c r="Q1154" s="16">
        <v>0</v>
      </c>
      <c r="R1154" s="16">
        <v>2</v>
      </c>
      <c r="S1154" s="16"/>
      <c r="T1154" s="16" t="e">
        <v>#N/A</v>
      </c>
      <c r="U1154" s="16" t="e">
        <v>#N/A</v>
      </c>
    </row>
    <row r="1155" spans="1:21" x14ac:dyDescent="0.25">
      <c r="A1155" s="12" t="s">
        <v>21</v>
      </c>
      <c r="B1155" s="12" t="s">
        <v>1243</v>
      </c>
      <c r="C1155" s="12" t="s">
        <v>23</v>
      </c>
      <c r="D1155" s="13">
        <v>46268.575127314813</v>
      </c>
      <c r="E1155" s="12" t="s">
        <v>368</v>
      </c>
      <c r="F1155" s="12" t="s">
        <v>249</v>
      </c>
      <c r="G1155" s="12">
        <v>8</v>
      </c>
      <c r="H1155" s="12">
        <v>8</v>
      </c>
      <c r="I1155" s="14"/>
      <c r="J1155" s="14" t="s">
        <v>26</v>
      </c>
      <c r="K1155" s="12" t="s">
        <v>27</v>
      </c>
      <c r="L1155" s="15"/>
      <c r="M1155" s="12" t="s">
        <v>28</v>
      </c>
      <c r="N1155" s="12"/>
      <c r="O1155" s="12"/>
      <c r="P1155" s="12"/>
      <c r="Q1155" s="16">
        <v>0</v>
      </c>
      <c r="R1155" s="16">
        <v>0</v>
      </c>
      <c r="S1155" s="16"/>
      <c r="T1155" s="16" t="e">
        <v>#N/A</v>
      </c>
      <c r="U1155" s="16" t="e">
        <v>#N/A</v>
      </c>
    </row>
    <row r="1156" spans="1:21" x14ac:dyDescent="0.25">
      <c r="A1156" s="12" t="s">
        <v>21</v>
      </c>
      <c r="B1156" s="12" t="s">
        <v>1256</v>
      </c>
      <c r="C1156" s="12" t="s">
        <v>23</v>
      </c>
      <c r="D1156" s="13">
        <v>46268.575231481482</v>
      </c>
      <c r="E1156" s="12" t="s">
        <v>368</v>
      </c>
      <c r="F1156" s="12" t="s">
        <v>354</v>
      </c>
      <c r="G1156" s="12">
        <v>30</v>
      </c>
      <c r="H1156" s="12">
        <v>30</v>
      </c>
      <c r="I1156" s="14"/>
      <c r="J1156" s="14" t="s">
        <v>26</v>
      </c>
      <c r="K1156" s="12" t="s">
        <v>27</v>
      </c>
      <c r="L1156" s="15"/>
      <c r="M1156" s="12" t="s">
        <v>28</v>
      </c>
      <c r="N1156" s="12"/>
      <c r="O1156" s="12"/>
      <c r="P1156" s="12"/>
      <c r="Q1156" s="16">
        <v>0</v>
      </c>
      <c r="R1156" s="16">
        <v>0</v>
      </c>
      <c r="S1156" s="16"/>
      <c r="T1156" s="16" t="e">
        <v>#N/A</v>
      </c>
      <c r="U1156" s="16" t="e">
        <v>#N/A</v>
      </c>
    </row>
    <row r="1157" spans="1:21" x14ac:dyDescent="0.25">
      <c r="A1157" s="12" t="s">
        <v>21</v>
      </c>
      <c r="B1157" s="12" t="s">
        <v>1256</v>
      </c>
      <c r="C1157" s="12" t="s">
        <v>23</v>
      </c>
      <c r="D1157" s="13">
        <v>46268.575231481482</v>
      </c>
      <c r="E1157" s="12" t="s">
        <v>368</v>
      </c>
      <c r="F1157" s="12" t="s">
        <v>373</v>
      </c>
      <c r="G1157" s="12">
        <v>8</v>
      </c>
      <c r="H1157" s="12">
        <v>8</v>
      </c>
      <c r="I1157" s="14"/>
      <c r="J1157" s="14" t="s">
        <v>26</v>
      </c>
      <c r="K1157" s="12" t="s">
        <v>27</v>
      </c>
      <c r="L1157" s="15"/>
      <c r="M1157" s="12" t="s">
        <v>28</v>
      </c>
      <c r="N1157" s="12"/>
      <c r="O1157" s="12"/>
      <c r="P1157" s="12"/>
      <c r="Q1157" s="16">
        <v>0</v>
      </c>
      <c r="R1157" s="16">
        <v>2</v>
      </c>
      <c r="S1157" s="16"/>
      <c r="T1157" s="16" t="e">
        <v>#N/A</v>
      </c>
      <c r="U1157" s="16" t="e">
        <v>#N/A</v>
      </c>
    </row>
    <row r="1158" spans="1:21" x14ac:dyDescent="0.25">
      <c r="A1158" s="12" t="s">
        <v>21</v>
      </c>
      <c r="B1158" s="12" t="s">
        <v>1256</v>
      </c>
      <c r="C1158" s="12" t="s">
        <v>23</v>
      </c>
      <c r="D1158" s="13">
        <v>46268.575231481482</v>
      </c>
      <c r="E1158" s="12" t="s">
        <v>368</v>
      </c>
      <c r="F1158" s="12" t="s">
        <v>324</v>
      </c>
      <c r="G1158" s="12">
        <v>12</v>
      </c>
      <c r="H1158" s="12">
        <v>12</v>
      </c>
      <c r="I1158" s="14"/>
      <c r="J1158" s="14" t="s">
        <v>26</v>
      </c>
      <c r="K1158" s="12" t="s">
        <v>27</v>
      </c>
      <c r="L1158" s="15"/>
      <c r="M1158" s="12" t="s">
        <v>28</v>
      </c>
      <c r="N1158" s="12"/>
      <c r="O1158" s="12"/>
      <c r="P1158" s="12"/>
      <c r="Q1158" s="16">
        <v>0</v>
      </c>
      <c r="R1158" s="16">
        <v>4</v>
      </c>
      <c r="S1158" s="16"/>
      <c r="T1158" s="16" t="e">
        <v>#N/A</v>
      </c>
      <c r="U1158" s="16" t="e">
        <v>#N/A</v>
      </c>
    </row>
    <row r="1159" spans="1:21" x14ac:dyDescent="0.25">
      <c r="A1159" s="12" t="s">
        <v>21</v>
      </c>
      <c r="B1159" s="12" t="s">
        <v>1256</v>
      </c>
      <c r="C1159" s="12" t="s">
        <v>23</v>
      </c>
      <c r="D1159" s="13">
        <v>46268.575231481482</v>
      </c>
      <c r="E1159" s="12" t="s">
        <v>368</v>
      </c>
      <c r="F1159" s="12" t="s">
        <v>617</v>
      </c>
      <c r="G1159" s="12">
        <v>6</v>
      </c>
      <c r="H1159" s="12">
        <v>6</v>
      </c>
      <c r="I1159" s="14"/>
      <c r="J1159" s="14" t="s">
        <v>26</v>
      </c>
      <c r="K1159" s="12" t="s">
        <v>27</v>
      </c>
      <c r="L1159" s="15"/>
      <c r="M1159" s="12" t="s">
        <v>28</v>
      </c>
      <c r="N1159" s="12"/>
      <c r="O1159" s="12"/>
      <c r="P1159" s="12"/>
      <c r="Q1159" s="16">
        <v>0</v>
      </c>
      <c r="R1159" s="16">
        <v>0</v>
      </c>
      <c r="S1159" s="16"/>
      <c r="T1159" s="16" t="e">
        <v>#N/A</v>
      </c>
      <c r="U1159" s="16" t="e">
        <v>#N/A</v>
      </c>
    </row>
    <row r="1160" spans="1:21" x14ac:dyDescent="0.25">
      <c r="A1160" s="12" t="s">
        <v>21</v>
      </c>
      <c r="B1160" s="12" t="s">
        <v>1256</v>
      </c>
      <c r="C1160" s="12" t="s">
        <v>23</v>
      </c>
      <c r="D1160" s="13">
        <v>46268.575231481482</v>
      </c>
      <c r="E1160" s="12" t="s">
        <v>368</v>
      </c>
      <c r="F1160" s="12" t="s">
        <v>924</v>
      </c>
      <c r="G1160" s="12">
        <v>50</v>
      </c>
      <c r="H1160" s="12">
        <v>50</v>
      </c>
      <c r="I1160" s="14"/>
      <c r="J1160" s="14" t="s">
        <v>26</v>
      </c>
      <c r="K1160" s="12" t="s">
        <v>27</v>
      </c>
      <c r="L1160" s="15"/>
      <c r="M1160" s="12" t="s">
        <v>28</v>
      </c>
      <c r="N1160" s="12"/>
      <c r="O1160" s="12"/>
      <c r="P1160" s="12"/>
      <c r="Q1160" s="16">
        <v>0</v>
      </c>
      <c r="R1160" s="16">
        <v>0</v>
      </c>
      <c r="S1160" s="16">
        <v>20</v>
      </c>
      <c r="T1160" s="16" t="e">
        <v>#N/A</v>
      </c>
      <c r="U1160" s="16" t="e">
        <v>#N/A</v>
      </c>
    </row>
    <row r="1161" spans="1:21" x14ac:dyDescent="0.25">
      <c r="A1161" s="12" t="s">
        <v>21</v>
      </c>
      <c r="B1161" s="12" t="s">
        <v>1256</v>
      </c>
      <c r="C1161" s="12" t="s">
        <v>23</v>
      </c>
      <c r="D1161" s="13">
        <v>46268.575231481482</v>
      </c>
      <c r="E1161" s="12" t="s">
        <v>368</v>
      </c>
      <c r="F1161" s="12" t="s">
        <v>525</v>
      </c>
      <c r="G1161" s="12">
        <v>20</v>
      </c>
      <c r="H1161" s="12">
        <v>20</v>
      </c>
      <c r="I1161" s="14"/>
      <c r="J1161" s="14" t="s">
        <v>26</v>
      </c>
      <c r="K1161" s="12" t="s">
        <v>27</v>
      </c>
      <c r="L1161" s="15"/>
      <c r="M1161" s="12" t="s">
        <v>28</v>
      </c>
      <c r="N1161" s="12"/>
      <c r="O1161" s="12"/>
      <c r="P1161" s="12"/>
      <c r="Q1161" s="16">
        <v>0</v>
      </c>
      <c r="R1161" s="16">
        <v>0</v>
      </c>
      <c r="S1161" s="16"/>
      <c r="T1161" s="16" t="e">
        <v>#N/A</v>
      </c>
      <c r="U1161" s="16" t="e">
        <v>#N/A</v>
      </c>
    </row>
    <row r="1162" spans="1:21" x14ac:dyDescent="0.25">
      <c r="A1162" s="12" t="s">
        <v>21</v>
      </c>
      <c r="B1162" s="12" t="s">
        <v>1257</v>
      </c>
      <c r="C1162" s="12" t="s">
        <v>23</v>
      </c>
      <c r="D1162" s="13">
        <v>46268.57534722222</v>
      </c>
      <c r="E1162" s="12" t="s">
        <v>368</v>
      </c>
      <c r="F1162" s="12" t="s">
        <v>1258</v>
      </c>
      <c r="G1162" s="12">
        <v>18</v>
      </c>
      <c r="H1162" s="12">
        <v>18</v>
      </c>
      <c r="I1162" s="14"/>
      <c r="J1162" s="14" t="s">
        <v>26</v>
      </c>
      <c r="K1162" s="12" t="s">
        <v>27</v>
      </c>
      <c r="L1162" s="15"/>
      <c r="M1162" s="12" t="s">
        <v>28</v>
      </c>
      <c r="N1162" s="12"/>
      <c r="O1162" s="12"/>
      <c r="P1162" s="12"/>
      <c r="Q1162" s="16">
        <v>0</v>
      </c>
      <c r="R1162" s="16">
        <v>2</v>
      </c>
      <c r="S1162" s="16"/>
      <c r="T1162" s="16" t="e">
        <v>#N/A</v>
      </c>
      <c r="U1162" s="16" t="e">
        <v>#N/A</v>
      </c>
    </row>
    <row r="1163" spans="1:21" x14ac:dyDescent="0.25">
      <c r="A1163" s="12" t="s">
        <v>21</v>
      </c>
      <c r="B1163" s="12" t="s">
        <v>1257</v>
      </c>
      <c r="C1163" s="12" t="s">
        <v>23</v>
      </c>
      <c r="D1163" s="13">
        <v>46268.57534722222</v>
      </c>
      <c r="E1163" s="12" t="s">
        <v>368</v>
      </c>
      <c r="F1163" s="12" t="s">
        <v>159</v>
      </c>
      <c r="G1163" s="12">
        <v>26</v>
      </c>
      <c r="H1163" s="12">
        <v>26</v>
      </c>
      <c r="I1163" s="14"/>
      <c r="J1163" s="14" t="s">
        <v>26</v>
      </c>
      <c r="K1163" s="12" t="s">
        <v>27</v>
      </c>
      <c r="L1163" s="15"/>
      <c r="M1163" s="12" t="s">
        <v>28</v>
      </c>
      <c r="N1163" s="12"/>
      <c r="O1163" s="12"/>
      <c r="P1163" s="12"/>
      <c r="Q1163" s="16">
        <v>0</v>
      </c>
      <c r="R1163" s="16">
        <v>0</v>
      </c>
      <c r="S1163" s="16"/>
      <c r="T1163" s="16" t="e">
        <v>#N/A</v>
      </c>
      <c r="U1163" s="16" t="e">
        <v>#N/A</v>
      </c>
    </row>
    <row r="1164" spans="1:21" x14ac:dyDescent="0.25">
      <c r="A1164" s="12" t="s">
        <v>21</v>
      </c>
      <c r="B1164" s="12" t="s">
        <v>1257</v>
      </c>
      <c r="C1164" s="12" t="s">
        <v>23</v>
      </c>
      <c r="D1164" s="13">
        <v>46268.57534722222</v>
      </c>
      <c r="E1164" s="12" t="s">
        <v>368</v>
      </c>
      <c r="F1164" s="12" t="s">
        <v>1259</v>
      </c>
      <c r="G1164" s="12">
        <v>12</v>
      </c>
      <c r="H1164" s="12">
        <v>12</v>
      </c>
      <c r="I1164" s="14"/>
      <c r="J1164" s="14" t="s">
        <v>26</v>
      </c>
      <c r="K1164" s="12" t="s">
        <v>27</v>
      </c>
      <c r="L1164" s="15"/>
      <c r="M1164" s="12" t="s">
        <v>28</v>
      </c>
      <c r="N1164" s="12"/>
      <c r="O1164" s="12"/>
      <c r="P1164" s="12"/>
      <c r="Q1164" s="16">
        <v>0</v>
      </c>
      <c r="R1164" s="16">
        <v>0</v>
      </c>
      <c r="S1164" s="16">
        <v>7</v>
      </c>
      <c r="T1164" s="16" t="e">
        <v>#N/A</v>
      </c>
      <c r="U1164" s="16" t="e">
        <v>#N/A</v>
      </c>
    </row>
    <row r="1165" spans="1:21" x14ac:dyDescent="0.25">
      <c r="A1165" s="12" t="s">
        <v>21</v>
      </c>
      <c r="B1165" s="12" t="s">
        <v>1257</v>
      </c>
      <c r="C1165" s="12" t="s">
        <v>23</v>
      </c>
      <c r="D1165" s="13">
        <v>46268.57534722222</v>
      </c>
      <c r="E1165" s="12" t="s">
        <v>368</v>
      </c>
      <c r="F1165" s="12" t="s">
        <v>454</v>
      </c>
      <c r="G1165" s="12">
        <v>20</v>
      </c>
      <c r="H1165" s="12">
        <v>20</v>
      </c>
      <c r="I1165" s="14"/>
      <c r="J1165" s="14" t="s">
        <v>26</v>
      </c>
      <c r="K1165" s="12" t="s">
        <v>27</v>
      </c>
      <c r="L1165" s="15"/>
      <c r="M1165" s="12" t="s">
        <v>28</v>
      </c>
      <c r="N1165" s="12"/>
      <c r="O1165" s="12"/>
      <c r="P1165" s="12"/>
      <c r="Q1165" s="16">
        <v>0</v>
      </c>
      <c r="R1165" s="16">
        <v>0</v>
      </c>
      <c r="S1165" s="16"/>
      <c r="T1165" s="16" t="e">
        <v>#N/A</v>
      </c>
      <c r="U1165" s="16" t="e">
        <v>#N/A</v>
      </c>
    </row>
    <row r="1166" spans="1:21" x14ac:dyDescent="0.25">
      <c r="A1166" s="12" t="s">
        <v>21</v>
      </c>
      <c r="B1166" s="12" t="s">
        <v>1257</v>
      </c>
      <c r="C1166" s="12" t="s">
        <v>23</v>
      </c>
      <c r="D1166" s="13">
        <v>46268.57534722222</v>
      </c>
      <c r="E1166" s="12" t="s">
        <v>368</v>
      </c>
      <c r="F1166" s="12" t="s">
        <v>259</v>
      </c>
      <c r="G1166" s="12">
        <v>20</v>
      </c>
      <c r="H1166" s="12">
        <v>20</v>
      </c>
      <c r="I1166" s="14"/>
      <c r="J1166" s="14" t="s">
        <v>26</v>
      </c>
      <c r="K1166" s="12" t="s">
        <v>27</v>
      </c>
      <c r="L1166" s="15"/>
      <c r="M1166" s="12" t="s">
        <v>28</v>
      </c>
      <c r="N1166" s="12"/>
      <c r="O1166" s="12"/>
      <c r="P1166" s="12"/>
      <c r="Q1166" s="16">
        <v>0</v>
      </c>
      <c r="R1166" s="16">
        <v>4</v>
      </c>
      <c r="S1166" s="16"/>
      <c r="T1166" s="16" t="e">
        <v>#N/A</v>
      </c>
      <c r="U1166" s="16" t="e">
        <v>#N/A</v>
      </c>
    </row>
    <row r="1167" spans="1:21" x14ac:dyDescent="0.25">
      <c r="A1167" s="12" t="s">
        <v>21</v>
      </c>
      <c r="B1167" s="12" t="s">
        <v>1260</v>
      </c>
      <c r="C1167" s="12" t="s">
        <v>23</v>
      </c>
      <c r="D1167" s="13">
        <v>46268.598344907405</v>
      </c>
      <c r="E1167" s="12" t="s">
        <v>522</v>
      </c>
      <c r="F1167" s="12" t="s">
        <v>549</v>
      </c>
      <c r="G1167" s="12">
        <v>10</v>
      </c>
      <c r="H1167" s="12">
        <v>10</v>
      </c>
      <c r="I1167" s="14"/>
      <c r="J1167" s="14" t="s">
        <v>26</v>
      </c>
      <c r="K1167" s="12" t="s">
        <v>27</v>
      </c>
      <c r="L1167" s="15"/>
      <c r="M1167" s="12" t="s">
        <v>28</v>
      </c>
      <c r="N1167" s="12"/>
      <c r="O1167" s="12"/>
      <c r="P1167" s="12"/>
      <c r="Q1167" s="16">
        <v>0</v>
      </c>
      <c r="R1167" s="16">
        <v>1</v>
      </c>
      <c r="S1167" s="16"/>
      <c r="T1167" s="16" t="e">
        <v>#N/A</v>
      </c>
      <c r="U1167" s="16" t="e">
        <v>#N/A</v>
      </c>
    </row>
    <row r="1168" spans="1:21" x14ac:dyDescent="0.25">
      <c r="A1168" s="12" t="s">
        <v>21</v>
      </c>
      <c r="B1168" s="12" t="s">
        <v>1260</v>
      </c>
      <c r="C1168" s="12" t="s">
        <v>23</v>
      </c>
      <c r="D1168" s="13">
        <v>46268.598344907405</v>
      </c>
      <c r="E1168" s="12" t="s">
        <v>522</v>
      </c>
      <c r="F1168" s="12" t="s">
        <v>550</v>
      </c>
      <c r="G1168" s="12">
        <v>8</v>
      </c>
      <c r="H1168" s="12">
        <v>8</v>
      </c>
      <c r="I1168" s="14"/>
      <c r="J1168" s="14" t="s">
        <v>26</v>
      </c>
      <c r="K1168" s="12" t="s">
        <v>27</v>
      </c>
      <c r="L1168" s="15"/>
      <c r="M1168" s="12" t="s">
        <v>28</v>
      </c>
      <c r="N1168" s="12"/>
      <c r="O1168" s="12"/>
      <c r="P1168" s="12"/>
      <c r="Q1168" s="16">
        <v>0</v>
      </c>
      <c r="R1168" s="16">
        <v>0</v>
      </c>
      <c r="S1168" s="16"/>
      <c r="T1168" s="16" t="e">
        <v>#N/A</v>
      </c>
      <c r="U1168" s="16" t="e">
        <v>#N/A</v>
      </c>
    </row>
    <row r="1169" spans="1:21" x14ac:dyDescent="0.25">
      <c r="A1169" s="12" t="s">
        <v>21</v>
      </c>
      <c r="B1169" s="12" t="s">
        <v>1260</v>
      </c>
      <c r="C1169" s="12" t="s">
        <v>23</v>
      </c>
      <c r="D1169" s="13">
        <v>46268.598344907405</v>
      </c>
      <c r="E1169" s="12" t="s">
        <v>522</v>
      </c>
      <c r="F1169" s="12" t="s">
        <v>551</v>
      </c>
      <c r="G1169" s="12">
        <v>4</v>
      </c>
      <c r="H1169" s="12">
        <v>4</v>
      </c>
      <c r="I1169" s="14"/>
      <c r="J1169" s="14" t="s">
        <v>26</v>
      </c>
      <c r="K1169" s="12" t="s">
        <v>27</v>
      </c>
      <c r="L1169" s="15"/>
      <c r="M1169" s="12" t="s">
        <v>28</v>
      </c>
      <c r="N1169" s="12"/>
      <c r="O1169" s="12"/>
      <c r="P1169" s="12"/>
      <c r="Q1169" s="16">
        <v>0</v>
      </c>
      <c r="R1169" s="16">
        <v>0</v>
      </c>
      <c r="S1169" s="16"/>
      <c r="T1169" s="16" t="e">
        <v>#N/A</v>
      </c>
      <c r="U1169" s="16" t="e">
        <v>#N/A</v>
      </c>
    </row>
    <row r="1170" spans="1:21" x14ac:dyDescent="0.25">
      <c r="A1170" s="12" t="s">
        <v>21</v>
      </c>
      <c r="B1170" s="12" t="s">
        <v>1260</v>
      </c>
      <c r="C1170" s="12" t="s">
        <v>23</v>
      </c>
      <c r="D1170" s="13">
        <v>46268.598344907405</v>
      </c>
      <c r="E1170" s="12" t="s">
        <v>522</v>
      </c>
      <c r="F1170" s="12" t="s">
        <v>552</v>
      </c>
      <c r="G1170" s="12">
        <v>50</v>
      </c>
      <c r="H1170" s="12">
        <v>50</v>
      </c>
      <c r="I1170" s="14"/>
      <c r="J1170" s="14" t="s">
        <v>26</v>
      </c>
      <c r="K1170" s="12" t="s">
        <v>27</v>
      </c>
      <c r="L1170" s="15"/>
      <c r="M1170" s="12" t="s">
        <v>28</v>
      </c>
      <c r="N1170" s="12"/>
      <c r="O1170" s="12"/>
      <c r="P1170" s="12"/>
      <c r="Q1170" s="16">
        <v>0</v>
      </c>
      <c r="R1170" s="16">
        <v>0</v>
      </c>
      <c r="S1170" s="16"/>
      <c r="T1170" s="16" t="e">
        <v>#N/A</v>
      </c>
      <c r="U1170" s="16" t="e">
        <v>#N/A</v>
      </c>
    </row>
    <row r="1171" spans="1:21" x14ac:dyDescent="0.25">
      <c r="A1171" s="12" t="s">
        <v>21</v>
      </c>
      <c r="B1171" s="12" t="s">
        <v>1260</v>
      </c>
      <c r="C1171" s="12" t="s">
        <v>23</v>
      </c>
      <c r="D1171" s="13">
        <v>46268.598344907405</v>
      </c>
      <c r="E1171" s="12" t="s">
        <v>522</v>
      </c>
      <c r="F1171" s="12" t="s">
        <v>472</v>
      </c>
      <c r="G1171" s="12">
        <v>60</v>
      </c>
      <c r="H1171" s="12">
        <v>60</v>
      </c>
      <c r="I1171" s="14"/>
      <c r="J1171" s="14" t="s">
        <v>61</v>
      </c>
      <c r="K1171" s="12" t="s">
        <v>1268</v>
      </c>
      <c r="L1171" s="15">
        <v>1</v>
      </c>
      <c r="M1171" s="12" t="s">
        <v>150</v>
      </c>
      <c r="N1171" s="12">
        <v>60</v>
      </c>
      <c r="O1171" s="12">
        <v>60</v>
      </c>
      <c r="P1171" s="12">
        <v>0</v>
      </c>
      <c r="Q1171" s="16">
        <v>60</v>
      </c>
      <c r="R1171" s="16">
        <v>0</v>
      </c>
      <c r="S1171" s="16"/>
      <c r="T1171" s="16" t="e">
        <v>#N/A</v>
      </c>
      <c r="U1171" s="16" t="e">
        <v>#N/A</v>
      </c>
    </row>
    <row r="1172" spans="1:21" x14ac:dyDescent="0.25">
      <c r="A1172" s="12" t="s">
        <v>21</v>
      </c>
      <c r="B1172" s="12" t="s">
        <v>1260</v>
      </c>
      <c r="C1172" s="12" t="s">
        <v>23</v>
      </c>
      <c r="D1172" s="13">
        <v>46268.598344907405</v>
      </c>
      <c r="E1172" s="12" t="s">
        <v>522</v>
      </c>
      <c r="F1172" s="12" t="s">
        <v>1202</v>
      </c>
      <c r="G1172" s="12">
        <v>4</v>
      </c>
      <c r="H1172" s="12">
        <v>4</v>
      </c>
      <c r="I1172" s="14"/>
      <c r="J1172" s="14" t="s">
        <v>61</v>
      </c>
      <c r="K1172" s="12" t="s">
        <v>1269</v>
      </c>
      <c r="L1172" s="15">
        <v>1</v>
      </c>
      <c r="M1172" s="12" t="s">
        <v>150</v>
      </c>
      <c r="N1172" s="12">
        <v>4</v>
      </c>
      <c r="O1172" s="12">
        <v>4</v>
      </c>
      <c r="P1172" s="12">
        <v>0</v>
      </c>
      <c r="Q1172" s="16">
        <v>4</v>
      </c>
      <c r="R1172" s="16">
        <v>0</v>
      </c>
      <c r="S1172" s="16"/>
      <c r="T1172" s="16" t="e">
        <v>#N/A</v>
      </c>
      <c r="U1172" s="16" t="e">
        <v>#N/A</v>
      </c>
    </row>
    <row r="1173" spans="1:21" x14ac:dyDescent="0.25">
      <c r="A1173" s="12" t="s">
        <v>21</v>
      </c>
      <c r="B1173" s="12" t="s">
        <v>1260</v>
      </c>
      <c r="C1173" s="12" t="s">
        <v>23</v>
      </c>
      <c r="D1173" s="13">
        <v>46268.598344907405</v>
      </c>
      <c r="E1173" s="12" t="s">
        <v>522</v>
      </c>
      <c r="F1173" s="12" t="s">
        <v>557</v>
      </c>
      <c r="G1173" s="12">
        <v>50</v>
      </c>
      <c r="H1173" s="12">
        <v>50</v>
      </c>
      <c r="I1173" s="14"/>
      <c r="J1173" s="14" t="s">
        <v>61</v>
      </c>
      <c r="K1173" s="12" t="s">
        <v>1270</v>
      </c>
      <c r="L1173" s="15">
        <v>1</v>
      </c>
      <c r="M1173" s="12" t="s">
        <v>150</v>
      </c>
      <c r="N1173" s="12">
        <v>50</v>
      </c>
      <c r="O1173" s="12">
        <v>50</v>
      </c>
      <c r="P1173" s="12">
        <v>0</v>
      </c>
      <c r="Q1173" s="16">
        <v>50</v>
      </c>
      <c r="R1173" s="16">
        <v>0</v>
      </c>
      <c r="S1173" s="16"/>
      <c r="T1173" s="16" t="e">
        <v>#N/A</v>
      </c>
      <c r="U1173" s="16" t="e">
        <v>#N/A</v>
      </c>
    </row>
    <row r="1174" spans="1:21" x14ac:dyDescent="0.25">
      <c r="A1174" s="12" t="s">
        <v>21</v>
      </c>
      <c r="B1174" s="12" t="s">
        <v>1260</v>
      </c>
      <c r="C1174" s="12" t="s">
        <v>23</v>
      </c>
      <c r="D1174" s="13">
        <v>46268.598344907405</v>
      </c>
      <c r="E1174" s="12" t="s">
        <v>522</v>
      </c>
      <c r="F1174" s="12" t="s">
        <v>559</v>
      </c>
      <c r="G1174" s="12">
        <v>50</v>
      </c>
      <c r="H1174" s="12">
        <v>50</v>
      </c>
      <c r="I1174" s="14"/>
      <c r="J1174" s="14" t="s">
        <v>61</v>
      </c>
      <c r="K1174" s="12" t="s">
        <v>1271</v>
      </c>
      <c r="L1174" s="15">
        <v>1</v>
      </c>
      <c r="M1174" s="12" t="s">
        <v>150</v>
      </c>
      <c r="N1174" s="12">
        <v>50</v>
      </c>
      <c r="O1174" s="12">
        <v>50</v>
      </c>
      <c r="P1174" s="12">
        <v>0</v>
      </c>
      <c r="Q1174" s="16">
        <v>50</v>
      </c>
      <c r="R1174" s="16">
        <v>0</v>
      </c>
      <c r="S1174" s="16"/>
      <c r="T1174" s="16" t="e">
        <v>#N/A</v>
      </c>
      <c r="U1174" s="16" t="e">
        <v>#N/A</v>
      </c>
    </row>
    <row r="1175" spans="1:21" x14ac:dyDescent="0.25">
      <c r="A1175" s="12" t="s">
        <v>21</v>
      </c>
      <c r="B1175" s="12" t="s">
        <v>1261</v>
      </c>
      <c r="C1175" s="12" t="s">
        <v>23</v>
      </c>
      <c r="D1175" s="13">
        <v>46268.598449074074</v>
      </c>
      <c r="E1175" s="12" t="s">
        <v>522</v>
      </c>
      <c r="F1175" s="12" t="s">
        <v>326</v>
      </c>
      <c r="G1175" s="12">
        <v>50</v>
      </c>
      <c r="H1175" s="12">
        <v>50</v>
      </c>
      <c r="I1175" s="14"/>
      <c r="J1175" s="14" t="s">
        <v>61</v>
      </c>
      <c r="K1175" s="12" t="s">
        <v>1272</v>
      </c>
      <c r="L1175" s="15">
        <v>1</v>
      </c>
      <c r="M1175" s="12" t="s">
        <v>150</v>
      </c>
      <c r="N1175" s="12">
        <v>50</v>
      </c>
      <c r="O1175" s="12">
        <v>50</v>
      </c>
      <c r="P1175" s="12">
        <v>0</v>
      </c>
      <c r="Q1175" s="16">
        <v>50</v>
      </c>
      <c r="R1175" s="16">
        <v>0</v>
      </c>
      <c r="S1175" s="16"/>
      <c r="T1175" s="16" t="e">
        <v>#N/A</v>
      </c>
      <c r="U1175" s="16" t="e">
        <v>#N/A</v>
      </c>
    </row>
    <row r="1176" spans="1:21" x14ac:dyDescent="0.25">
      <c r="A1176" s="12" t="s">
        <v>21</v>
      </c>
      <c r="B1176" s="12" t="s">
        <v>1261</v>
      </c>
      <c r="C1176" s="12" t="s">
        <v>23</v>
      </c>
      <c r="D1176" s="13">
        <v>46268.598449074074</v>
      </c>
      <c r="E1176" s="12" t="s">
        <v>522</v>
      </c>
      <c r="F1176" s="12" t="s">
        <v>1267</v>
      </c>
      <c r="G1176" s="12">
        <v>20</v>
      </c>
      <c r="H1176" s="12">
        <v>20</v>
      </c>
      <c r="I1176" s="14"/>
      <c r="J1176" s="14" t="s">
        <v>26</v>
      </c>
      <c r="K1176" s="12" t="s">
        <v>27</v>
      </c>
      <c r="L1176" s="15"/>
      <c r="M1176" s="12" t="s">
        <v>28</v>
      </c>
      <c r="N1176" s="12"/>
      <c r="O1176" s="12"/>
      <c r="P1176" s="12"/>
      <c r="Q1176" s="16">
        <v>0</v>
      </c>
      <c r="R1176" s="16">
        <v>0</v>
      </c>
      <c r="S1176" s="16"/>
      <c r="T1176" s="16" t="e">
        <v>#N/A</v>
      </c>
      <c r="U1176" s="16" t="e">
        <v>#N/A</v>
      </c>
    </row>
    <row r="1177" spans="1:21" x14ac:dyDescent="0.25">
      <c r="A1177" s="12" t="s">
        <v>21</v>
      </c>
      <c r="B1177" s="12" t="s">
        <v>1261</v>
      </c>
      <c r="C1177" s="12" t="s">
        <v>23</v>
      </c>
      <c r="D1177" s="13">
        <v>46268.598449074074</v>
      </c>
      <c r="E1177" s="12" t="s">
        <v>522</v>
      </c>
      <c r="F1177" s="12" t="s">
        <v>767</v>
      </c>
      <c r="G1177" s="12">
        <v>20</v>
      </c>
      <c r="H1177" s="12">
        <v>20</v>
      </c>
      <c r="I1177" s="14"/>
      <c r="J1177" s="14" t="s">
        <v>61</v>
      </c>
      <c r="K1177" s="12" t="s">
        <v>1273</v>
      </c>
      <c r="L1177" s="15">
        <v>1</v>
      </c>
      <c r="M1177" s="12" t="s">
        <v>150</v>
      </c>
      <c r="N1177" s="12">
        <v>20</v>
      </c>
      <c r="O1177" s="12">
        <v>20</v>
      </c>
      <c r="P1177" s="12">
        <v>0</v>
      </c>
      <c r="Q1177" s="16">
        <v>20</v>
      </c>
      <c r="R1177" s="16">
        <v>0</v>
      </c>
      <c r="S1177" s="16"/>
      <c r="T1177" s="16" t="e">
        <v>#N/A</v>
      </c>
      <c r="U1177" s="16" t="e">
        <v>#N/A</v>
      </c>
    </row>
    <row r="1178" spans="1:21" x14ac:dyDescent="0.25">
      <c r="A1178" s="12" t="s">
        <v>21</v>
      </c>
      <c r="B1178" s="12" t="s">
        <v>1261</v>
      </c>
      <c r="C1178" s="12" t="s">
        <v>23</v>
      </c>
      <c r="D1178" s="13">
        <v>46268.598449074074</v>
      </c>
      <c r="E1178" s="12" t="s">
        <v>522</v>
      </c>
      <c r="F1178" s="12" t="s">
        <v>1024</v>
      </c>
      <c r="G1178" s="12">
        <v>30</v>
      </c>
      <c r="H1178" s="12">
        <v>30</v>
      </c>
      <c r="I1178" s="14"/>
      <c r="J1178" s="14" t="s">
        <v>26</v>
      </c>
      <c r="K1178" s="12" t="s">
        <v>27</v>
      </c>
      <c r="L1178" s="15"/>
      <c r="M1178" s="12" t="s">
        <v>28</v>
      </c>
      <c r="N1178" s="12"/>
      <c r="O1178" s="12"/>
      <c r="P1178" s="12"/>
      <c r="Q1178" s="16">
        <v>0</v>
      </c>
      <c r="R1178" s="16">
        <v>0</v>
      </c>
      <c r="S1178" s="16"/>
      <c r="T1178" s="16" t="e">
        <v>#N/A</v>
      </c>
      <c r="U1178" s="16" t="e">
        <v>#N/A</v>
      </c>
    </row>
    <row r="1179" spans="1:21" x14ac:dyDescent="0.25">
      <c r="A1179" s="12" t="s">
        <v>21</v>
      </c>
      <c r="B1179" s="12" t="s">
        <v>1262</v>
      </c>
      <c r="C1179" s="12" t="s">
        <v>23</v>
      </c>
      <c r="D1179" s="13">
        <v>46268.598541666666</v>
      </c>
      <c r="E1179" s="12" t="s">
        <v>522</v>
      </c>
      <c r="F1179" s="12" t="s">
        <v>283</v>
      </c>
      <c r="G1179" s="12">
        <v>50</v>
      </c>
      <c r="H1179" s="12">
        <v>50</v>
      </c>
      <c r="I1179" s="14"/>
      <c r="J1179" s="14" t="s">
        <v>26</v>
      </c>
      <c r="K1179" s="12" t="s">
        <v>27</v>
      </c>
      <c r="L1179" s="15"/>
      <c r="M1179" s="12" t="s">
        <v>28</v>
      </c>
      <c r="N1179" s="12"/>
      <c r="O1179" s="12"/>
      <c r="P1179" s="12"/>
      <c r="Q1179" s="16">
        <v>0</v>
      </c>
      <c r="R1179" s="16">
        <v>0</v>
      </c>
      <c r="S1179" s="16"/>
      <c r="T1179" s="16" t="e">
        <v>#N/A</v>
      </c>
      <c r="U1179" s="16" t="e">
        <v>#N/A</v>
      </c>
    </row>
    <row r="1180" spans="1:21" x14ac:dyDescent="0.25">
      <c r="A1180" s="12" t="s">
        <v>21</v>
      </c>
      <c r="B1180" s="12" t="s">
        <v>1262</v>
      </c>
      <c r="C1180" s="12" t="s">
        <v>23</v>
      </c>
      <c r="D1180" s="13">
        <v>46268.598541666666</v>
      </c>
      <c r="E1180" s="12" t="s">
        <v>522</v>
      </c>
      <c r="F1180" s="12" t="s">
        <v>268</v>
      </c>
      <c r="G1180" s="12">
        <v>20</v>
      </c>
      <c r="H1180" s="12">
        <v>20</v>
      </c>
      <c r="I1180" s="14"/>
      <c r="J1180" s="14" t="s">
        <v>26</v>
      </c>
      <c r="K1180" s="12" t="s">
        <v>27</v>
      </c>
      <c r="L1180" s="15"/>
      <c r="M1180" s="12" t="s">
        <v>28</v>
      </c>
      <c r="N1180" s="12"/>
      <c r="O1180" s="12"/>
      <c r="P1180" s="12"/>
      <c r="Q1180" s="16">
        <v>0</v>
      </c>
      <c r="R1180" s="16">
        <v>0</v>
      </c>
      <c r="S1180" s="16"/>
      <c r="T1180" s="16" t="e">
        <v>#N/A</v>
      </c>
      <c r="U1180" s="16" t="e">
        <v>#N/A</v>
      </c>
    </row>
    <row r="1181" spans="1:21" x14ac:dyDescent="0.25">
      <c r="A1181" s="12" t="s">
        <v>21</v>
      </c>
      <c r="B1181" s="12" t="s">
        <v>1262</v>
      </c>
      <c r="C1181" s="12" t="s">
        <v>23</v>
      </c>
      <c r="D1181" s="13">
        <v>46268.598541666666</v>
      </c>
      <c r="E1181" s="12" t="s">
        <v>522</v>
      </c>
      <c r="F1181" s="12" t="s">
        <v>401</v>
      </c>
      <c r="G1181" s="12">
        <v>20</v>
      </c>
      <c r="H1181" s="12">
        <v>20</v>
      </c>
      <c r="I1181" s="14"/>
      <c r="J1181" s="14" t="s">
        <v>61</v>
      </c>
      <c r="K1181" s="12" t="s">
        <v>1274</v>
      </c>
      <c r="L1181" s="15">
        <v>1</v>
      </c>
      <c r="M1181" s="12" t="s">
        <v>150</v>
      </c>
      <c r="N1181" s="12">
        <v>20</v>
      </c>
      <c r="O1181" s="12">
        <v>20</v>
      </c>
      <c r="P1181" s="12">
        <v>0</v>
      </c>
      <c r="Q1181" s="16">
        <v>20</v>
      </c>
      <c r="R1181" s="16">
        <v>0</v>
      </c>
      <c r="S1181" s="16"/>
      <c r="T1181" s="16" t="e">
        <v>#N/A</v>
      </c>
      <c r="U1181" s="16" t="e">
        <v>#N/A</v>
      </c>
    </row>
    <row r="1182" spans="1:21" x14ac:dyDescent="0.25">
      <c r="A1182" s="12" t="s">
        <v>21</v>
      </c>
      <c r="B1182" s="12" t="s">
        <v>1262</v>
      </c>
      <c r="C1182" s="12" t="s">
        <v>23</v>
      </c>
      <c r="D1182" s="13">
        <v>46268.598541666666</v>
      </c>
      <c r="E1182" s="12" t="s">
        <v>522</v>
      </c>
      <c r="F1182" s="12" t="s">
        <v>201</v>
      </c>
      <c r="G1182" s="12">
        <v>40</v>
      </c>
      <c r="H1182" s="12">
        <v>40</v>
      </c>
      <c r="I1182" s="14"/>
      <c r="J1182" s="14" t="s">
        <v>61</v>
      </c>
      <c r="K1182" s="12" t="s">
        <v>1275</v>
      </c>
      <c r="L1182" s="15">
        <v>1</v>
      </c>
      <c r="M1182" s="12" t="s">
        <v>150</v>
      </c>
      <c r="N1182" s="12">
        <v>40</v>
      </c>
      <c r="O1182" s="12">
        <v>40</v>
      </c>
      <c r="P1182" s="12">
        <v>0</v>
      </c>
      <c r="Q1182" s="16">
        <v>40</v>
      </c>
      <c r="R1182" s="16">
        <v>0</v>
      </c>
      <c r="S1182" s="16"/>
      <c r="T1182" s="16" t="e">
        <v>#N/A</v>
      </c>
      <c r="U1182" s="16" t="e">
        <v>#N/A</v>
      </c>
    </row>
    <row r="1183" spans="1:21" x14ac:dyDescent="0.25">
      <c r="A1183" s="12" t="s">
        <v>21</v>
      </c>
      <c r="B1183" s="12" t="s">
        <v>1262</v>
      </c>
      <c r="C1183" s="12" t="s">
        <v>23</v>
      </c>
      <c r="D1183" s="13">
        <v>46268.598541666666</v>
      </c>
      <c r="E1183" s="12" t="s">
        <v>522</v>
      </c>
      <c r="F1183" s="12" t="s">
        <v>443</v>
      </c>
      <c r="G1183" s="12">
        <v>40</v>
      </c>
      <c r="H1183" s="12">
        <v>40</v>
      </c>
      <c r="I1183" s="14"/>
      <c r="J1183" s="14" t="s">
        <v>61</v>
      </c>
      <c r="K1183" s="12" t="s">
        <v>1276</v>
      </c>
      <c r="L1183" s="15">
        <v>1</v>
      </c>
      <c r="M1183" s="12" t="s">
        <v>150</v>
      </c>
      <c r="N1183" s="12">
        <v>40</v>
      </c>
      <c r="O1183" s="12">
        <v>40</v>
      </c>
      <c r="P1183" s="12">
        <v>0</v>
      </c>
      <c r="Q1183" s="16">
        <v>40</v>
      </c>
      <c r="R1183" s="16">
        <v>0</v>
      </c>
      <c r="S1183" s="16"/>
      <c r="T1183" s="16" t="e">
        <v>#N/A</v>
      </c>
      <c r="U1183" s="16" t="e">
        <v>#N/A</v>
      </c>
    </row>
    <row r="1184" spans="1:21" x14ac:dyDescent="0.25">
      <c r="A1184" s="12" t="s">
        <v>21</v>
      </c>
      <c r="B1184" s="12" t="s">
        <v>1263</v>
      </c>
      <c r="C1184" s="12" t="s">
        <v>23</v>
      </c>
      <c r="D1184" s="13">
        <v>46268.598738425928</v>
      </c>
      <c r="E1184" s="12" t="s">
        <v>522</v>
      </c>
      <c r="F1184" s="12" t="s">
        <v>67</v>
      </c>
      <c r="G1184" s="12">
        <v>30</v>
      </c>
      <c r="H1184" s="12">
        <v>30</v>
      </c>
      <c r="I1184" s="14"/>
      <c r="J1184" s="14" t="s">
        <v>61</v>
      </c>
      <c r="K1184" s="12" t="s">
        <v>1277</v>
      </c>
      <c r="L1184" s="15">
        <v>1</v>
      </c>
      <c r="M1184" s="12" t="s">
        <v>150</v>
      </c>
      <c r="N1184" s="12">
        <v>30</v>
      </c>
      <c r="O1184" s="12">
        <v>30</v>
      </c>
      <c r="P1184" s="12">
        <v>0</v>
      </c>
      <c r="Q1184" s="16">
        <v>30</v>
      </c>
      <c r="R1184" s="16">
        <v>0</v>
      </c>
      <c r="S1184" s="16"/>
      <c r="T1184" s="16" t="e">
        <v>#N/A</v>
      </c>
      <c r="U1184" s="16" t="e">
        <v>#N/A</v>
      </c>
    </row>
    <row r="1185" spans="1:21" x14ac:dyDescent="0.25">
      <c r="A1185" s="12" t="s">
        <v>21</v>
      </c>
      <c r="B1185" s="12" t="s">
        <v>1263</v>
      </c>
      <c r="C1185" s="12" t="s">
        <v>23</v>
      </c>
      <c r="D1185" s="13">
        <v>46268.598738425928</v>
      </c>
      <c r="E1185" s="12" t="s">
        <v>522</v>
      </c>
      <c r="F1185" s="12" t="s">
        <v>735</v>
      </c>
      <c r="G1185" s="12">
        <v>12</v>
      </c>
      <c r="H1185" s="12">
        <v>12</v>
      </c>
      <c r="I1185" s="14"/>
      <c r="J1185" s="14" t="s">
        <v>61</v>
      </c>
      <c r="K1185" s="12" t="s">
        <v>1278</v>
      </c>
      <c r="L1185" s="15">
        <v>1</v>
      </c>
      <c r="M1185" s="12" t="s">
        <v>150</v>
      </c>
      <c r="N1185" s="12">
        <v>12</v>
      </c>
      <c r="O1185" s="12">
        <v>12</v>
      </c>
      <c r="P1185" s="12">
        <v>0</v>
      </c>
      <c r="Q1185" s="16">
        <v>12</v>
      </c>
      <c r="R1185" s="16">
        <v>0</v>
      </c>
      <c r="S1185" s="16"/>
      <c r="T1185" s="16" t="e">
        <v>#N/A</v>
      </c>
      <c r="U1185" s="16" t="e">
        <v>#N/A</v>
      </c>
    </row>
    <row r="1186" spans="1:21" x14ac:dyDescent="0.25">
      <c r="A1186" s="12" t="s">
        <v>21</v>
      </c>
      <c r="B1186" s="12" t="s">
        <v>1263</v>
      </c>
      <c r="C1186" s="12" t="s">
        <v>23</v>
      </c>
      <c r="D1186" s="13">
        <v>46268.598738425928</v>
      </c>
      <c r="E1186" s="12" t="s">
        <v>522</v>
      </c>
      <c r="F1186" s="12" t="s">
        <v>253</v>
      </c>
      <c r="G1186" s="12">
        <v>30</v>
      </c>
      <c r="H1186" s="12">
        <v>30</v>
      </c>
      <c r="I1186" s="14"/>
      <c r="J1186" s="14" t="s">
        <v>61</v>
      </c>
      <c r="K1186" s="12" t="s">
        <v>1279</v>
      </c>
      <c r="L1186" s="15">
        <v>1</v>
      </c>
      <c r="M1186" s="12" t="s">
        <v>150</v>
      </c>
      <c r="N1186" s="12">
        <v>30</v>
      </c>
      <c r="O1186" s="12">
        <v>30</v>
      </c>
      <c r="P1186" s="12">
        <v>0</v>
      </c>
      <c r="Q1186" s="16">
        <v>30</v>
      </c>
      <c r="R1186" s="16">
        <v>0</v>
      </c>
      <c r="S1186" s="16"/>
      <c r="T1186" s="16" t="e">
        <v>#N/A</v>
      </c>
      <c r="U1186" s="16" t="e">
        <v>#N/A</v>
      </c>
    </row>
    <row r="1187" spans="1:21" x14ac:dyDescent="0.25">
      <c r="A1187" s="12" t="s">
        <v>21</v>
      </c>
      <c r="B1187" s="12" t="s">
        <v>1263</v>
      </c>
      <c r="C1187" s="12" t="s">
        <v>23</v>
      </c>
      <c r="D1187" s="13">
        <v>46268.598738425928</v>
      </c>
      <c r="E1187" s="12" t="s">
        <v>522</v>
      </c>
      <c r="F1187" s="12" t="s">
        <v>703</v>
      </c>
      <c r="G1187" s="12">
        <v>30</v>
      </c>
      <c r="H1187" s="12">
        <v>30</v>
      </c>
      <c r="I1187" s="14"/>
      <c r="J1187" s="14" t="s">
        <v>61</v>
      </c>
      <c r="K1187" s="12" t="s">
        <v>1280</v>
      </c>
      <c r="L1187" s="15">
        <v>1</v>
      </c>
      <c r="M1187" s="12" t="s">
        <v>150</v>
      </c>
      <c r="N1187" s="12">
        <v>30</v>
      </c>
      <c r="O1187" s="12">
        <v>30</v>
      </c>
      <c r="P1187" s="12">
        <v>0</v>
      </c>
      <c r="Q1187" s="16">
        <v>30</v>
      </c>
      <c r="R1187" s="16">
        <v>0</v>
      </c>
      <c r="S1187" s="16"/>
      <c r="T1187" s="16" t="e">
        <v>#N/A</v>
      </c>
      <c r="U1187" s="16" t="e">
        <v>#N/A</v>
      </c>
    </row>
    <row r="1188" spans="1:21" x14ac:dyDescent="0.25">
      <c r="A1188" s="12" t="s">
        <v>21</v>
      </c>
      <c r="B1188" s="12" t="s">
        <v>1264</v>
      </c>
      <c r="C1188" s="12" t="s">
        <v>23</v>
      </c>
      <c r="D1188" s="13">
        <v>46268.598958333336</v>
      </c>
      <c r="E1188" s="12" t="s">
        <v>522</v>
      </c>
      <c r="F1188" s="12" t="s">
        <v>245</v>
      </c>
      <c r="G1188" s="12">
        <v>100</v>
      </c>
      <c r="H1188" s="12">
        <v>100</v>
      </c>
      <c r="I1188" s="14"/>
      <c r="J1188" s="14" t="s">
        <v>61</v>
      </c>
      <c r="K1188" s="12" t="s">
        <v>1281</v>
      </c>
      <c r="L1188" s="15">
        <v>1</v>
      </c>
      <c r="M1188" s="12" t="s">
        <v>150</v>
      </c>
      <c r="N1188" s="12">
        <v>100</v>
      </c>
      <c r="O1188" s="12">
        <v>100</v>
      </c>
      <c r="P1188" s="12">
        <v>0</v>
      </c>
      <c r="Q1188" s="16">
        <v>100</v>
      </c>
      <c r="R1188" s="16">
        <v>0</v>
      </c>
      <c r="S1188" s="16"/>
      <c r="T1188" s="16" t="e">
        <v>#N/A</v>
      </c>
      <c r="U1188" s="16" t="e">
        <v>#N/A</v>
      </c>
    </row>
    <row r="1189" spans="1:21" x14ac:dyDescent="0.25">
      <c r="A1189" s="12" t="s">
        <v>21</v>
      </c>
      <c r="B1189" s="12" t="s">
        <v>1264</v>
      </c>
      <c r="C1189" s="12" t="s">
        <v>23</v>
      </c>
      <c r="D1189" s="13">
        <v>46268.598958333336</v>
      </c>
      <c r="E1189" s="12" t="s">
        <v>522</v>
      </c>
      <c r="F1189" s="12" t="s">
        <v>699</v>
      </c>
      <c r="G1189" s="12">
        <v>4</v>
      </c>
      <c r="H1189" s="12">
        <v>4</v>
      </c>
      <c r="I1189" s="14"/>
      <c r="J1189" s="14" t="s">
        <v>61</v>
      </c>
      <c r="K1189" s="12" t="s">
        <v>1282</v>
      </c>
      <c r="L1189" s="15">
        <v>1</v>
      </c>
      <c r="M1189" s="12" t="s">
        <v>150</v>
      </c>
      <c r="N1189" s="12">
        <v>4</v>
      </c>
      <c r="O1189" s="12">
        <v>4</v>
      </c>
      <c r="P1189" s="12">
        <v>0</v>
      </c>
      <c r="Q1189" s="16">
        <v>4</v>
      </c>
      <c r="R1189" s="16">
        <v>0</v>
      </c>
      <c r="S1189" s="16"/>
      <c r="T1189" s="16" t="e">
        <v>#N/A</v>
      </c>
      <c r="U1189" s="16" t="e">
        <v>#N/A</v>
      </c>
    </row>
    <row r="1190" spans="1:21" x14ac:dyDescent="0.25">
      <c r="A1190" s="12" t="s">
        <v>21</v>
      </c>
      <c r="B1190" s="12" t="s">
        <v>1264</v>
      </c>
      <c r="C1190" s="12" t="s">
        <v>23</v>
      </c>
      <c r="D1190" s="13">
        <v>46268.598958333336</v>
      </c>
      <c r="E1190" s="12" t="s">
        <v>522</v>
      </c>
      <c r="F1190" s="12" t="s">
        <v>362</v>
      </c>
      <c r="G1190" s="12">
        <v>4</v>
      </c>
      <c r="H1190" s="12">
        <v>4</v>
      </c>
      <c r="I1190" s="14"/>
      <c r="J1190" s="14" t="s">
        <v>26</v>
      </c>
      <c r="K1190" s="12" t="s">
        <v>27</v>
      </c>
      <c r="L1190" s="15"/>
      <c r="M1190" s="12" t="s">
        <v>28</v>
      </c>
      <c r="N1190" s="12"/>
      <c r="O1190" s="12"/>
      <c r="P1190" s="12"/>
      <c r="Q1190" s="16">
        <v>0</v>
      </c>
      <c r="R1190" s="16">
        <v>0</v>
      </c>
      <c r="S1190" s="16"/>
      <c r="T1190" s="16" t="e">
        <v>#N/A</v>
      </c>
      <c r="U1190" s="16" t="e">
        <v>#N/A</v>
      </c>
    </row>
    <row r="1191" spans="1:21" x14ac:dyDescent="0.25">
      <c r="A1191" s="12" t="s">
        <v>21</v>
      </c>
      <c r="B1191" s="12" t="s">
        <v>1264</v>
      </c>
      <c r="C1191" s="12" t="s">
        <v>23</v>
      </c>
      <c r="D1191" s="13">
        <v>46268.598958333336</v>
      </c>
      <c r="E1191" s="12" t="s">
        <v>522</v>
      </c>
      <c r="F1191" s="12" t="s">
        <v>553</v>
      </c>
      <c r="G1191" s="12">
        <v>30</v>
      </c>
      <c r="H1191" s="12">
        <v>30</v>
      </c>
      <c r="I1191" s="14"/>
      <c r="J1191" s="14" t="s">
        <v>61</v>
      </c>
      <c r="K1191" s="12" t="s">
        <v>1283</v>
      </c>
      <c r="L1191" s="15">
        <v>1</v>
      </c>
      <c r="M1191" s="12" t="s">
        <v>150</v>
      </c>
      <c r="N1191" s="12">
        <v>30</v>
      </c>
      <c r="O1191" s="12">
        <v>30</v>
      </c>
      <c r="P1191" s="12">
        <v>0</v>
      </c>
      <c r="Q1191" s="16">
        <v>30</v>
      </c>
      <c r="R1191" s="16">
        <v>2</v>
      </c>
      <c r="S1191" s="16"/>
      <c r="T1191" s="16" t="e">
        <v>#N/A</v>
      </c>
      <c r="U1191" s="16" t="e">
        <v>#N/A</v>
      </c>
    </row>
    <row r="1192" spans="1:21" x14ac:dyDescent="0.25">
      <c r="A1192" s="12" t="s">
        <v>21</v>
      </c>
      <c r="B1192" s="12" t="s">
        <v>1264</v>
      </c>
      <c r="C1192" s="12" t="s">
        <v>23</v>
      </c>
      <c r="D1192" s="13">
        <v>46268.598958333336</v>
      </c>
      <c r="E1192" s="12" t="s">
        <v>522</v>
      </c>
      <c r="F1192" s="12" t="s">
        <v>442</v>
      </c>
      <c r="G1192" s="12">
        <v>80</v>
      </c>
      <c r="H1192" s="12">
        <v>80</v>
      </c>
      <c r="I1192" s="14"/>
      <c r="J1192" s="14" t="s">
        <v>61</v>
      </c>
      <c r="K1192" s="12" t="s">
        <v>1284</v>
      </c>
      <c r="L1192" s="15">
        <v>1</v>
      </c>
      <c r="M1192" s="12" t="s">
        <v>150</v>
      </c>
      <c r="N1192" s="12">
        <v>80</v>
      </c>
      <c r="O1192" s="12">
        <v>80</v>
      </c>
      <c r="P1192" s="12">
        <v>0</v>
      </c>
      <c r="Q1192" s="16">
        <v>80</v>
      </c>
      <c r="R1192" s="16">
        <v>0</v>
      </c>
      <c r="S1192" s="16"/>
      <c r="T1192" s="16" t="e">
        <v>#N/A</v>
      </c>
      <c r="U1192" s="16" t="e">
        <v>#N/A</v>
      </c>
    </row>
    <row r="1193" spans="1:21" x14ac:dyDescent="0.25">
      <c r="A1193" s="12" t="s">
        <v>21</v>
      </c>
      <c r="B1193" s="12" t="s">
        <v>1264</v>
      </c>
      <c r="C1193" s="12" t="s">
        <v>23</v>
      </c>
      <c r="D1193" s="13">
        <v>46268.598958333336</v>
      </c>
      <c r="E1193" s="12" t="s">
        <v>522</v>
      </c>
      <c r="F1193" s="12" t="s">
        <v>560</v>
      </c>
      <c r="G1193" s="12">
        <v>20</v>
      </c>
      <c r="H1193" s="12">
        <v>20</v>
      </c>
      <c r="I1193" s="14"/>
      <c r="J1193" s="14" t="s">
        <v>61</v>
      </c>
      <c r="K1193" s="12" t="s">
        <v>1285</v>
      </c>
      <c r="L1193" s="15">
        <v>1</v>
      </c>
      <c r="M1193" s="12" t="s">
        <v>150</v>
      </c>
      <c r="N1193" s="12">
        <v>20</v>
      </c>
      <c r="O1193" s="12">
        <v>20</v>
      </c>
      <c r="P1193" s="12">
        <v>0</v>
      </c>
      <c r="Q1193" s="16">
        <v>20</v>
      </c>
      <c r="R1193" s="16">
        <v>0</v>
      </c>
      <c r="S1193" s="16"/>
      <c r="T1193" s="16" t="e">
        <v>#N/A</v>
      </c>
      <c r="U1193" s="16" t="e">
        <v>#N/A</v>
      </c>
    </row>
    <row r="1194" spans="1:21" x14ac:dyDescent="0.25">
      <c r="A1194" s="12" t="s">
        <v>21</v>
      </c>
      <c r="B1194" s="12" t="s">
        <v>1264</v>
      </c>
      <c r="C1194" s="12" t="s">
        <v>23</v>
      </c>
      <c r="D1194" s="13">
        <v>46268.598958333336</v>
      </c>
      <c r="E1194" s="12" t="s">
        <v>522</v>
      </c>
      <c r="F1194" s="12" t="s">
        <v>572</v>
      </c>
      <c r="G1194" s="12">
        <v>40</v>
      </c>
      <c r="H1194" s="12">
        <v>40</v>
      </c>
      <c r="I1194" s="14"/>
      <c r="J1194" s="14" t="s">
        <v>26</v>
      </c>
      <c r="K1194" s="12" t="s">
        <v>27</v>
      </c>
      <c r="L1194" s="15"/>
      <c r="M1194" s="12" t="s">
        <v>28</v>
      </c>
      <c r="N1194" s="12"/>
      <c r="O1194" s="12"/>
      <c r="P1194" s="12"/>
      <c r="Q1194" s="16">
        <v>0</v>
      </c>
      <c r="R1194" s="16">
        <v>10</v>
      </c>
      <c r="S1194" s="16"/>
      <c r="T1194" s="16" t="e">
        <v>#N/A</v>
      </c>
      <c r="U1194" s="16" t="e">
        <v>#N/A</v>
      </c>
    </row>
    <row r="1195" spans="1:21" x14ac:dyDescent="0.25">
      <c r="A1195" s="12" t="s">
        <v>21</v>
      </c>
      <c r="B1195" s="12" t="s">
        <v>1264</v>
      </c>
      <c r="C1195" s="12" t="s">
        <v>23</v>
      </c>
      <c r="D1195" s="13">
        <v>46268.598958333336</v>
      </c>
      <c r="E1195" s="12" t="s">
        <v>522</v>
      </c>
      <c r="F1195" s="12" t="s">
        <v>256</v>
      </c>
      <c r="G1195" s="12">
        <v>12</v>
      </c>
      <c r="H1195" s="12">
        <v>12</v>
      </c>
      <c r="I1195" s="14"/>
      <c r="J1195" s="14" t="s">
        <v>26</v>
      </c>
      <c r="K1195" s="12" t="s">
        <v>27</v>
      </c>
      <c r="L1195" s="15"/>
      <c r="M1195" s="12" t="s">
        <v>28</v>
      </c>
      <c r="N1195" s="12"/>
      <c r="O1195" s="12"/>
      <c r="P1195" s="12"/>
      <c r="Q1195" s="16">
        <v>0</v>
      </c>
      <c r="R1195" s="16">
        <v>2</v>
      </c>
      <c r="S1195" s="16"/>
      <c r="T1195" s="16" t="e">
        <v>#N/A</v>
      </c>
      <c r="U1195" s="16" t="e">
        <v>#N/A</v>
      </c>
    </row>
    <row r="1196" spans="1:21" x14ac:dyDescent="0.25">
      <c r="A1196" s="12" t="s">
        <v>21</v>
      </c>
      <c r="B1196" s="12" t="s">
        <v>1265</v>
      </c>
      <c r="C1196" s="12" t="s">
        <v>23</v>
      </c>
      <c r="D1196" s="13">
        <v>46268.599085648151</v>
      </c>
      <c r="E1196" s="12" t="s">
        <v>522</v>
      </c>
      <c r="F1196" s="12" t="s">
        <v>261</v>
      </c>
      <c r="G1196" s="12">
        <v>30</v>
      </c>
      <c r="H1196" s="12">
        <v>30</v>
      </c>
      <c r="I1196" s="14"/>
      <c r="J1196" s="14" t="s">
        <v>26</v>
      </c>
      <c r="K1196" s="12" t="s">
        <v>27</v>
      </c>
      <c r="L1196" s="15"/>
      <c r="M1196" s="12" t="s">
        <v>28</v>
      </c>
      <c r="N1196" s="12"/>
      <c r="O1196" s="12"/>
      <c r="P1196" s="12"/>
      <c r="Q1196" s="16">
        <v>0</v>
      </c>
      <c r="R1196" s="16">
        <v>0</v>
      </c>
      <c r="S1196" s="16"/>
      <c r="T1196" s="16" t="e">
        <v>#N/A</v>
      </c>
      <c r="U1196" s="16" t="e">
        <v>#N/A</v>
      </c>
    </row>
    <row r="1197" spans="1:21" x14ac:dyDescent="0.25">
      <c r="A1197" s="12" t="s">
        <v>21</v>
      </c>
      <c r="B1197" s="12" t="s">
        <v>1265</v>
      </c>
      <c r="C1197" s="12" t="s">
        <v>23</v>
      </c>
      <c r="D1197" s="13">
        <v>46268.599085648151</v>
      </c>
      <c r="E1197" s="12" t="s">
        <v>522</v>
      </c>
      <c r="F1197" s="12" t="s">
        <v>374</v>
      </c>
      <c r="G1197" s="12">
        <v>8</v>
      </c>
      <c r="H1197" s="12">
        <v>8</v>
      </c>
      <c r="I1197" s="14"/>
      <c r="J1197" s="14" t="s">
        <v>26</v>
      </c>
      <c r="K1197" s="12" t="s">
        <v>27</v>
      </c>
      <c r="L1197" s="15"/>
      <c r="M1197" s="12" t="s">
        <v>28</v>
      </c>
      <c r="N1197" s="12"/>
      <c r="O1197" s="12"/>
      <c r="P1197" s="12"/>
      <c r="Q1197" s="16">
        <v>0</v>
      </c>
      <c r="R1197" s="16">
        <v>0</v>
      </c>
      <c r="S1197" s="16"/>
      <c r="T1197" s="16" t="e">
        <v>#N/A</v>
      </c>
      <c r="U1197" s="16" t="e">
        <v>#N/A</v>
      </c>
    </row>
    <row r="1198" spans="1:21" x14ac:dyDescent="0.25">
      <c r="A1198" s="12" t="s">
        <v>21</v>
      </c>
      <c r="B1198" s="12" t="s">
        <v>1265</v>
      </c>
      <c r="C1198" s="12" t="s">
        <v>23</v>
      </c>
      <c r="D1198" s="13">
        <v>46268.599085648151</v>
      </c>
      <c r="E1198" s="12" t="s">
        <v>522</v>
      </c>
      <c r="F1198" s="12" t="s">
        <v>70</v>
      </c>
      <c r="G1198" s="12">
        <v>100</v>
      </c>
      <c r="H1198" s="12">
        <v>100</v>
      </c>
      <c r="I1198" s="14"/>
      <c r="J1198" s="14" t="s">
        <v>26</v>
      </c>
      <c r="K1198" s="12" t="s">
        <v>27</v>
      </c>
      <c r="L1198" s="15"/>
      <c r="M1198" s="12" t="s">
        <v>28</v>
      </c>
      <c r="N1198" s="12"/>
      <c r="O1198" s="12"/>
      <c r="P1198" s="12"/>
      <c r="Q1198" s="16">
        <v>0</v>
      </c>
      <c r="R1198" s="16">
        <v>0</v>
      </c>
      <c r="S1198" s="16"/>
      <c r="T1198" s="16" t="e">
        <v>#N/A</v>
      </c>
      <c r="U1198" s="16" t="e">
        <v>#N/A</v>
      </c>
    </row>
    <row r="1199" spans="1:21" x14ac:dyDescent="0.25">
      <c r="A1199" s="12" t="s">
        <v>21</v>
      </c>
      <c r="B1199" s="12" t="s">
        <v>1265</v>
      </c>
      <c r="C1199" s="12" t="s">
        <v>23</v>
      </c>
      <c r="D1199" s="13">
        <v>46268.599085648151</v>
      </c>
      <c r="E1199" s="12" t="s">
        <v>522</v>
      </c>
      <c r="F1199" s="12" t="s">
        <v>324</v>
      </c>
      <c r="G1199" s="12">
        <v>12</v>
      </c>
      <c r="H1199" s="12">
        <v>12</v>
      </c>
      <c r="I1199" s="14"/>
      <c r="J1199" s="14" t="s">
        <v>26</v>
      </c>
      <c r="K1199" s="12" t="s">
        <v>27</v>
      </c>
      <c r="L1199" s="15"/>
      <c r="M1199" s="12" t="s">
        <v>28</v>
      </c>
      <c r="N1199" s="12"/>
      <c r="O1199" s="12"/>
      <c r="P1199" s="12"/>
      <c r="Q1199" s="16">
        <v>0</v>
      </c>
      <c r="R1199" s="16">
        <v>4</v>
      </c>
      <c r="S1199" s="16"/>
      <c r="T1199" s="16" t="e">
        <v>#N/A</v>
      </c>
      <c r="U1199" s="16" t="e">
        <v>#N/A</v>
      </c>
    </row>
    <row r="1200" spans="1:21" x14ac:dyDescent="0.25">
      <c r="A1200" s="12" t="s">
        <v>21</v>
      </c>
      <c r="B1200" s="12" t="s">
        <v>1265</v>
      </c>
      <c r="C1200" s="12" t="s">
        <v>23</v>
      </c>
      <c r="D1200" s="13">
        <v>46268.599085648151</v>
      </c>
      <c r="E1200" s="12" t="s">
        <v>522</v>
      </c>
      <c r="F1200" s="12" t="s">
        <v>617</v>
      </c>
      <c r="G1200" s="12">
        <v>8</v>
      </c>
      <c r="H1200" s="12">
        <v>8</v>
      </c>
      <c r="I1200" s="14"/>
      <c r="J1200" s="14" t="s">
        <v>26</v>
      </c>
      <c r="K1200" s="12" t="s">
        <v>27</v>
      </c>
      <c r="L1200" s="15"/>
      <c r="M1200" s="12" t="s">
        <v>28</v>
      </c>
      <c r="N1200" s="12"/>
      <c r="O1200" s="12"/>
      <c r="P1200" s="12"/>
      <c r="Q1200" s="16">
        <v>0</v>
      </c>
      <c r="R1200" s="16">
        <v>0</v>
      </c>
      <c r="S1200" s="16"/>
      <c r="T1200" s="16" t="e">
        <v>#N/A</v>
      </c>
      <c r="U1200" s="16" t="e">
        <v>#N/A</v>
      </c>
    </row>
    <row r="1201" spans="1:21" x14ac:dyDescent="0.25">
      <c r="A1201" s="12" t="s">
        <v>21</v>
      </c>
      <c r="B1201" s="12" t="s">
        <v>1265</v>
      </c>
      <c r="C1201" s="12" t="s">
        <v>23</v>
      </c>
      <c r="D1201" s="13">
        <v>46268.599085648151</v>
      </c>
      <c r="E1201" s="12" t="s">
        <v>522</v>
      </c>
      <c r="F1201" s="12" t="s">
        <v>71</v>
      </c>
      <c r="G1201" s="12">
        <v>100</v>
      </c>
      <c r="H1201" s="12">
        <v>100</v>
      </c>
      <c r="I1201" s="14"/>
      <c r="J1201" s="14" t="s">
        <v>26</v>
      </c>
      <c r="K1201" s="12" t="s">
        <v>27</v>
      </c>
      <c r="L1201" s="15"/>
      <c r="M1201" s="12" t="s">
        <v>28</v>
      </c>
      <c r="N1201" s="12"/>
      <c r="O1201" s="12"/>
      <c r="P1201" s="12"/>
      <c r="Q1201" s="16">
        <v>0</v>
      </c>
      <c r="R1201" s="16">
        <v>0</v>
      </c>
      <c r="S1201" s="16"/>
      <c r="T1201" s="16" t="e">
        <v>#N/A</v>
      </c>
      <c r="U1201" s="16" t="e">
        <v>#N/A</v>
      </c>
    </row>
    <row r="1202" spans="1:21" x14ac:dyDescent="0.25">
      <c r="A1202" s="12" t="s">
        <v>21</v>
      </c>
      <c r="B1202" s="12" t="s">
        <v>1265</v>
      </c>
      <c r="C1202" s="12" t="s">
        <v>23</v>
      </c>
      <c r="D1202" s="13">
        <v>46268.599085648151</v>
      </c>
      <c r="E1202" s="12" t="s">
        <v>522</v>
      </c>
      <c r="F1202" s="12" t="s">
        <v>924</v>
      </c>
      <c r="G1202" s="12">
        <v>50</v>
      </c>
      <c r="H1202" s="12">
        <v>50</v>
      </c>
      <c r="I1202" s="14"/>
      <c r="J1202" s="14" t="s">
        <v>26</v>
      </c>
      <c r="K1202" s="12" t="s">
        <v>27</v>
      </c>
      <c r="L1202" s="15"/>
      <c r="M1202" s="12" t="s">
        <v>28</v>
      </c>
      <c r="N1202" s="12"/>
      <c r="O1202" s="12"/>
      <c r="P1202" s="12"/>
      <c r="Q1202" s="16">
        <v>0</v>
      </c>
      <c r="R1202" s="16">
        <v>0</v>
      </c>
      <c r="S1202" s="16"/>
      <c r="T1202" s="16" t="e">
        <v>#N/A</v>
      </c>
      <c r="U1202" s="16" t="e">
        <v>#N/A</v>
      </c>
    </row>
    <row r="1203" spans="1:21" x14ac:dyDescent="0.25">
      <c r="A1203" s="12" t="s">
        <v>21</v>
      </c>
      <c r="B1203" s="12" t="s">
        <v>1265</v>
      </c>
      <c r="C1203" s="12" t="s">
        <v>23</v>
      </c>
      <c r="D1203" s="13">
        <v>46268.599085648151</v>
      </c>
      <c r="E1203" s="12" t="s">
        <v>522</v>
      </c>
      <c r="F1203" s="12" t="s">
        <v>525</v>
      </c>
      <c r="G1203" s="12">
        <v>50</v>
      </c>
      <c r="H1203" s="12">
        <v>50</v>
      </c>
      <c r="I1203" s="14"/>
      <c r="J1203" s="14" t="s">
        <v>26</v>
      </c>
      <c r="K1203" s="12" t="s">
        <v>27</v>
      </c>
      <c r="L1203" s="15"/>
      <c r="M1203" s="12" t="s">
        <v>28</v>
      </c>
      <c r="N1203" s="12"/>
      <c r="O1203" s="12"/>
      <c r="P1203" s="12"/>
      <c r="Q1203" s="16">
        <v>0</v>
      </c>
      <c r="R1203" s="16">
        <v>0</v>
      </c>
      <c r="S1203" s="16"/>
      <c r="T1203" s="16" t="e">
        <v>#N/A</v>
      </c>
      <c r="U1203" s="16" t="e">
        <v>#N/A</v>
      </c>
    </row>
    <row r="1204" spans="1:21" x14ac:dyDescent="0.25">
      <c r="A1204" s="12" t="s">
        <v>21</v>
      </c>
      <c r="B1204" s="12" t="s">
        <v>1266</v>
      </c>
      <c r="C1204" s="12" t="s">
        <v>23</v>
      </c>
      <c r="D1204" s="13">
        <v>46268.59920138889</v>
      </c>
      <c r="E1204" s="12" t="s">
        <v>522</v>
      </c>
      <c r="F1204" s="12" t="s">
        <v>242</v>
      </c>
      <c r="G1204" s="12">
        <v>30</v>
      </c>
      <c r="H1204" s="12">
        <v>30</v>
      </c>
      <c r="I1204" s="14"/>
      <c r="J1204" s="14" t="s">
        <v>26</v>
      </c>
      <c r="K1204" s="12" t="s">
        <v>27</v>
      </c>
      <c r="L1204" s="15"/>
      <c r="M1204" s="12" t="s">
        <v>28</v>
      </c>
      <c r="N1204" s="12"/>
      <c r="O1204" s="12"/>
      <c r="P1204" s="12"/>
      <c r="Q1204" s="16">
        <v>0</v>
      </c>
      <c r="R1204" s="16">
        <v>0</v>
      </c>
      <c r="S1204" s="16"/>
      <c r="T1204" s="16" t="e">
        <v>#N/A</v>
      </c>
      <c r="U1204" s="16" t="e">
        <v>#N/A</v>
      </c>
    </row>
    <row r="1205" spans="1:21" x14ac:dyDescent="0.25">
      <c r="A1205" s="12" t="s">
        <v>21</v>
      </c>
      <c r="B1205" s="12" t="s">
        <v>1266</v>
      </c>
      <c r="C1205" s="12" t="s">
        <v>23</v>
      </c>
      <c r="D1205" s="13">
        <v>46268.59920138889</v>
      </c>
      <c r="E1205" s="12" t="s">
        <v>522</v>
      </c>
      <c r="F1205" s="12" t="s">
        <v>243</v>
      </c>
      <c r="G1205" s="12">
        <v>50</v>
      </c>
      <c r="H1205" s="12">
        <v>50</v>
      </c>
      <c r="I1205" s="14"/>
      <c r="J1205" s="14" t="s">
        <v>26</v>
      </c>
      <c r="K1205" s="12" t="s">
        <v>27</v>
      </c>
      <c r="L1205" s="15"/>
      <c r="M1205" s="12" t="s">
        <v>28</v>
      </c>
      <c r="N1205" s="12"/>
      <c r="O1205" s="12"/>
      <c r="P1205" s="12"/>
      <c r="Q1205" s="16">
        <v>0</v>
      </c>
      <c r="R1205" s="16">
        <v>1</v>
      </c>
      <c r="S1205" s="16"/>
      <c r="T1205" s="16" t="e">
        <v>#N/A</v>
      </c>
      <c r="U1205" s="16" t="e">
        <v>#N/A</v>
      </c>
    </row>
    <row r="1206" spans="1:21" x14ac:dyDescent="0.25">
      <c r="A1206" s="12" t="s">
        <v>21</v>
      </c>
      <c r="B1206" s="12" t="s">
        <v>1266</v>
      </c>
      <c r="C1206" s="12" t="s">
        <v>23</v>
      </c>
      <c r="D1206" s="13">
        <v>46268.59920138889</v>
      </c>
      <c r="E1206" s="12" t="s">
        <v>522</v>
      </c>
      <c r="F1206" s="12" t="s">
        <v>244</v>
      </c>
      <c r="G1206" s="12">
        <v>30</v>
      </c>
      <c r="H1206" s="12">
        <v>30</v>
      </c>
      <c r="I1206" s="14"/>
      <c r="J1206" s="14" t="s">
        <v>26</v>
      </c>
      <c r="K1206" s="12" t="s">
        <v>27</v>
      </c>
      <c r="L1206" s="15"/>
      <c r="M1206" s="12" t="s">
        <v>28</v>
      </c>
      <c r="N1206" s="12"/>
      <c r="O1206" s="12"/>
      <c r="P1206" s="12"/>
      <c r="Q1206" s="16">
        <v>0</v>
      </c>
      <c r="R1206" s="16">
        <v>0</v>
      </c>
      <c r="S1206" s="16"/>
      <c r="T1206" s="16" t="e">
        <v>#N/A</v>
      </c>
      <c r="U1206" s="16" t="e">
        <v>#N/A</v>
      </c>
    </row>
    <row r="1207" spans="1:21" x14ac:dyDescent="0.25">
      <c r="A1207" s="12" t="s">
        <v>21</v>
      </c>
      <c r="B1207" s="12" t="s">
        <v>1266</v>
      </c>
      <c r="C1207" s="12" t="s">
        <v>23</v>
      </c>
      <c r="D1207" s="13">
        <v>46268.59920138889</v>
      </c>
      <c r="E1207" s="12" t="s">
        <v>522</v>
      </c>
      <c r="F1207" s="12" t="s">
        <v>246</v>
      </c>
      <c r="G1207" s="12">
        <v>40</v>
      </c>
      <c r="H1207" s="12">
        <v>40</v>
      </c>
      <c r="I1207" s="14"/>
      <c r="J1207" s="14" t="s">
        <v>26</v>
      </c>
      <c r="K1207" s="12" t="s">
        <v>27</v>
      </c>
      <c r="L1207" s="15"/>
      <c r="M1207" s="12" t="s">
        <v>28</v>
      </c>
      <c r="N1207" s="12"/>
      <c r="O1207" s="12"/>
      <c r="P1207" s="12"/>
      <c r="Q1207" s="16">
        <v>0</v>
      </c>
      <c r="R1207" s="16">
        <v>0</v>
      </c>
      <c r="S1207" s="16"/>
      <c r="T1207" s="16" t="e">
        <v>#N/A</v>
      </c>
      <c r="U1207" s="16" t="e">
        <v>#N/A</v>
      </c>
    </row>
    <row r="1208" spans="1:21" x14ac:dyDescent="0.25">
      <c r="A1208" s="12" t="s">
        <v>21</v>
      </c>
      <c r="B1208" s="12" t="s">
        <v>1286</v>
      </c>
      <c r="C1208" s="12" t="s">
        <v>23</v>
      </c>
      <c r="D1208" s="13">
        <v>46268.660324074073</v>
      </c>
      <c r="E1208" s="12" t="s">
        <v>1287</v>
      </c>
      <c r="F1208" s="12" t="s">
        <v>67</v>
      </c>
      <c r="G1208" s="12">
        <v>1</v>
      </c>
      <c r="H1208" s="12">
        <v>1</v>
      </c>
      <c r="I1208" s="14"/>
      <c r="J1208" s="14" t="s">
        <v>61</v>
      </c>
      <c r="K1208" s="12" t="s">
        <v>1288</v>
      </c>
      <c r="L1208" s="15">
        <v>1</v>
      </c>
      <c r="M1208" s="12" t="s">
        <v>150</v>
      </c>
      <c r="N1208" s="12">
        <v>1</v>
      </c>
      <c r="O1208" s="12">
        <v>1</v>
      </c>
      <c r="P1208" s="12">
        <v>0</v>
      </c>
      <c r="Q1208" s="16">
        <v>1</v>
      </c>
      <c r="R1208" s="16">
        <v>0</v>
      </c>
      <c r="S1208" s="16"/>
      <c r="T1208" s="16" t="e">
        <v>#N/A</v>
      </c>
      <c r="U1208" s="16" t="e">
        <v>#N/A</v>
      </c>
    </row>
    <row r="1209" spans="1:21" x14ac:dyDescent="0.25">
      <c r="A1209" s="12" t="s">
        <v>21</v>
      </c>
      <c r="B1209" s="12" t="s">
        <v>1286</v>
      </c>
      <c r="C1209" s="12" t="s">
        <v>23</v>
      </c>
      <c r="D1209" s="13">
        <v>46268.660324074073</v>
      </c>
      <c r="E1209" s="12" t="s">
        <v>1287</v>
      </c>
      <c r="F1209" s="12" t="s">
        <v>838</v>
      </c>
      <c r="G1209" s="12">
        <v>1</v>
      </c>
      <c r="H1209" s="12">
        <v>1</v>
      </c>
      <c r="I1209" s="14"/>
      <c r="J1209" s="14" t="s">
        <v>61</v>
      </c>
      <c r="K1209" s="12" t="s">
        <v>1289</v>
      </c>
      <c r="L1209" s="15">
        <v>1</v>
      </c>
      <c r="M1209" s="12" t="s">
        <v>150</v>
      </c>
      <c r="N1209" s="12">
        <v>1</v>
      </c>
      <c r="O1209" s="12">
        <v>1</v>
      </c>
      <c r="P1209" s="12">
        <v>0</v>
      </c>
      <c r="Q1209" s="16">
        <v>1</v>
      </c>
      <c r="R1209" s="16">
        <v>0</v>
      </c>
      <c r="S1209" s="16"/>
      <c r="T1209" s="16" t="e">
        <v>#N/A</v>
      </c>
      <c r="U1209" s="16" t="e">
        <v>#N/A</v>
      </c>
    </row>
    <row r="1210" spans="1:21" x14ac:dyDescent="0.25">
      <c r="A1210" s="12" t="s">
        <v>21</v>
      </c>
      <c r="B1210" s="12" t="s">
        <v>1286</v>
      </c>
      <c r="C1210" s="12" t="s">
        <v>23</v>
      </c>
      <c r="D1210" s="13">
        <v>46268.660324074073</v>
      </c>
      <c r="E1210" s="12" t="s">
        <v>1287</v>
      </c>
      <c r="F1210" s="12" t="s">
        <v>253</v>
      </c>
      <c r="G1210" s="12">
        <v>1</v>
      </c>
      <c r="H1210" s="12">
        <v>1</v>
      </c>
      <c r="I1210" s="14"/>
      <c r="J1210" s="14" t="s">
        <v>61</v>
      </c>
      <c r="K1210" s="12" t="s">
        <v>1290</v>
      </c>
      <c r="L1210" s="15">
        <v>1</v>
      </c>
      <c r="M1210" s="12" t="s">
        <v>150</v>
      </c>
      <c r="N1210" s="12">
        <v>1</v>
      </c>
      <c r="O1210" s="12">
        <v>1</v>
      </c>
      <c r="P1210" s="12">
        <v>0</v>
      </c>
      <c r="Q1210" s="16">
        <v>1</v>
      </c>
      <c r="R1210" s="16">
        <v>0</v>
      </c>
      <c r="S1210" s="16"/>
      <c r="T1210" s="16" t="e">
        <v>#N/A</v>
      </c>
      <c r="U1210" s="16" t="e">
        <v>#N/A</v>
      </c>
    </row>
    <row r="1211" spans="1:21" x14ac:dyDescent="0.25">
      <c r="A1211" s="12" t="s">
        <v>21</v>
      </c>
      <c r="B1211" s="12" t="s">
        <v>1291</v>
      </c>
      <c r="C1211" s="12" t="s">
        <v>23</v>
      </c>
      <c r="D1211" s="13">
        <v>46269.280277777776</v>
      </c>
      <c r="E1211" s="12" t="s">
        <v>266</v>
      </c>
      <c r="F1211" s="12" t="s">
        <v>242</v>
      </c>
      <c r="G1211" s="12">
        <v>30</v>
      </c>
      <c r="H1211" s="12">
        <v>30</v>
      </c>
      <c r="I1211" s="14"/>
      <c r="J1211" s="14" t="s">
        <v>61</v>
      </c>
      <c r="K1211" s="12" t="s">
        <v>1295</v>
      </c>
      <c r="L1211" s="15">
        <v>1</v>
      </c>
      <c r="M1211" s="12" t="s">
        <v>150</v>
      </c>
      <c r="N1211" s="12">
        <v>30</v>
      </c>
      <c r="O1211" s="12">
        <v>30</v>
      </c>
      <c r="P1211" s="12">
        <v>0</v>
      </c>
      <c r="Q1211" s="16">
        <v>30</v>
      </c>
      <c r="R1211" s="16">
        <v>0</v>
      </c>
      <c r="S1211" s="16"/>
      <c r="T1211" s="16" t="e">
        <v>#N/A</v>
      </c>
      <c r="U1211" s="16" t="e">
        <v>#N/A</v>
      </c>
    </row>
    <row r="1212" spans="1:21" x14ac:dyDescent="0.25">
      <c r="A1212" s="12" t="s">
        <v>21</v>
      </c>
      <c r="B1212" s="12" t="s">
        <v>1291</v>
      </c>
      <c r="C1212" s="12" t="s">
        <v>23</v>
      </c>
      <c r="D1212" s="13">
        <v>46269.280277777776</v>
      </c>
      <c r="E1212" s="12" t="s">
        <v>266</v>
      </c>
      <c r="F1212" s="12" t="s">
        <v>243</v>
      </c>
      <c r="G1212" s="12">
        <v>50</v>
      </c>
      <c r="H1212" s="12">
        <v>50</v>
      </c>
      <c r="I1212" s="14"/>
      <c r="J1212" s="14" t="s">
        <v>61</v>
      </c>
      <c r="K1212" s="12" t="s">
        <v>1296</v>
      </c>
      <c r="L1212" s="15">
        <v>1</v>
      </c>
      <c r="M1212" s="12" t="s">
        <v>150</v>
      </c>
      <c r="N1212" s="12">
        <v>50</v>
      </c>
      <c r="O1212" s="12">
        <v>50</v>
      </c>
      <c r="P1212" s="12">
        <v>0</v>
      </c>
      <c r="Q1212" s="16">
        <v>50</v>
      </c>
      <c r="R1212" s="16">
        <v>1</v>
      </c>
      <c r="S1212" s="16"/>
      <c r="T1212" s="16" t="e">
        <v>#N/A</v>
      </c>
      <c r="U1212" s="16" t="e">
        <v>#N/A</v>
      </c>
    </row>
    <row r="1213" spans="1:21" x14ac:dyDescent="0.25">
      <c r="A1213" s="12" t="s">
        <v>21</v>
      </c>
      <c r="B1213" s="12" t="s">
        <v>1291</v>
      </c>
      <c r="C1213" s="12" t="s">
        <v>23</v>
      </c>
      <c r="D1213" s="13">
        <v>46269.280277777776</v>
      </c>
      <c r="E1213" s="12" t="s">
        <v>266</v>
      </c>
      <c r="F1213" s="12" t="s">
        <v>244</v>
      </c>
      <c r="G1213" s="12">
        <v>20</v>
      </c>
      <c r="H1213" s="12">
        <v>20</v>
      </c>
      <c r="I1213" s="14"/>
      <c r="J1213" s="14" t="s">
        <v>61</v>
      </c>
      <c r="K1213" s="12" t="s">
        <v>1297</v>
      </c>
      <c r="L1213" s="15">
        <v>1</v>
      </c>
      <c r="M1213" s="12" t="s">
        <v>150</v>
      </c>
      <c r="N1213" s="12">
        <v>20</v>
      </c>
      <c r="O1213" s="12">
        <v>20</v>
      </c>
      <c r="P1213" s="12">
        <v>0</v>
      </c>
      <c r="Q1213" s="16">
        <v>20</v>
      </c>
      <c r="R1213" s="16">
        <v>0</v>
      </c>
      <c r="S1213" s="16"/>
      <c r="T1213" s="16" t="e">
        <v>#N/A</v>
      </c>
      <c r="U1213" s="16" t="e">
        <v>#N/A</v>
      </c>
    </row>
    <row r="1214" spans="1:21" x14ac:dyDescent="0.25">
      <c r="A1214" s="12" t="s">
        <v>21</v>
      </c>
      <c r="B1214" s="12" t="s">
        <v>1291</v>
      </c>
      <c r="C1214" s="12" t="s">
        <v>23</v>
      </c>
      <c r="D1214" s="13">
        <v>46269.280277777776</v>
      </c>
      <c r="E1214" s="12" t="s">
        <v>266</v>
      </c>
      <c r="F1214" s="12" t="s">
        <v>245</v>
      </c>
      <c r="G1214" s="12">
        <v>50</v>
      </c>
      <c r="H1214" s="12">
        <v>50</v>
      </c>
      <c r="I1214" s="14"/>
      <c r="J1214" s="14" t="s">
        <v>61</v>
      </c>
      <c r="K1214" s="12" t="s">
        <v>1298</v>
      </c>
      <c r="L1214" s="15">
        <v>1</v>
      </c>
      <c r="M1214" s="12" t="s">
        <v>150</v>
      </c>
      <c r="N1214" s="12">
        <v>50</v>
      </c>
      <c r="O1214" s="12">
        <v>50</v>
      </c>
      <c r="P1214" s="12">
        <v>0</v>
      </c>
      <c r="Q1214" s="16">
        <v>50</v>
      </c>
      <c r="R1214" s="16">
        <v>0</v>
      </c>
      <c r="S1214" s="16"/>
      <c r="T1214" s="16" t="e">
        <v>#N/A</v>
      </c>
      <c r="U1214" s="16" t="e">
        <v>#N/A</v>
      </c>
    </row>
    <row r="1215" spans="1:21" x14ac:dyDescent="0.25">
      <c r="A1215" s="12" t="s">
        <v>21</v>
      </c>
      <c r="B1215" s="12" t="s">
        <v>1291</v>
      </c>
      <c r="C1215" s="12" t="s">
        <v>23</v>
      </c>
      <c r="D1215" s="13">
        <v>46269.280277777776</v>
      </c>
      <c r="E1215" s="12" t="s">
        <v>266</v>
      </c>
      <c r="F1215" s="12" t="s">
        <v>246</v>
      </c>
      <c r="G1215" s="12">
        <v>30</v>
      </c>
      <c r="H1215" s="12">
        <v>30</v>
      </c>
      <c r="I1215" s="14"/>
      <c r="J1215" s="14" t="s">
        <v>61</v>
      </c>
      <c r="K1215" s="12" t="s">
        <v>1299</v>
      </c>
      <c r="L1215" s="15">
        <v>1</v>
      </c>
      <c r="M1215" s="12" t="s">
        <v>150</v>
      </c>
      <c r="N1215" s="12">
        <v>30</v>
      </c>
      <c r="O1215" s="12">
        <v>30</v>
      </c>
      <c r="P1215" s="12">
        <v>0</v>
      </c>
      <c r="Q1215" s="16">
        <v>30</v>
      </c>
      <c r="R1215" s="16">
        <v>0</v>
      </c>
      <c r="S1215" s="16"/>
      <c r="T1215" s="16" t="e">
        <v>#N/A</v>
      </c>
      <c r="U1215" s="16" t="e">
        <v>#N/A</v>
      </c>
    </row>
    <row r="1216" spans="1:21" x14ac:dyDescent="0.25">
      <c r="A1216" s="12" t="s">
        <v>21</v>
      </c>
      <c r="B1216" s="12" t="s">
        <v>1291</v>
      </c>
      <c r="C1216" s="12" t="s">
        <v>23</v>
      </c>
      <c r="D1216" s="13">
        <v>46269.280277777776</v>
      </c>
      <c r="E1216" s="12" t="s">
        <v>266</v>
      </c>
      <c r="F1216" s="12" t="s">
        <v>1018</v>
      </c>
      <c r="G1216" s="12">
        <v>8</v>
      </c>
      <c r="H1216" s="12">
        <v>8</v>
      </c>
      <c r="I1216" s="14"/>
      <c r="J1216" s="14" t="s">
        <v>26</v>
      </c>
      <c r="K1216" s="12" t="s">
        <v>27</v>
      </c>
      <c r="L1216" s="15"/>
      <c r="M1216" s="12" t="s">
        <v>28</v>
      </c>
      <c r="N1216" s="12"/>
      <c r="O1216" s="12"/>
      <c r="P1216" s="12"/>
      <c r="Q1216" s="16">
        <v>0</v>
      </c>
      <c r="R1216" s="16">
        <v>0</v>
      </c>
      <c r="S1216" s="16"/>
      <c r="T1216" s="16" t="e">
        <v>#N/A</v>
      </c>
      <c r="U1216" s="16" t="e">
        <v>#N/A</v>
      </c>
    </row>
    <row r="1217" spans="1:21" x14ac:dyDescent="0.25">
      <c r="A1217" s="12" t="s">
        <v>21</v>
      </c>
      <c r="B1217" s="12" t="s">
        <v>1291</v>
      </c>
      <c r="C1217" s="12" t="s">
        <v>23</v>
      </c>
      <c r="D1217" s="13">
        <v>46269.280277777776</v>
      </c>
      <c r="E1217" s="12" t="s">
        <v>266</v>
      </c>
      <c r="F1217" s="12" t="s">
        <v>267</v>
      </c>
      <c r="G1217" s="12">
        <v>21</v>
      </c>
      <c r="H1217" s="12">
        <v>21</v>
      </c>
      <c r="I1217" s="14"/>
      <c r="J1217" s="14" t="s">
        <v>61</v>
      </c>
      <c r="K1217" s="12" t="s">
        <v>1300</v>
      </c>
      <c r="L1217" s="15">
        <v>1</v>
      </c>
      <c r="M1217" s="12" t="s">
        <v>150</v>
      </c>
      <c r="N1217" s="12">
        <v>21</v>
      </c>
      <c r="O1217" s="12">
        <v>21</v>
      </c>
      <c r="P1217" s="12">
        <v>0</v>
      </c>
      <c r="Q1217" s="16">
        <v>21</v>
      </c>
      <c r="R1217" s="16">
        <v>0</v>
      </c>
      <c r="S1217" s="16"/>
      <c r="T1217" s="16" t="e">
        <v>#N/A</v>
      </c>
      <c r="U1217" s="16" t="e">
        <v>#N/A</v>
      </c>
    </row>
    <row r="1218" spans="1:21" x14ac:dyDescent="0.25">
      <c r="A1218" s="12" t="s">
        <v>21</v>
      </c>
      <c r="B1218" s="12" t="s">
        <v>1291</v>
      </c>
      <c r="C1218" s="12" t="s">
        <v>23</v>
      </c>
      <c r="D1218" s="13">
        <v>46269.280277777776</v>
      </c>
      <c r="E1218" s="12" t="s">
        <v>266</v>
      </c>
      <c r="F1218" s="12" t="s">
        <v>553</v>
      </c>
      <c r="G1218" s="12">
        <v>32</v>
      </c>
      <c r="H1218" s="12">
        <v>32</v>
      </c>
      <c r="I1218" s="14"/>
      <c r="J1218" s="14" t="s">
        <v>61</v>
      </c>
      <c r="K1218" s="12" t="s">
        <v>1301</v>
      </c>
      <c r="L1218" s="15">
        <v>1</v>
      </c>
      <c r="M1218" s="12" t="s">
        <v>150</v>
      </c>
      <c r="N1218" s="12">
        <v>32</v>
      </c>
      <c r="O1218" s="12">
        <v>32</v>
      </c>
      <c r="P1218" s="12">
        <v>0</v>
      </c>
      <c r="Q1218" s="16">
        <v>32</v>
      </c>
      <c r="R1218" s="16">
        <v>2</v>
      </c>
      <c r="S1218" s="16"/>
      <c r="T1218" s="16" t="e">
        <v>#N/A</v>
      </c>
      <c r="U1218" s="16" t="e">
        <v>#N/A</v>
      </c>
    </row>
    <row r="1219" spans="1:21" x14ac:dyDescent="0.25">
      <c r="A1219" s="12" t="s">
        <v>21</v>
      </c>
      <c r="B1219" s="12" t="s">
        <v>1291</v>
      </c>
      <c r="C1219" s="12" t="s">
        <v>23</v>
      </c>
      <c r="D1219" s="13">
        <v>46269.280277777776</v>
      </c>
      <c r="E1219" s="12" t="s">
        <v>266</v>
      </c>
      <c r="F1219" s="12" t="s">
        <v>442</v>
      </c>
      <c r="G1219" s="12">
        <v>100</v>
      </c>
      <c r="H1219" s="12">
        <v>100</v>
      </c>
      <c r="I1219" s="14"/>
      <c r="J1219" s="14" t="s">
        <v>26</v>
      </c>
      <c r="K1219" s="12" t="s">
        <v>27</v>
      </c>
      <c r="L1219" s="15"/>
      <c r="M1219" s="12" t="s">
        <v>28</v>
      </c>
      <c r="N1219" s="12"/>
      <c r="O1219" s="12"/>
      <c r="P1219" s="12"/>
      <c r="Q1219" s="16">
        <v>0</v>
      </c>
      <c r="R1219" s="16">
        <v>0</v>
      </c>
      <c r="S1219" s="16"/>
      <c r="T1219" s="16" t="e">
        <v>#N/A</v>
      </c>
      <c r="U1219" s="16" t="e">
        <v>#N/A</v>
      </c>
    </row>
    <row r="1220" spans="1:21" x14ac:dyDescent="0.25">
      <c r="A1220" s="12" t="s">
        <v>21</v>
      </c>
      <c r="B1220" s="12" t="s">
        <v>1291</v>
      </c>
      <c r="C1220" s="12" t="s">
        <v>23</v>
      </c>
      <c r="D1220" s="13">
        <v>46269.280277777776</v>
      </c>
      <c r="E1220" s="12" t="s">
        <v>266</v>
      </c>
      <c r="F1220" s="12" t="s">
        <v>326</v>
      </c>
      <c r="G1220" s="12">
        <v>40</v>
      </c>
      <c r="H1220" s="12">
        <v>40</v>
      </c>
      <c r="I1220" s="14"/>
      <c r="J1220" s="14" t="s">
        <v>61</v>
      </c>
      <c r="K1220" s="12" t="s">
        <v>1302</v>
      </c>
      <c r="L1220" s="15">
        <v>1</v>
      </c>
      <c r="M1220" s="12" t="s">
        <v>150</v>
      </c>
      <c r="N1220" s="12">
        <v>40</v>
      </c>
      <c r="O1220" s="12">
        <v>40</v>
      </c>
      <c r="P1220" s="12">
        <v>0</v>
      </c>
      <c r="Q1220" s="16">
        <v>40</v>
      </c>
      <c r="R1220" s="16">
        <v>0</v>
      </c>
      <c r="S1220" s="16"/>
      <c r="T1220" s="16" t="e">
        <v>#N/A</v>
      </c>
      <c r="U1220" s="16" t="e">
        <v>#N/A</v>
      </c>
    </row>
    <row r="1221" spans="1:21" x14ac:dyDescent="0.25">
      <c r="A1221" s="12" t="s">
        <v>21</v>
      </c>
      <c r="B1221" s="12" t="s">
        <v>1291</v>
      </c>
      <c r="C1221" s="12" t="s">
        <v>23</v>
      </c>
      <c r="D1221" s="13">
        <v>46269.280277777776</v>
      </c>
      <c r="E1221" s="12" t="s">
        <v>266</v>
      </c>
      <c r="F1221" s="12" t="s">
        <v>1267</v>
      </c>
      <c r="G1221" s="12">
        <v>20</v>
      </c>
      <c r="H1221" s="12">
        <v>20</v>
      </c>
      <c r="I1221" s="14"/>
      <c r="J1221" s="14" t="s">
        <v>61</v>
      </c>
      <c r="K1221" s="12" t="s">
        <v>1303</v>
      </c>
      <c r="L1221" s="15">
        <v>1</v>
      </c>
      <c r="M1221" s="12" t="s">
        <v>150</v>
      </c>
      <c r="N1221" s="12">
        <v>20</v>
      </c>
      <c r="O1221" s="12">
        <v>20</v>
      </c>
      <c r="P1221" s="12">
        <v>0</v>
      </c>
      <c r="Q1221" s="16">
        <v>20</v>
      </c>
      <c r="R1221" s="16">
        <v>0</v>
      </c>
      <c r="S1221" s="16"/>
      <c r="T1221" s="16" t="e">
        <v>#N/A</v>
      </c>
      <c r="U1221" s="16" t="e">
        <v>#N/A</v>
      </c>
    </row>
    <row r="1222" spans="1:21" x14ac:dyDescent="0.25">
      <c r="A1222" s="12" t="s">
        <v>21</v>
      </c>
      <c r="B1222" s="12" t="s">
        <v>1291</v>
      </c>
      <c r="C1222" s="12" t="s">
        <v>23</v>
      </c>
      <c r="D1222" s="13">
        <v>46269.280277777776</v>
      </c>
      <c r="E1222" s="12" t="s">
        <v>266</v>
      </c>
      <c r="F1222" s="12" t="s">
        <v>248</v>
      </c>
      <c r="G1222" s="12">
        <v>50</v>
      </c>
      <c r="H1222" s="12">
        <v>50</v>
      </c>
      <c r="I1222" s="14"/>
      <c r="J1222" s="14" t="s">
        <v>26</v>
      </c>
      <c r="K1222" s="12" t="s">
        <v>27</v>
      </c>
      <c r="L1222" s="15"/>
      <c r="M1222" s="12" t="s">
        <v>28</v>
      </c>
      <c r="N1222" s="12"/>
      <c r="O1222" s="12"/>
      <c r="P1222" s="12"/>
      <c r="Q1222" s="16">
        <v>0</v>
      </c>
      <c r="R1222" s="16">
        <v>2</v>
      </c>
      <c r="S1222" s="16"/>
      <c r="T1222" s="16" t="e">
        <v>#N/A</v>
      </c>
      <c r="U1222" s="16" t="e">
        <v>#N/A</v>
      </c>
    </row>
    <row r="1223" spans="1:21" x14ac:dyDescent="0.25">
      <c r="A1223" s="12" t="s">
        <v>21</v>
      </c>
      <c r="B1223" s="12" t="s">
        <v>1291</v>
      </c>
      <c r="C1223" s="12" t="s">
        <v>23</v>
      </c>
      <c r="D1223" s="13">
        <v>46269.280277777776</v>
      </c>
      <c r="E1223" s="12" t="s">
        <v>266</v>
      </c>
      <c r="F1223" s="12" t="s">
        <v>67</v>
      </c>
      <c r="G1223" s="12">
        <v>30</v>
      </c>
      <c r="H1223" s="12">
        <v>30</v>
      </c>
      <c r="I1223" s="14"/>
      <c r="J1223" s="14" t="s">
        <v>61</v>
      </c>
      <c r="K1223" s="12" t="s">
        <v>1304</v>
      </c>
      <c r="L1223" s="15">
        <v>1</v>
      </c>
      <c r="M1223" s="12" t="s">
        <v>150</v>
      </c>
      <c r="N1223" s="12">
        <v>30</v>
      </c>
      <c r="O1223" s="12">
        <v>30</v>
      </c>
      <c r="P1223" s="12">
        <v>0</v>
      </c>
      <c r="Q1223" s="16">
        <v>30</v>
      </c>
      <c r="R1223" s="16">
        <v>0</v>
      </c>
      <c r="S1223" s="16"/>
      <c r="T1223" s="16" t="e">
        <v>#N/A</v>
      </c>
      <c r="U1223" s="16" t="e">
        <v>#N/A</v>
      </c>
    </row>
    <row r="1224" spans="1:21" x14ac:dyDescent="0.25">
      <c r="A1224" s="12" t="s">
        <v>21</v>
      </c>
      <c r="B1224" s="12" t="s">
        <v>1291</v>
      </c>
      <c r="C1224" s="12" t="s">
        <v>23</v>
      </c>
      <c r="D1224" s="13">
        <v>46269.280277777776</v>
      </c>
      <c r="E1224" s="12" t="s">
        <v>266</v>
      </c>
      <c r="F1224" s="12" t="s">
        <v>582</v>
      </c>
      <c r="G1224" s="12">
        <v>20</v>
      </c>
      <c r="H1224" s="12">
        <v>20</v>
      </c>
      <c r="I1224" s="14"/>
      <c r="J1224" s="14" t="s">
        <v>26</v>
      </c>
      <c r="K1224" s="12" t="s">
        <v>27</v>
      </c>
      <c r="L1224" s="15"/>
      <c r="M1224" s="12" t="s">
        <v>28</v>
      </c>
      <c r="N1224" s="12"/>
      <c r="O1224" s="12"/>
      <c r="P1224" s="12"/>
      <c r="Q1224" s="16">
        <v>0</v>
      </c>
      <c r="R1224" s="16">
        <v>0</v>
      </c>
      <c r="S1224" s="16"/>
      <c r="T1224" s="16" t="e">
        <v>#N/A</v>
      </c>
      <c r="U1224" s="16" t="e">
        <v>#N/A</v>
      </c>
    </row>
    <row r="1225" spans="1:21" x14ac:dyDescent="0.25">
      <c r="A1225" s="12" t="s">
        <v>21</v>
      </c>
      <c r="B1225" s="12" t="s">
        <v>1291</v>
      </c>
      <c r="C1225" s="12" t="s">
        <v>23</v>
      </c>
      <c r="D1225" s="13">
        <v>46269.280277777776</v>
      </c>
      <c r="E1225" s="12" t="s">
        <v>266</v>
      </c>
      <c r="F1225" s="12" t="s">
        <v>735</v>
      </c>
      <c r="G1225" s="12">
        <v>10</v>
      </c>
      <c r="H1225" s="12">
        <v>10</v>
      </c>
      <c r="I1225" s="14"/>
      <c r="J1225" s="14" t="s">
        <v>61</v>
      </c>
      <c r="K1225" s="12" t="s">
        <v>27</v>
      </c>
      <c r="L1225" s="15"/>
      <c r="M1225" s="12" t="s">
        <v>28</v>
      </c>
      <c r="N1225" s="12"/>
      <c r="O1225" s="12"/>
      <c r="P1225" s="12"/>
      <c r="Q1225" s="16">
        <v>10</v>
      </c>
      <c r="R1225" s="16">
        <v>0</v>
      </c>
      <c r="S1225" s="16"/>
      <c r="T1225" s="16" t="e">
        <v>#N/A</v>
      </c>
      <c r="U1225" s="16" t="e">
        <v>#N/A</v>
      </c>
    </row>
    <row r="1226" spans="1:21" x14ac:dyDescent="0.25">
      <c r="A1226" s="12" t="s">
        <v>21</v>
      </c>
      <c r="B1226" s="12" t="s">
        <v>1291</v>
      </c>
      <c r="C1226" s="12" t="s">
        <v>23</v>
      </c>
      <c r="D1226" s="13">
        <v>46269.280277777776</v>
      </c>
      <c r="E1226" s="12" t="s">
        <v>266</v>
      </c>
      <c r="F1226" s="12" t="s">
        <v>252</v>
      </c>
      <c r="G1226" s="12">
        <v>10</v>
      </c>
      <c r="H1226" s="12">
        <v>10</v>
      </c>
      <c r="I1226" s="14"/>
      <c r="J1226" s="14" t="s">
        <v>26</v>
      </c>
      <c r="K1226" s="12" t="s">
        <v>27</v>
      </c>
      <c r="L1226" s="15"/>
      <c r="M1226" s="12" t="s">
        <v>28</v>
      </c>
      <c r="N1226" s="12"/>
      <c r="O1226" s="12"/>
      <c r="P1226" s="12"/>
      <c r="Q1226" s="16">
        <v>0</v>
      </c>
      <c r="R1226" s="16">
        <v>0</v>
      </c>
      <c r="S1226" s="16"/>
      <c r="T1226" s="16" t="e">
        <v>#N/A</v>
      </c>
      <c r="U1226" s="16" t="e">
        <v>#N/A</v>
      </c>
    </row>
    <row r="1227" spans="1:21" x14ac:dyDescent="0.25">
      <c r="A1227" s="12" t="s">
        <v>21</v>
      </c>
      <c r="B1227" s="12" t="s">
        <v>1291</v>
      </c>
      <c r="C1227" s="12" t="s">
        <v>23</v>
      </c>
      <c r="D1227" s="13">
        <v>46269.280277777776</v>
      </c>
      <c r="E1227" s="12" t="s">
        <v>266</v>
      </c>
      <c r="F1227" s="12" t="s">
        <v>253</v>
      </c>
      <c r="G1227" s="12">
        <v>50</v>
      </c>
      <c r="H1227" s="12">
        <v>50</v>
      </c>
      <c r="I1227" s="14"/>
      <c r="J1227" s="14" t="s">
        <v>61</v>
      </c>
      <c r="K1227" s="12" t="s">
        <v>1305</v>
      </c>
      <c r="L1227" s="15">
        <v>1</v>
      </c>
      <c r="M1227" s="12" t="s">
        <v>150</v>
      </c>
      <c r="N1227" s="12">
        <v>50</v>
      </c>
      <c r="O1227" s="12">
        <v>50</v>
      </c>
      <c r="P1227" s="12">
        <v>0</v>
      </c>
      <c r="Q1227" s="16">
        <v>50</v>
      </c>
      <c r="R1227" s="16">
        <v>0</v>
      </c>
      <c r="S1227" s="16"/>
      <c r="T1227" s="16" t="e">
        <v>#N/A</v>
      </c>
      <c r="U1227" s="16" t="e">
        <v>#N/A</v>
      </c>
    </row>
    <row r="1228" spans="1:21" x14ac:dyDescent="0.25">
      <c r="A1228" s="12" t="s">
        <v>21</v>
      </c>
      <c r="B1228" s="12" t="s">
        <v>1291</v>
      </c>
      <c r="C1228" s="12" t="s">
        <v>23</v>
      </c>
      <c r="D1228" s="13">
        <v>46269.280277777776</v>
      </c>
      <c r="E1228" s="12" t="s">
        <v>266</v>
      </c>
      <c r="F1228" s="12" t="s">
        <v>1293</v>
      </c>
      <c r="G1228" s="12">
        <v>10</v>
      </c>
      <c r="H1228" s="12">
        <v>10</v>
      </c>
      <c r="I1228" s="14"/>
      <c r="J1228" s="14" t="s">
        <v>26</v>
      </c>
      <c r="K1228" s="12" t="s">
        <v>27</v>
      </c>
      <c r="L1228" s="15"/>
      <c r="M1228" s="12" t="s">
        <v>28</v>
      </c>
      <c r="N1228" s="12"/>
      <c r="O1228" s="12"/>
      <c r="P1228" s="12"/>
      <c r="Q1228" s="16">
        <v>0</v>
      </c>
      <c r="R1228" s="16">
        <v>1</v>
      </c>
      <c r="S1228" s="16"/>
      <c r="T1228" s="16" t="e">
        <v>#N/A</v>
      </c>
      <c r="U1228" s="16" t="e">
        <v>#N/A</v>
      </c>
    </row>
    <row r="1229" spans="1:21" x14ac:dyDescent="0.25">
      <c r="A1229" s="12" t="s">
        <v>21</v>
      </c>
      <c r="B1229" s="12" t="s">
        <v>1291</v>
      </c>
      <c r="C1229" s="12" t="s">
        <v>23</v>
      </c>
      <c r="D1229" s="13">
        <v>46269.280277777776</v>
      </c>
      <c r="E1229" s="12" t="s">
        <v>266</v>
      </c>
      <c r="F1229" s="12" t="s">
        <v>1022</v>
      </c>
      <c r="G1229" s="12">
        <v>100</v>
      </c>
      <c r="H1229" s="12">
        <v>100</v>
      </c>
      <c r="I1229" s="14"/>
      <c r="J1229" s="14" t="s">
        <v>61</v>
      </c>
      <c r="K1229" s="12" t="s">
        <v>1306</v>
      </c>
      <c r="L1229" s="15">
        <v>1</v>
      </c>
      <c r="M1229" s="12" t="s">
        <v>150</v>
      </c>
      <c r="N1229" s="12">
        <v>100</v>
      </c>
      <c r="O1229" s="12">
        <v>100</v>
      </c>
      <c r="P1229" s="12">
        <v>0</v>
      </c>
      <c r="Q1229" s="16">
        <v>100</v>
      </c>
      <c r="R1229" s="16">
        <v>3</v>
      </c>
      <c r="S1229" s="16"/>
      <c r="T1229" s="16" t="e">
        <v>#N/A</v>
      </c>
      <c r="U1229" s="16" t="e">
        <v>#N/A</v>
      </c>
    </row>
    <row r="1230" spans="1:21" x14ac:dyDescent="0.25">
      <c r="A1230" s="12" t="s">
        <v>21</v>
      </c>
      <c r="B1230" s="12" t="s">
        <v>1291</v>
      </c>
      <c r="C1230" s="12" t="s">
        <v>23</v>
      </c>
      <c r="D1230" s="13">
        <v>46269.280277777776</v>
      </c>
      <c r="E1230" s="12" t="s">
        <v>266</v>
      </c>
      <c r="F1230" s="12" t="s">
        <v>1023</v>
      </c>
      <c r="G1230" s="12">
        <v>40</v>
      </c>
      <c r="H1230" s="12">
        <v>40</v>
      </c>
      <c r="I1230" s="14"/>
      <c r="J1230" s="14" t="s">
        <v>61</v>
      </c>
      <c r="K1230" s="12" t="s">
        <v>1307</v>
      </c>
      <c r="L1230" s="15">
        <v>1</v>
      </c>
      <c r="M1230" s="12" t="s">
        <v>150</v>
      </c>
      <c r="N1230" s="12">
        <v>40</v>
      </c>
      <c r="O1230" s="12">
        <v>40</v>
      </c>
      <c r="P1230" s="12">
        <v>0</v>
      </c>
      <c r="Q1230" s="16">
        <v>40</v>
      </c>
      <c r="R1230" s="16">
        <v>6</v>
      </c>
      <c r="S1230" s="16"/>
      <c r="T1230" s="16" t="e">
        <v>#N/A</v>
      </c>
      <c r="U1230" s="16" t="e">
        <v>#N/A</v>
      </c>
    </row>
    <row r="1231" spans="1:21" x14ac:dyDescent="0.25">
      <c r="A1231" s="12" t="s">
        <v>21</v>
      </c>
      <c r="B1231" s="12" t="s">
        <v>1291</v>
      </c>
      <c r="C1231" s="12" t="s">
        <v>23</v>
      </c>
      <c r="D1231" s="13">
        <v>46269.280277777776</v>
      </c>
      <c r="E1231" s="12" t="s">
        <v>266</v>
      </c>
      <c r="F1231" s="12" t="s">
        <v>572</v>
      </c>
      <c r="G1231" s="12">
        <v>20</v>
      </c>
      <c r="H1231" s="12">
        <v>20</v>
      </c>
      <c r="I1231" s="14"/>
      <c r="J1231" s="14" t="s">
        <v>61</v>
      </c>
      <c r="K1231" s="12" t="s">
        <v>1308</v>
      </c>
      <c r="L1231" s="15">
        <v>1</v>
      </c>
      <c r="M1231" s="12" t="s">
        <v>150</v>
      </c>
      <c r="N1231" s="12">
        <v>20</v>
      </c>
      <c r="O1231" s="12">
        <v>20</v>
      </c>
      <c r="P1231" s="12">
        <v>0</v>
      </c>
      <c r="Q1231" s="16">
        <v>20</v>
      </c>
      <c r="R1231" s="16">
        <v>10</v>
      </c>
      <c r="S1231" s="16"/>
      <c r="T1231" s="16" t="e">
        <v>#N/A</v>
      </c>
      <c r="U1231" s="16" t="e">
        <v>#N/A</v>
      </c>
    </row>
    <row r="1232" spans="1:21" x14ac:dyDescent="0.25">
      <c r="A1232" s="12" t="s">
        <v>21</v>
      </c>
      <c r="B1232" s="12" t="s">
        <v>1291</v>
      </c>
      <c r="C1232" s="12" t="s">
        <v>23</v>
      </c>
      <c r="D1232" s="13">
        <v>46269.280277777776</v>
      </c>
      <c r="E1232" s="12" t="s">
        <v>266</v>
      </c>
      <c r="F1232" s="12" t="s">
        <v>1024</v>
      </c>
      <c r="G1232" s="12">
        <v>30</v>
      </c>
      <c r="H1232" s="12">
        <v>30</v>
      </c>
      <c r="I1232" s="14"/>
      <c r="J1232" s="14" t="s">
        <v>26</v>
      </c>
      <c r="K1232" s="12" t="s">
        <v>27</v>
      </c>
      <c r="L1232" s="15"/>
      <c r="M1232" s="12" t="s">
        <v>28</v>
      </c>
      <c r="N1232" s="12"/>
      <c r="O1232" s="12"/>
      <c r="P1232" s="12"/>
      <c r="Q1232" s="16">
        <v>0</v>
      </c>
      <c r="R1232" s="16">
        <v>0</v>
      </c>
      <c r="S1232" s="16"/>
      <c r="T1232" s="16" t="e">
        <v>#N/A</v>
      </c>
      <c r="U1232" s="16" t="e">
        <v>#N/A</v>
      </c>
    </row>
    <row r="1233" spans="1:21" x14ac:dyDescent="0.25">
      <c r="A1233" s="12" t="s">
        <v>21</v>
      </c>
      <c r="B1233" s="12" t="s">
        <v>1291</v>
      </c>
      <c r="C1233" s="12" t="s">
        <v>23</v>
      </c>
      <c r="D1233" s="13">
        <v>46269.280277777776</v>
      </c>
      <c r="E1233" s="12" t="s">
        <v>266</v>
      </c>
      <c r="F1233" s="12" t="s">
        <v>1294</v>
      </c>
      <c r="G1233" s="12">
        <v>8</v>
      </c>
      <c r="H1233" s="12">
        <v>8</v>
      </c>
      <c r="I1233" s="14"/>
      <c r="J1233" s="14" t="s">
        <v>61</v>
      </c>
      <c r="K1233" s="12" t="s">
        <v>1309</v>
      </c>
      <c r="L1233" s="15">
        <v>1</v>
      </c>
      <c r="M1233" s="12" t="s">
        <v>150</v>
      </c>
      <c r="N1233" s="12">
        <v>8</v>
      </c>
      <c r="O1233" s="12">
        <v>8</v>
      </c>
      <c r="P1233" s="12">
        <v>0</v>
      </c>
      <c r="Q1233" s="16">
        <v>8</v>
      </c>
      <c r="R1233" s="16">
        <v>1</v>
      </c>
      <c r="S1233" s="16"/>
      <c r="T1233" s="16" t="e">
        <v>#N/A</v>
      </c>
      <c r="U1233" s="16" t="e">
        <v>#N/A</v>
      </c>
    </row>
    <row r="1234" spans="1:21" x14ac:dyDescent="0.25">
      <c r="A1234" s="12" t="s">
        <v>21</v>
      </c>
      <c r="B1234" s="12" t="s">
        <v>1292</v>
      </c>
      <c r="C1234" s="12" t="s">
        <v>23</v>
      </c>
      <c r="D1234" s="13">
        <v>46269.281944444447</v>
      </c>
      <c r="E1234" s="12" t="s">
        <v>398</v>
      </c>
      <c r="F1234" s="12" t="s">
        <v>243</v>
      </c>
      <c r="G1234" s="12">
        <v>80</v>
      </c>
      <c r="H1234" s="12">
        <v>80</v>
      </c>
      <c r="I1234" s="14"/>
      <c r="J1234" s="14" t="s">
        <v>61</v>
      </c>
      <c r="K1234" s="12" t="s">
        <v>1310</v>
      </c>
      <c r="L1234" s="15">
        <v>1</v>
      </c>
      <c r="M1234" s="12" t="s">
        <v>150</v>
      </c>
      <c r="N1234" s="12">
        <v>80</v>
      </c>
      <c r="O1234" s="12">
        <v>80</v>
      </c>
      <c r="P1234" s="12">
        <v>0</v>
      </c>
      <c r="Q1234" s="16">
        <v>120</v>
      </c>
      <c r="R1234" s="16">
        <v>1</v>
      </c>
      <c r="S1234" s="16"/>
      <c r="T1234" s="16" t="e">
        <v>#N/A</v>
      </c>
      <c r="U1234" s="16" t="e">
        <v>#N/A</v>
      </c>
    </row>
    <row r="1235" spans="1:21" x14ac:dyDescent="0.25">
      <c r="A1235" s="12" t="s">
        <v>21</v>
      </c>
      <c r="B1235" s="12" t="s">
        <v>1292</v>
      </c>
      <c r="C1235" s="12" t="s">
        <v>23</v>
      </c>
      <c r="D1235" s="13">
        <v>46269.281944444447</v>
      </c>
      <c r="E1235" s="12" t="s">
        <v>398</v>
      </c>
      <c r="F1235" s="12" t="s">
        <v>244</v>
      </c>
      <c r="G1235" s="12">
        <v>20</v>
      </c>
      <c r="H1235" s="12">
        <v>20</v>
      </c>
      <c r="I1235" s="14"/>
      <c r="J1235" s="14" t="s">
        <v>61</v>
      </c>
      <c r="K1235" s="12" t="s">
        <v>1311</v>
      </c>
      <c r="L1235" s="15">
        <v>1</v>
      </c>
      <c r="M1235" s="12" t="s">
        <v>150</v>
      </c>
      <c r="N1235" s="12">
        <v>20</v>
      </c>
      <c r="O1235" s="12">
        <v>20</v>
      </c>
      <c r="P1235" s="12">
        <v>0</v>
      </c>
      <c r="Q1235" s="16">
        <v>20</v>
      </c>
      <c r="R1235" s="16">
        <v>0</v>
      </c>
      <c r="S1235" s="16"/>
      <c r="T1235" s="16" t="e">
        <v>#N/A</v>
      </c>
      <c r="U1235" s="16" t="e">
        <v>#N/A</v>
      </c>
    </row>
    <row r="1236" spans="1:21" x14ac:dyDescent="0.25">
      <c r="A1236" s="12" t="s">
        <v>21</v>
      </c>
      <c r="B1236" s="12" t="s">
        <v>1292</v>
      </c>
      <c r="C1236" s="12" t="s">
        <v>23</v>
      </c>
      <c r="D1236" s="13">
        <v>46269.281944444447</v>
      </c>
      <c r="E1236" s="12" t="s">
        <v>398</v>
      </c>
      <c r="F1236" s="12" t="s">
        <v>158</v>
      </c>
      <c r="G1236" s="12">
        <v>40</v>
      </c>
      <c r="H1236" s="12">
        <v>40</v>
      </c>
      <c r="I1236" s="14"/>
      <c r="J1236" s="14" t="s">
        <v>61</v>
      </c>
      <c r="K1236" s="12" t="s">
        <v>1312</v>
      </c>
      <c r="L1236" s="15">
        <v>1</v>
      </c>
      <c r="M1236" s="12" t="s">
        <v>150</v>
      </c>
      <c r="N1236" s="12">
        <v>40</v>
      </c>
      <c r="O1236" s="12">
        <v>40</v>
      </c>
      <c r="P1236" s="12">
        <v>0</v>
      </c>
      <c r="Q1236" s="16">
        <v>120</v>
      </c>
      <c r="R1236" s="16">
        <v>0</v>
      </c>
      <c r="S1236" s="16"/>
      <c r="T1236" s="16" t="e">
        <v>#N/A</v>
      </c>
      <c r="U1236" s="16" t="e">
        <v>#N/A</v>
      </c>
    </row>
    <row r="1237" spans="1:21" x14ac:dyDescent="0.25">
      <c r="A1237" s="12" t="s">
        <v>21</v>
      </c>
      <c r="B1237" s="12" t="s">
        <v>1292</v>
      </c>
      <c r="C1237" s="12" t="s">
        <v>23</v>
      </c>
      <c r="D1237" s="13">
        <v>46269.281944444447</v>
      </c>
      <c r="E1237" s="12" t="s">
        <v>398</v>
      </c>
      <c r="F1237" s="12" t="s">
        <v>245</v>
      </c>
      <c r="G1237" s="12">
        <v>100</v>
      </c>
      <c r="H1237" s="12">
        <v>100</v>
      </c>
      <c r="I1237" s="14"/>
      <c r="J1237" s="14" t="s">
        <v>61</v>
      </c>
      <c r="K1237" s="12" t="s">
        <v>1313</v>
      </c>
      <c r="L1237" s="15">
        <v>1</v>
      </c>
      <c r="M1237" s="12" t="s">
        <v>150</v>
      </c>
      <c r="N1237" s="12">
        <v>100</v>
      </c>
      <c r="O1237" s="12">
        <v>100</v>
      </c>
      <c r="P1237" s="12">
        <v>0</v>
      </c>
      <c r="Q1237" s="16">
        <v>100</v>
      </c>
      <c r="R1237" s="16">
        <v>0</v>
      </c>
      <c r="S1237" s="16"/>
      <c r="T1237" s="16" t="e">
        <v>#N/A</v>
      </c>
      <c r="U1237" s="16" t="e">
        <v>#N/A</v>
      </c>
    </row>
    <row r="1238" spans="1:21" x14ac:dyDescent="0.25">
      <c r="A1238" s="12" t="s">
        <v>21</v>
      </c>
      <c r="B1238" s="12" t="s">
        <v>1292</v>
      </c>
      <c r="C1238" s="12" t="s">
        <v>23</v>
      </c>
      <c r="D1238" s="13">
        <v>46269.281944444447</v>
      </c>
      <c r="E1238" s="12" t="s">
        <v>398</v>
      </c>
      <c r="F1238" s="12" t="s">
        <v>267</v>
      </c>
      <c r="G1238" s="12">
        <v>6</v>
      </c>
      <c r="H1238" s="12">
        <v>6</v>
      </c>
      <c r="I1238" s="14"/>
      <c r="J1238" s="14" t="s">
        <v>61</v>
      </c>
      <c r="K1238" s="12" t="s">
        <v>1314</v>
      </c>
      <c r="L1238" s="15">
        <v>1</v>
      </c>
      <c r="M1238" s="12" t="s">
        <v>150</v>
      </c>
      <c r="N1238" s="12">
        <v>6</v>
      </c>
      <c r="O1238" s="12">
        <v>6</v>
      </c>
      <c r="P1238" s="12">
        <v>0</v>
      </c>
      <c r="Q1238" s="16">
        <v>15</v>
      </c>
      <c r="R1238" s="16">
        <v>0</v>
      </c>
      <c r="S1238" s="16"/>
      <c r="T1238" s="16" t="e">
        <v>#N/A</v>
      </c>
      <c r="U1238" s="16" t="e">
        <v>#N/A</v>
      </c>
    </row>
    <row r="1239" spans="1:21" x14ac:dyDescent="0.25">
      <c r="A1239" s="12" t="s">
        <v>21</v>
      </c>
      <c r="B1239" s="12" t="s">
        <v>1292</v>
      </c>
      <c r="C1239" s="12" t="s">
        <v>23</v>
      </c>
      <c r="D1239" s="13">
        <v>46269.281944444447</v>
      </c>
      <c r="E1239" s="12" t="s">
        <v>398</v>
      </c>
      <c r="F1239" s="12" t="s">
        <v>373</v>
      </c>
      <c r="G1239" s="12">
        <v>9</v>
      </c>
      <c r="H1239" s="12">
        <v>9</v>
      </c>
      <c r="I1239" s="14"/>
      <c r="J1239" s="14" t="s">
        <v>61</v>
      </c>
      <c r="K1239" s="12" t="s">
        <v>1315</v>
      </c>
      <c r="L1239" s="15">
        <v>1</v>
      </c>
      <c r="M1239" s="12" t="s">
        <v>150</v>
      </c>
      <c r="N1239" s="12">
        <v>9</v>
      </c>
      <c r="O1239" s="12">
        <v>9</v>
      </c>
      <c r="P1239" s="12">
        <v>0</v>
      </c>
      <c r="Q1239" s="16">
        <v>15</v>
      </c>
      <c r="R1239" s="16">
        <v>2</v>
      </c>
      <c r="S1239" s="16"/>
      <c r="T1239" s="16" t="e">
        <v>#N/A</v>
      </c>
      <c r="U1239" s="16" t="e">
        <v>#N/A</v>
      </c>
    </row>
    <row r="1240" spans="1:21" x14ac:dyDescent="0.25">
      <c r="A1240" s="12" t="s">
        <v>21</v>
      </c>
      <c r="B1240" s="12" t="s">
        <v>1292</v>
      </c>
      <c r="C1240" s="12" t="s">
        <v>23</v>
      </c>
      <c r="D1240" s="13">
        <v>46269.281944444447</v>
      </c>
      <c r="E1240" s="12" t="s">
        <v>398</v>
      </c>
      <c r="F1240" s="12" t="s">
        <v>553</v>
      </c>
      <c r="G1240" s="12">
        <v>20</v>
      </c>
      <c r="H1240" s="12">
        <v>20</v>
      </c>
      <c r="I1240" s="14"/>
      <c r="J1240" s="14" t="s">
        <v>61</v>
      </c>
      <c r="K1240" s="12" t="s">
        <v>1316</v>
      </c>
      <c r="L1240" s="15">
        <v>1</v>
      </c>
      <c r="M1240" s="12" t="s">
        <v>150</v>
      </c>
      <c r="N1240" s="12">
        <v>20</v>
      </c>
      <c r="O1240" s="12">
        <v>20</v>
      </c>
      <c r="P1240" s="12">
        <v>0</v>
      </c>
      <c r="Q1240" s="16">
        <v>20</v>
      </c>
      <c r="R1240" s="16">
        <v>2</v>
      </c>
      <c r="S1240" s="16"/>
      <c r="T1240" s="16" t="e">
        <v>#N/A</v>
      </c>
      <c r="U1240" s="16" t="e">
        <v>#N/A</v>
      </c>
    </row>
    <row r="1241" spans="1:21" x14ac:dyDescent="0.25">
      <c r="A1241" s="12" t="s">
        <v>21</v>
      </c>
      <c r="B1241" s="12" t="s">
        <v>1292</v>
      </c>
      <c r="C1241" s="12" t="s">
        <v>23</v>
      </c>
      <c r="D1241" s="13">
        <v>46269.281944444447</v>
      </c>
      <c r="E1241" s="12" t="s">
        <v>398</v>
      </c>
      <c r="F1241" s="12" t="s">
        <v>283</v>
      </c>
      <c r="G1241" s="12">
        <v>28</v>
      </c>
      <c r="H1241" s="12">
        <v>28</v>
      </c>
      <c r="I1241" s="14"/>
      <c r="J1241" s="14" t="s">
        <v>61</v>
      </c>
      <c r="K1241" s="12" t="s">
        <v>1317</v>
      </c>
      <c r="L1241" s="15">
        <v>1</v>
      </c>
      <c r="M1241" s="12" t="s">
        <v>150</v>
      </c>
      <c r="N1241" s="12">
        <v>28</v>
      </c>
      <c r="O1241" s="12">
        <v>28</v>
      </c>
      <c r="P1241" s="12">
        <v>0</v>
      </c>
      <c r="Q1241" s="16">
        <v>28</v>
      </c>
      <c r="R1241" s="16">
        <v>0</v>
      </c>
      <c r="S1241" s="16"/>
      <c r="T1241" s="16" t="e">
        <v>#N/A</v>
      </c>
      <c r="U1241" s="16" t="e">
        <v>#N/A</v>
      </c>
    </row>
    <row r="1242" spans="1:21" x14ac:dyDescent="0.25">
      <c r="A1242" s="12" t="s">
        <v>21</v>
      </c>
      <c r="B1242" s="12" t="s">
        <v>1292</v>
      </c>
      <c r="C1242" s="12" t="s">
        <v>23</v>
      </c>
      <c r="D1242" s="13">
        <v>46269.281944444447</v>
      </c>
      <c r="E1242" s="12" t="s">
        <v>398</v>
      </c>
      <c r="F1242" s="12" t="s">
        <v>401</v>
      </c>
      <c r="G1242" s="12">
        <v>8</v>
      </c>
      <c r="H1242" s="12">
        <v>8</v>
      </c>
      <c r="I1242" s="14"/>
      <c r="J1242" s="14" t="s">
        <v>61</v>
      </c>
      <c r="K1242" s="12" t="s">
        <v>1318</v>
      </c>
      <c r="L1242" s="15">
        <v>1</v>
      </c>
      <c r="M1242" s="12" t="s">
        <v>150</v>
      </c>
      <c r="N1242" s="12">
        <v>8</v>
      </c>
      <c r="O1242" s="12">
        <v>8</v>
      </c>
      <c r="P1242" s="12">
        <v>0</v>
      </c>
      <c r="Q1242" s="16">
        <v>8</v>
      </c>
      <c r="R1242" s="16">
        <v>0</v>
      </c>
      <c r="S1242" s="16"/>
      <c r="T1242" s="16" t="e">
        <v>#N/A</v>
      </c>
      <c r="U1242" s="16" t="e">
        <v>#N/A</v>
      </c>
    </row>
    <row r="1243" spans="1:21" x14ac:dyDescent="0.25">
      <c r="A1243" s="12" t="s">
        <v>21</v>
      </c>
      <c r="B1243" s="12" t="s">
        <v>1292</v>
      </c>
      <c r="C1243" s="12" t="s">
        <v>23</v>
      </c>
      <c r="D1243" s="13">
        <v>46269.281944444447</v>
      </c>
      <c r="E1243" s="12" t="s">
        <v>398</v>
      </c>
      <c r="F1243" s="12" t="s">
        <v>201</v>
      </c>
      <c r="G1243" s="12">
        <v>32</v>
      </c>
      <c r="H1243" s="12">
        <v>32</v>
      </c>
      <c r="I1243" s="14"/>
      <c r="J1243" s="14" t="s">
        <v>61</v>
      </c>
      <c r="K1243" s="12" t="s">
        <v>1319</v>
      </c>
      <c r="L1243" s="15">
        <v>1</v>
      </c>
      <c r="M1243" s="12" t="s">
        <v>150</v>
      </c>
      <c r="N1243" s="12">
        <v>32</v>
      </c>
      <c r="O1243" s="12">
        <v>32</v>
      </c>
      <c r="P1243" s="12">
        <v>0</v>
      </c>
      <c r="Q1243" s="16">
        <v>52</v>
      </c>
      <c r="R1243" s="16">
        <v>0</v>
      </c>
      <c r="S1243" s="16"/>
      <c r="T1243" s="16" t="e">
        <v>#N/A</v>
      </c>
      <c r="U1243" s="16" t="e">
        <v>#N/A</v>
      </c>
    </row>
    <row r="1244" spans="1:21" x14ac:dyDescent="0.25">
      <c r="A1244" s="12" t="s">
        <v>21</v>
      </c>
      <c r="B1244" s="12" t="s">
        <v>1292</v>
      </c>
      <c r="C1244" s="12" t="s">
        <v>23</v>
      </c>
      <c r="D1244" s="13">
        <v>46269.281944444447</v>
      </c>
      <c r="E1244" s="12" t="s">
        <v>398</v>
      </c>
      <c r="F1244" s="12" t="s">
        <v>253</v>
      </c>
      <c r="G1244" s="12">
        <v>20</v>
      </c>
      <c r="H1244" s="12">
        <v>20</v>
      </c>
      <c r="I1244" s="14"/>
      <c r="J1244" s="14" t="s">
        <v>61</v>
      </c>
      <c r="K1244" s="12" t="s">
        <v>1320</v>
      </c>
      <c r="L1244" s="15">
        <v>1</v>
      </c>
      <c r="M1244" s="12" t="s">
        <v>150</v>
      </c>
      <c r="N1244" s="12">
        <v>20</v>
      </c>
      <c r="O1244" s="12">
        <v>20</v>
      </c>
      <c r="P1244" s="12">
        <v>0</v>
      </c>
      <c r="Q1244" s="16">
        <v>52</v>
      </c>
      <c r="R1244" s="16">
        <v>0</v>
      </c>
      <c r="S1244" s="16"/>
      <c r="T1244" s="16" t="e">
        <v>#N/A</v>
      </c>
      <c r="U1244" s="16" t="e">
        <v>#N/A</v>
      </c>
    </row>
    <row r="1245" spans="1:21" x14ac:dyDescent="0.25">
      <c r="A1245" s="12" t="s">
        <v>21</v>
      </c>
      <c r="B1245" s="12" t="s">
        <v>1292</v>
      </c>
      <c r="C1245" s="12" t="s">
        <v>23</v>
      </c>
      <c r="D1245" s="13">
        <v>46269.281944444447</v>
      </c>
      <c r="E1245" s="12" t="s">
        <v>398</v>
      </c>
      <c r="F1245" s="12" t="s">
        <v>134</v>
      </c>
      <c r="G1245" s="12">
        <v>100</v>
      </c>
      <c r="H1245" s="12">
        <v>100</v>
      </c>
      <c r="I1245" s="14"/>
      <c r="J1245" s="14" t="s">
        <v>61</v>
      </c>
      <c r="K1245" s="12" t="s">
        <v>1321</v>
      </c>
      <c r="L1245" s="15">
        <v>1</v>
      </c>
      <c r="M1245" s="12" t="s">
        <v>150</v>
      </c>
      <c r="N1245" s="12">
        <v>100</v>
      </c>
      <c r="O1245" s="12">
        <v>100</v>
      </c>
      <c r="P1245" s="12">
        <v>0</v>
      </c>
      <c r="Q1245" s="16">
        <v>100</v>
      </c>
      <c r="R1245" s="16">
        <v>6</v>
      </c>
      <c r="S1245" s="16"/>
      <c r="T1245" s="16" t="e">
        <v>#N/A</v>
      </c>
      <c r="U1245" s="16" t="e">
        <v>#N/A</v>
      </c>
    </row>
    <row r="1246" spans="1:21" x14ac:dyDescent="0.25">
      <c r="A1246" s="12" t="s">
        <v>21</v>
      </c>
      <c r="B1246" s="12" t="s">
        <v>1322</v>
      </c>
      <c r="C1246" s="12" t="s">
        <v>23</v>
      </c>
      <c r="D1246" s="13">
        <v>46269.305231481485</v>
      </c>
      <c r="E1246" s="12" t="s">
        <v>24</v>
      </c>
      <c r="F1246" s="12" t="s">
        <v>118</v>
      </c>
      <c r="G1246" s="12">
        <v>5</v>
      </c>
      <c r="H1246" s="12">
        <v>5</v>
      </c>
      <c r="I1246" s="14"/>
      <c r="J1246" s="14" t="s">
        <v>61</v>
      </c>
      <c r="K1246" s="12" t="s">
        <v>1326</v>
      </c>
      <c r="L1246" s="15">
        <v>1</v>
      </c>
      <c r="M1246" s="12" t="s">
        <v>150</v>
      </c>
      <c r="N1246" s="12">
        <v>5</v>
      </c>
      <c r="O1246" s="12">
        <v>5</v>
      </c>
      <c r="P1246" s="12">
        <v>0</v>
      </c>
      <c r="Q1246" s="16">
        <v>5</v>
      </c>
      <c r="R1246" s="16">
        <v>0</v>
      </c>
      <c r="S1246" s="16"/>
      <c r="T1246" s="16" t="e">
        <v>#N/A</v>
      </c>
      <c r="U1246" s="16" t="e">
        <v>#N/A</v>
      </c>
    </row>
    <row r="1247" spans="1:21" x14ac:dyDescent="0.25">
      <c r="A1247" s="12" t="s">
        <v>21</v>
      </c>
      <c r="B1247" s="12" t="s">
        <v>1322</v>
      </c>
      <c r="C1247" s="12" t="s">
        <v>23</v>
      </c>
      <c r="D1247" s="13">
        <v>46269.305231481485</v>
      </c>
      <c r="E1247" s="12" t="s">
        <v>24</v>
      </c>
      <c r="F1247" s="12" t="s">
        <v>1323</v>
      </c>
      <c r="G1247" s="12">
        <v>6</v>
      </c>
      <c r="H1247" s="12">
        <v>6</v>
      </c>
      <c r="I1247" s="14"/>
      <c r="J1247" s="14" t="s">
        <v>61</v>
      </c>
      <c r="K1247" s="12" t="s">
        <v>1327</v>
      </c>
      <c r="L1247" s="15">
        <v>1</v>
      </c>
      <c r="M1247" s="12" t="s">
        <v>150</v>
      </c>
      <c r="N1247" s="12">
        <v>6</v>
      </c>
      <c r="O1247" s="12">
        <v>6</v>
      </c>
      <c r="P1247" s="12">
        <v>0</v>
      </c>
      <c r="Q1247" s="16">
        <v>6</v>
      </c>
      <c r="R1247" s="16">
        <v>0</v>
      </c>
      <c r="S1247" s="16"/>
      <c r="T1247" s="16" t="e">
        <v>#N/A</v>
      </c>
      <c r="U1247" s="16" t="e">
        <v>#N/A</v>
      </c>
    </row>
    <row r="1248" spans="1:21" x14ac:dyDescent="0.25">
      <c r="A1248" s="12" t="s">
        <v>21</v>
      </c>
      <c r="B1248" s="12" t="s">
        <v>1322</v>
      </c>
      <c r="C1248" s="12" t="s">
        <v>23</v>
      </c>
      <c r="D1248" s="13">
        <v>46269.305231481485</v>
      </c>
      <c r="E1248" s="12" t="s">
        <v>24</v>
      </c>
      <c r="F1248" s="12" t="s">
        <v>1324</v>
      </c>
      <c r="G1248" s="12">
        <v>5</v>
      </c>
      <c r="H1248" s="12">
        <v>5</v>
      </c>
      <c r="I1248" s="14"/>
      <c r="J1248" s="14" t="s">
        <v>61</v>
      </c>
      <c r="K1248" s="12" t="s">
        <v>1328</v>
      </c>
      <c r="L1248" s="15">
        <v>1</v>
      </c>
      <c r="M1248" s="12" t="s">
        <v>150</v>
      </c>
      <c r="N1248" s="12">
        <v>5</v>
      </c>
      <c r="O1248" s="12">
        <v>5</v>
      </c>
      <c r="P1248" s="12">
        <v>0</v>
      </c>
      <c r="Q1248" s="16">
        <v>5</v>
      </c>
      <c r="R1248" s="16">
        <v>0</v>
      </c>
      <c r="S1248" s="16"/>
      <c r="T1248" s="16" t="e">
        <v>#N/A</v>
      </c>
      <c r="U1248" s="16" t="e">
        <v>#N/A</v>
      </c>
    </row>
    <row r="1249" spans="1:21" x14ac:dyDescent="0.25">
      <c r="A1249" s="12" t="s">
        <v>21</v>
      </c>
      <c r="B1249" s="12" t="s">
        <v>1322</v>
      </c>
      <c r="C1249" s="12" t="s">
        <v>23</v>
      </c>
      <c r="D1249" s="13">
        <v>46269.305231481485</v>
      </c>
      <c r="E1249" s="12" t="s">
        <v>24</v>
      </c>
      <c r="F1249" s="12" t="s">
        <v>1325</v>
      </c>
      <c r="G1249" s="12">
        <v>5</v>
      </c>
      <c r="H1249" s="12">
        <v>5</v>
      </c>
      <c r="I1249" s="14"/>
      <c r="J1249" s="14" t="s">
        <v>61</v>
      </c>
      <c r="K1249" s="12" t="s">
        <v>1329</v>
      </c>
      <c r="L1249" s="15">
        <v>1</v>
      </c>
      <c r="M1249" s="12" t="s">
        <v>150</v>
      </c>
      <c r="N1249" s="12">
        <v>5</v>
      </c>
      <c r="O1249" s="12">
        <v>5</v>
      </c>
      <c r="P1249" s="12">
        <v>0</v>
      </c>
      <c r="Q1249" s="16">
        <v>5</v>
      </c>
      <c r="R1249" s="16">
        <v>0</v>
      </c>
      <c r="S1249" s="16"/>
      <c r="T1249" s="16" t="e">
        <v>#N/A</v>
      </c>
      <c r="U1249" s="16" t="e">
        <v>#N/A</v>
      </c>
    </row>
    <row r="1250" spans="1:21" x14ac:dyDescent="0.25">
      <c r="A1250" s="12" t="s">
        <v>21</v>
      </c>
      <c r="B1250" s="12" t="s">
        <v>1322</v>
      </c>
      <c r="C1250" s="12" t="s">
        <v>23</v>
      </c>
      <c r="D1250" s="13">
        <v>46269.305231481485</v>
      </c>
      <c r="E1250" s="12" t="s">
        <v>24</v>
      </c>
      <c r="F1250" s="12" t="s">
        <v>1330</v>
      </c>
      <c r="G1250" s="12">
        <v>1</v>
      </c>
      <c r="H1250" s="12">
        <v>1</v>
      </c>
      <c r="I1250" s="14"/>
      <c r="J1250" s="14" t="s">
        <v>61</v>
      </c>
      <c r="K1250" s="12" t="s">
        <v>1331</v>
      </c>
      <c r="L1250" s="15">
        <v>1</v>
      </c>
      <c r="M1250" s="12" t="s">
        <v>150</v>
      </c>
      <c r="N1250" s="12">
        <v>1</v>
      </c>
      <c r="O1250" s="12">
        <v>1</v>
      </c>
      <c r="P1250" s="12">
        <v>0</v>
      </c>
      <c r="Q1250" s="16">
        <v>1</v>
      </c>
      <c r="R1250" s="16">
        <v>0</v>
      </c>
      <c r="S1250" s="16"/>
      <c r="T1250" s="16" t="e">
        <v>#N/A</v>
      </c>
      <c r="U1250" s="16" t="e">
        <v>#N/A</v>
      </c>
    </row>
    <row r="1251" spans="1:21" x14ac:dyDescent="0.25">
      <c r="A1251" s="12" t="s">
        <v>21</v>
      </c>
      <c r="B1251" s="12" t="s">
        <v>1332</v>
      </c>
      <c r="C1251" s="12" t="s">
        <v>23</v>
      </c>
      <c r="D1251" s="13">
        <v>46269.364016203705</v>
      </c>
      <c r="E1251" s="12" t="s">
        <v>266</v>
      </c>
      <c r="F1251" s="12" t="s">
        <v>157</v>
      </c>
      <c r="G1251" s="12">
        <v>16</v>
      </c>
      <c r="H1251" s="12">
        <v>16</v>
      </c>
      <c r="I1251" s="14"/>
      <c r="J1251" s="14" t="s">
        <v>26</v>
      </c>
      <c r="K1251" s="12" t="s">
        <v>27</v>
      </c>
      <c r="L1251" s="15"/>
      <c r="M1251" s="12" t="s">
        <v>28</v>
      </c>
      <c r="N1251" s="12"/>
      <c r="O1251" s="12"/>
      <c r="P1251" s="12"/>
      <c r="Q1251" s="16">
        <v>0</v>
      </c>
      <c r="R1251" s="16">
        <v>0</v>
      </c>
      <c r="S1251" s="16"/>
      <c r="T1251" s="16" t="e">
        <v>#N/A</v>
      </c>
      <c r="U1251" s="16" t="e">
        <v>#N/A</v>
      </c>
    </row>
    <row r="1252" spans="1:21" x14ac:dyDescent="0.25">
      <c r="A1252" s="12" t="s">
        <v>21</v>
      </c>
      <c r="B1252" s="12" t="s">
        <v>1332</v>
      </c>
      <c r="C1252" s="12" t="s">
        <v>23</v>
      </c>
      <c r="D1252" s="13">
        <v>46269.364016203705</v>
      </c>
      <c r="E1252" s="12" t="s">
        <v>266</v>
      </c>
      <c r="F1252" s="12" t="s">
        <v>412</v>
      </c>
      <c r="G1252" s="12">
        <v>10</v>
      </c>
      <c r="H1252" s="12">
        <v>10</v>
      </c>
      <c r="I1252" s="14"/>
      <c r="J1252" s="14" t="s">
        <v>26</v>
      </c>
      <c r="K1252" s="12" t="s">
        <v>27</v>
      </c>
      <c r="L1252" s="15"/>
      <c r="M1252" s="12" t="s">
        <v>28</v>
      </c>
      <c r="N1252" s="12"/>
      <c r="O1252" s="12"/>
      <c r="P1252" s="12"/>
      <c r="Q1252" s="16">
        <v>0</v>
      </c>
      <c r="R1252" s="16">
        <v>0</v>
      </c>
      <c r="S1252" s="16"/>
      <c r="T1252" s="16" t="e">
        <v>#N/A</v>
      </c>
      <c r="U1252" s="16" t="e">
        <v>#N/A</v>
      </c>
    </row>
    <row r="1253" spans="1:21" x14ac:dyDescent="0.25">
      <c r="A1253" s="12" t="s">
        <v>21</v>
      </c>
      <c r="B1253" s="12" t="s">
        <v>1332</v>
      </c>
      <c r="C1253" s="12" t="s">
        <v>23</v>
      </c>
      <c r="D1253" s="13">
        <v>46269.364016203705</v>
      </c>
      <c r="E1253" s="12" t="s">
        <v>266</v>
      </c>
      <c r="F1253" s="12" t="s">
        <v>523</v>
      </c>
      <c r="G1253" s="12">
        <v>6</v>
      </c>
      <c r="H1253" s="12">
        <v>6</v>
      </c>
      <c r="I1253" s="14"/>
      <c r="J1253" s="14" t="s">
        <v>26</v>
      </c>
      <c r="K1253" s="12" t="s">
        <v>27</v>
      </c>
      <c r="L1253" s="15"/>
      <c r="M1253" s="12" t="s">
        <v>28</v>
      </c>
      <c r="N1253" s="12"/>
      <c r="O1253" s="12"/>
      <c r="P1253" s="12"/>
      <c r="Q1253" s="16">
        <v>0</v>
      </c>
      <c r="R1253" s="16">
        <v>3</v>
      </c>
      <c r="S1253" s="16"/>
      <c r="T1253" s="16" t="e">
        <v>#N/A</v>
      </c>
      <c r="U1253" s="16" t="e">
        <v>#N/A</v>
      </c>
    </row>
    <row r="1254" spans="1:21" x14ac:dyDescent="0.25">
      <c r="A1254" s="12" t="s">
        <v>21</v>
      </c>
      <c r="B1254" s="12" t="s">
        <v>1332</v>
      </c>
      <c r="C1254" s="12" t="s">
        <v>23</v>
      </c>
      <c r="D1254" s="13">
        <v>46269.364016203705</v>
      </c>
      <c r="E1254" s="12" t="s">
        <v>266</v>
      </c>
      <c r="F1254" s="12" t="s">
        <v>1258</v>
      </c>
      <c r="G1254" s="12">
        <v>10</v>
      </c>
      <c r="H1254" s="12">
        <v>10</v>
      </c>
      <c r="I1254" s="14"/>
      <c r="J1254" s="14" t="s">
        <v>26</v>
      </c>
      <c r="K1254" s="12" t="s">
        <v>27</v>
      </c>
      <c r="L1254" s="15"/>
      <c r="M1254" s="12" t="s">
        <v>28</v>
      </c>
      <c r="N1254" s="12"/>
      <c r="O1254" s="12"/>
      <c r="P1254" s="12"/>
      <c r="Q1254" s="16">
        <v>0</v>
      </c>
      <c r="R1254" s="16">
        <v>2</v>
      </c>
      <c r="S1254" s="16"/>
      <c r="T1254" s="16" t="e">
        <v>#N/A</v>
      </c>
      <c r="U1254" s="16" t="e">
        <v>#N/A</v>
      </c>
    </row>
    <row r="1255" spans="1:21" x14ac:dyDescent="0.25">
      <c r="A1255" s="12" t="s">
        <v>21</v>
      </c>
      <c r="B1255" s="12" t="s">
        <v>1332</v>
      </c>
      <c r="C1255" s="12" t="s">
        <v>23</v>
      </c>
      <c r="D1255" s="13">
        <v>46269.364016203705</v>
      </c>
      <c r="E1255" s="12" t="s">
        <v>266</v>
      </c>
      <c r="F1255" s="12" t="s">
        <v>159</v>
      </c>
      <c r="G1255" s="12">
        <v>24</v>
      </c>
      <c r="H1255" s="12">
        <v>24</v>
      </c>
      <c r="I1255" s="14"/>
      <c r="J1255" s="14" t="s">
        <v>26</v>
      </c>
      <c r="K1255" s="12" t="s">
        <v>27</v>
      </c>
      <c r="L1255" s="15"/>
      <c r="M1255" s="12" t="s">
        <v>28</v>
      </c>
      <c r="N1255" s="12"/>
      <c r="O1255" s="12"/>
      <c r="P1255" s="12"/>
      <c r="Q1255" s="16">
        <v>0</v>
      </c>
      <c r="R1255" s="16">
        <v>0</v>
      </c>
      <c r="S1255" s="16"/>
      <c r="T1255" s="16" t="e">
        <v>#N/A</v>
      </c>
      <c r="U1255" s="16" t="e">
        <v>#N/A</v>
      </c>
    </row>
    <row r="1256" spans="1:21" x14ac:dyDescent="0.25">
      <c r="A1256" s="12" t="s">
        <v>21</v>
      </c>
      <c r="B1256" s="12" t="s">
        <v>1332</v>
      </c>
      <c r="C1256" s="12" t="s">
        <v>23</v>
      </c>
      <c r="D1256" s="13">
        <v>46269.364016203705</v>
      </c>
      <c r="E1256" s="12" t="s">
        <v>266</v>
      </c>
      <c r="F1256" s="12" t="s">
        <v>160</v>
      </c>
      <c r="G1256" s="12">
        <v>40</v>
      </c>
      <c r="H1256" s="12">
        <v>40</v>
      </c>
      <c r="I1256" s="14"/>
      <c r="J1256" s="14" t="s">
        <v>26</v>
      </c>
      <c r="K1256" s="12" t="s">
        <v>27</v>
      </c>
      <c r="L1256" s="15"/>
      <c r="M1256" s="12" t="s">
        <v>28</v>
      </c>
      <c r="N1256" s="12"/>
      <c r="O1256" s="12"/>
      <c r="P1256" s="12"/>
      <c r="Q1256" s="16">
        <v>0</v>
      </c>
      <c r="R1256" s="16">
        <v>0</v>
      </c>
      <c r="S1256" s="16"/>
      <c r="T1256" s="16" t="e">
        <v>#N/A</v>
      </c>
      <c r="U1256" s="16" t="e">
        <v>#N/A</v>
      </c>
    </row>
    <row r="1257" spans="1:21" x14ac:dyDescent="0.25">
      <c r="A1257" s="12" t="s">
        <v>21</v>
      </c>
      <c r="B1257" s="12" t="s">
        <v>1332</v>
      </c>
      <c r="C1257" s="12" t="s">
        <v>23</v>
      </c>
      <c r="D1257" s="13">
        <v>46269.364016203705</v>
      </c>
      <c r="E1257" s="12" t="s">
        <v>266</v>
      </c>
      <c r="F1257" s="12" t="s">
        <v>413</v>
      </c>
      <c r="G1257" s="12">
        <v>8</v>
      </c>
      <c r="H1257" s="12">
        <v>8</v>
      </c>
      <c r="I1257" s="14"/>
      <c r="J1257" s="14" t="s">
        <v>26</v>
      </c>
      <c r="K1257" s="12" t="s">
        <v>27</v>
      </c>
      <c r="L1257" s="15"/>
      <c r="M1257" s="12" t="s">
        <v>28</v>
      </c>
      <c r="N1257" s="12"/>
      <c r="O1257" s="12"/>
      <c r="P1257" s="12"/>
      <c r="Q1257" s="16">
        <v>0</v>
      </c>
      <c r="R1257" s="16">
        <v>5</v>
      </c>
      <c r="S1257" s="16"/>
      <c r="T1257" s="16" t="e">
        <v>#N/A</v>
      </c>
      <c r="U1257" s="16" t="e">
        <v>#N/A</v>
      </c>
    </row>
    <row r="1258" spans="1:21" x14ac:dyDescent="0.25">
      <c r="A1258" s="12" t="s">
        <v>21</v>
      </c>
      <c r="B1258" s="12" t="s">
        <v>1332</v>
      </c>
      <c r="C1258" s="12" t="s">
        <v>23</v>
      </c>
      <c r="D1258" s="13">
        <v>46269.364016203705</v>
      </c>
      <c r="E1258" s="12" t="s">
        <v>266</v>
      </c>
      <c r="F1258" s="12" t="s">
        <v>373</v>
      </c>
      <c r="G1258" s="12">
        <v>18</v>
      </c>
      <c r="H1258" s="12">
        <v>18</v>
      </c>
      <c r="I1258" s="14"/>
      <c r="J1258" s="14" t="s">
        <v>26</v>
      </c>
      <c r="K1258" s="12" t="s">
        <v>27</v>
      </c>
      <c r="L1258" s="15"/>
      <c r="M1258" s="12" t="s">
        <v>28</v>
      </c>
      <c r="N1258" s="12"/>
      <c r="O1258" s="12"/>
      <c r="P1258" s="12"/>
      <c r="Q1258" s="16">
        <v>0</v>
      </c>
      <c r="R1258" s="16">
        <v>2</v>
      </c>
      <c r="S1258" s="16"/>
      <c r="T1258" s="16" t="e">
        <v>#N/A</v>
      </c>
      <c r="U1258" s="16" t="e">
        <v>#N/A</v>
      </c>
    </row>
    <row r="1259" spans="1:21" x14ac:dyDescent="0.25">
      <c r="A1259" s="12" t="s">
        <v>21</v>
      </c>
      <c r="B1259" s="12" t="s">
        <v>1332</v>
      </c>
      <c r="C1259" s="12" t="s">
        <v>23</v>
      </c>
      <c r="D1259" s="13">
        <v>46269.364016203705</v>
      </c>
      <c r="E1259" s="12" t="s">
        <v>266</v>
      </c>
      <c r="F1259" s="12" t="s">
        <v>70</v>
      </c>
      <c r="G1259" s="12">
        <v>50</v>
      </c>
      <c r="H1259" s="12">
        <v>50</v>
      </c>
      <c r="I1259" s="14"/>
      <c r="J1259" s="14" t="s">
        <v>26</v>
      </c>
      <c r="K1259" s="12" t="s">
        <v>27</v>
      </c>
      <c r="L1259" s="15"/>
      <c r="M1259" s="12" t="s">
        <v>28</v>
      </c>
      <c r="N1259" s="12"/>
      <c r="O1259" s="12"/>
      <c r="P1259" s="12"/>
      <c r="Q1259" s="16">
        <v>0</v>
      </c>
      <c r="R1259" s="16">
        <v>0</v>
      </c>
      <c r="S1259" s="16"/>
      <c r="T1259" s="16" t="e">
        <v>#N/A</v>
      </c>
      <c r="U1259" s="16" t="e">
        <v>#N/A</v>
      </c>
    </row>
    <row r="1260" spans="1:21" x14ac:dyDescent="0.25">
      <c r="A1260" s="12" t="s">
        <v>21</v>
      </c>
      <c r="B1260" s="12" t="s">
        <v>1332</v>
      </c>
      <c r="C1260" s="12" t="s">
        <v>23</v>
      </c>
      <c r="D1260" s="13">
        <v>46269.364016203705</v>
      </c>
      <c r="E1260" s="12" t="s">
        <v>266</v>
      </c>
      <c r="F1260" s="12" t="s">
        <v>617</v>
      </c>
      <c r="G1260" s="12">
        <v>10</v>
      </c>
      <c r="H1260" s="12">
        <v>10</v>
      </c>
      <c r="I1260" s="14"/>
      <c r="J1260" s="14" t="s">
        <v>26</v>
      </c>
      <c r="K1260" s="12" t="s">
        <v>27</v>
      </c>
      <c r="L1260" s="15"/>
      <c r="M1260" s="12" t="s">
        <v>28</v>
      </c>
      <c r="N1260" s="12"/>
      <c r="O1260" s="12"/>
      <c r="P1260" s="12"/>
      <c r="Q1260" s="16">
        <v>0</v>
      </c>
      <c r="R1260" s="16">
        <v>0</v>
      </c>
      <c r="S1260" s="16"/>
      <c r="T1260" s="16" t="e">
        <v>#N/A</v>
      </c>
      <c r="U1260" s="16" t="e">
        <v>#N/A</v>
      </c>
    </row>
    <row r="1261" spans="1:21" x14ac:dyDescent="0.25">
      <c r="A1261" s="12" t="s">
        <v>21</v>
      </c>
      <c r="B1261" s="12" t="s">
        <v>1332</v>
      </c>
      <c r="C1261" s="12" t="s">
        <v>23</v>
      </c>
      <c r="D1261" s="13">
        <v>46269.364016203705</v>
      </c>
      <c r="E1261" s="12" t="s">
        <v>266</v>
      </c>
      <c r="F1261" s="12" t="s">
        <v>1333</v>
      </c>
      <c r="G1261" s="12">
        <v>40</v>
      </c>
      <c r="H1261" s="12">
        <v>40</v>
      </c>
      <c r="I1261" s="14"/>
      <c r="J1261" s="14" t="s">
        <v>26</v>
      </c>
      <c r="K1261" s="12" t="s">
        <v>27</v>
      </c>
      <c r="L1261" s="15"/>
      <c r="M1261" s="12" t="s">
        <v>28</v>
      </c>
      <c r="N1261" s="12"/>
      <c r="O1261" s="12"/>
      <c r="P1261" s="12"/>
      <c r="Q1261" s="16">
        <v>0</v>
      </c>
      <c r="R1261" s="16">
        <v>0</v>
      </c>
      <c r="S1261" s="16">
        <v>29</v>
      </c>
      <c r="T1261" s="16" t="e">
        <v>#N/A</v>
      </c>
      <c r="U1261" s="16" t="e">
        <v>#N/A</v>
      </c>
    </row>
    <row r="1262" spans="1:21" x14ac:dyDescent="0.25">
      <c r="A1262" s="12" t="s">
        <v>21</v>
      </c>
      <c r="B1262" s="12" t="s">
        <v>1332</v>
      </c>
      <c r="C1262" s="12" t="s">
        <v>23</v>
      </c>
      <c r="D1262" s="13">
        <v>46269.364016203705</v>
      </c>
      <c r="E1262" s="12" t="s">
        <v>266</v>
      </c>
      <c r="F1262" s="12" t="s">
        <v>71</v>
      </c>
      <c r="G1262" s="12">
        <v>100</v>
      </c>
      <c r="H1262" s="12">
        <v>100</v>
      </c>
      <c r="I1262" s="14"/>
      <c r="J1262" s="14" t="s">
        <v>26</v>
      </c>
      <c r="K1262" s="12" t="s">
        <v>27</v>
      </c>
      <c r="L1262" s="15"/>
      <c r="M1262" s="12" t="s">
        <v>28</v>
      </c>
      <c r="N1262" s="12"/>
      <c r="O1262" s="12"/>
      <c r="P1262" s="12"/>
      <c r="Q1262" s="16">
        <v>0</v>
      </c>
      <c r="R1262" s="16">
        <v>0</v>
      </c>
      <c r="S1262" s="16"/>
      <c r="T1262" s="16" t="e">
        <v>#N/A</v>
      </c>
      <c r="U1262" s="16" t="e">
        <v>#N/A</v>
      </c>
    </row>
    <row r="1263" spans="1:21" x14ac:dyDescent="0.25">
      <c r="A1263" s="12" t="s">
        <v>21</v>
      </c>
      <c r="B1263" s="12" t="s">
        <v>1332</v>
      </c>
      <c r="C1263" s="12" t="s">
        <v>23</v>
      </c>
      <c r="D1263" s="13">
        <v>46269.364016203705</v>
      </c>
      <c r="E1263" s="12" t="s">
        <v>266</v>
      </c>
      <c r="F1263" s="12" t="s">
        <v>283</v>
      </c>
      <c r="G1263" s="12">
        <v>40</v>
      </c>
      <c r="H1263" s="12">
        <v>40</v>
      </c>
      <c r="I1263" s="14"/>
      <c r="J1263" s="14" t="s">
        <v>26</v>
      </c>
      <c r="K1263" s="12" t="s">
        <v>1334</v>
      </c>
      <c r="L1263" s="15">
        <v>1</v>
      </c>
      <c r="M1263" s="12" t="s">
        <v>150</v>
      </c>
      <c r="N1263" s="12">
        <v>40</v>
      </c>
      <c r="O1263" s="12">
        <v>40</v>
      </c>
      <c r="P1263" s="12">
        <v>0</v>
      </c>
      <c r="Q1263" s="16">
        <v>0</v>
      </c>
      <c r="R1263" s="16">
        <v>0</v>
      </c>
      <c r="S1263" s="16"/>
      <c r="T1263" s="16" t="e">
        <v>#N/A</v>
      </c>
      <c r="U1263" s="16" t="e">
        <v>#N/A</v>
      </c>
    </row>
    <row r="1264" spans="1:21" x14ac:dyDescent="0.25">
      <c r="A1264" s="12" t="s">
        <v>21</v>
      </c>
      <c r="B1264" s="12" t="s">
        <v>1332</v>
      </c>
      <c r="C1264" s="12" t="s">
        <v>23</v>
      </c>
      <c r="D1264" s="13">
        <v>46269.364016203705</v>
      </c>
      <c r="E1264" s="12" t="s">
        <v>266</v>
      </c>
      <c r="F1264" s="12" t="s">
        <v>1335</v>
      </c>
      <c r="G1264" s="12">
        <v>15</v>
      </c>
      <c r="H1264" s="12">
        <v>15</v>
      </c>
      <c r="I1264" s="14"/>
      <c r="J1264" s="14" t="s">
        <v>26</v>
      </c>
      <c r="K1264" s="12" t="s">
        <v>27</v>
      </c>
      <c r="L1264" s="15"/>
      <c r="M1264" s="12" t="s">
        <v>28</v>
      </c>
      <c r="N1264" s="12"/>
      <c r="O1264" s="12"/>
      <c r="P1264" s="12"/>
      <c r="Q1264" s="16">
        <v>0</v>
      </c>
      <c r="R1264" s="16">
        <v>0</v>
      </c>
      <c r="S1264" s="16"/>
      <c r="T1264" s="16" t="e">
        <v>#N/A</v>
      </c>
      <c r="U1264" s="16" t="e">
        <v>#N/A</v>
      </c>
    </row>
    <row r="1265" spans="1:21" x14ac:dyDescent="0.25">
      <c r="A1265" s="12" t="s">
        <v>21</v>
      </c>
      <c r="B1265" s="12" t="s">
        <v>1332</v>
      </c>
      <c r="C1265" s="12" t="s">
        <v>23</v>
      </c>
      <c r="D1265" s="13">
        <v>46269.364016203705</v>
      </c>
      <c r="E1265" s="12" t="s">
        <v>266</v>
      </c>
      <c r="F1265" s="12" t="s">
        <v>525</v>
      </c>
      <c r="G1265" s="12">
        <v>60</v>
      </c>
      <c r="H1265" s="12">
        <v>60</v>
      </c>
      <c r="I1265" s="14"/>
      <c r="J1265" s="14" t="s">
        <v>26</v>
      </c>
      <c r="K1265" s="12" t="s">
        <v>27</v>
      </c>
      <c r="L1265" s="15"/>
      <c r="M1265" s="12" t="s">
        <v>28</v>
      </c>
      <c r="N1265" s="12"/>
      <c r="O1265" s="12"/>
      <c r="P1265" s="12"/>
      <c r="Q1265" s="16">
        <v>0</v>
      </c>
      <c r="R1265" s="16">
        <v>0</v>
      </c>
      <c r="S1265" s="16"/>
      <c r="T1265" s="16" t="e">
        <v>#N/A</v>
      </c>
      <c r="U1265" s="16" t="e">
        <v>#N/A</v>
      </c>
    </row>
    <row r="1266" spans="1:21" x14ac:dyDescent="0.25">
      <c r="A1266" s="12" t="s">
        <v>21</v>
      </c>
      <c r="B1266" s="12" t="s">
        <v>1332</v>
      </c>
      <c r="C1266" s="12" t="s">
        <v>23</v>
      </c>
      <c r="D1266" s="13">
        <v>46269.364016203705</v>
      </c>
      <c r="E1266" s="12" t="s">
        <v>266</v>
      </c>
      <c r="F1266" s="12" t="s">
        <v>1259</v>
      </c>
      <c r="G1266" s="12">
        <v>6</v>
      </c>
      <c r="H1266" s="12">
        <v>6</v>
      </c>
      <c r="I1266" s="14"/>
      <c r="J1266" s="14" t="s">
        <v>26</v>
      </c>
      <c r="K1266" s="12" t="s">
        <v>27</v>
      </c>
      <c r="L1266" s="15"/>
      <c r="M1266" s="12" t="s">
        <v>28</v>
      </c>
      <c r="N1266" s="12"/>
      <c r="O1266" s="12"/>
      <c r="P1266" s="12"/>
      <c r="Q1266" s="16">
        <v>0</v>
      </c>
      <c r="R1266" s="16">
        <v>0</v>
      </c>
      <c r="S1266" s="16"/>
      <c r="T1266" s="16" t="e">
        <v>#N/A</v>
      </c>
      <c r="U1266" s="16" t="e">
        <v>#N/A</v>
      </c>
    </row>
    <row r="1267" spans="1:21" x14ac:dyDescent="0.25">
      <c r="A1267" s="12" t="s">
        <v>21</v>
      </c>
      <c r="B1267" s="12" t="s">
        <v>1332</v>
      </c>
      <c r="C1267" s="12" t="s">
        <v>23</v>
      </c>
      <c r="D1267" s="13">
        <v>46269.364016203705</v>
      </c>
      <c r="E1267" s="12" t="s">
        <v>266</v>
      </c>
      <c r="F1267" s="12" t="s">
        <v>259</v>
      </c>
      <c r="G1267" s="12">
        <v>50</v>
      </c>
      <c r="H1267" s="12">
        <v>50</v>
      </c>
      <c r="I1267" s="14"/>
      <c r="J1267" s="14" t="s">
        <v>26</v>
      </c>
      <c r="K1267" s="12" t="s">
        <v>27</v>
      </c>
      <c r="L1267" s="15"/>
      <c r="M1267" s="12" t="s">
        <v>28</v>
      </c>
      <c r="N1267" s="12"/>
      <c r="O1267" s="12"/>
      <c r="P1267" s="12"/>
      <c r="Q1267" s="16">
        <v>0</v>
      </c>
      <c r="R1267" s="16">
        <v>4</v>
      </c>
      <c r="S1267" s="16"/>
      <c r="T1267" s="16" t="e">
        <v>#N/A</v>
      </c>
      <c r="U1267" s="16" t="e">
        <v>#N/A</v>
      </c>
    </row>
    <row r="1268" spans="1:21" x14ac:dyDescent="0.25">
      <c r="A1268" s="12" t="s">
        <v>21</v>
      </c>
      <c r="B1268" s="12" t="s">
        <v>1332</v>
      </c>
      <c r="C1268" s="12" t="s">
        <v>23</v>
      </c>
      <c r="D1268" s="13">
        <v>46269.364016203705</v>
      </c>
      <c r="E1268" s="12" t="s">
        <v>266</v>
      </c>
      <c r="F1268" s="12" t="s">
        <v>201</v>
      </c>
      <c r="G1268" s="12">
        <v>50</v>
      </c>
      <c r="H1268" s="12">
        <v>50</v>
      </c>
      <c r="I1268" s="14"/>
      <c r="J1268" s="14" t="s">
        <v>26</v>
      </c>
      <c r="K1268" s="12" t="s">
        <v>27</v>
      </c>
      <c r="L1268" s="15"/>
      <c r="M1268" s="12" t="s">
        <v>28</v>
      </c>
      <c r="N1268" s="12"/>
      <c r="O1268" s="12"/>
      <c r="P1268" s="12"/>
      <c r="Q1268" s="16">
        <v>0</v>
      </c>
      <c r="R1268" s="16">
        <v>0</v>
      </c>
      <c r="S1268" s="16"/>
      <c r="T1268" s="16" t="e">
        <v>#N/A</v>
      </c>
      <c r="U1268" s="16" t="e">
        <v>#N/A</v>
      </c>
    </row>
    <row r="1269" spans="1:21" x14ac:dyDescent="0.25">
      <c r="A1269" s="12" t="s">
        <v>21</v>
      </c>
      <c r="B1269" s="12" t="s">
        <v>1332</v>
      </c>
      <c r="C1269" s="12" t="s">
        <v>23</v>
      </c>
      <c r="D1269" s="13">
        <v>46269.364016203705</v>
      </c>
      <c r="E1269" s="12" t="s">
        <v>266</v>
      </c>
      <c r="F1269" s="12" t="s">
        <v>443</v>
      </c>
      <c r="G1269" s="12">
        <v>8</v>
      </c>
      <c r="H1269" s="12">
        <v>8</v>
      </c>
      <c r="I1269" s="14"/>
      <c r="J1269" s="14" t="s">
        <v>26</v>
      </c>
      <c r="K1269" s="12" t="s">
        <v>27</v>
      </c>
      <c r="L1269" s="15"/>
      <c r="M1269" s="12" t="s">
        <v>28</v>
      </c>
      <c r="N1269" s="12"/>
      <c r="O1269" s="12"/>
      <c r="P1269" s="12"/>
      <c r="Q1269" s="16">
        <v>0</v>
      </c>
      <c r="R1269" s="16">
        <v>0</v>
      </c>
      <c r="S1269" s="16"/>
      <c r="T1269" s="16" t="e">
        <v>#N/A</v>
      </c>
      <c r="U1269" s="16" t="e">
        <v>#N/A</v>
      </c>
    </row>
    <row r="1270" spans="1:21" x14ac:dyDescent="0.25">
      <c r="A1270" s="12" t="s">
        <v>21</v>
      </c>
      <c r="B1270" s="12" t="s">
        <v>1332</v>
      </c>
      <c r="C1270" s="12" t="s">
        <v>23</v>
      </c>
      <c r="D1270" s="13">
        <v>46269.364016203705</v>
      </c>
      <c r="E1270" s="12" t="s">
        <v>266</v>
      </c>
      <c r="F1270" s="12" t="s">
        <v>1096</v>
      </c>
      <c r="G1270" s="12">
        <v>25</v>
      </c>
      <c r="H1270" s="12">
        <v>25</v>
      </c>
      <c r="I1270" s="14"/>
      <c r="J1270" s="14" t="s">
        <v>26</v>
      </c>
      <c r="K1270" s="12" t="s">
        <v>1336</v>
      </c>
      <c r="L1270" s="15">
        <v>1</v>
      </c>
      <c r="M1270" s="12" t="s">
        <v>150</v>
      </c>
      <c r="N1270" s="12">
        <v>25</v>
      </c>
      <c r="O1270" s="12">
        <v>25</v>
      </c>
      <c r="P1270" s="12">
        <v>0</v>
      </c>
      <c r="Q1270" s="16">
        <v>0</v>
      </c>
      <c r="R1270" s="16">
        <v>0</v>
      </c>
      <c r="S1270" s="16"/>
      <c r="T1270" s="16" t="e">
        <v>#N/A</v>
      </c>
      <c r="U1270" s="16" t="e">
        <v>#N/A</v>
      </c>
    </row>
    <row r="1271" spans="1:21" x14ac:dyDescent="0.25">
      <c r="A1271" s="12" t="s">
        <v>21</v>
      </c>
      <c r="B1271" s="12" t="s">
        <v>1337</v>
      </c>
      <c r="C1271" s="12" t="s">
        <v>23</v>
      </c>
      <c r="D1271" s="13">
        <v>46269.368587962963</v>
      </c>
      <c r="E1271" s="12" t="s">
        <v>522</v>
      </c>
      <c r="F1271" s="12" t="s">
        <v>357</v>
      </c>
      <c r="G1271" s="12">
        <v>10</v>
      </c>
      <c r="H1271" s="12">
        <v>10</v>
      </c>
      <c r="I1271" s="14"/>
      <c r="J1271" s="14" t="s">
        <v>61</v>
      </c>
      <c r="K1271" s="12" t="s">
        <v>1338</v>
      </c>
      <c r="L1271" s="15">
        <v>1</v>
      </c>
      <c r="M1271" s="12" t="s">
        <v>150</v>
      </c>
      <c r="N1271" s="12">
        <v>10</v>
      </c>
      <c r="O1271" s="12">
        <v>10</v>
      </c>
      <c r="P1271" s="12">
        <v>0</v>
      </c>
      <c r="Q1271" s="16">
        <v>10</v>
      </c>
      <c r="R1271" s="16">
        <v>0</v>
      </c>
      <c r="S1271" s="16"/>
      <c r="T1271" s="16" t="e">
        <v>#N/A</v>
      </c>
      <c r="U1271" s="16" t="e">
        <v>#N/A</v>
      </c>
    </row>
    <row r="1272" spans="1:21" x14ac:dyDescent="0.25">
      <c r="A1272" s="12" t="s">
        <v>21</v>
      </c>
      <c r="B1272" s="12" t="s">
        <v>1339</v>
      </c>
      <c r="C1272" s="12" t="s">
        <v>23</v>
      </c>
      <c r="D1272" s="13">
        <v>46269.394733796296</v>
      </c>
      <c r="E1272" s="12" t="s">
        <v>266</v>
      </c>
      <c r="F1272" s="12" t="s">
        <v>478</v>
      </c>
      <c r="G1272" s="12">
        <v>15</v>
      </c>
      <c r="H1272" s="12">
        <v>15</v>
      </c>
      <c r="I1272" s="14"/>
      <c r="J1272" s="14" t="s">
        <v>26</v>
      </c>
      <c r="K1272" s="12" t="s">
        <v>27</v>
      </c>
      <c r="L1272" s="15"/>
      <c r="M1272" s="12" t="s">
        <v>28</v>
      </c>
      <c r="N1272" s="12"/>
      <c r="O1272" s="12"/>
      <c r="P1272" s="12"/>
      <c r="Q1272" s="16">
        <v>0</v>
      </c>
      <c r="R1272" s="16">
        <v>0</v>
      </c>
      <c r="S1272" s="16"/>
      <c r="T1272" s="16" t="e">
        <v>#N/A</v>
      </c>
      <c r="U1272" s="16" t="e">
        <v>#N/A</v>
      </c>
    </row>
    <row r="1273" spans="1:21" x14ac:dyDescent="0.25">
      <c r="A1273" s="12" t="s">
        <v>21</v>
      </c>
      <c r="B1273" s="12" t="s">
        <v>1339</v>
      </c>
      <c r="C1273" s="12" t="s">
        <v>23</v>
      </c>
      <c r="D1273" s="13">
        <v>46269.394733796296</v>
      </c>
      <c r="E1273" s="12" t="s">
        <v>266</v>
      </c>
      <c r="F1273" s="12" t="s">
        <v>289</v>
      </c>
      <c r="G1273" s="12">
        <v>12</v>
      </c>
      <c r="H1273" s="12">
        <v>12</v>
      </c>
      <c r="I1273" s="14"/>
      <c r="J1273" s="14" t="s">
        <v>61</v>
      </c>
      <c r="K1273" s="12" t="s">
        <v>1356</v>
      </c>
      <c r="L1273" s="15">
        <v>1</v>
      </c>
      <c r="M1273" s="12" t="s">
        <v>150</v>
      </c>
      <c r="N1273" s="12">
        <v>12</v>
      </c>
      <c r="O1273" s="12">
        <v>12</v>
      </c>
      <c r="P1273" s="12">
        <v>0</v>
      </c>
      <c r="Q1273" s="16">
        <v>12</v>
      </c>
      <c r="R1273" s="16">
        <v>0</v>
      </c>
      <c r="S1273" s="16"/>
      <c r="T1273" s="16" t="e">
        <v>#N/A</v>
      </c>
      <c r="U1273" s="16" t="e">
        <v>#N/A</v>
      </c>
    </row>
    <row r="1274" spans="1:21" x14ac:dyDescent="0.25">
      <c r="A1274" s="12" t="s">
        <v>21</v>
      </c>
      <c r="B1274" s="12" t="s">
        <v>1339</v>
      </c>
      <c r="C1274" s="12" t="s">
        <v>23</v>
      </c>
      <c r="D1274" s="13">
        <v>46269.394733796296</v>
      </c>
      <c r="E1274" s="12" t="s">
        <v>266</v>
      </c>
      <c r="F1274" s="12" t="s">
        <v>290</v>
      </c>
      <c r="G1274" s="12">
        <v>16</v>
      </c>
      <c r="H1274" s="12">
        <v>16</v>
      </c>
      <c r="I1274" s="14"/>
      <c r="J1274" s="14" t="s">
        <v>26</v>
      </c>
      <c r="K1274" s="12" t="s">
        <v>27</v>
      </c>
      <c r="L1274" s="15"/>
      <c r="M1274" s="12" t="s">
        <v>28</v>
      </c>
      <c r="N1274" s="12"/>
      <c r="O1274" s="12"/>
      <c r="P1274" s="12"/>
      <c r="Q1274" s="16">
        <v>0</v>
      </c>
      <c r="R1274" s="16">
        <v>0</v>
      </c>
      <c r="S1274" s="16"/>
      <c r="T1274" s="16" t="e">
        <v>#N/A</v>
      </c>
      <c r="U1274" s="16" t="e">
        <v>#N/A</v>
      </c>
    </row>
    <row r="1275" spans="1:21" x14ac:dyDescent="0.25">
      <c r="A1275" s="12" t="s">
        <v>21</v>
      </c>
      <c r="B1275" s="12" t="s">
        <v>1339</v>
      </c>
      <c r="C1275" s="12" t="s">
        <v>23</v>
      </c>
      <c r="D1275" s="13">
        <v>46269.394733796296</v>
      </c>
      <c r="E1275" s="12" t="s">
        <v>266</v>
      </c>
      <c r="F1275" s="12" t="s">
        <v>1343</v>
      </c>
      <c r="G1275" s="12">
        <v>2</v>
      </c>
      <c r="H1275" s="12">
        <v>2</v>
      </c>
      <c r="I1275" s="14"/>
      <c r="J1275" s="14" t="s">
        <v>26</v>
      </c>
      <c r="K1275" s="12" t="s">
        <v>27</v>
      </c>
      <c r="L1275" s="15"/>
      <c r="M1275" s="12" t="s">
        <v>28</v>
      </c>
      <c r="N1275" s="12"/>
      <c r="O1275" s="12"/>
      <c r="P1275" s="12"/>
      <c r="Q1275" s="16">
        <v>0</v>
      </c>
      <c r="R1275" s="16">
        <v>0</v>
      </c>
      <c r="S1275" s="16"/>
      <c r="T1275" s="16" t="e">
        <v>#N/A</v>
      </c>
      <c r="U1275" s="16" t="e">
        <v>#N/A</v>
      </c>
    </row>
    <row r="1276" spans="1:21" x14ac:dyDescent="0.25">
      <c r="A1276" s="12" t="s">
        <v>21</v>
      </c>
      <c r="B1276" s="12" t="s">
        <v>1339</v>
      </c>
      <c r="C1276" s="12" t="s">
        <v>23</v>
      </c>
      <c r="D1276" s="13">
        <v>46269.394733796296</v>
      </c>
      <c r="E1276" s="12" t="s">
        <v>266</v>
      </c>
      <c r="F1276" s="12" t="s">
        <v>1344</v>
      </c>
      <c r="G1276" s="12">
        <v>40</v>
      </c>
      <c r="H1276" s="12">
        <v>40</v>
      </c>
      <c r="I1276" s="14"/>
      <c r="J1276" s="14" t="s">
        <v>26</v>
      </c>
      <c r="K1276" s="12" t="s">
        <v>27</v>
      </c>
      <c r="L1276" s="15"/>
      <c r="M1276" s="12" t="s">
        <v>28</v>
      </c>
      <c r="N1276" s="12"/>
      <c r="O1276" s="12"/>
      <c r="P1276" s="12"/>
      <c r="Q1276" s="16">
        <v>0</v>
      </c>
      <c r="R1276" s="16">
        <v>0</v>
      </c>
      <c r="S1276" s="16"/>
      <c r="T1276" s="16" t="e">
        <v>#N/A</v>
      </c>
      <c r="U1276" s="16" t="e">
        <v>#N/A</v>
      </c>
    </row>
    <row r="1277" spans="1:21" x14ac:dyDescent="0.25">
      <c r="A1277" s="12" t="s">
        <v>21</v>
      </c>
      <c r="B1277" s="12" t="s">
        <v>1339</v>
      </c>
      <c r="C1277" s="12" t="s">
        <v>23</v>
      </c>
      <c r="D1277" s="13">
        <v>46269.394733796296</v>
      </c>
      <c r="E1277" s="12" t="s">
        <v>266</v>
      </c>
      <c r="F1277" s="12" t="s">
        <v>1345</v>
      </c>
      <c r="G1277" s="12">
        <v>6</v>
      </c>
      <c r="H1277" s="12">
        <v>6</v>
      </c>
      <c r="I1277" s="14"/>
      <c r="J1277" s="14" t="s">
        <v>26</v>
      </c>
      <c r="K1277" s="12" t="s">
        <v>27</v>
      </c>
      <c r="L1277" s="15"/>
      <c r="M1277" s="12" t="s">
        <v>28</v>
      </c>
      <c r="N1277" s="12"/>
      <c r="O1277" s="12"/>
      <c r="P1277" s="12"/>
      <c r="Q1277" s="16">
        <v>0</v>
      </c>
      <c r="R1277" s="16">
        <v>0</v>
      </c>
      <c r="S1277" s="16"/>
      <c r="T1277" s="16" t="e">
        <v>#N/A</v>
      </c>
      <c r="U1277" s="16" t="e">
        <v>#N/A</v>
      </c>
    </row>
    <row r="1278" spans="1:21" x14ac:dyDescent="0.25">
      <c r="A1278" s="12" t="s">
        <v>21</v>
      </c>
      <c r="B1278" s="12" t="s">
        <v>1339</v>
      </c>
      <c r="C1278" s="12" t="s">
        <v>23</v>
      </c>
      <c r="D1278" s="13">
        <v>46269.394733796296</v>
      </c>
      <c r="E1278" s="12" t="s">
        <v>266</v>
      </c>
      <c r="F1278" s="12" t="s">
        <v>1199</v>
      </c>
      <c r="G1278" s="12">
        <v>6</v>
      </c>
      <c r="H1278" s="12">
        <v>6</v>
      </c>
      <c r="I1278" s="14"/>
      <c r="J1278" s="14" t="s">
        <v>26</v>
      </c>
      <c r="K1278" s="12" t="s">
        <v>27</v>
      </c>
      <c r="L1278" s="15"/>
      <c r="M1278" s="12" t="s">
        <v>28</v>
      </c>
      <c r="N1278" s="12"/>
      <c r="O1278" s="12"/>
      <c r="P1278" s="12"/>
      <c r="Q1278" s="16">
        <v>0</v>
      </c>
      <c r="R1278" s="16">
        <v>0</v>
      </c>
      <c r="S1278" s="16"/>
      <c r="T1278" s="16" t="e">
        <v>#N/A</v>
      </c>
      <c r="U1278" s="16" t="e">
        <v>#N/A</v>
      </c>
    </row>
    <row r="1279" spans="1:21" x14ac:dyDescent="0.25">
      <c r="A1279" s="12" t="s">
        <v>21</v>
      </c>
      <c r="B1279" s="12" t="s">
        <v>1339</v>
      </c>
      <c r="C1279" s="12" t="s">
        <v>23</v>
      </c>
      <c r="D1279" s="13">
        <v>46269.394733796296</v>
      </c>
      <c r="E1279" s="12" t="s">
        <v>266</v>
      </c>
      <c r="F1279" s="12" t="s">
        <v>1200</v>
      </c>
      <c r="G1279" s="12">
        <v>4</v>
      </c>
      <c r="H1279" s="12">
        <v>4</v>
      </c>
      <c r="I1279" s="14"/>
      <c r="J1279" s="14" t="s">
        <v>61</v>
      </c>
      <c r="K1279" s="12" t="s">
        <v>1357</v>
      </c>
      <c r="L1279" s="15">
        <v>1</v>
      </c>
      <c r="M1279" s="12" t="s">
        <v>150</v>
      </c>
      <c r="N1279" s="12">
        <v>4</v>
      </c>
      <c r="O1279" s="12">
        <v>4</v>
      </c>
      <c r="P1279" s="12">
        <v>0</v>
      </c>
      <c r="Q1279" s="16">
        <v>4</v>
      </c>
      <c r="R1279" s="16">
        <v>0</v>
      </c>
      <c r="S1279" s="16"/>
      <c r="T1279" s="16" t="e">
        <v>#N/A</v>
      </c>
      <c r="U1279" s="16" t="e">
        <v>#N/A</v>
      </c>
    </row>
    <row r="1280" spans="1:21" x14ac:dyDescent="0.25">
      <c r="A1280" s="12" t="s">
        <v>21</v>
      </c>
      <c r="B1280" s="12" t="s">
        <v>1339</v>
      </c>
      <c r="C1280" s="12" t="s">
        <v>23</v>
      </c>
      <c r="D1280" s="13">
        <v>46269.394733796296</v>
      </c>
      <c r="E1280" s="12" t="s">
        <v>266</v>
      </c>
      <c r="F1280" s="12" t="s">
        <v>1004</v>
      </c>
      <c r="G1280" s="12">
        <v>12</v>
      </c>
      <c r="H1280" s="12">
        <v>12</v>
      </c>
      <c r="I1280" s="14"/>
      <c r="J1280" s="14" t="s">
        <v>61</v>
      </c>
      <c r="K1280" s="12" t="s">
        <v>1358</v>
      </c>
      <c r="L1280" s="15">
        <v>1</v>
      </c>
      <c r="M1280" s="12" t="s">
        <v>150</v>
      </c>
      <c r="N1280" s="12">
        <v>12</v>
      </c>
      <c r="O1280" s="12">
        <v>12</v>
      </c>
      <c r="P1280" s="12">
        <v>0</v>
      </c>
      <c r="Q1280" s="16">
        <v>12</v>
      </c>
      <c r="R1280" s="16">
        <v>0</v>
      </c>
      <c r="S1280" s="16"/>
      <c r="T1280" s="16" t="e">
        <v>#N/A</v>
      </c>
      <c r="U1280" s="16" t="e">
        <v>#N/A</v>
      </c>
    </row>
    <row r="1281" spans="1:21" x14ac:dyDescent="0.25">
      <c r="A1281" s="12" t="s">
        <v>21</v>
      </c>
      <c r="B1281" s="12" t="s">
        <v>1339</v>
      </c>
      <c r="C1281" s="12" t="s">
        <v>23</v>
      </c>
      <c r="D1281" s="13">
        <v>46269.394733796296</v>
      </c>
      <c r="E1281" s="12" t="s">
        <v>266</v>
      </c>
      <c r="F1281" s="12" t="s">
        <v>1346</v>
      </c>
      <c r="G1281" s="12">
        <v>8</v>
      </c>
      <c r="H1281" s="12">
        <v>8</v>
      </c>
      <c r="I1281" s="14"/>
      <c r="J1281" s="14" t="s">
        <v>26</v>
      </c>
      <c r="K1281" s="12" t="s">
        <v>27</v>
      </c>
      <c r="L1281" s="15"/>
      <c r="M1281" s="12" t="s">
        <v>28</v>
      </c>
      <c r="N1281" s="12"/>
      <c r="O1281" s="12"/>
      <c r="P1281" s="12"/>
      <c r="Q1281" s="16">
        <v>0</v>
      </c>
      <c r="R1281" s="16">
        <v>0</v>
      </c>
      <c r="S1281" s="16"/>
      <c r="T1281" s="16" t="e">
        <v>#N/A</v>
      </c>
      <c r="U1281" s="16" t="e">
        <v>#N/A</v>
      </c>
    </row>
    <row r="1282" spans="1:21" x14ac:dyDescent="0.25">
      <c r="A1282" s="12" t="s">
        <v>21</v>
      </c>
      <c r="B1282" s="12" t="s">
        <v>1339</v>
      </c>
      <c r="C1282" s="12" t="s">
        <v>23</v>
      </c>
      <c r="D1282" s="13">
        <v>46269.394733796296</v>
      </c>
      <c r="E1282" s="12" t="s">
        <v>266</v>
      </c>
      <c r="F1282" s="12" t="s">
        <v>1347</v>
      </c>
      <c r="G1282" s="12">
        <v>16</v>
      </c>
      <c r="H1282" s="12">
        <v>16</v>
      </c>
      <c r="I1282" s="14"/>
      <c r="J1282" s="14" t="s">
        <v>26</v>
      </c>
      <c r="K1282" s="12" t="s">
        <v>27</v>
      </c>
      <c r="L1282" s="15"/>
      <c r="M1282" s="12" t="s">
        <v>28</v>
      </c>
      <c r="N1282" s="12"/>
      <c r="O1282" s="12"/>
      <c r="P1282" s="12"/>
      <c r="Q1282" s="16">
        <v>0</v>
      </c>
      <c r="R1282" s="16">
        <v>0</v>
      </c>
      <c r="S1282" s="16"/>
      <c r="T1282" s="16" t="e">
        <v>#N/A</v>
      </c>
      <c r="U1282" s="16" t="e">
        <v>#N/A</v>
      </c>
    </row>
    <row r="1283" spans="1:21" x14ac:dyDescent="0.25">
      <c r="A1283" s="12" t="s">
        <v>21</v>
      </c>
      <c r="B1283" s="12" t="s">
        <v>1339</v>
      </c>
      <c r="C1283" s="12" t="s">
        <v>23</v>
      </c>
      <c r="D1283" s="13">
        <v>46269.394733796296</v>
      </c>
      <c r="E1283" s="12" t="s">
        <v>266</v>
      </c>
      <c r="F1283" s="12" t="s">
        <v>1088</v>
      </c>
      <c r="G1283" s="12">
        <v>16</v>
      </c>
      <c r="H1283" s="12">
        <v>16</v>
      </c>
      <c r="I1283" s="14"/>
      <c r="J1283" s="14" t="s">
        <v>61</v>
      </c>
      <c r="K1283" s="12" t="s">
        <v>1359</v>
      </c>
      <c r="L1283" s="15">
        <v>1</v>
      </c>
      <c r="M1283" s="12" t="s">
        <v>150</v>
      </c>
      <c r="N1283" s="12">
        <v>16</v>
      </c>
      <c r="O1283" s="12">
        <v>16</v>
      </c>
      <c r="P1283" s="12">
        <v>0</v>
      </c>
      <c r="Q1283" s="16">
        <v>16</v>
      </c>
      <c r="R1283" s="16">
        <v>0</v>
      </c>
      <c r="S1283" s="16"/>
      <c r="T1283" s="16" t="e">
        <v>#N/A</v>
      </c>
      <c r="U1283" s="16" t="e">
        <v>#N/A</v>
      </c>
    </row>
    <row r="1284" spans="1:21" x14ac:dyDescent="0.25">
      <c r="A1284" s="12" t="s">
        <v>21</v>
      </c>
      <c r="B1284" s="12" t="s">
        <v>1339</v>
      </c>
      <c r="C1284" s="12" t="s">
        <v>23</v>
      </c>
      <c r="D1284" s="13">
        <v>46269.394733796296</v>
      </c>
      <c r="E1284" s="12" t="s">
        <v>266</v>
      </c>
      <c r="F1284" s="12" t="s">
        <v>1348</v>
      </c>
      <c r="G1284" s="12">
        <v>10</v>
      </c>
      <c r="H1284" s="12">
        <v>10</v>
      </c>
      <c r="I1284" s="14"/>
      <c r="J1284" s="14" t="s">
        <v>26</v>
      </c>
      <c r="K1284" s="12" t="s">
        <v>27</v>
      </c>
      <c r="L1284" s="15"/>
      <c r="M1284" s="12" t="s">
        <v>28</v>
      </c>
      <c r="N1284" s="12"/>
      <c r="O1284" s="12"/>
      <c r="P1284" s="12"/>
      <c r="Q1284" s="16">
        <v>0</v>
      </c>
      <c r="R1284" s="16">
        <v>0</v>
      </c>
      <c r="S1284" s="16"/>
      <c r="T1284" s="16" t="e">
        <v>#N/A</v>
      </c>
      <c r="U1284" s="16" t="e">
        <v>#N/A</v>
      </c>
    </row>
    <row r="1285" spans="1:21" x14ac:dyDescent="0.25">
      <c r="A1285" s="12" t="s">
        <v>21</v>
      </c>
      <c r="B1285" s="12" t="s">
        <v>1339</v>
      </c>
      <c r="C1285" s="12" t="s">
        <v>23</v>
      </c>
      <c r="D1285" s="13">
        <v>46269.394733796296</v>
      </c>
      <c r="E1285" s="12" t="s">
        <v>266</v>
      </c>
      <c r="F1285" s="12" t="s">
        <v>1349</v>
      </c>
      <c r="G1285" s="12">
        <v>4</v>
      </c>
      <c r="H1285" s="12">
        <v>4</v>
      </c>
      <c r="I1285" s="14"/>
      <c r="J1285" s="14" t="s">
        <v>61</v>
      </c>
      <c r="K1285" s="12" t="s">
        <v>1360</v>
      </c>
      <c r="L1285" s="15">
        <v>1</v>
      </c>
      <c r="M1285" s="12" t="s">
        <v>150</v>
      </c>
      <c r="N1285" s="12">
        <v>4</v>
      </c>
      <c r="O1285" s="12">
        <v>4</v>
      </c>
      <c r="P1285" s="12">
        <v>0</v>
      </c>
      <c r="Q1285" s="16">
        <v>4</v>
      </c>
      <c r="R1285" s="16">
        <v>0</v>
      </c>
      <c r="S1285" s="16"/>
      <c r="T1285" s="16" t="e">
        <v>#N/A</v>
      </c>
      <c r="U1285" s="16" t="e">
        <v>#N/A</v>
      </c>
    </row>
    <row r="1286" spans="1:21" x14ac:dyDescent="0.25">
      <c r="A1286" s="12" t="s">
        <v>21</v>
      </c>
      <c r="B1286" s="12" t="s">
        <v>1339</v>
      </c>
      <c r="C1286" s="12" t="s">
        <v>23</v>
      </c>
      <c r="D1286" s="13">
        <v>46269.394733796296</v>
      </c>
      <c r="E1286" s="12" t="s">
        <v>266</v>
      </c>
      <c r="F1286" s="12" t="s">
        <v>1350</v>
      </c>
      <c r="G1286" s="12">
        <v>5</v>
      </c>
      <c r="H1286" s="12">
        <v>5</v>
      </c>
      <c r="I1286" s="14"/>
      <c r="J1286" s="14" t="s">
        <v>61</v>
      </c>
      <c r="K1286" s="12" t="s">
        <v>1361</v>
      </c>
      <c r="L1286" s="15">
        <v>1</v>
      </c>
      <c r="M1286" s="12" t="s">
        <v>150</v>
      </c>
      <c r="N1286" s="12">
        <v>5</v>
      </c>
      <c r="O1286" s="12">
        <v>5</v>
      </c>
      <c r="P1286" s="12">
        <v>0</v>
      </c>
      <c r="Q1286" s="16">
        <v>5</v>
      </c>
      <c r="R1286" s="16">
        <v>0</v>
      </c>
      <c r="S1286" s="16"/>
      <c r="T1286" s="16" t="e">
        <v>#N/A</v>
      </c>
      <c r="U1286" s="16" t="e">
        <v>#N/A</v>
      </c>
    </row>
    <row r="1287" spans="1:21" x14ac:dyDescent="0.25">
      <c r="A1287" s="12" t="s">
        <v>21</v>
      </c>
      <c r="B1287" s="12" t="s">
        <v>1339</v>
      </c>
      <c r="C1287" s="12" t="s">
        <v>23</v>
      </c>
      <c r="D1287" s="13">
        <v>46269.394733796296</v>
      </c>
      <c r="E1287" s="12" t="s">
        <v>266</v>
      </c>
      <c r="F1287" s="12" t="s">
        <v>1351</v>
      </c>
      <c r="G1287" s="12">
        <v>1</v>
      </c>
      <c r="H1287" s="12">
        <v>1</v>
      </c>
      <c r="I1287" s="14"/>
      <c r="J1287" s="14" t="s">
        <v>61</v>
      </c>
      <c r="K1287" s="12" t="s">
        <v>1362</v>
      </c>
      <c r="L1287" s="15">
        <v>1</v>
      </c>
      <c r="M1287" s="12" t="s">
        <v>150</v>
      </c>
      <c r="N1287" s="12">
        <v>1</v>
      </c>
      <c r="O1287" s="12">
        <v>1</v>
      </c>
      <c r="P1287" s="12">
        <v>0</v>
      </c>
      <c r="Q1287" s="16">
        <v>1</v>
      </c>
      <c r="R1287" s="16">
        <v>0</v>
      </c>
      <c r="S1287" s="16"/>
      <c r="T1287" s="16" t="e">
        <v>#N/A</v>
      </c>
      <c r="U1287" s="16" t="e">
        <v>#N/A</v>
      </c>
    </row>
    <row r="1288" spans="1:21" x14ac:dyDescent="0.25">
      <c r="A1288" s="12" t="s">
        <v>21</v>
      </c>
      <c r="B1288" s="12" t="s">
        <v>1339</v>
      </c>
      <c r="C1288" s="12" t="s">
        <v>23</v>
      </c>
      <c r="D1288" s="13">
        <v>46269.394733796296</v>
      </c>
      <c r="E1288" s="12" t="s">
        <v>266</v>
      </c>
      <c r="F1288" s="12" t="s">
        <v>293</v>
      </c>
      <c r="G1288" s="12">
        <v>30</v>
      </c>
      <c r="H1288" s="12">
        <v>30</v>
      </c>
      <c r="I1288" s="14"/>
      <c r="J1288" s="14" t="s">
        <v>26</v>
      </c>
      <c r="K1288" s="12" t="s">
        <v>27</v>
      </c>
      <c r="L1288" s="15"/>
      <c r="M1288" s="12" t="s">
        <v>28</v>
      </c>
      <c r="N1288" s="12"/>
      <c r="O1288" s="12"/>
      <c r="P1288" s="12"/>
      <c r="Q1288" s="16">
        <v>0</v>
      </c>
      <c r="R1288" s="16">
        <v>0</v>
      </c>
      <c r="S1288" s="16"/>
      <c r="T1288" s="16" t="e">
        <v>#N/A</v>
      </c>
      <c r="U1288" s="16" t="e">
        <v>#N/A</v>
      </c>
    </row>
    <row r="1289" spans="1:21" x14ac:dyDescent="0.25">
      <c r="A1289" s="12" t="s">
        <v>21</v>
      </c>
      <c r="B1289" s="12" t="s">
        <v>1339</v>
      </c>
      <c r="C1289" s="12" t="s">
        <v>23</v>
      </c>
      <c r="D1289" s="13">
        <v>46269.394733796296</v>
      </c>
      <c r="E1289" s="12" t="s">
        <v>266</v>
      </c>
      <c r="F1289" s="12" t="s">
        <v>1352</v>
      </c>
      <c r="G1289" s="12">
        <v>6</v>
      </c>
      <c r="H1289" s="12">
        <v>6</v>
      </c>
      <c r="I1289" s="14"/>
      <c r="J1289" s="14" t="s">
        <v>61</v>
      </c>
      <c r="K1289" s="12" t="s">
        <v>1363</v>
      </c>
      <c r="L1289" s="15">
        <v>1</v>
      </c>
      <c r="M1289" s="12" t="s">
        <v>150</v>
      </c>
      <c r="N1289" s="12">
        <v>6</v>
      </c>
      <c r="O1289" s="12">
        <v>6</v>
      </c>
      <c r="P1289" s="12">
        <v>0</v>
      </c>
      <c r="Q1289" s="16">
        <v>6</v>
      </c>
      <c r="R1289" s="16">
        <v>0</v>
      </c>
      <c r="S1289" s="16"/>
      <c r="T1289" s="16" t="e">
        <v>#N/A</v>
      </c>
      <c r="U1289" s="16" t="e">
        <v>#N/A</v>
      </c>
    </row>
    <row r="1290" spans="1:21" x14ac:dyDescent="0.25">
      <c r="A1290" s="12" t="s">
        <v>21</v>
      </c>
      <c r="B1290" s="12" t="s">
        <v>1339</v>
      </c>
      <c r="C1290" s="12" t="s">
        <v>23</v>
      </c>
      <c r="D1290" s="13">
        <v>46269.394733796296</v>
      </c>
      <c r="E1290" s="12" t="s">
        <v>266</v>
      </c>
      <c r="F1290" s="12" t="s">
        <v>481</v>
      </c>
      <c r="G1290" s="12">
        <v>6</v>
      </c>
      <c r="H1290" s="12">
        <v>6</v>
      </c>
      <c r="I1290" s="14"/>
      <c r="J1290" s="14" t="s">
        <v>61</v>
      </c>
      <c r="K1290" s="12" t="s">
        <v>1364</v>
      </c>
      <c r="L1290" s="15">
        <v>1</v>
      </c>
      <c r="M1290" s="12" t="s">
        <v>150</v>
      </c>
      <c r="N1290" s="12">
        <v>6</v>
      </c>
      <c r="O1290" s="12">
        <v>6</v>
      </c>
      <c r="P1290" s="12">
        <v>0</v>
      </c>
      <c r="Q1290" s="16">
        <v>6</v>
      </c>
      <c r="R1290" s="16">
        <v>0</v>
      </c>
      <c r="S1290" s="16"/>
      <c r="T1290" s="16" t="e">
        <v>#N/A</v>
      </c>
      <c r="U1290" s="16" t="e">
        <v>#N/A</v>
      </c>
    </row>
    <row r="1291" spans="1:21" x14ac:dyDescent="0.25">
      <c r="A1291" s="12" t="s">
        <v>21</v>
      </c>
      <c r="B1291" s="12" t="s">
        <v>1339</v>
      </c>
      <c r="C1291" s="12" t="s">
        <v>23</v>
      </c>
      <c r="D1291" s="13">
        <v>46269.394733796296</v>
      </c>
      <c r="E1291" s="12" t="s">
        <v>266</v>
      </c>
      <c r="F1291" s="12" t="s">
        <v>1091</v>
      </c>
      <c r="G1291" s="12">
        <v>8</v>
      </c>
      <c r="H1291" s="12">
        <v>8</v>
      </c>
      <c r="I1291" s="14"/>
      <c r="J1291" s="14" t="s">
        <v>61</v>
      </c>
      <c r="K1291" s="12" t="s">
        <v>1365</v>
      </c>
      <c r="L1291" s="15">
        <v>1</v>
      </c>
      <c r="M1291" s="12" t="s">
        <v>150</v>
      </c>
      <c r="N1291" s="12">
        <v>8</v>
      </c>
      <c r="O1291" s="12">
        <v>8</v>
      </c>
      <c r="P1291" s="12">
        <v>0</v>
      </c>
      <c r="Q1291" s="16">
        <v>8</v>
      </c>
      <c r="R1291" s="16">
        <v>0</v>
      </c>
      <c r="S1291" s="16"/>
      <c r="T1291" s="16" t="e">
        <v>#N/A</v>
      </c>
      <c r="U1291" s="16" t="e">
        <v>#N/A</v>
      </c>
    </row>
    <row r="1292" spans="1:21" x14ac:dyDescent="0.25">
      <c r="A1292" s="12" t="s">
        <v>21</v>
      </c>
      <c r="B1292" s="12" t="s">
        <v>1339</v>
      </c>
      <c r="C1292" s="12" t="s">
        <v>23</v>
      </c>
      <c r="D1292" s="13">
        <v>46269.394733796296</v>
      </c>
      <c r="E1292" s="12" t="s">
        <v>266</v>
      </c>
      <c r="F1292" s="12" t="s">
        <v>1353</v>
      </c>
      <c r="G1292" s="12">
        <v>8</v>
      </c>
      <c r="H1292" s="12">
        <v>8</v>
      </c>
      <c r="I1292" s="14"/>
      <c r="J1292" s="14" t="s">
        <v>61</v>
      </c>
      <c r="K1292" s="12" t="s">
        <v>1366</v>
      </c>
      <c r="L1292" s="15">
        <v>1</v>
      </c>
      <c r="M1292" s="12" t="s">
        <v>150</v>
      </c>
      <c r="N1292" s="12">
        <v>8</v>
      </c>
      <c r="O1292" s="12">
        <v>8</v>
      </c>
      <c r="P1292" s="12">
        <v>0</v>
      </c>
      <c r="Q1292" s="16">
        <v>8</v>
      </c>
      <c r="R1292" s="16">
        <v>0</v>
      </c>
      <c r="S1292" s="16"/>
      <c r="T1292" s="16" t="e">
        <v>#N/A</v>
      </c>
      <c r="U1292" s="16" t="e">
        <v>#N/A</v>
      </c>
    </row>
    <row r="1293" spans="1:21" x14ac:dyDescent="0.25">
      <c r="A1293" s="12" t="s">
        <v>21</v>
      </c>
      <c r="B1293" s="12" t="s">
        <v>1339</v>
      </c>
      <c r="C1293" s="12" t="s">
        <v>23</v>
      </c>
      <c r="D1293" s="13">
        <v>46269.394733796296</v>
      </c>
      <c r="E1293" s="12" t="s">
        <v>266</v>
      </c>
      <c r="F1293" s="12" t="s">
        <v>1354</v>
      </c>
      <c r="G1293" s="12">
        <v>100</v>
      </c>
      <c r="H1293" s="12">
        <v>100</v>
      </c>
      <c r="I1293" s="14"/>
      <c r="J1293" s="14" t="s">
        <v>61</v>
      </c>
      <c r="K1293" s="12" t="s">
        <v>1367</v>
      </c>
      <c r="L1293" s="15">
        <v>1</v>
      </c>
      <c r="M1293" s="12" t="s">
        <v>150</v>
      </c>
      <c r="N1293" s="12">
        <v>100</v>
      </c>
      <c r="O1293" s="12">
        <v>100</v>
      </c>
      <c r="P1293" s="12">
        <v>0</v>
      </c>
      <c r="Q1293" s="16">
        <v>100</v>
      </c>
      <c r="R1293" s="16">
        <v>0</v>
      </c>
      <c r="S1293" s="16"/>
      <c r="T1293" s="16" t="e">
        <v>#N/A</v>
      </c>
      <c r="U1293" s="16" t="e">
        <v>#N/A</v>
      </c>
    </row>
    <row r="1294" spans="1:21" x14ac:dyDescent="0.25">
      <c r="A1294" s="12" t="s">
        <v>21</v>
      </c>
      <c r="B1294" s="12" t="s">
        <v>1339</v>
      </c>
      <c r="C1294" s="12" t="s">
        <v>23</v>
      </c>
      <c r="D1294" s="13">
        <v>46269.394733796296</v>
      </c>
      <c r="E1294" s="12" t="s">
        <v>266</v>
      </c>
      <c r="F1294" s="12" t="s">
        <v>1355</v>
      </c>
      <c r="G1294" s="12">
        <v>30</v>
      </c>
      <c r="H1294" s="12">
        <v>30</v>
      </c>
      <c r="I1294" s="14"/>
      <c r="J1294" s="14" t="s">
        <v>61</v>
      </c>
      <c r="K1294" s="12" t="s">
        <v>1368</v>
      </c>
      <c r="L1294" s="15">
        <v>1</v>
      </c>
      <c r="M1294" s="12" t="s">
        <v>150</v>
      </c>
      <c r="N1294" s="12">
        <v>30</v>
      </c>
      <c r="O1294" s="12">
        <v>30</v>
      </c>
      <c r="P1294" s="12">
        <v>0</v>
      </c>
      <c r="Q1294" s="16">
        <v>30</v>
      </c>
      <c r="R1294" s="16">
        <v>0</v>
      </c>
      <c r="S1294" s="16"/>
      <c r="T1294" s="16" t="e">
        <v>#N/A</v>
      </c>
      <c r="U1294" s="16" t="e">
        <v>#N/A</v>
      </c>
    </row>
    <row r="1295" spans="1:21" x14ac:dyDescent="0.25">
      <c r="A1295" s="12" t="s">
        <v>21</v>
      </c>
      <c r="B1295" s="12" t="s">
        <v>1339</v>
      </c>
      <c r="C1295" s="12" t="s">
        <v>23</v>
      </c>
      <c r="D1295" s="13">
        <v>46269.394733796296</v>
      </c>
      <c r="E1295" s="12" t="s">
        <v>266</v>
      </c>
      <c r="F1295" s="12" t="s">
        <v>424</v>
      </c>
      <c r="G1295" s="12">
        <v>6</v>
      </c>
      <c r="H1295" s="12">
        <v>6</v>
      </c>
      <c r="I1295" s="14"/>
      <c r="J1295" s="14" t="s">
        <v>26</v>
      </c>
      <c r="K1295" s="12" t="s">
        <v>27</v>
      </c>
      <c r="L1295" s="15"/>
      <c r="M1295" s="12" t="s">
        <v>28</v>
      </c>
      <c r="N1295" s="12"/>
      <c r="O1295" s="12"/>
      <c r="P1295" s="12"/>
      <c r="Q1295" s="16">
        <v>0</v>
      </c>
      <c r="R1295" s="16">
        <v>0</v>
      </c>
      <c r="S1295" s="16"/>
      <c r="T1295" s="16" t="e">
        <v>#N/A</v>
      </c>
      <c r="U1295" s="16" t="e">
        <v>#N/A</v>
      </c>
    </row>
    <row r="1296" spans="1:21" x14ac:dyDescent="0.25">
      <c r="A1296" s="12" t="s">
        <v>21</v>
      </c>
      <c r="B1296" s="12" t="s">
        <v>1339</v>
      </c>
      <c r="C1296" s="12" t="s">
        <v>23</v>
      </c>
      <c r="D1296" s="13">
        <v>46269.394733796296</v>
      </c>
      <c r="E1296" s="12" t="s">
        <v>266</v>
      </c>
      <c r="F1296" s="12" t="s">
        <v>1245</v>
      </c>
      <c r="G1296" s="12">
        <v>24</v>
      </c>
      <c r="H1296" s="12">
        <v>24</v>
      </c>
      <c r="I1296" s="14"/>
      <c r="J1296" s="14" t="s">
        <v>61</v>
      </c>
      <c r="K1296" s="12" t="s">
        <v>1369</v>
      </c>
      <c r="L1296" s="15">
        <v>1</v>
      </c>
      <c r="M1296" s="12" t="s">
        <v>150</v>
      </c>
      <c r="N1296" s="12">
        <v>24</v>
      </c>
      <c r="O1296" s="12">
        <v>24</v>
      </c>
      <c r="P1296" s="12">
        <v>0</v>
      </c>
      <c r="Q1296" s="16">
        <v>24</v>
      </c>
      <c r="R1296" s="16">
        <v>0</v>
      </c>
      <c r="S1296" s="16"/>
      <c r="T1296" s="16" t="e">
        <v>#N/A</v>
      </c>
      <c r="U1296" s="16" t="e">
        <v>#N/A</v>
      </c>
    </row>
    <row r="1297" spans="1:21" x14ac:dyDescent="0.25">
      <c r="A1297" s="12" t="s">
        <v>21</v>
      </c>
      <c r="B1297" s="12" t="s">
        <v>1340</v>
      </c>
      <c r="C1297" s="12" t="s">
        <v>23</v>
      </c>
      <c r="D1297" s="13">
        <v>46269.414375</v>
      </c>
      <c r="E1297" s="12" t="s">
        <v>522</v>
      </c>
      <c r="F1297" s="12" t="s">
        <v>130</v>
      </c>
      <c r="G1297" s="12">
        <v>60</v>
      </c>
      <c r="H1297" s="12">
        <v>60</v>
      </c>
      <c r="I1297" s="14"/>
      <c r="J1297" s="14" t="s">
        <v>26</v>
      </c>
      <c r="K1297" s="12" t="s">
        <v>27</v>
      </c>
      <c r="L1297" s="15"/>
      <c r="M1297" s="12" t="s">
        <v>28</v>
      </c>
      <c r="N1297" s="12"/>
      <c r="O1297" s="12"/>
      <c r="P1297" s="12"/>
      <c r="Q1297" s="16">
        <v>0</v>
      </c>
      <c r="R1297" s="16">
        <v>6</v>
      </c>
      <c r="S1297" s="16"/>
      <c r="T1297" s="16" t="e">
        <v>#N/A</v>
      </c>
      <c r="U1297" s="16" t="e">
        <v>#N/A</v>
      </c>
    </row>
    <row r="1298" spans="1:21" x14ac:dyDescent="0.25">
      <c r="A1298" s="12" t="s">
        <v>21</v>
      </c>
      <c r="B1298" s="12" t="s">
        <v>1341</v>
      </c>
      <c r="C1298" s="12" t="s">
        <v>23</v>
      </c>
      <c r="D1298" s="13">
        <v>46269.468472222223</v>
      </c>
      <c r="E1298" s="12" t="s">
        <v>1342</v>
      </c>
      <c r="F1298" s="12" t="s">
        <v>74</v>
      </c>
      <c r="G1298" s="12">
        <v>1</v>
      </c>
      <c r="H1298" s="12">
        <v>1</v>
      </c>
      <c r="I1298" s="14"/>
      <c r="J1298" s="14" t="s">
        <v>61</v>
      </c>
      <c r="K1298" s="12" t="s">
        <v>1370</v>
      </c>
      <c r="L1298" s="15">
        <v>1</v>
      </c>
      <c r="M1298" s="12" t="s">
        <v>150</v>
      </c>
      <c r="N1298" s="12">
        <v>1</v>
      </c>
      <c r="O1298" s="12">
        <v>1</v>
      </c>
      <c r="P1298" s="12">
        <v>0</v>
      </c>
      <c r="Q1298" s="16">
        <v>1</v>
      </c>
      <c r="R1298" s="16">
        <v>1</v>
      </c>
      <c r="S1298" s="16"/>
      <c r="T1298" s="16" t="e">
        <v>#N/A</v>
      </c>
      <c r="U1298" s="16" t="e">
        <v>#N/A</v>
      </c>
    </row>
    <row r="1299" spans="1:21" x14ac:dyDescent="0.25">
      <c r="A1299" s="12" t="s">
        <v>21</v>
      </c>
      <c r="B1299" s="12" t="s">
        <v>1341</v>
      </c>
      <c r="C1299" s="12" t="s">
        <v>23</v>
      </c>
      <c r="D1299" s="13">
        <v>46269.468472222223</v>
      </c>
      <c r="E1299" s="12" t="s">
        <v>1342</v>
      </c>
      <c r="F1299" s="12" t="s">
        <v>75</v>
      </c>
      <c r="G1299" s="12">
        <v>1</v>
      </c>
      <c r="H1299" s="12">
        <v>1</v>
      </c>
      <c r="I1299" s="14"/>
      <c r="J1299" s="14" t="s">
        <v>61</v>
      </c>
      <c r="K1299" s="12" t="s">
        <v>1371</v>
      </c>
      <c r="L1299" s="15">
        <v>1</v>
      </c>
      <c r="M1299" s="12" t="s">
        <v>150</v>
      </c>
      <c r="N1299" s="12">
        <v>1</v>
      </c>
      <c r="O1299" s="12">
        <v>1</v>
      </c>
      <c r="P1299" s="12">
        <v>0</v>
      </c>
      <c r="Q1299" s="16">
        <v>1</v>
      </c>
      <c r="R1299" s="16">
        <v>0</v>
      </c>
      <c r="S1299" s="16"/>
      <c r="T1299" s="16" t="e">
        <v>#N/A</v>
      </c>
      <c r="U1299" s="16" t="e">
        <v>#N/A</v>
      </c>
    </row>
    <row r="1300" spans="1:21" x14ac:dyDescent="0.25">
      <c r="A1300" s="12" t="s">
        <v>21</v>
      </c>
      <c r="B1300" s="12" t="s">
        <v>1372</v>
      </c>
      <c r="C1300" s="12" t="s">
        <v>23</v>
      </c>
      <c r="D1300" s="13">
        <v>46269.486041666663</v>
      </c>
      <c r="E1300" s="12" t="s">
        <v>340</v>
      </c>
      <c r="F1300" s="12" t="s">
        <v>1373</v>
      </c>
      <c r="G1300" s="12">
        <v>100</v>
      </c>
      <c r="H1300" s="12">
        <v>100</v>
      </c>
      <c r="I1300" s="14"/>
      <c r="J1300" s="14" t="s">
        <v>26</v>
      </c>
      <c r="K1300" s="12" t="s">
        <v>27</v>
      </c>
      <c r="L1300" s="15"/>
      <c r="M1300" s="12" t="s">
        <v>28</v>
      </c>
      <c r="N1300" s="12"/>
      <c r="O1300" s="12"/>
      <c r="P1300" s="12"/>
      <c r="Q1300" s="16">
        <v>0</v>
      </c>
      <c r="R1300" s="16">
        <v>8837</v>
      </c>
      <c r="S1300" s="16"/>
      <c r="T1300" s="16" t="e">
        <v>#N/A</v>
      </c>
      <c r="U1300" s="16" t="e">
        <v>#N/A</v>
      </c>
    </row>
    <row r="1301" spans="1:21" x14ac:dyDescent="0.25">
      <c r="A1301" s="12" t="s">
        <v>21</v>
      </c>
      <c r="B1301" s="12" t="s">
        <v>1372</v>
      </c>
      <c r="C1301" s="12" t="s">
        <v>23</v>
      </c>
      <c r="D1301" s="13">
        <v>46269.486041666663</v>
      </c>
      <c r="E1301" s="12" t="s">
        <v>340</v>
      </c>
      <c r="F1301" s="12" t="s">
        <v>1374</v>
      </c>
      <c r="G1301" s="12">
        <v>100</v>
      </c>
      <c r="H1301" s="12">
        <v>100</v>
      </c>
      <c r="I1301" s="14"/>
      <c r="J1301" s="14" t="s">
        <v>26</v>
      </c>
      <c r="K1301" s="12" t="s">
        <v>27</v>
      </c>
      <c r="L1301" s="15"/>
      <c r="M1301" s="12" t="s">
        <v>28</v>
      </c>
      <c r="N1301" s="12"/>
      <c r="O1301" s="12"/>
      <c r="P1301" s="12"/>
      <c r="Q1301" s="16">
        <v>0</v>
      </c>
      <c r="R1301" s="16">
        <v>8699</v>
      </c>
      <c r="S1301" s="16"/>
      <c r="T1301" s="16" t="e">
        <v>#N/A</v>
      </c>
      <c r="U1301" s="16" t="e">
        <v>#N/A</v>
      </c>
    </row>
    <row r="1302" spans="1:21" x14ac:dyDescent="0.25">
      <c r="A1302" s="12" t="s">
        <v>21</v>
      </c>
      <c r="B1302" s="12" t="s">
        <v>1372</v>
      </c>
      <c r="C1302" s="12" t="s">
        <v>23</v>
      </c>
      <c r="D1302" s="13">
        <v>46269.486041666663</v>
      </c>
      <c r="E1302" s="12" t="s">
        <v>340</v>
      </c>
      <c r="F1302" s="12" t="s">
        <v>320</v>
      </c>
      <c r="G1302" s="12">
        <v>20</v>
      </c>
      <c r="H1302" s="12">
        <v>20</v>
      </c>
      <c r="I1302" s="14"/>
      <c r="J1302" s="14" t="s">
        <v>26</v>
      </c>
      <c r="K1302" s="12" t="s">
        <v>27</v>
      </c>
      <c r="L1302" s="15"/>
      <c r="M1302" s="12" t="s">
        <v>28</v>
      </c>
      <c r="N1302" s="12"/>
      <c r="O1302" s="12"/>
      <c r="P1302" s="12"/>
      <c r="Q1302" s="16">
        <v>0</v>
      </c>
      <c r="R1302" s="16">
        <v>1</v>
      </c>
      <c r="S1302" s="16"/>
      <c r="T1302" s="16" t="e">
        <v>#N/A</v>
      </c>
      <c r="U1302" s="16" t="e">
        <v>#N/A</v>
      </c>
    </row>
    <row r="1303" spans="1:21" x14ac:dyDescent="0.25">
      <c r="A1303" s="12" t="s">
        <v>21</v>
      </c>
      <c r="B1303" s="12" t="s">
        <v>1372</v>
      </c>
      <c r="C1303" s="12" t="s">
        <v>23</v>
      </c>
      <c r="D1303" s="13">
        <v>46269.486041666663</v>
      </c>
      <c r="E1303" s="12" t="s">
        <v>340</v>
      </c>
      <c r="F1303" s="12" t="s">
        <v>130</v>
      </c>
      <c r="G1303" s="12">
        <v>50</v>
      </c>
      <c r="H1303" s="12">
        <v>50</v>
      </c>
      <c r="I1303" s="14"/>
      <c r="J1303" s="14" t="s">
        <v>26</v>
      </c>
      <c r="K1303" s="12" t="s">
        <v>27</v>
      </c>
      <c r="L1303" s="15"/>
      <c r="M1303" s="12" t="s">
        <v>28</v>
      </c>
      <c r="N1303" s="12"/>
      <c r="O1303" s="12"/>
      <c r="P1303" s="12"/>
      <c r="Q1303" s="16">
        <v>0</v>
      </c>
      <c r="R1303" s="16">
        <v>6</v>
      </c>
      <c r="S1303" s="16"/>
      <c r="T1303" s="16" t="e">
        <v>#N/A</v>
      </c>
      <c r="U1303" s="16" t="e">
        <v>#N/A</v>
      </c>
    </row>
    <row r="1304" spans="1:21" x14ac:dyDescent="0.25">
      <c r="A1304" s="12" t="s">
        <v>21</v>
      </c>
      <c r="B1304" s="12" t="s">
        <v>1372</v>
      </c>
      <c r="C1304" s="12" t="s">
        <v>23</v>
      </c>
      <c r="D1304" s="13">
        <v>46269.486041666663</v>
      </c>
      <c r="E1304" s="12" t="s">
        <v>340</v>
      </c>
      <c r="F1304" s="12" t="s">
        <v>262</v>
      </c>
      <c r="G1304" s="12">
        <v>120</v>
      </c>
      <c r="H1304" s="12">
        <v>120</v>
      </c>
      <c r="I1304" s="14"/>
      <c r="J1304" s="14" t="s">
        <v>26</v>
      </c>
      <c r="K1304" s="12" t="s">
        <v>27</v>
      </c>
      <c r="L1304" s="15"/>
      <c r="M1304" s="12" t="s">
        <v>28</v>
      </c>
      <c r="N1304" s="12"/>
      <c r="O1304" s="12"/>
      <c r="P1304" s="12"/>
      <c r="Q1304" s="16">
        <v>0</v>
      </c>
      <c r="R1304" s="16">
        <v>0</v>
      </c>
      <c r="S1304" s="16"/>
      <c r="T1304" s="16" t="e">
        <v>#N/A</v>
      </c>
      <c r="U1304" s="16" t="e">
        <v>#N/A</v>
      </c>
    </row>
    <row r="1305" spans="1:21" x14ac:dyDescent="0.25">
      <c r="A1305" s="12" t="s">
        <v>21</v>
      </c>
      <c r="B1305" s="12" t="s">
        <v>1372</v>
      </c>
      <c r="C1305" s="12" t="s">
        <v>23</v>
      </c>
      <c r="D1305" s="13">
        <v>46269.486041666663</v>
      </c>
      <c r="E1305" s="12" t="s">
        <v>340</v>
      </c>
      <c r="F1305" s="12" t="s">
        <v>134</v>
      </c>
      <c r="G1305" s="12">
        <v>10</v>
      </c>
      <c r="H1305" s="12">
        <v>10</v>
      </c>
      <c r="I1305" s="14"/>
      <c r="J1305" s="14" t="s">
        <v>26</v>
      </c>
      <c r="K1305" s="12" t="s">
        <v>27</v>
      </c>
      <c r="L1305" s="15"/>
      <c r="M1305" s="12" t="s">
        <v>28</v>
      </c>
      <c r="N1305" s="12"/>
      <c r="O1305" s="12"/>
      <c r="P1305" s="12"/>
      <c r="Q1305" s="16">
        <v>0</v>
      </c>
      <c r="R1305" s="16">
        <v>6</v>
      </c>
      <c r="S1305" s="16"/>
      <c r="T1305" s="16" t="e">
        <v>#N/A</v>
      </c>
      <c r="U1305" s="16" t="e">
        <v>#N/A</v>
      </c>
    </row>
    <row r="1306" spans="1:21" x14ac:dyDescent="0.25">
      <c r="A1306" s="12" t="s">
        <v>21</v>
      </c>
      <c r="B1306" s="12" t="s">
        <v>1375</v>
      </c>
      <c r="C1306" s="12" t="s">
        <v>23</v>
      </c>
      <c r="D1306" s="13">
        <v>46269.537164351852</v>
      </c>
      <c r="E1306" s="12" t="s">
        <v>39</v>
      </c>
      <c r="F1306" s="12" t="s">
        <v>1376</v>
      </c>
      <c r="G1306" s="12">
        <v>3</v>
      </c>
      <c r="H1306" s="12">
        <v>3</v>
      </c>
      <c r="I1306" s="14"/>
      <c r="J1306" s="14" t="s">
        <v>26</v>
      </c>
      <c r="K1306" s="12" t="s">
        <v>27</v>
      </c>
      <c r="L1306" s="15"/>
      <c r="M1306" s="12" t="s">
        <v>28</v>
      </c>
      <c r="N1306" s="12"/>
      <c r="O1306" s="12"/>
      <c r="P1306" s="12"/>
      <c r="Q1306" s="16">
        <v>0</v>
      </c>
      <c r="R1306" s="16"/>
      <c r="S1306" s="16"/>
      <c r="T1306" s="16" t="e">
        <v>#N/A</v>
      </c>
      <c r="U1306" s="16" t="e">
        <v>#N/A</v>
      </c>
    </row>
    <row r="1307" spans="1:21" x14ac:dyDescent="0.25">
      <c r="A1307" s="12" t="s">
        <v>21</v>
      </c>
      <c r="B1307" s="12" t="s">
        <v>1377</v>
      </c>
      <c r="C1307" s="12" t="s">
        <v>23</v>
      </c>
      <c r="D1307" s="13">
        <v>46269.590555555558</v>
      </c>
      <c r="E1307" s="12" t="s">
        <v>522</v>
      </c>
      <c r="F1307" s="12" t="s">
        <v>1124</v>
      </c>
      <c r="G1307" s="12">
        <v>4</v>
      </c>
      <c r="H1307" s="12">
        <v>4</v>
      </c>
      <c r="I1307" s="14"/>
      <c r="J1307" s="14" t="s">
        <v>26</v>
      </c>
      <c r="K1307" s="12" t="s">
        <v>1384</v>
      </c>
      <c r="L1307" s="15">
        <v>1</v>
      </c>
      <c r="M1307" s="12" t="s">
        <v>150</v>
      </c>
      <c r="N1307" s="12">
        <v>4</v>
      </c>
      <c r="O1307" s="12">
        <v>4</v>
      </c>
      <c r="P1307" s="12">
        <v>0</v>
      </c>
      <c r="Q1307" s="16">
        <v>0</v>
      </c>
      <c r="R1307" s="16">
        <v>0</v>
      </c>
      <c r="S1307" s="16"/>
      <c r="T1307" s="16" t="e">
        <v>#N/A</v>
      </c>
      <c r="U1307" s="16" t="e">
        <v>#N/A</v>
      </c>
    </row>
    <row r="1308" spans="1:21" x14ac:dyDescent="0.25">
      <c r="A1308" s="12" t="s">
        <v>21</v>
      </c>
      <c r="B1308" s="12" t="s">
        <v>1377</v>
      </c>
      <c r="C1308" s="12" t="s">
        <v>23</v>
      </c>
      <c r="D1308" s="13">
        <v>46269.590555555558</v>
      </c>
      <c r="E1308" s="12" t="s">
        <v>522</v>
      </c>
      <c r="F1308" s="12" t="s">
        <v>1378</v>
      </c>
      <c r="G1308" s="12">
        <v>1</v>
      </c>
      <c r="H1308" s="12">
        <v>1</v>
      </c>
      <c r="I1308" s="14"/>
      <c r="J1308" s="14" t="s">
        <v>26</v>
      </c>
      <c r="K1308" s="12" t="s">
        <v>1385</v>
      </c>
      <c r="L1308" s="15">
        <v>1</v>
      </c>
      <c r="M1308" s="12" t="s">
        <v>150</v>
      </c>
      <c r="N1308" s="12">
        <v>1</v>
      </c>
      <c r="O1308" s="12">
        <v>1</v>
      </c>
      <c r="P1308" s="12">
        <v>0</v>
      </c>
      <c r="Q1308" s="16">
        <v>0</v>
      </c>
      <c r="R1308" s="16">
        <v>0</v>
      </c>
      <c r="S1308" s="16"/>
      <c r="T1308" s="16" t="e">
        <v>#N/A</v>
      </c>
      <c r="U1308" s="16" t="e">
        <v>#N/A</v>
      </c>
    </row>
    <row r="1309" spans="1:21" x14ac:dyDescent="0.25">
      <c r="A1309" s="12" t="s">
        <v>21</v>
      </c>
      <c r="B1309" s="12" t="s">
        <v>1377</v>
      </c>
      <c r="C1309" s="12" t="s">
        <v>23</v>
      </c>
      <c r="D1309" s="13">
        <v>46269.590555555558</v>
      </c>
      <c r="E1309" s="12" t="s">
        <v>522</v>
      </c>
      <c r="F1309" s="12" t="s">
        <v>1154</v>
      </c>
      <c r="G1309" s="12">
        <v>2</v>
      </c>
      <c r="H1309" s="12">
        <v>2</v>
      </c>
      <c r="I1309" s="14"/>
      <c r="J1309" s="14" t="s">
        <v>26</v>
      </c>
      <c r="K1309" s="12" t="s">
        <v>1386</v>
      </c>
      <c r="L1309" s="15">
        <v>1</v>
      </c>
      <c r="M1309" s="12" t="s">
        <v>150</v>
      </c>
      <c r="N1309" s="12">
        <v>2</v>
      </c>
      <c r="O1309" s="12">
        <v>2</v>
      </c>
      <c r="P1309" s="12">
        <v>0</v>
      </c>
      <c r="Q1309" s="16">
        <v>0</v>
      </c>
      <c r="R1309" s="16">
        <v>0</v>
      </c>
      <c r="S1309" s="16"/>
      <c r="T1309" s="16" t="e">
        <v>#N/A</v>
      </c>
      <c r="U1309" s="16" t="e">
        <v>#N/A</v>
      </c>
    </row>
    <row r="1310" spans="1:21" x14ac:dyDescent="0.25">
      <c r="A1310" s="12" t="s">
        <v>21</v>
      </c>
      <c r="B1310" s="12" t="s">
        <v>1377</v>
      </c>
      <c r="C1310" s="12" t="s">
        <v>23</v>
      </c>
      <c r="D1310" s="13">
        <v>46269.590555555558</v>
      </c>
      <c r="E1310" s="12" t="s">
        <v>522</v>
      </c>
      <c r="F1310" s="12" t="s">
        <v>1155</v>
      </c>
      <c r="G1310" s="12">
        <v>4</v>
      </c>
      <c r="H1310" s="12">
        <v>4</v>
      </c>
      <c r="I1310" s="14"/>
      <c r="J1310" s="14" t="s">
        <v>26</v>
      </c>
      <c r="K1310" s="12" t="s">
        <v>1387</v>
      </c>
      <c r="L1310" s="15">
        <v>1</v>
      </c>
      <c r="M1310" s="12" t="s">
        <v>150</v>
      </c>
      <c r="N1310" s="12">
        <v>4</v>
      </c>
      <c r="O1310" s="12">
        <v>4</v>
      </c>
      <c r="P1310" s="12">
        <v>0</v>
      </c>
      <c r="Q1310" s="16">
        <v>0</v>
      </c>
      <c r="R1310" s="16">
        <v>0</v>
      </c>
      <c r="S1310" s="16"/>
      <c r="T1310" s="16" t="e">
        <v>#N/A</v>
      </c>
      <c r="U1310" s="16" t="e">
        <v>#N/A</v>
      </c>
    </row>
    <row r="1311" spans="1:21" x14ac:dyDescent="0.25">
      <c r="A1311" s="12" t="s">
        <v>21</v>
      </c>
      <c r="B1311" s="12" t="s">
        <v>1377</v>
      </c>
      <c r="C1311" s="12" t="s">
        <v>23</v>
      </c>
      <c r="D1311" s="13">
        <v>46269.590555555558</v>
      </c>
      <c r="E1311" s="12" t="s">
        <v>522</v>
      </c>
      <c r="F1311" s="12" t="s">
        <v>1155</v>
      </c>
      <c r="G1311" s="12">
        <v>2</v>
      </c>
      <c r="H1311" s="12">
        <v>2</v>
      </c>
      <c r="I1311" s="14"/>
      <c r="J1311" s="14" t="s">
        <v>26</v>
      </c>
      <c r="K1311" s="12" t="s">
        <v>1388</v>
      </c>
      <c r="L1311" s="15">
        <v>1</v>
      </c>
      <c r="M1311" s="12" t="s">
        <v>150</v>
      </c>
      <c r="N1311" s="12">
        <v>2</v>
      </c>
      <c r="O1311" s="12">
        <v>2</v>
      </c>
      <c r="P1311" s="12">
        <v>0</v>
      </c>
      <c r="Q1311" s="16">
        <v>0</v>
      </c>
      <c r="R1311" s="16">
        <v>0</v>
      </c>
      <c r="S1311" s="16"/>
      <c r="T1311" s="16" t="e">
        <v>#N/A</v>
      </c>
      <c r="U1311" s="16" t="e">
        <v>#N/A</v>
      </c>
    </row>
    <row r="1312" spans="1:21" x14ac:dyDescent="0.25">
      <c r="A1312" s="12" t="s">
        <v>21</v>
      </c>
      <c r="B1312" s="12" t="s">
        <v>1377</v>
      </c>
      <c r="C1312" s="12" t="s">
        <v>23</v>
      </c>
      <c r="D1312" s="13">
        <v>46269.590555555558</v>
      </c>
      <c r="E1312" s="12" t="s">
        <v>522</v>
      </c>
      <c r="F1312" s="12" t="s">
        <v>1156</v>
      </c>
      <c r="G1312" s="12">
        <v>1</v>
      </c>
      <c r="H1312" s="12">
        <v>1</v>
      </c>
      <c r="I1312" s="14"/>
      <c r="J1312" s="14" t="s">
        <v>26</v>
      </c>
      <c r="K1312" s="12" t="s">
        <v>1389</v>
      </c>
      <c r="L1312" s="15">
        <v>1</v>
      </c>
      <c r="M1312" s="12" t="s">
        <v>150</v>
      </c>
      <c r="N1312" s="12">
        <v>1</v>
      </c>
      <c r="O1312" s="12">
        <v>1</v>
      </c>
      <c r="P1312" s="12">
        <v>0</v>
      </c>
      <c r="Q1312" s="16">
        <v>0</v>
      </c>
      <c r="R1312" s="16">
        <v>0</v>
      </c>
      <c r="S1312" s="16"/>
      <c r="T1312" s="16" t="e">
        <v>#N/A</v>
      </c>
      <c r="U1312" s="16" t="e">
        <v>#N/A</v>
      </c>
    </row>
    <row r="1313" spans="1:21" x14ac:dyDescent="0.25">
      <c r="A1313" s="12" t="s">
        <v>21</v>
      </c>
      <c r="B1313" s="12" t="s">
        <v>1377</v>
      </c>
      <c r="C1313" s="12" t="s">
        <v>23</v>
      </c>
      <c r="D1313" s="13">
        <v>46269.590555555558</v>
      </c>
      <c r="E1313" s="12" t="s">
        <v>522</v>
      </c>
      <c r="F1313" s="12" t="s">
        <v>1156</v>
      </c>
      <c r="G1313" s="12">
        <v>3</v>
      </c>
      <c r="H1313" s="12">
        <v>3</v>
      </c>
      <c r="I1313" s="14"/>
      <c r="J1313" s="14" t="s">
        <v>26</v>
      </c>
      <c r="K1313" s="12" t="s">
        <v>1390</v>
      </c>
      <c r="L1313" s="15">
        <v>1</v>
      </c>
      <c r="M1313" s="12" t="s">
        <v>150</v>
      </c>
      <c r="N1313" s="12">
        <v>3</v>
      </c>
      <c r="O1313" s="12">
        <v>3</v>
      </c>
      <c r="P1313" s="12">
        <v>0</v>
      </c>
      <c r="Q1313" s="16">
        <v>0</v>
      </c>
      <c r="R1313" s="16">
        <v>0</v>
      </c>
      <c r="S1313" s="16"/>
      <c r="T1313" s="16" t="e">
        <v>#N/A</v>
      </c>
      <c r="U1313" s="16" t="e">
        <v>#N/A</v>
      </c>
    </row>
    <row r="1314" spans="1:21" x14ac:dyDescent="0.25">
      <c r="A1314" s="12" t="s">
        <v>21</v>
      </c>
      <c r="B1314" s="12" t="s">
        <v>1377</v>
      </c>
      <c r="C1314" s="12" t="s">
        <v>23</v>
      </c>
      <c r="D1314" s="13">
        <v>46269.590555555558</v>
      </c>
      <c r="E1314" s="12" t="s">
        <v>522</v>
      </c>
      <c r="F1314" s="12" t="s">
        <v>1379</v>
      </c>
      <c r="G1314" s="12">
        <v>1</v>
      </c>
      <c r="H1314" s="12">
        <v>1</v>
      </c>
      <c r="I1314" s="14"/>
      <c r="J1314" s="14" t="s">
        <v>26</v>
      </c>
      <c r="K1314" s="12" t="s">
        <v>1391</v>
      </c>
      <c r="L1314" s="15">
        <v>1</v>
      </c>
      <c r="M1314" s="12" t="s">
        <v>150</v>
      </c>
      <c r="N1314" s="12">
        <v>1</v>
      </c>
      <c r="O1314" s="12">
        <v>1</v>
      </c>
      <c r="P1314" s="12">
        <v>0</v>
      </c>
      <c r="Q1314" s="16">
        <v>0</v>
      </c>
      <c r="R1314" s="16">
        <v>0</v>
      </c>
      <c r="S1314" s="16"/>
      <c r="T1314" s="16" t="e">
        <v>#N/A</v>
      </c>
      <c r="U1314" s="16" t="e">
        <v>#N/A</v>
      </c>
    </row>
    <row r="1315" spans="1:21" x14ac:dyDescent="0.25">
      <c r="A1315" s="12" t="s">
        <v>21</v>
      </c>
      <c r="B1315" s="12" t="s">
        <v>1377</v>
      </c>
      <c r="C1315" s="12" t="s">
        <v>23</v>
      </c>
      <c r="D1315" s="13">
        <v>46269.590555555558</v>
      </c>
      <c r="E1315" s="12" t="s">
        <v>522</v>
      </c>
      <c r="F1315" s="12" t="s">
        <v>1380</v>
      </c>
      <c r="G1315" s="12">
        <v>1</v>
      </c>
      <c r="H1315" s="12">
        <v>1</v>
      </c>
      <c r="I1315" s="14"/>
      <c r="J1315" s="14" t="s">
        <v>26</v>
      </c>
      <c r="K1315" s="12" t="s">
        <v>1392</v>
      </c>
      <c r="L1315" s="15">
        <v>1</v>
      </c>
      <c r="M1315" s="12" t="s">
        <v>150</v>
      </c>
      <c r="N1315" s="12">
        <v>1</v>
      </c>
      <c r="O1315" s="12">
        <v>1</v>
      </c>
      <c r="P1315" s="12">
        <v>0</v>
      </c>
      <c r="Q1315" s="16">
        <v>0</v>
      </c>
      <c r="R1315" s="16">
        <v>0</v>
      </c>
      <c r="S1315" s="16"/>
      <c r="T1315" s="16" t="e">
        <v>#N/A</v>
      </c>
      <c r="U1315" s="16" t="e">
        <v>#N/A</v>
      </c>
    </row>
    <row r="1316" spans="1:21" x14ac:dyDescent="0.25">
      <c r="A1316" s="12" t="s">
        <v>21</v>
      </c>
      <c r="B1316" s="12" t="s">
        <v>1377</v>
      </c>
      <c r="C1316" s="12" t="s">
        <v>23</v>
      </c>
      <c r="D1316" s="13">
        <v>46269.590555555558</v>
      </c>
      <c r="E1316" s="12" t="s">
        <v>522</v>
      </c>
      <c r="F1316" s="12" t="s">
        <v>1381</v>
      </c>
      <c r="G1316" s="12">
        <v>3</v>
      </c>
      <c r="H1316" s="12">
        <v>3</v>
      </c>
      <c r="I1316" s="14"/>
      <c r="J1316" s="14" t="s">
        <v>26</v>
      </c>
      <c r="K1316" s="12" t="s">
        <v>1393</v>
      </c>
      <c r="L1316" s="15">
        <v>1</v>
      </c>
      <c r="M1316" s="12" t="s">
        <v>150</v>
      </c>
      <c r="N1316" s="12">
        <v>3</v>
      </c>
      <c r="O1316" s="12">
        <v>3</v>
      </c>
      <c r="P1316" s="12">
        <v>0</v>
      </c>
      <c r="Q1316" s="16">
        <v>0</v>
      </c>
      <c r="R1316" s="16">
        <v>0</v>
      </c>
      <c r="S1316" s="16"/>
      <c r="T1316" s="16" t="e">
        <v>#N/A</v>
      </c>
      <c r="U1316" s="16" t="e">
        <v>#N/A</v>
      </c>
    </row>
    <row r="1317" spans="1:21" x14ac:dyDescent="0.25">
      <c r="A1317" s="12" t="s">
        <v>21</v>
      </c>
      <c r="B1317" s="12" t="s">
        <v>1377</v>
      </c>
      <c r="C1317" s="12" t="s">
        <v>23</v>
      </c>
      <c r="D1317" s="13">
        <v>46269.590555555558</v>
      </c>
      <c r="E1317" s="12" t="s">
        <v>522</v>
      </c>
      <c r="F1317" s="12" t="s">
        <v>1382</v>
      </c>
      <c r="G1317" s="12">
        <v>1</v>
      </c>
      <c r="H1317" s="12">
        <v>1</v>
      </c>
      <c r="I1317" s="14"/>
      <c r="J1317" s="14" t="s">
        <v>26</v>
      </c>
      <c r="K1317" s="12" t="s">
        <v>1394</v>
      </c>
      <c r="L1317" s="15">
        <v>1</v>
      </c>
      <c r="M1317" s="12" t="s">
        <v>150</v>
      </c>
      <c r="N1317" s="12">
        <v>1</v>
      </c>
      <c r="O1317" s="12">
        <v>1</v>
      </c>
      <c r="P1317" s="12">
        <v>0</v>
      </c>
      <c r="Q1317" s="16">
        <v>0</v>
      </c>
      <c r="R1317" s="16">
        <v>0</v>
      </c>
      <c r="S1317" s="16"/>
      <c r="T1317" s="16" t="e">
        <v>#N/A</v>
      </c>
      <c r="U1317" s="16" t="e">
        <v>#N/A</v>
      </c>
    </row>
    <row r="1318" spans="1:21" x14ac:dyDescent="0.25">
      <c r="A1318" s="12" t="s">
        <v>21</v>
      </c>
      <c r="B1318" s="12" t="s">
        <v>1377</v>
      </c>
      <c r="C1318" s="12" t="s">
        <v>23</v>
      </c>
      <c r="D1318" s="13">
        <v>46269.590555555558</v>
      </c>
      <c r="E1318" s="12" t="s">
        <v>522</v>
      </c>
      <c r="F1318" s="12" t="s">
        <v>1383</v>
      </c>
      <c r="G1318" s="12">
        <v>1</v>
      </c>
      <c r="H1318" s="12">
        <v>1</v>
      </c>
      <c r="I1318" s="14"/>
      <c r="J1318" s="14" t="s">
        <v>26</v>
      </c>
      <c r="K1318" s="12" t="s">
        <v>1395</v>
      </c>
      <c r="L1318" s="15">
        <v>1</v>
      </c>
      <c r="M1318" s="12" t="s">
        <v>150</v>
      </c>
      <c r="N1318" s="12">
        <v>1</v>
      </c>
      <c r="O1318" s="12">
        <v>1</v>
      </c>
      <c r="P1318" s="12">
        <v>0</v>
      </c>
      <c r="Q1318" s="16">
        <v>0</v>
      </c>
      <c r="R1318" s="16">
        <v>0</v>
      </c>
      <c r="S1318" s="16"/>
      <c r="T1318" s="16" t="e">
        <v>#N/A</v>
      </c>
      <c r="U1318" s="16" t="e">
        <v>#N/A</v>
      </c>
    </row>
    <row r="1319" spans="1:21" x14ac:dyDescent="0.25">
      <c r="A1319" s="12" t="s">
        <v>21</v>
      </c>
      <c r="B1319" s="12" t="s">
        <v>1377</v>
      </c>
      <c r="C1319" s="12" t="s">
        <v>23</v>
      </c>
      <c r="D1319" s="13">
        <v>46269.590555555558</v>
      </c>
      <c r="E1319" s="12" t="s">
        <v>522</v>
      </c>
      <c r="F1319" s="12" t="s">
        <v>1157</v>
      </c>
      <c r="G1319" s="12">
        <v>1</v>
      </c>
      <c r="H1319" s="12">
        <v>1</v>
      </c>
      <c r="I1319" s="14"/>
      <c r="J1319" s="14" t="s">
        <v>26</v>
      </c>
      <c r="K1319" s="12" t="s">
        <v>1396</v>
      </c>
      <c r="L1319" s="15">
        <v>1</v>
      </c>
      <c r="M1319" s="12" t="s">
        <v>150</v>
      </c>
      <c r="N1319" s="12">
        <v>1</v>
      </c>
      <c r="O1319" s="12">
        <v>1</v>
      </c>
      <c r="P1319" s="12">
        <v>0</v>
      </c>
      <c r="Q1319" s="16">
        <v>0</v>
      </c>
      <c r="R1319" s="16">
        <v>0</v>
      </c>
      <c r="S1319" s="16"/>
      <c r="T1319" s="16" t="e">
        <v>#N/A</v>
      </c>
      <c r="U1319" s="16" t="e">
        <v>#N/A</v>
      </c>
    </row>
    <row r="1320" spans="1:21" x14ac:dyDescent="0.25">
      <c r="A1320" s="12" t="s">
        <v>21</v>
      </c>
      <c r="B1320" s="12" t="s">
        <v>1397</v>
      </c>
      <c r="C1320" s="12" t="s">
        <v>23</v>
      </c>
      <c r="D1320" s="13">
        <v>46269.660694444443</v>
      </c>
      <c r="E1320" s="12" t="s">
        <v>585</v>
      </c>
      <c r="F1320" s="12" t="s">
        <v>551</v>
      </c>
      <c r="G1320" s="12">
        <v>8</v>
      </c>
      <c r="H1320" s="12">
        <v>8</v>
      </c>
      <c r="I1320" s="14"/>
      <c r="J1320" s="14" t="s">
        <v>26</v>
      </c>
      <c r="K1320" s="12" t="s">
        <v>27</v>
      </c>
      <c r="L1320" s="15"/>
      <c r="M1320" s="12" t="s">
        <v>28</v>
      </c>
      <c r="N1320" s="12"/>
      <c r="O1320" s="12"/>
      <c r="P1320" s="12"/>
      <c r="Q1320" s="16">
        <v>0</v>
      </c>
      <c r="R1320" s="16">
        <v>0</v>
      </c>
      <c r="S1320" s="16"/>
      <c r="T1320" s="16" t="e">
        <v>#N/A</v>
      </c>
      <c r="U1320" s="16" t="e">
        <v>#N/A</v>
      </c>
    </row>
    <row r="1321" spans="1:21" x14ac:dyDescent="0.25">
      <c r="A1321" s="12" t="s">
        <v>21</v>
      </c>
      <c r="B1321" s="12" t="s">
        <v>1397</v>
      </c>
      <c r="C1321" s="12" t="s">
        <v>23</v>
      </c>
      <c r="D1321" s="13">
        <v>46269.660694444443</v>
      </c>
      <c r="E1321" s="12" t="s">
        <v>585</v>
      </c>
      <c r="F1321" s="12" t="s">
        <v>1202</v>
      </c>
      <c r="G1321" s="12">
        <v>8</v>
      </c>
      <c r="H1321" s="12">
        <v>8</v>
      </c>
      <c r="I1321" s="14"/>
      <c r="J1321" s="14" t="s">
        <v>26</v>
      </c>
      <c r="K1321" s="12" t="s">
        <v>27</v>
      </c>
      <c r="L1321" s="15"/>
      <c r="M1321" s="12" t="s">
        <v>28</v>
      </c>
      <c r="N1321" s="12"/>
      <c r="O1321" s="12"/>
      <c r="P1321" s="12"/>
      <c r="Q1321" s="16">
        <v>0</v>
      </c>
      <c r="R1321" s="16">
        <v>0</v>
      </c>
      <c r="S1321" s="16"/>
      <c r="T1321" s="16" t="e">
        <v>#N/A</v>
      </c>
      <c r="U1321" s="16" t="e">
        <v>#N/A</v>
      </c>
    </row>
    <row r="1322" spans="1:21" x14ac:dyDescent="0.25">
      <c r="A1322" s="12" t="s">
        <v>21</v>
      </c>
      <c r="B1322" s="12" t="s">
        <v>1397</v>
      </c>
      <c r="C1322" s="12" t="s">
        <v>23</v>
      </c>
      <c r="D1322" s="13">
        <v>46269.660694444443</v>
      </c>
      <c r="E1322" s="12" t="s">
        <v>585</v>
      </c>
      <c r="F1322" s="12" t="s">
        <v>1164</v>
      </c>
      <c r="G1322" s="12">
        <v>20</v>
      </c>
      <c r="H1322" s="12">
        <v>20</v>
      </c>
      <c r="I1322" s="14"/>
      <c r="J1322" s="14" t="s">
        <v>26</v>
      </c>
      <c r="K1322" s="12" t="s">
        <v>27</v>
      </c>
      <c r="L1322" s="15"/>
      <c r="M1322" s="12" t="s">
        <v>28</v>
      </c>
      <c r="N1322" s="12"/>
      <c r="O1322" s="12"/>
      <c r="P1322" s="12"/>
      <c r="Q1322" s="16">
        <v>0</v>
      </c>
      <c r="R1322" s="16">
        <v>0</v>
      </c>
      <c r="S1322" s="16"/>
      <c r="T1322" s="16" t="e">
        <v>#N/A</v>
      </c>
      <c r="U1322" s="16" t="e">
        <v>#N/A</v>
      </c>
    </row>
    <row r="1323" spans="1:21" x14ac:dyDescent="0.25">
      <c r="A1323" s="12" t="s">
        <v>21</v>
      </c>
      <c r="B1323" s="12" t="s">
        <v>1397</v>
      </c>
      <c r="C1323" s="12" t="s">
        <v>23</v>
      </c>
      <c r="D1323" s="13">
        <v>46269.660694444443</v>
      </c>
      <c r="E1323" s="12" t="s">
        <v>585</v>
      </c>
      <c r="F1323" s="12" t="s">
        <v>248</v>
      </c>
      <c r="G1323" s="12">
        <v>80</v>
      </c>
      <c r="H1323" s="12">
        <v>80</v>
      </c>
      <c r="I1323" s="14"/>
      <c r="J1323" s="14" t="s">
        <v>26</v>
      </c>
      <c r="K1323" s="12" t="s">
        <v>27</v>
      </c>
      <c r="L1323" s="15"/>
      <c r="M1323" s="12" t="s">
        <v>28</v>
      </c>
      <c r="N1323" s="12"/>
      <c r="O1323" s="12"/>
      <c r="P1323" s="12"/>
      <c r="Q1323" s="16">
        <v>0</v>
      </c>
      <c r="R1323" s="16">
        <v>2</v>
      </c>
      <c r="S1323" s="16"/>
      <c r="T1323" s="16" t="e">
        <v>#N/A</v>
      </c>
      <c r="U1323" s="16" t="e">
        <v>#N/A</v>
      </c>
    </row>
    <row r="1324" spans="1:21" x14ac:dyDescent="0.25">
      <c r="A1324" s="12" t="s">
        <v>21</v>
      </c>
      <c r="B1324" s="12" t="s">
        <v>1397</v>
      </c>
      <c r="C1324" s="12" t="s">
        <v>23</v>
      </c>
      <c r="D1324" s="13">
        <v>46269.660694444443</v>
      </c>
      <c r="E1324" s="12" t="s">
        <v>585</v>
      </c>
      <c r="F1324" s="12" t="s">
        <v>275</v>
      </c>
      <c r="G1324" s="12">
        <v>20</v>
      </c>
      <c r="H1324" s="12">
        <v>20</v>
      </c>
      <c r="I1324" s="14"/>
      <c r="J1324" s="14" t="s">
        <v>26</v>
      </c>
      <c r="K1324" s="12" t="s">
        <v>27</v>
      </c>
      <c r="L1324" s="15"/>
      <c r="M1324" s="12" t="s">
        <v>28</v>
      </c>
      <c r="N1324" s="12"/>
      <c r="O1324" s="12"/>
      <c r="P1324" s="12"/>
      <c r="Q1324" s="16">
        <v>0</v>
      </c>
      <c r="R1324" s="16">
        <v>0</v>
      </c>
      <c r="S1324" s="16"/>
      <c r="T1324" s="16" t="e">
        <v>#N/A</v>
      </c>
      <c r="U1324" s="16" t="e">
        <v>#N/A</v>
      </c>
    </row>
    <row r="1325" spans="1:21" x14ac:dyDescent="0.25">
      <c r="A1325" s="12" t="s">
        <v>21</v>
      </c>
      <c r="B1325" s="12" t="s">
        <v>1397</v>
      </c>
      <c r="C1325" s="12" t="s">
        <v>23</v>
      </c>
      <c r="D1325" s="13">
        <v>46269.660694444443</v>
      </c>
      <c r="E1325" s="12" t="s">
        <v>585</v>
      </c>
      <c r="F1325" s="12" t="s">
        <v>1398</v>
      </c>
      <c r="G1325" s="12">
        <v>10</v>
      </c>
      <c r="H1325" s="12">
        <v>10</v>
      </c>
      <c r="I1325" s="14"/>
      <c r="J1325" s="14" t="s">
        <v>26</v>
      </c>
      <c r="K1325" s="12" t="s">
        <v>27</v>
      </c>
      <c r="L1325" s="15"/>
      <c r="M1325" s="12" t="s">
        <v>28</v>
      </c>
      <c r="N1325" s="12"/>
      <c r="O1325" s="12"/>
      <c r="P1325" s="12"/>
      <c r="Q1325" s="16">
        <v>0</v>
      </c>
      <c r="R1325" s="16">
        <v>41</v>
      </c>
      <c r="S1325" s="16"/>
      <c r="T1325" s="16" t="e">
        <v>#N/A</v>
      </c>
      <c r="U1325" s="16" t="e">
        <v>#N/A</v>
      </c>
    </row>
    <row r="1326" spans="1:21" x14ac:dyDescent="0.25">
      <c r="A1326" s="12" t="s">
        <v>21</v>
      </c>
      <c r="B1326" s="12" t="s">
        <v>1397</v>
      </c>
      <c r="C1326" s="12" t="s">
        <v>23</v>
      </c>
      <c r="D1326" s="13">
        <v>46269.660694444443</v>
      </c>
      <c r="E1326" s="12" t="s">
        <v>585</v>
      </c>
      <c r="F1326" s="12" t="s">
        <v>1166</v>
      </c>
      <c r="G1326" s="12">
        <v>40</v>
      </c>
      <c r="H1326" s="12">
        <v>40</v>
      </c>
      <c r="I1326" s="14"/>
      <c r="J1326" s="14" t="s">
        <v>26</v>
      </c>
      <c r="K1326" s="12" t="s">
        <v>27</v>
      </c>
      <c r="L1326" s="15"/>
      <c r="M1326" s="12" t="s">
        <v>28</v>
      </c>
      <c r="N1326" s="12"/>
      <c r="O1326" s="12"/>
      <c r="P1326" s="12"/>
      <c r="Q1326" s="16">
        <v>0</v>
      </c>
      <c r="R1326" s="16">
        <v>0</v>
      </c>
      <c r="S1326" s="16"/>
      <c r="T1326" s="16" t="e">
        <v>#N/A</v>
      </c>
      <c r="U1326" s="16" t="e">
        <v>#N/A</v>
      </c>
    </row>
    <row r="1327" spans="1:21" x14ac:dyDescent="0.25">
      <c r="A1327" s="12" t="s">
        <v>21</v>
      </c>
      <c r="B1327" s="12" t="s">
        <v>1397</v>
      </c>
      <c r="C1327" s="12" t="s">
        <v>23</v>
      </c>
      <c r="D1327" s="13">
        <v>46269.660694444443</v>
      </c>
      <c r="E1327" s="12" t="s">
        <v>585</v>
      </c>
      <c r="F1327" s="12" t="s">
        <v>1399</v>
      </c>
      <c r="G1327" s="12">
        <v>30</v>
      </c>
      <c r="H1327" s="12">
        <v>30</v>
      </c>
      <c r="I1327" s="14"/>
      <c r="J1327" s="14" t="s">
        <v>26</v>
      </c>
      <c r="K1327" s="12" t="s">
        <v>27</v>
      </c>
      <c r="L1327" s="15"/>
      <c r="M1327" s="12" t="s">
        <v>28</v>
      </c>
      <c r="N1327" s="12"/>
      <c r="O1327" s="12"/>
      <c r="P1327" s="12"/>
      <c r="Q1327" s="16">
        <v>0</v>
      </c>
      <c r="R1327" s="16">
        <v>0</v>
      </c>
      <c r="S1327" s="16"/>
      <c r="T1327" s="16" t="e">
        <v>#N/A</v>
      </c>
      <c r="U1327" s="16" t="e">
        <v>#N/A</v>
      </c>
    </row>
    <row r="1328" spans="1:21" x14ac:dyDescent="0.25">
      <c r="A1328" s="12" t="s">
        <v>21</v>
      </c>
      <c r="B1328" s="12" t="s">
        <v>1400</v>
      </c>
      <c r="C1328" s="12" t="s">
        <v>23</v>
      </c>
      <c r="D1328" s="13">
        <v>46270.34337962963</v>
      </c>
      <c r="E1328" s="12" t="s">
        <v>24</v>
      </c>
      <c r="F1328" s="12" t="s">
        <v>1401</v>
      </c>
      <c r="G1328" s="12">
        <v>2</v>
      </c>
      <c r="H1328" s="12">
        <v>2</v>
      </c>
      <c r="I1328" s="14"/>
      <c r="J1328" s="14" t="s">
        <v>26</v>
      </c>
      <c r="K1328" s="12" t="s">
        <v>1402</v>
      </c>
      <c r="L1328" s="15">
        <v>1</v>
      </c>
      <c r="M1328" s="12" t="s">
        <v>150</v>
      </c>
      <c r="N1328" s="12">
        <v>2</v>
      </c>
      <c r="O1328" s="12">
        <v>2</v>
      </c>
      <c r="P1328" s="12">
        <v>0</v>
      </c>
      <c r="Q1328" s="16">
        <v>0</v>
      </c>
      <c r="R1328" s="16">
        <v>0</v>
      </c>
      <c r="S1328" s="16"/>
      <c r="T1328" s="16" t="e">
        <v>#N/A</v>
      </c>
      <c r="U1328" s="16" t="e">
        <v>#N/A</v>
      </c>
    </row>
    <row r="1329" spans="1:21" x14ac:dyDescent="0.25">
      <c r="A1329" s="12" t="s">
        <v>21</v>
      </c>
      <c r="B1329" s="12" t="s">
        <v>1403</v>
      </c>
      <c r="C1329" s="12" t="s">
        <v>23</v>
      </c>
      <c r="D1329" s="13">
        <v>46272.543923611112</v>
      </c>
      <c r="E1329" s="12" t="s">
        <v>24</v>
      </c>
      <c r="F1329" s="12" t="s">
        <v>277</v>
      </c>
      <c r="G1329" s="12">
        <v>1</v>
      </c>
      <c r="H1329" s="12">
        <v>1</v>
      </c>
      <c r="I1329" s="14"/>
      <c r="J1329" s="14" t="s">
        <v>26</v>
      </c>
      <c r="K1329" s="12" t="s">
        <v>27</v>
      </c>
      <c r="L1329" s="15"/>
      <c r="M1329" s="12" t="s">
        <v>28</v>
      </c>
      <c r="N1329" s="12"/>
      <c r="O1329" s="12"/>
      <c r="P1329" s="12"/>
      <c r="Q1329" s="16">
        <v>0</v>
      </c>
      <c r="R1329" s="16">
        <v>0</v>
      </c>
      <c r="S1329" s="16"/>
      <c r="T1329" s="16" t="e">
        <v>#N/A</v>
      </c>
      <c r="U1329" s="16" t="e">
        <v>#N/A</v>
      </c>
    </row>
    <row r="1330" spans="1:21" x14ac:dyDescent="0.25">
      <c r="A1330" s="12" t="s">
        <v>21</v>
      </c>
      <c r="B1330" s="12" t="s">
        <v>1404</v>
      </c>
      <c r="C1330" s="12" t="s">
        <v>23</v>
      </c>
      <c r="D1330" s="13">
        <v>46272.553136574075</v>
      </c>
      <c r="E1330" s="12" t="s">
        <v>24</v>
      </c>
      <c r="F1330" s="12" t="s">
        <v>104</v>
      </c>
      <c r="G1330" s="12">
        <v>1</v>
      </c>
      <c r="H1330" s="12">
        <v>1</v>
      </c>
      <c r="I1330" s="14"/>
      <c r="J1330" s="14" t="s">
        <v>26</v>
      </c>
      <c r="K1330" s="12" t="s">
        <v>1408</v>
      </c>
      <c r="L1330" s="15">
        <v>1</v>
      </c>
      <c r="M1330" s="12" t="s">
        <v>150</v>
      </c>
      <c r="N1330" s="12">
        <v>1</v>
      </c>
      <c r="O1330" s="12">
        <v>1</v>
      </c>
      <c r="P1330" s="12">
        <v>0</v>
      </c>
      <c r="Q1330" s="16">
        <v>0</v>
      </c>
      <c r="R1330" s="16">
        <v>0</v>
      </c>
      <c r="S1330" s="16"/>
      <c r="T1330" s="16" t="e">
        <v>#N/A</v>
      </c>
      <c r="U1330" s="16" t="e">
        <v>#N/A</v>
      </c>
    </row>
    <row r="1331" spans="1:21" x14ac:dyDescent="0.25">
      <c r="A1331" s="12" t="s">
        <v>21</v>
      </c>
      <c r="B1331" s="12" t="s">
        <v>1404</v>
      </c>
      <c r="C1331" s="12" t="s">
        <v>23</v>
      </c>
      <c r="D1331" s="13">
        <v>46272.553136574075</v>
      </c>
      <c r="E1331" s="12" t="s">
        <v>24</v>
      </c>
      <c r="F1331" s="12" t="s">
        <v>718</v>
      </c>
      <c r="G1331" s="12">
        <v>10</v>
      </c>
      <c r="H1331" s="12">
        <v>10</v>
      </c>
      <c r="I1331" s="14"/>
      <c r="J1331" s="14" t="s">
        <v>61</v>
      </c>
      <c r="K1331" s="12" t="s">
        <v>1409</v>
      </c>
      <c r="L1331" s="15">
        <v>1</v>
      </c>
      <c r="M1331" s="12" t="s">
        <v>150</v>
      </c>
      <c r="N1331" s="12">
        <v>10</v>
      </c>
      <c r="O1331" s="12">
        <v>10</v>
      </c>
      <c r="P1331" s="12">
        <v>0</v>
      </c>
      <c r="Q1331" s="16">
        <v>10</v>
      </c>
      <c r="R1331" s="16">
        <v>0</v>
      </c>
      <c r="S1331" s="16"/>
      <c r="T1331" s="16" t="e">
        <v>#N/A</v>
      </c>
      <c r="U1331" s="16" t="e">
        <v>#N/A</v>
      </c>
    </row>
    <row r="1332" spans="1:21" x14ac:dyDescent="0.25">
      <c r="A1332" s="12" t="s">
        <v>21</v>
      </c>
      <c r="B1332" s="12" t="s">
        <v>1404</v>
      </c>
      <c r="C1332" s="12" t="s">
        <v>23</v>
      </c>
      <c r="D1332" s="13">
        <v>46272.553136574075</v>
      </c>
      <c r="E1332" s="12" t="s">
        <v>24</v>
      </c>
      <c r="F1332" s="12" t="s">
        <v>122</v>
      </c>
      <c r="G1332" s="12">
        <v>7</v>
      </c>
      <c r="H1332" s="12">
        <v>7</v>
      </c>
      <c r="I1332" s="14"/>
      <c r="J1332" s="14" t="s">
        <v>61</v>
      </c>
      <c r="K1332" s="12" t="s">
        <v>1410</v>
      </c>
      <c r="L1332" s="15">
        <v>1</v>
      </c>
      <c r="M1332" s="12" t="s">
        <v>150</v>
      </c>
      <c r="N1332" s="12">
        <v>7</v>
      </c>
      <c r="O1332" s="12">
        <v>7</v>
      </c>
      <c r="P1332" s="12">
        <v>0</v>
      </c>
      <c r="Q1332" s="16">
        <v>7</v>
      </c>
      <c r="R1332" s="16">
        <v>0</v>
      </c>
      <c r="S1332" s="16"/>
      <c r="T1332" s="16" t="e">
        <v>#N/A</v>
      </c>
      <c r="U1332" s="16" t="e">
        <v>#N/A</v>
      </c>
    </row>
    <row r="1333" spans="1:21" x14ac:dyDescent="0.25">
      <c r="A1333" s="12" t="s">
        <v>21</v>
      </c>
      <c r="B1333" s="12" t="s">
        <v>1404</v>
      </c>
      <c r="C1333" s="12" t="s">
        <v>23</v>
      </c>
      <c r="D1333" s="13">
        <v>46272.553136574075</v>
      </c>
      <c r="E1333" s="12" t="s">
        <v>24</v>
      </c>
      <c r="F1333" s="12" t="s">
        <v>1406</v>
      </c>
      <c r="G1333" s="12">
        <v>8</v>
      </c>
      <c r="H1333" s="12">
        <v>8</v>
      </c>
      <c r="I1333" s="14"/>
      <c r="J1333" s="14" t="s">
        <v>61</v>
      </c>
      <c r="K1333" s="12" t="s">
        <v>1411</v>
      </c>
      <c r="L1333" s="15">
        <v>1</v>
      </c>
      <c r="M1333" s="12" t="s">
        <v>150</v>
      </c>
      <c r="N1333" s="12">
        <v>8</v>
      </c>
      <c r="O1333" s="12">
        <v>8</v>
      </c>
      <c r="P1333" s="12">
        <v>0</v>
      </c>
      <c r="Q1333" s="16">
        <v>8</v>
      </c>
      <c r="R1333" s="16">
        <v>0</v>
      </c>
      <c r="S1333" s="16"/>
      <c r="T1333" s="16" t="e">
        <v>#N/A</v>
      </c>
      <c r="U1333" s="16" t="e">
        <v>#N/A</v>
      </c>
    </row>
    <row r="1334" spans="1:21" x14ac:dyDescent="0.25">
      <c r="A1334" s="12" t="s">
        <v>21</v>
      </c>
      <c r="B1334" s="12" t="s">
        <v>1404</v>
      </c>
      <c r="C1334" s="12" t="s">
        <v>23</v>
      </c>
      <c r="D1334" s="13">
        <v>46272.553136574075</v>
      </c>
      <c r="E1334" s="12" t="s">
        <v>24</v>
      </c>
      <c r="F1334" s="12" t="s">
        <v>1330</v>
      </c>
      <c r="G1334" s="12">
        <v>1</v>
      </c>
      <c r="H1334" s="12">
        <v>1</v>
      </c>
      <c r="I1334" s="14"/>
      <c r="J1334" s="14" t="s">
        <v>61</v>
      </c>
      <c r="K1334" s="12" t="s">
        <v>1412</v>
      </c>
      <c r="L1334" s="15">
        <v>1</v>
      </c>
      <c r="M1334" s="12" t="s">
        <v>150</v>
      </c>
      <c r="N1334" s="12">
        <v>1</v>
      </c>
      <c r="O1334" s="12">
        <v>1</v>
      </c>
      <c r="P1334" s="12">
        <v>0</v>
      </c>
      <c r="Q1334" s="16">
        <v>1</v>
      </c>
      <c r="R1334" s="16">
        <v>0</v>
      </c>
      <c r="S1334" s="16"/>
      <c r="T1334" s="16" t="e">
        <v>#N/A</v>
      </c>
      <c r="U1334" s="16" t="e">
        <v>#N/A</v>
      </c>
    </row>
    <row r="1335" spans="1:21" x14ac:dyDescent="0.25">
      <c r="A1335" s="12" t="s">
        <v>21</v>
      </c>
      <c r="B1335" s="12" t="s">
        <v>1405</v>
      </c>
      <c r="C1335" s="12" t="s">
        <v>23</v>
      </c>
      <c r="D1335" s="13">
        <v>46272.615613425929</v>
      </c>
      <c r="E1335" s="12" t="s">
        <v>24</v>
      </c>
      <c r="F1335" s="12" t="s">
        <v>1407</v>
      </c>
      <c r="G1335" s="12">
        <v>1</v>
      </c>
      <c r="H1335" s="12">
        <v>1</v>
      </c>
      <c r="I1335" s="14"/>
      <c r="J1335" s="14" t="s">
        <v>26</v>
      </c>
      <c r="K1335" s="12" t="s">
        <v>27</v>
      </c>
      <c r="L1335" s="15"/>
      <c r="M1335" s="12" t="s">
        <v>28</v>
      </c>
      <c r="N1335" s="12"/>
      <c r="O1335" s="12"/>
      <c r="P1335" s="12"/>
      <c r="Q1335" s="16">
        <v>0</v>
      </c>
      <c r="R1335" s="16">
        <v>0</v>
      </c>
      <c r="S1335" s="16"/>
      <c r="T1335" s="16" t="e">
        <v>#N/A</v>
      </c>
      <c r="U1335" s="16" t="e">
        <v>#N/A</v>
      </c>
    </row>
    <row r="1336" spans="1:21" x14ac:dyDescent="0.25">
      <c r="A1336" s="12" t="s">
        <v>21</v>
      </c>
      <c r="B1336" s="12" t="s">
        <v>1405</v>
      </c>
      <c r="C1336" s="12" t="s">
        <v>23</v>
      </c>
      <c r="D1336" s="13">
        <v>46272.615613425929</v>
      </c>
      <c r="E1336" s="12" t="s">
        <v>24</v>
      </c>
      <c r="F1336" s="12" t="s">
        <v>1413</v>
      </c>
      <c r="G1336" s="12">
        <v>4</v>
      </c>
      <c r="H1336" s="12">
        <v>4</v>
      </c>
      <c r="I1336" s="14">
        <v>-3</v>
      </c>
      <c r="J1336" s="14" t="s">
        <v>26</v>
      </c>
      <c r="K1336" s="12" t="s">
        <v>27</v>
      </c>
      <c r="L1336" s="15"/>
      <c r="M1336" s="12" t="s">
        <v>28</v>
      </c>
      <c r="N1336" s="12"/>
      <c r="O1336" s="12"/>
      <c r="P1336" s="12"/>
      <c r="Q1336" s="16">
        <v>0</v>
      </c>
      <c r="R1336" s="16">
        <v>0</v>
      </c>
      <c r="S1336" s="16"/>
      <c r="T1336" s="16" t="e">
        <v>#N/A</v>
      </c>
      <c r="U1336" s="16" t="e">
        <v>#N/A</v>
      </c>
    </row>
    <row r="1337" spans="1:21" x14ac:dyDescent="0.25">
      <c r="A1337" s="12" t="s">
        <v>21</v>
      </c>
      <c r="B1337" s="12" t="s">
        <v>1414</v>
      </c>
      <c r="C1337" s="12" t="s">
        <v>23</v>
      </c>
      <c r="D1337" s="13">
        <v>46272.640960648147</v>
      </c>
      <c r="E1337" s="12" t="s">
        <v>661</v>
      </c>
      <c r="F1337" s="12" t="s">
        <v>283</v>
      </c>
      <c r="G1337" s="12">
        <v>30</v>
      </c>
      <c r="H1337" s="12">
        <v>30</v>
      </c>
      <c r="I1337" s="14"/>
      <c r="J1337" s="14" t="s">
        <v>61</v>
      </c>
      <c r="K1337" s="12" t="s">
        <v>1418</v>
      </c>
      <c r="L1337" s="15">
        <v>1</v>
      </c>
      <c r="M1337" s="12" t="s">
        <v>150</v>
      </c>
      <c r="N1337" s="12">
        <v>30</v>
      </c>
      <c r="O1337" s="12">
        <v>30</v>
      </c>
      <c r="P1337" s="12">
        <v>0</v>
      </c>
      <c r="Q1337" s="16">
        <v>30</v>
      </c>
      <c r="R1337" s="16">
        <v>0</v>
      </c>
      <c r="S1337" s="16"/>
      <c r="T1337" s="16" t="e">
        <v>#N/A</v>
      </c>
      <c r="U1337" s="16" t="e">
        <v>#N/A</v>
      </c>
    </row>
    <row r="1338" spans="1:21" x14ac:dyDescent="0.25">
      <c r="A1338" s="12" t="s">
        <v>21</v>
      </c>
      <c r="B1338" s="12" t="s">
        <v>1414</v>
      </c>
      <c r="C1338" s="12" t="s">
        <v>23</v>
      </c>
      <c r="D1338" s="13">
        <v>46272.640960648147</v>
      </c>
      <c r="E1338" s="12" t="s">
        <v>661</v>
      </c>
      <c r="F1338" s="12" t="s">
        <v>201</v>
      </c>
      <c r="G1338" s="12">
        <v>30</v>
      </c>
      <c r="H1338" s="12">
        <v>30</v>
      </c>
      <c r="I1338" s="14"/>
      <c r="J1338" s="14" t="s">
        <v>61</v>
      </c>
      <c r="K1338" s="12" t="s">
        <v>1419</v>
      </c>
      <c r="L1338" s="15">
        <v>1</v>
      </c>
      <c r="M1338" s="12" t="s">
        <v>150</v>
      </c>
      <c r="N1338" s="12">
        <v>30</v>
      </c>
      <c r="O1338" s="12">
        <v>30</v>
      </c>
      <c r="P1338" s="12">
        <v>0</v>
      </c>
      <c r="Q1338" s="16">
        <v>30</v>
      </c>
      <c r="R1338" s="16">
        <v>0</v>
      </c>
      <c r="S1338" s="16"/>
      <c r="T1338" s="16" t="e">
        <v>#N/A</v>
      </c>
      <c r="U1338" s="16" t="e">
        <v>#N/A</v>
      </c>
    </row>
    <row r="1339" spans="1:21" x14ac:dyDescent="0.25">
      <c r="A1339" s="12" t="s">
        <v>21</v>
      </c>
      <c r="B1339" s="12" t="s">
        <v>1415</v>
      </c>
      <c r="C1339" s="12" t="s">
        <v>23</v>
      </c>
      <c r="D1339" s="13">
        <v>46273.296388888892</v>
      </c>
      <c r="E1339" s="12" t="s">
        <v>24</v>
      </c>
      <c r="F1339" s="12" t="s">
        <v>478</v>
      </c>
      <c r="G1339" s="12">
        <v>20</v>
      </c>
      <c r="H1339" s="12">
        <v>20</v>
      </c>
      <c r="I1339" s="14"/>
      <c r="J1339" s="14" t="s">
        <v>26</v>
      </c>
      <c r="K1339" s="12" t="s">
        <v>27</v>
      </c>
      <c r="L1339" s="15"/>
      <c r="M1339" s="12" t="s">
        <v>28</v>
      </c>
      <c r="N1339" s="12"/>
      <c r="O1339" s="12"/>
      <c r="P1339" s="12"/>
      <c r="Q1339" s="16">
        <v>0</v>
      </c>
      <c r="R1339" s="16">
        <v>0</v>
      </c>
      <c r="S1339" s="16"/>
      <c r="T1339" s="16" t="e">
        <v>#N/A</v>
      </c>
      <c r="U1339" s="16" t="e">
        <v>#N/A</v>
      </c>
    </row>
    <row r="1340" spans="1:21" x14ac:dyDescent="0.25">
      <c r="A1340" s="12" t="s">
        <v>21</v>
      </c>
      <c r="B1340" s="12" t="s">
        <v>1415</v>
      </c>
      <c r="C1340" s="12" t="s">
        <v>23</v>
      </c>
      <c r="D1340" s="13">
        <v>46273.296388888892</v>
      </c>
      <c r="E1340" s="12" t="s">
        <v>24</v>
      </c>
      <c r="F1340" s="12" t="s">
        <v>242</v>
      </c>
      <c r="G1340" s="12">
        <v>50</v>
      </c>
      <c r="H1340" s="12">
        <v>50</v>
      </c>
      <c r="I1340" s="14"/>
      <c r="J1340" s="14" t="s">
        <v>26</v>
      </c>
      <c r="K1340" s="12" t="s">
        <v>27</v>
      </c>
      <c r="L1340" s="15"/>
      <c r="M1340" s="12" t="s">
        <v>28</v>
      </c>
      <c r="N1340" s="12"/>
      <c r="O1340" s="12"/>
      <c r="P1340" s="12"/>
      <c r="Q1340" s="16">
        <v>0</v>
      </c>
      <c r="R1340" s="16">
        <v>0</v>
      </c>
      <c r="S1340" s="16"/>
      <c r="T1340" s="16" t="e">
        <v>#N/A</v>
      </c>
      <c r="U1340" s="16" t="e">
        <v>#N/A</v>
      </c>
    </row>
    <row r="1341" spans="1:21" x14ac:dyDescent="0.25">
      <c r="A1341" s="12" t="s">
        <v>21</v>
      </c>
      <c r="B1341" s="12" t="s">
        <v>1415</v>
      </c>
      <c r="C1341" s="12" t="s">
        <v>23</v>
      </c>
      <c r="D1341" s="13">
        <v>46273.296388888892</v>
      </c>
      <c r="E1341" s="12" t="s">
        <v>24</v>
      </c>
      <c r="F1341" s="12" t="s">
        <v>157</v>
      </c>
      <c r="G1341" s="12">
        <v>40</v>
      </c>
      <c r="H1341" s="12">
        <v>40</v>
      </c>
      <c r="I1341" s="14"/>
      <c r="J1341" s="14" t="s">
        <v>61</v>
      </c>
      <c r="K1341" s="12" t="s">
        <v>27</v>
      </c>
      <c r="L1341" s="15"/>
      <c r="M1341" s="12" t="s">
        <v>28</v>
      </c>
      <c r="N1341" s="12"/>
      <c r="O1341" s="12"/>
      <c r="P1341" s="12"/>
      <c r="Q1341" s="16">
        <v>32</v>
      </c>
      <c r="R1341" s="16">
        <v>0</v>
      </c>
      <c r="S1341" s="16"/>
      <c r="T1341" s="16" t="e">
        <v>#N/A</v>
      </c>
      <c r="U1341" s="16" t="e">
        <v>#N/A</v>
      </c>
    </row>
    <row r="1342" spans="1:21" x14ac:dyDescent="0.25">
      <c r="A1342" s="12" t="s">
        <v>21</v>
      </c>
      <c r="B1342" s="12" t="s">
        <v>1415</v>
      </c>
      <c r="C1342" s="12" t="s">
        <v>23</v>
      </c>
      <c r="D1342" s="13">
        <v>46273.296388888892</v>
      </c>
      <c r="E1342" s="12" t="s">
        <v>24</v>
      </c>
      <c r="F1342" s="12" t="s">
        <v>243</v>
      </c>
      <c r="G1342" s="12">
        <v>100</v>
      </c>
      <c r="H1342" s="12">
        <v>100</v>
      </c>
      <c r="I1342" s="14"/>
      <c r="J1342" s="14" t="s">
        <v>61</v>
      </c>
      <c r="K1342" s="12" t="s">
        <v>1420</v>
      </c>
      <c r="L1342" s="15">
        <v>1</v>
      </c>
      <c r="M1342" s="12" t="s">
        <v>150</v>
      </c>
      <c r="N1342" s="12">
        <v>100</v>
      </c>
      <c r="O1342" s="12">
        <v>100</v>
      </c>
      <c r="P1342" s="12">
        <v>0</v>
      </c>
      <c r="Q1342" s="16">
        <v>100</v>
      </c>
      <c r="R1342" s="16">
        <v>1</v>
      </c>
      <c r="S1342" s="16"/>
      <c r="T1342" s="16" t="e">
        <v>#N/A</v>
      </c>
      <c r="U1342" s="16" t="e">
        <v>#N/A</v>
      </c>
    </row>
    <row r="1343" spans="1:21" x14ac:dyDescent="0.25">
      <c r="A1343" s="12" t="s">
        <v>21</v>
      </c>
      <c r="B1343" s="12" t="s">
        <v>1415</v>
      </c>
      <c r="C1343" s="12" t="s">
        <v>23</v>
      </c>
      <c r="D1343" s="13">
        <v>46273.296388888892</v>
      </c>
      <c r="E1343" s="12" t="s">
        <v>24</v>
      </c>
      <c r="F1343" s="12" t="s">
        <v>1416</v>
      </c>
      <c r="G1343" s="12">
        <v>10</v>
      </c>
      <c r="H1343" s="12">
        <v>10</v>
      </c>
      <c r="I1343" s="14"/>
      <c r="J1343" s="14" t="s">
        <v>61</v>
      </c>
      <c r="K1343" s="12" t="s">
        <v>1421</v>
      </c>
      <c r="L1343" s="15">
        <v>1</v>
      </c>
      <c r="M1343" s="12" t="s">
        <v>150</v>
      </c>
      <c r="N1343" s="12">
        <v>10</v>
      </c>
      <c r="O1343" s="12">
        <v>10</v>
      </c>
      <c r="P1343" s="12">
        <v>0</v>
      </c>
      <c r="Q1343" s="16">
        <v>10</v>
      </c>
      <c r="R1343" s="16">
        <v>0</v>
      </c>
      <c r="S1343" s="16"/>
      <c r="T1343" s="16" t="e">
        <v>#N/A</v>
      </c>
      <c r="U1343" s="16" t="e">
        <v>#N/A</v>
      </c>
    </row>
    <row r="1344" spans="1:21" x14ac:dyDescent="0.25">
      <c r="A1344" s="12" t="s">
        <v>21</v>
      </c>
      <c r="B1344" s="12" t="s">
        <v>1415</v>
      </c>
      <c r="C1344" s="12" t="s">
        <v>23</v>
      </c>
      <c r="D1344" s="13">
        <v>46273.296388888892</v>
      </c>
      <c r="E1344" s="12" t="s">
        <v>24</v>
      </c>
      <c r="F1344" s="12" t="s">
        <v>412</v>
      </c>
      <c r="G1344" s="12">
        <v>15</v>
      </c>
      <c r="H1344" s="12">
        <v>15</v>
      </c>
      <c r="I1344" s="14"/>
      <c r="J1344" s="14" t="s">
        <v>26</v>
      </c>
      <c r="K1344" s="12" t="s">
        <v>27</v>
      </c>
      <c r="L1344" s="15"/>
      <c r="M1344" s="12" t="s">
        <v>28</v>
      </c>
      <c r="N1344" s="12"/>
      <c r="O1344" s="12"/>
      <c r="P1344" s="12"/>
      <c r="Q1344" s="16">
        <v>0</v>
      </c>
      <c r="R1344" s="16">
        <v>0</v>
      </c>
      <c r="S1344" s="16"/>
      <c r="T1344" s="16" t="e">
        <v>#N/A</v>
      </c>
      <c r="U1344" s="16" t="e">
        <v>#N/A</v>
      </c>
    </row>
    <row r="1345" spans="1:21" x14ac:dyDescent="0.25">
      <c r="A1345" s="12" t="s">
        <v>21</v>
      </c>
      <c r="B1345" s="12" t="s">
        <v>1415</v>
      </c>
      <c r="C1345" s="12" t="s">
        <v>23</v>
      </c>
      <c r="D1345" s="13">
        <v>46273.296388888892</v>
      </c>
      <c r="E1345" s="12" t="s">
        <v>24</v>
      </c>
      <c r="F1345" s="12" t="s">
        <v>158</v>
      </c>
      <c r="G1345" s="12">
        <v>100</v>
      </c>
      <c r="H1345" s="12">
        <v>75</v>
      </c>
      <c r="I1345" s="14"/>
      <c r="J1345" s="14" t="s">
        <v>61</v>
      </c>
      <c r="K1345" s="12" t="s">
        <v>27</v>
      </c>
      <c r="L1345" s="15"/>
      <c r="M1345" s="12" t="s">
        <v>28</v>
      </c>
      <c r="N1345" s="12"/>
      <c r="O1345" s="12"/>
      <c r="P1345" s="12"/>
      <c r="Q1345" s="16">
        <v>100</v>
      </c>
      <c r="R1345" s="16">
        <v>0</v>
      </c>
      <c r="S1345" s="16"/>
      <c r="T1345" s="16" t="e">
        <v>#N/A</v>
      </c>
      <c r="U1345" s="16" t="e">
        <v>#N/A</v>
      </c>
    </row>
    <row r="1346" spans="1:21" x14ac:dyDescent="0.25">
      <c r="A1346" s="12" t="s">
        <v>21</v>
      </c>
      <c r="B1346" s="12" t="s">
        <v>1415</v>
      </c>
      <c r="C1346" s="12" t="s">
        <v>23</v>
      </c>
      <c r="D1346" s="13">
        <v>46273.296388888892</v>
      </c>
      <c r="E1346" s="12" t="s">
        <v>24</v>
      </c>
      <c r="F1346" s="12" t="s">
        <v>245</v>
      </c>
      <c r="G1346" s="12">
        <v>300</v>
      </c>
      <c r="H1346" s="12">
        <v>300</v>
      </c>
      <c r="I1346" s="14"/>
      <c r="J1346" s="14" t="s">
        <v>61</v>
      </c>
      <c r="K1346" s="12" t="s">
        <v>1422</v>
      </c>
      <c r="L1346" s="15">
        <v>1</v>
      </c>
      <c r="M1346" s="12" t="s">
        <v>150</v>
      </c>
      <c r="N1346" s="12">
        <v>300</v>
      </c>
      <c r="O1346" s="12">
        <v>300</v>
      </c>
      <c r="P1346" s="12">
        <v>0</v>
      </c>
      <c r="Q1346" s="16">
        <v>500</v>
      </c>
      <c r="R1346" s="16">
        <v>0</v>
      </c>
      <c r="S1346" s="16"/>
      <c r="T1346" s="16" t="e">
        <v>#N/A</v>
      </c>
      <c r="U1346" s="16" t="e">
        <v>#N/A</v>
      </c>
    </row>
    <row r="1347" spans="1:21" x14ac:dyDescent="0.25">
      <c r="A1347" s="12" t="s">
        <v>21</v>
      </c>
      <c r="B1347" s="12" t="s">
        <v>1415</v>
      </c>
      <c r="C1347" s="12" t="s">
        <v>23</v>
      </c>
      <c r="D1347" s="13">
        <v>46273.296388888892</v>
      </c>
      <c r="E1347" s="12" t="s">
        <v>24</v>
      </c>
      <c r="F1347" s="12" t="s">
        <v>290</v>
      </c>
      <c r="G1347" s="12">
        <v>30</v>
      </c>
      <c r="H1347" s="12">
        <v>30</v>
      </c>
      <c r="I1347" s="14"/>
      <c r="J1347" s="14" t="s">
        <v>26</v>
      </c>
      <c r="K1347" s="12" t="s">
        <v>27</v>
      </c>
      <c r="L1347" s="15"/>
      <c r="M1347" s="12" t="s">
        <v>28</v>
      </c>
      <c r="N1347" s="12"/>
      <c r="O1347" s="12"/>
      <c r="P1347" s="12"/>
      <c r="Q1347" s="16">
        <v>0</v>
      </c>
      <c r="R1347" s="16">
        <v>2</v>
      </c>
      <c r="S1347" s="16"/>
      <c r="T1347" s="16" t="e">
        <v>#N/A</v>
      </c>
      <c r="U1347" s="16" t="e">
        <v>#N/A</v>
      </c>
    </row>
    <row r="1348" spans="1:21" x14ac:dyDescent="0.25">
      <c r="A1348" s="12" t="s">
        <v>21</v>
      </c>
      <c r="B1348" s="12" t="s">
        <v>1415</v>
      </c>
      <c r="C1348" s="12" t="s">
        <v>23</v>
      </c>
      <c r="D1348" s="13">
        <v>46273.296388888892</v>
      </c>
      <c r="E1348" s="12" t="s">
        <v>24</v>
      </c>
      <c r="F1348" s="12" t="s">
        <v>1258</v>
      </c>
      <c r="G1348" s="12">
        <v>10</v>
      </c>
      <c r="H1348" s="12">
        <v>10</v>
      </c>
      <c r="I1348" s="14"/>
      <c r="J1348" s="14" t="s">
        <v>26</v>
      </c>
      <c r="K1348" s="12" t="s">
        <v>27</v>
      </c>
      <c r="L1348" s="15"/>
      <c r="M1348" s="12" t="s">
        <v>28</v>
      </c>
      <c r="N1348" s="12"/>
      <c r="O1348" s="12"/>
      <c r="P1348" s="12"/>
      <c r="Q1348" s="16">
        <v>0</v>
      </c>
      <c r="R1348" s="16">
        <v>2</v>
      </c>
      <c r="S1348" s="16"/>
      <c r="T1348" s="16" t="e">
        <v>#N/A</v>
      </c>
      <c r="U1348" s="16" t="e">
        <v>#N/A</v>
      </c>
    </row>
    <row r="1349" spans="1:21" x14ac:dyDescent="0.25">
      <c r="A1349" s="12" t="s">
        <v>21</v>
      </c>
      <c r="B1349" s="12" t="s">
        <v>1415</v>
      </c>
      <c r="C1349" s="12" t="s">
        <v>23</v>
      </c>
      <c r="D1349" s="13">
        <v>46273.296388888892</v>
      </c>
      <c r="E1349" s="12" t="s">
        <v>24</v>
      </c>
      <c r="F1349" s="12" t="s">
        <v>159</v>
      </c>
      <c r="G1349" s="12">
        <v>40</v>
      </c>
      <c r="H1349" s="12">
        <v>40</v>
      </c>
      <c r="I1349" s="14"/>
      <c r="J1349" s="14" t="s">
        <v>26</v>
      </c>
      <c r="K1349" s="12" t="s">
        <v>27</v>
      </c>
      <c r="L1349" s="15"/>
      <c r="M1349" s="12" t="s">
        <v>28</v>
      </c>
      <c r="N1349" s="12"/>
      <c r="O1349" s="12"/>
      <c r="P1349" s="12"/>
      <c r="Q1349" s="16">
        <v>0</v>
      </c>
      <c r="R1349" s="16">
        <v>0</v>
      </c>
      <c r="S1349" s="16"/>
      <c r="T1349" s="16" t="e">
        <v>#N/A</v>
      </c>
      <c r="U1349" s="16" t="e">
        <v>#N/A</v>
      </c>
    </row>
    <row r="1350" spans="1:21" x14ac:dyDescent="0.25">
      <c r="A1350" s="12" t="s">
        <v>21</v>
      </c>
      <c r="B1350" s="12" t="s">
        <v>1415</v>
      </c>
      <c r="C1350" s="12" t="s">
        <v>23</v>
      </c>
      <c r="D1350" s="13">
        <v>46273.296388888892</v>
      </c>
      <c r="E1350" s="12" t="s">
        <v>24</v>
      </c>
      <c r="F1350" s="12" t="s">
        <v>452</v>
      </c>
      <c r="G1350" s="12">
        <v>50</v>
      </c>
      <c r="H1350" s="12">
        <v>50</v>
      </c>
      <c r="I1350" s="14"/>
      <c r="J1350" s="14" t="s">
        <v>26</v>
      </c>
      <c r="K1350" s="12" t="s">
        <v>27</v>
      </c>
      <c r="L1350" s="15"/>
      <c r="M1350" s="12" t="s">
        <v>28</v>
      </c>
      <c r="N1350" s="12"/>
      <c r="O1350" s="12"/>
      <c r="P1350" s="12"/>
      <c r="Q1350" s="16">
        <v>0</v>
      </c>
      <c r="R1350" s="16">
        <v>71</v>
      </c>
      <c r="S1350" s="16"/>
      <c r="T1350" s="16" t="e">
        <v>#N/A</v>
      </c>
      <c r="U1350" s="16" t="e">
        <v>#N/A</v>
      </c>
    </row>
    <row r="1351" spans="1:21" x14ac:dyDescent="0.25">
      <c r="A1351" s="12" t="s">
        <v>21</v>
      </c>
      <c r="B1351" s="12" t="s">
        <v>1415</v>
      </c>
      <c r="C1351" s="12" t="s">
        <v>23</v>
      </c>
      <c r="D1351" s="13">
        <v>46273.296388888892</v>
      </c>
      <c r="E1351" s="12" t="s">
        <v>24</v>
      </c>
      <c r="F1351" s="12" t="s">
        <v>1344</v>
      </c>
      <c r="G1351" s="12">
        <v>200</v>
      </c>
      <c r="H1351" s="12">
        <v>200</v>
      </c>
      <c r="I1351" s="14"/>
      <c r="J1351" s="14" t="s">
        <v>61</v>
      </c>
      <c r="K1351" s="12" t="s">
        <v>1423</v>
      </c>
      <c r="L1351" s="15">
        <v>1</v>
      </c>
      <c r="M1351" s="12" t="s">
        <v>150</v>
      </c>
      <c r="N1351" s="12">
        <v>200</v>
      </c>
      <c r="O1351" s="12">
        <v>200</v>
      </c>
      <c r="P1351" s="12">
        <v>0</v>
      </c>
      <c r="Q1351" s="16">
        <v>500</v>
      </c>
      <c r="R1351" s="16">
        <v>1</v>
      </c>
      <c r="S1351" s="16"/>
      <c r="T1351" s="16" t="e">
        <v>#N/A</v>
      </c>
      <c r="U1351" s="16" t="e">
        <v>#N/A</v>
      </c>
    </row>
    <row r="1352" spans="1:21" x14ac:dyDescent="0.25">
      <c r="A1352" s="12" t="s">
        <v>21</v>
      </c>
      <c r="B1352" s="12" t="s">
        <v>1415</v>
      </c>
      <c r="C1352" s="12" t="s">
        <v>23</v>
      </c>
      <c r="D1352" s="13">
        <v>46273.296388888892</v>
      </c>
      <c r="E1352" s="12" t="s">
        <v>24</v>
      </c>
      <c r="F1352" s="12" t="s">
        <v>1417</v>
      </c>
      <c r="G1352" s="12">
        <v>10</v>
      </c>
      <c r="H1352" s="12">
        <v>10</v>
      </c>
      <c r="I1352" s="14"/>
      <c r="J1352" s="14" t="s">
        <v>26</v>
      </c>
      <c r="K1352" s="12" t="s">
        <v>27</v>
      </c>
      <c r="L1352" s="15"/>
      <c r="M1352" s="12" t="s">
        <v>28</v>
      </c>
      <c r="N1352" s="12"/>
      <c r="O1352" s="12"/>
      <c r="P1352" s="12"/>
      <c r="Q1352" s="16">
        <v>0</v>
      </c>
      <c r="R1352" s="16">
        <v>0</v>
      </c>
      <c r="S1352" s="16"/>
      <c r="T1352" s="16" t="e">
        <v>#N/A</v>
      </c>
      <c r="U1352" s="16" t="e">
        <v>#N/A</v>
      </c>
    </row>
    <row r="1353" spans="1:21" x14ac:dyDescent="0.25">
      <c r="A1353" s="12" t="s">
        <v>21</v>
      </c>
      <c r="B1353" s="12" t="s">
        <v>1415</v>
      </c>
      <c r="C1353" s="12" t="s">
        <v>23</v>
      </c>
      <c r="D1353" s="13">
        <v>46273.296388888892</v>
      </c>
      <c r="E1353" s="12" t="s">
        <v>24</v>
      </c>
      <c r="F1353" s="12" t="s">
        <v>1345</v>
      </c>
      <c r="G1353" s="12">
        <v>16</v>
      </c>
      <c r="H1353" s="12">
        <v>16</v>
      </c>
      <c r="I1353" s="14"/>
      <c r="J1353" s="14" t="s">
        <v>26</v>
      </c>
      <c r="K1353" s="12" t="s">
        <v>27</v>
      </c>
      <c r="L1353" s="15"/>
      <c r="M1353" s="12" t="s">
        <v>28</v>
      </c>
      <c r="N1353" s="12"/>
      <c r="O1353" s="12"/>
      <c r="P1353" s="12"/>
      <c r="Q1353" s="16">
        <v>0</v>
      </c>
      <c r="R1353" s="16">
        <v>0</v>
      </c>
      <c r="S1353" s="16"/>
      <c r="T1353" s="16" t="e">
        <v>#N/A</v>
      </c>
      <c r="U1353" s="16" t="e">
        <v>#N/A</v>
      </c>
    </row>
    <row r="1354" spans="1:21" x14ac:dyDescent="0.25">
      <c r="A1354" s="12" t="s">
        <v>21</v>
      </c>
      <c r="B1354" s="12" t="s">
        <v>1415</v>
      </c>
      <c r="C1354" s="12" t="s">
        <v>23</v>
      </c>
      <c r="D1354" s="13">
        <v>46273.296388888892</v>
      </c>
      <c r="E1354" s="12" t="s">
        <v>24</v>
      </c>
      <c r="F1354" s="12" t="s">
        <v>246</v>
      </c>
      <c r="G1354" s="12">
        <v>40</v>
      </c>
      <c r="H1354" s="12">
        <v>40</v>
      </c>
      <c r="I1354" s="14"/>
      <c r="J1354" s="14" t="s">
        <v>26</v>
      </c>
      <c r="K1354" s="12" t="s">
        <v>27</v>
      </c>
      <c r="L1354" s="15"/>
      <c r="M1354" s="12" t="s">
        <v>28</v>
      </c>
      <c r="N1354" s="12"/>
      <c r="O1354" s="12"/>
      <c r="P1354" s="12"/>
      <c r="Q1354" s="16">
        <v>0</v>
      </c>
      <c r="R1354" s="16">
        <v>0</v>
      </c>
      <c r="S1354" s="16"/>
      <c r="T1354" s="16" t="e">
        <v>#N/A</v>
      </c>
      <c r="U1354" s="16" t="e">
        <v>#N/A</v>
      </c>
    </row>
    <row r="1355" spans="1:21" x14ac:dyDescent="0.25">
      <c r="A1355" s="12" t="s">
        <v>21</v>
      </c>
      <c r="B1355" s="12" t="s">
        <v>1415</v>
      </c>
      <c r="C1355" s="12" t="s">
        <v>23</v>
      </c>
      <c r="D1355" s="13">
        <v>46273.296388888892</v>
      </c>
      <c r="E1355" s="12" t="s">
        <v>24</v>
      </c>
      <c r="F1355" s="12" t="s">
        <v>1018</v>
      </c>
      <c r="G1355" s="12">
        <v>15</v>
      </c>
      <c r="H1355" s="12">
        <v>15</v>
      </c>
      <c r="I1355" s="14"/>
      <c r="J1355" s="14" t="s">
        <v>26</v>
      </c>
      <c r="K1355" s="12" t="s">
        <v>27</v>
      </c>
      <c r="L1355" s="15"/>
      <c r="M1355" s="12" t="s">
        <v>28</v>
      </c>
      <c r="N1355" s="12"/>
      <c r="O1355" s="12"/>
      <c r="P1355" s="12"/>
      <c r="Q1355" s="16">
        <v>0</v>
      </c>
      <c r="R1355" s="16">
        <v>0</v>
      </c>
      <c r="S1355" s="16"/>
      <c r="T1355" s="16" t="e">
        <v>#N/A</v>
      </c>
      <c r="U1355" s="16" t="e">
        <v>#N/A</v>
      </c>
    </row>
    <row r="1356" spans="1:21" x14ac:dyDescent="0.25">
      <c r="A1356" s="12" t="s">
        <v>21</v>
      </c>
      <c r="B1356" s="12" t="s">
        <v>1415</v>
      </c>
      <c r="C1356" s="12" t="s">
        <v>23</v>
      </c>
      <c r="D1356" s="13">
        <v>46273.296388888892</v>
      </c>
      <c r="E1356" s="12" t="s">
        <v>24</v>
      </c>
      <c r="F1356" s="12" t="s">
        <v>1164</v>
      </c>
      <c r="G1356" s="12">
        <v>50</v>
      </c>
      <c r="H1356" s="12">
        <v>50</v>
      </c>
      <c r="I1356" s="14"/>
      <c r="J1356" s="14" t="s">
        <v>61</v>
      </c>
      <c r="K1356" s="12" t="s">
        <v>1424</v>
      </c>
      <c r="L1356" s="15">
        <v>1</v>
      </c>
      <c r="M1356" s="12" t="s">
        <v>150</v>
      </c>
      <c r="N1356" s="12">
        <v>50</v>
      </c>
      <c r="O1356" s="12">
        <v>50</v>
      </c>
      <c r="P1356" s="12">
        <v>0</v>
      </c>
      <c r="Q1356" s="16">
        <v>50</v>
      </c>
      <c r="R1356" s="16">
        <v>0</v>
      </c>
      <c r="S1356" s="16"/>
      <c r="T1356" s="16" t="e">
        <v>#N/A</v>
      </c>
      <c r="U1356" s="16" t="e">
        <v>#N/A</v>
      </c>
    </row>
    <row r="1357" spans="1:21" x14ac:dyDescent="0.25">
      <c r="A1357" s="12" t="s">
        <v>21</v>
      </c>
      <c r="B1357" s="12" t="s">
        <v>1415</v>
      </c>
      <c r="C1357" s="12" t="s">
        <v>23</v>
      </c>
      <c r="D1357" s="13">
        <v>46273.296388888892</v>
      </c>
      <c r="E1357" s="12" t="s">
        <v>24</v>
      </c>
      <c r="F1357" s="12" t="s">
        <v>1166</v>
      </c>
      <c r="G1357" s="12">
        <v>80</v>
      </c>
      <c r="H1357" s="12">
        <v>80</v>
      </c>
      <c r="I1357" s="14"/>
      <c r="J1357" s="14" t="s">
        <v>61</v>
      </c>
      <c r="K1357" s="12" t="s">
        <v>1425</v>
      </c>
      <c r="L1357" s="15">
        <v>1</v>
      </c>
      <c r="M1357" s="12" t="s">
        <v>150</v>
      </c>
      <c r="N1357" s="12">
        <v>80</v>
      </c>
      <c r="O1357" s="12">
        <v>80</v>
      </c>
      <c r="P1357" s="12">
        <v>0</v>
      </c>
      <c r="Q1357" s="16">
        <v>220</v>
      </c>
      <c r="R1357" s="16">
        <v>0</v>
      </c>
      <c r="S1357" s="16"/>
      <c r="T1357" s="16" t="e">
        <v>#N/A</v>
      </c>
      <c r="U1357" s="16" t="e">
        <v>#N/A</v>
      </c>
    </row>
    <row r="1358" spans="1:21" x14ac:dyDescent="0.25">
      <c r="A1358" s="12" t="s">
        <v>21</v>
      </c>
      <c r="B1358" s="12" t="s">
        <v>1415</v>
      </c>
      <c r="C1358" s="12" t="s">
        <v>23</v>
      </c>
      <c r="D1358" s="13">
        <v>46273.296388888892</v>
      </c>
      <c r="E1358" s="12" t="s">
        <v>24</v>
      </c>
      <c r="F1358" s="12" t="s">
        <v>201</v>
      </c>
      <c r="G1358" s="12">
        <v>120</v>
      </c>
      <c r="H1358" s="12">
        <v>120</v>
      </c>
      <c r="I1358" s="14"/>
      <c r="J1358" s="14" t="s">
        <v>61</v>
      </c>
      <c r="K1358" s="12" t="s">
        <v>27</v>
      </c>
      <c r="L1358" s="15"/>
      <c r="M1358" s="12" t="s">
        <v>28</v>
      </c>
      <c r="N1358" s="12"/>
      <c r="O1358" s="12"/>
      <c r="P1358" s="12"/>
      <c r="Q1358" s="16">
        <v>220</v>
      </c>
      <c r="R1358" s="16">
        <v>0</v>
      </c>
      <c r="S1358" s="16"/>
      <c r="T1358" s="16" t="e">
        <v>#N/A</v>
      </c>
      <c r="U1358" s="16" t="e">
        <v>#N/A</v>
      </c>
    </row>
    <row r="1359" spans="1:21" x14ac:dyDescent="0.25">
      <c r="A1359" s="12" t="s">
        <v>21</v>
      </c>
      <c r="B1359" s="12" t="s">
        <v>1415</v>
      </c>
      <c r="C1359" s="12" t="s">
        <v>23</v>
      </c>
      <c r="D1359" s="13">
        <v>46273.296388888892</v>
      </c>
      <c r="E1359" s="12" t="s">
        <v>24</v>
      </c>
      <c r="F1359" s="12" t="s">
        <v>253</v>
      </c>
      <c r="G1359" s="12">
        <v>60</v>
      </c>
      <c r="H1359" s="12">
        <v>60</v>
      </c>
      <c r="I1359" s="14"/>
      <c r="J1359" s="14" t="s">
        <v>61</v>
      </c>
      <c r="K1359" s="12" t="s">
        <v>1426</v>
      </c>
      <c r="L1359" s="15">
        <v>1</v>
      </c>
      <c r="M1359" s="12" t="s">
        <v>150</v>
      </c>
      <c r="N1359" s="12">
        <v>60</v>
      </c>
      <c r="O1359" s="12">
        <v>60</v>
      </c>
      <c r="P1359" s="12">
        <v>0</v>
      </c>
      <c r="Q1359" s="16">
        <v>220</v>
      </c>
      <c r="R1359" s="16">
        <v>0</v>
      </c>
      <c r="S1359" s="16"/>
      <c r="T1359" s="16" t="e">
        <v>#N/A</v>
      </c>
      <c r="U1359" s="16" t="e">
        <v>#N/A</v>
      </c>
    </row>
    <row r="1360" spans="1:21" x14ac:dyDescent="0.25">
      <c r="A1360" s="12" t="s">
        <v>21</v>
      </c>
      <c r="B1360" s="12" t="s">
        <v>1415</v>
      </c>
      <c r="C1360" s="12" t="s">
        <v>23</v>
      </c>
      <c r="D1360" s="13">
        <v>46273.296388888892</v>
      </c>
      <c r="E1360" s="12" t="s">
        <v>24</v>
      </c>
      <c r="F1360" s="12" t="s">
        <v>566</v>
      </c>
      <c r="G1360" s="12">
        <v>50</v>
      </c>
      <c r="H1360" s="12">
        <v>50</v>
      </c>
      <c r="I1360" s="14"/>
      <c r="J1360" s="14" t="s">
        <v>61</v>
      </c>
      <c r="K1360" s="12" t="s">
        <v>1427</v>
      </c>
      <c r="L1360" s="15">
        <v>1</v>
      </c>
      <c r="M1360" s="12" t="s">
        <v>150</v>
      </c>
      <c r="N1360" s="12">
        <v>50</v>
      </c>
      <c r="O1360" s="12">
        <v>50</v>
      </c>
      <c r="P1360" s="12">
        <v>0</v>
      </c>
      <c r="Q1360" s="16">
        <v>150</v>
      </c>
      <c r="R1360" s="16">
        <v>0</v>
      </c>
      <c r="S1360" s="16"/>
      <c r="T1360" s="16" t="e">
        <v>#N/A</v>
      </c>
      <c r="U1360" s="16" t="e">
        <v>#N/A</v>
      </c>
    </row>
    <row r="1361" spans="1:21" x14ac:dyDescent="0.25">
      <c r="A1361" s="12" t="s">
        <v>21</v>
      </c>
      <c r="B1361" s="12" t="s">
        <v>1415</v>
      </c>
      <c r="C1361" s="12" t="s">
        <v>23</v>
      </c>
      <c r="D1361" s="13">
        <v>46273.296388888892</v>
      </c>
      <c r="E1361" s="12" t="s">
        <v>24</v>
      </c>
      <c r="F1361" s="12" t="s">
        <v>567</v>
      </c>
      <c r="G1361" s="12">
        <v>50</v>
      </c>
      <c r="H1361" s="12">
        <v>50</v>
      </c>
      <c r="I1361" s="14"/>
      <c r="J1361" s="14" t="s">
        <v>61</v>
      </c>
      <c r="K1361" s="12" t="s">
        <v>1428</v>
      </c>
      <c r="L1361" s="15">
        <v>1</v>
      </c>
      <c r="M1361" s="12" t="s">
        <v>150</v>
      </c>
      <c r="N1361" s="12">
        <v>50</v>
      </c>
      <c r="O1361" s="12">
        <v>50</v>
      </c>
      <c r="P1361" s="12">
        <v>0</v>
      </c>
      <c r="Q1361" s="16">
        <v>150</v>
      </c>
      <c r="R1361" s="16">
        <v>0</v>
      </c>
      <c r="S1361" s="16"/>
      <c r="T1361" s="16" t="e">
        <v>#N/A</v>
      </c>
      <c r="U1361" s="16" t="e">
        <v>#N/A</v>
      </c>
    </row>
    <row r="1362" spans="1:21" x14ac:dyDescent="0.25">
      <c r="A1362" s="12" t="s">
        <v>21</v>
      </c>
      <c r="B1362" s="12" t="s">
        <v>1415</v>
      </c>
      <c r="C1362" s="12" t="s">
        <v>23</v>
      </c>
      <c r="D1362" s="13">
        <v>46273.296388888892</v>
      </c>
      <c r="E1362" s="12" t="s">
        <v>24</v>
      </c>
      <c r="F1362" s="12" t="s">
        <v>1429</v>
      </c>
      <c r="G1362" s="12">
        <v>78</v>
      </c>
      <c r="H1362" s="12">
        <v>39</v>
      </c>
      <c r="I1362" s="14"/>
      <c r="J1362" s="14" t="s">
        <v>26</v>
      </c>
      <c r="K1362" s="12" t="s">
        <v>27</v>
      </c>
      <c r="L1362" s="15"/>
      <c r="M1362" s="12" t="s">
        <v>28</v>
      </c>
      <c r="N1362" s="12"/>
      <c r="O1362" s="12"/>
      <c r="P1362" s="12"/>
      <c r="Q1362" s="16">
        <v>0</v>
      </c>
      <c r="R1362" s="16">
        <v>0</v>
      </c>
      <c r="S1362" s="16"/>
      <c r="T1362" s="16" t="e">
        <v>#N/A</v>
      </c>
      <c r="U1362" s="16" t="e">
        <v>#N/A</v>
      </c>
    </row>
    <row r="1363" spans="1:21" x14ac:dyDescent="0.25">
      <c r="A1363" s="12" t="s">
        <v>21</v>
      </c>
      <c r="B1363" s="12" t="s">
        <v>1415</v>
      </c>
      <c r="C1363" s="12" t="s">
        <v>23</v>
      </c>
      <c r="D1363" s="13">
        <v>46273.296388888892</v>
      </c>
      <c r="E1363" s="12" t="s">
        <v>24</v>
      </c>
      <c r="F1363" s="12" t="s">
        <v>1353</v>
      </c>
      <c r="G1363" s="12">
        <v>32</v>
      </c>
      <c r="H1363" s="12">
        <v>32</v>
      </c>
      <c r="I1363" s="14"/>
      <c r="J1363" s="14" t="s">
        <v>61</v>
      </c>
      <c r="K1363" s="12" t="s">
        <v>1431</v>
      </c>
      <c r="L1363" s="15">
        <v>1</v>
      </c>
      <c r="M1363" s="12" t="s">
        <v>150</v>
      </c>
      <c r="N1363" s="12">
        <v>32</v>
      </c>
      <c r="O1363" s="12">
        <v>32</v>
      </c>
      <c r="P1363" s="12">
        <v>0</v>
      </c>
      <c r="Q1363" s="16">
        <v>32</v>
      </c>
      <c r="R1363" s="16">
        <v>0</v>
      </c>
      <c r="S1363" s="16"/>
      <c r="T1363" s="16" t="e">
        <v>#N/A</v>
      </c>
      <c r="U1363" s="16" t="e">
        <v>#N/A</v>
      </c>
    </row>
    <row r="1364" spans="1:21" x14ac:dyDescent="0.25">
      <c r="A1364" s="12" t="s">
        <v>21</v>
      </c>
      <c r="B1364" s="12" t="s">
        <v>1415</v>
      </c>
      <c r="C1364" s="12" t="s">
        <v>23</v>
      </c>
      <c r="D1364" s="13">
        <v>46273.296388888892</v>
      </c>
      <c r="E1364" s="12" t="s">
        <v>24</v>
      </c>
      <c r="F1364" s="12" t="s">
        <v>320</v>
      </c>
      <c r="G1364" s="12">
        <v>500</v>
      </c>
      <c r="H1364" s="12">
        <v>500</v>
      </c>
      <c r="I1364" s="14"/>
      <c r="J1364" s="14" t="s">
        <v>61</v>
      </c>
      <c r="K1364" s="12" t="s">
        <v>27</v>
      </c>
      <c r="L1364" s="15"/>
      <c r="M1364" s="12" t="s">
        <v>28</v>
      </c>
      <c r="N1364" s="12"/>
      <c r="O1364" s="12"/>
      <c r="P1364" s="12"/>
      <c r="Q1364" s="16">
        <v>150</v>
      </c>
      <c r="R1364" s="16">
        <v>1</v>
      </c>
      <c r="S1364" s="16"/>
      <c r="T1364" s="16" t="e">
        <v>#N/A</v>
      </c>
      <c r="U1364" s="16" t="e">
        <v>#N/A</v>
      </c>
    </row>
    <row r="1365" spans="1:21" x14ac:dyDescent="0.25">
      <c r="A1365" s="12" t="s">
        <v>21</v>
      </c>
      <c r="B1365" s="12" t="s">
        <v>1415</v>
      </c>
      <c r="C1365" s="12" t="s">
        <v>23</v>
      </c>
      <c r="D1365" s="13">
        <v>46273.296388888892</v>
      </c>
      <c r="E1365" s="12" t="s">
        <v>24</v>
      </c>
      <c r="F1365" s="12" t="s">
        <v>1399</v>
      </c>
      <c r="G1365" s="12">
        <v>40</v>
      </c>
      <c r="H1365" s="12">
        <v>40</v>
      </c>
      <c r="I1365" s="14"/>
      <c r="J1365" s="14" t="s">
        <v>61</v>
      </c>
      <c r="K1365" s="12" t="s">
        <v>1432</v>
      </c>
      <c r="L1365" s="15">
        <v>1</v>
      </c>
      <c r="M1365" s="12" t="s">
        <v>150</v>
      </c>
      <c r="N1365" s="12">
        <v>40</v>
      </c>
      <c r="O1365" s="12">
        <v>40</v>
      </c>
      <c r="P1365" s="12">
        <v>0</v>
      </c>
      <c r="Q1365" s="16">
        <v>40</v>
      </c>
      <c r="R1365" s="16">
        <v>0</v>
      </c>
      <c r="S1365" s="16"/>
      <c r="T1365" s="16" t="e">
        <v>#N/A</v>
      </c>
      <c r="U1365" s="16" t="e">
        <v>#N/A</v>
      </c>
    </row>
    <row r="1366" spans="1:21" x14ac:dyDescent="0.25">
      <c r="A1366" s="12" t="s">
        <v>21</v>
      </c>
      <c r="B1366" s="12" t="s">
        <v>1415</v>
      </c>
      <c r="C1366" s="12" t="s">
        <v>23</v>
      </c>
      <c r="D1366" s="13">
        <v>46273.296388888892</v>
      </c>
      <c r="E1366" s="12" t="s">
        <v>24</v>
      </c>
      <c r="F1366" s="12" t="s">
        <v>1245</v>
      </c>
      <c r="G1366" s="12">
        <v>80</v>
      </c>
      <c r="H1366" s="12">
        <v>80</v>
      </c>
      <c r="I1366" s="14"/>
      <c r="J1366" s="14" t="s">
        <v>61</v>
      </c>
      <c r="K1366" s="12" t="s">
        <v>1433</v>
      </c>
      <c r="L1366" s="15">
        <v>1</v>
      </c>
      <c r="M1366" s="12" t="s">
        <v>150</v>
      </c>
      <c r="N1366" s="12">
        <v>80</v>
      </c>
      <c r="O1366" s="12">
        <v>80</v>
      </c>
      <c r="P1366" s="12">
        <v>0</v>
      </c>
      <c r="Q1366" s="16">
        <v>220</v>
      </c>
      <c r="R1366" s="16">
        <v>7</v>
      </c>
      <c r="S1366" s="16"/>
      <c r="T1366" s="16" t="e">
        <v>#N/A</v>
      </c>
      <c r="U1366" s="16" t="e">
        <v>#N/A</v>
      </c>
    </row>
    <row r="1367" spans="1:21" x14ac:dyDescent="0.25">
      <c r="A1367" s="12" t="s">
        <v>21</v>
      </c>
      <c r="B1367" s="12" t="s">
        <v>1415</v>
      </c>
      <c r="C1367" s="12" t="s">
        <v>23</v>
      </c>
      <c r="D1367" s="13">
        <v>46273.296388888892</v>
      </c>
      <c r="E1367" s="12" t="s">
        <v>24</v>
      </c>
      <c r="F1367" s="12" t="s">
        <v>1430</v>
      </c>
      <c r="G1367" s="12">
        <v>50</v>
      </c>
      <c r="H1367" s="12">
        <v>50</v>
      </c>
      <c r="I1367" s="14"/>
      <c r="J1367" s="14" t="s">
        <v>61</v>
      </c>
      <c r="K1367" s="12" t="s">
        <v>1434</v>
      </c>
      <c r="L1367" s="15">
        <v>1</v>
      </c>
      <c r="M1367" s="12" t="s">
        <v>150</v>
      </c>
      <c r="N1367" s="12">
        <v>50</v>
      </c>
      <c r="O1367" s="12">
        <v>50</v>
      </c>
      <c r="P1367" s="12">
        <v>0</v>
      </c>
      <c r="Q1367" s="16">
        <v>150</v>
      </c>
      <c r="R1367" s="16">
        <v>120</v>
      </c>
      <c r="S1367" s="16"/>
      <c r="T1367" s="16" t="e">
        <v>#N/A</v>
      </c>
      <c r="U1367" s="16" t="e">
        <v>#N/A</v>
      </c>
    </row>
    <row r="1368" spans="1:21" x14ac:dyDescent="0.25">
      <c r="A1368" s="12" t="s">
        <v>21</v>
      </c>
      <c r="B1368" s="12" t="s">
        <v>1415</v>
      </c>
      <c r="C1368" s="12" t="s">
        <v>23</v>
      </c>
      <c r="D1368" s="13">
        <v>46273.296388888892</v>
      </c>
      <c r="E1368" s="12" t="s">
        <v>24</v>
      </c>
      <c r="F1368" s="12" t="s">
        <v>573</v>
      </c>
      <c r="G1368" s="12">
        <v>300</v>
      </c>
      <c r="H1368" s="12">
        <v>300</v>
      </c>
      <c r="I1368" s="14"/>
      <c r="J1368" s="14" t="s">
        <v>61</v>
      </c>
      <c r="K1368" s="12" t="s">
        <v>27</v>
      </c>
      <c r="L1368" s="15"/>
      <c r="M1368" s="12" t="s">
        <v>28</v>
      </c>
      <c r="N1368" s="12"/>
      <c r="O1368" s="12"/>
      <c r="P1368" s="12"/>
      <c r="Q1368" s="16">
        <v>40</v>
      </c>
      <c r="R1368" s="16">
        <v>4</v>
      </c>
      <c r="S1368" s="16"/>
      <c r="T1368" s="16" t="e">
        <v>#N/A</v>
      </c>
      <c r="U1368" s="16" t="e">
        <v>#N/A</v>
      </c>
    </row>
    <row r="1369" spans="1:21" x14ac:dyDescent="0.25">
      <c r="A1369" s="12" t="s">
        <v>21</v>
      </c>
      <c r="B1369" s="12" t="s">
        <v>1435</v>
      </c>
      <c r="C1369" s="12" t="s">
        <v>23</v>
      </c>
      <c r="D1369" s="13">
        <v>46273.406053240738</v>
      </c>
      <c r="E1369" s="12" t="s">
        <v>258</v>
      </c>
      <c r="F1369" s="12" t="s">
        <v>657</v>
      </c>
      <c r="G1369" s="12">
        <v>60</v>
      </c>
      <c r="H1369" s="12">
        <v>60</v>
      </c>
      <c r="I1369" s="14"/>
      <c r="J1369" s="14" t="s">
        <v>61</v>
      </c>
      <c r="K1369" s="12" t="s">
        <v>1442</v>
      </c>
      <c r="L1369" s="15">
        <v>1</v>
      </c>
      <c r="M1369" s="12" t="s">
        <v>150</v>
      </c>
      <c r="N1369" s="12">
        <v>60</v>
      </c>
      <c r="O1369" s="12">
        <v>60</v>
      </c>
      <c r="P1369" s="12">
        <v>0</v>
      </c>
      <c r="Q1369" s="16">
        <v>60</v>
      </c>
      <c r="R1369" s="16">
        <v>0</v>
      </c>
      <c r="S1369" s="16"/>
      <c r="T1369" s="16" t="e">
        <v>#N/A</v>
      </c>
      <c r="U1369" s="16" t="e">
        <v>#N/A</v>
      </c>
    </row>
    <row r="1370" spans="1:21" x14ac:dyDescent="0.25">
      <c r="A1370" s="12" t="s">
        <v>21</v>
      </c>
      <c r="B1370" s="12" t="s">
        <v>1436</v>
      </c>
      <c r="C1370" s="12" t="s">
        <v>23</v>
      </c>
      <c r="D1370" s="13">
        <v>46273.416817129626</v>
      </c>
      <c r="E1370" s="12" t="s">
        <v>1439</v>
      </c>
      <c r="F1370" s="12" t="s">
        <v>438</v>
      </c>
      <c r="G1370" s="12">
        <v>200</v>
      </c>
      <c r="H1370" s="12">
        <v>200</v>
      </c>
      <c r="I1370" s="14"/>
      <c r="J1370" s="14" t="s">
        <v>26</v>
      </c>
      <c r="K1370" s="12" t="s">
        <v>27</v>
      </c>
      <c r="L1370" s="15"/>
      <c r="M1370" s="12" t="s">
        <v>28</v>
      </c>
      <c r="N1370" s="12"/>
      <c r="O1370" s="12"/>
      <c r="P1370" s="12"/>
      <c r="Q1370" s="16">
        <v>0</v>
      </c>
      <c r="R1370" s="16">
        <v>0</v>
      </c>
      <c r="S1370" s="16"/>
      <c r="T1370" s="16" t="e">
        <v>#N/A</v>
      </c>
      <c r="U1370" s="16" t="e">
        <v>#N/A</v>
      </c>
    </row>
    <row r="1371" spans="1:21" x14ac:dyDescent="0.25">
      <c r="A1371" s="12" t="s">
        <v>21</v>
      </c>
      <c r="B1371" s="12" t="s">
        <v>1436</v>
      </c>
      <c r="C1371" s="12" t="s">
        <v>23</v>
      </c>
      <c r="D1371" s="13">
        <v>46273.416817129626</v>
      </c>
      <c r="E1371" s="12" t="s">
        <v>1439</v>
      </c>
      <c r="F1371" s="12" t="s">
        <v>535</v>
      </c>
      <c r="G1371" s="12">
        <v>160</v>
      </c>
      <c r="H1371" s="12">
        <v>160</v>
      </c>
      <c r="I1371" s="14"/>
      <c r="J1371" s="14" t="s">
        <v>26</v>
      </c>
      <c r="K1371" s="12" t="s">
        <v>27</v>
      </c>
      <c r="L1371" s="15"/>
      <c r="M1371" s="12" t="s">
        <v>28</v>
      </c>
      <c r="N1371" s="12"/>
      <c r="O1371" s="12"/>
      <c r="P1371" s="12"/>
      <c r="Q1371" s="16">
        <v>0</v>
      </c>
      <c r="R1371" s="16">
        <v>0</v>
      </c>
      <c r="S1371" s="16"/>
      <c r="T1371" s="16" t="e">
        <v>#N/A</v>
      </c>
      <c r="U1371" s="16" t="e">
        <v>#N/A</v>
      </c>
    </row>
    <row r="1372" spans="1:21" x14ac:dyDescent="0.25">
      <c r="A1372" s="12" t="s">
        <v>21</v>
      </c>
      <c r="B1372" s="12" t="s">
        <v>1437</v>
      </c>
      <c r="C1372" s="12" t="s">
        <v>23</v>
      </c>
      <c r="D1372" s="13">
        <v>46273.419074074074</v>
      </c>
      <c r="E1372" s="12" t="s">
        <v>258</v>
      </c>
      <c r="F1372" s="12" t="s">
        <v>1440</v>
      </c>
      <c r="G1372" s="12">
        <v>2</v>
      </c>
      <c r="H1372" s="12">
        <v>2</v>
      </c>
      <c r="I1372" s="14"/>
      <c r="J1372" s="14" t="s">
        <v>61</v>
      </c>
      <c r="K1372" s="12" t="s">
        <v>1443</v>
      </c>
      <c r="L1372" s="15">
        <v>1</v>
      </c>
      <c r="M1372" s="12" t="s">
        <v>150</v>
      </c>
      <c r="N1372" s="12">
        <v>2</v>
      </c>
      <c r="O1372" s="12">
        <v>2</v>
      </c>
      <c r="P1372" s="12">
        <v>0</v>
      </c>
      <c r="Q1372" s="16">
        <v>2</v>
      </c>
      <c r="R1372" s="16">
        <v>0</v>
      </c>
      <c r="S1372" s="16"/>
      <c r="T1372" s="16" t="e">
        <v>#N/A</v>
      </c>
      <c r="U1372" s="16" t="e">
        <v>#N/A</v>
      </c>
    </row>
    <row r="1373" spans="1:21" x14ac:dyDescent="0.25">
      <c r="A1373" s="12" t="s">
        <v>21</v>
      </c>
      <c r="B1373" s="12" t="s">
        <v>1438</v>
      </c>
      <c r="C1373" s="12" t="s">
        <v>23</v>
      </c>
      <c r="D1373" s="13">
        <v>46273.420740740738</v>
      </c>
      <c r="E1373" s="12" t="s">
        <v>717</v>
      </c>
      <c r="F1373" s="12" t="s">
        <v>1441</v>
      </c>
      <c r="G1373" s="12">
        <v>600</v>
      </c>
      <c r="H1373" s="12">
        <v>600</v>
      </c>
      <c r="I1373" s="14"/>
      <c r="J1373" s="14" t="s">
        <v>26</v>
      </c>
      <c r="K1373" s="12" t="s">
        <v>1444</v>
      </c>
      <c r="L1373" s="15">
        <v>1</v>
      </c>
      <c r="M1373" s="12" t="s">
        <v>150</v>
      </c>
      <c r="N1373" s="12">
        <v>600</v>
      </c>
      <c r="O1373" s="12">
        <v>600</v>
      </c>
      <c r="P1373" s="12">
        <v>0</v>
      </c>
      <c r="Q1373" s="16">
        <v>0</v>
      </c>
      <c r="R1373" s="16">
        <v>28863</v>
      </c>
      <c r="S1373" s="16"/>
      <c r="T1373" s="16" t="e">
        <v>#N/A</v>
      </c>
      <c r="U1373" s="16" t="e">
        <v>#N/A</v>
      </c>
    </row>
    <row r="1374" spans="1:21" x14ac:dyDescent="0.25">
      <c r="A1374" s="12" t="s">
        <v>21</v>
      </c>
      <c r="B1374" s="12" t="s">
        <v>1438</v>
      </c>
      <c r="C1374" s="12" t="s">
        <v>23</v>
      </c>
      <c r="D1374" s="13">
        <v>46273.420740740738</v>
      </c>
      <c r="E1374" s="12" t="s">
        <v>717</v>
      </c>
      <c r="F1374" s="12" t="s">
        <v>320</v>
      </c>
      <c r="G1374" s="12">
        <v>26</v>
      </c>
      <c r="H1374" s="12">
        <v>26</v>
      </c>
      <c r="I1374" s="14"/>
      <c r="J1374" s="14" t="s">
        <v>61</v>
      </c>
      <c r="K1374" s="12" t="s">
        <v>1445</v>
      </c>
      <c r="L1374" s="15">
        <v>1</v>
      </c>
      <c r="M1374" s="12" t="s">
        <v>150</v>
      </c>
      <c r="N1374" s="12">
        <v>26</v>
      </c>
      <c r="O1374" s="12">
        <v>26</v>
      </c>
      <c r="P1374" s="12">
        <v>0</v>
      </c>
      <c r="Q1374" s="16">
        <v>26</v>
      </c>
      <c r="R1374" s="16">
        <v>1</v>
      </c>
      <c r="S1374" s="16"/>
      <c r="T1374" s="16" t="e">
        <v>#N/A</v>
      </c>
      <c r="U1374" s="16" t="e">
        <v>#N/A</v>
      </c>
    </row>
    <row r="1375" spans="1:21" x14ac:dyDescent="0.25">
      <c r="A1375" s="12" t="s">
        <v>21</v>
      </c>
      <c r="B1375" s="12" t="s">
        <v>1438</v>
      </c>
      <c r="C1375" s="12" t="s">
        <v>23</v>
      </c>
      <c r="D1375" s="13">
        <v>46273.420740740738</v>
      </c>
      <c r="E1375" s="12" t="s">
        <v>717</v>
      </c>
      <c r="F1375" s="12" t="s">
        <v>134</v>
      </c>
      <c r="G1375" s="12">
        <v>140</v>
      </c>
      <c r="H1375" s="12">
        <v>140</v>
      </c>
      <c r="I1375" s="14"/>
      <c r="J1375" s="14" t="s">
        <v>26</v>
      </c>
      <c r="K1375" s="12" t="s">
        <v>27</v>
      </c>
      <c r="L1375" s="15"/>
      <c r="M1375" s="12" t="s">
        <v>28</v>
      </c>
      <c r="N1375" s="12"/>
      <c r="O1375" s="12"/>
      <c r="P1375" s="12"/>
      <c r="Q1375" s="16">
        <v>0</v>
      </c>
      <c r="R1375" s="16">
        <v>6</v>
      </c>
      <c r="S1375" s="16"/>
      <c r="T1375" s="16" t="e">
        <v>#N/A</v>
      </c>
      <c r="U1375" s="16" t="e">
        <v>#N/A</v>
      </c>
    </row>
    <row r="1376" spans="1:21" x14ac:dyDescent="0.25">
      <c r="A1376" s="12" t="s">
        <v>21</v>
      </c>
      <c r="B1376" s="12" t="s">
        <v>1438</v>
      </c>
      <c r="C1376" s="12" t="s">
        <v>23</v>
      </c>
      <c r="D1376" s="13">
        <v>46273.420740740738</v>
      </c>
      <c r="E1376" s="12" t="s">
        <v>717</v>
      </c>
      <c r="F1376" s="12" t="s">
        <v>371</v>
      </c>
      <c r="G1376" s="12">
        <v>450</v>
      </c>
      <c r="H1376" s="12">
        <v>450</v>
      </c>
      <c r="I1376" s="14"/>
      <c r="J1376" s="14" t="s">
        <v>26</v>
      </c>
      <c r="K1376" s="12" t="s">
        <v>27</v>
      </c>
      <c r="L1376" s="15"/>
      <c r="M1376" s="12" t="s">
        <v>28</v>
      </c>
      <c r="N1376" s="12"/>
      <c r="O1376" s="12"/>
      <c r="P1376" s="12"/>
      <c r="Q1376" s="16">
        <v>0</v>
      </c>
      <c r="R1376" s="16">
        <v>1</v>
      </c>
      <c r="S1376" s="16"/>
      <c r="T1376" s="16" t="e">
        <v>#N/A</v>
      </c>
      <c r="U1376" s="16" t="e">
        <v>#N/A</v>
      </c>
    </row>
    <row r="1377" spans="1:21" x14ac:dyDescent="0.25">
      <c r="A1377" s="12" t="s">
        <v>21</v>
      </c>
      <c r="B1377" s="12" t="s">
        <v>1438</v>
      </c>
      <c r="C1377" s="12" t="s">
        <v>23</v>
      </c>
      <c r="D1377" s="13">
        <v>46273.420740740738</v>
      </c>
      <c r="E1377" s="12" t="s">
        <v>717</v>
      </c>
      <c r="F1377" s="12" t="s">
        <v>573</v>
      </c>
      <c r="G1377" s="12">
        <v>11</v>
      </c>
      <c r="H1377" s="12">
        <v>11</v>
      </c>
      <c r="I1377" s="14"/>
      <c r="J1377" s="14" t="s">
        <v>61</v>
      </c>
      <c r="K1377" s="12" t="s">
        <v>1446</v>
      </c>
      <c r="L1377" s="15">
        <v>1</v>
      </c>
      <c r="M1377" s="12" t="s">
        <v>150</v>
      </c>
      <c r="N1377" s="12">
        <v>11</v>
      </c>
      <c r="O1377" s="12">
        <v>11</v>
      </c>
      <c r="P1377" s="12">
        <v>0</v>
      </c>
      <c r="Q1377" s="16">
        <v>11</v>
      </c>
      <c r="R1377" s="16">
        <v>4</v>
      </c>
      <c r="S1377" s="16"/>
      <c r="T1377" s="16" t="e">
        <v>#N/A</v>
      </c>
      <c r="U1377" s="16" t="e">
        <v>#N/A</v>
      </c>
    </row>
    <row r="1378" spans="1:21" x14ac:dyDescent="0.25">
      <c r="A1378" s="12" t="s">
        <v>21</v>
      </c>
      <c r="B1378" s="12" t="s">
        <v>1447</v>
      </c>
      <c r="C1378" s="12" t="s">
        <v>23</v>
      </c>
      <c r="D1378" s="13">
        <v>46273.421990740739</v>
      </c>
      <c r="E1378" s="12" t="s">
        <v>717</v>
      </c>
      <c r="F1378" s="12" t="s">
        <v>320</v>
      </c>
      <c r="G1378" s="12">
        <v>10</v>
      </c>
      <c r="H1378" s="12">
        <v>10</v>
      </c>
      <c r="I1378" s="14"/>
      <c r="J1378" s="14" t="s">
        <v>61</v>
      </c>
      <c r="K1378" s="12" t="s">
        <v>1448</v>
      </c>
      <c r="L1378" s="15">
        <v>1</v>
      </c>
      <c r="M1378" s="12" t="s">
        <v>150</v>
      </c>
      <c r="N1378" s="12">
        <v>10</v>
      </c>
      <c r="O1378" s="12">
        <v>10</v>
      </c>
      <c r="P1378" s="12">
        <v>0</v>
      </c>
      <c r="Q1378" s="16">
        <v>10</v>
      </c>
      <c r="R1378" s="16">
        <v>1</v>
      </c>
      <c r="S1378" s="16"/>
      <c r="T1378" s="16" t="e">
        <v>#N/A</v>
      </c>
      <c r="U1378" s="16" t="e">
        <v>#N/A</v>
      </c>
    </row>
    <row r="1379" spans="1:21" x14ac:dyDescent="0.25">
      <c r="A1379" s="12" t="s">
        <v>21</v>
      </c>
      <c r="B1379" s="12" t="s">
        <v>1449</v>
      </c>
      <c r="C1379" s="12" t="s">
        <v>23</v>
      </c>
      <c r="D1379" s="13">
        <v>46273.493506944447</v>
      </c>
      <c r="E1379" s="12" t="s">
        <v>24</v>
      </c>
      <c r="F1379" s="12" t="s">
        <v>40</v>
      </c>
      <c r="G1379" s="12">
        <v>6</v>
      </c>
      <c r="H1379" s="12">
        <v>6</v>
      </c>
      <c r="I1379" s="14"/>
      <c r="J1379" s="14" t="s">
        <v>26</v>
      </c>
      <c r="K1379" s="12" t="s">
        <v>27</v>
      </c>
      <c r="L1379" s="15"/>
      <c r="M1379" s="12" t="s">
        <v>28</v>
      </c>
      <c r="N1379" s="12"/>
      <c r="O1379" s="12"/>
      <c r="P1379" s="12"/>
      <c r="Q1379" s="16">
        <v>0</v>
      </c>
      <c r="R1379" s="16">
        <v>934</v>
      </c>
      <c r="S1379" s="16"/>
      <c r="T1379" s="16" t="e">
        <v>#N/A</v>
      </c>
      <c r="U1379" s="16" t="e">
        <v>#N/A</v>
      </c>
    </row>
    <row r="1380" spans="1:21" x14ac:dyDescent="0.25">
      <c r="A1380" s="12" t="s">
        <v>21</v>
      </c>
      <c r="B1380" s="12" t="s">
        <v>1449</v>
      </c>
      <c r="C1380" s="12" t="s">
        <v>23</v>
      </c>
      <c r="D1380" s="13">
        <v>46273.493506944447</v>
      </c>
      <c r="E1380" s="12" t="s">
        <v>24</v>
      </c>
      <c r="F1380" s="12" t="s">
        <v>297</v>
      </c>
      <c r="G1380" s="12">
        <v>2</v>
      </c>
      <c r="H1380" s="12">
        <v>2</v>
      </c>
      <c r="I1380" s="14"/>
      <c r="J1380" s="14" t="s">
        <v>26</v>
      </c>
      <c r="K1380" s="12" t="s">
        <v>27</v>
      </c>
      <c r="L1380" s="15"/>
      <c r="M1380" s="12" t="s">
        <v>28</v>
      </c>
      <c r="N1380" s="12"/>
      <c r="O1380" s="12"/>
      <c r="P1380" s="12"/>
      <c r="Q1380" s="16">
        <v>0</v>
      </c>
      <c r="R1380" s="16">
        <v>535</v>
      </c>
      <c r="S1380" s="16"/>
      <c r="T1380" s="16" t="e">
        <v>#N/A</v>
      </c>
      <c r="U1380" s="16" t="e">
        <v>#N/A</v>
      </c>
    </row>
    <row r="1381" spans="1:21" x14ac:dyDescent="0.25">
      <c r="A1381" s="12" t="s">
        <v>21</v>
      </c>
      <c r="B1381" s="12" t="s">
        <v>1449</v>
      </c>
      <c r="C1381" s="12" t="s">
        <v>23</v>
      </c>
      <c r="D1381" s="13">
        <v>46273.493506944447</v>
      </c>
      <c r="E1381" s="12" t="s">
        <v>24</v>
      </c>
      <c r="F1381" s="12" t="s">
        <v>42</v>
      </c>
      <c r="G1381" s="12">
        <v>2</v>
      </c>
      <c r="H1381" s="12">
        <v>2</v>
      </c>
      <c r="I1381" s="14"/>
      <c r="J1381" s="14" t="s">
        <v>26</v>
      </c>
      <c r="K1381" s="12" t="s">
        <v>27</v>
      </c>
      <c r="L1381" s="15"/>
      <c r="M1381" s="12" t="s">
        <v>28</v>
      </c>
      <c r="N1381" s="12"/>
      <c r="O1381" s="12"/>
      <c r="P1381" s="12"/>
      <c r="Q1381" s="16">
        <v>0</v>
      </c>
      <c r="R1381" s="16">
        <v>0</v>
      </c>
      <c r="S1381" s="16"/>
      <c r="T1381" s="16" t="e">
        <v>#N/A</v>
      </c>
      <c r="U1381" s="16" t="e">
        <v>#N/A</v>
      </c>
    </row>
    <row r="1382" spans="1:21" x14ac:dyDescent="0.25">
      <c r="A1382" s="12" t="s">
        <v>21</v>
      </c>
      <c r="B1382" s="12" t="s">
        <v>1449</v>
      </c>
      <c r="C1382" s="12" t="s">
        <v>23</v>
      </c>
      <c r="D1382" s="13">
        <v>46273.493506944447</v>
      </c>
      <c r="E1382" s="12" t="s">
        <v>24</v>
      </c>
      <c r="F1382" s="12" t="s">
        <v>298</v>
      </c>
      <c r="G1382" s="12">
        <v>2</v>
      </c>
      <c r="H1382" s="12">
        <v>2</v>
      </c>
      <c r="I1382" s="14"/>
      <c r="J1382" s="14" t="s">
        <v>26</v>
      </c>
      <c r="K1382" s="12" t="s">
        <v>27</v>
      </c>
      <c r="L1382" s="15"/>
      <c r="M1382" s="12" t="s">
        <v>28</v>
      </c>
      <c r="N1382" s="12"/>
      <c r="O1382" s="12"/>
      <c r="P1382" s="12"/>
      <c r="Q1382" s="16">
        <v>0</v>
      </c>
      <c r="R1382" s="16">
        <v>848</v>
      </c>
      <c r="S1382" s="16"/>
      <c r="T1382" s="16" t="e">
        <v>#N/A</v>
      </c>
      <c r="U1382" s="16" t="e">
        <v>#N/A</v>
      </c>
    </row>
    <row r="1383" spans="1:21" x14ac:dyDescent="0.25">
      <c r="A1383" s="12" t="s">
        <v>21</v>
      </c>
      <c r="B1383" s="12" t="s">
        <v>1449</v>
      </c>
      <c r="C1383" s="12" t="s">
        <v>23</v>
      </c>
      <c r="D1383" s="13">
        <v>46273.493506944447</v>
      </c>
      <c r="E1383" s="12" t="s">
        <v>24</v>
      </c>
      <c r="F1383" s="12" t="s">
        <v>1450</v>
      </c>
      <c r="G1383" s="12">
        <v>8</v>
      </c>
      <c r="H1383" s="12">
        <v>8</v>
      </c>
      <c r="I1383" s="14"/>
      <c r="J1383" s="14" t="s">
        <v>26</v>
      </c>
      <c r="K1383" s="12" t="s">
        <v>27</v>
      </c>
      <c r="L1383" s="15"/>
      <c r="M1383" s="12" t="s">
        <v>28</v>
      </c>
      <c r="N1383" s="12"/>
      <c r="O1383" s="12"/>
      <c r="P1383" s="12"/>
      <c r="Q1383" s="16">
        <v>0</v>
      </c>
      <c r="R1383" s="16">
        <v>375</v>
      </c>
      <c r="S1383" s="16"/>
      <c r="T1383" s="16" t="e">
        <v>#N/A</v>
      </c>
      <c r="U1383" s="16" t="e">
        <v>#N/A</v>
      </c>
    </row>
    <row r="1384" spans="1:21" x14ac:dyDescent="0.25">
      <c r="A1384" s="12" t="s">
        <v>21</v>
      </c>
      <c r="B1384" s="12" t="s">
        <v>1449</v>
      </c>
      <c r="C1384" s="12" t="s">
        <v>23</v>
      </c>
      <c r="D1384" s="13">
        <v>46273.493506944447</v>
      </c>
      <c r="E1384" s="12" t="s">
        <v>24</v>
      </c>
      <c r="F1384" s="12" t="s">
        <v>1451</v>
      </c>
      <c r="G1384" s="12">
        <v>4</v>
      </c>
      <c r="H1384" s="12">
        <v>4</v>
      </c>
      <c r="I1384" s="14"/>
      <c r="J1384" s="14" t="s">
        <v>26</v>
      </c>
      <c r="K1384" s="12" t="s">
        <v>27</v>
      </c>
      <c r="L1384" s="15"/>
      <c r="M1384" s="12" t="s">
        <v>28</v>
      </c>
      <c r="N1384" s="12"/>
      <c r="O1384" s="12"/>
      <c r="P1384" s="12"/>
      <c r="Q1384" s="16">
        <v>0</v>
      </c>
      <c r="R1384" s="16">
        <v>127</v>
      </c>
      <c r="S1384" s="16"/>
      <c r="T1384" s="16" t="e">
        <v>#N/A</v>
      </c>
      <c r="U1384" s="16" t="e">
        <v>#N/A</v>
      </c>
    </row>
    <row r="1385" spans="1:21" x14ac:dyDescent="0.25">
      <c r="A1385" s="12" t="s">
        <v>21</v>
      </c>
      <c r="B1385" s="12" t="s">
        <v>1449</v>
      </c>
      <c r="C1385" s="12" t="s">
        <v>23</v>
      </c>
      <c r="D1385" s="13">
        <v>46273.493506944447</v>
      </c>
      <c r="E1385" s="12" t="s">
        <v>24</v>
      </c>
      <c r="F1385" s="12" t="s">
        <v>1452</v>
      </c>
      <c r="G1385" s="12">
        <v>4</v>
      </c>
      <c r="H1385" s="12">
        <v>4</v>
      </c>
      <c r="I1385" s="14"/>
      <c r="J1385" s="14" t="s">
        <v>26</v>
      </c>
      <c r="K1385" s="12" t="s">
        <v>27</v>
      </c>
      <c r="L1385" s="15"/>
      <c r="M1385" s="12" t="s">
        <v>28</v>
      </c>
      <c r="N1385" s="12"/>
      <c r="O1385" s="12"/>
      <c r="P1385" s="12"/>
      <c r="Q1385" s="16">
        <v>0</v>
      </c>
      <c r="R1385" s="16">
        <v>179</v>
      </c>
      <c r="S1385" s="16"/>
      <c r="T1385" s="16" t="e">
        <v>#N/A</v>
      </c>
      <c r="U1385" s="16" t="e">
        <v>#N/A</v>
      </c>
    </row>
    <row r="1386" spans="1:21" x14ac:dyDescent="0.25">
      <c r="A1386" s="12" t="s">
        <v>21</v>
      </c>
      <c r="B1386" s="12" t="s">
        <v>1449</v>
      </c>
      <c r="C1386" s="12" t="s">
        <v>23</v>
      </c>
      <c r="D1386" s="13">
        <v>46273.493506944447</v>
      </c>
      <c r="E1386" s="12" t="s">
        <v>24</v>
      </c>
      <c r="F1386" s="12" t="s">
        <v>1453</v>
      </c>
      <c r="G1386" s="12">
        <v>2</v>
      </c>
      <c r="H1386" s="12">
        <v>2</v>
      </c>
      <c r="I1386" s="14"/>
      <c r="J1386" s="14" t="s">
        <v>26</v>
      </c>
      <c r="K1386" s="12" t="s">
        <v>27</v>
      </c>
      <c r="L1386" s="15"/>
      <c r="M1386" s="12" t="s">
        <v>28</v>
      </c>
      <c r="N1386" s="12"/>
      <c r="O1386" s="12"/>
      <c r="P1386" s="12"/>
      <c r="Q1386" s="16">
        <v>0</v>
      </c>
      <c r="R1386" s="16">
        <v>30</v>
      </c>
      <c r="S1386" s="16"/>
      <c r="T1386" s="16" t="e">
        <v>#N/A</v>
      </c>
      <c r="U1386" s="16" t="e">
        <v>#N/A</v>
      </c>
    </row>
    <row r="1387" spans="1:21" x14ac:dyDescent="0.25">
      <c r="A1387" s="12" t="s">
        <v>21</v>
      </c>
      <c r="B1387" s="12" t="s">
        <v>1449</v>
      </c>
      <c r="C1387" s="12" t="s">
        <v>23</v>
      </c>
      <c r="D1387" s="13">
        <v>46273.493506944447</v>
      </c>
      <c r="E1387" s="12" t="s">
        <v>24</v>
      </c>
      <c r="F1387" s="12" t="s">
        <v>1454</v>
      </c>
      <c r="G1387" s="12">
        <v>4</v>
      </c>
      <c r="H1387" s="12">
        <v>4</v>
      </c>
      <c r="I1387" s="14"/>
      <c r="J1387" s="14" t="s">
        <v>26</v>
      </c>
      <c r="K1387" s="12" t="s">
        <v>27</v>
      </c>
      <c r="L1387" s="15"/>
      <c r="M1387" s="12" t="s">
        <v>28</v>
      </c>
      <c r="N1387" s="12"/>
      <c r="O1387" s="12"/>
      <c r="P1387" s="12"/>
      <c r="Q1387" s="16">
        <v>0</v>
      </c>
      <c r="R1387" s="16">
        <v>565</v>
      </c>
      <c r="S1387" s="16"/>
      <c r="T1387" s="16" t="e">
        <v>#N/A</v>
      </c>
      <c r="U1387" s="16" t="e">
        <v>#N/A</v>
      </c>
    </row>
    <row r="1388" spans="1:21" x14ac:dyDescent="0.25">
      <c r="A1388" s="12" t="s">
        <v>21</v>
      </c>
      <c r="B1388" s="12" t="s">
        <v>1449</v>
      </c>
      <c r="C1388" s="12" t="s">
        <v>23</v>
      </c>
      <c r="D1388" s="13">
        <v>46273.493506944447</v>
      </c>
      <c r="E1388" s="12" t="s">
        <v>24</v>
      </c>
      <c r="F1388" s="12" t="s">
        <v>44</v>
      </c>
      <c r="G1388" s="12">
        <v>50</v>
      </c>
      <c r="H1388" s="12">
        <v>50</v>
      </c>
      <c r="I1388" s="14"/>
      <c r="J1388" s="14" t="s">
        <v>26</v>
      </c>
      <c r="K1388" s="12" t="s">
        <v>27</v>
      </c>
      <c r="L1388" s="15"/>
      <c r="M1388" s="12" t="s">
        <v>28</v>
      </c>
      <c r="N1388" s="12"/>
      <c r="O1388" s="12"/>
      <c r="P1388" s="12"/>
      <c r="Q1388" s="16">
        <v>0</v>
      </c>
      <c r="R1388" s="16">
        <v>75</v>
      </c>
      <c r="S1388" s="16"/>
      <c r="T1388" s="16" t="e">
        <v>#N/A</v>
      </c>
      <c r="U1388" s="16" t="e">
        <v>#N/A</v>
      </c>
    </row>
    <row r="1389" spans="1:21" x14ac:dyDescent="0.25">
      <c r="A1389" s="12" t="s">
        <v>21</v>
      </c>
      <c r="B1389" s="12" t="s">
        <v>1449</v>
      </c>
      <c r="C1389" s="12" t="s">
        <v>23</v>
      </c>
      <c r="D1389" s="13">
        <v>46273.493506944447</v>
      </c>
      <c r="E1389" s="12" t="s">
        <v>24</v>
      </c>
      <c r="F1389" s="12" t="s">
        <v>1455</v>
      </c>
      <c r="G1389" s="12">
        <v>8</v>
      </c>
      <c r="H1389" s="12">
        <v>8</v>
      </c>
      <c r="I1389" s="14"/>
      <c r="J1389" s="14" t="s">
        <v>26</v>
      </c>
      <c r="K1389" s="12" t="s">
        <v>27</v>
      </c>
      <c r="L1389" s="15"/>
      <c r="M1389" s="12" t="s">
        <v>28</v>
      </c>
      <c r="N1389" s="12"/>
      <c r="O1389" s="12"/>
      <c r="P1389" s="12"/>
      <c r="Q1389" s="16">
        <v>0</v>
      </c>
      <c r="R1389" s="16">
        <v>231</v>
      </c>
      <c r="S1389" s="16"/>
      <c r="T1389" s="16" t="e">
        <v>#N/A</v>
      </c>
      <c r="U1389" s="16" t="e">
        <v>#N/A</v>
      </c>
    </row>
    <row r="1390" spans="1:21" x14ac:dyDescent="0.25">
      <c r="A1390" s="12" t="s">
        <v>21</v>
      </c>
      <c r="B1390" s="12" t="s">
        <v>1449</v>
      </c>
      <c r="C1390" s="12" t="s">
        <v>23</v>
      </c>
      <c r="D1390" s="13">
        <v>46273.493506944447</v>
      </c>
      <c r="E1390" s="12" t="s">
        <v>24</v>
      </c>
      <c r="F1390" s="12" t="s">
        <v>1456</v>
      </c>
      <c r="G1390" s="12">
        <v>50</v>
      </c>
      <c r="H1390" s="12">
        <v>50</v>
      </c>
      <c r="I1390" s="14"/>
      <c r="J1390" s="14" t="s">
        <v>26</v>
      </c>
      <c r="K1390" s="12" t="s">
        <v>27</v>
      </c>
      <c r="L1390" s="15"/>
      <c r="M1390" s="12" t="s">
        <v>28</v>
      </c>
      <c r="N1390" s="12"/>
      <c r="O1390" s="12"/>
      <c r="P1390" s="12"/>
      <c r="Q1390" s="16">
        <v>0</v>
      </c>
      <c r="R1390" s="16">
        <v>8031</v>
      </c>
      <c r="S1390" s="16"/>
      <c r="T1390" s="16" t="e">
        <v>#N/A</v>
      </c>
      <c r="U1390" s="16" t="e">
        <v>#N/A</v>
      </c>
    </row>
    <row r="1391" spans="1:21" x14ac:dyDescent="0.25">
      <c r="A1391" s="12" t="s">
        <v>21</v>
      </c>
      <c r="B1391" s="12" t="s">
        <v>1449</v>
      </c>
      <c r="C1391" s="12" t="s">
        <v>23</v>
      </c>
      <c r="D1391" s="13">
        <v>46273.493506944447</v>
      </c>
      <c r="E1391" s="12" t="s">
        <v>24</v>
      </c>
      <c r="F1391" s="12" t="s">
        <v>1457</v>
      </c>
      <c r="G1391" s="12">
        <v>8</v>
      </c>
      <c r="H1391" s="12">
        <v>8</v>
      </c>
      <c r="I1391" s="14"/>
      <c r="J1391" s="14" t="s">
        <v>26</v>
      </c>
      <c r="K1391" s="12" t="s">
        <v>27</v>
      </c>
      <c r="L1391" s="15"/>
      <c r="M1391" s="12" t="s">
        <v>28</v>
      </c>
      <c r="N1391" s="12"/>
      <c r="O1391" s="12"/>
      <c r="P1391" s="12"/>
      <c r="Q1391" s="16">
        <v>0</v>
      </c>
      <c r="R1391" s="16">
        <v>2461</v>
      </c>
      <c r="S1391" s="16"/>
      <c r="T1391" s="16" t="e">
        <v>#N/A</v>
      </c>
      <c r="U1391" s="16" t="e">
        <v>#N/A</v>
      </c>
    </row>
    <row r="1392" spans="1:21" x14ac:dyDescent="0.25">
      <c r="A1392" s="12" t="s">
        <v>21</v>
      </c>
      <c r="B1392" s="12" t="s">
        <v>1449</v>
      </c>
      <c r="C1392" s="12" t="s">
        <v>23</v>
      </c>
      <c r="D1392" s="13">
        <v>46273.493506944447</v>
      </c>
      <c r="E1392" s="12" t="s">
        <v>24</v>
      </c>
      <c r="F1392" s="12" t="s">
        <v>1458</v>
      </c>
      <c r="G1392" s="12">
        <v>12</v>
      </c>
      <c r="H1392" s="12">
        <v>12</v>
      </c>
      <c r="I1392" s="14"/>
      <c r="J1392" s="14" t="s">
        <v>26</v>
      </c>
      <c r="K1392" s="12" t="s">
        <v>27</v>
      </c>
      <c r="L1392" s="15"/>
      <c r="M1392" s="12" t="s">
        <v>28</v>
      </c>
      <c r="N1392" s="12"/>
      <c r="O1392" s="12"/>
      <c r="P1392" s="12"/>
      <c r="Q1392" s="16">
        <v>0</v>
      </c>
      <c r="R1392" s="16">
        <v>3452</v>
      </c>
      <c r="S1392" s="16"/>
      <c r="T1392" s="16" t="e">
        <v>#N/A</v>
      </c>
      <c r="U1392" s="16" t="e">
        <v>#N/A</v>
      </c>
    </row>
    <row r="1393" spans="1:21" x14ac:dyDescent="0.25">
      <c r="A1393" s="12" t="s">
        <v>21</v>
      </c>
      <c r="B1393" s="12" t="s">
        <v>1449</v>
      </c>
      <c r="C1393" s="12" t="s">
        <v>23</v>
      </c>
      <c r="D1393" s="13">
        <v>46273.493506944447</v>
      </c>
      <c r="E1393" s="12" t="s">
        <v>24</v>
      </c>
      <c r="F1393" s="12" t="s">
        <v>1459</v>
      </c>
      <c r="G1393" s="12">
        <v>8</v>
      </c>
      <c r="H1393" s="12">
        <v>8</v>
      </c>
      <c r="I1393" s="14"/>
      <c r="J1393" s="14" t="s">
        <v>26</v>
      </c>
      <c r="K1393" s="12" t="s">
        <v>27</v>
      </c>
      <c r="L1393" s="15"/>
      <c r="M1393" s="12" t="s">
        <v>28</v>
      </c>
      <c r="N1393" s="12"/>
      <c r="O1393" s="12"/>
      <c r="P1393" s="12"/>
      <c r="Q1393" s="16">
        <v>0</v>
      </c>
      <c r="R1393" s="16">
        <v>2298</v>
      </c>
      <c r="S1393" s="16"/>
      <c r="T1393" s="16" t="e">
        <v>#N/A</v>
      </c>
      <c r="U1393" s="16" t="e">
        <v>#N/A</v>
      </c>
    </row>
    <row r="1394" spans="1:21" x14ac:dyDescent="0.25">
      <c r="A1394" s="12" t="s">
        <v>21</v>
      </c>
      <c r="B1394" s="12" t="s">
        <v>1449</v>
      </c>
      <c r="C1394" s="12" t="s">
        <v>23</v>
      </c>
      <c r="D1394" s="13">
        <v>46273.493506944447</v>
      </c>
      <c r="E1394" s="12" t="s">
        <v>24</v>
      </c>
      <c r="F1394" s="12" t="s">
        <v>313</v>
      </c>
      <c r="G1394" s="12">
        <v>40</v>
      </c>
      <c r="H1394" s="12">
        <v>40</v>
      </c>
      <c r="I1394" s="14"/>
      <c r="J1394" s="14" t="s">
        <v>26</v>
      </c>
      <c r="K1394" s="12" t="s">
        <v>27</v>
      </c>
      <c r="L1394" s="15"/>
      <c r="M1394" s="12" t="s">
        <v>28</v>
      </c>
      <c r="N1394" s="12"/>
      <c r="O1394" s="12"/>
      <c r="P1394" s="12"/>
      <c r="Q1394" s="16">
        <v>0</v>
      </c>
      <c r="R1394" s="16">
        <v>25</v>
      </c>
      <c r="S1394" s="16"/>
      <c r="T1394" s="16" t="e">
        <v>#N/A</v>
      </c>
      <c r="U1394" s="16" t="e">
        <v>#N/A</v>
      </c>
    </row>
    <row r="1395" spans="1:21" x14ac:dyDescent="0.25">
      <c r="A1395" s="12" t="s">
        <v>21</v>
      </c>
      <c r="B1395" s="12" t="s">
        <v>1449</v>
      </c>
      <c r="C1395" s="12" t="s">
        <v>23</v>
      </c>
      <c r="D1395" s="13">
        <v>46273.493506944447</v>
      </c>
      <c r="E1395" s="12" t="s">
        <v>24</v>
      </c>
      <c r="F1395" s="12" t="s">
        <v>314</v>
      </c>
      <c r="G1395" s="12">
        <v>100</v>
      </c>
      <c r="H1395" s="12">
        <v>100</v>
      </c>
      <c r="I1395" s="14"/>
      <c r="J1395" s="14" t="s">
        <v>26</v>
      </c>
      <c r="K1395" s="12" t="s">
        <v>27</v>
      </c>
      <c r="L1395" s="15"/>
      <c r="M1395" s="12" t="s">
        <v>28</v>
      </c>
      <c r="N1395" s="12"/>
      <c r="O1395" s="12"/>
      <c r="P1395" s="12"/>
      <c r="Q1395" s="16">
        <v>0</v>
      </c>
      <c r="R1395" s="16">
        <v>24390</v>
      </c>
      <c r="S1395" s="16"/>
      <c r="T1395" s="16" t="e">
        <v>#N/A</v>
      </c>
      <c r="U1395" s="16" t="e">
        <v>#N/A</v>
      </c>
    </row>
    <row r="1396" spans="1:21" x14ac:dyDescent="0.25">
      <c r="A1396" s="12" t="s">
        <v>21</v>
      </c>
      <c r="B1396" s="12" t="s">
        <v>1449</v>
      </c>
      <c r="C1396" s="12" t="s">
        <v>23</v>
      </c>
      <c r="D1396" s="13">
        <v>46273.493506944447</v>
      </c>
      <c r="E1396" s="12" t="s">
        <v>24</v>
      </c>
      <c r="F1396" s="12" t="s">
        <v>1460</v>
      </c>
      <c r="G1396" s="12">
        <v>2</v>
      </c>
      <c r="H1396" s="12">
        <v>2</v>
      </c>
      <c r="I1396" s="14"/>
      <c r="J1396" s="14" t="s">
        <v>26</v>
      </c>
      <c r="K1396" s="12" t="s">
        <v>27</v>
      </c>
      <c r="L1396" s="15"/>
      <c r="M1396" s="12" t="s">
        <v>28</v>
      </c>
      <c r="N1396" s="12"/>
      <c r="O1396" s="12"/>
      <c r="P1396" s="12"/>
      <c r="Q1396" s="16">
        <v>0</v>
      </c>
      <c r="R1396" s="16">
        <v>1</v>
      </c>
      <c r="S1396" s="16"/>
      <c r="T1396" s="16" t="e">
        <v>#N/A</v>
      </c>
      <c r="U1396" s="16" t="e">
        <v>#N/A</v>
      </c>
    </row>
    <row r="1397" spans="1:21" x14ac:dyDescent="0.25">
      <c r="A1397" s="12" t="s">
        <v>21</v>
      </c>
      <c r="B1397" s="12" t="s">
        <v>1449</v>
      </c>
      <c r="C1397" s="12" t="s">
        <v>23</v>
      </c>
      <c r="D1397" s="13">
        <v>46273.493506944447</v>
      </c>
      <c r="E1397" s="12" t="s">
        <v>24</v>
      </c>
      <c r="F1397" s="12" t="s">
        <v>1461</v>
      </c>
      <c r="G1397" s="12">
        <v>2</v>
      </c>
      <c r="H1397" s="12">
        <v>2</v>
      </c>
      <c r="I1397" s="14"/>
      <c r="J1397" s="14" t="s">
        <v>26</v>
      </c>
      <c r="K1397" s="12" t="s">
        <v>27</v>
      </c>
      <c r="L1397" s="15"/>
      <c r="M1397" s="12" t="s">
        <v>28</v>
      </c>
      <c r="N1397" s="12"/>
      <c r="O1397" s="12"/>
      <c r="P1397" s="12"/>
      <c r="Q1397" s="16">
        <v>0</v>
      </c>
      <c r="R1397" s="16">
        <v>0</v>
      </c>
      <c r="S1397" s="16"/>
      <c r="T1397" s="16" t="e">
        <v>#N/A</v>
      </c>
      <c r="U1397" s="16" t="e">
        <v>#N/A</v>
      </c>
    </row>
    <row r="1398" spans="1:21" x14ac:dyDescent="0.25">
      <c r="A1398" s="12" t="s">
        <v>21</v>
      </c>
      <c r="B1398" s="12" t="s">
        <v>1449</v>
      </c>
      <c r="C1398" s="12" t="s">
        <v>23</v>
      </c>
      <c r="D1398" s="13">
        <v>46273.493506944447</v>
      </c>
      <c r="E1398" s="12" t="s">
        <v>24</v>
      </c>
      <c r="F1398" s="12" t="s">
        <v>1462</v>
      </c>
      <c r="G1398" s="12">
        <v>2</v>
      </c>
      <c r="H1398" s="12">
        <v>2</v>
      </c>
      <c r="I1398" s="14"/>
      <c r="J1398" s="14" t="s">
        <v>26</v>
      </c>
      <c r="K1398" s="12" t="s">
        <v>27</v>
      </c>
      <c r="L1398" s="15"/>
      <c r="M1398" s="12" t="s">
        <v>28</v>
      </c>
      <c r="N1398" s="12"/>
      <c r="O1398" s="12"/>
      <c r="P1398" s="12"/>
      <c r="Q1398" s="16">
        <v>0</v>
      </c>
      <c r="R1398" s="16">
        <v>0</v>
      </c>
      <c r="S1398" s="16"/>
      <c r="T1398" s="16" t="e">
        <v>#N/A</v>
      </c>
      <c r="U1398" s="16" t="e">
        <v>#N/A</v>
      </c>
    </row>
    <row r="1399" spans="1:21" x14ac:dyDescent="0.25">
      <c r="A1399" s="12" t="s">
        <v>21</v>
      </c>
      <c r="B1399" s="12" t="s">
        <v>1449</v>
      </c>
      <c r="C1399" s="12" t="s">
        <v>23</v>
      </c>
      <c r="D1399" s="13">
        <v>46273.493506944447</v>
      </c>
      <c r="E1399" s="12" t="s">
        <v>24</v>
      </c>
      <c r="F1399" s="12" t="s">
        <v>1463</v>
      </c>
      <c r="G1399" s="12">
        <v>1</v>
      </c>
      <c r="H1399" s="12">
        <v>1</v>
      </c>
      <c r="I1399" s="14"/>
      <c r="J1399" s="14" t="s">
        <v>26</v>
      </c>
      <c r="K1399" s="12" t="s">
        <v>27</v>
      </c>
      <c r="L1399" s="15"/>
      <c r="M1399" s="12" t="s">
        <v>28</v>
      </c>
      <c r="N1399" s="12"/>
      <c r="O1399" s="12"/>
      <c r="P1399" s="12"/>
      <c r="Q1399" s="16">
        <v>0</v>
      </c>
      <c r="R1399" s="16">
        <v>0</v>
      </c>
      <c r="S1399" s="16"/>
      <c r="T1399" s="16" t="e">
        <v>#N/A</v>
      </c>
      <c r="U1399" s="16" t="e">
        <v>#N/A</v>
      </c>
    </row>
    <row r="1400" spans="1:21" x14ac:dyDescent="0.25">
      <c r="A1400" s="12" t="s">
        <v>21</v>
      </c>
      <c r="B1400" s="12" t="s">
        <v>1464</v>
      </c>
      <c r="C1400" s="12" t="s">
        <v>23</v>
      </c>
      <c r="D1400" s="13">
        <v>46273.501516203702</v>
      </c>
      <c r="E1400" s="12" t="s">
        <v>1466</v>
      </c>
      <c r="F1400" s="12" t="s">
        <v>1467</v>
      </c>
      <c r="G1400" s="12">
        <v>270</v>
      </c>
      <c r="H1400" s="12">
        <v>270</v>
      </c>
      <c r="I1400" s="14"/>
      <c r="J1400" s="14" t="s">
        <v>26</v>
      </c>
      <c r="K1400" s="12" t="s">
        <v>1471</v>
      </c>
      <c r="L1400" s="15">
        <v>1</v>
      </c>
      <c r="M1400" s="12" t="s">
        <v>150</v>
      </c>
      <c r="N1400" s="12">
        <v>270</v>
      </c>
      <c r="O1400" s="12">
        <v>270</v>
      </c>
      <c r="P1400" s="12">
        <v>0</v>
      </c>
      <c r="Q1400" s="16">
        <v>0</v>
      </c>
      <c r="R1400" s="16">
        <v>0</v>
      </c>
      <c r="S1400" s="16"/>
      <c r="T1400" s="16" t="e">
        <v>#N/A</v>
      </c>
      <c r="U1400" s="16" t="e">
        <v>#N/A</v>
      </c>
    </row>
    <row r="1401" spans="1:21" x14ac:dyDescent="0.25">
      <c r="A1401" s="12" t="s">
        <v>21</v>
      </c>
      <c r="B1401" s="12" t="s">
        <v>1464</v>
      </c>
      <c r="C1401" s="12" t="s">
        <v>23</v>
      </c>
      <c r="D1401" s="13">
        <v>46273.501516203702</v>
      </c>
      <c r="E1401" s="12" t="s">
        <v>1466</v>
      </c>
      <c r="F1401" s="12" t="s">
        <v>1468</v>
      </c>
      <c r="G1401" s="12">
        <v>150</v>
      </c>
      <c r="H1401" s="12">
        <v>150</v>
      </c>
      <c r="I1401" s="14"/>
      <c r="J1401" s="14" t="s">
        <v>26</v>
      </c>
      <c r="K1401" s="12" t="s">
        <v>1472</v>
      </c>
      <c r="L1401" s="15">
        <v>1</v>
      </c>
      <c r="M1401" s="12" t="s">
        <v>150</v>
      </c>
      <c r="N1401" s="12">
        <v>150</v>
      </c>
      <c r="O1401" s="12">
        <v>150</v>
      </c>
      <c r="P1401" s="12">
        <v>0</v>
      </c>
      <c r="Q1401" s="16">
        <v>0</v>
      </c>
      <c r="R1401" s="16">
        <v>0</v>
      </c>
      <c r="S1401" s="16"/>
      <c r="T1401" s="16" t="e">
        <v>#N/A</v>
      </c>
      <c r="U1401" s="16" t="e">
        <v>#N/A</v>
      </c>
    </row>
    <row r="1402" spans="1:21" x14ac:dyDescent="0.25">
      <c r="A1402" s="12" t="s">
        <v>21</v>
      </c>
      <c r="B1402" s="12" t="s">
        <v>1464</v>
      </c>
      <c r="C1402" s="12" t="s">
        <v>23</v>
      </c>
      <c r="D1402" s="13">
        <v>46273.501516203702</v>
      </c>
      <c r="E1402" s="12" t="s">
        <v>1466</v>
      </c>
      <c r="F1402" s="12" t="s">
        <v>1469</v>
      </c>
      <c r="G1402" s="12">
        <v>150</v>
      </c>
      <c r="H1402" s="12">
        <v>150</v>
      </c>
      <c r="I1402" s="14"/>
      <c r="J1402" s="14" t="s">
        <v>26</v>
      </c>
      <c r="K1402" s="12" t="s">
        <v>1473</v>
      </c>
      <c r="L1402" s="15">
        <v>1</v>
      </c>
      <c r="M1402" s="12" t="s">
        <v>150</v>
      </c>
      <c r="N1402" s="12">
        <v>150</v>
      </c>
      <c r="O1402" s="12">
        <v>150</v>
      </c>
      <c r="P1402" s="12">
        <v>0</v>
      </c>
      <c r="Q1402" s="16">
        <v>0</v>
      </c>
      <c r="R1402" s="16">
        <v>0</v>
      </c>
      <c r="S1402" s="16"/>
      <c r="T1402" s="16" t="e">
        <v>#N/A</v>
      </c>
      <c r="U1402" s="16" t="e">
        <v>#N/A</v>
      </c>
    </row>
    <row r="1403" spans="1:21" x14ac:dyDescent="0.25">
      <c r="A1403" s="12" t="s">
        <v>21</v>
      </c>
      <c r="B1403" s="12" t="s">
        <v>1465</v>
      </c>
      <c r="C1403" s="12" t="s">
        <v>23</v>
      </c>
      <c r="D1403" s="13">
        <v>46273.502928240741</v>
      </c>
      <c r="E1403" s="12" t="s">
        <v>1466</v>
      </c>
      <c r="F1403" s="12" t="s">
        <v>1470</v>
      </c>
      <c r="G1403" s="12">
        <v>20</v>
      </c>
      <c r="H1403" s="12">
        <v>20</v>
      </c>
      <c r="I1403" s="14"/>
      <c r="J1403" s="14" t="s">
        <v>26</v>
      </c>
      <c r="K1403" s="12" t="s">
        <v>1474</v>
      </c>
      <c r="L1403" s="15">
        <v>1</v>
      </c>
      <c r="M1403" s="12" t="s">
        <v>150</v>
      </c>
      <c r="N1403" s="12">
        <v>20</v>
      </c>
      <c r="O1403" s="12">
        <v>20</v>
      </c>
      <c r="P1403" s="12">
        <v>0</v>
      </c>
      <c r="Q1403" s="16">
        <v>0</v>
      </c>
      <c r="R1403" s="16">
        <v>0</v>
      </c>
      <c r="S1403" s="16"/>
      <c r="T1403" s="16" t="e">
        <v>#N/A</v>
      </c>
      <c r="U1403" s="16" t="e">
        <v>#N/A</v>
      </c>
    </row>
    <row r="1404" spans="1:21" x14ac:dyDescent="0.25">
      <c r="A1404" s="12" t="s">
        <v>21</v>
      </c>
      <c r="B1404" s="12" t="s">
        <v>1465</v>
      </c>
      <c r="C1404" s="12" t="s">
        <v>23</v>
      </c>
      <c r="D1404" s="13">
        <v>46273.502928240741</v>
      </c>
      <c r="E1404" s="12" t="s">
        <v>1466</v>
      </c>
      <c r="F1404" s="12" t="s">
        <v>1467</v>
      </c>
      <c r="G1404" s="12">
        <v>70</v>
      </c>
      <c r="H1404" s="12">
        <v>70</v>
      </c>
      <c r="I1404" s="14"/>
      <c r="J1404" s="14" t="s">
        <v>26</v>
      </c>
      <c r="K1404" s="12" t="s">
        <v>1475</v>
      </c>
      <c r="L1404" s="15">
        <v>1</v>
      </c>
      <c r="M1404" s="12" t="s">
        <v>150</v>
      </c>
      <c r="N1404" s="12">
        <v>70</v>
      </c>
      <c r="O1404" s="12">
        <v>70</v>
      </c>
      <c r="P1404" s="12">
        <v>0</v>
      </c>
      <c r="Q1404" s="16">
        <v>0</v>
      </c>
      <c r="R1404" s="16">
        <v>0</v>
      </c>
      <c r="S1404" s="16"/>
      <c r="T1404" s="16" t="e">
        <v>#N/A</v>
      </c>
      <c r="U1404" s="16" t="e">
        <v>#N/A</v>
      </c>
    </row>
    <row r="1405" spans="1:21" x14ac:dyDescent="0.25">
      <c r="A1405" s="12" t="s">
        <v>21</v>
      </c>
      <c r="B1405" s="12" t="s">
        <v>1465</v>
      </c>
      <c r="C1405" s="12" t="s">
        <v>23</v>
      </c>
      <c r="D1405" s="13">
        <v>46273.502928240741</v>
      </c>
      <c r="E1405" s="12" t="s">
        <v>1466</v>
      </c>
      <c r="F1405" s="12" t="s">
        <v>1468</v>
      </c>
      <c r="G1405" s="12">
        <v>30</v>
      </c>
      <c r="H1405" s="12">
        <v>30</v>
      </c>
      <c r="I1405" s="14"/>
      <c r="J1405" s="14" t="s">
        <v>26</v>
      </c>
      <c r="K1405" s="12" t="s">
        <v>1476</v>
      </c>
      <c r="L1405" s="15">
        <v>1</v>
      </c>
      <c r="M1405" s="12" t="s">
        <v>150</v>
      </c>
      <c r="N1405" s="12">
        <v>30</v>
      </c>
      <c r="O1405" s="12">
        <v>30</v>
      </c>
      <c r="P1405" s="12">
        <v>0</v>
      </c>
      <c r="Q1405" s="16">
        <v>0</v>
      </c>
      <c r="R1405" s="16">
        <v>0</v>
      </c>
      <c r="S1405" s="16"/>
      <c r="T1405" s="16" t="e">
        <v>#N/A</v>
      </c>
      <c r="U1405" s="16" t="e">
        <v>#N/A</v>
      </c>
    </row>
    <row r="1406" spans="1:21" x14ac:dyDescent="0.25">
      <c r="A1406" s="12" t="s">
        <v>21</v>
      </c>
      <c r="B1406" s="12" t="s">
        <v>1465</v>
      </c>
      <c r="C1406" s="12" t="s">
        <v>23</v>
      </c>
      <c r="D1406" s="13">
        <v>46273.502928240741</v>
      </c>
      <c r="E1406" s="12" t="s">
        <v>1466</v>
      </c>
      <c r="F1406" s="12" t="s">
        <v>1469</v>
      </c>
      <c r="G1406" s="12">
        <v>30</v>
      </c>
      <c r="H1406" s="12">
        <v>30</v>
      </c>
      <c r="I1406" s="14"/>
      <c r="J1406" s="14" t="s">
        <v>26</v>
      </c>
      <c r="K1406" s="12" t="s">
        <v>1477</v>
      </c>
      <c r="L1406" s="15">
        <v>1</v>
      </c>
      <c r="M1406" s="12" t="s">
        <v>150</v>
      </c>
      <c r="N1406" s="12">
        <v>30</v>
      </c>
      <c r="O1406" s="12">
        <v>30</v>
      </c>
      <c r="P1406" s="12">
        <v>0</v>
      </c>
      <c r="Q1406" s="16">
        <v>0</v>
      </c>
      <c r="R1406" s="16">
        <v>0</v>
      </c>
      <c r="S1406" s="16"/>
      <c r="T1406" s="16" t="e">
        <v>#N/A</v>
      </c>
      <c r="U1406" s="16" t="e">
        <v>#N/A</v>
      </c>
    </row>
    <row r="1407" spans="1:21" x14ac:dyDescent="0.25">
      <c r="A1407" s="12" t="s">
        <v>21</v>
      </c>
      <c r="B1407" s="12" t="s">
        <v>1478</v>
      </c>
      <c r="C1407" s="12" t="s">
        <v>23</v>
      </c>
      <c r="D1407" s="13">
        <v>46273.566331018519</v>
      </c>
      <c r="E1407" s="12" t="s">
        <v>1466</v>
      </c>
      <c r="F1407" s="12" t="s">
        <v>1479</v>
      </c>
      <c r="G1407" s="12">
        <v>100</v>
      </c>
      <c r="H1407" s="12">
        <v>100</v>
      </c>
      <c r="I1407" s="14"/>
      <c r="J1407" s="14" t="s">
        <v>26</v>
      </c>
      <c r="K1407" s="12" t="s">
        <v>1481</v>
      </c>
      <c r="L1407" s="15">
        <v>1</v>
      </c>
      <c r="M1407" s="12" t="s">
        <v>150</v>
      </c>
      <c r="N1407" s="12">
        <v>100</v>
      </c>
      <c r="O1407" s="12">
        <v>100</v>
      </c>
      <c r="P1407" s="12">
        <v>0</v>
      </c>
      <c r="Q1407" s="16">
        <v>0</v>
      </c>
      <c r="R1407" s="16">
        <v>0</v>
      </c>
      <c r="S1407" s="16"/>
      <c r="T1407" s="16" t="e">
        <v>#N/A</v>
      </c>
      <c r="U1407" s="16" t="e">
        <v>#N/A</v>
      </c>
    </row>
    <row r="1408" spans="1:21" x14ac:dyDescent="0.25">
      <c r="A1408" s="12" t="s">
        <v>21</v>
      </c>
      <c r="B1408" s="12" t="s">
        <v>1478</v>
      </c>
      <c r="C1408" s="12" t="s">
        <v>23</v>
      </c>
      <c r="D1408" s="13">
        <v>46273.566331018519</v>
      </c>
      <c r="E1408" s="12" t="s">
        <v>1466</v>
      </c>
      <c r="F1408" s="12" t="s">
        <v>1480</v>
      </c>
      <c r="G1408" s="12">
        <v>150</v>
      </c>
      <c r="H1408" s="12">
        <v>150</v>
      </c>
      <c r="I1408" s="14"/>
      <c r="J1408" s="14" t="s">
        <v>26</v>
      </c>
      <c r="K1408" s="12" t="s">
        <v>1482</v>
      </c>
      <c r="L1408" s="15">
        <v>1</v>
      </c>
      <c r="M1408" s="12" t="s">
        <v>150</v>
      </c>
      <c r="N1408" s="12">
        <v>150</v>
      </c>
      <c r="O1408" s="12">
        <v>150</v>
      </c>
      <c r="P1408" s="12">
        <v>0</v>
      </c>
      <c r="Q1408" s="16">
        <v>0</v>
      </c>
      <c r="R1408" s="16">
        <v>0</v>
      </c>
      <c r="S1408" s="16"/>
      <c r="T1408" s="16" t="e">
        <v>#N/A</v>
      </c>
      <c r="U1408" s="16" t="e">
        <v>#N/A</v>
      </c>
    </row>
    <row r="1409" spans="1:21" x14ac:dyDescent="0.25">
      <c r="A1409" s="12" t="s">
        <v>21</v>
      </c>
      <c r="B1409" s="12" t="s">
        <v>1483</v>
      </c>
      <c r="C1409" s="12" t="s">
        <v>23</v>
      </c>
      <c r="D1409" s="13">
        <v>46273.577222222222</v>
      </c>
      <c r="E1409" s="12" t="s">
        <v>1466</v>
      </c>
      <c r="F1409" s="12" t="s">
        <v>1485</v>
      </c>
      <c r="G1409" s="12">
        <v>100</v>
      </c>
      <c r="H1409" s="12">
        <v>100</v>
      </c>
      <c r="I1409" s="14"/>
      <c r="J1409" s="14" t="s">
        <v>26</v>
      </c>
      <c r="K1409" s="12" t="s">
        <v>1486</v>
      </c>
      <c r="L1409" s="15">
        <v>1</v>
      </c>
      <c r="M1409" s="12" t="s">
        <v>150</v>
      </c>
      <c r="N1409" s="12">
        <v>100</v>
      </c>
      <c r="O1409" s="12">
        <v>100</v>
      </c>
      <c r="P1409" s="12">
        <v>0</v>
      </c>
      <c r="Q1409" s="16">
        <v>0</v>
      </c>
      <c r="R1409" s="16">
        <v>0</v>
      </c>
      <c r="S1409" s="16"/>
      <c r="T1409" s="16" t="e">
        <v>#N/A</v>
      </c>
      <c r="U1409" s="16" t="e">
        <v>#N/A</v>
      </c>
    </row>
    <row r="1410" spans="1:21" x14ac:dyDescent="0.25">
      <c r="A1410" s="12" t="s">
        <v>21</v>
      </c>
      <c r="B1410" s="12" t="s">
        <v>1483</v>
      </c>
      <c r="C1410" s="12" t="s">
        <v>23</v>
      </c>
      <c r="D1410" s="13">
        <v>46273.577222222222</v>
      </c>
      <c r="E1410" s="12" t="s">
        <v>1466</v>
      </c>
      <c r="F1410" s="12" t="s">
        <v>1479</v>
      </c>
      <c r="G1410" s="12">
        <v>200</v>
      </c>
      <c r="H1410" s="12">
        <v>200</v>
      </c>
      <c r="I1410" s="14"/>
      <c r="J1410" s="14" t="s">
        <v>26</v>
      </c>
      <c r="K1410" s="12" t="s">
        <v>1487</v>
      </c>
      <c r="L1410" s="15">
        <v>1</v>
      </c>
      <c r="M1410" s="12" t="s">
        <v>150</v>
      </c>
      <c r="N1410" s="12">
        <v>200</v>
      </c>
      <c r="O1410" s="12">
        <v>200</v>
      </c>
      <c r="P1410" s="12">
        <v>0</v>
      </c>
      <c r="Q1410" s="16">
        <v>0</v>
      </c>
      <c r="R1410" s="16">
        <v>0</v>
      </c>
      <c r="S1410" s="16"/>
      <c r="T1410" s="16" t="e">
        <v>#N/A</v>
      </c>
      <c r="U1410" s="16" t="e">
        <v>#N/A</v>
      </c>
    </row>
    <row r="1411" spans="1:21" x14ac:dyDescent="0.25">
      <c r="A1411" s="12" t="s">
        <v>21</v>
      </c>
      <c r="B1411" s="12" t="s">
        <v>1483</v>
      </c>
      <c r="C1411" s="12" t="s">
        <v>23</v>
      </c>
      <c r="D1411" s="13">
        <v>46273.577222222222</v>
      </c>
      <c r="E1411" s="12" t="s">
        <v>1466</v>
      </c>
      <c r="F1411" s="12" t="s">
        <v>1480</v>
      </c>
      <c r="G1411" s="12">
        <v>300</v>
      </c>
      <c r="H1411" s="12">
        <v>300</v>
      </c>
      <c r="I1411" s="14"/>
      <c r="J1411" s="14" t="s">
        <v>26</v>
      </c>
      <c r="K1411" s="12" t="s">
        <v>1488</v>
      </c>
      <c r="L1411" s="15">
        <v>1</v>
      </c>
      <c r="M1411" s="12" t="s">
        <v>150</v>
      </c>
      <c r="N1411" s="12">
        <v>300</v>
      </c>
      <c r="O1411" s="12">
        <v>300</v>
      </c>
      <c r="P1411" s="12">
        <v>0</v>
      </c>
      <c r="Q1411" s="16">
        <v>0</v>
      </c>
      <c r="R1411" s="16">
        <v>0</v>
      </c>
      <c r="S1411" s="16"/>
      <c r="T1411" s="16" t="e">
        <v>#N/A</v>
      </c>
      <c r="U1411" s="16" t="e">
        <v>#N/A</v>
      </c>
    </row>
    <row r="1412" spans="1:21" x14ac:dyDescent="0.25">
      <c r="A1412" s="12" t="s">
        <v>21</v>
      </c>
      <c r="B1412" s="12" t="s">
        <v>1484</v>
      </c>
      <c r="C1412" s="12" t="s">
        <v>23</v>
      </c>
      <c r="D1412" s="13">
        <v>46273.583854166667</v>
      </c>
      <c r="E1412" s="12" t="s">
        <v>1466</v>
      </c>
      <c r="F1412" s="12" t="s">
        <v>1467</v>
      </c>
      <c r="G1412" s="12">
        <v>30</v>
      </c>
      <c r="H1412" s="12">
        <v>30</v>
      </c>
      <c r="I1412" s="14"/>
      <c r="J1412" s="14" t="s">
        <v>26</v>
      </c>
      <c r="K1412" s="12" t="s">
        <v>1489</v>
      </c>
      <c r="L1412" s="15">
        <v>1</v>
      </c>
      <c r="M1412" s="12" t="s">
        <v>150</v>
      </c>
      <c r="N1412" s="12">
        <v>30</v>
      </c>
      <c r="O1412" s="12">
        <v>30</v>
      </c>
      <c r="P1412" s="12">
        <v>0</v>
      </c>
      <c r="Q1412" s="16">
        <v>0</v>
      </c>
      <c r="R1412" s="16">
        <v>0</v>
      </c>
      <c r="S1412" s="16"/>
      <c r="T1412" s="16" t="e">
        <v>#N/A</v>
      </c>
      <c r="U1412" s="16" t="e">
        <v>#N/A</v>
      </c>
    </row>
    <row r="1413" spans="1:21" x14ac:dyDescent="0.25">
      <c r="A1413" s="12" t="s">
        <v>21</v>
      </c>
      <c r="B1413" s="12" t="s">
        <v>1490</v>
      </c>
      <c r="C1413" s="12" t="s">
        <v>23</v>
      </c>
      <c r="D1413" s="13">
        <v>46273.595729166664</v>
      </c>
      <c r="E1413" s="12" t="s">
        <v>24</v>
      </c>
      <c r="F1413" s="12" t="s">
        <v>566</v>
      </c>
      <c r="G1413" s="12">
        <v>100</v>
      </c>
      <c r="H1413" s="12">
        <v>100</v>
      </c>
      <c r="I1413" s="14"/>
      <c r="J1413" s="14" t="s">
        <v>61</v>
      </c>
      <c r="K1413" s="12" t="s">
        <v>1497</v>
      </c>
      <c r="L1413" s="15">
        <v>1</v>
      </c>
      <c r="M1413" s="12" t="s">
        <v>150</v>
      </c>
      <c r="N1413" s="12">
        <v>100</v>
      </c>
      <c r="O1413" s="12">
        <v>100</v>
      </c>
      <c r="P1413" s="12">
        <v>0</v>
      </c>
      <c r="Q1413" s="16">
        <v>300</v>
      </c>
      <c r="R1413" s="16">
        <v>0</v>
      </c>
      <c r="S1413" s="16"/>
      <c r="T1413" s="16" t="e">
        <v>#N/A</v>
      </c>
      <c r="U1413" s="16" t="e">
        <v>#N/A</v>
      </c>
    </row>
    <row r="1414" spans="1:21" x14ac:dyDescent="0.25">
      <c r="A1414" s="12" t="s">
        <v>21</v>
      </c>
      <c r="B1414" s="12" t="s">
        <v>1490</v>
      </c>
      <c r="C1414" s="12" t="s">
        <v>23</v>
      </c>
      <c r="D1414" s="13">
        <v>46273.595729166664</v>
      </c>
      <c r="E1414" s="12" t="s">
        <v>24</v>
      </c>
      <c r="F1414" s="12" t="s">
        <v>567</v>
      </c>
      <c r="G1414" s="12">
        <v>100</v>
      </c>
      <c r="H1414" s="12">
        <v>100</v>
      </c>
      <c r="I1414" s="14"/>
      <c r="J1414" s="14" t="s">
        <v>61</v>
      </c>
      <c r="K1414" s="12" t="s">
        <v>1498</v>
      </c>
      <c r="L1414" s="15">
        <v>1</v>
      </c>
      <c r="M1414" s="12" t="s">
        <v>150</v>
      </c>
      <c r="N1414" s="12">
        <v>100</v>
      </c>
      <c r="O1414" s="12">
        <v>100</v>
      </c>
      <c r="P1414" s="12">
        <v>0</v>
      </c>
      <c r="Q1414" s="16">
        <v>300</v>
      </c>
      <c r="R1414" s="16">
        <v>0</v>
      </c>
      <c r="S1414" s="16"/>
      <c r="T1414" s="16" t="e">
        <v>#N/A</v>
      </c>
      <c r="U1414" s="16" t="e">
        <v>#N/A</v>
      </c>
    </row>
    <row r="1415" spans="1:21" x14ac:dyDescent="0.25">
      <c r="A1415" s="12" t="s">
        <v>21</v>
      </c>
      <c r="B1415" s="12" t="s">
        <v>1490</v>
      </c>
      <c r="C1415" s="12" t="s">
        <v>23</v>
      </c>
      <c r="D1415" s="13">
        <v>46273.595729166664</v>
      </c>
      <c r="E1415" s="12" t="s">
        <v>24</v>
      </c>
      <c r="F1415" s="12" t="s">
        <v>320</v>
      </c>
      <c r="G1415" s="12">
        <v>700</v>
      </c>
      <c r="H1415" s="12">
        <v>700</v>
      </c>
      <c r="I1415" s="14"/>
      <c r="J1415" s="14" t="s">
        <v>61</v>
      </c>
      <c r="K1415" s="12" t="s">
        <v>27</v>
      </c>
      <c r="L1415" s="15"/>
      <c r="M1415" s="12" t="s">
        <v>28</v>
      </c>
      <c r="N1415" s="12"/>
      <c r="O1415" s="12"/>
      <c r="P1415" s="12"/>
      <c r="Q1415" s="16">
        <v>300</v>
      </c>
      <c r="R1415" s="16">
        <v>1</v>
      </c>
      <c r="S1415" s="16"/>
      <c r="T1415" s="16" t="e">
        <v>#N/A</v>
      </c>
      <c r="U1415" s="16" t="e">
        <v>#N/A</v>
      </c>
    </row>
    <row r="1416" spans="1:21" x14ac:dyDescent="0.25">
      <c r="A1416" s="12" t="s">
        <v>21</v>
      </c>
      <c r="B1416" s="12" t="s">
        <v>1490</v>
      </c>
      <c r="C1416" s="12" t="s">
        <v>23</v>
      </c>
      <c r="D1416" s="13">
        <v>46273.595729166664</v>
      </c>
      <c r="E1416" s="12" t="s">
        <v>24</v>
      </c>
      <c r="F1416" s="12" t="s">
        <v>1430</v>
      </c>
      <c r="G1416" s="12">
        <v>100</v>
      </c>
      <c r="H1416" s="12">
        <v>100</v>
      </c>
      <c r="I1416" s="14"/>
      <c r="J1416" s="14" t="s">
        <v>61</v>
      </c>
      <c r="K1416" s="12" t="s">
        <v>1499</v>
      </c>
      <c r="L1416" s="15">
        <v>1</v>
      </c>
      <c r="M1416" s="12" t="s">
        <v>150</v>
      </c>
      <c r="N1416" s="12">
        <v>100</v>
      </c>
      <c r="O1416" s="12">
        <v>100</v>
      </c>
      <c r="P1416" s="12">
        <v>0</v>
      </c>
      <c r="Q1416" s="16">
        <v>300</v>
      </c>
      <c r="R1416" s="16">
        <v>120</v>
      </c>
      <c r="S1416" s="16"/>
      <c r="T1416" s="16" t="e">
        <v>#N/A</v>
      </c>
      <c r="U1416" s="16" t="e">
        <v>#N/A</v>
      </c>
    </row>
    <row r="1417" spans="1:21" x14ac:dyDescent="0.25">
      <c r="A1417" s="12" t="s">
        <v>21</v>
      </c>
      <c r="B1417" s="12" t="s">
        <v>1491</v>
      </c>
      <c r="C1417" s="12" t="s">
        <v>23</v>
      </c>
      <c r="D1417" s="13">
        <v>46273.608587962961</v>
      </c>
      <c r="E1417" s="12" t="s">
        <v>502</v>
      </c>
      <c r="F1417" s="12" t="s">
        <v>1493</v>
      </c>
      <c r="G1417" s="12">
        <v>47</v>
      </c>
      <c r="H1417" s="12">
        <v>47</v>
      </c>
      <c r="I1417" s="14"/>
      <c r="J1417" s="14" t="s">
        <v>61</v>
      </c>
      <c r="K1417" s="12" t="s">
        <v>1500</v>
      </c>
      <c r="L1417" s="15">
        <v>1</v>
      </c>
      <c r="M1417" s="12" t="s">
        <v>150</v>
      </c>
      <c r="N1417" s="12">
        <v>47</v>
      </c>
      <c r="O1417" s="12">
        <v>47</v>
      </c>
      <c r="P1417" s="12">
        <v>0</v>
      </c>
      <c r="Q1417" s="16">
        <v>47</v>
      </c>
      <c r="R1417" s="16">
        <v>0</v>
      </c>
      <c r="S1417" s="16"/>
      <c r="T1417" s="16" t="e">
        <v>#N/A</v>
      </c>
      <c r="U1417" s="16" t="e">
        <v>#N/A</v>
      </c>
    </row>
    <row r="1418" spans="1:21" x14ac:dyDescent="0.25">
      <c r="A1418" s="12" t="s">
        <v>21</v>
      </c>
      <c r="B1418" s="12" t="s">
        <v>1491</v>
      </c>
      <c r="C1418" s="12" t="s">
        <v>23</v>
      </c>
      <c r="D1418" s="13">
        <v>46273.608587962961</v>
      </c>
      <c r="E1418" s="12" t="s">
        <v>502</v>
      </c>
      <c r="F1418" s="12" t="s">
        <v>1494</v>
      </c>
      <c r="G1418" s="12">
        <v>2</v>
      </c>
      <c r="H1418" s="12">
        <v>2</v>
      </c>
      <c r="I1418" s="14"/>
      <c r="J1418" s="14" t="s">
        <v>61</v>
      </c>
      <c r="K1418" s="12" t="s">
        <v>1501</v>
      </c>
      <c r="L1418" s="15">
        <v>1</v>
      </c>
      <c r="M1418" s="12" t="s">
        <v>150</v>
      </c>
      <c r="N1418" s="12">
        <v>2</v>
      </c>
      <c r="O1418" s="12">
        <v>2</v>
      </c>
      <c r="P1418" s="12">
        <v>0</v>
      </c>
      <c r="Q1418" s="16">
        <v>2</v>
      </c>
      <c r="R1418" s="16">
        <v>0</v>
      </c>
      <c r="S1418" s="16"/>
      <c r="T1418" s="16" t="e">
        <v>#N/A</v>
      </c>
      <c r="U1418" s="16" t="e">
        <v>#N/A</v>
      </c>
    </row>
    <row r="1419" spans="1:21" x14ac:dyDescent="0.25">
      <c r="A1419" s="12" t="s">
        <v>21</v>
      </c>
      <c r="B1419" s="12" t="s">
        <v>1492</v>
      </c>
      <c r="C1419" s="12" t="s">
        <v>23</v>
      </c>
      <c r="D1419" s="13">
        <v>46273.61005787037</v>
      </c>
      <c r="E1419" s="12" t="s">
        <v>266</v>
      </c>
      <c r="F1419" s="12" t="s">
        <v>668</v>
      </c>
      <c r="G1419" s="12">
        <v>15</v>
      </c>
      <c r="H1419" s="12">
        <v>15</v>
      </c>
      <c r="I1419" s="14"/>
      <c r="J1419" s="14" t="s">
        <v>61</v>
      </c>
      <c r="K1419" s="12" t="s">
        <v>1502</v>
      </c>
      <c r="L1419" s="15">
        <v>1</v>
      </c>
      <c r="M1419" s="12" t="s">
        <v>150</v>
      </c>
      <c r="N1419" s="12">
        <v>15</v>
      </c>
      <c r="O1419" s="12">
        <v>15</v>
      </c>
      <c r="P1419" s="12">
        <v>0</v>
      </c>
      <c r="Q1419" s="16">
        <v>15</v>
      </c>
      <c r="R1419" s="16">
        <v>0</v>
      </c>
      <c r="S1419" s="16"/>
      <c r="T1419" s="16" t="e">
        <v>#N/A</v>
      </c>
      <c r="U1419" s="16" t="e">
        <v>#N/A</v>
      </c>
    </row>
    <row r="1420" spans="1:21" x14ac:dyDescent="0.25">
      <c r="A1420" s="12" t="s">
        <v>21</v>
      </c>
      <c r="B1420" s="12" t="s">
        <v>1492</v>
      </c>
      <c r="C1420" s="12" t="s">
        <v>23</v>
      </c>
      <c r="D1420" s="13">
        <v>46273.61005787037</v>
      </c>
      <c r="E1420" s="12" t="s">
        <v>266</v>
      </c>
      <c r="F1420" s="12" t="s">
        <v>670</v>
      </c>
      <c r="G1420" s="12">
        <v>30</v>
      </c>
      <c r="H1420" s="12">
        <v>30</v>
      </c>
      <c r="I1420" s="14"/>
      <c r="J1420" s="14" t="s">
        <v>61</v>
      </c>
      <c r="K1420" s="12" t="s">
        <v>1503</v>
      </c>
      <c r="L1420" s="15">
        <v>1</v>
      </c>
      <c r="M1420" s="12" t="s">
        <v>150</v>
      </c>
      <c r="N1420" s="12">
        <v>30</v>
      </c>
      <c r="O1420" s="12">
        <v>30</v>
      </c>
      <c r="P1420" s="12">
        <v>0</v>
      </c>
      <c r="Q1420" s="16">
        <v>30</v>
      </c>
      <c r="R1420" s="16">
        <v>0</v>
      </c>
      <c r="S1420" s="16"/>
      <c r="T1420" s="16" t="e">
        <v>#N/A</v>
      </c>
      <c r="U1420" s="16" t="e">
        <v>#N/A</v>
      </c>
    </row>
    <row r="1421" spans="1:21" x14ac:dyDescent="0.25">
      <c r="A1421" s="12" t="s">
        <v>21</v>
      </c>
      <c r="B1421" s="12" t="s">
        <v>1492</v>
      </c>
      <c r="C1421" s="12" t="s">
        <v>23</v>
      </c>
      <c r="D1421" s="13">
        <v>46273.61005787037</v>
      </c>
      <c r="E1421" s="12" t="s">
        <v>266</v>
      </c>
      <c r="F1421" s="12" t="s">
        <v>671</v>
      </c>
      <c r="G1421" s="12">
        <v>80</v>
      </c>
      <c r="H1421" s="12">
        <v>80</v>
      </c>
      <c r="I1421" s="14"/>
      <c r="J1421" s="14" t="s">
        <v>61</v>
      </c>
      <c r="K1421" s="12" t="s">
        <v>1504</v>
      </c>
      <c r="L1421" s="15">
        <v>1</v>
      </c>
      <c r="M1421" s="12" t="s">
        <v>150</v>
      </c>
      <c r="N1421" s="12">
        <v>80</v>
      </c>
      <c r="O1421" s="12">
        <v>80</v>
      </c>
      <c r="P1421" s="12">
        <v>0</v>
      </c>
      <c r="Q1421" s="16">
        <v>80</v>
      </c>
      <c r="R1421" s="16">
        <v>1</v>
      </c>
      <c r="S1421" s="16"/>
      <c r="T1421" s="16" t="e">
        <v>#N/A</v>
      </c>
      <c r="U1421" s="16" t="e">
        <v>#N/A</v>
      </c>
    </row>
    <row r="1422" spans="1:21" x14ac:dyDescent="0.25">
      <c r="A1422" s="12" t="s">
        <v>21</v>
      </c>
      <c r="B1422" s="12" t="s">
        <v>1492</v>
      </c>
      <c r="C1422" s="12" t="s">
        <v>23</v>
      </c>
      <c r="D1422" s="13">
        <v>46273.61005787037</v>
      </c>
      <c r="E1422" s="12" t="s">
        <v>266</v>
      </c>
      <c r="F1422" s="12" t="s">
        <v>549</v>
      </c>
      <c r="G1422" s="12">
        <v>18</v>
      </c>
      <c r="H1422" s="12">
        <v>18</v>
      </c>
      <c r="I1422" s="14"/>
      <c r="J1422" s="14" t="s">
        <v>61</v>
      </c>
      <c r="K1422" s="12" t="s">
        <v>1505</v>
      </c>
      <c r="L1422" s="15">
        <v>1</v>
      </c>
      <c r="M1422" s="12" t="s">
        <v>150</v>
      </c>
      <c r="N1422" s="12">
        <v>18</v>
      </c>
      <c r="O1422" s="12">
        <v>18</v>
      </c>
      <c r="P1422" s="12">
        <v>0</v>
      </c>
      <c r="Q1422" s="16">
        <v>18</v>
      </c>
      <c r="R1422" s="16">
        <v>1</v>
      </c>
      <c r="S1422" s="16"/>
      <c r="T1422" s="16" t="e">
        <v>#N/A</v>
      </c>
      <c r="U1422" s="16" t="e">
        <v>#N/A</v>
      </c>
    </row>
    <row r="1423" spans="1:21" x14ac:dyDescent="0.25">
      <c r="A1423" s="12" t="s">
        <v>21</v>
      </c>
      <c r="B1423" s="12" t="s">
        <v>1492</v>
      </c>
      <c r="C1423" s="12" t="s">
        <v>23</v>
      </c>
      <c r="D1423" s="13">
        <v>46273.61005787037</v>
      </c>
      <c r="E1423" s="12" t="s">
        <v>266</v>
      </c>
      <c r="F1423" s="12" t="s">
        <v>551</v>
      </c>
      <c r="G1423" s="12">
        <v>4</v>
      </c>
      <c r="H1423" s="12">
        <v>4</v>
      </c>
      <c r="I1423" s="14"/>
      <c r="J1423" s="14" t="s">
        <v>61</v>
      </c>
      <c r="K1423" s="12" t="s">
        <v>1506</v>
      </c>
      <c r="L1423" s="15">
        <v>1</v>
      </c>
      <c r="M1423" s="12" t="s">
        <v>150</v>
      </c>
      <c r="N1423" s="12">
        <v>4</v>
      </c>
      <c r="O1423" s="12">
        <v>4</v>
      </c>
      <c r="P1423" s="12">
        <v>0</v>
      </c>
      <c r="Q1423" s="16">
        <v>4</v>
      </c>
      <c r="R1423" s="16">
        <v>0</v>
      </c>
      <c r="S1423" s="16"/>
      <c r="T1423" s="16" t="e">
        <v>#N/A</v>
      </c>
      <c r="U1423" s="16" t="e">
        <v>#N/A</v>
      </c>
    </row>
    <row r="1424" spans="1:21" x14ac:dyDescent="0.25">
      <c r="A1424" s="12" t="s">
        <v>21</v>
      </c>
      <c r="B1424" s="12" t="s">
        <v>1492</v>
      </c>
      <c r="C1424" s="12" t="s">
        <v>23</v>
      </c>
      <c r="D1424" s="13">
        <v>46273.61005787037</v>
      </c>
      <c r="E1424" s="12" t="s">
        <v>266</v>
      </c>
      <c r="F1424" s="12" t="s">
        <v>552</v>
      </c>
      <c r="G1424" s="12">
        <v>20</v>
      </c>
      <c r="H1424" s="12">
        <v>20</v>
      </c>
      <c r="I1424" s="14"/>
      <c r="J1424" s="14" t="s">
        <v>61</v>
      </c>
      <c r="K1424" s="12" t="s">
        <v>1507</v>
      </c>
      <c r="L1424" s="15">
        <v>1</v>
      </c>
      <c r="M1424" s="12" t="s">
        <v>150</v>
      </c>
      <c r="N1424" s="12">
        <v>20</v>
      </c>
      <c r="O1424" s="12">
        <v>20</v>
      </c>
      <c r="P1424" s="12">
        <v>0</v>
      </c>
      <c r="Q1424" s="16">
        <v>20</v>
      </c>
      <c r="R1424" s="16">
        <v>0</v>
      </c>
      <c r="S1424" s="16"/>
      <c r="T1424" s="16" t="e">
        <v>#N/A</v>
      </c>
      <c r="U1424" s="16" t="e">
        <v>#N/A</v>
      </c>
    </row>
    <row r="1425" spans="1:21" x14ac:dyDescent="0.25">
      <c r="A1425" s="12" t="s">
        <v>21</v>
      </c>
      <c r="B1425" s="12" t="s">
        <v>1492</v>
      </c>
      <c r="C1425" s="12" t="s">
        <v>23</v>
      </c>
      <c r="D1425" s="13">
        <v>46273.61005787037</v>
      </c>
      <c r="E1425" s="12" t="s">
        <v>266</v>
      </c>
      <c r="F1425" s="12" t="s">
        <v>1202</v>
      </c>
      <c r="G1425" s="12">
        <v>6</v>
      </c>
      <c r="H1425" s="12">
        <v>6</v>
      </c>
      <c r="I1425" s="14"/>
      <c r="J1425" s="14" t="s">
        <v>61</v>
      </c>
      <c r="K1425" s="12" t="s">
        <v>1508</v>
      </c>
      <c r="L1425" s="15">
        <v>1</v>
      </c>
      <c r="M1425" s="12" t="s">
        <v>150</v>
      </c>
      <c r="N1425" s="12">
        <v>6</v>
      </c>
      <c r="O1425" s="12">
        <v>6</v>
      </c>
      <c r="P1425" s="12">
        <v>0</v>
      </c>
      <c r="Q1425" s="16">
        <v>6</v>
      </c>
      <c r="R1425" s="16">
        <v>0</v>
      </c>
      <c r="S1425" s="16"/>
      <c r="T1425" s="16" t="e">
        <v>#N/A</v>
      </c>
      <c r="U1425" s="16" t="e">
        <v>#N/A</v>
      </c>
    </row>
    <row r="1426" spans="1:21" x14ac:dyDescent="0.25">
      <c r="A1426" s="12" t="s">
        <v>21</v>
      </c>
      <c r="B1426" s="12" t="s">
        <v>1492</v>
      </c>
      <c r="C1426" s="12" t="s">
        <v>23</v>
      </c>
      <c r="D1426" s="13">
        <v>46273.61005787037</v>
      </c>
      <c r="E1426" s="12" t="s">
        <v>266</v>
      </c>
      <c r="F1426" s="12" t="s">
        <v>559</v>
      </c>
      <c r="G1426" s="12">
        <v>60</v>
      </c>
      <c r="H1426" s="12">
        <v>60</v>
      </c>
      <c r="I1426" s="14"/>
      <c r="J1426" s="14" t="s">
        <v>61</v>
      </c>
      <c r="K1426" s="12" t="s">
        <v>1509</v>
      </c>
      <c r="L1426" s="15">
        <v>1</v>
      </c>
      <c r="M1426" s="12" t="s">
        <v>150</v>
      </c>
      <c r="N1426" s="12">
        <v>60</v>
      </c>
      <c r="O1426" s="12">
        <v>60</v>
      </c>
      <c r="P1426" s="12">
        <v>0</v>
      </c>
      <c r="Q1426" s="16">
        <v>60</v>
      </c>
      <c r="R1426" s="16">
        <v>0</v>
      </c>
      <c r="S1426" s="16"/>
      <c r="T1426" s="16" t="e">
        <v>#N/A</v>
      </c>
      <c r="U1426" s="16" t="e">
        <v>#N/A</v>
      </c>
    </row>
    <row r="1427" spans="1:21" x14ac:dyDescent="0.25">
      <c r="A1427" s="12" t="s">
        <v>21</v>
      </c>
      <c r="B1427" s="12" t="s">
        <v>1492</v>
      </c>
      <c r="C1427" s="12" t="s">
        <v>23</v>
      </c>
      <c r="D1427" s="13">
        <v>46273.61005787037</v>
      </c>
      <c r="E1427" s="12" t="s">
        <v>266</v>
      </c>
      <c r="F1427" s="12" t="s">
        <v>1164</v>
      </c>
      <c r="G1427" s="12">
        <v>15</v>
      </c>
      <c r="H1427" s="12">
        <v>15</v>
      </c>
      <c r="I1427" s="14"/>
      <c r="J1427" s="14" t="s">
        <v>61</v>
      </c>
      <c r="K1427" s="12" t="s">
        <v>1510</v>
      </c>
      <c r="L1427" s="15">
        <v>1</v>
      </c>
      <c r="M1427" s="12" t="s">
        <v>150</v>
      </c>
      <c r="N1427" s="12">
        <v>15</v>
      </c>
      <c r="O1427" s="12">
        <v>15</v>
      </c>
      <c r="P1427" s="12">
        <v>0</v>
      </c>
      <c r="Q1427" s="16">
        <v>15</v>
      </c>
      <c r="R1427" s="16">
        <v>0</v>
      </c>
      <c r="S1427" s="16"/>
      <c r="T1427" s="16" t="e">
        <v>#N/A</v>
      </c>
      <c r="U1427" s="16" t="e">
        <v>#N/A</v>
      </c>
    </row>
    <row r="1428" spans="1:21" x14ac:dyDescent="0.25">
      <c r="A1428" s="12" t="s">
        <v>21</v>
      </c>
      <c r="B1428" s="12" t="s">
        <v>1492</v>
      </c>
      <c r="C1428" s="12" t="s">
        <v>23</v>
      </c>
      <c r="D1428" s="13">
        <v>46273.61005787037</v>
      </c>
      <c r="E1428" s="12" t="s">
        <v>266</v>
      </c>
      <c r="F1428" s="12" t="s">
        <v>346</v>
      </c>
      <c r="G1428" s="12">
        <v>20</v>
      </c>
      <c r="H1428" s="12">
        <v>20</v>
      </c>
      <c r="I1428" s="14"/>
      <c r="J1428" s="14" t="s">
        <v>61</v>
      </c>
      <c r="K1428" s="12" t="s">
        <v>1511</v>
      </c>
      <c r="L1428" s="15">
        <v>1</v>
      </c>
      <c r="M1428" s="12" t="s">
        <v>150</v>
      </c>
      <c r="N1428" s="12">
        <v>20</v>
      </c>
      <c r="O1428" s="12">
        <v>20</v>
      </c>
      <c r="P1428" s="12">
        <v>0</v>
      </c>
      <c r="Q1428" s="16">
        <v>20</v>
      </c>
      <c r="R1428" s="16">
        <v>0</v>
      </c>
      <c r="S1428" s="16"/>
      <c r="T1428" s="16" t="e">
        <v>#N/A</v>
      </c>
      <c r="U1428" s="16" t="e">
        <v>#N/A</v>
      </c>
    </row>
    <row r="1429" spans="1:21" x14ac:dyDescent="0.25">
      <c r="A1429" s="12" t="s">
        <v>21</v>
      </c>
      <c r="B1429" s="12" t="s">
        <v>1492</v>
      </c>
      <c r="C1429" s="12" t="s">
        <v>23</v>
      </c>
      <c r="D1429" s="13">
        <v>46273.61005787037</v>
      </c>
      <c r="E1429" s="12" t="s">
        <v>266</v>
      </c>
      <c r="F1429" s="12" t="s">
        <v>275</v>
      </c>
      <c r="G1429" s="12">
        <v>100</v>
      </c>
      <c r="H1429" s="12">
        <v>100</v>
      </c>
      <c r="I1429" s="14"/>
      <c r="J1429" s="14" t="s">
        <v>61</v>
      </c>
      <c r="K1429" s="12" t="s">
        <v>1512</v>
      </c>
      <c r="L1429" s="15">
        <v>1</v>
      </c>
      <c r="M1429" s="12" t="s">
        <v>150</v>
      </c>
      <c r="N1429" s="12">
        <v>100</v>
      </c>
      <c r="O1429" s="12">
        <v>100</v>
      </c>
      <c r="P1429" s="12">
        <v>0</v>
      </c>
      <c r="Q1429" s="16">
        <v>100</v>
      </c>
      <c r="R1429" s="16">
        <v>0</v>
      </c>
      <c r="S1429" s="16"/>
      <c r="T1429" s="16" t="e">
        <v>#N/A</v>
      </c>
      <c r="U1429" s="16" t="e">
        <v>#N/A</v>
      </c>
    </row>
    <row r="1430" spans="1:21" x14ac:dyDescent="0.25">
      <c r="A1430" s="12" t="s">
        <v>21</v>
      </c>
      <c r="B1430" s="12" t="s">
        <v>1492</v>
      </c>
      <c r="C1430" s="12" t="s">
        <v>23</v>
      </c>
      <c r="D1430" s="13">
        <v>46273.61005787037</v>
      </c>
      <c r="E1430" s="12" t="s">
        <v>266</v>
      </c>
      <c r="F1430" s="12" t="s">
        <v>1166</v>
      </c>
      <c r="G1430" s="12">
        <v>60</v>
      </c>
      <c r="H1430" s="12">
        <v>60</v>
      </c>
      <c r="I1430" s="14"/>
      <c r="J1430" s="14" t="s">
        <v>61</v>
      </c>
      <c r="K1430" s="12" t="s">
        <v>1513</v>
      </c>
      <c r="L1430" s="15">
        <v>1</v>
      </c>
      <c r="M1430" s="12" t="s">
        <v>150</v>
      </c>
      <c r="N1430" s="12">
        <v>60</v>
      </c>
      <c r="O1430" s="12">
        <v>60</v>
      </c>
      <c r="P1430" s="12">
        <v>0</v>
      </c>
      <c r="Q1430" s="16">
        <v>60</v>
      </c>
      <c r="R1430" s="16">
        <v>0</v>
      </c>
      <c r="S1430" s="16"/>
      <c r="T1430" s="16" t="e">
        <v>#N/A</v>
      </c>
      <c r="U1430" s="16" t="e">
        <v>#N/A</v>
      </c>
    </row>
    <row r="1431" spans="1:21" x14ac:dyDescent="0.25">
      <c r="A1431" s="12" t="s">
        <v>21</v>
      </c>
      <c r="B1431" s="12" t="s">
        <v>1492</v>
      </c>
      <c r="C1431" s="12" t="s">
        <v>23</v>
      </c>
      <c r="D1431" s="13">
        <v>46273.61005787037</v>
      </c>
      <c r="E1431" s="12" t="s">
        <v>266</v>
      </c>
      <c r="F1431" s="12" t="s">
        <v>1495</v>
      </c>
      <c r="G1431" s="12">
        <v>20</v>
      </c>
      <c r="H1431" s="12">
        <v>20</v>
      </c>
      <c r="I1431" s="14"/>
      <c r="J1431" s="14" t="s">
        <v>61</v>
      </c>
      <c r="K1431" s="12" t="s">
        <v>1514</v>
      </c>
      <c r="L1431" s="15">
        <v>1</v>
      </c>
      <c r="M1431" s="12" t="s">
        <v>150</v>
      </c>
      <c r="N1431" s="12">
        <v>20</v>
      </c>
      <c r="O1431" s="12">
        <v>20</v>
      </c>
      <c r="P1431" s="12">
        <v>0</v>
      </c>
      <c r="Q1431" s="16">
        <v>20</v>
      </c>
      <c r="R1431" s="16">
        <v>6</v>
      </c>
      <c r="S1431" s="16"/>
      <c r="T1431" s="16" t="e">
        <v>#N/A</v>
      </c>
      <c r="U1431" s="16" t="e">
        <v>#N/A</v>
      </c>
    </row>
    <row r="1432" spans="1:21" x14ac:dyDescent="0.25">
      <c r="A1432" s="12" t="s">
        <v>21</v>
      </c>
      <c r="B1432" s="12" t="s">
        <v>1492</v>
      </c>
      <c r="C1432" s="12" t="s">
        <v>23</v>
      </c>
      <c r="D1432" s="13">
        <v>46273.61005787037</v>
      </c>
      <c r="E1432" s="12" t="s">
        <v>266</v>
      </c>
      <c r="F1432" s="12" t="s">
        <v>955</v>
      </c>
      <c r="G1432" s="12">
        <v>30</v>
      </c>
      <c r="H1432" s="12">
        <v>30</v>
      </c>
      <c r="I1432" s="14"/>
      <c r="J1432" s="14" t="s">
        <v>61</v>
      </c>
      <c r="K1432" s="12" t="s">
        <v>1515</v>
      </c>
      <c r="L1432" s="15">
        <v>1</v>
      </c>
      <c r="M1432" s="12" t="s">
        <v>150</v>
      </c>
      <c r="N1432" s="12">
        <v>30</v>
      </c>
      <c r="O1432" s="12">
        <v>30</v>
      </c>
      <c r="P1432" s="12">
        <v>0</v>
      </c>
      <c r="Q1432" s="16">
        <v>30</v>
      </c>
      <c r="R1432" s="16">
        <v>0</v>
      </c>
      <c r="S1432" s="16"/>
      <c r="T1432" s="16" t="e">
        <v>#N/A</v>
      </c>
      <c r="U1432" s="16" t="e">
        <v>#N/A</v>
      </c>
    </row>
    <row r="1433" spans="1:21" x14ac:dyDescent="0.25">
      <c r="A1433" s="12" t="s">
        <v>21</v>
      </c>
      <c r="B1433" s="12" t="s">
        <v>1492</v>
      </c>
      <c r="C1433" s="12" t="s">
        <v>23</v>
      </c>
      <c r="D1433" s="13">
        <v>46273.61005787037</v>
      </c>
      <c r="E1433" s="12" t="s">
        <v>266</v>
      </c>
      <c r="F1433" s="12" t="s">
        <v>1496</v>
      </c>
      <c r="G1433" s="12">
        <v>24</v>
      </c>
      <c r="H1433" s="12">
        <v>24</v>
      </c>
      <c r="I1433" s="14"/>
      <c r="J1433" s="14" t="s">
        <v>61</v>
      </c>
      <c r="K1433" s="12" t="s">
        <v>1516</v>
      </c>
      <c r="L1433" s="15">
        <v>1</v>
      </c>
      <c r="M1433" s="12" t="s">
        <v>150</v>
      </c>
      <c r="N1433" s="12">
        <v>24</v>
      </c>
      <c r="O1433" s="12">
        <v>24</v>
      </c>
      <c r="P1433" s="12">
        <v>0</v>
      </c>
      <c r="Q1433" s="16">
        <v>24</v>
      </c>
      <c r="R1433" s="16">
        <v>0</v>
      </c>
      <c r="S1433" s="16"/>
      <c r="T1433" s="16" t="e">
        <v>#N/A</v>
      </c>
      <c r="U1433" s="16" t="e">
        <v>#N/A</v>
      </c>
    </row>
    <row r="1434" spans="1:21" x14ac:dyDescent="0.25">
      <c r="A1434" s="12" t="s">
        <v>21</v>
      </c>
      <c r="B1434" s="12" t="s">
        <v>1517</v>
      </c>
      <c r="C1434" s="12" t="s">
        <v>23</v>
      </c>
      <c r="D1434" s="13">
        <v>46273.621770833335</v>
      </c>
      <c r="E1434" s="12" t="s">
        <v>258</v>
      </c>
      <c r="F1434" s="12" t="s">
        <v>1518</v>
      </c>
      <c r="G1434" s="12">
        <v>6</v>
      </c>
      <c r="H1434" s="12">
        <v>6</v>
      </c>
      <c r="I1434" s="14"/>
      <c r="J1434" s="14" t="s">
        <v>61</v>
      </c>
      <c r="K1434" s="12" t="s">
        <v>1519</v>
      </c>
      <c r="L1434" s="15">
        <v>1</v>
      </c>
      <c r="M1434" s="12" t="s">
        <v>150</v>
      </c>
      <c r="N1434" s="12">
        <v>6</v>
      </c>
      <c r="O1434" s="12">
        <v>6</v>
      </c>
      <c r="P1434" s="12">
        <v>0</v>
      </c>
      <c r="Q1434" s="16">
        <v>6</v>
      </c>
      <c r="R1434" s="16">
        <v>0</v>
      </c>
      <c r="S1434" s="16"/>
      <c r="T1434" s="16" t="e">
        <v>#N/A</v>
      </c>
      <c r="U1434" s="16" t="e">
        <v>#N/A</v>
      </c>
    </row>
    <row r="1435" spans="1:21" x14ac:dyDescent="0.25">
      <c r="A1435" s="12" t="s">
        <v>21</v>
      </c>
      <c r="B1435" s="12" t="s">
        <v>1520</v>
      </c>
      <c r="C1435" s="12" t="s">
        <v>23</v>
      </c>
      <c r="D1435" s="13">
        <v>46273.653969907406</v>
      </c>
      <c r="E1435" s="12" t="s">
        <v>69</v>
      </c>
      <c r="F1435" s="12" t="s">
        <v>1521</v>
      </c>
      <c r="G1435" s="12">
        <v>2</v>
      </c>
      <c r="H1435" s="12">
        <v>2</v>
      </c>
      <c r="I1435" s="14"/>
      <c r="J1435" s="14" t="s">
        <v>61</v>
      </c>
      <c r="K1435" s="12" t="s">
        <v>1522</v>
      </c>
      <c r="L1435" s="15">
        <v>1</v>
      </c>
      <c r="M1435" s="12" t="s">
        <v>150</v>
      </c>
      <c r="N1435" s="12">
        <v>2</v>
      </c>
      <c r="O1435" s="12">
        <v>2</v>
      </c>
      <c r="P1435" s="12">
        <v>0</v>
      </c>
      <c r="Q1435" s="16">
        <v>2</v>
      </c>
      <c r="R1435" s="16">
        <v>0</v>
      </c>
      <c r="S1435" s="16"/>
      <c r="T1435" s="16" t="e">
        <v>#N/A</v>
      </c>
      <c r="U1435" s="16" t="e">
        <v>#N/A</v>
      </c>
    </row>
    <row r="1436" spans="1:21" x14ac:dyDescent="0.25">
      <c r="A1436" s="12" t="s">
        <v>21</v>
      </c>
      <c r="B1436" s="12" t="s">
        <v>1523</v>
      </c>
      <c r="C1436" s="12" t="s">
        <v>23</v>
      </c>
      <c r="D1436" s="13">
        <v>46274.287824074076</v>
      </c>
      <c r="E1436" s="12" t="s">
        <v>258</v>
      </c>
      <c r="F1436" s="12" t="s">
        <v>1526</v>
      </c>
      <c r="G1436" s="12">
        <v>30</v>
      </c>
      <c r="H1436" s="12">
        <v>30</v>
      </c>
      <c r="I1436" s="14"/>
      <c r="J1436" s="14" t="s">
        <v>61</v>
      </c>
      <c r="K1436" s="12" t="s">
        <v>1528</v>
      </c>
      <c r="L1436" s="15">
        <v>1</v>
      </c>
      <c r="M1436" s="12" t="s">
        <v>150</v>
      </c>
      <c r="N1436" s="12">
        <v>30</v>
      </c>
      <c r="O1436" s="12">
        <v>30</v>
      </c>
      <c r="P1436" s="12">
        <v>0</v>
      </c>
      <c r="Q1436" s="16">
        <v>30</v>
      </c>
      <c r="R1436" s="16">
        <v>0</v>
      </c>
      <c r="S1436" s="16"/>
      <c r="T1436" s="16" t="e">
        <v>#N/A</v>
      </c>
      <c r="U1436" s="16" t="e">
        <v>#N/A</v>
      </c>
    </row>
    <row r="1437" spans="1:21" x14ac:dyDescent="0.25">
      <c r="A1437" s="12" t="s">
        <v>21</v>
      </c>
      <c r="B1437" s="12" t="s">
        <v>1524</v>
      </c>
      <c r="C1437" s="12" t="s">
        <v>23</v>
      </c>
      <c r="D1437" s="13">
        <v>46274.348136574074</v>
      </c>
      <c r="E1437" s="12" t="s">
        <v>502</v>
      </c>
      <c r="F1437" s="12" t="s">
        <v>1527</v>
      </c>
      <c r="G1437" s="12">
        <v>8</v>
      </c>
      <c r="H1437" s="12">
        <v>8</v>
      </c>
      <c r="I1437" s="14"/>
      <c r="J1437" s="14" t="s">
        <v>61</v>
      </c>
      <c r="K1437" s="12" t="s">
        <v>1529</v>
      </c>
      <c r="L1437" s="15">
        <v>1</v>
      </c>
      <c r="M1437" s="12" t="s">
        <v>150</v>
      </c>
      <c r="N1437" s="12">
        <v>8</v>
      </c>
      <c r="O1437" s="12">
        <v>8</v>
      </c>
      <c r="P1437" s="12">
        <v>0</v>
      </c>
      <c r="Q1437" s="16">
        <v>8</v>
      </c>
      <c r="R1437" s="16">
        <v>0</v>
      </c>
      <c r="S1437" s="16"/>
      <c r="T1437" s="16" t="e">
        <v>#N/A</v>
      </c>
      <c r="U1437" s="16" t="e">
        <v>#N/A</v>
      </c>
    </row>
    <row r="1438" spans="1:21" x14ac:dyDescent="0.25">
      <c r="A1438" s="12" t="s">
        <v>21</v>
      </c>
      <c r="B1438" s="12" t="s">
        <v>1525</v>
      </c>
      <c r="C1438" s="12" t="s">
        <v>23</v>
      </c>
      <c r="D1438" s="13">
        <v>46274.351990740739</v>
      </c>
      <c r="E1438" s="12" t="s">
        <v>484</v>
      </c>
      <c r="F1438" s="12" t="s">
        <v>262</v>
      </c>
      <c r="G1438" s="12">
        <v>4000</v>
      </c>
      <c r="H1438" s="12">
        <v>4000</v>
      </c>
      <c r="I1438" s="14"/>
      <c r="J1438" s="14" t="s">
        <v>26</v>
      </c>
      <c r="K1438" s="12" t="s">
        <v>27</v>
      </c>
      <c r="L1438" s="15"/>
      <c r="M1438" s="12" t="s">
        <v>28</v>
      </c>
      <c r="N1438" s="12"/>
      <c r="O1438" s="12"/>
      <c r="P1438" s="12"/>
      <c r="Q1438" s="16">
        <v>0</v>
      </c>
      <c r="R1438" s="16">
        <v>0</v>
      </c>
      <c r="S1438" s="16">
        <v>500</v>
      </c>
      <c r="T1438" s="16" t="e">
        <v>#N/A</v>
      </c>
      <c r="U1438" s="16" t="e">
        <v>#N/A</v>
      </c>
    </row>
    <row r="1439" spans="1:21" x14ac:dyDescent="0.25">
      <c r="A1439" s="12" t="s">
        <v>21</v>
      </c>
      <c r="B1439" s="12" t="s">
        <v>1530</v>
      </c>
      <c r="C1439" s="12" t="s">
        <v>23</v>
      </c>
      <c r="D1439" s="13">
        <v>46274.377534722225</v>
      </c>
      <c r="E1439" s="12" t="s">
        <v>24</v>
      </c>
      <c r="F1439" s="12" t="s">
        <v>130</v>
      </c>
      <c r="G1439" s="12">
        <v>2000</v>
      </c>
      <c r="H1439" s="12">
        <v>2000</v>
      </c>
      <c r="I1439" s="14"/>
      <c r="J1439" s="14" t="s">
        <v>26</v>
      </c>
      <c r="K1439" s="12" t="s">
        <v>27</v>
      </c>
      <c r="L1439" s="15"/>
      <c r="M1439" s="12" t="s">
        <v>28</v>
      </c>
      <c r="N1439" s="12"/>
      <c r="O1439" s="12"/>
      <c r="P1439" s="12"/>
      <c r="Q1439" s="16">
        <v>0</v>
      </c>
      <c r="R1439" s="16">
        <v>6</v>
      </c>
      <c r="S1439" s="16"/>
      <c r="T1439" s="16" t="e">
        <v>#N/A</v>
      </c>
      <c r="U1439" s="16" t="e">
        <v>#N/A</v>
      </c>
    </row>
    <row r="1440" spans="1:21" x14ac:dyDescent="0.25">
      <c r="A1440" s="12" t="s">
        <v>21</v>
      </c>
      <c r="B1440" s="12" t="s">
        <v>1530</v>
      </c>
      <c r="C1440" s="12" t="s">
        <v>23</v>
      </c>
      <c r="D1440" s="13">
        <v>46274.377534722225</v>
      </c>
      <c r="E1440" s="12" t="s">
        <v>24</v>
      </c>
      <c r="F1440" s="12" t="s">
        <v>134</v>
      </c>
      <c r="G1440" s="12">
        <v>400</v>
      </c>
      <c r="H1440" s="12">
        <v>400</v>
      </c>
      <c r="I1440" s="14"/>
      <c r="J1440" s="14" t="s">
        <v>26</v>
      </c>
      <c r="K1440" s="12" t="s">
        <v>27</v>
      </c>
      <c r="L1440" s="15"/>
      <c r="M1440" s="12" t="s">
        <v>28</v>
      </c>
      <c r="N1440" s="12"/>
      <c r="O1440" s="12"/>
      <c r="P1440" s="12"/>
      <c r="Q1440" s="16">
        <v>0</v>
      </c>
      <c r="R1440" s="16">
        <v>6</v>
      </c>
      <c r="S1440" s="16"/>
      <c r="T1440" s="16" t="e">
        <v>#N/A</v>
      </c>
      <c r="U1440" s="16" t="e">
        <v>#N/A</v>
      </c>
    </row>
    <row r="1441" spans="1:21" x14ac:dyDescent="0.25">
      <c r="A1441" s="12" t="s">
        <v>21</v>
      </c>
      <c r="B1441" s="12" t="s">
        <v>1531</v>
      </c>
      <c r="C1441" s="12" t="s">
        <v>23</v>
      </c>
      <c r="D1441" s="13">
        <v>46274.508414351854</v>
      </c>
      <c r="E1441" s="12" t="s">
        <v>1466</v>
      </c>
      <c r="F1441" s="12" t="s">
        <v>1532</v>
      </c>
      <c r="G1441" s="12">
        <v>150</v>
      </c>
      <c r="H1441" s="12">
        <v>150</v>
      </c>
      <c r="I1441" s="14"/>
      <c r="J1441" s="14" t="s">
        <v>26</v>
      </c>
      <c r="K1441" s="12" t="s">
        <v>1533</v>
      </c>
      <c r="L1441" s="15">
        <v>1</v>
      </c>
      <c r="M1441" s="12" t="s">
        <v>150</v>
      </c>
      <c r="N1441" s="12">
        <v>150</v>
      </c>
      <c r="O1441" s="12">
        <v>150</v>
      </c>
      <c r="P1441" s="12">
        <v>0</v>
      </c>
      <c r="Q1441" s="16">
        <v>0</v>
      </c>
      <c r="R1441" s="16">
        <v>0</v>
      </c>
      <c r="S1441" s="16"/>
      <c r="T1441" s="16" t="e">
        <v>#N/A</v>
      </c>
      <c r="U1441" s="16" t="e">
        <v>#N/A</v>
      </c>
    </row>
    <row r="1442" spans="1:21" x14ac:dyDescent="0.25">
      <c r="A1442" s="12" t="s">
        <v>21</v>
      </c>
      <c r="B1442" s="12" t="s">
        <v>1534</v>
      </c>
      <c r="C1442" s="12" t="s">
        <v>23</v>
      </c>
      <c r="D1442" s="13">
        <v>46274.525567129633</v>
      </c>
      <c r="E1442" s="12" t="s">
        <v>1536</v>
      </c>
      <c r="F1442" s="12" t="s">
        <v>527</v>
      </c>
      <c r="G1442" s="12">
        <v>600</v>
      </c>
      <c r="H1442" s="12">
        <v>600</v>
      </c>
      <c r="I1442" s="14"/>
      <c r="J1442" s="14" t="s">
        <v>26</v>
      </c>
      <c r="K1442" s="12" t="s">
        <v>27</v>
      </c>
      <c r="L1442" s="15"/>
      <c r="M1442" s="12" t="s">
        <v>28</v>
      </c>
      <c r="N1442" s="12"/>
      <c r="O1442" s="12"/>
      <c r="P1442" s="12"/>
      <c r="Q1442" s="16">
        <v>0</v>
      </c>
      <c r="R1442" s="16">
        <v>0</v>
      </c>
      <c r="S1442" s="16"/>
      <c r="T1442" s="16" t="e">
        <v>#N/A</v>
      </c>
      <c r="U1442" s="16" t="e">
        <v>#N/A</v>
      </c>
    </row>
    <row r="1443" spans="1:21" x14ac:dyDescent="0.25">
      <c r="A1443" s="12" t="s">
        <v>21</v>
      </c>
      <c r="B1443" s="12" t="s">
        <v>1535</v>
      </c>
      <c r="C1443" s="12" t="s">
        <v>23</v>
      </c>
      <c r="D1443" s="13">
        <v>46274.537615740737</v>
      </c>
      <c r="E1443" s="12" t="s">
        <v>398</v>
      </c>
      <c r="F1443" s="12" t="s">
        <v>354</v>
      </c>
      <c r="G1443" s="12">
        <v>12</v>
      </c>
      <c r="H1443" s="12">
        <v>12</v>
      </c>
      <c r="I1443" s="14"/>
      <c r="J1443" s="14" t="s">
        <v>61</v>
      </c>
      <c r="K1443" s="12" t="s">
        <v>1537</v>
      </c>
      <c r="L1443" s="15">
        <v>1</v>
      </c>
      <c r="M1443" s="12" t="s">
        <v>150</v>
      </c>
      <c r="N1443" s="12">
        <v>12</v>
      </c>
      <c r="O1443" s="12">
        <v>12</v>
      </c>
      <c r="P1443" s="12">
        <v>0</v>
      </c>
      <c r="Q1443" s="16">
        <v>12</v>
      </c>
      <c r="R1443" s="16">
        <v>0</v>
      </c>
      <c r="S1443" s="16"/>
      <c r="T1443" s="16" t="e">
        <v>#N/A</v>
      </c>
      <c r="U1443" s="16" t="e">
        <v>#N/A</v>
      </c>
    </row>
    <row r="1444" spans="1:21" x14ac:dyDescent="0.25">
      <c r="A1444" s="12" t="s">
        <v>21</v>
      </c>
      <c r="B1444" s="12" t="s">
        <v>1535</v>
      </c>
      <c r="C1444" s="12" t="s">
        <v>23</v>
      </c>
      <c r="D1444" s="13">
        <v>46274.537615740737</v>
      </c>
      <c r="E1444" s="12" t="s">
        <v>398</v>
      </c>
      <c r="F1444" s="12" t="s">
        <v>261</v>
      </c>
      <c r="G1444" s="12">
        <v>24</v>
      </c>
      <c r="H1444" s="12">
        <v>24</v>
      </c>
      <c r="I1444" s="14"/>
      <c r="J1444" s="14" t="s">
        <v>61</v>
      </c>
      <c r="K1444" s="12" t="s">
        <v>1538</v>
      </c>
      <c r="L1444" s="15">
        <v>1</v>
      </c>
      <c r="M1444" s="12" t="s">
        <v>150</v>
      </c>
      <c r="N1444" s="12">
        <v>24</v>
      </c>
      <c r="O1444" s="12">
        <v>24</v>
      </c>
      <c r="P1444" s="12">
        <v>0</v>
      </c>
      <c r="Q1444" s="16">
        <v>24</v>
      </c>
      <c r="R1444" s="16">
        <v>0</v>
      </c>
      <c r="S1444" s="16"/>
      <c r="T1444" s="16" t="e">
        <v>#N/A</v>
      </c>
      <c r="U1444" s="16" t="e">
        <v>#N/A</v>
      </c>
    </row>
    <row r="1445" spans="1:21" x14ac:dyDescent="0.25">
      <c r="A1445" s="12" t="s">
        <v>21</v>
      </c>
      <c r="B1445" s="12" t="s">
        <v>1535</v>
      </c>
      <c r="C1445" s="12" t="s">
        <v>23</v>
      </c>
      <c r="D1445" s="13">
        <v>46274.537615740737</v>
      </c>
      <c r="E1445" s="12" t="s">
        <v>398</v>
      </c>
      <c r="F1445" s="12" t="s">
        <v>374</v>
      </c>
      <c r="G1445" s="12">
        <v>20</v>
      </c>
      <c r="H1445" s="12">
        <v>20</v>
      </c>
      <c r="I1445" s="14"/>
      <c r="J1445" s="14" t="s">
        <v>61</v>
      </c>
      <c r="K1445" s="12" t="s">
        <v>1539</v>
      </c>
      <c r="L1445" s="15">
        <v>1</v>
      </c>
      <c r="M1445" s="12" t="s">
        <v>150</v>
      </c>
      <c r="N1445" s="12">
        <v>20</v>
      </c>
      <c r="O1445" s="12">
        <v>20</v>
      </c>
      <c r="P1445" s="12">
        <v>0</v>
      </c>
      <c r="Q1445" s="16">
        <v>20</v>
      </c>
      <c r="R1445" s="16">
        <v>0</v>
      </c>
      <c r="S1445" s="16"/>
      <c r="T1445" s="16" t="e">
        <v>#N/A</v>
      </c>
      <c r="U1445" s="16" t="e">
        <v>#N/A</v>
      </c>
    </row>
    <row r="1446" spans="1:21" x14ac:dyDescent="0.25">
      <c r="A1446" s="12" t="s">
        <v>21</v>
      </c>
      <c r="B1446" s="12" t="s">
        <v>1535</v>
      </c>
      <c r="C1446" s="12" t="s">
        <v>23</v>
      </c>
      <c r="D1446" s="13">
        <v>46274.537615740737</v>
      </c>
      <c r="E1446" s="12" t="s">
        <v>398</v>
      </c>
      <c r="F1446" s="12" t="s">
        <v>70</v>
      </c>
      <c r="G1446" s="12">
        <v>120</v>
      </c>
      <c r="H1446" s="12">
        <v>120</v>
      </c>
      <c r="I1446" s="14"/>
      <c r="J1446" s="14" t="s">
        <v>61</v>
      </c>
      <c r="K1446" s="12" t="s">
        <v>1540</v>
      </c>
      <c r="L1446" s="15">
        <v>1</v>
      </c>
      <c r="M1446" s="12" t="s">
        <v>150</v>
      </c>
      <c r="N1446" s="12">
        <v>120</v>
      </c>
      <c r="O1446" s="12">
        <v>120</v>
      </c>
      <c r="P1446" s="12">
        <v>0</v>
      </c>
      <c r="Q1446" s="16">
        <v>120</v>
      </c>
      <c r="R1446" s="16">
        <v>0</v>
      </c>
      <c r="S1446" s="16"/>
      <c r="T1446" s="16" t="e">
        <v>#N/A</v>
      </c>
      <c r="U1446" s="16" t="e">
        <v>#N/A</v>
      </c>
    </row>
    <row r="1447" spans="1:21" x14ac:dyDescent="0.25">
      <c r="A1447" s="12" t="s">
        <v>21</v>
      </c>
      <c r="B1447" s="12" t="s">
        <v>1535</v>
      </c>
      <c r="C1447" s="12" t="s">
        <v>23</v>
      </c>
      <c r="D1447" s="13">
        <v>46274.537615740737</v>
      </c>
      <c r="E1447" s="12" t="s">
        <v>398</v>
      </c>
      <c r="F1447" s="12" t="s">
        <v>71</v>
      </c>
      <c r="G1447" s="12">
        <v>100</v>
      </c>
      <c r="H1447" s="12">
        <v>100</v>
      </c>
      <c r="I1447" s="14"/>
      <c r="J1447" s="14" t="s">
        <v>61</v>
      </c>
      <c r="K1447" s="12" t="s">
        <v>1541</v>
      </c>
      <c r="L1447" s="15">
        <v>1</v>
      </c>
      <c r="M1447" s="12" t="s">
        <v>150</v>
      </c>
      <c r="N1447" s="12">
        <v>100</v>
      </c>
      <c r="O1447" s="12">
        <v>100</v>
      </c>
      <c r="P1447" s="12">
        <v>0</v>
      </c>
      <c r="Q1447" s="16">
        <v>120</v>
      </c>
      <c r="R1447" s="16">
        <v>0</v>
      </c>
      <c r="S1447" s="16"/>
      <c r="T1447" s="16" t="e">
        <v>#N/A</v>
      </c>
      <c r="U1447" s="16" t="e">
        <v>#N/A</v>
      </c>
    </row>
    <row r="1448" spans="1:21" x14ac:dyDescent="0.25">
      <c r="A1448" s="12" t="s">
        <v>21</v>
      </c>
      <c r="B1448" s="12" t="s">
        <v>1535</v>
      </c>
      <c r="C1448" s="12" t="s">
        <v>23</v>
      </c>
      <c r="D1448" s="13">
        <v>46274.537615740737</v>
      </c>
      <c r="E1448" s="12" t="s">
        <v>398</v>
      </c>
      <c r="F1448" s="12" t="s">
        <v>558</v>
      </c>
      <c r="G1448" s="12">
        <v>20</v>
      </c>
      <c r="H1448" s="12">
        <v>20</v>
      </c>
      <c r="I1448" s="14"/>
      <c r="J1448" s="14" t="s">
        <v>61</v>
      </c>
      <c r="K1448" s="12" t="s">
        <v>1542</v>
      </c>
      <c r="L1448" s="15">
        <v>1</v>
      </c>
      <c r="M1448" s="12" t="s">
        <v>150</v>
      </c>
      <c r="N1448" s="12">
        <v>20</v>
      </c>
      <c r="O1448" s="12">
        <v>20</v>
      </c>
      <c r="P1448" s="12">
        <v>0</v>
      </c>
      <c r="Q1448" s="16">
        <v>120</v>
      </c>
      <c r="R1448" s="16">
        <v>0</v>
      </c>
      <c r="S1448" s="16"/>
      <c r="T1448" s="16" t="e">
        <v>#N/A</v>
      </c>
      <c r="U1448" s="16" t="e">
        <v>#N/A</v>
      </c>
    </row>
    <row r="1449" spans="1:21" x14ac:dyDescent="0.25">
      <c r="A1449" s="12" t="s">
        <v>21</v>
      </c>
      <c r="B1449" s="12" t="s">
        <v>1535</v>
      </c>
      <c r="C1449" s="12" t="s">
        <v>23</v>
      </c>
      <c r="D1449" s="13">
        <v>46274.537615740737</v>
      </c>
      <c r="E1449" s="12" t="s">
        <v>398</v>
      </c>
      <c r="F1449" s="12" t="s">
        <v>924</v>
      </c>
      <c r="G1449" s="12">
        <v>20</v>
      </c>
      <c r="H1449" s="12">
        <v>20</v>
      </c>
      <c r="I1449" s="14"/>
      <c r="J1449" s="14" t="s">
        <v>61</v>
      </c>
      <c r="K1449" s="12" t="s">
        <v>1543</v>
      </c>
      <c r="L1449" s="15">
        <v>1</v>
      </c>
      <c r="M1449" s="12" t="s">
        <v>150</v>
      </c>
      <c r="N1449" s="12">
        <v>20</v>
      </c>
      <c r="O1449" s="12">
        <v>20</v>
      </c>
      <c r="P1449" s="12">
        <v>0</v>
      </c>
      <c r="Q1449" s="16">
        <v>20</v>
      </c>
      <c r="R1449" s="16">
        <v>0</v>
      </c>
      <c r="S1449" s="16"/>
      <c r="T1449" s="16" t="e">
        <v>#N/A</v>
      </c>
      <c r="U1449" s="16" t="e">
        <v>#N/A</v>
      </c>
    </row>
    <row r="1450" spans="1:21" x14ac:dyDescent="0.25">
      <c r="A1450" s="12" t="s">
        <v>21</v>
      </c>
      <c r="B1450" s="12" t="s">
        <v>1535</v>
      </c>
      <c r="C1450" s="12" t="s">
        <v>23</v>
      </c>
      <c r="D1450" s="13">
        <v>46274.537615740737</v>
      </c>
      <c r="E1450" s="12" t="s">
        <v>398</v>
      </c>
      <c r="F1450" s="12" t="s">
        <v>1335</v>
      </c>
      <c r="G1450" s="12">
        <v>20</v>
      </c>
      <c r="H1450" s="12">
        <v>20</v>
      </c>
      <c r="I1450" s="14"/>
      <c r="J1450" s="14" t="s">
        <v>61</v>
      </c>
      <c r="K1450" s="12" t="s">
        <v>1544</v>
      </c>
      <c r="L1450" s="15">
        <v>1</v>
      </c>
      <c r="M1450" s="12" t="s">
        <v>150</v>
      </c>
      <c r="N1450" s="12">
        <v>20</v>
      </c>
      <c r="O1450" s="12">
        <v>20</v>
      </c>
      <c r="P1450" s="12">
        <v>0</v>
      </c>
      <c r="Q1450" s="16">
        <v>20</v>
      </c>
      <c r="R1450" s="16">
        <v>0</v>
      </c>
      <c r="S1450" s="16"/>
      <c r="T1450" s="16" t="e">
        <v>#N/A</v>
      </c>
      <c r="U1450" s="16" t="e">
        <v>#N/A</v>
      </c>
    </row>
    <row r="1451" spans="1:21" x14ac:dyDescent="0.25">
      <c r="A1451" s="12" t="s">
        <v>21</v>
      </c>
      <c r="B1451" s="12" t="s">
        <v>1535</v>
      </c>
      <c r="C1451" s="12" t="s">
        <v>23</v>
      </c>
      <c r="D1451" s="13">
        <v>46274.537615740737</v>
      </c>
      <c r="E1451" s="12" t="s">
        <v>398</v>
      </c>
      <c r="F1451" s="12" t="s">
        <v>525</v>
      </c>
      <c r="G1451" s="12">
        <v>28</v>
      </c>
      <c r="H1451" s="12">
        <v>28</v>
      </c>
      <c r="I1451" s="14"/>
      <c r="J1451" s="14" t="s">
        <v>61</v>
      </c>
      <c r="K1451" s="12" t="s">
        <v>1545</v>
      </c>
      <c r="L1451" s="15">
        <v>1</v>
      </c>
      <c r="M1451" s="12" t="s">
        <v>150</v>
      </c>
      <c r="N1451" s="12">
        <v>28</v>
      </c>
      <c r="O1451" s="12">
        <v>28</v>
      </c>
      <c r="P1451" s="12">
        <v>0</v>
      </c>
      <c r="Q1451" s="16">
        <v>28</v>
      </c>
      <c r="R1451" s="16">
        <v>0</v>
      </c>
      <c r="S1451" s="16"/>
      <c r="T1451" s="16" t="e">
        <v>#N/A</v>
      </c>
      <c r="U1451" s="16" t="e">
        <v>#N/A</v>
      </c>
    </row>
    <row r="1452" spans="1:21" x14ac:dyDescent="0.25">
      <c r="A1452" s="12" t="s">
        <v>21</v>
      </c>
      <c r="B1452" s="12" t="s">
        <v>1535</v>
      </c>
      <c r="C1452" s="12" t="s">
        <v>23</v>
      </c>
      <c r="D1452" s="13">
        <v>46274.537615740737</v>
      </c>
      <c r="E1452" s="12" t="s">
        <v>398</v>
      </c>
      <c r="F1452" s="12" t="s">
        <v>162</v>
      </c>
      <c r="G1452" s="12">
        <v>20</v>
      </c>
      <c r="H1452" s="12">
        <v>20</v>
      </c>
      <c r="I1452" s="14"/>
      <c r="J1452" s="14" t="s">
        <v>26</v>
      </c>
      <c r="K1452" s="12" t="s">
        <v>27</v>
      </c>
      <c r="L1452" s="15"/>
      <c r="M1452" s="12" t="s">
        <v>28</v>
      </c>
      <c r="N1452" s="12"/>
      <c r="O1452" s="12"/>
      <c r="P1452" s="12"/>
      <c r="Q1452" s="16">
        <v>0</v>
      </c>
      <c r="R1452" s="16">
        <v>0</v>
      </c>
      <c r="S1452" s="16"/>
      <c r="T1452" s="16" t="e">
        <v>#N/A</v>
      </c>
      <c r="U1452" s="16" t="e">
        <v>#N/A</v>
      </c>
    </row>
    <row r="1453" spans="1:21" x14ac:dyDescent="0.25">
      <c r="A1453" s="12" t="s">
        <v>21</v>
      </c>
      <c r="B1453" s="12" t="s">
        <v>1535</v>
      </c>
      <c r="C1453" s="12" t="s">
        <v>23</v>
      </c>
      <c r="D1453" s="13">
        <v>46274.537615740737</v>
      </c>
      <c r="E1453" s="12" t="s">
        <v>398</v>
      </c>
      <c r="F1453" s="12" t="s">
        <v>454</v>
      </c>
      <c r="G1453" s="12">
        <v>60</v>
      </c>
      <c r="H1453" s="12">
        <v>60</v>
      </c>
      <c r="I1453" s="14"/>
      <c r="J1453" s="14" t="s">
        <v>61</v>
      </c>
      <c r="K1453" s="12" t="s">
        <v>1546</v>
      </c>
      <c r="L1453" s="15">
        <v>1</v>
      </c>
      <c r="M1453" s="12" t="s">
        <v>150</v>
      </c>
      <c r="N1453" s="12">
        <v>60</v>
      </c>
      <c r="O1453" s="12">
        <v>60</v>
      </c>
      <c r="P1453" s="12">
        <v>0</v>
      </c>
      <c r="Q1453" s="16">
        <v>60</v>
      </c>
      <c r="R1453" s="16">
        <v>0</v>
      </c>
      <c r="S1453" s="16"/>
      <c r="T1453" s="16" t="e">
        <v>#N/A</v>
      </c>
      <c r="U1453" s="16" t="e">
        <v>#N/A</v>
      </c>
    </row>
    <row r="1454" spans="1:21" x14ac:dyDescent="0.25">
      <c r="A1454" s="12" t="s">
        <v>21</v>
      </c>
      <c r="B1454" s="12" t="s">
        <v>1535</v>
      </c>
      <c r="C1454" s="12" t="s">
        <v>23</v>
      </c>
      <c r="D1454" s="13">
        <v>46274.537615740737</v>
      </c>
      <c r="E1454" s="12" t="s">
        <v>398</v>
      </c>
      <c r="F1454" s="12" t="s">
        <v>252</v>
      </c>
      <c r="G1454" s="12">
        <v>10</v>
      </c>
      <c r="H1454" s="12">
        <v>10</v>
      </c>
      <c r="I1454" s="14"/>
      <c r="J1454" s="14" t="s">
        <v>26</v>
      </c>
      <c r="K1454" s="12" t="s">
        <v>27</v>
      </c>
      <c r="L1454" s="15"/>
      <c r="M1454" s="12" t="s">
        <v>28</v>
      </c>
      <c r="N1454" s="12"/>
      <c r="O1454" s="12"/>
      <c r="P1454" s="12"/>
      <c r="Q1454" s="16">
        <v>0</v>
      </c>
      <c r="R1454" s="16">
        <v>0</v>
      </c>
      <c r="S1454" s="16"/>
      <c r="T1454" s="16" t="e">
        <v>#N/A</v>
      </c>
      <c r="U1454" s="16" t="e">
        <v>#N/A</v>
      </c>
    </row>
    <row r="1455" spans="1:21" x14ac:dyDescent="0.25">
      <c r="A1455" s="12" t="s">
        <v>21</v>
      </c>
      <c r="B1455" s="12" t="s">
        <v>1535</v>
      </c>
      <c r="C1455" s="12" t="s">
        <v>23</v>
      </c>
      <c r="D1455" s="13">
        <v>46274.537615740737</v>
      </c>
      <c r="E1455" s="12" t="s">
        <v>398</v>
      </c>
      <c r="F1455" s="12" t="s">
        <v>252</v>
      </c>
      <c r="G1455" s="12">
        <v>10</v>
      </c>
      <c r="H1455" s="12">
        <v>10</v>
      </c>
      <c r="I1455" s="14"/>
      <c r="J1455" s="14" t="s">
        <v>26</v>
      </c>
      <c r="K1455" s="12" t="s">
        <v>27</v>
      </c>
      <c r="L1455" s="15"/>
      <c r="M1455" s="12" t="s">
        <v>28</v>
      </c>
      <c r="N1455" s="12"/>
      <c r="O1455" s="12"/>
      <c r="P1455" s="12"/>
      <c r="Q1455" s="16">
        <v>0</v>
      </c>
      <c r="R1455" s="16">
        <v>0</v>
      </c>
      <c r="S1455" s="16"/>
      <c r="T1455" s="16" t="e">
        <v>#N/A</v>
      </c>
      <c r="U1455" s="16" t="e">
        <v>#N/A</v>
      </c>
    </row>
    <row r="1456" spans="1:21" x14ac:dyDescent="0.25">
      <c r="A1456" s="12" t="s">
        <v>21</v>
      </c>
      <c r="B1456" s="12" t="s">
        <v>1535</v>
      </c>
      <c r="C1456" s="12" t="s">
        <v>23</v>
      </c>
      <c r="D1456" s="13">
        <v>46274.537615740737</v>
      </c>
      <c r="E1456" s="12" t="s">
        <v>398</v>
      </c>
      <c r="F1456" s="12" t="s">
        <v>443</v>
      </c>
      <c r="G1456" s="12">
        <v>20</v>
      </c>
      <c r="H1456" s="12">
        <v>20</v>
      </c>
      <c r="I1456" s="14"/>
      <c r="J1456" s="14" t="s">
        <v>61</v>
      </c>
      <c r="K1456" s="12" t="s">
        <v>1547</v>
      </c>
      <c r="L1456" s="15">
        <v>1</v>
      </c>
      <c r="M1456" s="12" t="s">
        <v>150</v>
      </c>
      <c r="N1456" s="12">
        <v>20</v>
      </c>
      <c r="O1456" s="12">
        <v>20</v>
      </c>
      <c r="P1456" s="12">
        <v>0</v>
      </c>
      <c r="Q1456" s="16">
        <v>20</v>
      </c>
      <c r="R1456" s="16">
        <v>0</v>
      </c>
      <c r="S1456" s="16"/>
      <c r="T1456" s="16" t="e">
        <v>#N/A</v>
      </c>
      <c r="U1456" s="16" t="e">
        <v>#N/A</v>
      </c>
    </row>
    <row r="1457" spans="1:21" x14ac:dyDescent="0.25">
      <c r="A1457" s="12" t="s">
        <v>21</v>
      </c>
      <c r="B1457" s="12" t="s">
        <v>1535</v>
      </c>
      <c r="C1457" s="12" t="s">
        <v>23</v>
      </c>
      <c r="D1457" s="13">
        <v>46274.537615740737</v>
      </c>
      <c r="E1457" s="12" t="s">
        <v>398</v>
      </c>
      <c r="F1457" s="12" t="s">
        <v>320</v>
      </c>
      <c r="G1457" s="12">
        <v>100</v>
      </c>
      <c r="H1457" s="12">
        <v>100</v>
      </c>
      <c r="I1457" s="14"/>
      <c r="J1457" s="14" t="s">
        <v>61</v>
      </c>
      <c r="K1457" s="12" t="s">
        <v>1548</v>
      </c>
      <c r="L1457" s="15">
        <v>1</v>
      </c>
      <c r="M1457" s="12" t="s">
        <v>150</v>
      </c>
      <c r="N1457" s="12">
        <v>100</v>
      </c>
      <c r="O1457" s="12">
        <v>100</v>
      </c>
      <c r="P1457" s="12">
        <v>0</v>
      </c>
      <c r="Q1457" s="16">
        <v>100</v>
      </c>
      <c r="R1457" s="16">
        <v>1</v>
      </c>
      <c r="S1457" s="16"/>
      <c r="T1457" s="16" t="e">
        <v>#N/A</v>
      </c>
      <c r="U1457" s="16" t="e">
        <v>#N/A</v>
      </c>
    </row>
    <row r="1458" spans="1:21" x14ac:dyDescent="0.25">
      <c r="A1458" s="12" t="s">
        <v>21</v>
      </c>
      <c r="B1458" s="12" t="s">
        <v>1549</v>
      </c>
      <c r="C1458" s="12" t="s">
        <v>23</v>
      </c>
      <c r="D1458" s="13">
        <v>46274.600347222222</v>
      </c>
      <c r="E1458" s="12" t="s">
        <v>465</v>
      </c>
      <c r="F1458" s="12" t="s">
        <v>668</v>
      </c>
      <c r="G1458" s="12">
        <v>15</v>
      </c>
      <c r="H1458" s="12">
        <v>15</v>
      </c>
      <c r="I1458" s="14"/>
      <c r="J1458" s="14" t="s">
        <v>61</v>
      </c>
      <c r="K1458" s="12" t="s">
        <v>1550</v>
      </c>
      <c r="L1458" s="15">
        <v>1</v>
      </c>
      <c r="M1458" s="12" t="s">
        <v>150</v>
      </c>
      <c r="N1458" s="12">
        <v>15</v>
      </c>
      <c r="O1458" s="12">
        <v>15</v>
      </c>
      <c r="P1458" s="12">
        <v>0</v>
      </c>
      <c r="Q1458" s="16">
        <v>15</v>
      </c>
      <c r="R1458" s="16">
        <v>0</v>
      </c>
      <c r="S1458" s="16"/>
      <c r="T1458" s="16" t="e">
        <v>#N/A</v>
      </c>
      <c r="U1458" s="16" t="e">
        <v>#N/A</v>
      </c>
    </row>
    <row r="1459" spans="1:21" x14ac:dyDescent="0.25">
      <c r="A1459" s="12" t="s">
        <v>21</v>
      </c>
      <c r="B1459" s="12" t="s">
        <v>1549</v>
      </c>
      <c r="C1459" s="12" t="s">
        <v>23</v>
      </c>
      <c r="D1459" s="13">
        <v>46274.600347222222</v>
      </c>
      <c r="E1459" s="12" t="s">
        <v>465</v>
      </c>
      <c r="F1459" s="12" t="s">
        <v>157</v>
      </c>
      <c r="G1459" s="12">
        <v>30</v>
      </c>
      <c r="H1459" s="12">
        <v>30</v>
      </c>
      <c r="I1459" s="14"/>
      <c r="J1459" s="14" t="s">
        <v>61</v>
      </c>
      <c r="K1459" s="12" t="s">
        <v>27</v>
      </c>
      <c r="L1459" s="15"/>
      <c r="M1459" s="12" t="s">
        <v>28</v>
      </c>
      <c r="N1459" s="12"/>
      <c r="O1459" s="12"/>
      <c r="P1459" s="12"/>
      <c r="Q1459" s="16">
        <v>15</v>
      </c>
      <c r="R1459" s="16">
        <v>0</v>
      </c>
      <c r="S1459" s="16"/>
      <c r="T1459" s="16" t="e">
        <v>#N/A</v>
      </c>
      <c r="U1459" s="16" t="e">
        <v>#N/A</v>
      </c>
    </row>
    <row r="1460" spans="1:21" x14ac:dyDescent="0.25">
      <c r="A1460" s="12" t="s">
        <v>21</v>
      </c>
      <c r="B1460" s="12" t="s">
        <v>1549</v>
      </c>
      <c r="C1460" s="12" t="s">
        <v>23</v>
      </c>
      <c r="D1460" s="13">
        <v>46274.600347222222</v>
      </c>
      <c r="E1460" s="12" t="s">
        <v>465</v>
      </c>
      <c r="F1460" s="12" t="s">
        <v>245</v>
      </c>
      <c r="G1460" s="12">
        <v>40</v>
      </c>
      <c r="H1460" s="12">
        <v>40</v>
      </c>
      <c r="I1460" s="14"/>
      <c r="J1460" s="14" t="s">
        <v>61</v>
      </c>
      <c r="K1460" s="12" t="s">
        <v>1551</v>
      </c>
      <c r="L1460" s="15">
        <v>1</v>
      </c>
      <c r="M1460" s="12" t="s">
        <v>150</v>
      </c>
      <c r="N1460" s="12">
        <v>40</v>
      </c>
      <c r="O1460" s="12">
        <v>40</v>
      </c>
      <c r="P1460" s="12">
        <v>0</v>
      </c>
      <c r="Q1460" s="16">
        <v>40</v>
      </c>
      <c r="R1460" s="16">
        <v>0</v>
      </c>
      <c r="S1460" s="16"/>
      <c r="T1460" s="16" t="e">
        <v>#N/A</v>
      </c>
      <c r="U1460" s="16" t="e">
        <v>#N/A</v>
      </c>
    </row>
    <row r="1461" spans="1:21" x14ac:dyDescent="0.25">
      <c r="A1461" s="12" t="s">
        <v>21</v>
      </c>
      <c r="B1461" s="12" t="s">
        <v>1549</v>
      </c>
      <c r="C1461" s="12" t="s">
        <v>23</v>
      </c>
      <c r="D1461" s="13">
        <v>46274.600347222222</v>
      </c>
      <c r="E1461" s="12" t="s">
        <v>465</v>
      </c>
      <c r="F1461" s="12" t="s">
        <v>159</v>
      </c>
      <c r="G1461" s="12">
        <v>30</v>
      </c>
      <c r="H1461" s="12">
        <v>30</v>
      </c>
      <c r="I1461" s="14"/>
      <c r="J1461" s="14" t="s">
        <v>26</v>
      </c>
      <c r="K1461" s="12" t="s">
        <v>27</v>
      </c>
      <c r="L1461" s="15"/>
      <c r="M1461" s="12" t="s">
        <v>28</v>
      </c>
      <c r="N1461" s="12"/>
      <c r="O1461" s="12"/>
      <c r="P1461" s="12"/>
      <c r="Q1461" s="16">
        <v>0</v>
      </c>
      <c r="R1461" s="16">
        <v>0</v>
      </c>
      <c r="S1461" s="16"/>
      <c r="T1461" s="16" t="e">
        <v>#N/A</v>
      </c>
      <c r="U1461" s="16" t="e">
        <v>#N/A</v>
      </c>
    </row>
    <row r="1462" spans="1:21" x14ac:dyDescent="0.25">
      <c r="A1462" s="12" t="s">
        <v>21</v>
      </c>
      <c r="B1462" s="12" t="s">
        <v>1549</v>
      </c>
      <c r="C1462" s="12" t="s">
        <v>23</v>
      </c>
      <c r="D1462" s="13">
        <v>46274.600347222222</v>
      </c>
      <c r="E1462" s="12" t="s">
        <v>465</v>
      </c>
      <c r="F1462" s="12" t="s">
        <v>354</v>
      </c>
      <c r="G1462" s="12">
        <v>28</v>
      </c>
      <c r="H1462" s="12">
        <v>28</v>
      </c>
      <c r="I1462" s="14"/>
      <c r="J1462" s="14" t="s">
        <v>61</v>
      </c>
      <c r="K1462" s="12" t="s">
        <v>27</v>
      </c>
      <c r="L1462" s="15"/>
      <c r="M1462" s="12" t="s">
        <v>28</v>
      </c>
      <c r="N1462" s="12"/>
      <c r="O1462" s="12"/>
      <c r="P1462" s="12"/>
      <c r="Q1462" s="16">
        <v>12</v>
      </c>
      <c r="R1462" s="16">
        <v>0</v>
      </c>
      <c r="S1462" s="16"/>
      <c r="T1462" s="16" t="e">
        <v>#N/A</v>
      </c>
      <c r="U1462" s="16" t="e">
        <v>#N/A</v>
      </c>
    </row>
    <row r="1463" spans="1:21" x14ac:dyDescent="0.25">
      <c r="A1463" s="12" t="s">
        <v>21</v>
      </c>
      <c r="B1463" s="12" t="s">
        <v>1549</v>
      </c>
      <c r="C1463" s="12" t="s">
        <v>23</v>
      </c>
      <c r="D1463" s="13">
        <v>46274.600347222222</v>
      </c>
      <c r="E1463" s="12" t="s">
        <v>465</v>
      </c>
      <c r="F1463" s="12" t="s">
        <v>261</v>
      </c>
      <c r="G1463" s="12">
        <v>40</v>
      </c>
      <c r="H1463" s="12">
        <v>40</v>
      </c>
      <c r="I1463" s="14"/>
      <c r="J1463" s="14" t="s">
        <v>26</v>
      </c>
      <c r="K1463" s="12" t="s">
        <v>27</v>
      </c>
      <c r="L1463" s="15"/>
      <c r="M1463" s="12" t="s">
        <v>28</v>
      </c>
      <c r="N1463" s="12"/>
      <c r="O1463" s="12"/>
      <c r="P1463" s="12"/>
      <c r="Q1463" s="16">
        <v>0</v>
      </c>
      <c r="R1463" s="16">
        <v>0</v>
      </c>
      <c r="S1463" s="16">
        <v>12</v>
      </c>
      <c r="T1463" s="16" t="e">
        <v>#N/A</v>
      </c>
      <c r="U1463" s="16" t="e">
        <v>#N/A</v>
      </c>
    </row>
    <row r="1464" spans="1:21" x14ac:dyDescent="0.25">
      <c r="A1464" s="12" t="s">
        <v>21</v>
      </c>
      <c r="B1464" s="12" t="s">
        <v>1549</v>
      </c>
      <c r="C1464" s="12" t="s">
        <v>23</v>
      </c>
      <c r="D1464" s="13">
        <v>46274.600347222222</v>
      </c>
      <c r="E1464" s="12" t="s">
        <v>465</v>
      </c>
      <c r="F1464" s="12" t="s">
        <v>373</v>
      </c>
      <c r="G1464" s="12">
        <v>12</v>
      </c>
      <c r="H1464" s="12">
        <v>12</v>
      </c>
      <c r="I1464" s="14"/>
      <c r="J1464" s="14" t="s">
        <v>61</v>
      </c>
      <c r="K1464" s="12" t="s">
        <v>27</v>
      </c>
      <c r="L1464" s="15"/>
      <c r="M1464" s="12" t="s">
        <v>28</v>
      </c>
      <c r="N1464" s="12"/>
      <c r="O1464" s="12"/>
      <c r="P1464" s="12"/>
      <c r="Q1464" s="16">
        <v>9</v>
      </c>
      <c r="R1464" s="16">
        <v>2</v>
      </c>
      <c r="S1464" s="16"/>
      <c r="T1464" s="16" t="e">
        <v>#N/A</v>
      </c>
      <c r="U1464" s="16" t="e">
        <v>#N/A</v>
      </c>
    </row>
    <row r="1465" spans="1:21" x14ac:dyDescent="0.25">
      <c r="A1465" s="12" t="s">
        <v>21</v>
      </c>
      <c r="B1465" s="12" t="s">
        <v>1549</v>
      </c>
      <c r="C1465" s="12" t="s">
        <v>23</v>
      </c>
      <c r="D1465" s="13">
        <v>46274.600347222222</v>
      </c>
      <c r="E1465" s="12" t="s">
        <v>465</v>
      </c>
      <c r="F1465" s="12" t="s">
        <v>550</v>
      </c>
      <c r="G1465" s="12">
        <v>12</v>
      </c>
      <c r="H1465" s="12">
        <v>12</v>
      </c>
      <c r="I1465" s="14"/>
      <c r="J1465" s="14" t="s">
        <v>61</v>
      </c>
      <c r="K1465" s="12" t="s">
        <v>1552</v>
      </c>
      <c r="L1465" s="15">
        <v>1</v>
      </c>
      <c r="M1465" s="12" t="s">
        <v>150</v>
      </c>
      <c r="N1465" s="12">
        <v>12</v>
      </c>
      <c r="O1465" s="12">
        <v>12</v>
      </c>
      <c r="P1465" s="12">
        <v>0</v>
      </c>
      <c r="Q1465" s="16">
        <v>12</v>
      </c>
      <c r="R1465" s="16">
        <v>0</v>
      </c>
      <c r="S1465" s="16"/>
      <c r="T1465" s="16" t="e">
        <v>#N/A</v>
      </c>
      <c r="U1465" s="16" t="e">
        <v>#N/A</v>
      </c>
    </row>
    <row r="1466" spans="1:21" x14ac:dyDescent="0.25">
      <c r="A1466" s="12" t="s">
        <v>21</v>
      </c>
      <c r="B1466" s="12" t="s">
        <v>1549</v>
      </c>
      <c r="C1466" s="12" t="s">
        <v>23</v>
      </c>
      <c r="D1466" s="13">
        <v>46274.600347222222</v>
      </c>
      <c r="E1466" s="12" t="s">
        <v>465</v>
      </c>
      <c r="F1466" s="12" t="s">
        <v>472</v>
      </c>
      <c r="G1466" s="12">
        <v>40</v>
      </c>
      <c r="H1466" s="12">
        <v>40</v>
      </c>
      <c r="I1466" s="14"/>
      <c r="J1466" s="14" t="s">
        <v>61</v>
      </c>
      <c r="K1466" s="12" t="s">
        <v>1553</v>
      </c>
      <c r="L1466" s="15">
        <v>1</v>
      </c>
      <c r="M1466" s="12" t="s">
        <v>150</v>
      </c>
      <c r="N1466" s="12">
        <v>40</v>
      </c>
      <c r="O1466" s="12">
        <v>40</v>
      </c>
      <c r="P1466" s="12">
        <v>0</v>
      </c>
      <c r="Q1466" s="16">
        <v>40</v>
      </c>
      <c r="R1466" s="16">
        <v>0</v>
      </c>
      <c r="S1466" s="16"/>
      <c r="T1466" s="16" t="e">
        <v>#N/A</v>
      </c>
      <c r="U1466" s="16" t="e">
        <v>#N/A</v>
      </c>
    </row>
    <row r="1467" spans="1:21" x14ac:dyDescent="0.25">
      <c r="A1467" s="12" t="s">
        <v>21</v>
      </c>
      <c r="B1467" s="12" t="s">
        <v>1549</v>
      </c>
      <c r="C1467" s="12" t="s">
        <v>23</v>
      </c>
      <c r="D1467" s="13">
        <v>46274.600347222222</v>
      </c>
      <c r="E1467" s="12" t="s">
        <v>465</v>
      </c>
      <c r="F1467" s="12" t="s">
        <v>71</v>
      </c>
      <c r="G1467" s="12">
        <v>200</v>
      </c>
      <c r="H1467" s="12">
        <v>200</v>
      </c>
      <c r="I1467" s="14"/>
      <c r="J1467" s="14" t="s">
        <v>61</v>
      </c>
      <c r="K1467" s="12" t="s">
        <v>27</v>
      </c>
      <c r="L1467" s="15"/>
      <c r="M1467" s="12" t="s">
        <v>28</v>
      </c>
      <c r="N1467" s="12"/>
      <c r="O1467" s="12"/>
      <c r="P1467" s="12"/>
      <c r="Q1467" s="16">
        <v>40</v>
      </c>
      <c r="R1467" s="16">
        <v>0</v>
      </c>
      <c r="S1467" s="16"/>
      <c r="T1467" s="16" t="e">
        <v>#N/A</v>
      </c>
      <c r="U1467" s="16" t="e">
        <v>#N/A</v>
      </c>
    </row>
    <row r="1468" spans="1:21" x14ac:dyDescent="0.25">
      <c r="A1468" s="12" t="s">
        <v>21</v>
      </c>
      <c r="B1468" s="12" t="s">
        <v>1549</v>
      </c>
      <c r="C1468" s="12" t="s">
        <v>23</v>
      </c>
      <c r="D1468" s="13">
        <v>46274.600347222222</v>
      </c>
      <c r="E1468" s="12" t="s">
        <v>465</v>
      </c>
      <c r="F1468" s="12" t="s">
        <v>1335</v>
      </c>
      <c r="G1468" s="12">
        <v>40</v>
      </c>
      <c r="H1468" s="12">
        <v>40</v>
      </c>
      <c r="I1468" s="14"/>
      <c r="J1468" s="14" t="s">
        <v>26</v>
      </c>
      <c r="K1468" s="12" t="s">
        <v>27</v>
      </c>
      <c r="L1468" s="15"/>
      <c r="M1468" s="12" t="s">
        <v>28</v>
      </c>
      <c r="N1468" s="12"/>
      <c r="O1468" s="12"/>
      <c r="P1468" s="12"/>
      <c r="Q1468" s="16">
        <v>0</v>
      </c>
      <c r="R1468" s="16">
        <v>0</v>
      </c>
      <c r="S1468" s="16">
        <v>9</v>
      </c>
      <c r="T1468" s="16" t="e">
        <v>#N/A</v>
      </c>
      <c r="U1468" s="16" t="e">
        <v>#N/A</v>
      </c>
    </row>
    <row r="1469" spans="1:21" x14ac:dyDescent="0.25">
      <c r="A1469" s="12" t="s">
        <v>21</v>
      </c>
      <c r="B1469" s="12" t="s">
        <v>1549</v>
      </c>
      <c r="C1469" s="12" t="s">
        <v>23</v>
      </c>
      <c r="D1469" s="13">
        <v>46274.600347222222</v>
      </c>
      <c r="E1469" s="12" t="s">
        <v>465</v>
      </c>
      <c r="F1469" s="12" t="s">
        <v>248</v>
      </c>
      <c r="G1469" s="12">
        <v>30</v>
      </c>
      <c r="H1469" s="12">
        <v>30</v>
      </c>
      <c r="I1469" s="14"/>
      <c r="J1469" s="14" t="s">
        <v>61</v>
      </c>
      <c r="K1469" s="12" t="s">
        <v>1555</v>
      </c>
      <c r="L1469" s="15">
        <v>1</v>
      </c>
      <c r="M1469" s="12" t="s">
        <v>150</v>
      </c>
      <c r="N1469" s="12">
        <v>30</v>
      </c>
      <c r="O1469" s="12">
        <v>30</v>
      </c>
      <c r="P1469" s="12">
        <v>0</v>
      </c>
      <c r="Q1469" s="16">
        <v>30</v>
      </c>
      <c r="R1469" s="16">
        <v>2</v>
      </c>
      <c r="S1469" s="16"/>
      <c r="T1469" s="16" t="e">
        <v>#N/A</v>
      </c>
      <c r="U1469" s="16" t="e">
        <v>#N/A</v>
      </c>
    </row>
    <row r="1470" spans="1:21" x14ac:dyDescent="0.25">
      <c r="A1470" s="12" t="s">
        <v>21</v>
      </c>
      <c r="B1470" s="12" t="s">
        <v>1549</v>
      </c>
      <c r="C1470" s="12" t="s">
        <v>23</v>
      </c>
      <c r="D1470" s="13">
        <v>46274.600347222222</v>
      </c>
      <c r="E1470" s="12" t="s">
        <v>465</v>
      </c>
      <c r="F1470" s="12" t="s">
        <v>1244</v>
      </c>
      <c r="G1470" s="12">
        <v>10</v>
      </c>
      <c r="H1470" s="12">
        <v>10</v>
      </c>
      <c r="I1470" s="14"/>
      <c r="J1470" s="14" t="s">
        <v>26</v>
      </c>
      <c r="K1470" s="12" t="s">
        <v>27</v>
      </c>
      <c r="L1470" s="15"/>
      <c r="M1470" s="12" t="s">
        <v>28</v>
      </c>
      <c r="N1470" s="12"/>
      <c r="O1470" s="12"/>
      <c r="P1470" s="12"/>
      <c r="Q1470" s="16">
        <v>0</v>
      </c>
      <c r="R1470" s="16">
        <v>3</v>
      </c>
      <c r="S1470" s="16"/>
      <c r="T1470" s="16" t="e">
        <v>#N/A</v>
      </c>
      <c r="U1470" s="16" t="e">
        <v>#N/A</v>
      </c>
    </row>
    <row r="1471" spans="1:21" x14ac:dyDescent="0.25">
      <c r="A1471" s="12" t="s">
        <v>21</v>
      </c>
      <c r="B1471" s="12" t="s">
        <v>1549</v>
      </c>
      <c r="C1471" s="12" t="s">
        <v>23</v>
      </c>
      <c r="D1471" s="13">
        <v>46274.600347222222</v>
      </c>
      <c r="E1471" s="12" t="s">
        <v>465</v>
      </c>
      <c r="F1471" s="12" t="s">
        <v>252</v>
      </c>
      <c r="G1471" s="12">
        <v>10</v>
      </c>
      <c r="H1471" s="12">
        <v>10</v>
      </c>
      <c r="I1471" s="14"/>
      <c r="J1471" s="14" t="s">
        <v>26</v>
      </c>
      <c r="K1471" s="12" t="s">
        <v>1556</v>
      </c>
      <c r="L1471" s="15">
        <v>1</v>
      </c>
      <c r="M1471" s="12" t="s">
        <v>150</v>
      </c>
      <c r="N1471" s="12">
        <v>10</v>
      </c>
      <c r="O1471" s="12">
        <v>10</v>
      </c>
      <c r="P1471" s="12">
        <v>0</v>
      </c>
      <c r="Q1471" s="16">
        <v>0</v>
      </c>
      <c r="R1471" s="16">
        <v>0</v>
      </c>
      <c r="S1471" s="16"/>
      <c r="T1471" s="16" t="e">
        <v>#N/A</v>
      </c>
      <c r="U1471" s="16" t="e">
        <v>#N/A</v>
      </c>
    </row>
    <row r="1472" spans="1:21" x14ac:dyDescent="0.25">
      <c r="A1472" s="12" t="s">
        <v>21</v>
      </c>
      <c r="B1472" s="12" t="s">
        <v>1549</v>
      </c>
      <c r="C1472" s="12" t="s">
        <v>23</v>
      </c>
      <c r="D1472" s="13">
        <v>46274.600347222222</v>
      </c>
      <c r="E1472" s="12" t="s">
        <v>465</v>
      </c>
      <c r="F1472" s="12" t="s">
        <v>1166</v>
      </c>
      <c r="G1472" s="12">
        <v>40</v>
      </c>
      <c r="H1472" s="12">
        <v>40</v>
      </c>
      <c r="I1472" s="14"/>
      <c r="J1472" s="14" t="s">
        <v>61</v>
      </c>
      <c r="K1472" s="12" t="s">
        <v>1557</v>
      </c>
      <c r="L1472" s="15">
        <v>1</v>
      </c>
      <c r="M1472" s="12" t="s">
        <v>150</v>
      </c>
      <c r="N1472" s="12">
        <v>40</v>
      </c>
      <c r="O1472" s="12">
        <v>40</v>
      </c>
      <c r="P1472" s="12">
        <v>0</v>
      </c>
      <c r="Q1472" s="16">
        <v>60</v>
      </c>
      <c r="R1472" s="16">
        <v>0</v>
      </c>
      <c r="S1472" s="16"/>
      <c r="T1472" s="16" t="e">
        <v>#N/A</v>
      </c>
      <c r="U1472" s="16" t="e">
        <v>#N/A</v>
      </c>
    </row>
    <row r="1473" spans="1:21" x14ac:dyDescent="0.25">
      <c r="A1473" s="12" t="s">
        <v>21</v>
      </c>
      <c r="B1473" s="12" t="s">
        <v>1549</v>
      </c>
      <c r="C1473" s="12" t="s">
        <v>23</v>
      </c>
      <c r="D1473" s="13">
        <v>46274.600347222222</v>
      </c>
      <c r="E1473" s="12" t="s">
        <v>465</v>
      </c>
      <c r="F1473" s="12" t="s">
        <v>253</v>
      </c>
      <c r="G1473" s="12">
        <v>20</v>
      </c>
      <c r="H1473" s="12">
        <v>20</v>
      </c>
      <c r="I1473" s="14"/>
      <c r="J1473" s="14" t="s">
        <v>61</v>
      </c>
      <c r="K1473" s="12" t="s">
        <v>1558</v>
      </c>
      <c r="L1473" s="15">
        <v>1</v>
      </c>
      <c r="M1473" s="12" t="s">
        <v>150</v>
      </c>
      <c r="N1473" s="12">
        <v>20</v>
      </c>
      <c r="O1473" s="12">
        <v>20</v>
      </c>
      <c r="P1473" s="12">
        <v>0</v>
      </c>
      <c r="Q1473" s="16">
        <v>60</v>
      </c>
      <c r="R1473" s="16">
        <v>0</v>
      </c>
      <c r="S1473" s="16"/>
      <c r="T1473" s="16" t="e">
        <v>#N/A</v>
      </c>
      <c r="U1473" s="16" t="e">
        <v>#N/A</v>
      </c>
    </row>
    <row r="1474" spans="1:21" x14ac:dyDescent="0.25">
      <c r="A1474" s="12" t="s">
        <v>21</v>
      </c>
      <c r="B1474" s="12" t="s">
        <v>1549</v>
      </c>
      <c r="C1474" s="12" t="s">
        <v>23</v>
      </c>
      <c r="D1474" s="13">
        <v>46274.600347222222</v>
      </c>
      <c r="E1474" s="12" t="s">
        <v>465</v>
      </c>
      <c r="F1474" s="12" t="s">
        <v>623</v>
      </c>
      <c r="G1474" s="12">
        <v>10</v>
      </c>
      <c r="H1474" s="12">
        <v>10</v>
      </c>
      <c r="I1474" s="14"/>
      <c r="J1474" s="14" t="s">
        <v>61</v>
      </c>
      <c r="K1474" s="12" t="s">
        <v>1559</v>
      </c>
      <c r="L1474" s="15">
        <v>1</v>
      </c>
      <c r="M1474" s="12" t="s">
        <v>150</v>
      </c>
      <c r="N1474" s="12">
        <v>10</v>
      </c>
      <c r="O1474" s="12">
        <v>10</v>
      </c>
      <c r="P1474" s="12">
        <v>0</v>
      </c>
      <c r="Q1474" s="16">
        <v>10</v>
      </c>
      <c r="R1474" s="16">
        <v>0</v>
      </c>
      <c r="S1474" s="16"/>
      <c r="T1474" s="16" t="e">
        <v>#N/A</v>
      </c>
      <c r="U1474" s="16" t="e">
        <v>#N/A</v>
      </c>
    </row>
    <row r="1475" spans="1:21" x14ac:dyDescent="0.25">
      <c r="A1475" s="12" t="s">
        <v>21</v>
      </c>
      <c r="B1475" s="12" t="s">
        <v>1549</v>
      </c>
      <c r="C1475" s="12" t="s">
        <v>23</v>
      </c>
      <c r="D1475" s="13">
        <v>46274.600347222222</v>
      </c>
      <c r="E1475" s="12" t="s">
        <v>465</v>
      </c>
      <c r="F1475" s="12" t="s">
        <v>1554</v>
      </c>
      <c r="G1475" s="12">
        <v>15</v>
      </c>
      <c r="H1475" s="12">
        <v>15</v>
      </c>
      <c r="I1475" s="14"/>
      <c r="J1475" s="14" t="s">
        <v>61</v>
      </c>
      <c r="K1475" s="12" t="s">
        <v>1560</v>
      </c>
      <c r="L1475" s="15">
        <v>1</v>
      </c>
      <c r="M1475" s="12" t="s">
        <v>150</v>
      </c>
      <c r="N1475" s="12">
        <v>15</v>
      </c>
      <c r="O1475" s="12">
        <v>15</v>
      </c>
      <c r="P1475" s="12">
        <v>0</v>
      </c>
      <c r="Q1475" s="16">
        <v>15</v>
      </c>
      <c r="R1475" s="16">
        <v>12</v>
      </c>
      <c r="S1475" s="16"/>
      <c r="T1475" s="16" t="e">
        <v>#N/A</v>
      </c>
      <c r="U1475" s="16" t="e">
        <v>#N/A</v>
      </c>
    </row>
    <row r="1476" spans="1:21" x14ac:dyDescent="0.25">
      <c r="A1476" s="12" t="s">
        <v>21</v>
      </c>
      <c r="B1476" s="12" t="s">
        <v>1549</v>
      </c>
      <c r="C1476" s="12" t="s">
        <v>23</v>
      </c>
      <c r="D1476" s="13">
        <v>46274.600347222222</v>
      </c>
      <c r="E1476" s="12" t="s">
        <v>465</v>
      </c>
      <c r="F1476" s="12" t="s">
        <v>375</v>
      </c>
      <c r="G1476" s="12">
        <v>9</v>
      </c>
      <c r="H1476" s="12">
        <v>9</v>
      </c>
      <c r="I1476" s="14"/>
      <c r="J1476" s="14" t="s">
        <v>61</v>
      </c>
      <c r="K1476" s="12" t="s">
        <v>1561</v>
      </c>
      <c r="L1476" s="15">
        <v>1</v>
      </c>
      <c r="M1476" s="12" t="s">
        <v>150</v>
      </c>
      <c r="N1476" s="12">
        <v>9</v>
      </c>
      <c r="O1476" s="12">
        <v>9</v>
      </c>
      <c r="P1476" s="12">
        <v>0</v>
      </c>
      <c r="Q1476" s="16">
        <v>9</v>
      </c>
      <c r="R1476" s="16">
        <v>0</v>
      </c>
      <c r="S1476" s="16"/>
      <c r="T1476" s="16" t="e">
        <v>#N/A</v>
      </c>
      <c r="U1476" s="16" t="e">
        <v>#N/A</v>
      </c>
    </row>
    <row r="1477" spans="1:21" x14ac:dyDescent="0.25">
      <c r="A1477" s="12" t="s">
        <v>21</v>
      </c>
      <c r="B1477" s="12" t="s">
        <v>1549</v>
      </c>
      <c r="C1477" s="12" t="s">
        <v>23</v>
      </c>
      <c r="D1477" s="13">
        <v>46274.600347222222</v>
      </c>
      <c r="E1477" s="12" t="s">
        <v>465</v>
      </c>
      <c r="F1477" s="12" t="s">
        <v>277</v>
      </c>
      <c r="G1477" s="12">
        <v>10</v>
      </c>
      <c r="H1477" s="12">
        <v>10</v>
      </c>
      <c r="I1477" s="14"/>
      <c r="J1477" s="14" t="s">
        <v>26</v>
      </c>
      <c r="K1477" s="12" t="s">
        <v>27</v>
      </c>
      <c r="L1477" s="15"/>
      <c r="M1477" s="12" t="s">
        <v>28</v>
      </c>
      <c r="N1477" s="12"/>
      <c r="O1477" s="12"/>
      <c r="P1477" s="12"/>
      <c r="Q1477" s="16">
        <v>0</v>
      </c>
      <c r="R1477" s="16">
        <v>0</v>
      </c>
      <c r="S1477" s="16"/>
      <c r="T1477" s="16" t="e">
        <v>#N/A</v>
      </c>
      <c r="U1477" s="16" t="e">
        <v>#N/A</v>
      </c>
    </row>
    <row r="1478" spans="1:21" x14ac:dyDescent="0.25">
      <c r="A1478" s="12" t="s">
        <v>21</v>
      </c>
      <c r="B1478" s="12" t="s">
        <v>1562</v>
      </c>
      <c r="C1478" s="12" t="s">
        <v>23</v>
      </c>
      <c r="D1478" s="13">
        <v>46274.635497685187</v>
      </c>
      <c r="E1478" s="12" t="s">
        <v>484</v>
      </c>
      <c r="F1478" s="12" t="s">
        <v>158</v>
      </c>
      <c r="G1478" s="12">
        <v>50</v>
      </c>
      <c r="H1478" s="12">
        <v>50</v>
      </c>
      <c r="I1478" s="14"/>
      <c r="J1478" s="14" t="s">
        <v>26</v>
      </c>
      <c r="K1478" s="12" t="s">
        <v>27</v>
      </c>
      <c r="L1478" s="15"/>
      <c r="M1478" s="12" t="s">
        <v>28</v>
      </c>
      <c r="N1478" s="12"/>
      <c r="O1478" s="12"/>
      <c r="P1478" s="12"/>
      <c r="Q1478" s="16">
        <v>0</v>
      </c>
      <c r="R1478" s="16">
        <v>0</v>
      </c>
      <c r="S1478" s="16"/>
      <c r="T1478" s="16" t="e">
        <v>#N/A</v>
      </c>
      <c r="U1478" s="16" t="e">
        <v>#N/A</v>
      </c>
    </row>
    <row r="1479" spans="1:21" x14ac:dyDescent="0.25">
      <c r="A1479" s="12" t="s">
        <v>21</v>
      </c>
      <c r="B1479" s="12" t="s">
        <v>1562</v>
      </c>
      <c r="C1479" s="12" t="s">
        <v>23</v>
      </c>
      <c r="D1479" s="13">
        <v>46274.635497685187</v>
      </c>
      <c r="E1479" s="12" t="s">
        <v>484</v>
      </c>
      <c r="F1479" s="12" t="s">
        <v>245</v>
      </c>
      <c r="G1479" s="12">
        <v>30</v>
      </c>
      <c r="H1479" s="12">
        <v>30</v>
      </c>
      <c r="I1479" s="14"/>
      <c r="J1479" s="14" t="s">
        <v>61</v>
      </c>
      <c r="K1479" s="12" t="s">
        <v>1563</v>
      </c>
      <c r="L1479" s="15">
        <v>1</v>
      </c>
      <c r="M1479" s="12" t="s">
        <v>150</v>
      </c>
      <c r="N1479" s="12">
        <v>30</v>
      </c>
      <c r="O1479" s="12">
        <v>30</v>
      </c>
      <c r="P1479" s="12">
        <v>0</v>
      </c>
      <c r="Q1479" s="16">
        <v>30</v>
      </c>
      <c r="R1479" s="16">
        <v>0</v>
      </c>
      <c r="S1479" s="16"/>
      <c r="T1479" s="16" t="e">
        <v>#N/A</v>
      </c>
      <c r="U1479" s="16" t="e">
        <v>#N/A</v>
      </c>
    </row>
    <row r="1480" spans="1:21" x14ac:dyDescent="0.25">
      <c r="A1480" s="12" t="s">
        <v>21</v>
      </c>
      <c r="B1480" s="12" t="s">
        <v>1562</v>
      </c>
      <c r="C1480" s="12" t="s">
        <v>23</v>
      </c>
      <c r="D1480" s="13">
        <v>46274.635497685187</v>
      </c>
      <c r="E1480" s="12" t="s">
        <v>484</v>
      </c>
      <c r="F1480" s="12" t="s">
        <v>760</v>
      </c>
      <c r="G1480" s="12">
        <v>20</v>
      </c>
      <c r="H1480" s="12">
        <v>20</v>
      </c>
      <c r="I1480" s="14"/>
      <c r="J1480" s="14" t="s">
        <v>61</v>
      </c>
      <c r="K1480" s="12" t="s">
        <v>1564</v>
      </c>
      <c r="L1480" s="15">
        <v>1</v>
      </c>
      <c r="M1480" s="12" t="s">
        <v>150</v>
      </c>
      <c r="N1480" s="12">
        <v>20</v>
      </c>
      <c r="O1480" s="12">
        <v>20</v>
      </c>
      <c r="P1480" s="12">
        <v>0</v>
      </c>
      <c r="Q1480" s="16">
        <v>20</v>
      </c>
      <c r="R1480" s="16">
        <v>0</v>
      </c>
      <c r="S1480" s="16"/>
      <c r="T1480" s="16" t="e">
        <v>#N/A</v>
      </c>
      <c r="U1480" s="16" t="e">
        <v>#N/A</v>
      </c>
    </row>
    <row r="1481" spans="1:21" x14ac:dyDescent="0.25">
      <c r="A1481" s="12" t="s">
        <v>21</v>
      </c>
      <c r="B1481" s="12" t="s">
        <v>1562</v>
      </c>
      <c r="C1481" s="12" t="s">
        <v>23</v>
      </c>
      <c r="D1481" s="13">
        <v>46274.635497685187</v>
      </c>
      <c r="E1481" s="12" t="s">
        <v>484</v>
      </c>
      <c r="F1481" s="12" t="s">
        <v>354</v>
      </c>
      <c r="G1481" s="12">
        <v>20</v>
      </c>
      <c r="H1481" s="12">
        <v>20</v>
      </c>
      <c r="I1481" s="14"/>
      <c r="J1481" s="14" t="s">
        <v>26</v>
      </c>
      <c r="K1481" s="12" t="s">
        <v>27</v>
      </c>
      <c r="L1481" s="15"/>
      <c r="M1481" s="12" t="s">
        <v>28</v>
      </c>
      <c r="N1481" s="12"/>
      <c r="O1481" s="12"/>
      <c r="P1481" s="12"/>
      <c r="Q1481" s="16">
        <v>0</v>
      </c>
      <c r="R1481" s="16">
        <v>0</v>
      </c>
      <c r="S1481" s="16"/>
      <c r="T1481" s="16" t="e">
        <v>#N/A</v>
      </c>
      <c r="U1481" s="16" t="e">
        <v>#N/A</v>
      </c>
    </row>
    <row r="1482" spans="1:21" x14ac:dyDescent="0.25">
      <c r="A1482" s="12" t="s">
        <v>21</v>
      </c>
      <c r="B1482" s="12" t="s">
        <v>1562</v>
      </c>
      <c r="C1482" s="12" t="s">
        <v>23</v>
      </c>
      <c r="D1482" s="13">
        <v>46274.635497685187</v>
      </c>
      <c r="E1482" s="12" t="s">
        <v>484</v>
      </c>
      <c r="F1482" s="12" t="s">
        <v>373</v>
      </c>
      <c r="G1482" s="12">
        <v>20</v>
      </c>
      <c r="H1482" s="12">
        <v>20</v>
      </c>
      <c r="I1482" s="14"/>
      <c r="J1482" s="14" t="s">
        <v>26</v>
      </c>
      <c r="K1482" s="12" t="s">
        <v>27</v>
      </c>
      <c r="L1482" s="15"/>
      <c r="M1482" s="12" t="s">
        <v>28</v>
      </c>
      <c r="N1482" s="12"/>
      <c r="O1482" s="12"/>
      <c r="P1482" s="12"/>
      <c r="Q1482" s="16">
        <v>0</v>
      </c>
      <c r="R1482" s="16">
        <v>2</v>
      </c>
      <c r="S1482" s="16"/>
      <c r="T1482" s="16" t="e">
        <v>#N/A</v>
      </c>
      <c r="U1482" s="16" t="e">
        <v>#N/A</v>
      </c>
    </row>
    <row r="1483" spans="1:21" x14ac:dyDescent="0.25">
      <c r="A1483" s="12" t="s">
        <v>21</v>
      </c>
      <c r="B1483" s="12" t="s">
        <v>1562</v>
      </c>
      <c r="C1483" s="12" t="s">
        <v>23</v>
      </c>
      <c r="D1483" s="13">
        <v>46274.635497685187</v>
      </c>
      <c r="E1483" s="12" t="s">
        <v>484</v>
      </c>
      <c r="F1483" s="12" t="s">
        <v>374</v>
      </c>
      <c r="G1483" s="12">
        <v>10</v>
      </c>
      <c r="H1483" s="12">
        <v>10</v>
      </c>
      <c r="I1483" s="14"/>
      <c r="J1483" s="14" t="s">
        <v>26</v>
      </c>
      <c r="K1483" s="12" t="s">
        <v>27</v>
      </c>
      <c r="L1483" s="15"/>
      <c r="M1483" s="12" t="s">
        <v>28</v>
      </c>
      <c r="N1483" s="12"/>
      <c r="O1483" s="12"/>
      <c r="P1483" s="12"/>
      <c r="Q1483" s="16">
        <v>0</v>
      </c>
      <c r="R1483" s="16">
        <v>0</v>
      </c>
      <c r="S1483" s="16"/>
      <c r="T1483" s="16" t="e">
        <v>#N/A</v>
      </c>
      <c r="U1483" s="16" t="e">
        <v>#N/A</v>
      </c>
    </row>
    <row r="1484" spans="1:21" x14ac:dyDescent="0.25">
      <c r="A1484" s="12" t="s">
        <v>21</v>
      </c>
      <c r="B1484" s="12" t="s">
        <v>1562</v>
      </c>
      <c r="C1484" s="12" t="s">
        <v>23</v>
      </c>
      <c r="D1484" s="13">
        <v>46274.635497685187</v>
      </c>
      <c r="E1484" s="12" t="s">
        <v>484</v>
      </c>
      <c r="F1484" s="12" t="s">
        <v>70</v>
      </c>
      <c r="G1484" s="12">
        <v>100</v>
      </c>
      <c r="H1484" s="12">
        <v>100</v>
      </c>
      <c r="I1484" s="14"/>
      <c r="J1484" s="14" t="s">
        <v>61</v>
      </c>
      <c r="K1484" s="12" t="s">
        <v>27</v>
      </c>
      <c r="L1484" s="15"/>
      <c r="M1484" s="12" t="s">
        <v>28</v>
      </c>
      <c r="N1484" s="12"/>
      <c r="O1484" s="12"/>
      <c r="P1484" s="12"/>
      <c r="Q1484" s="16">
        <v>50</v>
      </c>
      <c r="R1484" s="16">
        <v>0</v>
      </c>
      <c r="S1484" s="16"/>
      <c r="T1484" s="16" t="e">
        <v>#N/A</v>
      </c>
      <c r="U1484" s="16" t="e">
        <v>#N/A</v>
      </c>
    </row>
    <row r="1485" spans="1:21" x14ac:dyDescent="0.25">
      <c r="A1485" s="12" t="s">
        <v>21</v>
      </c>
      <c r="B1485" s="12" t="s">
        <v>1562</v>
      </c>
      <c r="C1485" s="12" t="s">
        <v>23</v>
      </c>
      <c r="D1485" s="13">
        <v>46274.635497685187</v>
      </c>
      <c r="E1485" s="12" t="s">
        <v>484</v>
      </c>
      <c r="F1485" s="12" t="s">
        <v>71</v>
      </c>
      <c r="G1485" s="12">
        <v>100</v>
      </c>
      <c r="H1485" s="12">
        <v>100</v>
      </c>
      <c r="I1485" s="14"/>
      <c r="J1485" s="14" t="s">
        <v>26</v>
      </c>
      <c r="K1485" s="12" t="s">
        <v>27</v>
      </c>
      <c r="L1485" s="15"/>
      <c r="M1485" s="12" t="s">
        <v>28</v>
      </c>
      <c r="N1485" s="12"/>
      <c r="O1485" s="12"/>
      <c r="P1485" s="12"/>
      <c r="Q1485" s="16">
        <v>0</v>
      </c>
      <c r="R1485" s="16">
        <v>0</v>
      </c>
      <c r="S1485" s="16"/>
      <c r="T1485" s="16" t="e">
        <v>#N/A</v>
      </c>
      <c r="U1485" s="16" t="e">
        <v>#N/A</v>
      </c>
    </row>
    <row r="1486" spans="1:21" x14ac:dyDescent="0.25">
      <c r="A1486" s="12" t="s">
        <v>21</v>
      </c>
      <c r="B1486" s="12" t="s">
        <v>1562</v>
      </c>
      <c r="C1486" s="12" t="s">
        <v>23</v>
      </c>
      <c r="D1486" s="13">
        <v>46274.635497685187</v>
      </c>
      <c r="E1486" s="12" t="s">
        <v>484</v>
      </c>
      <c r="F1486" s="12" t="s">
        <v>283</v>
      </c>
      <c r="G1486" s="12">
        <v>50</v>
      </c>
      <c r="H1486" s="12">
        <v>50</v>
      </c>
      <c r="I1486" s="14"/>
      <c r="J1486" s="14" t="s">
        <v>61</v>
      </c>
      <c r="K1486" s="12" t="s">
        <v>27</v>
      </c>
      <c r="L1486" s="15"/>
      <c r="M1486" s="12" t="s">
        <v>28</v>
      </c>
      <c r="N1486" s="12"/>
      <c r="O1486" s="12"/>
      <c r="P1486" s="12"/>
      <c r="Q1486" s="16">
        <v>50</v>
      </c>
      <c r="R1486" s="16">
        <v>0</v>
      </c>
      <c r="S1486" s="16"/>
      <c r="T1486" s="16" t="e">
        <v>#N/A</v>
      </c>
      <c r="U1486" s="16" t="e">
        <v>#N/A</v>
      </c>
    </row>
    <row r="1487" spans="1:21" x14ac:dyDescent="0.25">
      <c r="A1487" s="12" t="s">
        <v>21</v>
      </c>
      <c r="B1487" s="12" t="s">
        <v>1562</v>
      </c>
      <c r="C1487" s="12" t="s">
        <v>23</v>
      </c>
      <c r="D1487" s="13">
        <v>46274.635497685187</v>
      </c>
      <c r="E1487" s="12" t="s">
        <v>484</v>
      </c>
      <c r="F1487" s="12" t="s">
        <v>326</v>
      </c>
      <c r="G1487" s="12">
        <v>30</v>
      </c>
      <c r="H1487" s="12">
        <v>30</v>
      </c>
      <c r="I1487" s="14"/>
      <c r="J1487" s="14" t="s">
        <v>61</v>
      </c>
      <c r="K1487" s="12" t="s">
        <v>1565</v>
      </c>
      <c r="L1487" s="15">
        <v>1</v>
      </c>
      <c r="M1487" s="12" t="s">
        <v>150</v>
      </c>
      <c r="N1487" s="12">
        <v>30</v>
      </c>
      <c r="O1487" s="12">
        <v>30</v>
      </c>
      <c r="P1487" s="12">
        <v>0</v>
      </c>
      <c r="Q1487" s="16">
        <v>30</v>
      </c>
      <c r="R1487" s="16">
        <v>0</v>
      </c>
      <c r="S1487" s="16"/>
      <c r="T1487" s="16" t="e">
        <v>#N/A</v>
      </c>
      <c r="U1487" s="16" t="e">
        <v>#N/A</v>
      </c>
    </row>
    <row r="1488" spans="1:21" x14ac:dyDescent="0.25">
      <c r="A1488" s="12" t="s">
        <v>21</v>
      </c>
      <c r="B1488" s="12" t="s">
        <v>1562</v>
      </c>
      <c r="C1488" s="12" t="s">
        <v>23</v>
      </c>
      <c r="D1488" s="13">
        <v>46274.635497685187</v>
      </c>
      <c r="E1488" s="12" t="s">
        <v>484</v>
      </c>
      <c r="F1488" s="12" t="s">
        <v>1267</v>
      </c>
      <c r="G1488" s="12">
        <v>30</v>
      </c>
      <c r="H1488" s="12">
        <v>30</v>
      </c>
      <c r="I1488" s="14"/>
      <c r="J1488" s="14" t="s">
        <v>61</v>
      </c>
      <c r="K1488" s="12" t="s">
        <v>1566</v>
      </c>
      <c r="L1488" s="15">
        <v>1</v>
      </c>
      <c r="M1488" s="12" t="s">
        <v>150</v>
      </c>
      <c r="N1488" s="12">
        <v>30</v>
      </c>
      <c r="O1488" s="12">
        <v>30</v>
      </c>
      <c r="P1488" s="12">
        <v>0</v>
      </c>
      <c r="Q1488" s="16">
        <v>30</v>
      </c>
      <c r="R1488" s="16">
        <v>0</v>
      </c>
      <c r="S1488" s="16"/>
      <c r="T1488" s="16" t="e">
        <v>#N/A</v>
      </c>
      <c r="U1488" s="16" t="e">
        <v>#N/A</v>
      </c>
    </row>
    <row r="1489" spans="1:21" x14ac:dyDescent="0.25">
      <c r="A1489" s="12" t="s">
        <v>21</v>
      </c>
      <c r="B1489" s="12" t="s">
        <v>1562</v>
      </c>
      <c r="C1489" s="12" t="s">
        <v>23</v>
      </c>
      <c r="D1489" s="13">
        <v>46274.635497685187</v>
      </c>
      <c r="E1489" s="12" t="s">
        <v>484</v>
      </c>
      <c r="F1489" s="12" t="s">
        <v>248</v>
      </c>
      <c r="G1489" s="12">
        <v>30</v>
      </c>
      <c r="H1489" s="12">
        <v>30</v>
      </c>
      <c r="I1489" s="14"/>
      <c r="J1489" s="14" t="s">
        <v>61</v>
      </c>
      <c r="K1489" s="12" t="s">
        <v>1567</v>
      </c>
      <c r="L1489" s="15">
        <v>1</v>
      </c>
      <c r="M1489" s="12" t="s">
        <v>150</v>
      </c>
      <c r="N1489" s="12">
        <v>30</v>
      </c>
      <c r="O1489" s="12">
        <v>30</v>
      </c>
      <c r="P1489" s="12">
        <v>0</v>
      </c>
      <c r="Q1489" s="16">
        <v>30</v>
      </c>
      <c r="R1489" s="16">
        <v>2</v>
      </c>
      <c r="S1489" s="16"/>
      <c r="T1489" s="16" t="e">
        <v>#N/A</v>
      </c>
      <c r="U1489" s="16" t="e">
        <v>#N/A</v>
      </c>
    </row>
    <row r="1490" spans="1:21" x14ac:dyDescent="0.25">
      <c r="A1490" s="12" t="s">
        <v>21</v>
      </c>
      <c r="B1490" s="12" t="s">
        <v>1562</v>
      </c>
      <c r="C1490" s="12" t="s">
        <v>23</v>
      </c>
      <c r="D1490" s="13">
        <v>46274.635497685187</v>
      </c>
      <c r="E1490" s="12" t="s">
        <v>484</v>
      </c>
      <c r="F1490" s="12" t="s">
        <v>67</v>
      </c>
      <c r="G1490" s="12">
        <v>50</v>
      </c>
      <c r="H1490" s="12">
        <v>50</v>
      </c>
      <c r="I1490" s="14"/>
      <c r="J1490" s="14" t="s">
        <v>61</v>
      </c>
      <c r="K1490" s="12" t="s">
        <v>1568</v>
      </c>
      <c r="L1490" s="15">
        <v>1</v>
      </c>
      <c r="M1490" s="12" t="s">
        <v>150</v>
      </c>
      <c r="N1490" s="12">
        <v>50</v>
      </c>
      <c r="O1490" s="12">
        <v>50</v>
      </c>
      <c r="P1490" s="12">
        <v>0</v>
      </c>
      <c r="Q1490" s="16">
        <v>50</v>
      </c>
      <c r="R1490" s="16">
        <v>0</v>
      </c>
      <c r="S1490" s="16"/>
      <c r="T1490" s="16" t="e">
        <v>#N/A</v>
      </c>
      <c r="U1490" s="16" t="e">
        <v>#N/A</v>
      </c>
    </row>
    <row r="1491" spans="1:21" x14ac:dyDescent="0.25">
      <c r="A1491" s="12" t="s">
        <v>21</v>
      </c>
      <c r="B1491" s="12" t="s">
        <v>1562</v>
      </c>
      <c r="C1491" s="12" t="s">
        <v>23</v>
      </c>
      <c r="D1491" s="13">
        <v>46274.635497685187</v>
      </c>
      <c r="E1491" s="12" t="s">
        <v>484</v>
      </c>
      <c r="F1491" s="12" t="s">
        <v>582</v>
      </c>
      <c r="G1491" s="12">
        <v>10</v>
      </c>
      <c r="H1491" s="12">
        <v>10</v>
      </c>
      <c r="I1491" s="14"/>
      <c r="J1491" s="14" t="s">
        <v>61</v>
      </c>
      <c r="K1491" s="12" t="s">
        <v>1569</v>
      </c>
      <c r="L1491" s="15">
        <v>1</v>
      </c>
      <c r="M1491" s="12" t="s">
        <v>150</v>
      </c>
      <c r="N1491" s="12">
        <v>10</v>
      </c>
      <c r="O1491" s="12">
        <v>10</v>
      </c>
      <c r="P1491" s="12">
        <v>0</v>
      </c>
      <c r="Q1491" s="16">
        <v>10</v>
      </c>
      <c r="R1491" s="16">
        <v>0</v>
      </c>
      <c r="S1491" s="16"/>
      <c r="T1491" s="16" t="e">
        <v>#N/A</v>
      </c>
      <c r="U1491" s="16" t="e">
        <v>#N/A</v>
      </c>
    </row>
    <row r="1492" spans="1:21" x14ac:dyDescent="0.25">
      <c r="A1492" s="12" t="s">
        <v>21</v>
      </c>
      <c r="B1492" s="12" t="s">
        <v>1562</v>
      </c>
      <c r="C1492" s="12" t="s">
        <v>23</v>
      </c>
      <c r="D1492" s="13">
        <v>46274.635497685187</v>
      </c>
      <c r="E1492" s="12" t="s">
        <v>484</v>
      </c>
      <c r="F1492" s="12" t="s">
        <v>259</v>
      </c>
      <c r="G1492" s="12">
        <v>30</v>
      </c>
      <c r="H1492" s="12">
        <v>30</v>
      </c>
      <c r="I1492" s="14"/>
      <c r="J1492" s="14" t="s">
        <v>61</v>
      </c>
      <c r="K1492" s="12" t="s">
        <v>27</v>
      </c>
      <c r="L1492" s="15"/>
      <c r="M1492" s="12" t="s">
        <v>28</v>
      </c>
      <c r="N1492" s="12"/>
      <c r="O1492" s="12"/>
      <c r="P1492" s="12"/>
      <c r="Q1492" s="16">
        <v>30</v>
      </c>
      <c r="R1492" s="16">
        <v>4</v>
      </c>
      <c r="S1492" s="16"/>
      <c r="T1492" s="16" t="e">
        <v>#N/A</v>
      </c>
      <c r="U1492" s="16" t="e">
        <v>#N/A</v>
      </c>
    </row>
    <row r="1493" spans="1:21" x14ac:dyDescent="0.25">
      <c r="A1493" s="12" t="s">
        <v>21</v>
      </c>
      <c r="B1493" s="12" t="s">
        <v>1562</v>
      </c>
      <c r="C1493" s="12" t="s">
        <v>23</v>
      </c>
      <c r="D1493" s="13">
        <v>46274.635497685187</v>
      </c>
      <c r="E1493" s="12" t="s">
        <v>484</v>
      </c>
      <c r="F1493" s="12" t="s">
        <v>201</v>
      </c>
      <c r="G1493" s="12">
        <v>50</v>
      </c>
      <c r="H1493" s="12">
        <v>50</v>
      </c>
      <c r="I1493" s="14"/>
      <c r="J1493" s="14" t="s">
        <v>61</v>
      </c>
      <c r="K1493" s="12" t="s">
        <v>27</v>
      </c>
      <c r="L1493" s="15"/>
      <c r="M1493" s="12" t="s">
        <v>28</v>
      </c>
      <c r="N1493" s="12"/>
      <c r="O1493" s="12"/>
      <c r="P1493" s="12"/>
      <c r="Q1493" s="16">
        <v>50</v>
      </c>
      <c r="R1493" s="16">
        <v>0</v>
      </c>
      <c r="S1493" s="16"/>
      <c r="T1493" s="16" t="e">
        <v>#N/A</v>
      </c>
      <c r="U1493" s="16" t="e">
        <v>#N/A</v>
      </c>
    </row>
    <row r="1494" spans="1:21" x14ac:dyDescent="0.25">
      <c r="A1494" s="12" t="s">
        <v>21</v>
      </c>
      <c r="B1494" s="12" t="s">
        <v>1562</v>
      </c>
      <c r="C1494" s="12" t="s">
        <v>23</v>
      </c>
      <c r="D1494" s="13">
        <v>46274.635497685187</v>
      </c>
      <c r="E1494" s="12" t="s">
        <v>484</v>
      </c>
      <c r="F1494" s="12" t="s">
        <v>253</v>
      </c>
      <c r="G1494" s="12">
        <v>50</v>
      </c>
      <c r="H1494" s="12">
        <v>50</v>
      </c>
      <c r="I1494" s="14"/>
      <c r="J1494" s="14" t="s">
        <v>61</v>
      </c>
      <c r="K1494" s="12" t="s">
        <v>1573</v>
      </c>
      <c r="L1494" s="15">
        <v>1</v>
      </c>
      <c r="M1494" s="12" t="s">
        <v>150</v>
      </c>
      <c r="N1494" s="12">
        <v>50</v>
      </c>
      <c r="O1494" s="12">
        <v>50</v>
      </c>
      <c r="P1494" s="12">
        <v>0</v>
      </c>
      <c r="Q1494" s="16">
        <v>50</v>
      </c>
      <c r="R1494" s="16">
        <v>0</v>
      </c>
      <c r="S1494" s="16"/>
      <c r="T1494" s="16" t="e">
        <v>#N/A</v>
      </c>
      <c r="U1494" s="16" t="e">
        <v>#N/A</v>
      </c>
    </row>
    <row r="1495" spans="1:21" x14ac:dyDescent="0.25">
      <c r="A1495" s="12" t="s">
        <v>21</v>
      </c>
      <c r="B1495" s="12" t="s">
        <v>1562</v>
      </c>
      <c r="C1495" s="12" t="s">
        <v>23</v>
      </c>
      <c r="D1495" s="13">
        <v>46274.635497685187</v>
      </c>
      <c r="E1495" s="12" t="s">
        <v>484</v>
      </c>
      <c r="F1495" s="12" t="s">
        <v>572</v>
      </c>
      <c r="G1495" s="12">
        <v>50</v>
      </c>
      <c r="H1495" s="12">
        <v>50</v>
      </c>
      <c r="I1495" s="14"/>
      <c r="J1495" s="14" t="s">
        <v>61</v>
      </c>
      <c r="K1495" s="12" t="s">
        <v>1574</v>
      </c>
      <c r="L1495" s="15">
        <v>1</v>
      </c>
      <c r="M1495" s="12" t="s">
        <v>150</v>
      </c>
      <c r="N1495" s="12">
        <v>50</v>
      </c>
      <c r="O1495" s="12">
        <v>50</v>
      </c>
      <c r="P1495" s="12">
        <v>0</v>
      </c>
      <c r="Q1495" s="16">
        <v>50</v>
      </c>
      <c r="R1495" s="16">
        <v>10</v>
      </c>
      <c r="S1495" s="16"/>
      <c r="T1495" s="16" t="e">
        <v>#N/A</v>
      </c>
      <c r="U1495" s="16" t="e">
        <v>#N/A</v>
      </c>
    </row>
    <row r="1496" spans="1:21" x14ac:dyDescent="0.25">
      <c r="A1496" s="12" t="s">
        <v>21</v>
      </c>
      <c r="B1496" s="12" t="s">
        <v>1562</v>
      </c>
      <c r="C1496" s="12" t="s">
        <v>23</v>
      </c>
      <c r="D1496" s="13">
        <v>46274.635497685187</v>
      </c>
      <c r="E1496" s="12" t="s">
        <v>484</v>
      </c>
      <c r="F1496" s="12" t="s">
        <v>1024</v>
      </c>
      <c r="G1496" s="12">
        <v>20</v>
      </c>
      <c r="H1496" s="12">
        <v>20</v>
      </c>
      <c r="I1496" s="14"/>
      <c r="J1496" s="14" t="s">
        <v>26</v>
      </c>
      <c r="K1496" s="12" t="s">
        <v>27</v>
      </c>
      <c r="L1496" s="15"/>
      <c r="M1496" s="12" t="s">
        <v>28</v>
      </c>
      <c r="N1496" s="12"/>
      <c r="O1496" s="12"/>
      <c r="P1496" s="12"/>
      <c r="Q1496" s="16">
        <v>0</v>
      </c>
      <c r="R1496" s="16">
        <v>0</v>
      </c>
      <c r="S1496" s="16"/>
      <c r="T1496" s="16" t="e">
        <v>#N/A</v>
      </c>
      <c r="U1496" s="16" t="e">
        <v>#N/A</v>
      </c>
    </row>
    <row r="1497" spans="1:21" x14ac:dyDescent="0.25">
      <c r="A1497" s="12" t="s">
        <v>21</v>
      </c>
      <c r="B1497" s="12" t="s">
        <v>1562</v>
      </c>
      <c r="C1497" s="12" t="s">
        <v>23</v>
      </c>
      <c r="D1497" s="13">
        <v>46274.635497685187</v>
      </c>
      <c r="E1497" s="12" t="s">
        <v>484</v>
      </c>
      <c r="F1497" s="12" t="s">
        <v>277</v>
      </c>
      <c r="G1497" s="12">
        <v>10</v>
      </c>
      <c r="H1497" s="12">
        <v>10</v>
      </c>
      <c r="I1497" s="14"/>
      <c r="J1497" s="14" t="s">
        <v>26</v>
      </c>
      <c r="K1497" s="12" t="s">
        <v>27</v>
      </c>
      <c r="L1497" s="15"/>
      <c r="M1497" s="12" t="s">
        <v>28</v>
      </c>
      <c r="N1497" s="12"/>
      <c r="O1497" s="12"/>
      <c r="P1497" s="12"/>
      <c r="Q1497" s="16">
        <v>0</v>
      </c>
      <c r="R1497" s="16">
        <v>0</v>
      </c>
      <c r="S1497" s="16"/>
      <c r="T1497" s="16" t="e">
        <v>#N/A</v>
      </c>
      <c r="U1497" s="16" t="e">
        <v>#N/A</v>
      </c>
    </row>
    <row r="1498" spans="1:21" x14ac:dyDescent="0.25">
      <c r="A1498" s="12" t="s">
        <v>21</v>
      </c>
      <c r="B1498" s="12" t="s">
        <v>1570</v>
      </c>
      <c r="C1498" s="12" t="s">
        <v>23</v>
      </c>
      <c r="D1498" s="13">
        <v>46274.654050925928</v>
      </c>
      <c r="E1498" s="12" t="s">
        <v>24</v>
      </c>
      <c r="F1498" s="12" t="s">
        <v>1571</v>
      </c>
      <c r="G1498" s="12">
        <v>4</v>
      </c>
      <c r="H1498" s="12">
        <v>4</v>
      </c>
      <c r="I1498" s="14"/>
      <c r="J1498" s="14" t="s">
        <v>26</v>
      </c>
      <c r="K1498" s="12" t="s">
        <v>1575</v>
      </c>
      <c r="L1498" s="15">
        <v>1</v>
      </c>
      <c r="M1498" s="12" t="s">
        <v>150</v>
      </c>
      <c r="N1498" s="12">
        <v>4</v>
      </c>
      <c r="O1498" s="12">
        <v>4</v>
      </c>
      <c r="P1498" s="12">
        <v>0</v>
      </c>
      <c r="Q1498" s="16">
        <v>0</v>
      </c>
      <c r="R1498" s="16">
        <v>1</v>
      </c>
      <c r="S1498" s="16"/>
      <c r="T1498" s="16" t="e">
        <v>#N/A</v>
      </c>
      <c r="U1498" s="16" t="e">
        <v>#N/A</v>
      </c>
    </row>
    <row r="1499" spans="1:21" x14ac:dyDescent="0.25">
      <c r="A1499" s="12" t="s">
        <v>21</v>
      </c>
      <c r="B1499" s="12" t="s">
        <v>1570</v>
      </c>
      <c r="C1499" s="12" t="s">
        <v>23</v>
      </c>
      <c r="D1499" s="13">
        <v>46274.654050925928</v>
      </c>
      <c r="E1499" s="12" t="s">
        <v>24</v>
      </c>
      <c r="F1499" s="12" t="s">
        <v>1572</v>
      </c>
      <c r="G1499" s="12">
        <v>4</v>
      </c>
      <c r="H1499" s="12">
        <v>4</v>
      </c>
      <c r="I1499" s="14"/>
      <c r="J1499" s="14" t="s">
        <v>26</v>
      </c>
      <c r="K1499" s="12" t="s">
        <v>1576</v>
      </c>
      <c r="L1499" s="15">
        <v>1</v>
      </c>
      <c r="M1499" s="12" t="s">
        <v>150</v>
      </c>
      <c r="N1499" s="12">
        <v>4</v>
      </c>
      <c r="O1499" s="12">
        <v>4</v>
      </c>
      <c r="P1499" s="12">
        <v>0</v>
      </c>
      <c r="Q1499" s="16">
        <v>0</v>
      </c>
      <c r="R1499" s="16">
        <v>2</v>
      </c>
      <c r="S1499" s="16"/>
      <c r="T1499" s="16" t="e">
        <v>#N/A</v>
      </c>
      <c r="U1499" s="16" t="e">
        <v>#N/A</v>
      </c>
    </row>
    <row r="1500" spans="1:21" x14ac:dyDescent="0.25">
      <c r="A1500" s="12" t="s">
        <v>21</v>
      </c>
      <c r="B1500" s="12" t="s">
        <v>1570</v>
      </c>
      <c r="C1500" s="12" t="s">
        <v>23</v>
      </c>
      <c r="D1500" s="13">
        <v>46274.654050925928</v>
      </c>
      <c r="E1500" s="12" t="s">
        <v>24</v>
      </c>
      <c r="F1500" s="12" t="s">
        <v>59</v>
      </c>
      <c r="G1500" s="12">
        <v>2</v>
      </c>
      <c r="H1500" s="12">
        <v>2</v>
      </c>
      <c r="I1500" s="14"/>
      <c r="J1500" s="14" t="s">
        <v>26</v>
      </c>
      <c r="K1500" s="12" t="s">
        <v>27</v>
      </c>
      <c r="L1500" s="15"/>
      <c r="M1500" s="12" t="s">
        <v>28</v>
      </c>
      <c r="N1500" s="12"/>
      <c r="O1500" s="12"/>
      <c r="P1500" s="12"/>
      <c r="Q1500" s="16">
        <v>0</v>
      </c>
      <c r="R1500" s="16">
        <v>0</v>
      </c>
      <c r="S1500" s="16"/>
      <c r="T1500" s="16" t="e">
        <v>#N/A</v>
      </c>
      <c r="U1500" s="16" t="e">
        <v>#N/A</v>
      </c>
    </row>
    <row r="1501" spans="1:21" x14ac:dyDescent="0.25">
      <c r="A1501" s="12" t="s">
        <v>21</v>
      </c>
      <c r="B1501" s="12" t="s">
        <v>1570</v>
      </c>
      <c r="C1501" s="12" t="s">
        <v>23</v>
      </c>
      <c r="D1501" s="13">
        <v>46274.654050925928</v>
      </c>
      <c r="E1501" s="12" t="s">
        <v>24</v>
      </c>
      <c r="F1501" s="12" t="s">
        <v>1577</v>
      </c>
      <c r="G1501" s="12">
        <v>1</v>
      </c>
      <c r="H1501" s="12">
        <v>1</v>
      </c>
      <c r="I1501" s="14"/>
      <c r="J1501" s="14" t="s">
        <v>61</v>
      </c>
      <c r="K1501" s="12" t="s">
        <v>1586</v>
      </c>
      <c r="L1501" s="15">
        <v>1</v>
      </c>
      <c r="M1501" s="12" t="s">
        <v>150</v>
      </c>
      <c r="N1501" s="12">
        <v>1</v>
      </c>
      <c r="O1501" s="12">
        <v>1</v>
      </c>
      <c r="P1501" s="12">
        <v>0</v>
      </c>
      <c r="Q1501" s="16">
        <v>1</v>
      </c>
      <c r="R1501" s="16">
        <v>0</v>
      </c>
      <c r="S1501" s="16"/>
      <c r="T1501" s="16" t="e">
        <v>#N/A</v>
      </c>
      <c r="U1501" s="16" t="e">
        <v>#N/A</v>
      </c>
    </row>
    <row r="1502" spans="1:21" x14ac:dyDescent="0.25">
      <c r="A1502" s="12" t="s">
        <v>21</v>
      </c>
      <c r="B1502" s="12" t="s">
        <v>1570</v>
      </c>
      <c r="C1502" s="12" t="s">
        <v>23</v>
      </c>
      <c r="D1502" s="13">
        <v>46274.654050925928</v>
      </c>
      <c r="E1502" s="12" t="s">
        <v>24</v>
      </c>
      <c r="F1502" s="12" t="s">
        <v>1578</v>
      </c>
      <c r="G1502" s="12">
        <v>2</v>
      </c>
      <c r="H1502" s="12">
        <v>2</v>
      </c>
      <c r="I1502" s="14"/>
      <c r="J1502" s="14" t="s">
        <v>61</v>
      </c>
      <c r="K1502" s="12" t="s">
        <v>1587</v>
      </c>
      <c r="L1502" s="15">
        <v>1</v>
      </c>
      <c r="M1502" s="12" t="s">
        <v>150</v>
      </c>
      <c r="N1502" s="12">
        <v>2</v>
      </c>
      <c r="O1502" s="12">
        <v>2</v>
      </c>
      <c r="P1502" s="12">
        <v>0</v>
      </c>
      <c r="Q1502" s="16">
        <v>2</v>
      </c>
      <c r="R1502" s="16">
        <v>0</v>
      </c>
      <c r="S1502" s="16"/>
      <c r="T1502" s="16" t="e">
        <v>#N/A</v>
      </c>
      <c r="U1502" s="16" t="e">
        <v>#N/A</v>
      </c>
    </row>
    <row r="1503" spans="1:21" x14ac:dyDescent="0.25">
      <c r="A1503" s="12" t="s">
        <v>21</v>
      </c>
      <c r="B1503" s="12" t="s">
        <v>1570</v>
      </c>
      <c r="C1503" s="12" t="s">
        <v>23</v>
      </c>
      <c r="D1503" s="13">
        <v>46274.654050925928</v>
      </c>
      <c r="E1503" s="12" t="s">
        <v>24</v>
      </c>
      <c r="F1503" s="12" t="s">
        <v>1579</v>
      </c>
      <c r="G1503" s="12">
        <v>1</v>
      </c>
      <c r="H1503" s="12">
        <v>1</v>
      </c>
      <c r="I1503" s="14"/>
      <c r="J1503" s="14" t="s">
        <v>61</v>
      </c>
      <c r="K1503" s="12" t="s">
        <v>1588</v>
      </c>
      <c r="L1503" s="15">
        <v>1</v>
      </c>
      <c r="M1503" s="12" t="s">
        <v>150</v>
      </c>
      <c r="N1503" s="12">
        <v>1</v>
      </c>
      <c r="O1503" s="12">
        <v>1</v>
      </c>
      <c r="P1503" s="12">
        <v>0</v>
      </c>
      <c r="Q1503" s="16">
        <v>1</v>
      </c>
      <c r="R1503" s="16">
        <v>1</v>
      </c>
      <c r="S1503" s="16"/>
      <c r="T1503" s="16" t="e">
        <v>#N/A</v>
      </c>
      <c r="U1503" s="16" t="e">
        <v>#N/A</v>
      </c>
    </row>
    <row r="1504" spans="1:21" x14ac:dyDescent="0.25">
      <c r="A1504" s="12" t="s">
        <v>21</v>
      </c>
      <c r="B1504" s="12" t="s">
        <v>1570</v>
      </c>
      <c r="C1504" s="12" t="s">
        <v>23</v>
      </c>
      <c r="D1504" s="13">
        <v>46274.654050925928</v>
      </c>
      <c r="E1504" s="12" t="s">
        <v>24</v>
      </c>
      <c r="F1504" s="12" t="s">
        <v>1580</v>
      </c>
      <c r="G1504" s="12">
        <v>2</v>
      </c>
      <c r="H1504" s="12">
        <v>2</v>
      </c>
      <c r="I1504" s="14"/>
      <c r="J1504" s="14" t="s">
        <v>61</v>
      </c>
      <c r="K1504" s="12" t="s">
        <v>1589</v>
      </c>
      <c r="L1504" s="15">
        <v>1</v>
      </c>
      <c r="M1504" s="12" t="s">
        <v>150</v>
      </c>
      <c r="N1504" s="12">
        <v>2</v>
      </c>
      <c r="O1504" s="12">
        <v>2</v>
      </c>
      <c r="P1504" s="12">
        <v>0</v>
      </c>
      <c r="Q1504" s="16">
        <v>2</v>
      </c>
      <c r="R1504" s="16">
        <v>0</v>
      </c>
      <c r="S1504" s="16"/>
      <c r="T1504" s="16" t="e">
        <v>#N/A</v>
      </c>
      <c r="U1504" s="16" t="e">
        <v>#N/A</v>
      </c>
    </row>
    <row r="1505" spans="1:21" x14ac:dyDescent="0.25">
      <c r="A1505" s="12" t="s">
        <v>21</v>
      </c>
      <c r="B1505" s="12" t="s">
        <v>1570</v>
      </c>
      <c r="C1505" s="12" t="s">
        <v>23</v>
      </c>
      <c r="D1505" s="13">
        <v>46274.654050925928</v>
      </c>
      <c r="E1505" s="12" t="s">
        <v>24</v>
      </c>
      <c r="F1505" s="12" t="s">
        <v>1581</v>
      </c>
      <c r="G1505" s="12">
        <v>1</v>
      </c>
      <c r="H1505" s="12">
        <v>1</v>
      </c>
      <c r="I1505" s="14"/>
      <c r="J1505" s="14" t="s">
        <v>61</v>
      </c>
      <c r="K1505" s="12" t="s">
        <v>1590</v>
      </c>
      <c r="L1505" s="15">
        <v>1</v>
      </c>
      <c r="M1505" s="12" t="s">
        <v>150</v>
      </c>
      <c r="N1505" s="12">
        <v>1</v>
      </c>
      <c r="O1505" s="12">
        <v>1</v>
      </c>
      <c r="P1505" s="12">
        <v>0</v>
      </c>
      <c r="Q1505" s="16">
        <v>1</v>
      </c>
      <c r="R1505" s="16">
        <v>0</v>
      </c>
      <c r="S1505" s="16"/>
      <c r="T1505" s="16" t="e">
        <v>#N/A</v>
      </c>
      <c r="U1505" s="16" t="e">
        <v>#N/A</v>
      </c>
    </row>
    <row r="1506" spans="1:21" x14ac:dyDescent="0.25">
      <c r="A1506" s="12" t="s">
        <v>21</v>
      </c>
      <c r="B1506" s="12" t="s">
        <v>1570</v>
      </c>
      <c r="C1506" s="12" t="s">
        <v>23</v>
      </c>
      <c r="D1506" s="13">
        <v>46274.654050925928</v>
      </c>
      <c r="E1506" s="12" t="s">
        <v>24</v>
      </c>
      <c r="F1506" s="12" t="s">
        <v>1582</v>
      </c>
      <c r="G1506" s="12">
        <v>4</v>
      </c>
      <c r="H1506" s="12">
        <v>4</v>
      </c>
      <c r="I1506" s="14"/>
      <c r="J1506" s="14" t="s">
        <v>61</v>
      </c>
      <c r="K1506" s="12" t="s">
        <v>1591</v>
      </c>
      <c r="L1506" s="15">
        <v>1</v>
      </c>
      <c r="M1506" s="12" t="s">
        <v>150</v>
      </c>
      <c r="N1506" s="12">
        <v>4</v>
      </c>
      <c r="O1506" s="12">
        <v>4</v>
      </c>
      <c r="P1506" s="12">
        <v>0</v>
      </c>
      <c r="Q1506" s="16">
        <v>4</v>
      </c>
      <c r="R1506" s="16">
        <v>0</v>
      </c>
      <c r="S1506" s="16"/>
      <c r="T1506" s="16" t="e">
        <v>#N/A</v>
      </c>
      <c r="U1506" s="16" t="e">
        <v>#N/A</v>
      </c>
    </row>
    <row r="1507" spans="1:21" x14ac:dyDescent="0.25">
      <c r="A1507" s="12" t="s">
        <v>21</v>
      </c>
      <c r="B1507" s="12" t="s">
        <v>1570</v>
      </c>
      <c r="C1507" s="12" t="s">
        <v>23</v>
      </c>
      <c r="D1507" s="13">
        <v>46274.654050925928</v>
      </c>
      <c r="E1507" s="12" t="s">
        <v>24</v>
      </c>
      <c r="F1507" s="12" t="s">
        <v>1583</v>
      </c>
      <c r="G1507" s="12">
        <v>4</v>
      </c>
      <c r="H1507" s="12">
        <v>4</v>
      </c>
      <c r="I1507" s="14"/>
      <c r="J1507" s="14" t="s">
        <v>61</v>
      </c>
      <c r="K1507" s="12" t="s">
        <v>1592</v>
      </c>
      <c r="L1507" s="15">
        <v>1</v>
      </c>
      <c r="M1507" s="12" t="s">
        <v>150</v>
      </c>
      <c r="N1507" s="12">
        <v>4</v>
      </c>
      <c r="O1507" s="12">
        <v>4</v>
      </c>
      <c r="P1507" s="12">
        <v>0</v>
      </c>
      <c r="Q1507" s="16">
        <v>4</v>
      </c>
      <c r="R1507" s="16">
        <v>0</v>
      </c>
      <c r="S1507" s="16"/>
      <c r="T1507" s="16" t="e">
        <v>#N/A</v>
      </c>
      <c r="U1507" s="16" t="e">
        <v>#N/A</v>
      </c>
    </row>
    <row r="1508" spans="1:21" x14ac:dyDescent="0.25">
      <c r="A1508" s="12" t="s">
        <v>21</v>
      </c>
      <c r="B1508" s="12" t="s">
        <v>1570</v>
      </c>
      <c r="C1508" s="12" t="s">
        <v>23</v>
      </c>
      <c r="D1508" s="13">
        <v>46274.654050925928</v>
      </c>
      <c r="E1508" s="12" t="s">
        <v>24</v>
      </c>
      <c r="F1508" s="12" t="s">
        <v>1584</v>
      </c>
      <c r="G1508" s="12">
        <v>5</v>
      </c>
      <c r="H1508" s="12">
        <v>5</v>
      </c>
      <c r="I1508" s="14"/>
      <c r="J1508" s="14" t="s">
        <v>61</v>
      </c>
      <c r="K1508" s="12" t="s">
        <v>1593</v>
      </c>
      <c r="L1508" s="15">
        <v>1</v>
      </c>
      <c r="M1508" s="12" t="s">
        <v>150</v>
      </c>
      <c r="N1508" s="12">
        <v>5</v>
      </c>
      <c r="O1508" s="12">
        <v>5</v>
      </c>
      <c r="P1508" s="12">
        <v>0</v>
      </c>
      <c r="Q1508" s="16">
        <v>5</v>
      </c>
      <c r="R1508" s="16">
        <v>0</v>
      </c>
      <c r="S1508" s="16"/>
      <c r="T1508" s="16" t="e">
        <v>#N/A</v>
      </c>
      <c r="U1508" s="16" t="e">
        <v>#N/A</v>
      </c>
    </row>
    <row r="1509" spans="1:21" x14ac:dyDescent="0.25">
      <c r="A1509" s="12" t="s">
        <v>21</v>
      </c>
      <c r="B1509" s="12" t="s">
        <v>1570</v>
      </c>
      <c r="C1509" s="12" t="s">
        <v>23</v>
      </c>
      <c r="D1509" s="13">
        <v>46274.654050925928</v>
      </c>
      <c r="E1509" s="12" t="s">
        <v>24</v>
      </c>
      <c r="F1509" s="12" t="s">
        <v>1585</v>
      </c>
      <c r="G1509" s="12">
        <v>4</v>
      </c>
      <c r="H1509" s="12">
        <v>4</v>
      </c>
      <c r="I1509" s="14"/>
      <c r="J1509" s="14" t="s">
        <v>61</v>
      </c>
      <c r="K1509" s="12" t="s">
        <v>1594</v>
      </c>
      <c r="L1509" s="15">
        <v>1</v>
      </c>
      <c r="M1509" s="12" t="s">
        <v>150</v>
      </c>
      <c r="N1509" s="12">
        <v>4</v>
      </c>
      <c r="O1509" s="12">
        <v>4</v>
      </c>
      <c r="P1509" s="12">
        <v>0</v>
      </c>
      <c r="Q1509" s="16">
        <v>4</v>
      </c>
      <c r="R1509" s="16">
        <v>0</v>
      </c>
      <c r="S1509" s="16"/>
      <c r="T1509" s="16" t="e">
        <v>#N/A</v>
      </c>
      <c r="U1509" s="16" t="e">
        <v>#N/A</v>
      </c>
    </row>
    <row r="1510" spans="1:21" x14ac:dyDescent="0.25">
      <c r="A1510" s="12" t="s">
        <v>21</v>
      </c>
      <c r="B1510" s="12" t="s">
        <v>1570</v>
      </c>
      <c r="C1510" s="12" t="s">
        <v>23</v>
      </c>
      <c r="D1510" s="13">
        <v>46274.654050925928</v>
      </c>
      <c r="E1510" s="12" t="s">
        <v>24</v>
      </c>
      <c r="F1510" s="12" t="s">
        <v>1595</v>
      </c>
      <c r="G1510" s="12">
        <v>2</v>
      </c>
      <c r="H1510" s="12">
        <v>2</v>
      </c>
      <c r="I1510" s="14"/>
      <c r="J1510" s="14" t="s">
        <v>61</v>
      </c>
      <c r="K1510" s="12" t="s">
        <v>1597</v>
      </c>
      <c r="L1510" s="15">
        <v>1</v>
      </c>
      <c r="M1510" s="12" t="s">
        <v>150</v>
      </c>
      <c r="N1510" s="12">
        <v>2</v>
      </c>
      <c r="O1510" s="12">
        <v>2</v>
      </c>
      <c r="P1510" s="12">
        <v>0</v>
      </c>
      <c r="Q1510" s="16">
        <v>2</v>
      </c>
      <c r="R1510" s="16">
        <v>0</v>
      </c>
      <c r="S1510" s="16"/>
      <c r="T1510" s="16" t="e">
        <v>#N/A</v>
      </c>
      <c r="U1510" s="16" t="e">
        <v>#N/A</v>
      </c>
    </row>
    <row r="1511" spans="1:21" x14ac:dyDescent="0.25">
      <c r="A1511" s="12" t="s">
        <v>21</v>
      </c>
      <c r="B1511" s="12" t="s">
        <v>1570</v>
      </c>
      <c r="C1511" s="12" t="s">
        <v>23</v>
      </c>
      <c r="D1511" s="13">
        <v>46274.654050925928</v>
      </c>
      <c r="E1511" s="12" t="s">
        <v>24</v>
      </c>
      <c r="F1511" s="12" t="s">
        <v>1596</v>
      </c>
      <c r="G1511" s="12">
        <v>2</v>
      </c>
      <c r="H1511" s="12">
        <v>2</v>
      </c>
      <c r="I1511" s="14"/>
      <c r="J1511" s="14" t="s">
        <v>61</v>
      </c>
      <c r="K1511" s="12" t="s">
        <v>1598</v>
      </c>
      <c r="L1511" s="15">
        <v>1</v>
      </c>
      <c r="M1511" s="12" t="s">
        <v>150</v>
      </c>
      <c r="N1511" s="12">
        <v>2</v>
      </c>
      <c r="O1511" s="12">
        <v>2</v>
      </c>
      <c r="P1511" s="12">
        <v>0</v>
      </c>
      <c r="Q1511" s="16">
        <v>2</v>
      </c>
      <c r="R1511" s="16">
        <v>0</v>
      </c>
      <c r="S1511" s="16"/>
      <c r="T1511" s="16" t="e">
        <v>#N/A</v>
      </c>
      <c r="U1511" s="16" t="e">
        <v>#N/A</v>
      </c>
    </row>
    <row r="1512" spans="1:21" x14ac:dyDescent="0.25">
      <c r="A1512" s="12" t="s">
        <v>21</v>
      </c>
      <c r="B1512" s="12" t="s">
        <v>1570</v>
      </c>
      <c r="C1512" s="12" t="s">
        <v>23</v>
      </c>
      <c r="D1512" s="13">
        <v>46274.654050925928</v>
      </c>
      <c r="E1512" s="12" t="s">
        <v>24</v>
      </c>
      <c r="F1512" s="12" t="s">
        <v>1603</v>
      </c>
      <c r="G1512" s="12">
        <v>2</v>
      </c>
      <c r="H1512" s="12">
        <v>2</v>
      </c>
      <c r="I1512" s="14"/>
      <c r="J1512" s="14" t="s">
        <v>61</v>
      </c>
      <c r="K1512" s="12" t="s">
        <v>1617</v>
      </c>
      <c r="L1512" s="15">
        <v>1</v>
      </c>
      <c r="M1512" s="12" t="s">
        <v>150</v>
      </c>
      <c r="N1512" s="12">
        <v>2</v>
      </c>
      <c r="O1512" s="12">
        <v>2</v>
      </c>
      <c r="P1512" s="12">
        <v>0</v>
      </c>
      <c r="Q1512" s="16">
        <v>2</v>
      </c>
      <c r="R1512" s="16">
        <v>0</v>
      </c>
      <c r="S1512" s="16"/>
      <c r="T1512" s="16" t="e">
        <v>#N/A</v>
      </c>
      <c r="U1512" s="16" t="e">
        <v>#N/A</v>
      </c>
    </row>
    <row r="1513" spans="1:21" x14ac:dyDescent="0.25">
      <c r="A1513" s="12" t="s">
        <v>21</v>
      </c>
      <c r="B1513" s="12" t="s">
        <v>1570</v>
      </c>
      <c r="C1513" s="12" t="s">
        <v>23</v>
      </c>
      <c r="D1513" s="13">
        <v>46274.654050925928</v>
      </c>
      <c r="E1513" s="12" t="s">
        <v>24</v>
      </c>
      <c r="F1513" s="12" t="s">
        <v>1604</v>
      </c>
      <c r="G1513" s="12">
        <v>19</v>
      </c>
      <c r="H1513" s="12">
        <v>19</v>
      </c>
      <c r="I1513" s="14"/>
      <c r="J1513" s="14" t="s">
        <v>61</v>
      </c>
      <c r="K1513" s="12" t="s">
        <v>1618</v>
      </c>
      <c r="L1513" s="15">
        <v>1</v>
      </c>
      <c r="M1513" s="12" t="s">
        <v>150</v>
      </c>
      <c r="N1513" s="12">
        <v>19</v>
      </c>
      <c r="O1513" s="12">
        <v>19</v>
      </c>
      <c r="P1513" s="12">
        <v>0</v>
      </c>
      <c r="Q1513" s="16">
        <v>19</v>
      </c>
      <c r="R1513" s="16">
        <v>1</v>
      </c>
      <c r="S1513" s="16"/>
      <c r="T1513" s="16" t="e">
        <v>#N/A</v>
      </c>
      <c r="U1513" s="16" t="e">
        <v>#N/A</v>
      </c>
    </row>
    <row r="1514" spans="1:21" x14ac:dyDescent="0.25">
      <c r="A1514" s="12" t="s">
        <v>21</v>
      </c>
      <c r="B1514" s="12" t="s">
        <v>1570</v>
      </c>
      <c r="C1514" s="12" t="s">
        <v>23</v>
      </c>
      <c r="D1514" s="13">
        <v>46274.654050925928</v>
      </c>
      <c r="E1514" s="12" t="s">
        <v>24</v>
      </c>
      <c r="F1514" s="12" t="s">
        <v>1605</v>
      </c>
      <c r="G1514" s="12">
        <v>16</v>
      </c>
      <c r="H1514" s="12">
        <v>16</v>
      </c>
      <c r="I1514" s="14"/>
      <c r="J1514" s="14" t="s">
        <v>26</v>
      </c>
      <c r="K1514" s="12" t="s">
        <v>1619</v>
      </c>
      <c r="L1514" s="15">
        <v>1</v>
      </c>
      <c r="M1514" s="12" t="s">
        <v>150</v>
      </c>
      <c r="N1514" s="12">
        <v>16</v>
      </c>
      <c r="O1514" s="12">
        <v>16</v>
      </c>
      <c r="P1514" s="12">
        <v>0</v>
      </c>
      <c r="Q1514" s="16">
        <v>0</v>
      </c>
      <c r="R1514" s="16">
        <v>0</v>
      </c>
      <c r="S1514" s="16"/>
      <c r="T1514" s="16" t="e">
        <v>#N/A</v>
      </c>
      <c r="U1514" s="16" t="e">
        <v>#N/A</v>
      </c>
    </row>
    <row r="1515" spans="1:21" x14ac:dyDescent="0.25">
      <c r="A1515" s="12" t="s">
        <v>21</v>
      </c>
      <c r="B1515" s="12" t="s">
        <v>1570</v>
      </c>
      <c r="C1515" s="12" t="s">
        <v>23</v>
      </c>
      <c r="D1515" s="13">
        <v>46274.654050925928</v>
      </c>
      <c r="E1515" s="12" t="s">
        <v>24</v>
      </c>
      <c r="F1515" s="12" t="s">
        <v>1606</v>
      </c>
      <c r="G1515" s="12">
        <v>1</v>
      </c>
      <c r="H1515" s="12">
        <v>1</v>
      </c>
      <c r="I1515" s="14"/>
      <c r="J1515" s="14" t="s">
        <v>61</v>
      </c>
      <c r="K1515" s="12" t="s">
        <v>1620</v>
      </c>
      <c r="L1515" s="15">
        <v>1</v>
      </c>
      <c r="M1515" s="12" t="s">
        <v>150</v>
      </c>
      <c r="N1515" s="12">
        <v>1</v>
      </c>
      <c r="O1515" s="12">
        <v>1</v>
      </c>
      <c r="P1515" s="12">
        <v>0</v>
      </c>
      <c r="Q1515" s="16">
        <v>1</v>
      </c>
      <c r="R1515" s="16">
        <v>0</v>
      </c>
      <c r="S1515" s="16"/>
      <c r="T1515" s="16" t="e">
        <v>#N/A</v>
      </c>
      <c r="U1515" s="16" t="e">
        <v>#N/A</v>
      </c>
    </row>
    <row r="1516" spans="1:21" x14ac:dyDescent="0.25">
      <c r="A1516" s="12" t="s">
        <v>21</v>
      </c>
      <c r="B1516" s="12" t="s">
        <v>1570</v>
      </c>
      <c r="C1516" s="12" t="s">
        <v>23</v>
      </c>
      <c r="D1516" s="13">
        <v>46274.654050925928</v>
      </c>
      <c r="E1516" s="12" t="s">
        <v>24</v>
      </c>
      <c r="F1516" s="12" t="s">
        <v>1607</v>
      </c>
      <c r="G1516" s="12">
        <v>55</v>
      </c>
      <c r="H1516" s="12">
        <v>55</v>
      </c>
      <c r="I1516" s="14"/>
      <c r="J1516" s="14" t="s">
        <v>61</v>
      </c>
      <c r="K1516" s="12" t="s">
        <v>1621</v>
      </c>
      <c r="L1516" s="15">
        <v>1</v>
      </c>
      <c r="M1516" s="12" t="s">
        <v>150</v>
      </c>
      <c r="N1516" s="12">
        <v>55</v>
      </c>
      <c r="O1516" s="12">
        <v>55</v>
      </c>
      <c r="P1516" s="12">
        <v>0</v>
      </c>
      <c r="Q1516" s="16">
        <v>55</v>
      </c>
      <c r="R1516" s="16">
        <v>0</v>
      </c>
      <c r="S1516" s="16"/>
      <c r="T1516" s="16" t="e">
        <v>#N/A</v>
      </c>
      <c r="U1516" s="16" t="e">
        <v>#N/A</v>
      </c>
    </row>
    <row r="1517" spans="1:21" x14ac:dyDescent="0.25">
      <c r="A1517" s="12" t="s">
        <v>21</v>
      </c>
      <c r="B1517" s="12" t="s">
        <v>1599</v>
      </c>
      <c r="C1517" s="12" t="s">
        <v>23</v>
      </c>
      <c r="D1517" s="13">
        <v>46275.327615740738</v>
      </c>
      <c r="E1517" s="12" t="s">
        <v>195</v>
      </c>
      <c r="F1517" s="12" t="s">
        <v>245</v>
      </c>
      <c r="G1517" s="12">
        <v>1</v>
      </c>
      <c r="H1517" s="12">
        <v>1</v>
      </c>
      <c r="I1517" s="14"/>
      <c r="J1517" s="14" t="s">
        <v>26</v>
      </c>
      <c r="K1517" s="12" t="s">
        <v>27</v>
      </c>
      <c r="L1517" s="15"/>
      <c r="M1517" s="12" t="s">
        <v>28</v>
      </c>
      <c r="N1517" s="12"/>
      <c r="O1517" s="12"/>
      <c r="P1517" s="12"/>
      <c r="Q1517" s="16">
        <v>0</v>
      </c>
      <c r="R1517" s="16">
        <v>0</v>
      </c>
      <c r="S1517" s="16"/>
      <c r="T1517" s="16" t="e">
        <v>#N/A</v>
      </c>
      <c r="U1517" s="16" t="e">
        <v>#N/A</v>
      </c>
    </row>
    <row r="1518" spans="1:21" x14ac:dyDescent="0.25">
      <c r="A1518" s="12" t="s">
        <v>21</v>
      </c>
      <c r="B1518" s="12" t="s">
        <v>1600</v>
      </c>
      <c r="C1518" s="12" t="s">
        <v>23</v>
      </c>
      <c r="D1518" s="13">
        <v>46275.377118055556</v>
      </c>
      <c r="E1518" s="12" t="s">
        <v>24</v>
      </c>
      <c r="F1518" s="12" t="s">
        <v>1608</v>
      </c>
      <c r="G1518" s="12">
        <v>1</v>
      </c>
      <c r="H1518" s="12">
        <v>1</v>
      </c>
      <c r="I1518" s="14"/>
      <c r="J1518" s="14" t="s">
        <v>61</v>
      </c>
      <c r="K1518" s="12" t="s">
        <v>1622</v>
      </c>
      <c r="L1518" s="15">
        <v>1</v>
      </c>
      <c r="M1518" s="12" t="s">
        <v>150</v>
      </c>
      <c r="N1518" s="12">
        <v>1</v>
      </c>
      <c r="O1518" s="12">
        <v>1</v>
      </c>
      <c r="P1518" s="12">
        <v>0</v>
      </c>
      <c r="Q1518" s="16">
        <v>1</v>
      </c>
      <c r="R1518" s="16">
        <v>4</v>
      </c>
      <c r="S1518" s="16"/>
      <c r="T1518" s="16" t="e">
        <v>#N/A</v>
      </c>
      <c r="U1518" s="16" t="e">
        <v>#N/A</v>
      </c>
    </row>
    <row r="1519" spans="1:21" x14ac:dyDescent="0.25">
      <c r="A1519" s="12" t="s">
        <v>21</v>
      </c>
      <c r="B1519" s="12" t="s">
        <v>1600</v>
      </c>
      <c r="C1519" s="12" t="s">
        <v>23</v>
      </c>
      <c r="D1519" s="13">
        <v>46275.377118055556</v>
      </c>
      <c r="E1519" s="12" t="s">
        <v>24</v>
      </c>
      <c r="F1519" s="12" t="s">
        <v>1116</v>
      </c>
      <c r="G1519" s="12">
        <v>67</v>
      </c>
      <c r="H1519" s="12">
        <v>67</v>
      </c>
      <c r="I1519" s="14"/>
      <c r="J1519" s="14" t="s">
        <v>61</v>
      </c>
      <c r="K1519" s="12" t="s">
        <v>1623</v>
      </c>
      <c r="L1519" s="15">
        <v>1</v>
      </c>
      <c r="M1519" s="12" t="s">
        <v>150</v>
      </c>
      <c r="N1519" s="12">
        <v>67</v>
      </c>
      <c r="O1519" s="12">
        <v>67</v>
      </c>
      <c r="P1519" s="12">
        <v>0</v>
      </c>
      <c r="Q1519" s="16">
        <v>67</v>
      </c>
      <c r="R1519" s="16">
        <v>0</v>
      </c>
      <c r="S1519" s="16"/>
      <c r="T1519" s="16" t="e">
        <v>#N/A</v>
      </c>
      <c r="U1519" s="16" t="e">
        <v>#N/A</v>
      </c>
    </row>
    <row r="1520" spans="1:21" x14ac:dyDescent="0.25">
      <c r="A1520" s="12" t="s">
        <v>21</v>
      </c>
      <c r="B1520" s="12" t="s">
        <v>1600</v>
      </c>
      <c r="C1520" s="12" t="s">
        <v>23</v>
      </c>
      <c r="D1520" s="13">
        <v>46275.377118055556</v>
      </c>
      <c r="E1520" s="12" t="s">
        <v>24</v>
      </c>
      <c r="F1520" s="12" t="s">
        <v>1117</v>
      </c>
      <c r="G1520" s="12">
        <v>4</v>
      </c>
      <c r="H1520" s="12">
        <v>4</v>
      </c>
      <c r="I1520" s="14"/>
      <c r="J1520" s="14" t="s">
        <v>61</v>
      </c>
      <c r="K1520" s="12" t="s">
        <v>1624</v>
      </c>
      <c r="L1520" s="15">
        <v>1</v>
      </c>
      <c r="M1520" s="12" t="s">
        <v>150</v>
      </c>
      <c r="N1520" s="12">
        <v>4</v>
      </c>
      <c r="O1520" s="12">
        <v>4</v>
      </c>
      <c r="P1520" s="12">
        <v>0</v>
      </c>
      <c r="Q1520" s="16">
        <v>4</v>
      </c>
      <c r="R1520" s="16">
        <v>0</v>
      </c>
      <c r="S1520" s="16"/>
      <c r="T1520" s="16" t="e">
        <v>#N/A</v>
      </c>
      <c r="U1520" s="16" t="e">
        <v>#N/A</v>
      </c>
    </row>
    <row r="1521" spans="1:21" x14ac:dyDescent="0.25">
      <c r="A1521" s="12" t="s">
        <v>21</v>
      </c>
      <c r="B1521" s="12" t="s">
        <v>1600</v>
      </c>
      <c r="C1521" s="12" t="s">
        <v>23</v>
      </c>
      <c r="D1521" s="13">
        <v>46275.377118055556</v>
      </c>
      <c r="E1521" s="12" t="s">
        <v>24</v>
      </c>
      <c r="F1521" s="12" t="s">
        <v>1609</v>
      </c>
      <c r="G1521" s="12">
        <v>21</v>
      </c>
      <c r="H1521" s="12">
        <v>21</v>
      </c>
      <c r="I1521" s="14"/>
      <c r="J1521" s="14" t="s">
        <v>61</v>
      </c>
      <c r="K1521" s="12" t="s">
        <v>1625</v>
      </c>
      <c r="L1521" s="15">
        <v>1</v>
      </c>
      <c r="M1521" s="12" t="s">
        <v>150</v>
      </c>
      <c r="N1521" s="12">
        <v>21</v>
      </c>
      <c r="O1521" s="12">
        <v>21</v>
      </c>
      <c r="P1521" s="12">
        <v>0</v>
      </c>
      <c r="Q1521" s="16">
        <v>21</v>
      </c>
      <c r="R1521" s="16">
        <v>1</v>
      </c>
      <c r="S1521" s="16"/>
      <c r="T1521" s="16" t="e">
        <v>#N/A</v>
      </c>
      <c r="U1521" s="16" t="e">
        <v>#N/A</v>
      </c>
    </row>
    <row r="1522" spans="1:21" x14ac:dyDescent="0.25">
      <c r="A1522" s="12" t="s">
        <v>21</v>
      </c>
      <c r="B1522" s="12" t="s">
        <v>1601</v>
      </c>
      <c r="C1522" s="12" t="s">
        <v>23</v>
      </c>
      <c r="D1522" s="13">
        <v>46275.382719907408</v>
      </c>
      <c r="E1522" s="12" t="s">
        <v>24</v>
      </c>
      <c r="F1522" s="12" t="s">
        <v>1610</v>
      </c>
      <c r="G1522" s="12">
        <v>1</v>
      </c>
      <c r="H1522" s="12">
        <v>1</v>
      </c>
      <c r="I1522" s="14"/>
      <c r="J1522" s="14" t="s">
        <v>61</v>
      </c>
      <c r="K1522" s="12" t="s">
        <v>1626</v>
      </c>
      <c r="L1522" s="15">
        <v>1</v>
      </c>
      <c r="M1522" s="12" t="s">
        <v>150</v>
      </c>
      <c r="N1522" s="12">
        <v>1</v>
      </c>
      <c r="O1522" s="12">
        <v>1</v>
      </c>
      <c r="P1522" s="12">
        <v>0</v>
      </c>
      <c r="Q1522" s="16">
        <v>1</v>
      </c>
      <c r="R1522" s="16">
        <v>0</v>
      </c>
      <c r="S1522" s="16"/>
      <c r="T1522" s="16" t="e">
        <v>#N/A</v>
      </c>
      <c r="U1522" s="16" t="e">
        <v>#N/A</v>
      </c>
    </row>
    <row r="1523" spans="1:21" x14ac:dyDescent="0.25">
      <c r="A1523" s="12" t="s">
        <v>21</v>
      </c>
      <c r="B1523" s="12" t="s">
        <v>1601</v>
      </c>
      <c r="C1523" s="12" t="s">
        <v>23</v>
      </c>
      <c r="D1523" s="13">
        <v>46275.382719907408</v>
      </c>
      <c r="E1523" s="12" t="s">
        <v>24</v>
      </c>
      <c r="F1523" s="12" t="s">
        <v>1611</v>
      </c>
      <c r="G1523" s="12">
        <v>6</v>
      </c>
      <c r="H1523" s="12">
        <v>6</v>
      </c>
      <c r="I1523" s="14"/>
      <c r="J1523" s="14" t="s">
        <v>61</v>
      </c>
      <c r="K1523" s="12" t="s">
        <v>1627</v>
      </c>
      <c r="L1523" s="15">
        <v>1</v>
      </c>
      <c r="M1523" s="12" t="s">
        <v>150</v>
      </c>
      <c r="N1523" s="12">
        <v>6</v>
      </c>
      <c r="O1523" s="12">
        <v>6</v>
      </c>
      <c r="P1523" s="12">
        <v>0</v>
      </c>
      <c r="Q1523" s="16">
        <v>10</v>
      </c>
      <c r="R1523" s="16">
        <v>0</v>
      </c>
      <c r="S1523" s="16"/>
      <c r="T1523" s="16" t="e">
        <v>#N/A</v>
      </c>
      <c r="U1523" s="16" t="e">
        <v>#N/A</v>
      </c>
    </row>
    <row r="1524" spans="1:21" x14ac:dyDescent="0.25">
      <c r="A1524" s="12" t="s">
        <v>21</v>
      </c>
      <c r="B1524" s="12" t="s">
        <v>1601</v>
      </c>
      <c r="C1524" s="12" t="s">
        <v>23</v>
      </c>
      <c r="D1524" s="13">
        <v>46275.382719907408</v>
      </c>
      <c r="E1524" s="12" t="s">
        <v>24</v>
      </c>
      <c r="F1524" s="12" t="s">
        <v>1612</v>
      </c>
      <c r="G1524" s="12">
        <v>4</v>
      </c>
      <c r="H1524" s="12">
        <v>4</v>
      </c>
      <c r="I1524" s="14"/>
      <c r="J1524" s="14" t="s">
        <v>61</v>
      </c>
      <c r="K1524" s="12" t="s">
        <v>1628</v>
      </c>
      <c r="L1524" s="15">
        <v>1</v>
      </c>
      <c r="M1524" s="12" t="s">
        <v>150</v>
      </c>
      <c r="N1524" s="12">
        <v>4</v>
      </c>
      <c r="O1524" s="12">
        <v>4</v>
      </c>
      <c r="P1524" s="12">
        <v>0</v>
      </c>
      <c r="Q1524" s="16">
        <v>9</v>
      </c>
      <c r="R1524" s="16">
        <v>0</v>
      </c>
      <c r="S1524" s="16"/>
      <c r="T1524" s="16" t="e">
        <v>#N/A</v>
      </c>
      <c r="U1524" s="16" t="e">
        <v>#N/A</v>
      </c>
    </row>
    <row r="1525" spans="1:21" x14ac:dyDescent="0.25">
      <c r="A1525" s="12" t="s">
        <v>21</v>
      </c>
      <c r="B1525" s="12" t="s">
        <v>1601</v>
      </c>
      <c r="C1525" s="12" t="s">
        <v>23</v>
      </c>
      <c r="D1525" s="13">
        <v>46275.382719907408</v>
      </c>
      <c r="E1525" s="12" t="s">
        <v>24</v>
      </c>
      <c r="F1525" s="12" t="s">
        <v>1613</v>
      </c>
      <c r="G1525" s="12">
        <v>4</v>
      </c>
      <c r="H1525" s="12">
        <v>4</v>
      </c>
      <c r="I1525" s="14"/>
      <c r="J1525" s="14" t="s">
        <v>61</v>
      </c>
      <c r="K1525" s="12" t="s">
        <v>1629</v>
      </c>
      <c r="L1525" s="15">
        <v>1</v>
      </c>
      <c r="M1525" s="12" t="s">
        <v>150</v>
      </c>
      <c r="N1525" s="12">
        <v>4</v>
      </c>
      <c r="O1525" s="12">
        <v>4</v>
      </c>
      <c r="P1525" s="12">
        <v>0</v>
      </c>
      <c r="Q1525" s="16">
        <v>10</v>
      </c>
      <c r="R1525" s="16">
        <v>0</v>
      </c>
      <c r="S1525" s="16"/>
      <c r="T1525" s="16" t="e">
        <v>#N/A</v>
      </c>
      <c r="U1525" s="16" t="e">
        <v>#N/A</v>
      </c>
    </row>
    <row r="1526" spans="1:21" x14ac:dyDescent="0.25">
      <c r="A1526" s="12" t="s">
        <v>21</v>
      </c>
      <c r="B1526" s="12" t="s">
        <v>1601</v>
      </c>
      <c r="C1526" s="12" t="s">
        <v>23</v>
      </c>
      <c r="D1526" s="13">
        <v>46275.382719907408</v>
      </c>
      <c r="E1526" s="12" t="s">
        <v>24</v>
      </c>
      <c r="F1526" s="12" t="s">
        <v>1614</v>
      </c>
      <c r="G1526" s="12">
        <v>5</v>
      </c>
      <c r="H1526" s="12">
        <v>5</v>
      </c>
      <c r="I1526" s="14"/>
      <c r="J1526" s="14" t="s">
        <v>61</v>
      </c>
      <c r="K1526" s="12" t="s">
        <v>1630</v>
      </c>
      <c r="L1526" s="15">
        <v>1</v>
      </c>
      <c r="M1526" s="12" t="s">
        <v>150</v>
      </c>
      <c r="N1526" s="12">
        <v>5</v>
      </c>
      <c r="O1526" s="12">
        <v>5</v>
      </c>
      <c r="P1526" s="12">
        <v>0</v>
      </c>
      <c r="Q1526" s="16">
        <v>9</v>
      </c>
      <c r="R1526" s="16">
        <v>0</v>
      </c>
      <c r="S1526" s="16"/>
      <c r="T1526" s="16" t="e">
        <v>#N/A</v>
      </c>
      <c r="U1526" s="16" t="e">
        <v>#N/A</v>
      </c>
    </row>
    <row r="1527" spans="1:21" x14ac:dyDescent="0.25">
      <c r="A1527" s="12" t="s">
        <v>21</v>
      </c>
      <c r="B1527" s="12" t="s">
        <v>1602</v>
      </c>
      <c r="C1527" s="12" t="s">
        <v>23</v>
      </c>
      <c r="D1527" s="13">
        <v>46275.386006944442</v>
      </c>
      <c r="E1527" s="12" t="s">
        <v>1439</v>
      </c>
      <c r="F1527" s="12" t="s">
        <v>1615</v>
      </c>
      <c r="G1527" s="12">
        <v>3</v>
      </c>
      <c r="H1527" s="12">
        <v>3</v>
      </c>
      <c r="I1527" s="14"/>
      <c r="J1527" s="14" t="s">
        <v>26</v>
      </c>
      <c r="K1527" s="12" t="s">
        <v>1631</v>
      </c>
      <c r="L1527" s="15">
        <v>1</v>
      </c>
      <c r="M1527" s="12" t="s">
        <v>150</v>
      </c>
      <c r="N1527" s="12">
        <v>3</v>
      </c>
      <c r="O1527" s="12">
        <v>3</v>
      </c>
      <c r="P1527" s="12">
        <v>0</v>
      </c>
      <c r="Q1527" s="16">
        <v>0</v>
      </c>
      <c r="R1527" s="16">
        <v>0</v>
      </c>
      <c r="S1527" s="16"/>
      <c r="T1527" s="16" t="e">
        <v>#N/A</v>
      </c>
      <c r="U1527" s="16" t="e">
        <v>#N/A</v>
      </c>
    </row>
    <row r="1528" spans="1:21" x14ac:dyDescent="0.25">
      <c r="A1528" s="12" t="s">
        <v>21</v>
      </c>
      <c r="B1528" s="12" t="s">
        <v>1602</v>
      </c>
      <c r="C1528" s="12" t="s">
        <v>23</v>
      </c>
      <c r="D1528" s="13">
        <v>46275.386006944442</v>
      </c>
      <c r="E1528" s="12" t="s">
        <v>1439</v>
      </c>
      <c r="F1528" s="12" t="s">
        <v>1616</v>
      </c>
      <c r="G1528" s="12">
        <v>2</v>
      </c>
      <c r="H1528" s="12">
        <v>2</v>
      </c>
      <c r="I1528" s="14"/>
      <c r="J1528" s="14" t="s">
        <v>26</v>
      </c>
      <c r="K1528" s="12" t="s">
        <v>1632</v>
      </c>
      <c r="L1528" s="15">
        <v>1</v>
      </c>
      <c r="M1528" s="12" t="s">
        <v>150</v>
      </c>
      <c r="N1528" s="12">
        <v>2</v>
      </c>
      <c r="O1528" s="12">
        <v>2</v>
      </c>
      <c r="P1528" s="12">
        <v>0</v>
      </c>
      <c r="Q1528" s="16">
        <v>0</v>
      </c>
      <c r="R1528" s="16">
        <v>0</v>
      </c>
      <c r="S1528" s="16"/>
      <c r="T1528" s="16" t="e">
        <v>#N/A</v>
      </c>
      <c r="U1528" s="16" t="e">
        <v>#N/A</v>
      </c>
    </row>
    <row r="1529" spans="1:21" x14ac:dyDescent="0.25">
      <c r="A1529" s="12" t="s">
        <v>21</v>
      </c>
      <c r="B1529" s="12" t="s">
        <v>1633</v>
      </c>
      <c r="C1529" s="12" t="s">
        <v>23</v>
      </c>
      <c r="D1529" s="13">
        <v>46275.388206018521</v>
      </c>
      <c r="E1529" s="12" t="s">
        <v>340</v>
      </c>
      <c r="F1529" s="12" t="s">
        <v>159</v>
      </c>
      <c r="G1529" s="12">
        <v>3</v>
      </c>
      <c r="H1529" s="12">
        <v>3</v>
      </c>
      <c r="I1529" s="14"/>
      <c r="J1529" s="14" t="s">
        <v>26</v>
      </c>
      <c r="K1529" s="12" t="s">
        <v>27</v>
      </c>
      <c r="L1529" s="15"/>
      <c r="M1529" s="12" t="s">
        <v>28</v>
      </c>
      <c r="N1529" s="12"/>
      <c r="O1529" s="12"/>
      <c r="P1529" s="12"/>
      <c r="Q1529" s="16">
        <v>0</v>
      </c>
      <c r="R1529" s="16">
        <v>0</v>
      </c>
      <c r="S1529" s="16"/>
      <c r="T1529" s="16" t="e">
        <v>#N/A</v>
      </c>
      <c r="U1529" s="16" t="e">
        <v>#N/A</v>
      </c>
    </row>
    <row r="1530" spans="1:21" x14ac:dyDescent="0.25">
      <c r="A1530" s="12" t="s">
        <v>21</v>
      </c>
      <c r="B1530" s="12" t="s">
        <v>1634</v>
      </c>
      <c r="C1530" s="12" t="s">
        <v>23</v>
      </c>
      <c r="D1530" s="13">
        <v>46275.391180555554</v>
      </c>
      <c r="E1530" s="12" t="s">
        <v>24</v>
      </c>
      <c r="F1530" s="12" t="s">
        <v>371</v>
      </c>
      <c r="G1530" s="12">
        <v>210</v>
      </c>
      <c r="H1530" s="12">
        <v>210</v>
      </c>
      <c r="I1530" s="14"/>
      <c r="J1530" s="14" t="s">
        <v>26</v>
      </c>
      <c r="K1530" s="12" t="s">
        <v>27</v>
      </c>
      <c r="L1530" s="15"/>
      <c r="M1530" s="12" t="s">
        <v>28</v>
      </c>
      <c r="N1530" s="12"/>
      <c r="O1530" s="12"/>
      <c r="P1530" s="12"/>
      <c r="Q1530" s="16">
        <v>0</v>
      </c>
      <c r="R1530" s="16">
        <v>1</v>
      </c>
      <c r="S1530" s="16"/>
      <c r="T1530" s="16" t="e">
        <v>#N/A</v>
      </c>
      <c r="U1530" s="16" t="e">
        <v>#N/A</v>
      </c>
    </row>
    <row r="1531" spans="1:21" x14ac:dyDescent="0.25">
      <c r="A1531" s="12" t="s">
        <v>21</v>
      </c>
      <c r="B1531" s="12" t="s">
        <v>1635</v>
      </c>
      <c r="C1531" s="12" t="s">
        <v>23</v>
      </c>
      <c r="D1531" s="13">
        <v>46275.398229166669</v>
      </c>
      <c r="E1531" s="12" t="s">
        <v>1636</v>
      </c>
      <c r="F1531" s="12" t="s">
        <v>669</v>
      </c>
      <c r="G1531" s="12">
        <v>1</v>
      </c>
      <c r="H1531" s="12">
        <v>1</v>
      </c>
      <c r="I1531" s="14"/>
      <c r="J1531" s="14" t="s">
        <v>61</v>
      </c>
      <c r="K1531" s="12" t="s">
        <v>1638</v>
      </c>
      <c r="L1531" s="15">
        <v>1</v>
      </c>
      <c r="M1531" s="12" t="s">
        <v>150</v>
      </c>
      <c r="N1531" s="12">
        <v>1</v>
      </c>
      <c r="O1531" s="12">
        <v>1</v>
      </c>
      <c r="P1531" s="12">
        <v>0</v>
      </c>
      <c r="Q1531" s="16">
        <v>1</v>
      </c>
      <c r="R1531" s="16">
        <v>0</v>
      </c>
      <c r="S1531" s="16"/>
      <c r="T1531" s="16" t="e">
        <v>#N/A</v>
      </c>
      <c r="U1531" s="16" t="e">
        <v>#N/A</v>
      </c>
    </row>
    <row r="1532" spans="1:21" x14ac:dyDescent="0.25">
      <c r="A1532" s="12" t="s">
        <v>21</v>
      </c>
      <c r="B1532" s="12" t="s">
        <v>1635</v>
      </c>
      <c r="C1532" s="12" t="s">
        <v>23</v>
      </c>
      <c r="D1532" s="13">
        <v>46275.398229166669</v>
      </c>
      <c r="E1532" s="12" t="s">
        <v>1636</v>
      </c>
      <c r="F1532" s="12" t="s">
        <v>845</v>
      </c>
      <c r="G1532" s="12">
        <v>8</v>
      </c>
      <c r="H1532" s="12">
        <v>8</v>
      </c>
      <c r="I1532" s="14"/>
      <c r="J1532" s="14" t="s">
        <v>61</v>
      </c>
      <c r="K1532" s="12" t="s">
        <v>1639</v>
      </c>
      <c r="L1532" s="15">
        <v>1</v>
      </c>
      <c r="M1532" s="12" t="s">
        <v>150</v>
      </c>
      <c r="N1532" s="12">
        <v>8</v>
      </c>
      <c r="O1532" s="12">
        <v>8</v>
      </c>
      <c r="P1532" s="12">
        <v>0</v>
      </c>
      <c r="Q1532" s="16">
        <v>8</v>
      </c>
      <c r="R1532" s="16">
        <v>0</v>
      </c>
      <c r="S1532" s="16"/>
      <c r="T1532" s="16" t="e">
        <v>#N/A</v>
      </c>
      <c r="U1532" s="16" t="e">
        <v>#N/A</v>
      </c>
    </row>
    <row r="1533" spans="1:21" x14ac:dyDescent="0.25">
      <c r="A1533" s="12" t="s">
        <v>21</v>
      </c>
      <c r="B1533" s="12" t="s">
        <v>1635</v>
      </c>
      <c r="C1533" s="12" t="s">
        <v>23</v>
      </c>
      <c r="D1533" s="13">
        <v>46275.398229166669</v>
      </c>
      <c r="E1533" s="12" t="s">
        <v>1636</v>
      </c>
      <c r="F1533" s="12" t="s">
        <v>381</v>
      </c>
      <c r="G1533" s="12">
        <v>2</v>
      </c>
      <c r="H1533" s="12">
        <v>2</v>
      </c>
      <c r="I1533" s="14"/>
      <c r="J1533" s="14" t="s">
        <v>61</v>
      </c>
      <c r="K1533" s="12" t="s">
        <v>1640</v>
      </c>
      <c r="L1533" s="15">
        <v>1</v>
      </c>
      <c r="M1533" s="12" t="s">
        <v>150</v>
      </c>
      <c r="N1533" s="12">
        <v>2</v>
      </c>
      <c r="O1533" s="12">
        <v>2</v>
      </c>
      <c r="P1533" s="12">
        <v>0</v>
      </c>
      <c r="Q1533" s="16">
        <v>2</v>
      </c>
      <c r="R1533" s="16">
        <v>0</v>
      </c>
      <c r="S1533" s="16"/>
      <c r="T1533" s="16" t="e">
        <v>#N/A</v>
      </c>
      <c r="U1533" s="16" t="e">
        <v>#N/A</v>
      </c>
    </row>
    <row r="1534" spans="1:21" x14ac:dyDescent="0.25">
      <c r="A1534" s="12" t="s">
        <v>21</v>
      </c>
      <c r="B1534" s="12" t="s">
        <v>1635</v>
      </c>
      <c r="C1534" s="12" t="s">
        <v>23</v>
      </c>
      <c r="D1534" s="13">
        <v>46275.398229166669</v>
      </c>
      <c r="E1534" s="12" t="s">
        <v>1636</v>
      </c>
      <c r="F1534" s="12" t="s">
        <v>356</v>
      </c>
      <c r="G1534" s="12">
        <v>1</v>
      </c>
      <c r="H1534" s="12">
        <v>1</v>
      </c>
      <c r="I1534" s="14"/>
      <c r="J1534" s="14" t="s">
        <v>26</v>
      </c>
      <c r="K1534" s="12" t="s">
        <v>27</v>
      </c>
      <c r="L1534" s="15"/>
      <c r="M1534" s="12" t="s">
        <v>28</v>
      </c>
      <c r="N1534" s="12"/>
      <c r="O1534" s="12"/>
      <c r="P1534" s="12"/>
      <c r="Q1534" s="16">
        <v>0</v>
      </c>
      <c r="R1534" s="16">
        <v>0</v>
      </c>
      <c r="S1534" s="16"/>
      <c r="T1534" s="16" t="e">
        <v>#N/A</v>
      </c>
      <c r="U1534" s="16" t="e">
        <v>#N/A</v>
      </c>
    </row>
    <row r="1535" spans="1:21" x14ac:dyDescent="0.25">
      <c r="A1535" s="12" t="s">
        <v>21</v>
      </c>
      <c r="B1535" s="12" t="s">
        <v>1635</v>
      </c>
      <c r="C1535" s="12" t="s">
        <v>23</v>
      </c>
      <c r="D1535" s="13">
        <v>46275.398229166669</v>
      </c>
      <c r="E1535" s="12" t="s">
        <v>1636</v>
      </c>
      <c r="F1535" s="12" t="s">
        <v>967</v>
      </c>
      <c r="G1535" s="12">
        <v>1</v>
      </c>
      <c r="H1535" s="12">
        <v>1</v>
      </c>
      <c r="I1535" s="14"/>
      <c r="J1535" s="14" t="s">
        <v>61</v>
      </c>
      <c r="K1535" s="12" t="s">
        <v>1641</v>
      </c>
      <c r="L1535" s="15">
        <v>1</v>
      </c>
      <c r="M1535" s="12" t="s">
        <v>150</v>
      </c>
      <c r="N1535" s="12">
        <v>1</v>
      </c>
      <c r="O1535" s="12">
        <v>1</v>
      </c>
      <c r="P1535" s="12">
        <v>0</v>
      </c>
      <c r="Q1535" s="16">
        <v>1</v>
      </c>
      <c r="R1535" s="16">
        <v>0</v>
      </c>
      <c r="S1535" s="16"/>
      <c r="T1535" s="16" t="e">
        <v>#N/A</v>
      </c>
      <c r="U1535" s="16" t="e">
        <v>#N/A</v>
      </c>
    </row>
    <row r="1536" spans="1:21" x14ac:dyDescent="0.25">
      <c r="A1536" s="12" t="s">
        <v>21</v>
      </c>
      <c r="B1536" s="12" t="s">
        <v>1635</v>
      </c>
      <c r="C1536" s="12" t="s">
        <v>23</v>
      </c>
      <c r="D1536" s="13">
        <v>46275.398229166669</v>
      </c>
      <c r="E1536" s="12" t="s">
        <v>1636</v>
      </c>
      <c r="F1536" s="12" t="s">
        <v>357</v>
      </c>
      <c r="G1536" s="12">
        <v>8</v>
      </c>
      <c r="H1536" s="12">
        <v>8</v>
      </c>
      <c r="I1536" s="14"/>
      <c r="J1536" s="14" t="s">
        <v>61</v>
      </c>
      <c r="K1536" s="12" t="s">
        <v>1642</v>
      </c>
      <c r="L1536" s="15">
        <v>1</v>
      </c>
      <c r="M1536" s="12" t="s">
        <v>150</v>
      </c>
      <c r="N1536" s="12">
        <v>8</v>
      </c>
      <c r="O1536" s="12">
        <v>8</v>
      </c>
      <c r="P1536" s="12">
        <v>0</v>
      </c>
      <c r="Q1536" s="16">
        <v>8</v>
      </c>
      <c r="R1536" s="16">
        <v>0</v>
      </c>
      <c r="S1536" s="16"/>
      <c r="T1536" s="16" t="e">
        <v>#N/A</v>
      </c>
      <c r="U1536" s="16" t="e">
        <v>#N/A</v>
      </c>
    </row>
    <row r="1537" spans="1:21" x14ac:dyDescent="0.25">
      <c r="A1537" s="12" t="s">
        <v>21</v>
      </c>
      <c r="B1537" s="12" t="s">
        <v>1635</v>
      </c>
      <c r="C1537" s="12" t="s">
        <v>23</v>
      </c>
      <c r="D1537" s="13">
        <v>46275.398229166669</v>
      </c>
      <c r="E1537" s="12" t="s">
        <v>1636</v>
      </c>
      <c r="F1537" s="12" t="s">
        <v>1637</v>
      </c>
      <c r="G1537" s="12">
        <v>9</v>
      </c>
      <c r="H1537" s="12">
        <v>9</v>
      </c>
      <c r="I1537" s="14"/>
      <c r="J1537" s="14" t="s">
        <v>61</v>
      </c>
      <c r="K1537" s="12" t="s">
        <v>1643</v>
      </c>
      <c r="L1537" s="15">
        <v>1</v>
      </c>
      <c r="M1537" s="12" t="s">
        <v>150</v>
      </c>
      <c r="N1537" s="12">
        <v>9</v>
      </c>
      <c r="O1537" s="12">
        <v>9</v>
      </c>
      <c r="P1537" s="12">
        <v>0</v>
      </c>
      <c r="Q1537" s="16">
        <v>9</v>
      </c>
      <c r="R1537" s="16">
        <v>0</v>
      </c>
      <c r="S1537" s="16"/>
      <c r="T1537" s="16" t="e">
        <v>#N/A</v>
      </c>
      <c r="U1537" s="16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74F28-80D2-4C1E-BADE-20ED297CD959}">
  <dimension ref="A1:AE864085"/>
  <sheetViews>
    <sheetView topLeftCell="A23" workbookViewId="0">
      <selection activeCell="E28" sqref="E28"/>
    </sheetView>
  </sheetViews>
  <sheetFormatPr baseColWidth="10" defaultColWidth="9.140625" defaultRowHeight="15" x14ac:dyDescent="0.25"/>
  <cols>
    <col min="1" max="1" width="12.28515625" style="39" customWidth="1"/>
    <col min="2" max="2" width="18.85546875" style="40" customWidth="1"/>
    <col min="3" max="3" width="33.140625" customWidth="1"/>
    <col min="4" max="4" width="24.85546875" customWidth="1"/>
    <col min="5" max="5" width="16.28515625" style="41" bestFit="1" customWidth="1"/>
    <col min="6" max="6" width="9.7109375" style="25" bestFit="1" customWidth="1"/>
    <col min="7" max="7" width="5.5703125" style="25" bestFit="1" customWidth="1"/>
    <col min="8" max="8" width="13.140625" style="25" customWidth="1"/>
    <col min="9" max="9" width="10.85546875" style="25" customWidth="1"/>
    <col min="10" max="10" width="13" style="25" customWidth="1"/>
    <col min="11" max="11" width="6.140625" style="25" customWidth="1"/>
    <col min="12" max="12" width="13" style="25" customWidth="1"/>
    <col min="13" max="13" width="11.5703125" style="25" customWidth="1"/>
    <col min="14" max="14" width="8.28515625" style="25" bestFit="1" customWidth="1"/>
    <col min="15" max="15" width="8.140625" style="25" bestFit="1" customWidth="1"/>
    <col min="16" max="16" width="7.28515625" style="25" customWidth="1"/>
    <col min="17" max="17" width="6" style="25" customWidth="1"/>
    <col min="18" max="18" width="9.28515625" style="25" customWidth="1"/>
    <col min="19" max="19" width="8.7109375" style="25" bestFit="1" customWidth="1"/>
    <col min="20" max="20" width="11.7109375" style="42" customWidth="1"/>
    <col min="21" max="21" width="9" style="42" customWidth="1"/>
    <col min="22" max="22" width="8.140625" style="25" bestFit="1" customWidth="1"/>
    <col min="23" max="23" width="8.7109375" style="25" customWidth="1"/>
    <col min="24" max="24" width="9.28515625" style="25" bestFit="1" customWidth="1"/>
    <col min="25" max="25" width="7.42578125" style="25" bestFit="1" customWidth="1"/>
    <col min="26" max="26" width="10.42578125" style="25" customWidth="1"/>
    <col min="27" max="27" width="10.42578125" style="25" bestFit="1" customWidth="1"/>
    <col min="28" max="28" width="7.140625" style="25" customWidth="1"/>
    <col min="29" max="29" width="8.140625" style="25" bestFit="1" customWidth="1"/>
    <col min="30" max="30" width="9.7109375" style="43" bestFit="1" customWidth="1"/>
    <col min="31" max="31" width="8.85546875" style="44" bestFit="1" customWidth="1"/>
    <col min="32" max="16384" width="9.140625" style="25"/>
  </cols>
  <sheetData>
    <row r="1" spans="1:31" ht="38.25" x14ac:dyDescent="0.2">
      <c r="A1" s="3" t="s">
        <v>1644</v>
      </c>
      <c r="B1" s="18" t="s">
        <v>3</v>
      </c>
      <c r="C1" s="3" t="s">
        <v>1645</v>
      </c>
      <c r="D1" s="5" t="s">
        <v>5</v>
      </c>
      <c r="E1" s="19" t="s">
        <v>1646</v>
      </c>
      <c r="F1" s="19" t="s">
        <v>1647</v>
      </c>
      <c r="G1" s="19" t="s">
        <v>1648</v>
      </c>
      <c r="H1" s="4" t="s">
        <v>1649</v>
      </c>
      <c r="I1" s="4" t="s">
        <v>1650</v>
      </c>
      <c r="J1" s="6" t="s">
        <v>8</v>
      </c>
      <c r="K1" s="20" t="s">
        <v>1651</v>
      </c>
      <c r="L1" s="19" t="s">
        <v>1652</v>
      </c>
      <c r="M1" s="19" t="s">
        <v>1653</v>
      </c>
      <c r="N1" s="19" t="s">
        <v>1654</v>
      </c>
      <c r="O1" s="19" t="s">
        <v>14</v>
      </c>
      <c r="P1" s="19" t="s">
        <v>15</v>
      </c>
      <c r="Q1" s="21" t="s">
        <v>16</v>
      </c>
      <c r="R1" s="21" t="s">
        <v>17</v>
      </c>
      <c r="S1" s="21" t="s">
        <v>18</v>
      </c>
      <c r="T1" s="22" t="s">
        <v>1655</v>
      </c>
      <c r="U1" s="22" t="s">
        <v>1656</v>
      </c>
      <c r="V1" s="21" t="s">
        <v>1657</v>
      </c>
      <c r="W1" s="21" t="s">
        <v>1658</v>
      </c>
      <c r="X1" s="21" t="s">
        <v>1659</v>
      </c>
      <c r="Y1" s="21" t="s">
        <v>1660</v>
      </c>
      <c r="Z1" s="21" t="s">
        <v>1661</v>
      </c>
      <c r="AA1" s="21" t="s">
        <v>1662</v>
      </c>
      <c r="AB1" s="21" t="s">
        <v>1663</v>
      </c>
      <c r="AC1" s="21" t="s">
        <v>1664</v>
      </c>
      <c r="AD1" s="23" t="s">
        <v>1665</v>
      </c>
      <c r="AE1" s="24"/>
    </row>
    <row r="2" spans="1:31" s="32" customFormat="1" x14ac:dyDescent="0.25">
      <c r="A2" s="12" t="s">
        <v>1570</v>
      </c>
      <c r="B2" s="13">
        <v>46274.654050925928</v>
      </c>
      <c r="C2" s="12" t="s">
        <v>24</v>
      </c>
      <c r="D2" s="12" t="s">
        <v>1571</v>
      </c>
      <c r="E2" s="26" t="str">
        <f t="shared" ref="E2:E65" si="0">_xlfn.TEXTBEFORE(D2, "-", -1, 1, , D2)</f>
        <v>00957410</v>
      </c>
      <c r="F2" s="27" t="str">
        <f t="shared" ref="F2:F65" si="1">_xlfn.TEXTAFTER(D2, "-", -1, 1, , "")</f>
        <v>CHPG</v>
      </c>
      <c r="G2" s="27">
        <f>+VLOOKUP(F2,[1]base!A:B,2,0)</f>
        <v>11</v>
      </c>
      <c r="H2" s="12">
        <v>4</v>
      </c>
      <c r="I2" s="12">
        <v>4</v>
      </c>
      <c r="J2" s="14"/>
      <c r="K2" s="14" t="s">
        <v>26</v>
      </c>
      <c r="L2" s="12" t="s">
        <v>1575</v>
      </c>
      <c r="M2" s="12" t="s">
        <v>150</v>
      </c>
      <c r="N2" s="12">
        <v>4</v>
      </c>
      <c r="O2" s="12">
        <v>4</v>
      </c>
      <c r="P2" s="12">
        <v>0</v>
      </c>
      <c r="Q2" s="16">
        <v>0</v>
      </c>
      <c r="R2" s="16">
        <v>1</v>
      </c>
      <c r="S2" s="16"/>
      <c r="T2" s="28">
        <v>3</v>
      </c>
      <c r="U2" s="28">
        <v>1</v>
      </c>
      <c r="V2" s="29" t="e">
        <f>+VLOOKUP(E2,[1]base!D:K,8,0)</f>
        <v>#N/A</v>
      </c>
      <c r="W2" s="29" t="e">
        <f t="shared" ref="W2:W65" si="2">(T2+U2)*V2</f>
        <v>#N/A</v>
      </c>
      <c r="X2" s="29" t="e">
        <f t="shared" ref="X2:X65" si="3">+W2*0.052</f>
        <v>#N/A</v>
      </c>
      <c r="Y2" s="29" t="e">
        <f>+VLOOKUP(E2,[1]base!D:E,2,0)</f>
        <v>#N/A</v>
      </c>
      <c r="Z2" s="29" t="e">
        <f t="shared" ref="Z2:Z65" si="4">ROUNDUP(T2/Y2,0)</f>
        <v>#N/A</v>
      </c>
      <c r="AA2" s="29" t="e">
        <f t="shared" ref="AA2:AA65" si="5">+Z2*0.0666666666666667</f>
        <v>#N/A</v>
      </c>
      <c r="AB2" s="29" t="e">
        <f>+VLOOKUP(E2,[1]base!M:N,2,0)</f>
        <v>#N/A</v>
      </c>
      <c r="AC2" s="29" t="e">
        <f>+VLOOKUP(E2,[1]base!M:Q,5,0)</f>
        <v>#N/A</v>
      </c>
      <c r="AD2" s="30" t="e">
        <f>+VLOOKUP(E2,[1]base!M:P,4,0)</f>
        <v>#N/A</v>
      </c>
      <c r="AE2" s="31" t="e">
        <f t="shared" ref="AE2:AE65" si="6">+AB2*(30%-AD2)</f>
        <v>#N/A</v>
      </c>
    </row>
    <row r="3" spans="1:31" s="32" customFormat="1" x14ac:dyDescent="0.25">
      <c r="A3" s="12" t="s">
        <v>1570</v>
      </c>
      <c r="B3" s="13">
        <v>46274.654050925928</v>
      </c>
      <c r="C3" s="12" t="s">
        <v>24</v>
      </c>
      <c r="D3" s="12" t="s">
        <v>1572</v>
      </c>
      <c r="E3" s="26" t="str">
        <f t="shared" si="0"/>
        <v>00997410</v>
      </c>
      <c r="F3" s="27" t="str">
        <f t="shared" si="1"/>
        <v>CHPG</v>
      </c>
      <c r="G3" s="27">
        <f>+VLOOKUP(F3,[1]base!A:B,2,0)</f>
        <v>11</v>
      </c>
      <c r="H3" s="12">
        <v>4</v>
      </c>
      <c r="I3" s="12">
        <v>4</v>
      </c>
      <c r="J3" s="14"/>
      <c r="K3" s="14" t="s">
        <v>26</v>
      </c>
      <c r="L3" s="12" t="s">
        <v>1576</v>
      </c>
      <c r="M3" s="12" t="s">
        <v>150</v>
      </c>
      <c r="N3" s="12">
        <v>4</v>
      </c>
      <c r="O3" s="12">
        <v>4</v>
      </c>
      <c r="P3" s="12">
        <v>0</v>
      </c>
      <c r="Q3" s="16">
        <v>0</v>
      </c>
      <c r="R3" s="16">
        <v>2</v>
      </c>
      <c r="S3" s="16"/>
      <c r="T3" s="28">
        <v>2</v>
      </c>
      <c r="U3" s="28">
        <v>2</v>
      </c>
      <c r="V3" s="29" t="e">
        <f>+VLOOKUP(E3,[1]base!D:K,8,0)</f>
        <v>#N/A</v>
      </c>
      <c r="W3" s="29" t="e">
        <f t="shared" si="2"/>
        <v>#N/A</v>
      </c>
      <c r="X3" s="29" t="e">
        <f t="shared" si="3"/>
        <v>#N/A</v>
      </c>
      <c r="Y3" s="29" t="e">
        <f>+VLOOKUP(E3,[1]base!D:E,2,0)</f>
        <v>#N/A</v>
      </c>
      <c r="Z3" s="29" t="e">
        <f t="shared" si="4"/>
        <v>#N/A</v>
      </c>
      <c r="AA3" s="29" t="e">
        <f t="shared" si="5"/>
        <v>#N/A</v>
      </c>
      <c r="AB3" s="29" t="e">
        <f>+VLOOKUP(E3,[1]base!M:N,2,0)</f>
        <v>#N/A</v>
      </c>
      <c r="AC3" s="29" t="e">
        <f>+VLOOKUP(E3,[1]base!M:Q,5,0)</f>
        <v>#N/A</v>
      </c>
      <c r="AD3" s="30" t="e">
        <f>+VLOOKUP(E3,[1]base!M:P,4,0)</f>
        <v>#N/A</v>
      </c>
      <c r="AE3" s="31" t="e">
        <f t="shared" si="6"/>
        <v>#N/A</v>
      </c>
    </row>
    <row r="4" spans="1:31" s="32" customFormat="1" x14ac:dyDescent="0.25">
      <c r="A4" s="12" t="s">
        <v>855</v>
      </c>
      <c r="B4" s="13">
        <v>46261.431909722225</v>
      </c>
      <c r="C4" s="12" t="s">
        <v>856</v>
      </c>
      <c r="D4" s="12" t="s">
        <v>857</v>
      </c>
      <c r="E4" s="26" t="str">
        <f t="shared" si="0"/>
        <v>4145</v>
      </c>
      <c r="F4" s="27" t="str">
        <f t="shared" si="1"/>
        <v>ACAJOU</v>
      </c>
      <c r="G4" s="27">
        <f>+VLOOKUP(F4,[1]base!A:B,2,0)</f>
        <v>15.1</v>
      </c>
      <c r="H4" s="12">
        <v>1</v>
      </c>
      <c r="I4" s="12">
        <v>1</v>
      </c>
      <c r="J4" s="14"/>
      <c r="K4" s="14" t="s">
        <v>61</v>
      </c>
      <c r="L4" s="12" t="s">
        <v>860</v>
      </c>
      <c r="M4" s="12" t="s">
        <v>150</v>
      </c>
      <c r="N4" s="12">
        <v>1</v>
      </c>
      <c r="O4" s="12">
        <v>1</v>
      </c>
      <c r="P4" s="12">
        <v>0</v>
      </c>
      <c r="Q4" s="16">
        <v>1</v>
      </c>
      <c r="R4" s="16">
        <v>0</v>
      </c>
      <c r="S4" s="16"/>
      <c r="T4" s="28">
        <v>1</v>
      </c>
      <c r="U4" s="28"/>
      <c r="V4" s="29" t="e">
        <f>+VLOOKUP(E4,[1]base!D:K,8,0)</f>
        <v>#N/A</v>
      </c>
      <c r="W4" s="29" t="e">
        <f t="shared" si="2"/>
        <v>#N/A</v>
      </c>
      <c r="X4" s="29" t="e">
        <f t="shared" si="3"/>
        <v>#N/A</v>
      </c>
      <c r="Y4" s="29" t="e">
        <f>+VLOOKUP(E4,[1]base!D:E,2,0)</f>
        <v>#N/A</v>
      </c>
      <c r="Z4" s="29" t="e">
        <f t="shared" si="4"/>
        <v>#N/A</v>
      </c>
      <c r="AA4" s="29" t="e">
        <f t="shared" si="5"/>
        <v>#N/A</v>
      </c>
      <c r="AB4" s="29" t="e">
        <f>+VLOOKUP(E4,[1]base!M:N,2,0)</f>
        <v>#N/A</v>
      </c>
      <c r="AC4" s="29" t="e">
        <f>+VLOOKUP(E4,[1]base!M:Q,5,0)</f>
        <v>#N/A</v>
      </c>
      <c r="AD4" s="30" t="e">
        <f>+VLOOKUP(E4,[1]base!M:P,4,0)</f>
        <v>#N/A</v>
      </c>
      <c r="AE4" s="31" t="e">
        <f t="shared" si="6"/>
        <v>#N/A</v>
      </c>
    </row>
    <row r="5" spans="1:31" s="32" customFormat="1" x14ac:dyDescent="0.25">
      <c r="A5" s="12" t="s">
        <v>855</v>
      </c>
      <c r="B5" s="13">
        <v>46261.431909722225</v>
      </c>
      <c r="C5" s="12" t="s">
        <v>856</v>
      </c>
      <c r="D5" s="12" t="s">
        <v>863</v>
      </c>
      <c r="E5" s="26" t="str">
        <f t="shared" si="0"/>
        <v>4197</v>
      </c>
      <c r="F5" s="27" t="str">
        <f t="shared" si="1"/>
        <v>ACAJOU</v>
      </c>
      <c r="G5" s="27">
        <f>+VLOOKUP(F5,[1]base!A:B,2,0)</f>
        <v>15.1</v>
      </c>
      <c r="H5" s="12">
        <v>4</v>
      </c>
      <c r="I5" s="12">
        <v>4</v>
      </c>
      <c r="J5" s="14"/>
      <c r="K5" s="14" t="s">
        <v>61</v>
      </c>
      <c r="L5" s="12" t="s">
        <v>865</v>
      </c>
      <c r="M5" s="12" t="s">
        <v>150</v>
      </c>
      <c r="N5" s="12">
        <v>4</v>
      </c>
      <c r="O5" s="12">
        <v>4</v>
      </c>
      <c r="P5" s="12">
        <v>0</v>
      </c>
      <c r="Q5" s="16">
        <v>4</v>
      </c>
      <c r="R5" s="16">
        <v>3</v>
      </c>
      <c r="S5" s="16"/>
      <c r="T5" s="28">
        <v>1</v>
      </c>
      <c r="U5" s="28">
        <v>3</v>
      </c>
      <c r="V5" s="29" t="e">
        <f>+VLOOKUP(E5,[1]base!D:K,8,0)</f>
        <v>#N/A</v>
      </c>
      <c r="W5" s="29" t="e">
        <f t="shared" si="2"/>
        <v>#N/A</v>
      </c>
      <c r="X5" s="29" t="e">
        <f t="shared" si="3"/>
        <v>#N/A</v>
      </c>
      <c r="Y5" s="29" t="e">
        <f>+VLOOKUP(E5,[1]base!D:E,2,0)</f>
        <v>#N/A</v>
      </c>
      <c r="Z5" s="29" t="e">
        <f t="shared" si="4"/>
        <v>#N/A</v>
      </c>
      <c r="AA5" s="29" t="e">
        <f t="shared" si="5"/>
        <v>#N/A</v>
      </c>
      <c r="AB5" s="29" t="e">
        <f>+VLOOKUP(E5,[1]base!M:N,2,0)</f>
        <v>#N/A</v>
      </c>
      <c r="AC5" s="29" t="e">
        <f>+VLOOKUP(E5,[1]base!M:Q,5,0)</f>
        <v>#N/A</v>
      </c>
      <c r="AD5" s="30" t="e">
        <f>+VLOOKUP(E5,[1]base!M:P,4,0)</f>
        <v>#N/A</v>
      </c>
      <c r="AE5" s="31" t="e">
        <f t="shared" si="6"/>
        <v>#N/A</v>
      </c>
    </row>
    <row r="6" spans="1:31" s="32" customFormat="1" x14ac:dyDescent="0.25">
      <c r="A6" s="12" t="s">
        <v>855</v>
      </c>
      <c r="B6" s="13">
        <v>46261.431909722225</v>
      </c>
      <c r="C6" s="12" t="s">
        <v>856</v>
      </c>
      <c r="D6" s="12" t="s">
        <v>864</v>
      </c>
      <c r="E6" s="26" t="str">
        <f t="shared" si="0"/>
        <v>4454</v>
      </c>
      <c r="F6" s="27" t="str">
        <f t="shared" si="1"/>
        <v>ACAJOU</v>
      </c>
      <c r="G6" s="27">
        <f>+VLOOKUP(F6,[1]base!A:B,2,0)</f>
        <v>15.1</v>
      </c>
      <c r="H6" s="12">
        <v>4</v>
      </c>
      <c r="I6" s="12">
        <v>4</v>
      </c>
      <c r="J6" s="14"/>
      <c r="K6" s="14" t="s">
        <v>61</v>
      </c>
      <c r="L6" s="12" t="s">
        <v>866</v>
      </c>
      <c r="M6" s="12" t="s">
        <v>150</v>
      </c>
      <c r="N6" s="12">
        <v>4</v>
      </c>
      <c r="O6" s="12">
        <v>4</v>
      </c>
      <c r="P6" s="12">
        <v>0</v>
      </c>
      <c r="Q6" s="16">
        <v>4</v>
      </c>
      <c r="R6" s="16">
        <v>0</v>
      </c>
      <c r="S6" s="16"/>
      <c r="T6" s="28">
        <v>4</v>
      </c>
      <c r="U6" s="28"/>
      <c r="V6" s="29" t="e">
        <f>+VLOOKUP(E6,[1]base!D:K,8,0)</f>
        <v>#N/A</v>
      </c>
      <c r="W6" s="29" t="e">
        <f t="shared" si="2"/>
        <v>#N/A</v>
      </c>
      <c r="X6" s="29" t="e">
        <f t="shared" si="3"/>
        <v>#N/A</v>
      </c>
      <c r="Y6" s="29" t="e">
        <f>+VLOOKUP(E6,[1]base!D:E,2,0)</f>
        <v>#N/A</v>
      </c>
      <c r="Z6" s="29" t="e">
        <f t="shared" si="4"/>
        <v>#N/A</v>
      </c>
      <c r="AA6" s="29" t="e">
        <f t="shared" si="5"/>
        <v>#N/A</v>
      </c>
      <c r="AB6" s="29" t="e">
        <f>+VLOOKUP(E6,[1]base!M:N,2,0)</f>
        <v>#N/A</v>
      </c>
      <c r="AC6" s="29" t="e">
        <f>+VLOOKUP(E6,[1]base!M:Q,5,0)</f>
        <v>#N/A</v>
      </c>
      <c r="AD6" s="30" t="e">
        <f>+VLOOKUP(E6,[1]base!M:P,4,0)</f>
        <v>#N/A</v>
      </c>
      <c r="AE6" s="31" t="e">
        <f t="shared" si="6"/>
        <v>#N/A</v>
      </c>
    </row>
    <row r="7" spans="1:31" s="32" customFormat="1" x14ac:dyDescent="0.25">
      <c r="A7" s="12" t="s">
        <v>855</v>
      </c>
      <c r="B7" s="13">
        <v>46261.431909722225</v>
      </c>
      <c r="C7" s="12" t="s">
        <v>856</v>
      </c>
      <c r="D7" s="12" t="s">
        <v>858</v>
      </c>
      <c r="E7" s="26" t="str">
        <f t="shared" si="0"/>
        <v>4455</v>
      </c>
      <c r="F7" s="27" t="str">
        <f t="shared" si="1"/>
        <v>ACAJOU</v>
      </c>
      <c r="G7" s="27">
        <f>+VLOOKUP(F7,[1]base!A:B,2,0)</f>
        <v>15.1</v>
      </c>
      <c r="H7" s="12">
        <v>2</v>
      </c>
      <c r="I7" s="12">
        <v>2</v>
      </c>
      <c r="J7" s="14"/>
      <c r="K7" s="14" t="s">
        <v>61</v>
      </c>
      <c r="L7" s="12" t="s">
        <v>861</v>
      </c>
      <c r="M7" s="12" t="s">
        <v>150</v>
      </c>
      <c r="N7" s="12">
        <v>2</v>
      </c>
      <c r="O7" s="12">
        <v>2</v>
      </c>
      <c r="P7" s="12">
        <v>0</v>
      </c>
      <c r="Q7" s="16">
        <v>2</v>
      </c>
      <c r="R7" s="16">
        <v>0</v>
      </c>
      <c r="S7" s="16"/>
      <c r="T7" s="28">
        <v>2</v>
      </c>
      <c r="U7" s="28"/>
      <c r="V7" s="29" t="e">
        <f>+VLOOKUP(E7,[1]base!D:K,8,0)</f>
        <v>#N/A</v>
      </c>
      <c r="W7" s="29" t="e">
        <f t="shared" si="2"/>
        <v>#N/A</v>
      </c>
      <c r="X7" s="29" t="e">
        <f t="shared" si="3"/>
        <v>#N/A</v>
      </c>
      <c r="Y7" s="29" t="e">
        <f>+VLOOKUP(E7,[1]base!D:E,2,0)</f>
        <v>#N/A</v>
      </c>
      <c r="Z7" s="29" t="e">
        <f t="shared" si="4"/>
        <v>#N/A</v>
      </c>
      <c r="AA7" s="29" t="e">
        <f t="shared" si="5"/>
        <v>#N/A</v>
      </c>
      <c r="AB7" s="29" t="e">
        <f>+VLOOKUP(E7,[1]base!M:N,2,0)</f>
        <v>#N/A</v>
      </c>
      <c r="AC7" s="29" t="e">
        <f>+VLOOKUP(E7,[1]base!M:Q,5,0)</f>
        <v>#N/A</v>
      </c>
      <c r="AD7" s="30" t="e">
        <f>+VLOOKUP(E7,[1]base!M:P,4,0)</f>
        <v>#N/A</v>
      </c>
      <c r="AE7" s="31" t="e">
        <f t="shared" si="6"/>
        <v>#N/A</v>
      </c>
    </row>
    <row r="8" spans="1:31" s="32" customFormat="1" x14ac:dyDescent="0.25">
      <c r="A8" s="12" t="s">
        <v>855</v>
      </c>
      <c r="B8" s="13">
        <v>46261.431909722225</v>
      </c>
      <c r="C8" s="12" t="s">
        <v>856</v>
      </c>
      <c r="D8" s="12" t="s">
        <v>859</v>
      </c>
      <c r="E8" s="26" t="str">
        <f t="shared" si="0"/>
        <v>4463</v>
      </c>
      <c r="F8" s="27" t="str">
        <f t="shared" si="1"/>
        <v>ACAJOU</v>
      </c>
      <c r="G8" s="27">
        <f>+VLOOKUP(F8,[1]base!A:B,2,0)</f>
        <v>15.1</v>
      </c>
      <c r="H8" s="12">
        <v>2</v>
      </c>
      <c r="I8" s="12">
        <v>2</v>
      </c>
      <c r="J8" s="14"/>
      <c r="K8" s="14" t="s">
        <v>61</v>
      </c>
      <c r="L8" s="12" t="s">
        <v>862</v>
      </c>
      <c r="M8" s="12" t="s">
        <v>150</v>
      </c>
      <c r="N8" s="12">
        <v>2</v>
      </c>
      <c r="O8" s="12">
        <v>2</v>
      </c>
      <c r="P8" s="12">
        <v>0</v>
      </c>
      <c r="Q8" s="16">
        <v>2</v>
      </c>
      <c r="R8" s="16">
        <v>0</v>
      </c>
      <c r="S8" s="16"/>
      <c r="T8" s="28">
        <v>2</v>
      </c>
      <c r="U8" s="28"/>
      <c r="V8" s="29" t="e">
        <f>+VLOOKUP(E8,[1]base!D:K,8,0)</f>
        <v>#N/A</v>
      </c>
      <c r="W8" s="29" t="e">
        <f t="shared" si="2"/>
        <v>#N/A</v>
      </c>
      <c r="X8" s="29" t="e">
        <f t="shared" si="3"/>
        <v>#N/A</v>
      </c>
      <c r="Y8" s="29" t="e">
        <f>+VLOOKUP(E8,[1]base!D:E,2,0)</f>
        <v>#N/A</v>
      </c>
      <c r="Z8" s="29" t="e">
        <f t="shared" si="4"/>
        <v>#N/A</v>
      </c>
      <c r="AA8" s="29" t="e">
        <f t="shared" si="5"/>
        <v>#N/A</v>
      </c>
      <c r="AB8" s="29" t="e">
        <f>+VLOOKUP(E8,[1]base!M:N,2,0)</f>
        <v>#N/A</v>
      </c>
      <c r="AC8" s="29" t="e">
        <f>+VLOOKUP(E8,[1]base!M:Q,5,0)</f>
        <v>#N/A</v>
      </c>
      <c r="AD8" s="30" t="e">
        <f>+VLOOKUP(E8,[1]base!M:P,4,0)</f>
        <v>#N/A</v>
      </c>
      <c r="AE8" s="31" t="e">
        <f t="shared" si="6"/>
        <v>#N/A</v>
      </c>
    </row>
    <row r="9" spans="1:31" s="32" customFormat="1" x14ac:dyDescent="0.25">
      <c r="A9" s="12" t="s">
        <v>940</v>
      </c>
      <c r="B9" s="13">
        <v>46263.399872685186</v>
      </c>
      <c r="C9" s="12" t="s">
        <v>24</v>
      </c>
      <c r="D9" s="12" t="s">
        <v>941</v>
      </c>
      <c r="E9" s="26" t="str">
        <f t="shared" si="0"/>
        <v>AL11026</v>
      </c>
      <c r="F9" s="27" t="str">
        <f t="shared" si="1"/>
        <v>NOIR</v>
      </c>
      <c r="G9" s="27">
        <f>+VLOOKUP(F9,[1]base!A:B,2,0)</f>
        <v>37</v>
      </c>
      <c r="H9" s="12">
        <v>2</v>
      </c>
      <c r="I9" s="12">
        <v>2</v>
      </c>
      <c r="J9" s="14"/>
      <c r="K9" s="14" t="s">
        <v>61</v>
      </c>
      <c r="L9" s="12" t="s">
        <v>944</v>
      </c>
      <c r="M9" s="12" t="s">
        <v>150</v>
      </c>
      <c r="N9" s="12">
        <v>2</v>
      </c>
      <c r="O9" s="12">
        <v>2</v>
      </c>
      <c r="P9" s="12">
        <v>0</v>
      </c>
      <c r="Q9" s="16">
        <v>2</v>
      </c>
      <c r="R9" s="16">
        <v>0</v>
      </c>
      <c r="S9" s="16"/>
      <c r="T9" s="28">
        <v>2</v>
      </c>
      <c r="U9" s="28"/>
      <c r="V9" s="29">
        <f>+VLOOKUP(E9,[1]base!D:K,8,0)</f>
        <v>5.7720000000000002</v>
      </c>
      <c r="W9" s="29">
        <f t="shared" si="2"/>
        <v>11.544</v>
      </c>
      <c r="X9" s="29">
        <f t="shared" si="3"/>
        <v>0.60028800000000004</v>
      </c>
      <c r="Y9" s="29">
        <f>+VLOOKUP(E9,[1]base!D:E,2,0)</f>
        <v>10</v>
      </c>
      <c r="Z9" s="29">
        <f t="shared" si="4"/>
        <v>1</v>
      </c>
      <c r="AA9" s="29">
        <f t="shared" si="5"/>
        <v>6.6666666666666693E-2</v>
      </c>
      <c r="AB9" s="29">
        <f>+VLOOKUP(E9,[1]base!M:N,2,0)</f>
        <v>0</v>
      </c>
      <c r="AC9" s="29">
        <f>+VLOOKUP(E9,[1]base!M:Q,5,0)</f>
        <v>222.375</v>
      </c>
      <c r="AD9" s="30">
        <f>+VLOOKUP(E9,[1]base!M:P,4,0)</f>
        <v>1</v>
      </c>
      <c r="AE9" s="31">
        <f t="shared" si="6"/>
        <v>0</v>
      </c>
    </row>
    <row r="10" spans="1:31" s="32" customFormat="1" x14ac:dyDescent="0.25">
      <c r="A10" s="12" t="s">
        <v>1478</v>
      </c>
      <c r="B10" s="13">
        <v>46273.566331018519</v>
      </c>
      <c r="C10" s="12" t="s">
        <v>1466</v>
      </c>
      <c r="D10" s="12" t="s">
        <v>1479</v>
      </c>
      <c r="E10" s="26" t="str">
        <f t="shared" si="0"/>
        <v>C-40100</v>
      </c>
      <c r="F10" s="27" t="str">
        <f t="shared" si="1"/>
        <v>ACAJOU</v>
      </c>
      <c r="G10" s="27">
        <f>+VLOOKUP(F10,[1]base!A:B,2,0)</f>
        <v>15.1</v>
      </c>
      <c r="H10" s="12">
        <v>100</v>
      </c>
      <c r="I10" s="12">
        <v>100</v>
      </c>
      <c r="J10" s="14"/>
      <c r="K10" s="14" t="s">
        <v>26</v>
      </c>
      <c r="L10" s="12" t="s">
        <v>1481</v>
      </c>
      <c r="M10" s="12" t="s">
        <v>150</v>
      </c>
      <c r="N10" s="12">
        <v>100</v>
      </c>
      <c r="O10" s="12">
        <v>100</v>
      </c>
      <c r="P10" s="12">
        <v>0</v>
      </c>
      <c r="Q10" s="16">
        <v>0</v>
      </c>
      <c r="R10" s="16">
        <v>0</v>
      </c>
      <c r="S10" s="16"/>
      <c r="T10" s="28">
        <v>100</v>
      </c>
      <c r="U10" s="28"/>
      <c r="V10" s="29" t="e">
        <f>+VLOOKUP(E10,[1]base!D:K,8,0)</f>
        <v>#N/A</v>
      </c>
      <c r="W10" s="29" t="e">
        <f t="shared" si="2"/>
        <v>#N/A</v>
      </c>
      <c r="X10" s="29" t="e">
        <f t="shared" si="3"/>
        <v>#N/A</v>
      </c>
      <c r="Y10" s="29" t="e">
        <f>+VLOOKUP(E10,[1]base!D:E,2,0)</f>
        <v>#N/A</v>
      </c>
      <c r="Z10" s="29" t="e">
        <f t="shared" si="4"/>
        <v>#N/A</v>
      </c>
      <c r="AA10" s="29" t="e">
        <f t="shared" si="5"/>
        <v>#N/A</v>
      </c>
      <c r="AB10" s="29" t="e">
        <f>+VLOOKUP(E10,[1]base!M:N,2,0)</f>
        <v>#N/A</v>
      </c>
      <c r="AC10" s="29" t="e">
        <f>+VLOOKUP(E10,[1]base!M:Q,5,0)</f>
        <v>#N/A</v>
      </c>
      <c r="AD10" s="30" t="e">
        <f>+VLOOKUP(E10,[1]base!M:P,4,0)</f>
        <v>#N/A</v>
      </c>
      <c r="AE10" s="31" t="e">
        <f t="shared" si="6"/>
        <v>#N/A</v>
      </c>
    </row>
    <row r="11" spans="1:31" s="32" customFormat="1" x14ac:dyDescent="0.25">
      <c r="A11" s="12" t="s">
        <v>1483</v>
      </c>
      <c r="B11" s="13">
        <v>46273.577222222222</v>
      </c>
      <c r="C11" s="12" t="s">
        <v>1466</v>
      </c>
      <c r="D11" s="12" t="s">
        <v>1479</v>
      </c>
      <c r="E11" s="26" t="str">
        <f t="shared" si="0"/>
        <v>C-40100</v>
      </c>
      <c r="F11" s="27" t="str">
        <f t="shared" si="1"/>
        <v>ACAJOU</v>
      </c>
      <c r="G11" s="27">
        <f>+VLOOKUP(F11,[1]base!A:B,2,0)</f>
        <v>15.1</v>
      </c>
      <c r="H11" s="12">
        <v>200</v>
      </c>
      <c r="I11" s="12">
        <v>200</v>
      </c>
      <c r="J11" s="14"/>
      <c r="K11" s="14" t="s">
        <v>26</v>
      </c>
      <c r="L11" s="12" t="s">
        <v>1487</v>
      </c>
      <c r="M11" s="12" t="s">
        <v>150</v>
      </c>
      <c r="N11" s="12">
        <v>200</v>
      </c>
      <c r="O11" s="12">
        <v>200</v>
      </c>
      <c r="P11" s="12">
        <v>0</v>
      </c>
      <c r="Q11" s="16">
        <v>0</v>
      </c>
      <c r="R11" s="16">
        <v>0</v>
      </c>
      <c r="S11" s="16"/>
      <c r="T11" s="28">
        <v>200</v>
      </c>
      <c r="U11" s="28"/>
      <c r="V11" s="29" t="e">
        <f>+VLOOKUP(E11,[1]base!D:K,8,0)</f>
        <v>#N/A</v>
      </c>
      <c r="W11" s="29" t="e">
        <f t="shared" si="2"/>
        <v>#N/A</v>
      </c>
      <c r="X11" s="29" t="e">
        <f t="shared" si="3"/>
        <v>#N/A</v>
      </c>
      <c r="Y11" s="29" t="e">
        <f>+VLOOKUP(E11,[1]base!D:E,2,0)</f>
        <v>#N/A</v>
      </c>
      <c r="Z11" s="29" t="e">
        <f t="shared" si="4"/>
        <v>#N/A</v>
      </c>
      <c r="AA11" s="29" t="e">
        <f t="shared" si="5"/>
        <v>#N/A</v>
      </c>
      <c r="AB11" s="29" t="e">
        <f>+VLOOKUP(E11,[1]base!M:N,2,0)</f>
        <v>#N/A</v>
      </c>
      <c r="AC11" s="29" t="e">
        <f>+VLOOKUP(E11,[1]base!M:Q,5,0)</f>
        <v>#N/A</v>
      </c>
      <c r="AD11" s="30" t="e">
        <f>+VLOOKUP(E11,[1]base!M:P,4,0)</f>
        <v>#N/A</v>
      </c>
      <c r="AE11" s="31" t="e">
        <f t="shared" si="6"/>
        <v>#N/A</v>
      </c>
    </row>
    <row r="12" spans="1:31" s="32" customFormat="1" x14ac:dyDescent="0.25">
      <c r="A12" s="12" t="s">
        <v>1377</v>
      </c>
      <c r="B12" s="13">
        <v>46269.590555555558</v>
      </c>
      <c r="C12" s="12" t="s">
        <v>522</v>
      </c>
      <c r="D12" s="12" t="s">
        <v>1378</v>
      </c>
      <c r="E12" s="26" t="str">
        <f t="shared" si="0"/>
        <v>C-40104</v>
      </c>
      <c r="F12" s="27" t="str">
        <f t="shared" si="1"/>
        <v>DARK</v>
      </c>
      <c r="G12" s="27">
        <f>+VLOOKUP(F12,[1]base!A:B,2,0)</f>
        <v>38</v>
      </c>
      <c r="H12" s="12">
        <v>1</v>
      </c>
      <c r="I12" s="12">
        <v>1</v>
      </c>
      <c r="J12" s="14"/>
      <c r="K12" s="14" t="s">
        <v>26</v>
      </c>
      <c r="L12" s="12" t="s">
        <v>1385</v>
      </c>
      <c r="M12" s="12" t="s">
        <v>150</v>
      </c>
      <c r="N12" s="12">
        <v>1</v>
      </c>
      <c r="O12" s="12">
        <v>1</v>
      </c>
      <c r="P12" s="12">
        <v>0</v>
      </c>
      <c r="Q12" s="16">
        <v>0</v>
      </c>
      <c r="R12" s="16">
        <v>0</v>
      </c>
      <c r="S12" s="16"/>
      <c r="T12" s="28">
        <v>1</v>
      </c>
      <c r="U12" s="28"/>
      <c r="V12" s="29">
        <f>+VLOOKUP(E12,[1]base!D:K,8,0)</f>
        <v>3</v>
      </c>
      <c r="W12" s="29">
        <f t="shared" si="2"/>
        <v>3</v>
      </c>
      <c r="X12" s="29">
        <f t="shared" si="3"/>
        <v>0.156</v>
      </c>
      <c r="Y12" s="29">
        <f>+VLOOKUP(E12,[1]base!D:E,2,0)</f>
        <v>13</v>
      </c>
      <c r="Z12" s="29">
        <f t="shared" si="4"/>
        <v>1</v>
      </c>
      <c r="AA12" s="29">
        <f t="shared" si="5"/>
        <v>6.6666666666666693E-2</v>
      </c>
      <c r="AB12" s="29" t="e">
        <f>+VLOOKUP(E12,[1]base!M:N,2,0)</f>
        <v>#N/A</v>
      </c>
      <c r="AC12" s="29" t="e">
        <f>+VLOOKUP(E12,[1]base!M:Q,5,0)</f>
        <v>#N/A</v>
      </c>
      <c r="AD12" s="30" t="e">
        <f>+VLOOKUP(E12,[1]base!M:P,4,0)</f>
        <v>#N/A</v>
      </c>
      <c r="AE12" s="31" t="e">
        <f t="shared" si="6"/>
        <v>#N/A</v>
      </c>
    </row>
    <row r="13" spans="1:31" s="32" customFormat="1" x14ac:dyDescent="0.25">
      <c r="A13" s="12" t="s">
        <v>1483</v>
      </c>
      <c r="B13" s="13">
        <v>46273.577222222222</v>
      </c>
      <c r="C13" s="12" t="s">
        <v>1466</v>
      </c>
      <c r="D13" s="12" t="s">
        <v>1485</v>
      </c>
      <c r="E13" s="26" t="str">
        <f t="shared" si="0"/>
        <v>C-40112</v>
      </c>
      <c r="F13" s="27" t="str">
        <f t="shared" si="1"/>
        <v>ACAJOU</v>
      </c>
      <c r="G13" s="27">
        <f>+VLOOKUP(F13,[1]base!A:B,2,0)</f>
        <v>15.1</v>
      </c>
      <c r="H13" s="12">
        <v>100</v>
      </c>
      <c r="I13" s="12">
        <v>100</v>
      </c>
      <c r="J13" s="14"/>
      <c r="K13" s="14" t="s">
        <v>26</v>
      </c>
      <c r="L13" s="12" t="s">
        <v>1486</v>
      </c>
      <c r="M13" s="12" t="s">
        <v>150</v>
      </c>
      <c r="N13" s="12">
        <v>100</v>
      </c>
      <c r="O13" s="12">
        <v>100</v>
      </c>
      <c r="P13" s="12">
        <v>0</v>
      </c>
      <c r="Q13" s="16">
        <v>0</v>
      </c>
      <c r="R13" s="16">
        <v>0</v>
      </c>
      <c r="S13" s="16"/>
      <c r="T13" s="28">
        <v>100</v>
      </c>
      <c r="U13" s="28"/>
      <c r="V13" s="29">
        <f>+VLOOKUP(E13,[1]base!D:K,8,0)</f>
        <v>3</v>
      </c>
      <c r="W13" s="29">
        <f t="shared" si="2"/>
        <v>300</v>
      </c>
      <c r="X13" s="29">
        <f t="shared" si="3"/>
        <v>15.6</v>
      </c>
      <c r="Y13" s="29">
        <f>+VLOOKUP(E13,[1]base!D:E,2,0)</f>
        <v>14</v>
      </c>
      <c r="Z13" s="29">
        <f t="shared" si="4"/>
        <v>8</v>
      </c>
      <c r="AA13" s="29">
        <f t="shared" si="5"/>
        <v>0.53333333333333355</v>
      </c>
      <c r="AB13" s="29" t="e">
        <f>+VLOOKUP(E13,[1]base!M:N,2,0)</f>
        <v>#N/A</v>
      </c>
      <c r="AC13" s="29" t="e">
        <f>+VLOOKUP(E13,[1]base!M:Q,5,0)</f>
        <v>#N/A</v>
      </c>
      <c r="AD13" s="30" t="e">
        <f>+VLOOKUP(E13,[1]base!M:P,4,0)</f>
        <v>#N/A</v>
      </c>
      <c r="AE13" s="31" t="e">
        <f t="shared" si="6"/>
        <v>#N/A</v>
      </c>
    </row>
    <row r="14" spans="1:31" s="32" customFormat="1" x14ac:dyDescent="0.25">
      <c r="A14" s="12" t="s">
        <v>963</v>
      </c>
      <c r="B14" s="13">
        <v>46265.30091435185</v>
      </c>
      <c r="C14" s="12" t="s">
        <v>484</v>
      </c>
      <c r="D14" s="12" t="s">
        <v>964</v>
      </c>
      <c r="E14" s="26" t="str">
        <f t="shared" si="0"/>
        <v>C-40139</v>
      </c>
      <c r="F14" s="27" t="str">
        <f t="shared" si="1"/>
        <v>DARK</v>
      </c>
      <c r="G14" s="27">
        <f>+VLOOKUP(F14,[1]base!A:B,2,0)</f>
        <v>38</v>
      </c>
      <c r="H14" s="12">
        <v>2</v>
      </c>
      <c r="I14" s="12">
        <v>2</v>
      </c>
      <c r="J14" s="14"/>
      <c r="K14" s="14" t="s">
        <v>26</v>
      </c>
      <c r="L14" s="12" t="s">
        <v>969</v>
      </c>
      <c r="M14" s="12" t="s">
        <v>150</v>
      </c>
      <c r="N14" s="12">
        <v>2</v>
      </c>
      <c r="O14" s="12">
        <v>2</v>
      </c>
      <c r="P14" s="12">
        <v>0</v>
      </c>
      <c r="Q14" s="16">
        <v>0</v>
      </c>
      <c r="R14" s="16">
        <v>0</v>
      </c>
      <c r="S14" s="16"/>
      <c r="T14" s="28">
        <v>2</v>
      </c>
      <c r="U14" s="28"/>
      <c r="V14" s="29" t="e">
        <f>+VLOOKUP(E14,[1]base!D:K,8,0)</f>
        <v>#N/A</v>
      </c>
      <c r="W14" s="29" t="e">
        <f t="shared" si="2"/>
        <v>#N/A</v>
      </c>
      <c r="X14" s="29" t="e">
        <f t="shared" si="3"/>
        <v>#N/A</v>
      </c>
      <c r="Y14" s="29" t="e">
        <f>+VLOOKUP(E14,[1]base!D:E,2,0)</f>
        <v>#N/A</v>
      </c>
      <c r="Z14" s="29" t="e">
        <f t="shared" si="4"/>
        <v>#N/A</v>
      </c>
      <c r="AA14" s="29" t="e">
        <f t="shared" si="5"/>
        <v>#N/A</v>
      </c>
      <c r="AB14" s="29" t="e">
        <f>+VLOOKUP(E14,[1]base!M:N,2,0)</f>
        <v>#N/A</v>
      </c>
      <c r="AC14" s="29" t="e">
        <f>+VLOOKUP(E14,[1]base!M:Q,5,0)</f>
        <v>#N/A</v>
      </c>
      <c r="AD14" s="30" t="e">
        <f>+VLOOKUP(E14,[1]base!M:P,4,0)</f>
        <v>#N/A</v>
      </c>
      <c r="AE14" s="31" t="e">
        <f t="shared" si="6"/>
        <v>#N/A</v>
      </c>
    </row>
    <row r="15" spans="1:31" x14ac:dyDescent="0.25">
      <c r="A15" s="12" t="s">
        <v>1377</v>
      </c>
      <c r="B15" s="13">
        <v>46269.590555555558</v>
      </c>
      <c r="C15" s="12" t="s">
        <v>522</v>
      </c>
      <c r="D15" s="12" t="s">
        <v>1157</v>
      </c>
      <c r="E15" s="26" t="str">
        <f t="shared" si="0"/>
        <v>C-40150</v>
      </c>
      <c r="F15" s="27" t="str">
        <f t="shared" si="1"/>
        <v>DARK</v>
      </c>
      <c r="G15" s="27">
        <f>+VLOOKUP(F15,[1]base!A:B,2,0)</f>
        <v>38</v>
      </c>
      <c r="H15" s="12">
        <v>1</v>
      </c>
      <c r="I15" s="12">
        <v>1</v>
      </c>
      <c r="J15" s="14"/>
      <c r="K15" s="14" t="s">
        <v>26</v>
      </c>
      <c r="L15" s="12" t="s">
        <v>1396</v>
      </c>
      <c r="M15" s="12" t="s">
        <v>150</v>
      </c>
      <c r="N15" s="12">
        <v>1</v>
      </c>
      <c r="O15" s="12">
        <v>1</v>
      </c>
      <c r="P15" s="12">
        <v>0</v>
      </c>
      <c r="Q15" s="16">
        <v>0</v>
      </c>
      <c r="R15" s="16">
        <v>0</v>
      </c>
      <c r="S15" s="16"/>
      <c r="T15" s="28">
        <v>1</v>
      </c>
      <c r="U15" s="28"/>
      <c r="V15" s="29">
        <f>+VLOOKUP(E15,[1]base!D:K,8,0)</f>
        <v>2</v>
      </c>
      <c r="W15" s="29">
        <f t="shared" si="2"/>
        <v>2</v>
      </c>
      <c r="X15" s="29">
        <f t="shared" si="3"/>
        <v>0.104</v>
      </c>
      <c r="Y15" s="29">
        <f>+VLOOKUP(E15,[1]base!D:E,2,0)</f>
        <v>13</v>
      </c>
      <c r="Z15" s="29">
        <f t="shared" si="4"/>
        <v>1</v>
      </c>
      <c r="AA15" s="29">
        <f t="shared" si="5"/>
        <v>6.6666666666666693E-2</v>
      </c>
      <c r="AB15" s="29" t="e">
        <f>+VLOOKUP(E15,[1]base!M:N,2,0)</f>
        <v>#N/A</v>
      </c>
      <c r="AC15" s="29" t="e">
        <f>+VLOOKUP(E15,[1]base!M:Q,5,0)</f>
        <v>#N/A</v>
      </c>
      <c r="AD15" s="30" t="e">
        <f>+VLOOKUP(E15,[1]base!M:P,4,0)</f>
        <v>#N/A</v>
      </c>
      <c r="AE15" s="31" t="e">
        <f t="shared" si="6"/>
        <v>#N/A</v>
      </c>
    </row>
    <row r="16" spans="1:31" s="32" customFormat="1" x14ac:dyDescent="0.25">
      <c r="A16" s="12" t="s">
        <v>1377</v>
      </c>
      <c r="B16" s="13">
        <v>46269.590555555558</v>
      </c>
      <c r="C16" s="12" t="s">
        <v>522</v>
      </c>
      <c r="D16" s="12" t="s">
        <v>1379</v>
      </c>
      <c r="E16" s="26" t="str">
        <f t="shared" si="0"/>
        <v>C-40154</v>
      </c>
      <c r="F16" s="27" t="str">
        <f t="shared" si="1"/>
        <v>DARK</v>
      </c>
      <c r="G16" s="27">
        <f>+VLOOKUP(F16,[1]base!A:B,2,0)</f>
        <v>38</v>
      </c>
      <c r="H16" s="12">
        <v>1</v>
      </c>
      <c r="I16" s="12">
        <v>1</v>
      </c>
      <c r="J16" s="14"/>
      <c r="K16" s="14" t="s">
        <v>26</v>
      </c>
      <c r="L16" s="12" t="s">
        <v>1391</v>
      </c>
      <c r="M16" s="12" t="s">
        <v>150</v>
      </c>
      <c r="N16" s="12">
        <v>1</v>
      </c>
      <c r="O16" s="12">
        <v>1</v>
      </c>
      <c r="P16" s="12">
        <v>0</v>
      </c>
      <c r="Q16" s="16">
        <v>0</v>
      </c>
      <c r="R16" s="16">
        <v>0</v>
      </c>
      <c r="S16" s="16"/>
      <c r="T16" s="28">
        <v>1</v>
      </c>
      <c r="U16" s="28"/>
      <c r="V16" s="29">
        <f>+VLOOKUP(E16,[1]base!D:K,8,0)</f>
        <v>2</v>
      </c>
      <c r="W16" s="29">
        <f t="shared" si="2"/>
        <v>2</v>
      </c>
      <c r="X16" s="29">
        <f t="shared" si="3"/>
        <v>0.104</v>
      </c>
      <c r="Y16" s="29">
        <f>+VLOOKUP(E16,[1]base!D:E,2,0)</f>
        <v>9</v>
      </c>
      <c r="Z16" s="29">
        <f t="shared" si="4"/>
        <v>1</v>
      </c>
      <c r="AA16" s="29">
        <f t="shared" si="5"/>
        <v>6.6666666666666693E-2</v>
      </c>
      <c r="AB16" s="29" t="e">
        <f>+VLOOKUP(E16,[1]base!M:N,2,0)</f>
        <v>#N/A</v>
      </c>
      <c r="AC16" s="29" t="e">
        <f>+VLOOKUP(E16,[1]base!M:Q,5,0)</f>
        <v>#N/A</v>
      </c>
      <c r="AD16" s="30" t="e">
        <f>+VLOOKUP(E16,[1]base!M:P,4,0)</f>
        <v>#N/A</v>
      </c>
      <c r="AE16" s="31" t="e">
        <f t="shared" si="6"/>
        <v>#N/A</v>
      </c>
    </row>
    <row r="17" spans="1:31" s="32" customFormat="1" x14ac:dyDescent="0.25">
      <c r="A17" s="12" t="s">
        <v>1377</v>
      </c>
      <c r="B17" s="13">
        <v>46269.590555555558</v>
      </c>
      <c r="C17" s="12" t="s">
        <v>522</v>
      </c>
      <c r="D17" s="12" t="s">
        <v>1124</v>
      </c>
      <c r="E17" s="26" t="str">
        <f t="shared" si="0"/>
        <v>C-40406</v>
      </c>
      <c r="F17" s="27" t="str">
        <f t="shared" si="1"/>
        <v>DARK</v>
      </c>
      <c r="G17" s="27">
        <f>+VLOOKUP(F17,[1]base!A:B,2,0)</f>
        <v>38</v>
      </c>
      <c r="H17" s="12">
        <v>4</v>
      </c>
      <c r="I17" s="12">
        <v>4</v>
      </c>
      <c r="J17" s="14"/>
      <c r="K17" s="14" t="s">
        <v>26</v>
      </c>
      <c r="L17" s="12" t="s">
        <v>1384</v>
      </c>
      <c r="M17" s="12" t="s">
        <v>150</v>
      </c>
      <c r="N17" s="12">
        <v>4</v>
      </c>
      <c r="O17" s="12">
        <v>4</v>
      </c>
      <c r="P17" s="12">
        <v>0</v>
      </c>
      <c r="Q17" s="16">
        <v>0</v>
      </c>
      <c r="R17" s="16">
        <v>0</v>
      </c>
      <c r="S17" s="16"/>
      <c r="T17" s="28">
        <v>4</v>
      </c>
      <c r="U17" s="28"/>
      <c r="V17" s="29">
        <f>+VLOOKUP(E17,[1]base!D:K,8,0)</f>
        <v>2</v>
      </c>
      <c r="W17" s="29">
        <f t="shared" si="2"/>
        <v>8</v>
      </c>
      <c r="X17" s="29">
        <f t="shared" si="3"/>
        <v>0.41599999999999998</v>
      </c>
      <c r="Y17" s="29">
        <f>+VLOOKUP(E17,[1]base!D:E,2,0)</f>
        <v>13</v>
      </c>
      <c r="Z17" s="29">
        <f t="shared" si="4"/>
        <v>1</v>
      </c>
      <c r="AA17" s="29">
        <f t="shared" si="5"/>
        <v>6.6666666666666693E-2</v>
      </c>
      <c r="AB17" s="29" t="e">
        <f>+VLOOKUP(E17,[1]base!M:N,2,0)</f>
        <v>#N/A</v>
      </c>
      <c r="AC17" s="29" t="e">
        <f>+VLOOKUP(E17,[1]base!M:Q,5,0)</f>
        <v>#N/A</v>
      </c>
      <c r="AD17" s="30" t="e">
        <f>+VLOOKUP(E17,[1]base!M:P,4,0)</f>
        <v>#N/A</v>
      </c>
      <c r="AE17" s="31" t="e">
        <f t="shared" si="6"/>
        <v>#N/A</v>
      </c>
    </row>
    <row r="18" spans="1:31" s="32" customFormat="1" x14ac:dyDescent="0.25">
      <c r="A18" s="12" t="s">
        <v>792</v>
      </c>
      <c r="B18" s="13">
        <v>46260.398888888885</v>
      </c>
      <c r="C18" s="12" t="s">
        <v>24</v>
      </c>
      <c r="D18" s="12" t="s">
        <v>793</v>
      </c>
      <c r="E18" s="26" t="str">
        <f t="shared" si="0"/>
        <v>C-67106</v>
      </c>
      <c r="F18" s="27" t="str">
        <f t="shared" si="1"/>
        <v>GREY</v>
      </c>
      <c r="G18" s="27">
        <f>+VLOOKUP(F18,[1]base!A:B,2,0)</f>
        <v>24</v>
      </c>
      <c r="H18" s="12">
        <v>7</v>
      </c>
      <c r="I18" s="12">
        <v>7</v>
      </c>
      <c r="J18" s="14"/>
      <c r="K18" s="14" t="s">
        <v>26</v>
      </c>
      <c r="L18" s="12" t="s">
        <v>794</v>
      </c>
      <c r="M18" s="12" t="s">
        <v>150</v>
      </c>
      <c r="N18" s="12">
        <v>7</v>
      </c>
      <c r="O18" s="12">
        <v>7</v>
      </c>
      <c r="P18" s="12">
        <v>0</v>
      </c>
      <c r="Q18" s="16">
        <v>0</v>
      </c>
      <c r="R18" s="16">
        <v>0</v>
      </c>
      <c r="S18" s="16"/>
      <c r="T18" s="28">
        <v>7</v>
      </c>
      <c r="U18" s="28"/>
      <c r="V18" s="29">
        <f>+VLOOKUP(E18,[1]base!D:K,8,0)</f>
        <v>3</v>
      </c>
      <c r="W18" s="29">
        <f t="shared" si="2"/>
        <v>21</v>
      </c>
      <c r="X18" s="29">
        <f t="shared" si="3"/>
        <v>1.0919999999999999</v>
      </c>
      <c r="Y18" s="29">
        <f>+VLOOKUP(E18,[1]base!D:E,2,0)</f>
        <v>15</v>
      </c>
      <c r="Z18" s="29">
        <f t="shared" si="4"/>
        <v>1</v>
      </c>
      <c r="AA18" s="29">
        <f t="shared" si="5"/>
        <v>6.6666666666666693E-2</v>
      </c>
      <c r="AB18" s="29" t="e">
        <f>+VLOOKUP(E18,[1]base!M:N,2,0)</f>
        <v>#N/A</v>
      </c>
      <c r="AC18" s="29" t="e">
        <f>+VLOOKUP(E18,[1]base!M:Q,5,0)</f>
        <v>#N/A</v>
      </c>
      <c r="AD18" s="30" t="e">
        <f>+VLOOKUP(E18,[1]base!M:P,4,0)</f>
        <v>#N/A</v>
      </c>
      <c r="AE18" s="31" t="e">
        <f t="shared" si="6"/>
        <v>#N/A</v>
      </c>
    </row>
    <row r="19" spans="1:31" s="32" customFormat="1" x14ac:dyDescent="0.25">
      <c r="A19" s="12" t="s">
        <v>1377</v>
      </c>
      <c r="B19" s="13">
        <v>46269.590555555558</v>
      </c>
      <c r="C19" s="12" t="s">
        <v>522</v>
      </c>
      <c r="D19" s="12" t="s">
        <v>1155</v>
      </c>
      <c r="E19" s="26" t="str">
        <f t="shared" si="0"/>
        <v>C-67106</v>
      </c>
      <c r="F19" s="27" t="str">
        <f t="shared" si="1"/>
        <v>DARK</v>
      </c>
      <c r="G19" s="27">
        <f>+VLOOKUP(F19,[1]base!A:B,2,0)</f>
        <v>38</v>
      </c>
      <c r="H19" s="12">
        <v>4</v>
      </c>
      <c r="I19" s="12">
        <v>4</v>
      </c>
      <c r="J19" s="14"/>
      <c r="K19" s="14" t="s">
        <v>26</v>
      </c>
      <c r="L19" s="12" t="s">
        <v>1387</v>
      </c>
      <c r="M19" s="12" t="s">
        <v>150</v>
      </c>
      <c r="N19" s="12">
        <v>4</v>
      </c>
      <c r="O19" s="12">
        <v>4</v>
      </c>
      <c r="P19" s="12">
        <v>0</v>
      </c>
      <c r="Q19" s="16">
        <v>0</v>
      </c>
      <c r="R19" s="16">
        <v>0</v>
      </c>
      <c r="S19" s="16"/>
      <c r="T19" s="28">
        <v>4</v>
      </c>
      <c r="U19" s="28"/>
      <c r="V19" s="29">
        <f>+VLOOKUP(E19,[1]base!D:K,8,0)</f>
        <v>3</v>
      </c>
      <c r="W19" s="29">
        <f t="shared" si="2"/>
        <v>12</v>
      </c>
      <c r="X19" s="29">
        <f t="shared" si="3"/>
        <v>0.624</v>
      </c>
      <c r="Y19" s="29">
        <f>+VLOOKUP(E19,[1]base!D:E,2,0)</f>
        <v>15</v>
      </c>
      <c r="Z19" s="29">
        <f t="shared" si="4"/>
        <v>1</v>
      </c>
      <c r="AA19" s="29">
        <f t="shared" si="5"/>
        <v>6.6666666666666693E-2</v>
      </c>
      <c r="AB19" s="29" t="e">
        <f>+VLOOKUP(E19,[1]base!M:N,2,0)</f>
        <v>#N/A</v>
      </c>
      <c r="AC19" s="29" t="e">
        <f>+VLOOKUP(E19,[1]base!M:Q,5,0)</f>
        <v>#N/A</v>
      </c>
      <c r="AD19" s="30" t="e">
        <f>+VLOOKUP(E19,[1]base!M:P,4,0)</f>
        <v>#N/A</v>
      </c>
      <c r="AE19" s="31" t="e">
        <f t="shared" si="6"/>
        <v>#N/A</v>
      </c>
    </row>
    <row r="20" spans="1:31" s="32" customFormat="1" x14ac:dyDescent="0.25">
      <c r="A20" s="12" t="s">
        <v>1377</v>
      </c>
      <c r="B20" s="13">
        <v>46269.590555555558</v>
      </c>
      <c r="C20" s="12" t="s">
        <v>522</v>
      </c>
      <c r="D20" s="12" t="s">
        <v>1155</v>
      </c>
      <c r="E20" s="26" t="str">
        <f t="shared" si="0"/>
        <v>C-67106</v>
      </c>
      <c r="F20" s="27" t="str">
        <f t="shared" si="1"/>
        <v>DARK</v>
      </c>
      <c r="G20" s="27">
        <f>+VLOOKUP(F20,[1]base!A:B,2,0)</f>
        <v>38</v>
      </c>
      <c r="H20" s="12">
        <v>2</v>
      </c>
      <c r="I20" s="12">
        <v>2</v>
      </c>
      <c r="J20" s="14"/>
      <c r="K20" s="14" t="s">
        <v>26</v>
      </c>
      <c r="L20" s="12" t="s">
        <v>1388</v>
      </c>
      <c r="M20" s="12" t="s">
        <v>150</v>
      </c>
      <c r="N20" s="12">
        <v>2</v>
      </c>
      <c r="O20" s="12">
        <v>2</v>
      </c>
      <c r="P20" s="12">
        <v>0</v>
      </c>
      <c r="Q20" s="16">
        <v>0</v>
      </c>
      <c r="R20" s="16">
        <v>0</v>
      </c>
      <c r="S20" s="16"/>
      <c r="T20" s="28">
        <v>2</v>
      </c>
      <c r="U20" s="28"/>
      <c r="V20" s="29">
        <f>+VLOOKUP(E20,[1]base!D:K,8,0)</f>
        <v>3</v>
      </c>
      <c r="W20" s="29">
        <f t="shared" si="2"/>
        <v>6</v>
      </c>
      <c r="X20" s="29">
        <f t="shared" si="3"/>
        <v>0.312</v>
      </c>
      <c r="Y20" s="29">
        <f>+VLOOKUP(E20,[1]base!D:E,2,0)</f>
        <v>15</v>
      </c>
      <c r="Z20" s="29">
        <f t="shared" si="4"/>
        <v>1</v>
      </c>
      <c r="AA20" s="29">
        <f t="shared" si="5"/>
        <v>6.6666666666666693E-2</v>
      </c>
      <c r="AB20" s="29" t="e">
        <f>+VLOOKUP(E20,[1]base!M:N,2,0)</f>
        <v>#N/A</v>
      </c>
      <c r="AC20" s="29" t="e">
        <f>+VLOOKUP(E20,[1]base!M:Q,5,0)</f>
        <v>#N/A</v>
      </c>
      <c r="AD20" s="30" t="e">
        <f>+VLOOKUP(E20,[1]base!M:P,4,0)</f>
        <v>#N/A</v>
      </c>
      <c r="AE20" s="31" t="e">
        <f t="shared" si="6"/>
        <v>#N/A</v>
      </c>
    </row>
    <row r="21" spans="1:31" s="32" customFormat="1" x14ac:dyDescent="0.25">
      <c r="A21" s="12" t="s">
        <v>1377</v>
      </c>
      <c r="B21" s="13">
        <v>46269.590555555558</v>
      </c>
      <c r="C21" s="12" t="s">
        <v>522</v>
      </c>
      <c r="D21" s="12" t="s">
        <v>1156</v>
      </c>
      <c r="E21" s="26" t="str">
        <f t="shared" si="0"/>
        <v>C-67107</v>
      </c>
      <c r="F21" s="27" t="str">
        <f t="shared" si="1"/>
        <v>DARK</v>
      </c>
      <c r="G21" s="27">
        <f>+VLOOKUP(F21,[1]base!A:B,2,0)</f>
        <v>38</v>
      </c>
      <c r="H21" s="12">
        <v>1</v>
      </c>
      <c r="I21" s="12">
        <v>1</v>
      </c>
      <c r="J21" s="14"/>
      <c r="K21" s="14" t="s">
        <v>26</v>
      </c>
      <c r="L21" s="12" t="s">
        <v>1389</v>
      </c>
      <c r="M21" s="12" t="s">
        <v>150</v>
      </c>
      <c r="N21" s="12">
        <v>1</v>
      </c>
      <c r="O21" s="12">
        <v>1</v>
      </c>
      <c r="P21" s="12">
        <v>0</v>
      </c>
      <c r="Q21" s="16">
        <v>0</v>
      </c>
      <c r="R21" s="16">
        <v>0</v>
      </c>
      <c r="S21" s="16"/>
      <c r="T21" s="28">
        <v>1</v>
      </c>
      <c r="U21" s="28"/>
      <c r="V21" s="29">
        <f>+VLOOKUP(E21,[1]base!D:K,8,0)</f>
        <v>2</v>
      </c>
      <c r="W21" s="29">
        <f t="shared" si="2"/>
        <v>2</v>
      </c>
      <c r="X21" s="29">
        <f t="shared" si="3"/>
        <v>0.104</v>
      </c>
      <c r="Y21" s="29">
        <f>+VLOOKUP(E21,[1]base!D:E,2,0)</f>
        <v>20</v>
      </c>
      <c r="Z21" s="29">
        <f t="shared" si="4"/>
        <v>1</v>
      </c>
      <c r="AA21" s="29">
        <f t="shared" si="5"/>
        <v>6.6666666666666693E-2</v>
      </c>
      <c r="AB21" s="29" t="e">
        <f>+VLOOKUP(E21,[1]base!M:N,2,0)</f>
        <v>#N/A</v>
      </c>
      <c r="AC21" s="29" t="e">
        <f>+VLOOKUP(E21,[1]base!M:Q,5,0)</f>
        <v>#N/A</v>
      </c>
      <c r="AD21" s="30" t="e">
        <f>+VLOOKUP(E21,[1]base!M:P,4,0)</f>
        <v>#N/A</v>
      </c>
      <c r="AE21" s="31" t="e">
        <f t="shared" si="6"/>
        <v>#N/A</v>
      </c>
    </row>
    <row r="22" spans="1:31" s="32" customFormat="1" x14ac:dyDescent="0.25">
      <c r="A22" s="12" t="s">
        <v>1377</v>
      </c>
      <c r="B22" s="13">
        <v>46269.590555555558</v>
      </c>
      <c r="C22" s="12" t="s">
        <v>522</v>
      </c>
      <c r="D22" s="12" t="s">
        <v>1156</v>
      </c>
      <c r="E22" s="26" t="str">
        <f t="shared" si="0"/>
        <v>C-67107</v>
      </c>
      <c r="F22" s="27" t="str">
        <f t="shared" si="1"/>
        <v>DARK</v>
      </c>
      <c r="G22" s="27">
        <f>+VLOOKUP(F22,[1]base!A:B,2,0)</f>
        <v>38</v>
      </c>
      <c r="H22" s="12">
        <v>3</v>
      </c>
      <c r="I22" s="12">
        <v>3</v>
      </c>
      <c r="J22" s="14"/>
      <c r="K22" s="14" t="s">
        <v>26</v>
      </c>
      <c r="L22" s="12" t="s">
        <v>1390</v>
      </c>
      <c r="M22" s="12" t="s">
        <v>150</v>
      </c>
      <c r="N22" s="12">
        <v>3</v>
      </c>
      <c r="O22" s="12">
        <v>3</v>
      </c>
      <c r="P22" s="12">
        <v>0</v>
      </c>
      <c r="Q22" s="16">
        <v>0</v>
      </c>
      <c r="R22" s="16">
        <v>0</v>
      </c>
      <c r="S22" s="16"/>
      <c r="T22" s="28">
        <v>3</v>
      </c>
      <c r="U22" s="28"/>
      <c r="V22" s="29">
        <f>+VLOOKUP(E22,[1]base!D:K,8,0)</f>
        <v>2</v>
      </c>
      <c r="W22" s="29">
        <f t="shared" si="2"/>
        <v>6</v>
      </c>
      <c r="X22" s="29">
        <f t="shared" si="3"/>
        <v>0.312</v>
      </c>
      <c r="Y22" s="29">
        <f>+VLOOKUP(E22,[1]base!D:E,2,0)</f>
        <v>20</v>
      </c>
      <c r="Z22" s="29">
        <f t="shared" si="4"/>
        <v>1</v>
      </c>
      <c r="AA22" s="29">
        <f t="shared" si="5"/>
        <v>6.6666666666666693E-2</v>
      </c>
      <c r="AB22" s="29" t="e">
        <f>+VLOOKUP(E22,[1]base!M:N,2,0)</f>
        <v>#N/A</v>
      </c>
      <c r="AC22" s="29" t="e">
        <f>+VLOOKUP(E22,[1]base!M:Q,5,0)</f>
        <v>#N/A</v>
      </c>
      <c r="AD22" s="30" t="e">
        <f>+VLOOKUP(E22,[1]base!M:P,4,0)</f>
        <v>#N/A</v>
      </c>
      <c r="AE22" s="31" t="e">
        <f t="shared" si="6"/>
        <v>#N/A</v>
      </c>
    </row>
    <row r="23" spans="1:31" s="32" customFormat="1" x14ac:dyDescent="0.25">
      <c r="A23" s="12" t="s">
        <v>1377</v>
      </c>
      <c r="B23" s="13">
        <v>46269.590555555558</v>
      </c>
      <c r="C23" s="12" t="s">
        <v>522</v>
      </c>
      <c r="D23" s="12" t="s">
        <v>1154</v>
      </c>
      <c r="E23" s="26" t="str">
        <f t="shared" si="0"/>
        <v>C-67108</v>
      </c>
      <c r="F23" s="27" t="str">
        <f t="shared" si="1"/>
        <v>DARK</v>
      </c>
      <c r="G23" s="27">
        <f>+VLOOKUP(F23,[1]base!A:B,2,0)</f>
        <v>38</v>
      </c>
      <c r="H23" s="12">
        <v>2</v>
      </c>
      <c r="I23" s="12">
        <v>2</v>
      </c>
      <c r="J23" s="14"/>
      <c r="K23" s="14" t="s">
        <v>26</v>
      </c>
      <c r="L23" s="12" t="s">
        <v>1386</v>
      </c>
      <c r="M23" s="12" t="s">
        <v>150</v>
      </c>
      <c r="N23" s="12">
        <v>2</v>
      </c>
      <c r="O23" s="12">
        <v>2</v>
      </c>
      <c r="P23" s="12">
        <v>0</v>
      </c>
      <c r="Q23" s="16">
        <v>0</v>
      </c>
      <c r="R23" s="16">
        <v>0</v>
      </c>
      <c r="S23" s="16"/>
      <c r="T23" s="28">
        <v>2</v>
      </c>
      <c r="U23" s="28"/>
      <c r="V23" s="29">
        <f>+VLOOKUP(E23,[1]base!D:K,8,0)</f>
        <v>2</v>
      </c>
      <c r="W23" s="29">
        <f t="shared" si="2"/>
        <v>4</v>
      </c>
      <c r="X23" s="29">
        <f t="shared" si="3"/>
        <v>0.20799999999999999</v>
      </c>
      <c r="Y23" s="29">
        <f>+VLOOKUP(E23,[1]base!D:E,2,0)</f>
        <v>20</v>
      </c>
      <c r="Z23" s="29">
        <f t="shared" si="4"/>
        <v>1</v>
      </c>
      <c r="AA23" s="29">
        <f t="shared" si="5"/>
        <v>6.6666666666666693E-2</v>
      </c>
      <c r="AB23" s="29" t="e">
        <f>+VLOOKUP(E23,[1]base!M:N,2,0)</f>
        <v>#N/A</v>
      </c>
      <c r="AC23" s="29" t="e">
        <f>+VLOOKUP(E23,[1]base!M:Q,5,0)</f>
        <v>#N/A</v>
      </c>
      <c r="AD23" s="30" t="e">
        <f>+VLOOKUP(E23,[1]base!M:P,4,0)</f>
        <v>#N/A</v>
      </c>
      <c r="AE23" s="31" t="e">
        <f t="shared" si="6"/>
        <v>#N/A</v>
      </c>
    </row>
    <row r="24" spans="1:31" s="32" customFormat="1" x14ac:dyDescent="0.25">
      <c r="A24" s="12" t="s">
        <v>1400</v>
      </c>
      <c r="B24" s="13">
        <v>46270.34337962963</v>
      </c>
      <c r="C24" s="12" t="s">
        <v>24</v>
      </c>
      <c r="D24" s="12" t="s">
        <v>1401</v>
      </c>
      <c r="E24" s="26" t="str">
        <f t="shared" si="0"/>
        <v>C-80113</v>
      </c>
      <c r="F24" s="27" t="str">
        <f t="shared" si="1"/>
        <v>NOIR</v>
      </c>
      <c r="G24" s="27">
        <f>+VLOOKUP(F24,[1]base!A:B,2,0)</f>
        <v>37</v>
      </c>
      <c r="H24" s="12">
        <v>2</v>
      </c>
      <c r="I24" s="12">
        <v>2</v>
      </c>
      <c r="J24" s="14"/>
      <c r="K24" s="14" t="s">
        <v>26</v>
      </c>
      <c r="L24" s="12" t="s">
        <v>1402</v>
      </c>
      <c r="M24" s="12" t="s">
        <v>150</v>
      </c>
      <c r="N24" s="12">
        <v>2</v>
      </c>
      <c r="O24" s="12">
        <v>2</v>
      </c>
      <c r="P24" s="12">
        <v>0</v>
      </c>
      <c r="Q24" s="16">
        <v>0</v>
      </c>
      <c r="R24" s="16">
        <v>0</v>
      </c>
      <c r="S24" s="16"/>
      <c r="T24" s="28">
        <v>2</v>
      </c>
      <c r="U24" s="28"/>
      <c r="V24" s="29" t="e">
        <f>+VLOOKUP(E24,[1]base!D:K,8,0)</f>
        <v>#N/A</v>
      </c>
      <c r="W24" s="29" t="e">
        <f t="shared" si="2"/>
        <v>#N/A</v>
      </c>
      <c r="X24" s="29" t="e">
        <f t="shared" si="3"/>
        <v>#N/A</v>
      </c>
      <c r="Y24" s="29" t="e">
        <f>+VLOOKUP(E24,[1]base!D:E,2,0)</f>
        <v>#N/A</v>
      </c>
      <c r="Z24" s="29" t="e">
        <f t="shared" si="4"/>
        <v>#N/A</v>
      </c>
      <c r="AA24" s="29" t="e">
        <f t="shared" si="5"/>
        <v>#N/A</v>
      </c>
      <c r="AB24" s="29" t="e">
        <f>+VLOOKUP(E24,[1]base!M:N,2,0)</f>
        <v>#N/A</v>
      </c>
      <c r="AC24" s="29" t="e">
        <f>+VLOOKUP(E24,[1]base!M:Q,5,0)</f>
        <v>#N/A</v>
      </c>
      <c r="AD24" s="30" t="e">
        <f>+VLOOKUP(E24,[1]base!M:P,4,0)</f>
        <v>#N/A</v>
      </c>
      <c r="AE24" s="31" t="e">
        <f t="shared" si="6"/>
        <v>#N/A</v>
      </c>
    </row>
    <row r="25" spans="1:31" s="32" customFormat="1" x14ac:dyDescent="0.25">
      <c r="A25" s="12" t="s">
        <v>963</v>
      </c>
      <c r="B25" s="13">
        <v>46265.30091435185</v>
      </c>
      <c r="C25" s="12" t="s">
        <v>484</v>
      </c>
      <c r="D25" s="12" t="s">
        <v>965</v>
      </c>
      <c r="E25" s="26" t="str">
        <f t="shared" si="0"/>
        <v>C-AL11026</v>
      </c>
      <c r="F25" s="27" t="str">
        <f t="shared" si="1"/>
        <v>DARK</v>
      </c>
      <c r="G25" s="27">
        <f>+VLOOKUP(F25,[1]base!A:B,2,0)</f>
        <v>38</v>
      </c>
      <c r="H25" s="12">
        <v>2</v>
      </c>
      <c r="I25" s="12">
        <v>2</v>
      </c>
      <c r="J25" s="14"/>
      <c r="K25" s="14" t="s">
        <v>26</v>
      </c>
      <c r="L25" s="12" t="s">
        <v>970</v>
      </c>
      <c r="M25" s="12" t="s">
        <v>150</v>
      </c>
      <c r="N25" s="12">
        <v>2</v>
      </c>
      <c r="O25" s="12">
        <v>2</v>
      </c>
      <c r="P25" s="12">
        <v>0</v>
      </c>
      <c r="Q25" s="16">
        <v>0</v>
      </c>
      <c r="R25" s="16">
        <v>0</v>
      </c>
      <c r="S25" s="16"/>
      <c r="T25" s="28">
        <v>2</v>
      </c>
      <c r="U25" s="28"/>
      <c r="V25" s="29" t="e">
        <f>+VLOOKUP(E25,[1]base!D:K,8,0)</f>
        <v>#N/A</v>
      </c>
      <c r="W25" s="29" t="e">
        <f t="shared" si="2"/>
        <v>#N/A</v>
      </c>
      <c r="X25" s="29" t="e">
        <f t="shared" si="3"/>
        <v>#N/A</v>
      </c>
      <c r="Y25" s="29" t="e">
        <f>+VLOOKUP(E25,[1]base!D:E,2,0)</f>
        <v>#N/A</v>
      </c>
      <c r="Z25" s="29" t="e">
        <f t="shared" si="4"/>
        <v>#N/A</v>
      </c>
      <c r="AA25" s="29" t="e">
        <f t="shared" si="5"/>
        <v>#N/A</v>
      </c>
      <c r="AB25" s="29" t="e">
        <f>+VLOOKUP(E25,[1]base!M:N,2,0)</f>
        <v>#N/A</v>
      </c>
      <c r="AC25" s="29" t="e">
        <f>+VLOOKUP(E25,[1]base!M:Q,5,0)</f>
        <v>#N/A</v>
      </c>
      <c r="AD25" s="30" t="e">
        <f>+VLOOKUP(E25,[1]base!M:P,4,0)</f>
        <v>#N/A</v>
      </c>
      <c r="AE25" s="31" t="e">
        <f t="shared" si="6"/>
        <v>#N/A</v>
      </c>
    </row>
    <row r="26" spans="1:31" s="32" customFormat="1" x14ac:dyDescent="0.25">
      <c r="A26" s="12" t="s">
        <v>1602</v>
      </c>
      <c r="B26" s="13">
        <v>46275.386006944442</v>
      </c>
      <c r="C26" s="12" t="s">
        <v>1439</v>
      </c>
      <c r="D26" s="12" t="s">
        <v>1616</v>
      </c>
      <c r="E26" s="26" t="str">
        <f t="shared" si="0"/>
        <v>C-C706</v>
      </c>
      <c r="F26" s="27" t="str">
        <f t="shared" si="1"/>
        <v>NOIR</v>
      </c>
      <c r="G26" s="27">
        <f>+VLOOKUP(F26,[1]base!A:B,2,0)</f>
        <v>37</v>
      </c>
      <c r="H26" s="12">
        <v>2</v>
      </c>
      <c r="I26" s="12">
        <v>2</v>
      </c>
      <c r="J26" s="14"/>
      <c r="K26" s="14" t="s">
        <v>26</v>
      </c>
      <c r="L26" s="12" t="s">
        <v>1632</v>
      </c>
      <c r="M26" s="12" t="s">
        <v>150</v>
      </c>
      <c r="N26" s="12">
        <v>2</v>
      </c>
      <c r="O26" s="12">
        <v>2</v>
      </c>
      <c r="P26" s="12">
        <v>0</v>
      </c>
      <c r="Q26" s="16">
        <v>0</v>
      </c>
      <c r="R26" s="16">
        <v>0</v>
      </c>
      <c r="S26" s="16"/>
      <c r="T26" s="28">
        <v>2</v>
      </c>
      <c r="U26" s="28"/>
      <c r="V26" s="29" t="e">
        <f>+VLOOKUP(E26,[1]base!D:K,8,0)</f>
        <v>#N/A</v>
      </c>
      <c r="W26" s="29" t="e">
        <f t="shared" si="2"/>
        <v>#N/A</v>
      </c>
      <c r="X26" s="29" t="e">
        <f t="shared" si="3"/>
        <v>#N/A</v>
      </c>
      <c r="Y26" s="29" t="e">
        <f>+VLOOKUP(E26,[1]base!D:E,2,0)</f>
        <v>#N/A</v>
      </c>
      <c r="Z26" s="29" t="e">
        <f t="shared" si="4"/>
        <v>#N/A</v>
      </c>
      <c r="AA26" s="29" t="e">
        <f t="shared" si="5"/>
        <v>#N/A</v>
      </c>
      <c r="AB26" s="29" t="e">
        <f>+VLOOKUP(E26,[1]base!M:N,2,0)</f>
        <v>#N/A</v>
      </c>
      <c r="AC26" s="29" t="e">
        <f>+VLOOKUP(E26,[1]base!M:Q,5,0)</f>
        <v>#N/A</v>
      </c>
      <c r="AD26" s="30" t="e">
        <f>+VLOOKUP(E26,[1]base!M:P,4,0)</f>
        <v>#N/A</v>
      </c>
      <c r="AE26" s="31" t="e">
        <f t="shared" si="6"/>
        <v>#N/A</v>
      </c>
    </row>
    <row r="27" spans="1:31" s="32" customFormat="1" x14ac:dyDescent="0.25">
      <c r="A27" s="12" t="s">
        <v>1602</v>
      </c>
      <c r="B27" s="13">
        <v>46275.386006944442</v>
      </c>
      <c r="C27" s="12" t="s">
        <v>1439</v>
      </c>
      <c r="D27" s="12" t="s">
        <v>1615</v>
      </c>
      <c r="E27" s="26" t="str">
        <f t="shared" si="0"/>
        <v>C-c708</v>
      </c>
      <c r="F27" s="27" t="str">
        <f t="shared" si="1"/>
        <v>NOIR</v>
      </c>
      <c r="G27" s="27">
        <f>+VLOOKUP(F27,[1]base!A:B,2,0)</f>
        <v>37</v>
      </c>
      <c r="H27" s="12">
        <v>3</v>
      </c>
      <c r="I27" s="12">
        <v>3</v>
      </c>
      <c r="J27" s="14"/>
      <c r="K27" s="14" t="s">
        <v>26</v>
      </c>
      <c r="L27" s="12" t="s">
        <v>1631</v>
      </c>
      <c r="M27" s="12" t="s">
        <v>150</v>
      </c>
      <c r="N27" s="12">
        <v>3</v>
      </c>
      <c r="O27" s="12">
        <v>3</v>
      </c>
      <c r="P27" s="12">
        <v>0</v>
      </c>
      <c r="Q27" s="16">
        <v>0</v>
      </c>
      <c r="R27" s="16">
        <v>0</v>
      </c>
      <c r="S27" s="16"/>
      <c r="T27" s="28">
        <v>3</v>
      </c>
      <c r="U27" s="28"/>
      <c r="V27" s="29" t="e">
        <f>+VLOOKUP(E27,[1]base!D:K,8,0)</f>
        <v>#N/A</v>
      </c>
      <c r="W27" s="29" t="e">
        <f t="shared" si="2"/>
        <v>#N/A</v>
      </c>
      <c r="X27" s="29" t="e">
        <f t="shared" si="3"/>
        <v>#N/A</v>
      </c>
      <c r="Y27" s="29" t="e">
        <f>+VLOOKUP(E27,[1]base!D:E,2,0)</f>
        <v>#N/A</v>
      </c>
      <c r="Z27" s="29" t="e">
        <f t="shared" si="4"/>
        <v>#N/A</v>
      </c>
      <c r="AA27" s="29" t="e">
        <f t="shared" si="5"/>
        <v>#N/A</v>
      </c>
      <c r="AB27" s="29" t="e">
        <f>+VLOOKUP(E27,[1]base!M:N,2,0)</f>
        <v>#N/A</v>
      </c>
      <c r="AC27" s="29" t="e">
        <f>+VLOOKUP(E27,[1]base!M:Q,5,0)</f>
        <v>#N/A</v>
      </c>
      <c r="AD27" s="30" t="e">
        <f>+VLOOKUP(E27,[1]base!M:P,4,0)</f>
        <v>#N/A</v>
      </c>
      <c r="AE27" s="31" t="e">
        <f t="shared" si="6"/>
        <v>#N/A</v>
      </c>
    </row>
    <row r="28" spans="1:31" s="32" customFormat="1" x14ac:dyDescent="0.25">
      <c r="A28" s="12" t="s">
        <v>1377</v>
      </c>
      <c r="B28" s="13">
        <v>46269.590555555558</v>
      </c>
      <c r="C28" s="12" t="s">
        <v>522</v>
      </c>
      <c r="D28" s="12" t="s">
        <v>1382</v>
      </c>
      <c r="E28" s="26" t="str">
        <f t="shared" si="0"/>
        <v>C-CO103</v>
      </c>
      <c r="F28" s="27" t="str">
        <f t="shared" si="1"/>
        <v>DARK</v>
      </c>
      <c r="G28" s="27">
        <f>+VLOOKUP(F28,[1]base!A:B,2,0)</f>
        <v>38</v>
      </c>
      <c r="H28" s="12">
        <v>1</v>
      </c>
      <c r="I28" s="12">
        <v>1</v>
      </c>
      <c r="J28" s="14"/>
      <c r="K28" s="14" t="s">
        <v>26</v>
      </c>
      <c r="L28" s="12" t="s">
        <v>1394</v>
      </c>
      <c r="M28" s="12" t="s">
        <v>150</v>
      </c>
      <c r="N28" s="12">
        <v>1</v>
      </c>
      <c r="O28" s="12">
        <v>1</v>
      </c>
      <c r="P28" s="12">
        <v>0</v>
      </c>
      <c r="Q28" s="16">
        <v>0</v>
      </c>
      <c r="R28" s="16">
        <v>0</v>
      </c>
      <c r="S28" s="16"/>
      <c r="T28" s="28">
        <v>1</v>
      </c>
      <c r="U28" s="28"/>
      <c r="V28" s="29" t="e">
        <f>+VLOOKUP(E28,[1]base!D:K,8,0)</f>
        <v>#N/A</v>
      </c>
      <c r="W28" s="29" t="e">
        <f t="shared" si="2"/>
        <v>#N/A</v>
      </c>
      <c r="X28" s="29" t="e">
        <f t="shared" si="3"/>
        <v>#N/A</v>
      </c>
      <c r="Y28" s="29" t="e">
        <f>+VLOOKUP(E28,[1]base!D:E,2,0)</f>
        <v>#N/A</v>
      </c>
      <c r="Z28" s="29" t="e">
        <f t="shared" si="4"/>
        <v>#N/A</v>
      </c>
      <c r="AA28" s="29" t="e">
        <f t="shared" si="5"/>
        <v>#N/A</v>
      </c>
      <c r="AB28" s="29" t="e">
        <f>+VLOOKUP(E28,[1]base!M:N,2,0)</f>
        <v>#N/A</v>
      </c>
      <c r="AC28" s="29" t="e">
        <f>+VLOOKUP(E28,[1]base!M:Q,5,0)</f>
        <v>#N/A</v>
      </c>
      <c r="AD28" s="30" t="e">
        <f>+VLOOKUP(E28,[1]base!M:P,4,0)</f>
        <v>#N/A</v>
      </c>
      <c r="AE28" s="31" t="e">
        <f t="shared" si="6"/>
        <v>#N/A</v>
      </c>
    </row>
    <row r="29" spans="1:31" s="32" customFormat="1" x14ac:dyDescent="0.25">
      <c r="A29" s="12" t="s">
        <v>1377</v>
      </c>
      <c r="B29" s="13">
        <v>46269.590555555558</v>
      </c>
      <c r="C29" s="12" t="s">
        <v>522</v>
      </c>
      <c r="D29" s="12" t="s">
        <v>1380</v>
      </c>
      <c r="E29" s="26" t="str">
        <f t="shared" si="0"/>
        <v>C-CO110</v>
      </c>
      <c r="F29" s="27" t="str">
        <f t="shared" si="1"/>
        <v>DARK</v>
      </c>
      <c r="G29" s="27">
        <f>+VLOOKUP(F29,[1]base!A:B,2,0)</f>
        <v>38</v>
      </c>
      <c r="H29" s="12">
        <v>1</v>
      </c>
      <c r="I29" s="12">
        <v>1</v>
      </c>
      <c r="J29" s="14"/>
      <c r="K29" s="14" t="s">
        <v>26</v>
      </c>
      <c r="L29" s="12" t="s">
        <v>1392</v>
      </c>
      <c r="M29" s="12" t="s">
        <v>150</v>
      </c>
      <c r="N29" s="12">
        <v>1</v>
      </c>
      <c r="O29" s="12">
        <v>1</v>
      </c>
      <c r="P29" s="12">
        <v>0</v>
      </c>
      <c r="Q29" s="16">
        <v>0</v>
      </c>
      <c r="R29" s="16">
        <v>0</v>
      </c>
      <c r="S29" s="16"/>
      <c r="T29" s="28">
        <v>1</v>
      </c>
      <c r="U29" s="28"/>
      <c r="V29" s="29" t="e">
        <f>+VLOOKUP(E29,[1]base!D:K,8,0)</f>
        <v>#N/A</v>
      </c>
      <c r="W29" s="29" t="e">
        <f t="shared" si="2"/>
        <v>#N/A</v>
      </c>
      <c r="X29" s="29" t="e">
        <f t="shared" si="3"/>
        <v>#N/A</v>
      </c>
      <c r="Y29" s="29" t="e">
        <f>+VLOOKUP(E29,[1]base!D:E,2,0)</f>
        <v>#N/A</v>
      </c>
      <c r="Z29" s="29" t="e">
        <f t="shared" si="4"/>
        <v>#N/A</v>
      </c>
      <c r="AA29" s="29" t="e">
        <f t="shared" si="5"/>
        <v>#N/A</v>
      </c>
      <c r="AB29" s="29" t="e">
        <f>+VLOOKUP(E29,[1]base!M:N,2,0)</f>
        <v>#N/A</v>
      </c>
      <c r="AC29" s="29" t="e">
        <f>+VLOOKUP(E29,[1]base!M:Q,5,0)</f>
        <v>#N/A</v>
      </c>
      <c r="AD29" s="30" t="e">
        <f>+VLOOKUP(E29,[1]base!M:P,4,0)</f>
        <v>#N/A</v>
      </c>
      <c r="AE29" s="31" t="e">
        <f t="shared" si="6"/>
        <v>#N/A</v>
      </c>
    </row>
    <row r="30" spans="1:31" s="32" customFormat="1" x14ac:dyDescent="0.25">
      <c r="A30" s="12" t="s">
        <v>1478</v>
      </c>
      <c r="B30" s="13">
        <v>46273.566331018519</v>
      </c>
      <c r="C30" s="12" t="s">
        <v>1466</v>
      </c>
      <c r="D30" s="12" t="s">
        <v>1480</v>
      </c>
      <c r="E30" s="26" t="str">
        <f t="shared" si="0"/>
        <v>C-EC6007</v>
      </c>
      <c r="F30" s="27" t="str">
        <f t="shared" si="1"/>
        <v>ACAJOU</v>
      </c>
      <c r="G30" s="27">
        <f>+VLOOKUP(F30,[1]base!A:B,2,0)</f>
        <v>15.1</v>
      </c>
      <c r="H30" s="12">
        <v>150</v>
      </c>
      <c r="I30" s="12">
        <v>150</v>
      </c>
      <c r="J30" s="14"/>
      <c r="K30" s="14" t="s">
        <v>26</v>
      </c>
      <c r="L30" s="12" t="s">
        <v>1482</v>
      </c>
      <c r="M30" s="12" t="s">
        <v>150</v>
      </c>
      <c r="N30" s="12">
        <v>150</v>
      </c>
      <c r="O30" s="12">
        <v>150</v>
      </c>
      <c r="P30" s="12">
        <v>0</v>
      </c>
      <c r="Q30" s="16">
        <v>0</v>
      </c>
      <c r="R30" s="16">
        <v>0</v>
      </c>
      <c r="S30" s="16"/>
      <c r="T30" s="28">
        <v>150</v>
      </c>
      <c r="U30" s="28"/>
      <c r="V30" s="29" t="e">
        <f>+VLOOKUP(E30,[1]base!D:K,8,0)</f>
        <v>#N/A</v>
      </c>
      <c r="W30" s="29" t="e">
        <f t="shared" si="2"/>
        <v>#N/A</v>
      </c>
      <c r="X30" s="29" t="e">
        <f t="shared" si="3"/>
        <v>#N/A</v>
      </c>
      <c r="Y30" s="29" t="e">
        <f>+VLOOKUP(E30,[1]base!D:E,2,0)</f>
        <v>#N/A</v>
      </c>
      <c r="Z30" s="29" t="e">
        <f t="shared" si="4"/>
        <v>#N/A</v>
      </c>
      <c r="AA30" s="29" t="e">
        <f t="shared" si="5"/>
        <v>#N/A</v>
      </c>
      <c r="AB30" s="29" t="e">
        <f>+VLOOKUP(E30,[1]base!M:N,2,0)</f>
        <v>#N/A</v>
      </c>
      <c r="AC30" s="29" t="e">
        <f>+VLOOKUP(E30,[1]base!M:Q,5,0)</f>
        <v>#N/A</v>
      </c>
      <c r="AD30" s="30" t="e">
        <f>+VLOOKUP(E30,[1]base!M:P,4,0)</f>
        <v>#N/A</v>
      </c>
      <c r="AE30" s="31" t="e">
        <f t="shared" si="6"/>
        <v>#N/A</v>
      </c>
    </row>
    <row r="31" spans="1:31" s="32" customFormat="1" x14ac:dyDescent="0.25">
      <c r="A31" s="12" t="s">
        <v>1483</v>
      </c>
      <c r="B31" s="13">
        <v>46273.577222222222</v>
      </c>
      <c r="C31" s="12" t="s">
        <v>1466</v>
      </c>
      <c r="D31" s="12" t="s">
        <v>1480</v>
      </c>
      <c r="E31" s="26" t="str">
        <f t="shared" si="0"/>
        <v>C-EC6007</v>
      </c>
      <c r="F31" s="27" t="str">
        <f t="shared" si="1"/>
        <v>ACAJOU</v>
      </c>
      <c r="G31" s="27">
        <f>+VLOOKUP(F31,[1]base!A:B,2,0)</f>
        <v>15.1</v>
      </c>
      <c r="H31" s="12">
        <v>300</v>
      </c>
      <c r="I31" s="12">
        <v>300</v>
      </c>
      <c r="J31" s="14"/>
      <c r="K31" s="14" t="s">
        <v>26</v>
      </c>
      <c r="L31" s="12" t="s">
        <v>1488</v>
      </c>
      <c r="M31" s="12" t="s">
        <v>150</v>
      </c>
      <c r="N31" s="12">
        <v>300</v>
      </c>
      <c r="O31" s="12">
        <v>300</v>
      </c>
      <c r="P31" s="12">
        <v>0</v>
      </c>
      <c r="Q31" s="16">
        <v>0</v>
      </c>
      <c r="R31" s="16">
        <v>0</v>
      </c>
      <c r="S31" s="16"/>
      <c r="T31" s="28">
        <v>300</v>
      </c>
      <c r="U31" s="28"/>
      <c r="V31" s="29" t="e">
        <f>+VLOOKUP(E31,[1]base!D:K,8,0)</f>
        <v>#N/A</v>
      </c>
      <c r="W31" s="29" t="e">
        <f t="shared" si="2"/>
        <v>#N/A</v>
      </c>
      <c r="X31" s="29" t="e">
        <f t="shared" si="3"/>
        <v>#N/A</v>
      </c>
      <c r="Y31" s="29" t="e">
        <f>+VLOOKUP(E31,[1]base!D:E,2,0)</f>
        <v>#N/A</v>
      </c>
      <c r="Z31" s="29" t="e">
        <f t="shared" si="4"/>
        <v>#N/A</v>
      </c>
      <c r="AA31" s="29" t="e">
        <f t="shared" si="5"/>
        <v>#N/A</v>
      </c>
      <c r="AB31" s="29" t="e">
        <f>+VLOOKUP(E31,[1]base!M:N,2,0)</f>
        <v>#N/A</v>
      </c>
      <c r="AC31" s="29" t="e">
        <f>+VLOOKUP(E31,[1]base!M:Q,5,0)</f>
        <v>#N/A</v>
      </c>
      <c r="AD31" s="30" t="e">
        <f>+VLOOKUP(E31,[1]base!M:P,4,0)</f>
        <v>#N/A</v>
      </c>
      <c r="AE31" s="31" t="e">
        <f t="shared" si="6"/>
        <v>#N/A</v>
      </c>
    </row>
    <row r="32" spans="1:31" s="32" customFormat="1" x14ac:dyDescent="0.25">
      <c r="A32" s="12" t="s">
        <v>1465</v>
      </c>
      <c r="B32" s="13">
        <v>46273.502928240741</v>
      </c>
      <c r="C32" s="12" t="s">
        <v>1466</v>
      </c>
      <c r="D32" s="12" t="s">
        <v>1470</v>
      </c>
      <c r="E32" s="26" t="str">
        <f t="shared" si="0"/>
        <v>C-EC6011</v>
      </c>
      <c r="F32" s="27" t="str">
        <f t="shared" si="1"/>
        <v>ACAJOU</v>
      </c>
      <c r="G32" s="27">
        <f>+VLOOKUP(F32,[1]base!A:B,2,0)</f>
        <v>15.1</v>
      </c>
      <c r="H32" s="12">
        <v>20</v>
      </c>
      <c r="I32" s="12">
        <v>20</v>
      </c>
      <c r="J32" s="14"/>
      <c r="K32" s="14" t="s">
        <v>26</v>
      </c>
      <c r="L32" s="12" t="s">
        <v>1474</v>
      </c>
      <c r="M32" s="12" t="s">
        <v>150</v>
      </c>
      <c r="N32" s="12">
        <v>20</v>
      </c>
      <c r="O32" s="12">
        <v>20</v>
      </c>
      <c r="P32" s="12">
        <v>0</v>
      </c>
      <c r="Q32" s="16">
        <v>0</v>
      </c>
      <c r="R32" s="16">
        <v>0</v>
      </c>
      <c r="S32" s="16"/>
      <c r="T32" s="28">
        <v>20</v>
      </c>
      <c r="U32" s="28"/>
      <c r="V32" s="29" t="e">
        <f>+VLOOKUP(E32,[1]base!D:K,8,0)</f>
        <v>#N/A</v>
      </c>
      <c r="W32" s="29" t="e">
        <f t="shared" si="2"/>
        <v>#N/A</v>
      </c>
      <c r="X32" s="29" t="e">
        <f t="shared" si="3"/>
        <v>#N/A</v>
      </c>
      <c r="Y32" s="29" t="e">
        <f>+VLOOKUP(E32,[1]base!D:E,2,0)</f>
        <v>#N/A</v>
      </c>
      <c r="Z32" s="29" t="e">
        <f t="shared" si="4"/>
        <v>#N/A</v>
      </c>
      <c r="AA32" s="29" t="e">
        <f t="shared" si="5"/>
        <v>#N/A</v>
      </c>
      <c r="AB32" s="29" t="e">
        <f>+VLOOKUP(E32,[1]base!M:N,2,0)</f>
        <v>#N/A</v>
      </c>
      <c r="AC32" s="29" t="e">
        <f>+VLOOKUP(E32,[1]base!M:Q,5,0)</f>
        <v>#N/A</v>
      </c>
      <c r="AD32" s="30" t="e">
        <f>+VLOOKUP(E32,[1]base!M:P,4,0)</f>
        <v>#N/A</v>
      </c>
      <c r="AE32" s="31" t="e">
        <f t="shared" si="6"/>
        <v>#N/A</v>
      </c>
    </row>
    <row r="33" spans="1:31" s="32" customFormat="1" x14ac:dyDescent="0.25">
      <c r="A33" s="12" t="s">
        <v>1464</v>
      </c>
      <c r="B33" s="13">
        <v>46273.501516203702</v>
      </c>
      <c r="C33" s="12" t="s">
        <v>1466</v>
      </c>
      <c r="D33" s="12" t="s">
        <v>1467</v>
      </c>
      <c r="E33" s="26" t="str">
        <f t="shared" si="0"/>
        <v>C-EC6012</v>
      </c>
      <c r="F33" s="27" t="str">
        <f t="shared" si="1"/>
        <v>ACAJOU</v>
      </c>
      <c r="G33" s="27">
        <f>+VLOOKUP(F33,[1]base!A:B,2,0)</f>
        <v>15.1</v>
      </c>
      <c r="H33" s="12">
        <v>270</v>
      </c>
      <c r="I33" s="12">
        <v>270</v>
      </c>
      <c r="J33" s="14"/>
      <c r="K33" s="14" t="s">
        <v>26</v>
      </c>
      <c r="L33" s="12" t="s">
        <v>1471</v>
      </c>
      <c r="M33" s="12" t="s">
        <v>150</v>
      </c>
      <c r="N33" s="12">
        <v>270</v>
      </c>
      <c r="O33" s="12">
        <v>270</v>
      </c>
      <c r="P33" s="12">
        <v>0</v>
      </c>
      <c r="Q33" s="16">
        <v>0</v>
      </c>
      <c r="R33" s="16">
        <v>0</v>
      </c>
      <c r="S33" s="16"/>
      <c r="T33" s="28">
        <v>270</v>
      </c>
      <c r="U33" s="28"/>
      <c r="V33" s="29" t="e">
        <f>+VLOOKUP(E33,[1]base!D:K,8,0)</f>
        <v>#N/A</v>
      </c>
      <c r="W33" s="29" t="e">
        <f t="shared" si="2"/>
        <v>#N/A</v>
      </c>
      <c r="X33" s="29" t="e">
        <f t="shared" si="3"/>
        <v>#N/A</v>
      </c>
      <c r="Y33" s="29" t="e">
        <f>+VLOOKUP(E33,[1]base!D:E,2,0)</f>
        <v>#N/A</v>
      </c>
      <c r="Z33" s="29" t="e">
        <f t="shared" si="4"/>
        <v>#N/A</v>
      </c>
      <c r="AA33" s="29" t="e">
        <f t="shared" si="5"/>
        <v>#N/A</v>
      </c>
      <c r="AB33" s="29" t="e">
        <f>+VLOOKUP(E33,[1]base!M:N,2,0)</f>
        <v>#N/A</v>
      </c>
      <c r="AC33" s="29" t="e">
        <f>+VLOOKUP(E33,[1]base!M:Q,5,0)</f>
        <v>#N/A</v>
      </c>
      <c r="AD33" s="30" t="e">
        <f>+VLOOKUP(E33,[1]base!M:P,4,0)</f>
        <v>#N/A</v>
      </c>
      <c r="AE33" s="31" t="e">
        <f t="shared" si="6"/>
        <v>#N/A</v>
      </c>
    </row>
    <row r="34" spans="1:31" s="32" customFormat="1" x14ac:dyDescent="0.25">
      <c r="A34" s="12" t="s">
        <v>1465</v>
      </c>
      <c r="B34" s="13">
        <v>46273.502928240741</v>
      </c>
      <c r="C34" s="12" t="s">
        <v>1466</v>
      </c>
      <c r="D34" s="12" t="s">
        <v>1467</v>
      </c>
      <c r="E34" s="26" t="str">
        <f t="shared" si="0"/>
        <v>C-EC6012</v>
      </c>
      <c r="F34" s="27" t="str">
        <f t="shared" si="1"/>
        <v>ACAJOU</v>
      </c>
      <c r="G34" s="27">
        <f>+VLOOKUP(F34,[1]base!A:B,2,0)</f>
        <v>15.1</v>
      </c>
      <c r="H34" s="12">
        <v>70</v>
      </c>
      <c r="I34" s="12">
        <v>70</v>
      </c>
      <c r="J34" s="14"/>
      <c r="K34" s="14" t="s">
        <v>26</v>
      </c>
      <c r="L34" s="12" t="s">
        <v>1475</v>
      </c>
      <c r="M34" s="12" t="s">
        <v>150</v>
      </c>
      <c r="N34" s="12">
        <v>70</v>
      </c>
      <c r="O34" s="12">
        <v>70</v>
      </c>
      <c r="P34" s="12">
        <v>0</v>
      </c>
      <c r="Q34" s="16">
        <v>0</v>
      </c>
      <c r="R34" s="16">
        <v>0</v>
      </c>
      <c r="S34" s="16"/>
      <c r="T34" s="28">
        <v>70</v>
      </c>
      <c r="U34" s="28"/>
      <c r="V34" s="29" t="e">
        <f>+VLOOKUP(E34,[1]base!D:K,8,0)</f>
        <v>#N/A</v>
      </c>
      <c r="W34" s="29" t="e">
        <f t="shared" si="2"/>
        <v>#N/A</v>
      </c>
      <c r="X34" s="29" t="e">
        <f t="shared" si="3"/>
        <v>#N/A</v>
      </c>
      <c r="Y34" s="29" t="e">
        <f>+VLOOKUP(E34,[1]base!D:E,2,0)</f>
        <v>#N/A</v>
      </c>
      <c r="Z34" s="29" t="e">
        <f t="shared" si="4"/>
        <v>#N/A</v>
      </c>
      <c r="AA34" s="29" t="e">
        <f t="shared" si="5"/>
        <v>#N/A</v>
      </c>
      <c r="AB34" s="29" t="e">
        <f>+VLOOKUP(E34,[1]base!M:N,2,0)</f>
        <v>#N/A</v>
      </c>
      <c r="AC34" s="29" t="e">
        <f>+VLOOKUP(E34,[1]base!M:Q,5,0)</f>
        <v>#N/A</v>
      </c>
      <c r="AD34" s="30" t="e">
        <f>+VLOOKUP(E34,[1]base!M:P,4,0)</f>
        <v>#N/A</v>
      </c>
      <c r="AE34" s="31" t="e">
        <f t="shared" si="6"/>
        <v>#N/A</v>
      </c>
    </row>
    <row r="35" spans="1:31" s="32" customFormat="1" x14ac:dyDescent="0.25">
      <c r="A35" s="12" t="s">
        <v>1484</v>
      </c>
      <c r="B35" s="13">
        <v>46273.583854166667</v>
      </c>
      <c r="C35" s="12" t="s">
        <v>1466</v>
      </c>
      <c r="D35" s="12" t="s">
        <v>1467</v>
      </c>
      <c r="E35" s="26" t="str">
        <f t="shared" si="0"/>
        <v>C-EC6012</v>
      </c>
      <c r="F35" s="27" t="str">
        <f t="shared" si="1"/>
        <v>ACAJOU</v>
      </c>
      <c r="G35" s="27">
        <f>+VLOOKUP(F35,[1]base!A:B,2,0)</f>
        <v>15.1</v>
      </c>
      <c r="H35" s="12">
        <v>30</v>
      </c>
      <c r="I35" s="12">
        <v>30</v>
      </c>
      <c r="J35" s="14"/>
      <c r="K35" s="14" t="s">
        <v>26</v>
      </c>
      <c r="L35" s="12" t="s">
        <v>1489</v>
      </c>
      <c r="M35" s="12" t="s">
        <v>150</v>
      </c>
      <c r="N35" s="12">
        <v>30</v>
      </c>
      <c r="O35" s="12">
        <v>30</v>
      </c>
      <c r="P35" s="12">
        <v>0</v>
      </c>
      <c r="Q35" s="16">
        <v>0</v>
      </c>
      <c r="R35" s="16">
        <v>0</v>
      </c>
      <c r="S35" s="16"/>
      <c r="T35" s="28">
        <v>30</v>
      </c>
      <c r="U35" s="28"/>
      <c r="V35" s="29" t="e">
        <f>+VLOOKUP(E35,[1]base!D:K,8,0)</f>
        <v>#N/A</v>
      </c>
      <c r="W35" s="29" t="e">
        <f t="shared" si="2"/>
        <v>#N/A</v>
      </c>
      <c r="X35" s="29" t="e">
        <f t="shared" si="3"/>
        <v>#N/A</v>
      </c>
      <c r="Y35" s="29" t="e">
        <f>+VLOOKUP(E35,[1]base!D:E,2,0)</f>
        <v>#N/A</v>
      </c>
      <c r="Z35" s="29" t="e">
        <f t="shared" si="4"/>
        <v>#N/A</v>
      </c>
      <c r="AA35" s="29" t="e">
        <f t="shared" si="5"/>
        <v>#N/A</v>
      </c>
      <c r="AB35" s="29" t="e">
        <f>+VLOOKUP(E35,[1]base!M:N,2,0)</f>
        <v>#N/A</v>
      </c>
      <c r="AC35" s="29" t="e">
        <f>+VLOOKUP(E35,[1]base!M:Q,5,0)</f>
        <v>#N/A</v>
      </c>
      <c r="AD35" s="30" t="e">
        <f>+VLOOKUP(E35,[1]base!M:P,4,0)</f>
        <v>#N/A</v>
      </c>
      <c r="AE35" s="31" t="e">
        <f t="shared" si="6"/>
        <v>#N/A</v>
      </c>
    </row>
    <row r="36" spans="1:31" s="32" customFormat="1" x14ac:dyDescent="0.25">
      <c r="A36" s="12" t="s">
        <v>1531</v>
      </c>
      <c r="B36" s="13">
        <v>46274.508414351854</v>
      </c>
      <c r="C36" s="12" t="s">
        <v>1466</v>
      </c>
      <c r="D36" s="12" t="s">
        <v>1532</v>
      </c>
      <c r="E36" s="26" t="str">
        <f t="shared" si="0"/>
        <v>C-EC80104</v>
      </c>
      <c r="F36" s="27" t="str">
        <f t="shared" si="1"/>
        <v>ACAJOU</v>
      </c>
      <c r="G36" s="27">
        <f>+VLOOKUP(F36,[1]base!A:B,2,0)</f>
        <v>15.1</v>
      </c>
      <c r="H36" s="12">
        <v>150</v>
      </c>
      <c r="I36" s="12">
        <v>150</v>
      </c>
      <c r="J36" s="14"/>
      <c r="K36" s="14" t="s">
        <v>26</v>
      </c>
      <c r="L36" s="12" t="s">
        <v>1533</v>
      </c>
      <c r="M36" s="12" t="s">
        <v>150</v>
      </c>
      <c r="N36" s="12">
        <v>150</v>
      </c>
      <c r="O36" s="12">
        <v>150</v>
      </c>
      <c r="P36" s="12">
        <v>0</v>
      </c>
      <c r="Q36" s="16">
        <v>0</v>
      </c>
      <c r="R36" s="16">
        <v>0</v>
      </c>
      <c r="S36" s="16"/>
      <c r="T36" s="28">
        <v>150</v>
      </c>
      <c r="U36" s="28"/>
      <c r="V36" s="29" t="e">
        <f>+VLOOKUP(E36,[1]base!D:K,8,0)</f>
        <v>#N/A</v>
      </c>
      <c r="W36" s="29" t="e">
        <f t="shared" si="2"/>
        <v>#N/A</v>
      </c>
      <c r="X36" s="29" t="e">
        <f t="shared" si="3"/>
        <v>#N/A</v>
      </c>
      <c r="Y36" s="29" t="e">
        <f>+VLOOKUP(E36,[1]base!D:E,2,0)</f>
        <v>#N/A</v>
      </c>
      <c r="Z36" s="29" t="e">
        <f t="shared" si="4"/>
        <v>#N/A</v>
      </c>
      <c r="AA36" s="29" t="e">
        <f t="shared" si="5"/>
        <v>#N/A</v>
      </c>
      <c r="AB36" s="29" t="e">
        <f>+VLOOKUP(E36,[1]base!M:N,2,0)</f>
        <v>#N/A</v>
      </c>
      <c r="AC36" s="29" t="e">
        <f>+VLOOKUP(E36,[1]base!M:Q,5,0)</f>
        <v>#N/A</v>
      </c>
      <c r="AD36" s="30" t="e">
        <f>+VLOOKUP(E36,[1]base!M:P,4,0)</f>
        <v>#N/A</v>
      </c>
      <c r="AE36" s="31" t="e">
        <f t="shared" si="6"/>
        <v>#N/A</v>
      </c>
    </row>
    <row r="37" spans="1:31" s="32" customFormat="1" x14ac:dyDescent="0.25">
      <c r="A37" s="12" t="s">
        <v>1464</v>
      </c>
      <c r="B37" s="13">
        <v>46273.501516203702</v>
      </c>
      <c r="C37" s="12" t="s">
        <v>1466</v>
      </c>
      <c r="D37" s="12" t="s">
        <v>1469</v>
      </c>
      <c r="E37" s="26" t="str">
        <f t="shared" si="0"/>
        <v>C-EC80105</v>
      </c>
      <c r="F37" s="27" t="str">
        <f t="shared" si="1"/>
        <v>ACAJOU</v>
      </c>
      <c r="G37" s="27">
        <f>+VLOOKUP(F37,[1]base!A:B,2,0)</f>
        <v>15.1</v>
      </c>
      <c r="H37" s="12">
        <v>150</v>
      </c>
      <c r="I37" s="12">
        <v>150</v>
      </c>
      <c r="J37" s="14"/>
      <c r="K37" s="14" t="s">
        <v>26</v>
      </c>
      <c r="L37" s="12" t="s">
        <v>1473</v>
      </c>
      <c r="M37" s="12" t="s">
        <v>150</v>
      </c>
      <c r="N37" s="12">
        <v>150</v>
      </c>
      <c r="O37" s="12">
        <v>150</v>
      </c>
      <c r="P37" s="12">
        <v>0</v>
      </c>
      <c r="Q37" s="16">
        <v>0</v>
      </c>
      <c r="R37" s="16">
        <v>0</v>
      </c>
      <c r="S37" s="16"/>
      <c r="T37" s="28">
        <v>150</v>
      </c>
      <c r="U37" s="28"/>
      <c r="V37" s="29" t="e">
        <f>+VLOOKUP(E37,[1]base!D:K,8,0)</f>
        <v>#N/A</v>
      </c>
      <c r="W37" s="29" t="e">
        <f t="shared" si="2"/>
        <v>#N/A</v>
      </c>
      <c r="X37" s="29" t="e">
        <f t="shared" si="3"/>
        <v>#N/A</v>
      </c>
      <c r="Y37" s="29" t="e">
        <f>+VLOOKUP(E37,[1]base!D:E,2,0)</f>
        <v>#N/A</v>
      </c>
      <c r="Z37" s="29" t="e">
        <f t="shared" si="4"/>
        <v>#N/A</v>
      </c>
      <c r="AA37" s="29" t="e">
        <f t="shared" si="5"/>
        <v>#N/A</v>
      </c>
      <c r="AB37" s="29" t="e">
        <f>+VLOOKUP(E37,[1]base!M:N,2,0)</f>
        <v>#N/A</v>
      </c>
      <c r="AC37" s="29" t="e">
        <f>+VLOOKUP(E37,[1]base!M:Q,5,0)</f>
        <v>#N/A</v>
      </c>
      <c r="AD37" s="30" t="e">
        <f>+VLOOKUP(E37,[1]base!M:P,4,0)</f>
        <v>#N/A</v>
      </c>
      <c r="AE37" s="31" t="e">
        <f t="shared" si="6"/>
        <v>#N/A</v>
      </c>
    </row>
    <row r="38" spans="1:31" s="32" customFormat="1" x14ac:dyDescent="0.25">
      <c r="A38" s="12" t="s">
        <v>1465</v>
      </c>
      <c r="B38" s="13">
        <v>46273.502928240741</v>
      </c>
      <c r="C38" s="12" t="s">
        <v>1466</v>
      </c>
      <c r="D38" s="12" t="s">
        <v>1469</v>
      </c>
      <c r="E38" s="26" t="str">
        <f t="shared" si="0"/>
        <v>C-EC80105</v>
      </c>
      <c r="F38" s="27" t="str">
        <f t="shared" si="1"/>
        <v>ACAJOU</v>
      </c>
      <c r="G38" s="27">
        <f>+VLOOKUP(F38,[1]base!A:B,2,0)</f>
        <v>15.1</v>
      </c>
      <c r="H38" s="12">
        <v>30</v>
      </c>
      <c r="I38" s="12">
        <v>30</v>
      </c>
      <c r="J38" s="14"/>
      <c r="K38" s="14" t="s">
        <v>26</v>
      </c>
      <c r="L38" s="12" t="s">
        <v>1477</v>
      </c>
      <c r="M38" s="12" t="s">
        <v>150</v>
      </c>
      <c r="N38" s="12">
        <v>30</v>
      </c>
      <c r="O38" s="12">
        <v>30</v>
      </c>
      <c r="P38" s="12">
        <v>0</v>
      </c>
      <c r="Q38" s="16">
        <v>0</v>
      </c>
      <c r="R38" s="16">
        <v>0</v>
      </c>
      <c r="S38" s="16"/>
      <c r="T38" s="28">
        <v>30</v>
      </c>
      <c r="U38" s="28"/>
      <c r="V38" s="29" t="e">
        <f>+VLOOKUP(E38,[1]base!D:K,8,0)</f>
        <v>#N/A</v>
      </c>
      <c r="W38" s="29" t="e">
        <f t="shared" si="2"/>
        <v>#N/A</v>
      </c>
      <c r="X38" s="29" t="e">
        <f t="shared" si="3"/>
        <v>#N/A</v>
      </c>
      <c r="Y38" s="29" t="e">
        <f>+VLOOKUP(E38,[1]base!D:E,2,0)</f>
        <v>#N/A</v>
      </c>
      <c r="Z38" s="29" t="e">
        <f t="shared" si="4"/>
        <v>#N/A</v>
      </c>
      <c r="AA38" s="29" t="e">
        <f t="shared" si="5"/>
        <v>#N/A</v>
      </c>
      <c r="AB38" s="29" t="e">
        <f>+VLOOKUP(E38,[1]base!M:N,2,0)</f>
        <v>#N/A</v>
      </c>
      <c r="AC38" s="29" t="e">
        <f>+VLOOKUP(E38,[1]base!M:Q,5,0)</f>
        <v>#N/A</v>
      </c>
      <c r="AD38" s="30" t="e">
        <f>+VLOOKUP(E38,[1]base!M:P,4,0)</f>
        <v>#N/A</v>
      </c>
      <c r="AE38" s="31" t="e">
        <f t="shared" si="6"/>
        <v>#N/A</v>
      </c>
    </row>
    <row r="39" spans="1:31" s="32" customFormat="1" x14ac:dyDescent="0.25">
      <c r="A39" s="12" t="s">
        <v>1464</v>
      </c>
      <c r="B39" s="13">
        <v>46273.501516203702</v>
      </c>
      <c r="C39" s="12" t="s">
        <v>1466</v>
      </c>
      <c r="D39" s="12" t="s">
        <v>1468</v>
      </c>
      <c r="E39" s="26" t="str">
        <f t="shared" si="0"/>
        <v>C-EC80106</v>
      </c>
      <c r="F39" s="27" t="str">
        <f t="shared" si="1"/>
        <v>ACAJOU</v>
      </c>
      <c r="G39" s="27">
        <f>+VLOOKUP(F39,[1]base!A:B,2,0)</f>
        <v>15.1</v>
      </c>
      <c r="H39" s="12">
        <v>150</v>
      </c>
      <c r="I39" s="12">
        <v>150</v>
      </c>
      <c r="J39" s="14"/>
      <c r="K39" s="14" t="s">
        <v>26</v>
      </c>
      <c r="L39" s="12" t="s">
        <v>1472</v>
      </c>
      <c r="M39" s="12" t="s">
        <v>150</v>
      </c>
      <c r="N39" s="12">
        <v>150</v>
      </c>
      <c r="O39" s="12">
        <v>150</v>
      </c>
      <c r="P39" s="12">
        <v>0</v>
      </c>
      <c r="Q39" s="16">
        <v>0</v>
      </c>
      <c r="R39" s="16">
        <v>0</v>
      </c>
      <c r="S39" s="16"/>
      <c r="T39" s="28">
        <v>150</v>
      </c>
      <c r="U39" s="28"/>
      <c r="V39" s="29" t="e">
        <f>+VLOOKUP(E39,[1]base!D:K,8,0)</f>
        <v>#N/A</v>
      </c>
      <c r="W39" s="29" t="e">
        <f t="shared" si="2"/>
        <v>#N/A</v>
      </c>
      <c r="X39" s="29" t="e">
        <f t="shared" si="3"/>
        <v>#N/A</v>
      </c>
      <c r="Y39" s="29" t="e">
        <f>+VLOOKUP(E39,[1]base!D:E,2,0)</f>
        <v>#N/A</v>
      </c>
      <c r="Z39" s="29" t="e">
        <f t="shared" si="4"/>
        <v>#N/A</v>
      </c>
      <c r="AA39" s="29" t="e">
        <f t="shared" si="5"/>
        <v>#N/A</v>
      </c>
      <c r="AB39" s="29" t="e">
        <f>+VLOOKUP(E39,[1]base!M:N,2,0)</f>
        <v>#N/A</v>
      </c>
      <c r="AC39" s="29" t="e">
        <f>+VLOOKUP(E39,[1]base!M:Q,5,0)</f>
        <v>#N/A</v>
      </c>
      <c r="AD39" s="30" t="e">
        <f>+VLOOKUP(E39,[1]base!M:P,4,0)</f>
        <v>#N/A</v>
      </c>
      <c r="AE39" s="31" t="e">
        <f t="shared" si="6"/>
        <v>#N/A</v>
      </c>
    </row>
    <row r="40" spans="1:31" s="32" customFormat="1" x14ac:dyDescent="0.25">
      <c r="A40" s="12" t="s">
        <v>1465</v>
      </c>
      <c r="B40" s="13">
        <v>46273.502928240741</v>
      </c>
      <c r="C40" s="12" t="s">
        <v>1466</v>
      </c>
      <c r="D40" s="12" t="s">
        <v>1468</v>
      </c>
      <c r="E40" s="26" t="str">
        <f t="shared" si="0"/>
        <v>C-EC80106</v>
      </c>
      <c r="F40" s="27" t="str">
        <f t="shared" si="1"/>
        <v>ACAJOU</v>
      </c>
      <c r="G40" s="27">
        <f>+VLOOKUP(F40,[1]base!A:B,2,0)</f>
        <v>15.1</v>
      </c>
      <c r="H40" s="12">
        <v>30</v>
      </c>
      <c r="I40" s="12">
        <v>30</v>
      </c>
      <c r="J40" s="14"/>
      <c r="K40" s="14" t="s">
        <v>26</v>
      </c>
      <c r="L40" s="12" t="s">
        <v>1476</v>
      </c>
      <c r="M40" s="12" t="s">
        <v>150</v>
      </c>
      <c r="N40" s="12">
        <v>30</v>
      </c>
      <c r="O40" s="12">
        <v>30</v>
      </c>
      <c r="P40" s="12">
        <v>0</v>
      </c>
      <c r="Q40" s="16">
        <v>0</v>
      </c>
      <c r="R40" s="16">
        <v>0</v>
      </c>
      <c r="S40" s="16"/>
      <c r="T40" s="28">
        <v>30</v>
      </c>
      <c r="U40" s="28"/>
      <c r="V40" s="29" t="e">
        <f>+VLOOKUP(E40,[1]base!D:K,8,0)</f>
        <v>#N/A</v>
      </c>
      <c r="W40" s="29" t="e">
        <f t="shared" si="2"/>
        <v>#N/A</v>
      </c>
      <c r="X40" s="29" t="e">
        <f t="shared" si="3"/>
        <v>#N/A</v>
      </c>
      <c r="Y40" s="29" t="e">
        <f>+VLOOKUP(E40,[1]base!D:E,2,0)</f>
        <v>#N/A</v>
      </c>
      <c r="Z40" s="29" t="e">
        <f t="shared" si="4"/>
        <v>#N/A</v>
      </c>
      <c r="AA40" s="29" t="e">
        <f t="shared" si="5"/>
        <v>#N/A</v>
      </c>
      <c r="AB40" s="29" t="e">
        <f>+VLOOKUP(E40,[1]base!M:N,2,0)</f>
        <v>#N/A</v>
      </c>
      <c r="AC40" s="29" t="e">
        <f>+VLOOKUP(E40,[1]base!M:Q,5,0)</f>
        <v>#N/A</v>
      </c>
      <c r="AD40" s="30" t="e">
        <f>+VLOOKUP(E40,[1]base!M:P,4,0)</f>
        <v>#N/A</v>
      </c>
      <c r="AE40" s="31" t="e">
        <f t="shared" si="6"/>
        <v>#N/A</v>
      </c>
    </row>
    <row r="41" spans="1:31" s="32" customFormat="1" x14ac:dyDescent="0.25">
      <c r="A41" s="12" t="s">
        <v>1377</v>
      </c>
      <c r="B41" s="13">
        <v>46269.590555555558</v>
      </c>
      <c r="C41" s="12" t="s">
        <v>522</v>
      </c>
      <c r="D41" s="12" t="s">
        <v>1383</v>
      </c>
      <c r="E41" s="26" t="str">
        <f t="shared" si="0"/>
        <v>C-FR100</v>
      </c>
      <c r="F41" s="27" t="str">
        <f t="shared" si="1"/>
        <v>DARK</v>
      </c>
      <c r="G41" s="27">
        <f>+VLOOKUP(F41,[1]base!A:B,2,0)</f>
        <v>38</v>
      </c>
      <c r="H41" s="12">
        <v>1</v>
      </c>
      <c r="I41" s="12">
        <v>1</v>
      </c>
      <c r="J41" s="14"/>
      <c r="K41" s="14" t="s">
        <v>26</v>
      </c>
      <c r="L41" s="12" t="s">
        <v>1395</v>
      </c>
      <c r="M41" s="12" t="s">
        <v>150</v>
      </c>
      <c r="N41" s="12">
        <v>1</v>
      </c>
      <c r="O41" s="12">
        <v>1</v>
      </c>
      <c r="P41" s="12">
        <v>0</v>
      </c>
      <c r="Q41" s="16">
        <v>0</v>
      </c>
      <c r="R41" s="16">
        <v>0</v>
      </c>
      <c r="S41" s="16"/>
      <c r="T41" s="28">
        <v>1</v>
      </c>
      <c r="U41" s="28"/>
      <c r="V41" s="29" t="e">
        <f>+VLOOKUP(E41,[1]base!D:K,8,0)</f>
        <v>#N/A</v>
      </c>
      <c r="W41" s="29" t="e">
        <f t="shared" si="2"/>
        <v>#N/A</v>
      </c>
      <c r="X41" s="29" t="e">
        <f t="shared" si="3"/>
        <v>#N/A</v>
      </c>
      <c r="Y41" s="29" t="e">
        <f>+VLOOKUP(E41,[1]base!D:E,2,0)</f>
        <v>#N/A</v>
      </c>
      <c r="Z41" s="29" t="e">
        <f t="shared" si="4"/>
        <v>#N/A</v>
      </c>
      <c r="AA41" s="29" t="e">
        <f t="shared" si="5"/>
        <v>#N/A</v>
      </c>
      <c r="AB41" s="29" t="e">
        <f>+VLOOKUP(E41,[1]base!M:N,2,0)</f>
        <v>#N/A</v>
      </c>
      <c r="AC41" s="29" t="e">
        <f>+VLOOKUP(E41,[1]base!M:Q,5,0)</f>
        <v>#N/A</v>
      </c>
      <c r="AD41" s="30" t="e">
        <f>+VLOOKUP(E41,[1]base!M:P,4,0)</f>
        <v>#N/A</v>
      </c>
      <c r="AE41" s="31" t="e">
        <f t="shared" si="6"/>
        <v>#N/A</v>
      </c>
    </row>
    <row r="42" spans="1:31" s="32" customFormat="1" x14ac:dyDescent="0.25">
      <c r="A42" s="12" t="s">
        <v>1377</v>
      </c>
      <c r="B42" s="13">
        <v>46269.590555555558</v>
      </c>
      <c r="C42" s="12" t="s">
        <v>522</v>
      </c>
      <c r="D42" s="12" t="s">
        <v>1381</v>
      </c>
      <c r="E42" s="26" t="str">
        <f t="shared" si="0"/>
        <v>C-FR112</v>
      </c>
      <c r="F42" s="27" t="str">
        <f t="shared" si="1"/>
        <v>DARK</v>
      </c>
      <c r="G42" s="27">
        <f>+VLOOKUP(F42,[1]base!A:B,2,0)</f>
        <v>38</v>
      </c>
      <c r="H42" s="12">
        <v>3</v>
      </c>
      <c r="I42" s="12">
        <v>3</v>
      </c>
      <c r="J42" s="14"/>
      <c r="K42" s="14" t="s">
        <v>26</v>
      </c>
      <c r="L42" s="12" t="s">
        <v>1393</v>
      </c>
      <c r="M42" s="12" t="s">
        <v>150</v>
      </c>
      <c r="N42" s="12">
        <v>3</v>
      </c>
      <c r="O42" s="12">
        <v>3</v>
      </c>
      <c r="P42" s="12">
        <v>0</v>
      </c>
      <c r="Q42" s="16">
        <v>0</v>
      </c>
      <c r="R42" s="16">
        <v>0</v>
      </c>
      <c r="S42" s="16"/>
      <c r="T42" s="28">
        <v>3</v>
      </c>
      <c r="U42" s="28"/>
      <c r="V42" s="29" t="e">
        <f>+VLOOKUP(E42,[1]base!D:K,8,0)</f>
        <v>#N/A</v>
      </c>
      <c r="W42" s="29" t="e">
        <f t="shared" si="2"/>
        <v>#N/A</v>
      </c>
      <c r="X42" s="29" t="e">
        <f t="shared" si="3"/>
        <v>#N/A</v>
      </c>
      <c r="Y42" s="29" t="e">
        <f>+VLOOKUP(E42,[1]base!D:E,2,0)</f>
        <v>#N/A</v>
      </c>
      <c r="Z42" s="29" t="e">
        <f t="shared" si="4"/>
        <v>#N/A</v>
      </c>
      <c r="AA42" s="29" t="e">
        <f t="shared" si="5"/>
        <v>#N/A</v>
      </c>
      <c r="AB42" s="29" t="e">
        <f>+VLOOKUP(E42,[1]base!M:N,2,0)</f>
        <v>#N/A</v>
      </c>
      <c r="AC42" s="29" t="e">
        <f>+VLOOKUP(E42,[1]base!M:Q,5,0)</f>
        <v>#N/A</v>
      </c>
      <c r="AD42" s="30" t="e">
        <f>+VLOOKUP(E42,[1]base!M:P,4,0)</f>
        <v>#N/A</v>
      </c>
      <c r="AE42" s="31" t="e">
        <f t="shared" si="6"/>
        <v>#N/A</v>
      </c>
    </row>
    <row r="43" spans="1:31" s="32" customFormat="1" x14ac:dyDescent="0.25">
      <c r="A43" s="12" t="s">
        <v>1341</v>
      </c>
      <c r="B43" s="13">
        <v>46269.468472222223</v>
      </c>
      <c r="C43" s="12" t="s">
        <v>1342</v>
      </c>
      <c r="D43" s="12" t="s">
        <v>75</v>
      </c>
      <c r="E43" s="26" t="str">
        <f t="shared" si="0"/>
        <v>CL3002</v>
      </c>
      <c r="F43" s="27" t="str">
        <f t="shared" si="1"/>
        <v>NOIR</v>
      </c>
      <c r="G43" s="27">
        <f>+VLOOKUP(F43,[1]base!A:B,2,0)</f>
        <v>37</v>
      </c>
      <c r="H43" s="12">
        <v>1</v>
      </c>
      <c r="I43" s="12">
        <v>1</v>
      </c>
      <c r="J43" s="14"/>
      <c r="K43" s="14" t="s">
        <v>61</v>
      </c>
      <c r="L43" s="12" t="s">
        <v>1371</v>
      </c>
      <c r="M43" s="12" t="s">
        <v>150</v>
      </c>
      <c r="N43" s="12">
        <v>1</v>
      </c>
      <c r="O43" s="12">
        <v>1</v>
      </c>
      <c r="P43" s="12">
        <v>0</v>
      </c>
      <c r="Q43" s="16">
        <v>1</v>
      </c>
      <c r="R43" s="16">
        <v>0</v>
      </c>
      <c r="S43" s="16"/>
      <c r="T43" s="28">
        <v>1</v>
      </c>
      <c r="U43" s="28"/>
      <c r="V43" s="29">
        <f>+VLOOKUP(E43,[1]base!D:K,8,0)</f>
        <v>0</v>
      </c>
      <c r="W43" s="29">
        <f t="shared" si="2"/>
        <v>0</v>
      </c>
      <c r="X43" s="29">
        <f t="shared" si="3"/>
        <v>0</v>
      </c>
      <c r="Y43" s="29">
        <f>+VLOOKUP(E43,[1]base!D:E,2,0)</f>
        <v>20</v>
      </c>
      <c r="Z43" s="29">
        <f t="shared" si="4"/>
        <v>1</v>
      </c>
      <c r="AA43" s="29">
        <f t="shared" si="5"/>
        <v>6.6666666666666693E-2</v>
      </c>
      <c r="AB43" s="29">
        <f>+VLOOKUP(E43,[1]base!M:N,2,0)</f>
        <v>230</v>
      </c>
      <c r="AC43" s="29">
        <f>+VLOOKUP(E43,[1]base!M:Q,5,0)</f>
        <v>0</v>
      </c>
      <c r="AD43" s="30" t="e">
        <f>+VLOOKUP(E43,[1]base!M:P,4,0)</f>
        <v>#DIV/0!</v>
      </c>
      <c r="AE43" s="31" t="e">
        <f t="shared" si="6"/>
        <v>#DIV/0!</v>
      </c>
    </row>
    <row r="44" spans="1:31" s="32" customFormat="1" x14ac:dyDescent="0.25">
      <c r="A44" s="12" t="s">
        <v>1341</v>
      </c>
      <c r="B44" s="13">
        <v>46269.468472222223</v>
      </c>
      <c r="C44" s="12" t="s">
        <v>1342</v>
      </c>
      <c r="D44" s="12" t="s">
        <v>74</v>
      </c>
      <c r="E44" s="26" t="str">
        <f t="shared" si="0"/>
        <v>CL3003</v>
      </c>
      <c r="F44" s="27" t="str">
        <f t="shared" si="1"/>
        <v>NOIR</v>
      </c>
      <c r="G44" s="27">
        <f>+VLOOKUP(F44,[1]base!A:B,2,0)</f>
        <v>37</v>
      </c>
      <c r="H44" s="12">
        <v>1</v>
      </c>
      <c r="I44" s="12">
        <v>1</v>
      </c>
      <c r="J44" s="14"/>
      <c r="K44" s="14" t="s">
        <v>61</v>
      </c>
      <c r="L44" s="12" t="s">
        <v>1370</v>
      </c>
      <c r="M44" s="12" t="s">
        <v>150</v>
      </c>
      <c r="N44" s="12">
        <v>1</v>
      </c>
      <c r="O44" s="12">
        <v>1</v>
      </c>
      <c r="P44" s="12">
        <v>0</v>
      </c>
      <c r="Q44" s="16">
        <v>1</v>
      </c>
      <c r="R44" s="16">
        <v>1</v>
      </c>
      <c r="S44" s="16"/>
      <c r="T44" s="28">
        <v>0</v>
      </c>
      <c r="U44" s="28">
        <v>1</v>
      </c>
      <c r="V44" s="29">
        <f>+VLOOKUP(E44,[1]base!D:K,8,0)</f>
        <v>0</v>
      </c>
      <c r="W44" s="29">
        <f t="shared" si="2"/>
        <v>0</v>
      </c>
      <c r="X44" s="29">
        <f t="shared" si="3"/>
        <v>0</v>
      </c>
      <c r="Y44" s="29">
        <f>+VLOOKUP(E44,[1]base!D:E,2,0)</f>
        <v>20</v>
      </c>
      <c r="Z44" s="29">
        <f t="shared" si="4"/>
        <v>0</v>
      </c>
      <c r="AA44" s="29">
        <f t="shared" si="5"/>
        <v>0</v>
      </c>
      <c r="AB44" s="29">
        <f>+VLOOKUP(E44,[1]base!M:N,2,0)</f>
        <v>202</v>
      </c>
      <c r="AC44" s="29">
        <f>+VLOOKUP(E44,[1]base!M:Q,5,0)</f>
        <v>0</v>
      </c>
      <c r="AD44" s="30" t="e">
        <f>+VLOOKUP(E44,[1]base!M:P,4,0)</f>
        <v>#DIV/0!</v>
      </c>
      <c r="AE44" s="31" t="e">
        <f t="shared" si="6"/>
        <v>#DIV/0!</v>
      </c>
    </row>
    <row r="45" spans="1:31" s="32" customFormat="1" x14ac:dyDescent="0.25">
      <c r="A45" s="12" t="s">
        <v>1415</v>
      </c>
      <c r="B45" s="13">
        <v>46273.296388888892</v>
      </c>
      <c r="C45" s="12" t="s">
        <v>24</v>
      </c>
      <c r="D45" s="12" t="s">
        <v>1416</v>
      </c>
      <c r="E45" s="26" t="str">
        <f t="shared" si="0"/>
        <v>CO101</v>
      </c>
      <c r="F45" s="27" t="str">
        <f t="shared" si="1"/>
        <v>ACAJOU</v>
      </c>
      <c r="G45" s="27">
        <f>+VLOOKUP(F45,[1]base!A:B,2,0)</f>
        <v>15.1</v>
      </c>
      <c r="H45" s="12">
        <v>10</v>
      </c>
      <c r="I45" s="12">
        <v>10</v>
      </c>
      <c r="J45" s="14"/>
      <c r="K45" s="14" t="s">
        <v>61</v>
      </c>
      <c r="L45" s="12" t="s">
        <v>1421</v>
      </c>
      <c r="M45" s="12" t="s">
        <v>150</v>
      </c>
      <c r="N45" s="12">
        <v>10</v>
      </c>
      <c r="O45" s="12">
        <v>10</v>
      </c>
      <c r="P45" s="12">
        <v>0</v>
      </c>
      <c r="Q45" s="16">
        <v>10</v>
      </c>
      <c r="R45" s="16">
        <v>0</v>
      </c>
      <c r="S45" s="16"/>
      <c r="T45" s="28">
        <v>10</v>
      </c>
      <c r="U45" s="28"/>
      <c r="V45" s="29">
        <f>+VLOOKUP(E45,[1]base!D:K,8,0)</f>
        <v>6.0775000000000006</v>
      </c>
      <c r="W45" s="29">
        <f t="shared" si="2"/>
        <v>60.775000000000006</v>
      </c>
      <c r="X45" s="29">
        <f t="shared" si="3"/>
        <v>3.1603000000000003</v>
      </c>
      <c r="Y45" s="29">
        <f>+VLOOKUP(E45,[1]base!D:E,2,0)</f>
        <v>12</v>
      </c>
      <c r="Z45" s="29">
        <f t="shared" si="4"/>
        <v>1</v>
      </c>
      <c r="AA45" s="29">
        <f t="shared" si="5"/>
        <v>6.6666666666666693E-2</v>
      </c>
      <c r="AB45" s="29">
        <f>+VLOOKUP(E45,[1]base!M:N,2,0)</f>
        <v>125</v>
      </c>
      <c r="AC45" s="29">
        <f>+VLOOKUP(E45,[1]base!M:Q,5,0)</f>
        <v>108.55555555555556</v>
      </c>
      <c r="AD45" s="30">
        <f>+VLOOKUP(E45,[1]base!M:P,4,0)</f>
        <v>0.50787401574803148</v>
      </c>
      <c r="AE45" s="31">
        <f t="shared" si="6"/>
        <v>-25.984251968503937</v>
      </c>
    </row>
    <row r="46" spans="1:31" s="32" customFormat="1" x14ac:dyDescent="0.25">
      <c r="A46" s="12" t="s">
        <v>1243</v>
      </c>
      <c r="B46" s="13">
        <v>46268.575127314813</v>
      </c>
      <c r="C46" s="12" t="s">
        <v>368</v>
      </c>
      <c r="D46" s="12" t="s">
        <v>441</v>
      </c>
      <c r="E46" s="26" t="str">
        <f t="shared" si="0"/>
        <v>CO101</v>
      </c>
      <c r="F46" s="27" t="str">
        <f t="shared" si="1"/>
        <v>NOIR</v>
      </c>
      <c r="G46" s="27">
        <f>+VLOOKUP(F46,[1]base!A:B,2,0)</f>
        <v>37</v>
      </c>
      <c r="H46" s="12">
        <v>2</v>
      </c>
      <c r="I46" s="12">
        <v>2</v>
      </c>
      <c r="J46" s="14"/>
      <c r="K46" s="14" t="s">
        <v>61</v>
      </c>
      <c r="L46" s="12" t="s">
        <v>1254</v>
      </c>
      <c r="M46" s="12" t="s">
        <v>150</v>
      </c>
      <c r="N46" s="12">
        <v>2</v>
      </c>
      <c r="O46" s="12">
        <v>2</v>
      </c>
      <c r="P46" s="12">
        <v>0</v>
      </c>
      <c r="Q46" s="16">
        <v>2</v>
      </c>
      <c r="R46" s="16">
        <v>0</v>
      </c>
      <c r="S46" s="16"/>
      <c r="T46" s="28">
        <v>2</v>
      </c>
      <c r="U46" s="28"/>
      <c r="V46" s="29">
        <f>+VLOOKUP(E46,[1]base!D:K,8,0)</f>
        <v>6.0775000000000006</v>
      </c>
      <c r="W46" s="29">
        <f t="shared" si="2"/>
        <v>12.155000000000001</v>
      </c>
      <c r="X46" s="29">
        <f t="shared" si="3"/>
        <v>0.63206000000000007</v>
      </c>
      <c r="Y46" s="29">
        <f>+VLOOKUP(E46,[1]base!D:E,2,0)</f>
        <v>12</v>
      </c>
      <c r="Z46" s="29">
        <f t="shared" si="4"/>
        <v>1</v>
      </c>
      <c r="AA46" s="29">
        <f t="shared" si="5"/>
        <v>6.6666666666666693E-2</v>
      </c>
      <c r="AB46" s="29">
        <f>+VLOOKUP(E46,[1]base!M:N,2,0)</f>
        <v>125</v>
      </c>
      <c r="AC46" s="29">
        <f>+VLOOKUP(E46,[1]base!M:Q,5,0)</f>
        <v>108.55555555555556</v>
      </c>
      <c r="AD46" s="30">
        <f>+VLOOKUP(E46,[1]base!M:P,4,0)</f>
        <v>0.50787401574803148</v>
      </c>
      <c r="AE46" s="31">
        <f t="shared" si="6"/>
        <v>-25.984251968503937</v>
      </c>
    </row>
    <row r="47" spans="1:31" s="32" customFormat="1" x14ac:dyDescent="0.25">
      <c r="A47" s="12"/>
      <c r="B47" s="13"/>
      <c r="C47" s="12"/>
      <c r="D47" s="12" t="s">
        <v>158</v>
      </c>
      <c r="E47" s="26" t="str">
        <f t="shared" si="0"/>
        <v>CO103</v>
      </c>
      <c r="F47" s="27" t="str">
        <f t="shared" si="1"/>
        <v>BLC</v>
      </c>
      <c r="G47" s="27">
        <f>+VLOOKUP(F47,[1]base!A:B,2,0)</f>
        <v>1</v>
      </c>
      <c r="H47" s="12"/>
      <c r="I47" s="12"/>
      <c r="J47" s="14"/>
      <c r="K47" s="14"/>
      <c r="L47" s="12"/>
      <c r="M47" s="12"/>
      <c r="N47" s="12"/>
      <c r="O47" s="12"/>
      <c r="P47" s="12"/>
      <c r="Q47" s="16">
        <v>0</v>
      </c>
      <c r="R47" s="16">
        <v>0</v>
      </c>
      <c r="S47" s="16"/>
      <c r="T47" s="28">
        <v>180</v>
      </c>
      <c r="U47" s="28"/>
      <c r="V47" s="29">
        <f>+VLOOKUP(E47,[1]base!D:K,8,0)</f>
        <v>7.293000000000001</v>
      </c>
      <c r="W47" s="29">
        <f t="shared" si="2"/>
        <v>1312.7400000000002</v>
      </c>
      <c r="X47" s="29">
        <f t="shared" si="3"/>
        <v>68.262480000000011</v>
      </c>
      <c r="Y47" s="29">
        <f>+VLOOKUP(E47,[1]base!D:E,2,0)</f>
        <v>12</v>
      </c>
      <c r="Z47" s="29">
        <f t="shared" si="4"/>
        <v>15</v>
      </c>
      <c r="AA47" s="29">
        <f t="shared" si="5"/>
        <v>1.0000000000000004</v>
      </c>
      <c r="AB47" s="29">
        <f>+VLOOKUP(E47,[1]base!M:N,2,0)</f>
        <v>949</v>
      </c>
      <c r="AC47" s="29">
        <f>+VLOOKUP(E47,[1]base!M:Q,5,0)</f>
        <v>593.63636363636363</v>
      </c>
      <c r="AD47" s="30">
        <f>+VLOOKUP(E47,[1]base!M:P,4,0)</f>
        <v>9.962049335863378E-2</v>
      </c>
      <c r="AE47" s="31">
        <f t="shared" si="6"/>
        <v>190.16015180265654</v>
      </c>
    </row>
    <row r="48" spans="1:31" x14ac:dyDescent="0.25">
      <c r="A48" s="12" t="s">
        <v>288</v>
      </c>
      <c r="B48" s="13">
        <v>46191.52375</v>
      </c>
      <c r="C48" s="12" t="s">
        <v>24</v>
      </c>
      <c r="D48" s="12" t="s">
        <v>289</v>
      </c>
      <c r="E48" s="26" t="str">
        <f t="shared" si="0"/>
        <v>CO103</v>
      </c>
      <c r="F48" s="27" t="str">
        <f t="shared" si="1"/>
        <v>ACAJOU</v>
      </c>
      <c r="G48" s="27">
        <f>+VLOOKUP(F48,[1]base!A:B,2,0)</f>
        <v>15.1</v>
      </c>
      <c r="H48" s="12">
        <v>40</v>
      </c>
      <c r="I48" s="12">
        <v>40</v>
      </c>
      <c r="J48" s="14"/>
      <c r="K48" s="14" t="s">
        <v>61</v>
      </c>
      <c r="L48" s="12" t="s">
        <v>291</v>
      </c>
      <c r="M48" s="12" t="s">
        <v>150</v>
      </c>
      <c r="N48" s="12">
        <v>40</v>
      </c>
      <c r="O48" s="12">
        <v>40</v>
      </c>
      <c r="P48" s="12">
        <v>0</v>
      </c>
      <c r="Q48" s="16">
        <v>40</v>
      </c>
      <c r="R48" s="16">
        <v>0</v>
      </c>
      <c r="S48" s="16"/>
      <c r="T48" s="28">
        <v>40</v>
      </c>
      <c r="U48" s="28"/>
      <c r="V48" s="29">
        <f>+VLOOKUP(E48,[1]base!D:K,8,0)</f>
        <v>7.293000000000001</v>
      </c>
      <c r="W48" s="29">
        <f t="shared" si="2"/>
        <v>291.72000000000003</v>
      </c>
      <c r="X48" s="29">
        <f t="shared" si="3"/>
        <v>15.169440000000002</v>
      </c>
      <c r="Y48" s="29">
        <f>+VLOOKUP(E48,[1]base!D:E,2,0)</f>
        <v>12</v>
      </c>
      <c r="Z48" s="29">
        <f t="shared" si="4"/>
        <v>4</v>
      </c>
      <c r="AA48" s="29">
        <f t="shared" si="5"/>
        <v>0.26666666666666677</v>
      </c>
      <c r="AB48" s="29">
        <f>+VLOOKUP(E48,[1]base!M:N,2,0)</f>
        <v>949</v>
      </c>
      <c r="AC48" s="29">
        <f>+VLOOKUP(E48,[1]base!M:Q,5,0)</f>
        <v>593.63636363636363</v>
      </c>
      <c r="AD48" s="30">
        <f>+VLOOKUP(E48,[1]base!M:P,4,0)</f>
        <v>9.962049335863378E-2</v>
      </c>
      <c r="AE48" s="31">
        <f t="shared" si="6"/>
        <v>190.16015180265654</v>
      </c>
    </row>
    <row r="49" spans="1:31" x14ac:dyDescent="0.25">
      <c r="A49" s="12" t="s">
        <v>1082</v>
      </c>
      <c r="B49" s="13">
        <v>46266.490532407406</v>
      </c>
      <c r="C49" s="12" t="s">
        <v>505</v>
      </c>
      <c r="D49" s="12" t="s">
        <v>289</v>
      </c>
      <c r="E49" s="26" t="str">
        <f t="shared" si="0"/>
        <v>CO103</v>
      </c>
      <c r="F49" s="27" t="str">
        <f t="shared" si="1"/>
        <v>ACAJOU</v>
      </c>
      <c r="G49" s="27">
        <f>+VLOOKUP(F49,[1]base!A:B,2,0)</f>
        <v>15.1</v>
      </c>
      <c r="H49" s="12">
        <v>8</v>
      </c>
      <c r="I49" s="12">
        <v>8</v>
      </c>
      <c r="J49" s="14"/>
      <c r="K49" s="14" t="s">
        <v>61</v>
      </c>
      <c r="L49" s="12" t="s">
        <v>1084</v>
      </c>
      <c r="M49" s="12" t="s">
        <v>150</v>
      </c>
      <c r="N49" s="12">
        <v>8</v>
      </c>
      <c r="O49" s="12">
        <v>8</v>
      </c>
      <c r="P49" s="12">
        <v>0</v>
      </c>
      <c r="Q49" s="16">
        <v>40</v>
      </c>
      <c r="R49" s="16">
        <v>0</v>
      </c>
      <c r="S49" s="16"/>
      <c r="T49" s="28">
        <v>8</v>
      </c>
      <c r="U49" s="28"/>
      <c r="V49" s="29">
        <f>+VLOOKUP(E49,[1]base!D:K,8,0)</f>
        <v>7.293000000000001</v>
      </c>
      <c r="W49" s="29">
        <f t="shared" si="2"/>
        <v>58.344000000000008</v>
      </c>
      <c r="X49" s="29">
        <f t="shared" si="3"/>
        <v>3.0338880000000001</v>
      </c>
      <c r="Y49" s="29">
        <f>+VLOOKUP(E49,[1]base!D:E,2,0)</f>
        <v>12</v>
      </c>
      <c r="Z49" s="29">
        <f t="shared" si="4"/>
        <v>1</v>
      </c>
      <c r="AA49" s="29">
        <f t="shared" si="5"/>
        <v>6.6666666666666693E-2</v>
      </c>
      <c r="AB49" s="29">
        <f>+VLOOKUP(E49,[1]base!M:N,2,0)</f>
        <v>949</v>
      </c>
      <c r="AC49" s="29">
        <f>+VLOOKUP(E49,[1]base!M:Q,5,0)</f>
        <v>593.63636363636363</v>
      </c>
      <c r="AD49" s="30">
        <f>+VLOOKUP(E49,[1]base!M:P,4,0)</f>
        <v>9.962049335863378E-2</v>
      </c>
      <c r="AE49" s="31">
        <f t="shared" si="6"/>
        <v>190.16015180265654</v>
      </c>
    </row>
    <row r="50" spans="1:31" x14ac:dyDescent="0.25">
      <c r="A50" s="12" t="s">
        <v>1339</v>
      </c>
      <c r="B50" s="13">
        <v>46269.394733796296</v>
      </c>
      <c r="C50" s="12" t="s">
        <v>266</v>
      </c>
      <c r="D50" s="12" t="s">
        <v>289</v>
      </c>
      <c r="E50" s="26" t="str">
        <f t="shared" si="0"/>
        <v>CO103</v>
      </c>
      <c r="F50" s="27" t="str">
        <f t="shared" si="1"/>
        <v>ACAJOU</v>
      </c>
      <c r="G50" s="27">
        <f>+VLOOKUP(F50,[1]base!A:B,2,0)</f>
        <v>15.1</v>
      </c>
      <c r="H50" s="12">
        <v>12</v>
      </c>
      <c r="I50" s="12">
        <v>12</v>
      </c>
      <c r="J50" s="14"/>
      <c r="K50" s="14" t="s">
        <v>61</v>
      </c>
      <c r="L50" s="12" t="s">
        <v>1356</v>
      </c>
      <c r="M50" s="12" t="s">
        <v>150</v>
      </c>
      <c r="N50" s="12">
        <v>12</v>
      </c>
      <c r="O50" s="12">
        <v>12</v>
      </c>
      <c r="P50" s="12">
        <v>0</v>
      </c>
      <c r="Q50" s="16">
        <v>12</v>
      </c>
      <c r="R50" s="16">
        <v>0</v>
      </c>
      <c r="S50" s="16"/>
      <c r="T50" s="28">
        <v>12</v>
      </c>
      <c r="U50" s="28"/>
      <c r="V50" s="29">
        <f>+VLOOKUP(E50,[1]base!D:K,8,0)</f>
        <v>7.293000000000001</v>
      </c>
      <c r="W50" s="29">
        <f t="shared" si="2"/>
        <v>87.51600000000002</v>
      </c>
      <c r="X50" s="29">
        <f t="shared" si="3"/>
        <v>4.5508320000000007</v>
      </c>
      <c r="Y50" s="29">
        <f>+VLOOKUP(E50,[1]base!D:E,2,0)</f>
        <v>12</v>
      </c>
      <c r="Z50" s="29">
        <f t="shared" si="4"/>
        <v>1</v>
      </c>
      <c r="AA50" s="29">
        <f t="shared" si="5"/>
        <v>6.6666666666666693E-2</v>
      </c>
      <c r="AB50" s="29">
        <f>+VLOOKUP(E50,[1]base!M:N,2,0)</f>
        <v>949</v>
      </c>
      <c r="AC50" s="29">
        <f>+VLOOKUP(E50,[1]base!M:Q,5,0)</f>
        <v>593.63636363636363</v>
      </c>
      <c r="AD50" s="30">
        <f>+VLOOKUP(E50,[1]base!M:P,4,0)</f>
        <v>9.962049335863378E-2</v>
      </c>
      <c r="AE50" s="31">
        <f t="shared" si="6"/>
        <v>190.16015180265654</v>
      </c>
    </row>
    <row r="51" spans="1:31" s="32" customFormat="1" x14ac:dyDescent="0.25">
      <c r="A51" s="12" t="s">
        <v>667</v>
      </c>
      <c r="B51" s="13">
        <v>46252.518969907411</v>
      </c>
      <c r="C51" s="12" t="s">
        <v>522</v>
      </c>
      <c r="D51" s="12" t="s">
        <v>670</v>
      </c>
      <c r="E51" s="26" t="str">
        <f t="shared" si="0"/>
        <v>CO103</v>
      </c>
      <c r="F51" s="27" t="str">
        <f t="shared" si="1"/>
        <v>GRIS</v>
      </c>
      <c r="G51" s="27">
        <f>+VLOOKUP(F51,[1]base!A:B,2,0)</f>
        <v>22</v>
      </c>
      <c r="H51" s="12">
        <v>20</v>
      </c>
      <c r="I51" s="12">
        <v>20</v>
      </c>
      <c r="J51" s="14"/>
      <c r="K51" s="14" t="s">
        <v>61</v>
      </c>
      <c r="L51" s="12" t="s">
        <v>674</v>
      </c>
      <c r="M51" s="12" t="s">
        <v>150</v>
      </c>
      <c r="N51" s="12">
        <v>20</v>
      </c>
      <c r="O51" s="12">
        <v>20</v>
      </c>
      <c r="P51" s="12">
        <v>0</v>
      </c>
      <c r="Q51" s="16">
        <v>60</v>
      </c>
      <c r="R51" s="16">
        <v>0</v>
      </c>
      <c r="S51" s="16"/>
      <c r="T51" s="28">
        <v>20</v>
      </c>
      <c r="U51" s="28"/>
      <c r="V51" s="29">
        <f>+VLOOKUP(E51,[1]base!D:K,8,0)</f>
        <v>7.293000000000001</v>
      </c>
      <c r="W51" s="29">
        <f t="shared" si="2"/>
        <v>145.86000000000001</v>
      </c>
      <c r="X51" s="29">
        <f t="shared" si="3"/>
        <v>7.5847200000000008</v>
      </c>
      <c r="Y51" s="29">
        <f>+VLOOKUP(E51,[1]base!D:E,2,0)</f>
        <v>12</v>
      </c>
      <c r="Z51" s="29">
        <f t="shared" si="4"/>
        <v>2</v>
      </c>
      <c r="AA51" s="29">
        <f t="shared" si="5"/>
        <v>0.13333333333333339</v>
      </c>
      <c r="AB51" s="29">
        <f>+VLOOKUP(E51,[1]base!M:N,2,0)</f>
        <v>949</v>
      </c>
      <c r="AC51" s="29">
        <f>+VLOOKUP(E51,[1]base!M:Q,5,0)</f>
        <v>593.63636363636363</v>
      </c>
      <c r="AD51" s="30">
        <f>+VLOOKUP(E51,[1]base!M:P,4,0)</f>
        <v>9.962049335863378E-2</v>
      </c>
      <c r="AE51" s="31">
        <f t="shared" si="6"/>
        <v>190.16015180265654</v>
      </c>
    </row>
    <row r="52" spans="1:31" s="32" customFormat="1" x14ac:dyDescent="0.25">
      <c r="A52" s="12" t="s">
        <v>1218</v>
      </c>
      <c r="B52" s="13">
        <v>46268.354953703703</v>
      </c>
      <c r="C52" s="12" t="s">
        <v>24</v>
      </c>
      <c r="D52" s="12" t="s">
        <v>670</v>
      </c>
      <c r="E52" s="26" t="str">
        <f t="shared" si="0"/>
        <v>CO103</v>
      </c>
      <c r="F52" s="27" t="str">
        <f t="shared" si="1"/>
        <v>GRIS</v>
      </c>
      <c r="G52" s="27">
        <f>+VLOOKUP(F52,[1]base!A:B,2,0)</f>
        <v>22</v>
      </c>
      <c r="H52" s="12">
        <v>12</v>
      </c>
      <c r="I52" s="12">
        <v>12</v>
      </c>
      <c r="J52" s="14"/>
      <c r="K52" s="14" t="s">
        <v>61</v>
      </c>
      <c r="L52" s="12" t="s">
        <v>1221</v>
      </c>
      <c r="M52" s="12" t="s">
        <v>150</v>
      </c>
      <c r="N52" s="12">
        <v>12</v>
      </c>
      <c r="O52" s="12">
        <v>12</v>
      </c>
      <c r="P52" s="12">
        <v>0</v>
      </c>
      <c r="Q52" s="16">
        <v>12</v>
      </c>
      <c r="R52" s="16">
        <v>0</v>
      </c>
      <c r="S52" s="16"/>
      <c r="T52" s="28">
        <v>12</v>
      </c>
      <c r="U52" s="28"/>
      <c r="V52" s="29">
        <f>+VLOOKUP(E52,[1]base!D:K,8,0)</f>
        <v>7.293000000000001</v>
      </c>
      <c r="W52" s="29">
        <f t="shared" si="2"/>
        <v>87.51600000000002</v>
      </c>
      <c r="X52" s="29">
        <f t="shared" si="3"/>
        <v>4.5508320000000007</v>
      </c>
      <c r="Y52" s="29">
        <f>+VLOOKUP(E52,[1]base!D:E,2,0)</f>
        <v>12</v>
      </c>
      <c r="Z52" s="29">
        <f t="shared" si="4"/>
        <v>1</v>
      </c>
      <c r="AA52" s="29">
        <f t="shared" si="5"/>
        <v>6.6666666666666693E-2</v>
      </c>
      <c r="AB52" s="29">
        <f>+VLOOKUP(E52,[1]base!M:N,2,0)</f>
        <v>949</v>
      </c>
      <c r="AC52" s="29">
        <f>+VLOOKUP(E52,[1]base!M:Q,5,0)</f>
        <v>593.63636363636363</v>
      </c>
      <c r="AD52" s="30">
        <f>+VLOOKUP(E52,[1]base!M:P,4,0)</f>
        <v>9.962049335863378E-2</v>
      </c>
      <c r="AE52" s="31">
        <f t="shared" si="6"/>
        <v>190.16015180265654</v>
      </c>
    </row>
    <row r="53" spans="1:31" s="32" customFormat="1" x14ac:dyDescent="0.25">
      <c r="A53" s="12" t="s">
        <v>1492</v>
      </c>
      <c r="B53" s="13">
        <v>46273.61005787037</v>
      </c>
      <c r="C53" s="12" t="s">
        <v>266</v>
      </c>
      <c r="D53" s="12" t="s">
        <v>670</v>
      </c>
      <c r="E53" s="26" t="str">
        <f t="shared" si="0"/>
        <v>CO103</v>
      </c>
      <c r="F53" s="27" t="str">
        <f t="shared" si="1"/>
        <v>GRIS</v>
      </c>
      <c r="G53" s="27">
        <f>+VLOOKUP(F53,[1]base!A:B,2,0)</f>
        <v>22</v>
      </c>
      <c r="H53" s="12">
        <v>30</v>
      </c>
      <c r="I53" s="12">
        <v>30</v>
      </c>
      <c r="J53" s="14"/>
      <c r="K53" s="14" t="s">
        <v>61</v>
      </c>
      <c r="L53" s="12" t="s">
        <v>1503</v>
      </c>
      <c r="M53" s="12" t="s">
        <v>150</v>
      </c>
      <c r="N53" s="12">
        <v>30</v>
      </c>
      <c r="O53" s="12">
        <v>30</v>
      </c>
      <c r="P53" s="12">
        <v>0</v>
      </c>
      <c r="Q53" s="16">
        <v>30</v>
      </c>
      <c r="R53" s="16">
        <v>0</v>
      </c>
      <c r="S53" s="16"/>
      <c r="T53" s="28">
        <v>30</v>
      </c>
      <c r="U53" s="28"/>
      <c r="V53" s="29">
        <f>+VLOOKUP(E53,[1]base!D:K,8,0)</f>
        <v>7.293000000000001</v>
      </c>
      <c r="W53" s="29">
        <f t="shared" si="2"/>
        <v>218.79000000000002</v>
      </c>
      <c r="X53" s="29">
        <f t="shared" si="3"/>
        <v>11.377080000000001</v>
      </c>
      <c r="Y53" s="29">
        <f>+VLOOKUP(E53,[1]base!D:E,2,0)</f>
        <v>12</v>
      </c>
      <c r="Z53" s="29">
        <f t="shared" si="4"/>
        <v>3</v>
      </c>
      <c r="AA53" s="29">
        <f t="shared" si="5"/>
        <v>0.20000000000000007</v>
      </c>
      <c r="AB53" s="29">
        <f>+VLOOKUP(E53,[1]base!M:N,2,0)</f>
        <v>949</v>
      </c>
      <c r="AC53" s="29">
        <f>+VLOOKUP(E53,[1]base!M:Q,5,0)</f>
        <v>593.63636363636363</v>
      </c>
      <c r="AD53" s="30">
        <f>+VLOOKUP(E53,[1]base!M:P,4,0)</f>
        <v>9.962049335863378E-2</v>
      </c>
      <c r="AE53" s="31">
        <f t="shared" si="6"/>
        <v>190.16015180265654</v>
      </c>
    </row>
    <row r="54" spans="1:31" s="32" customFormat="1" x14ac:dyDescent="0.25">
      <c r="A54" s="12" t="s">
        <v>408</v>
      </c>
      <c r="B54" s="13">
        <v>46220.346435185187</v>
      </c>
      <c r="C54" s="12" t="s">
        <v>258</v>
      </c>
      <c r="D54" s="12" t="s">
        <v>243</v>
      </c>
      <c r="E54" s="26" t="str">
        <f t="shared" si="0"/>
        <v>CO103</v>
      </c>
      <c r="F54" s="27" t="str">
        <f t="shared" si="1"/>
        <v>NOIR</v>
      </c>
      <c r="G54" s="27">
        <f>+VLOOKUP(F54,[1]base!A:B,2,0)</f>
        <v>37</v>
      </c>
      <c r="H54" s="12">
        <v>80</v>
      </c>
      <c r="I54" s="12">
        <v>80</v>
      </c>
      <c r="J54" s="14"/>
      <c r="K54" s="14" t="s">
        <v>61</v>
      </c>
      <c r="L54" s="12" t="s">
        <v>409</v>
      </c>
      <c r="M54" s="12" t="s">
        <v>150</v>
      </c>
      <c r="N54" s="12">
        <v>80</v>
      </c>
      <c r="O54" s="12">
        <v>80</v>
      </c>
      <c r="P54" s="12">
        <v>0</v>
      </c>
      <c r="Q54" s="16">
        <v>80</v>
      </c>
      <c r="R54" s="16">
        <v>1</v>
      </c>
      <c r="S54" s="16"/>
      <c r="T54" s="28">
        <v>79</v>
      </c>
      <c r="U54" s="28">
        <v>1</v>
      </c>
      <c r="V54" s="29">
        <f>+VLOOKUP(E54,[1]base!D:K,8,0)</f>
        <v>7.293000000000001</v>
      </c>
      <c r="W54" s="29">
        <f t="shared" si="2"/>
        <v>583.44000000000005</v>
      </c>
      <c r="X54" s="29">
        <f t="shared" si="3"/>
        <v>30.338880000000003</v>
      </c>
      <c r="Y54" s="29">
        <f>+VLOOKUP(E54,[1]base!D:E,2,0)</f>
        <v>12</v>
      </c>
      <c r="Z54" s="29">
        <f t="shared" si="4"/>
        <v>7</v>
      </c>
      <c r="AA54" s="29">
        <f t="shared" si="5"/>
        <v>0.46666666666666684</v>
      </c>
      <c r="AB54" s="29">
        <f>+VLOOKUP(E54,[1]base!M:N,2,0)</f>
        <v>949</v>
      </c>
      <c r="AC54" s="29">
        <f>+VLOOKUP(E54,[1]base!M:Q,5,0)</f>
        <v>593.63636363636363</v>
      </c>
      <c r="AD54" s="30">
        <f>+VLOOKUP(E54,[1]base!M:P,4,0)</f>
        <v>9.962049335863378E-2</v>
      </c>
      <c r="AE54" s="31">
        <f t="shared" si="6"/>
        <v>190.16015180265654</v>
      </c>
    </row>
    <row r="55" spans="1:31" s="32" customFormat="1" x14ac:dyDescent="0.25">
      <c r="A55" s="12" t="s">
        <v>667</v>
      </c>
      <c r="B55" s="13">
        <v>46252.518969907411</v>
      </c>
      <c r="C55" s="12" t="s">
        <v>522</v>
      </c>
      <c r="D55" s="12" t="s">
        <v>243</v>
      </c>
      <c r="E55" s="26" t="str">
        <f t="shared" si="0"/>
        <v>CO103</v>
      </c>
      <c r="F55" s="27" t="str">
        <f t="shared" si="1"/>
        <v>NOIR</v>
      </c>
      <c r="G55" s="27">
        <f>+VLOOKUP(F55,[1]base!A:B,2,0)</f>
        <v>37</v>
      </c>
      <c r="H55" s="12">
        <v>20</v>
      </c>
      <c r="I55" s="12">
        <v>20</v>
      </c>
      <c r="J55" s="14"/>
      <c r="K55" s="14" t="s">
        <v>61</v>
      </c>
      <c r="L55" s="12" t="s">
        <v>675</v>
      </c>
      <c r="M55" s="12" t="s">
        <v>150</v>
      </c>
      <c r="N55" s="12">
        <v>20</v>
      </c>
      <c r="O55" s="12">
        <v>20</v>
      </c>
      <c r="P55" s="12">
        <v>0</v>
      </c>
      <c r="Q55" s="16">
        <v>60</v>
      </c>
      <c r="R55" s="16">
        <v>1</v>
      </c>
      <c r="S55" s="16"/>
      <c r="T55" s="28">
        <v>20</v>
      </c>
      <c r="U55" s="28"/>
      <c r="V55" s="29">
        <f>+VLOOKUP(E55,[1]base!D:K,8,0)</f>
        <v>7.293000000000001</v>
      </c>
      <c r="W55" s="29">
        <f t="shared" si="2"/>
        <v>145.86000000000001</v>
      </c>
      <c r="X55" s="29">
        <f t="shared" si="3"/>
        <v>7.5847200000000008</v>
      </c>
      <c r="Y55" s="29">
        <f>+VLOOKUP(E55,[1]base!D:E,2,0)</f>
        <v>12</v>
      </c>
      <c r="Z55" s="29">
        <f t="shared" si="4"/>
        <v>2</v>
      </c>
      <c r="AA55" s="29">
        <f t="shared" si="5"/>
        <v>0.13333333333333339</v>
      </c>
      <c r="AB55" s="29">
        <f>+VLOOKUP(E55,[1]base!M:N,2,0)</f>
        <v>949</v>
      </c>
      <c r="AC55" s="29">
        <f>+VLOOKUP(E55,[1]base!M:Q,5,0)</f>
        <v>593.63636363636363</v>
      </c>
      <c r="AD55" s="30">
        <f>+VLOOKUP(E55,[1]base!M:P,4,0)</f>
        <v>9.962049335863378E-2</v>
      </c>
      <c r="AE55" s="31">
        <f t="shared" si="6"/>
        <v>190.16015180265654</v>
      </c>
    </row>
    <row r="56" spans="1:31" s="32" customFormat="1" x14ac:dyDescent="0.25">
      <c r="A56" s="12" t="s">
        <v>940</v>
      </c>
      <c r="B56" s="13">
        <v>46263.399872685186</v>
      </c>
      <c r="C56" s="12" t="s">
        <v>24</v>
      </c>
      <c r="D56" s="12" t="s">
        <v>243</v>
      </c>
      <c r="E56" s="26" t="str">
        <f t="shared" si="0"/>
        <v>CO103</v>
      </c>
      <c r="F56" s="27" t="str">
        <f t="shared" si="1"/>
        <v>NOIR</v>
      </c>
      <c r="G56" s="27">
        <f>+VLOOKUP(F56,[1]base!A:B,2,0)</f>
        <v>37</v>
      </c>
      <c r="H56" s="12">
        <v>8</v>
      </c>
      <c r="I56" s="12">
        <v>8</v>
      </c>
      <c r="J56" s="14"/>
      <c r="K56" s="14" t="s">
        <v>61</v>
      </c>
      <c r="L56" s="12" t="s">
        <v>946</v>
      </c>
      <c r="M56" s="12" t="s">
        <v>150</v>
      </c>
      <c r="N56" s="12">
        <v>8</v>
      </c>
      <c r="O56" s="12">
        <v>8</v>
      </c>
      <c r="P56" s="12">
        <v>0</v>
      </c>
      <c r="Q56" s="16">
        <v>8</v>
      </c>
      <c r="R56" s="16">
        <v>1</v>
      </c>
      <c r="S56" s="16"/>
      <c r="T56" s="28">
        <v>8</v>
      </c>
      <c r="U56" s="28"/>
      <c r="V56" s="29">
        <f>+VLOOKUP(E56,[1]base!D:K,8,0)</f>
        <v>7.293000000000001</v>
      </c>
      <c r="W56" s="29">
        <f t="shared" si="2"/>
        <v>58.344000000000008</v>
      </c>
      <c r="X56" s="29">
        <f t="shared" si="3"/>
        <v>3.0338880000000001</v>
      </c>
      <c r="Y56" s="29">
        <f>+VLOOKUP(E56,[1]base!D:E,2,0)</f>
        <v>12</v>
      </c>
      <c r="Z56" s="29">
        <f t="shared" si="4"/>
        <v>1</v>
      </c>
      <c r="AA56" s="29">
        <f t="shared" si="5"/>
        <v>6.6666666666666693E-2</v>
      </c>
      <c r="AB56" s="29">
        <f>+VLOOKUP(E56,[1]base!M:N,2,0)</f>
        <v>949</v>
      </c>
      <c r="AC56" s="29">
        <f>+VLOOKUP(E56,[1]base!M:Q,5,0)</f>
        <v>593.63636363636363</v>
      </c>
      <c r="AD56" s="30">
        <f>+VLOOKUP(E56,[1]base!M:P,4,0)</f>
        <v>9.962049335863378E-2</v>
      </c>
      <c r="AE56" s="31">
        <f t="shared" si="6"/>
        <v>190.16015180265654</v>
      </c>
    </row>
    <row r="57" spans="1:31" s="32" customFormat="1" x14ac:dyDescent="0.25">
      <c r="A57" s="12" t="s">
        <v>1016</v>
      </c>
      <c r="B57" s="13">
        <v>46266.406585648147</v>
      </c>
      <c r="C57" s="12" t="s">
        <v>599</v>
      </c>
      <c r="D57" s="12" t="s">
        <v>243</v>
      </c>
      <c r="E57" s="26" t="str">
        <f t="shared" si="0"/>
        <v>CO103</v>
      </c>
      <c r="F57" s="27" t="str">
        <f t="shared" si="1"/>
        <v>NOIR</v>
      </c>
      <c r="G57" s="27">
        <f>+VLOOKUP(F57,[1]base!A:B,2,0)</f>
        <v>37</v>
      </c>
      <c r="H57" s="12">
        <v>40</v>
      </c>
      <c r="I57" s="12">
        <v>40</v>
      </c>
      <c r="J57" s="14"/>
      <c r="K57" s="14" t="s">
        <v>61</v>
      </c>
      <c r="L57" s="12" t="s">
        <v>1017</v>
      </c>
      <c r="M57" s="12" t="s">
        <v>150</v>
      </c>
      <c r="N57" s="12">
        <v>40</v>
      </c>
      <c r="O57" s="12">
        <v>40</v>
      </c>
      <c r="P57" s="12">
        <v>0</v>
      </c>
      <c r="Q57" s="16">
        <v>40</v>
      </c>
      <c r="R57" s="16">
        <v>1</v>
      </c>
      <c r="S57" s="16"/>
      <c r="T57" s="28">
        <v>40</v>
      </c>
      <c r="U57" s="28"/>
      <c r="V57" s="29">
        <f>+VLOOKUP(E57,[1]base!D:K,8,0)</f>
        <v>7.293000000000001</v>
      </c>
      <c r="W57" s="29">
        <f t="shared" si="2"/>
        <v>291.72000000000003</v>
      </c>
      <c r="X57" s="29">
        <f t="shared" si="3"/>
        <v>15.169440000000002</v>
      </c>
      <c r="Y57" s="29">
        <f>+VLOOKUP(E57,[1]base!D:E,2,0)</f>
        <v>12</v>
      </c>
      <c r="Z57" s="29">
        <f t="shared" si="4"/>
        <v>4</v>
      </c>
      <c r="AA57" s="29">
        <f t="shared" si="5"/>
        <v>0.26666666666666677</v>
      </c>
      <c r="AB57" s="29">
        <f>+VLOOKUP(E57,[1]base!M:N,2,0)</f>
        <v>949</v>
      </c>
      <c r="AC57" s="29">
        <f>+VLOOKUP(E57,[1]base!M:Q,5,0)</f>
        <v>593.63636363636363</v>
      </c>
      <c r="AD57" s="30">
        <f>+VLOOKUP(E57,[1]base!M:P,4,0)</f>
        <v>9.962049335863378E-2</v>
      </c>
      <c r="AE57" s="31">
        <f t="shared" si="6"/>
        <v>190.16015180265654</v>
      </c>
    </row>
    <row r="58" spans="1:31" s="32" customFormat="1" x14ac:dyDescent="0.25">
      <c r="A58" s="12" t="s">
        <v>1082</v>
      </c>
      <c r="B58" s="13">
        <v>46266.490532407406</v>
      </c>
      <c r="C58" s="12" t="s">
        <v>505</v>
      </c>
      <c r="D58" s="12" t="s">
        <v>243</v>
      </c>
      <c r="E58" s="26" t="str">
        <f t="shared" si="0"/>
        <v>CO103</v>
      </c>
      <c r="F58" s="27" t="str">
        <f t="shared" si="1"/>
        <v>NOIR</v>
      </c>
      <c r="G58" s="27">
        <f>+VLOOKUP(F58,[1]base!A:B,2,0)</f>
        <v>37</v>
      </c>
      <c r="H58" s="12">
        <v>24</v>
      </c>
      <c r="I58" s="12">
        <v>24</v>
      </c>
      <c r="J58" s="14"/>
      <c r="K58" s="14" t="s">
        <v>61</v>
      </c>
      <c r="L58" s="12" t="s">
        <v>1083</v>
      </c>
      <c r="M58" s="12" t="s">
        <v>150</v>
      </c>
      <c r="N58" s="12">
        <v>24</v>
      </c>
      <c r="O58" s="12">
        <v>24</v>
      </c>
      <c r="P58" s="12">
        <v>0</v>
      </c>
      <c r="Q58" s="16">
        <v>40</v>
      </c>
      <c r="R58" s="16">
        <v>1</v>
      </c>
      <c r="S58" s="16"/>
      <c r="T58" s="28">
        <v>24</v>
      </c>
      <c r="U58" s="28"/>
      <c r="V58" s="29">
        <f>+VLOOKUP(E58,[1]base!D:K,8,0)</f>
        <v>7.293000000000001</v>
      </c>
      <c r="W58" s="29">
        <f t="shared" si="2"/>
        <v>175.03200000000004</v>
      </c>
      <c r="X58" s="29">
        <f t="shared" si="3"/>
        <v>9.1016640000000013</v>
      </c>
      <c r="Y58" s="29">
        <f>+VLOOKUP(E58,[1]base!D:E,2,0)</f>
        <v>12</v>
      </c>
      <c r="Z58" s="29">
        <f t="shared" si="4"/>
        <v>2</v>
      </c>
      <c r="AA58" s="29">
        <f t="shared" si="5"/>
        <v>0.13333333333333339</v>
      </c>
      <c r="AB58" s="29">
        <f>+VLOOKUP(E58,[1]base!M:N,2,0)</f>
        <v>949</v>
      </c>
      <c r="AC58" s="29">
        <f>+VLOOKUP(E58,[1]base!M:Q,5,0)</f>
        <v>593.63636363636363</v>
      </c>
      <c r="AD58" s="30">
        <f>+VLOOKUP(E58,[1]base!M:P,4,0)</f>
        <v>9.962049335863378E-2</v>
      </c>
      <c r="AE58" s="31">
        <f t="shared" si="6"/>
        <v>190.16015180265654</v>
      </c>
    </row>
    <row r="59" spans="1:31" s="32" customFormat="1" x14ac:dyDescent="0.25">
      <c r="A59" s="12" t="s">
        <v>1141</v>
      </c>
      <c r="B59" s="13">
        <v>46267.323657407411</v>
      </c>
      <c r="C59" s="12" t="s">
        <v>585</v>
      </c>
      <c r="D59" s="12" t="s">
        <v>243</v>
      </c>
      <c r="E59" s="26" t="str">
        <f t="shared" si="0"/>
        <v>CO103</v>
      </c>
      <c r="F59" s="27" t="str">
        <f t="shared" si="1"/>
        <v>NOIR</v>
      </c>
      <c r="G59" s="27">
        <f>+VLOOKUP(F59,[1]base!A:B,2,0)</f>
        <v>37</v>
      </c>
      <c r="H59" s="12">
        <v>80</v>
      </c>
      <c r="I59" s="12">
        <v>80</v>
      </c>
      <c r="J59" s="14"/>
      <c r="K59" s="14" t="s">
        <v>61</v>
      </c>
      <c r="L59" s="12" t="s">
        <v>1144</v>
      </c>
      <c r="M59" s="12" t="s">
        <v>150</v>
      </c>
      <c r="N59" s="12">
        <v>80</v>
      </c>
      <c r="O59" s="12">
        <v>80</v>
      </c>
      <c r="P59" s="12">
        <v>0</v>
      </c>
      <c r="Q59" s="16">
        <v>80</v>
      </c>
      <c r="R59" s="16">
        <v>1</v>
      </c>
      <c r="S59" s="16"/>
      <c r="T59" s="28">
        <v>80</v>
      </c>
      <c r="U59" s="28"/>
      <c r="V59" s="29">
        <f>+VLOOKUP(E59,[1]base!D:K,8,0)</f>
        <v>7.293000000000001</v>
      </c>
      <c r="W59" s="29">
        <f t="shared" si="2"/>
        <v>583.44000000000005</v>
      </c>
      <c r="X59" s="29">
        <f t="shared" si="3"/>
        <v>30.338880000000003</v>
      </c>
      <c r="Y59" s="29">
        <f>+VLOOKUP(E59,[1]base!D:E,2,0)</f>
        <v>12</v>
      </c>
      <c r="Z59" s="29">
        <f t="shared" si="4"/>
        <v>7</v>
      </c>
      <c r="AA59" s="29">
        <f t="shared" si="5"/>
        <v>0.46666666666666684</v>
      </c>
      <c r="AB59" s="29">
        <f>+VLOOKUP(E59,[1]base!M:N,2,0)</f>
        <v>949</v>
      </c>
      <c r="AC59" s="29">
        <f>+VLOOKUP(E59,[1]base!M:Q,5,0)</f>
        <v>593.63636363636363</v>
      </c>
      <c r="AD59" s="30">
        <f>+VLOOKUP(E59,[1]base!M:P,4,0)</f>
        <v>9.962049335863378E-2</v>
      </c>
      <c r="AE59" s="31">
        <f t="shared" si="6"/>
        <v>190.16015180265654</v>
      </c>
    </row>
    <row r="60" spans="1:31" s="32" customFormat="1" x14ac:dyDescent="0.25">
      <c r="A60" s="12" t="s">
        <v>1291</v>
      </c>
      <c r="B60" s="13">
        <v>46269.280277777776</v>
      </c>
      <c r="C60" s="12" t="s">
        <v>266</v>
      </c>
      <c r="D60" s="12" t="s">
        <v>243</v>
      </c>
      <c r="E60" s="26" t="str">
        <f t="shared" si="0"/>
        <v>CO103</v>
      </c>
      <c r="F60" s="27" t="str">
        <f t="shared" si="1"/>
        <v>NOIR</v>
      </c>
      <c r="G60" s="27">
        <f>+VLOOKUP(F60,[1]base!A:B,2,0)</f>
        <v>37</v>
      </c>
      <c r="H60" s="12">
        <v>50</v>
      </c>
      <c r="I60" s="12">
        <v>50</v>
      </c>
      <c r="J60" s="14"/>
      <c r="K60" s="14" t="s">
        <v>61</v>
      </c>
      <c r="L60" s="12" t="s">
        <v>1296</v>
      </c>
      <c r="M60" s="12" t="s">
        <v>150</v>
      </c>
      <c r="N60" s="12">
        <v>50</v>
      </c>
      <c r="O60" s="12">
        <v>50</v>
      </c>
      <c r="P60" s="12">
        <v>0</v>
      </c>
      <c r="Q60" s="16">
        <v>50</v>
      </c>
      <c r="R60" s="16">
        <v>1</v>
      </c>
      <c r="S60" s="16"/>
      <c r="T60" s="28">
        <v>50</v>
      </c>
      <c r="U60" s="28"/>
      <c r="V60" s="29">
        <f>+VLOOKUP(E60,[1]base!D:K,8,0)</f>
        <v>7.293000000000001</v>
      </c>
      <c r="W60" s="29">
        <f t="shared" si="2"/>
        <v>364.65000000000003</v>
      </c>
      <c r="X60" s="29">
        <f t="shared" si="3"/>
        <v>18.9618</v>
      </c>
      <c r="Y60" s="29">
        <f>+VLOOKUP(E60,[1]base!D:E,2,0)</f>
        <v>12</v>
      </c>
      <c r="Z60" s="29">
        <f t="shared" si="4"/>
        <v>5</v>
      </c>
      <c r="AA60" s="29">
        <f t="shared" si="5"/>
        <v>0.33333333333333348</v>
      </c>
      <c r="AB60" s="29">
        <f>+VLOOKUP(E60,[1]base!M:N,2,0)</f>
        <v>949</v>
      </c>
      <c r="AC60" s="29">
        <f>+VLOOKUP(E60,[1]base!M:Q,5,0)</f>
        <v>593.63636363636363</v>
      </c>
      <c r="AD60" s="30">
        <f>+VLOOKUP(E60,[1]base!M:P,4,0)</f>
        <v>9.962049335863378E-2</v>
      </c>
      <c r="AE60" s="31">
        <f t="shared" si="6"/>
        <v>190.16015180265654</v>
      </c>
    </row>
    <row r="61" spans="1:31" s="32" customFormat="1" x14ac:dyDescent="0.25">
      <c r="A61" s="12" t="s">
        <v>1292</v>
      </c>
      <c r="B61" s="13">
        <v>46269.281944444447</v>
      </c>
      <c r="C61" s="12" t="s">
        <v>398</v>
      </c>
      <c r="D61" s="12" t="s">
        <v>243</v>
      </c>
      <c r="E61" s="26" t="str">
        <f t="shared" si="0"/>
        <v>CO103</v>
      </c>
      <c r="F61" s="27" t="str">
        <f t="shared" si="1"/>
        <v>NOIR</v>
      </c>
      <c r="G61" s="27">
        <f>+VLOOKUP(F61,[1]base!A:B,2,0)</f>
        <v>37</v>
      </c>
      <c r="H61" s="12">
        <v>80</v>
      </c>
      <c r="I61" s="12">
        <v>80</v>
      </c>
      <c r="J61" s="14"/>
      <c r="K61" s="14" t="s">
        <v>61</v>
      </c>
      <c r="L61" s="12" t="s">
        <v>1310</v>
      </c>
      <c r="M61" s="12" t="s">
        <v>150</v>
      </c>
      <c r="N61" s="12">
        <v>80</v>
      </c>
      <c r="O61" s="12">
        <v>80</v>
      </c>
      <c r="P61" s="12">
        <v>0</v>
      </c>
      <c r="Q61" s="16">
        <v>120</v>
      </c>
      <c r="R61" s="16">
        <v>1</v>
      </c>
      <c r="S61" s="16"/>
      <c r="T61" s="28">
        <v>80</v>
      </c>
      <c r="U61" s="28"/>
      <c r="V61" s="29">
        <f>+VLOOKUP(E61,[1]base!D:K,8,0)</f>
        <v>7.293000000000001</v>
      </c>
      <c r="W61" s="29">
        <f t="shared" si="2"/>
        <v>583.44000000000005</v>
      </c>
      <c r="X61" s="29">
        <f t="shared" si="3"/>
        <v>30.338880000000003</v>
      </c>
      <c r="Y61" s="29">
        <f>+VLOOKUP(E61,[1]base!D:E,2,0)</f>
        <v>12</v>
      </c>
      <c r="Z61" s="29">
        <f t="shared" si="4"/>
        <v>7</v>
      </c>
      <c r="AA61" s="29">
        <f t="shared" si="5"/>
        <v>0.46666666666666684</v>
      </c>
      <c r="AB61" s="29">
        <f>+VLOOKUP(E61,[1]base!M:N,2,0)</f>
        <v>949</v>
      </c>
      <c r="AC61" s="29">
        <f>+VLOOKUP(E61,[1]base!M:Q,5,0)</f>
        <v>593.63636363636363</v>
      </c>
      <c r="AD61" s="30">
        <f>+VLOOKUP(E61,[1]base!M:P,4,0)</f>
        <v>9.962049335863378E-2</v>
      </c>
      <c r="AE61" s="31">
        <f t="shared" si="6"/>
        <v>190.16015180265654</v>
      </c>
    </row>
    <row r="62" spans="1:31" s="32" customFormat="1" x14ac:dyDescent="0.25">
      <c r="A62" s="12" t="s">
        <v>1415</v>
      </c>
      <c r="B62" s="13">
        <v>46273.296388888892</v>
      </c>
      <c r="C62" s="12" t="s">
        <v>24</v>
      </c>
      <c r="D62" s="12" t="s">
        <v>243</v>
      </c>
      <c r="E62" s="26" t="str">
        <f t="shared" si="0"/>
        <v>CO103</v>
      </c>
      <c r="F62" s="27" t="str">
        <f t="shared" si="1"/>
        <v>NOIR</v>
      </c>
      <c r="G62" s="27">
        <f>+VLOOKUP(F62,[1]base!A:B,2,0)</f>
        <v>37</v>
      </c>
      <c r="H62" s="12">
        <v>100</v>
      </c>
      <c r="I62" s="12">
        <v>100</v>
      </c>
      <c r="J62" s="14"/>
      <c r="K62" s="14" t="s">
        <v>61</v>
      </c>
      <c r="L62" s="12" t="s">
        <v>1420</v>
      </c>
      <c r="M62" s="12" t="s">
        <v>150</v>
      </c>
      <c r="N62" s="12">
        <v>100</v>
      </c>
      <c r="O62" s="12">
        <v>100</v>
      </c>
      <c r="P62" s="12">
        <v>0</v>
      </c>
      <c r="Q62" s="16">
        <v>100</v>
      </c>
      <c r="R62" s="16">
        <v>1</v>
      </c>
      <c r="S62" s="16"/>
      <c r="T62" s="28">
        <v>100</v>
      </c>
      <c r="U62" s="28"/>
      <c r="V62" s="29">
        <f>+VLOOKUP(E62,[1]base!D:K,8,0)</f>
        <v>7.293000000000001</v>
      </c>
      <c r="W62" s="29">
        <f t="shared" si="2"/>
        <v>729.30000000000007</v>
      </c>
      <c r="X62" s="29">
        <f t="shared" si="3"/>
        <v>37.9236</v>
      </c>
      <c r="Y62" s="29">
        <f>+VLOOKUP(E62,[1]base!D:E,2,0)</f>
        <v>12</v>
      </c>
      <c r="Z62" s="29">
        <f t="shared" si="4"/>
        <v>9</v>
      </c>
      <c r="AA62" s="29">
        <f t="shared" si="5"/>
        <v>0.6000000000000002</v>
      </c>
      <c r="AB62" s="29">
        <f>+VLOOKUP(E62,[1]base!M:N,2,0)</f>
        <v>949</v>
      </c>
      <c r="AC62" s="29">
        <f>+VLOOKUP(E62,[1]base!M:Q,5,0)</f>
        <v>593.63636363636363</v>
      </c>
      <c r="AD62" s="30">
        <f>+VLOOKUP(E62,[1]base!M:P,4,0)</f>
        <v>9.962049335863378E-2</v>
      </c>
      <c r="AE62" s="31">
        <f t="shared" si="6"/>
        <v>190.16015180265654</v>
      </c>
    </row>
    <row r="63" spans="1:31" s="32" customFormat="1" x14ac:dyDescent="0.25">
      <c r="A63" s="12" t="s">
        <v>667</v>
      </c>
      <c r="B63" s="13">
        <v>46252.518969907411</v>
      </c>
      <c r="C63" s="12" t="s">
        <v>522</v>
      </c>
      <c r="D63" s="12" t="s">
        <v>669</v>
      </c>
      <c r="E63" s="26" t="str">
        <f t="shared" si="0"/>
        <v>CO103</v>
      </c>
      <c r="F63" s="27" t="str">
        <f t="shared" si="1"/>
        <v>DARK</v>
      </c>
      <c r="G63" s="27">
        <f>+VLOOKUP(F63,[1]base!A:B,2,0)</f>
        <v>38</v>
      </c>
      <c r="H63" s="12">
        <v>20</v>
      </c>
      <c r="I63" s="12">
        <v>20</v>
      </c>
      <c r="J63" s="14"/>
      <c r="K63" s="14" t="s">
        <v>61</v>
      </c>
      <c r="L63" s="12" t="s">
        <v>673</v>
      </c>
      <c r="M63" s="12" t="s">
        <v>150</v>
      </c>
      <c r="N63" s="12">
        <v>20</v>
      </c>
      <c r="O63" s="12">
        <v>20</v>
      </c>
      <c r="P63" s="12">
        <v>0</v>
      </c>
      <c r="Q63" s="16">
        <v>60</v>
      </c>
      <c r="R63" s="16">
        <v>0</v>
      </c>
      <c r="S63" s="16"/>
      <c r="T63" s="28">
        <v>20</v>
      </c>
      <c r="U63" s="28"/>
      <c r="V63" s="29">
        <f>+VLOOKUP(E63,[1]base!D:K,8,0)</f>
        <v>7.293000000000001</v>
      </c>
      <c r="W63" s="29">
        <f t="shared" si="2"/>
        <v>145.86000000000001</v>
      </c>
      <c r="X63" s="29">
        <f t="shared" si="3"/>
        <v>7.5847200000000008</v>
      </c>
      <c r="Y63" s="29">
        <f>+VLOOKUP(E63,[1]base!D:E,2,0)</f>
        <v>12</v>
      </c>
      <c r="Z63" s="29">
        <f t="shared" si="4"/>
        <v>2</v>
      </c>
      <c r="AA63" s="29">
        <f t="shared" si="5"/>
        <v>0.13333333333333339</v>
      </c>
      <c r="AB63" s="29">
        <f>+VLOOKUP(E63,[1]base!M:N,2,0)</f>
        <v>949</v>
      </c>
      <c r="AC63" s="29">
        <f>+VLOOKUP(E63,[1]base!M:Q,5,0)</f>
        <v>593.63636363636363</v>
      </c>
      <c r="AD63" s="30">
        <f>+VLOOKUP(E63,[1]base!M:P,4,0)</f>
        <v>9.962049335863378E-2</v>
      </c>
      <c r="AE63" s="31">
        <f t="shared" si="6"/>
        <v>190.16015180265654</v>
      </c>
    </row>
    <row r="64" spans="1:31" s="32" customFormat="1" x14ac:dyDescent="0.25">
      <c r="A64" s="12" t="s">
        <v>1123</v>
      </c>
      <c r="B64" s="13">
        <v>46267.314710648148</v>
      </c>
      <c r="C64" s="12" t="s">
        <v>24</v>
      </c>
      <c r="D64" s="12" t="s">
        <v>669</v>
      </c>
      <c r="E64" s="26" t="str">
        <f t="shared" si="0"/>
        <v>CO103</v>
      </c>
      <c r="F64" s="27" t="str">
        <f t="shared" si="1"/>
        <v>DARK</v>
      </c>
      <c r="G64" s="27">
        <f>+VLOOKUP(F64,[1]base!A:B,2,0)</f>
        <v>38</v>
      </c>
      <c r="H64" s="12">
        <v>4</v>
      </c>
      <c r="I64" s="12">
        <v>4</v>
      </c>
      <c r="J64" s="14"/>
      <c r="K64" s="14" t="s">
        <v>61</v>
      </c>
      <c r="L64" s="12" t="s">
        <v>1129</v>
      </c>
      <c r="M64" s="12" t="s">
        <v>150</v>
      </c>
      <c r="N64" s="12">
        <v>4</v>
      </c>
      <c r="O64" s="12">
        <v>4</v>
      </c>
      <c r="P64" s="12">
        <v>0</v>
      </c>
      <c r="Q64" s="16">
        <v>4</v>
      </c>
      <c r="R64" s="16">
        <v>0</v>
      </c>
      <c r="S64" s="16"/>
      <c r="T64" s="28">
        <v>4</v>
      </c>
      <c r="U64" s="28"/>
      <c r="V64" s="29">
        <f>+VLOOKUP(E64,[1]base!D:K,8,0)</f>
        <v>7.293000000000001</v>
      </c>
      <c r="W64" s="29">
        <f t="shared" si="2"/>
        <v>29.172000000000004</v>
      </c>
      <c r="X64" s="29">
        <f t="shared" si="3"/>
        <v>1.5169440000000001</v>
      </c>
      <c r="Y64" s="29">
        <f>+VLOOKUP(E64,[1]base!D:E,2,0)</f>
        <v>12</v>
      </c>
      <c r="Z64" s="29">
        <f t="shared" si="4"/>
        <v>1</v>
      </c>
      <c r="AA64" s="29">
        <f t="shared" si="5"/>
        <v>6.6666666666666693E-2</v>
      </c>
      <c r="AB64" s="29">
        <f>+VLOOKUP(E64,[1]base!M:N,2,0)</f>
        <v>949</v>
      </c>
      <c r="AC64" s="29">
        <f>+VLOOKUP(E64,[1]base!M:Q,5,0)</f>
        <v>593.63636363636363</v>
      </c>
      <c r="AD64" s="30">
        <f>+VLOOKUP(E64,[1]base!M:P,4,0)</f>
        <v>9.962049335863378E-2</v>
      </c>
      <c r="AE64" s="31">
        <f t="shared" si="6"/>
        <v>190.16015180265654</v>
      </c>
    </row>
    <row r="65" spans="1:31" s="32" customFormat="1" x14ac:dyDescent="0.25">
      <c r="A65" s="12" t="s">
        <v>1153</v>
      </c>
      <c r="B65" s="13">
        <v>46267.412812499999</v>
      </c>
      <c r="C65" s="12" t="s">
        <v>522</v>
      </c>
      <c r="D65" s="12" t="s">
        <v>669</v>
      </c>
      <c r="E65" s="26" t="str">
        <f t="shared" si="0"/>
        <v>CO103</v>
      </c>
      <c r="F65" s="27" t="str">
        <f t="shared" si="1"/>
        <v>DARK</v>
      </c>
      <c r="G65" s="27">
        <f>+VLOOKUP(F65,[1]base!A:B,2,0)</f>
        <v>38</v>
      </c>
      <c r="H65" s="12">
        <v>5</v>
      </c>
      <c r="I65" s="12">
        <v>5</v>
      </c>
      <c r="J65" s="14"/>
      <c r="K65" s="14" t="s">
        <v>61</v>
      </c>
      <c r="L65" s="12" t="s">
        <v>1160</v>
      </c>
      <c r="M65" s="12" t="s">
        <v>150</v>
      </c>
      <c r="N65" s="12">
        <v>5</v>
      </c>
      <c r="O65" s="12">
        <v>5</v>
      </c>
      <c r="P65" s="12">
        <v>0</v>
      </c>
      <c r="Q65" s="16">
        <v>5</v>
      </c>
      <c r="R65" s="16">
        <v>0</v>
      </c>
      <c r="S65" s="16"/>
      <c r="T65" s="28">
        <v>5</v>
      </c>
      <c r="U65" s="28"/>
      <c r="V65" s="29">
        <f>+VLOOKUP(E65,[1]base!D:K,8,0)</f>
        <v>7.293000000000001</v>
      </c>
      <c r="W65" s="29">
        <f t="shared" si="2"/>
        <v>36.465000000000003</v>
      </c>
      <c r="X65" s="29">
        <f t="shared" si="3"/>
        <v>1.8961800000000002</v>
      </c>
      <c r="Y65" s="29">
        <f>+VLOOKUP(E65,[1]base!D:E,2,0)</f>
        <v>12</v>
      </c>
      <c r="Z65" s="29">
        <f t="shared" si="4"/>
        <v>1</v>
      </c>
      <c r="AA65" s="29">
        <f t="shared" si="5"/>
        <v>6.6666666666666693E-2</v>
      </c>
      <c r="AB65" s="29">
        <f>+VLOOKUP(E65,[1]base!M:N,2,0)</f>
        <v>949</v>
      </c>
      <c r="AC65" s="29">
        <f>+VLOOKUP(E65,[1]base!M:Q,5,0)</f>
        <v>593.63636363636363</v>
      </c>
      <c r="AD65" s="30">
        <f>+VLOOKUP(E65,[1]base!M:P,4,0)</f>
        <v>9.962049335863378E-2</v>
      </c>
      <c r="AE65" s="31">
        <f t="shared" si="6"/>
        <v>190.16015180265654</v>
      </c>
    </row>
    <row r="66" spans="1:31" s="32" customFormat="1" x14ac:dyDescent="0.25">
      <c r="A66" s="12" t="s">
        <v>1635</v>
      </c>
      <c r="B66" s="13">
        <v>46275.398229166669</v>
      </c>
      <c r="C66" s="12" t="s">
        <v>1636</v>
      </c>
      <c r="D66" s="12" t="s">
        <v>669</v>
      </c>
      <c r="E66" s="26" t="str">
        <f t="shared" ref="E66:E129" si="7">_xlfn.TEXTBEFORE(D66, "-", -1, 1, , D66)</f>
        <v>CO103</v>
      </c>
      <c r="F66" s="27" t="str">
        <f t="shared" ref="F66:F129" si="8">_xlfn.TEXTAFTER(D66, "-", -1, 1, , "")</f>
        <v>DARK</v>
      </c>
      <c r="G66" s="27">
        <f>+VLOOKUP(F66,[1]base!A:B,2,0)</f>
        <v>38</v>
      </c>
      <c r="H66" s="12">
        <v>1</v>
      </c>
      <c r="I66" s="12">
        <v>1</v>
      </c>
      <c r="J66" s="14"/>
      <c r="K66" s="14" t="s">
        <v>61</v>
      </c>
      <c r="L66" s="12" t="s">
        <v>1638</v>
      </c>
      <c r="M66" s="12" t="s">
        <v>150</v>
      </c>
      <c r="N66" s="12">
        <v>1</v>
      </c>
      <c r="O66" s="12">
        <v>1</v>
      </c>
      <c r="P66" s="12">
        <v>0</v>
      </c>
      <c r="Q66" s="16">
        <v>1</v>
      </c>
      <c r="R66" s="16">
        <v>0</v>
      </c>
      <c r="S66" s="16"/>
      <c r="T66" s="28">
        <v>1</v>
      </c>
      <c r="U66" s="28"/>
      <c r="V66" s="29">
        <f>+VLOOKUP(E66,[1]base!D:K,8,0)</f>
        <v>7.293000000000001</v>
      </c>
      <c r="W66" s="29">
        <f t="shared" ref="W66:W129" si="9">(T66+U66)*V66</f>
        <v>7.293000000000001</v>
      </c>
      <c r="X66" s="29">
        <f t="shared" ref="X66:X129" si="10">+W66*0.052</f>
        <v>0.37923600000000002</v>
      </c>
      <c r="Y66" s="29">
        <f>+VLOOKUP(E66,[1]base!D:E,2,0)</f>
        <v>12</v>
      </c>
      <c r="Z66" s="29">
        <f t="shared" ref="Z66:Z129" si="11">ROUNDUP(T66/Y66,0)</f>
        <v>1</v>
      </c>
      <c r="AA66" s="29">
        <f t="shared" ref="AA66:AA129" si="12">+Z66*0.0666666666666667</f>
        <v>6.6666666666666693E-2</v>
      </c>
      <c r="AB66" s="29">
        <f>+VLOOKUP(E66,[1]base!M:N,2,0)</f>
        <v>949</v>
      </c>
      <c r="AC66" s="29">
        <f>+VLOOKUP(E66,[1]base!M:Q,5,0)</f>
        <v>593.63636363636363</v>
      </c>
      <c r="AD66" s="30">
        <f>+VLOOKUP(E66,[1]base!M:P,4,0)</f>
        <v>9.962049335863378E-2</v>
      </c>
      <c r="AE66" s="31">
        <f t="shared" ref="AE66:AE129" si="13">+AB66*(30%-AD66)</f>
        <v>190.16015180265654</v>
      </c>
    </row>
    <row r="67" spans="1:31" s="32" customFormat="1" x14ac:dyDescent="0.25">
      <c r="A67" s="12"/>
      <c r="B67" s="13"/>
      <c r="C67" s="12"/>
      <c r="D67" s="12" t="s">
        <v>157</v>
      </c>
      <c r="E67" s="26" t="str">
        <f t="shared" si="7"/>
        <v>CO104</v>
      </c>
      <c r="F67" s="27" t="str">
        <f t="shared" si="8"/>
        <v>BLC</v>
      </c>
      <c r="G67" s="27">
        <f>+VLOOKUP(F67,[1]base!A:B,2,0)</f>
        <v>1</v>
      </c>
      <c r="H67" s="12"/>
      <c r="I67" s="12"/>
      <c r="J67" s="14"/>
      <c r="K67" s="14"/>
      <c r="L67" s="12"/>
      <c r="M67" s="12"/>
      <c r="N67" s="12"/>
      <c r="O67" s="12"/>
      <c r="P67" s="12"/>
      <c r="Q67" s="16">
        <v>15</v>
      </c>
      <c r="R67" s="16">
        <v>0</v>
      </c>
      <c r="S67" s="16"/>
      <c r="T67" s="28">
        <v>117</v>
      </c>
      <c r="U67" s="28"/>
      <c r="V67" s="29">
        <f>+VLOOKUP(E67,[1]base!D:K,8,0)</f>
        <v>4.7059999999999995</v>
      </c>
      <c r="W67" s="29">
        <f t="shared" si="9"/>
        <v>550.60199999999998</v>
      </c>
      <c r="X67" s="29">
        <f t="shared" si="10"/>
        <v>28.631303999999997</v>
      </c>
      <c r="Y67" s="29">
        <f>+VLOOKUP(E67,[1]base!D:E,2,0)</f>
        <v>13</v>
      </c>
      <c r="Z67" s="29">
        <f t="shared" si="11"/>
        <v>9</v>
      </c>
      <c r="AA67" s="29">
        <f t="shared" si="12"/>
        <v>0.6000000000000002</v>
      </c>
      <c r="AB67" s="29">
        <f>+VLOOKUP(E67,[1]base!M:N,2,0)</f>
        <v>406</v>
      </c>
      <c r="AC67" s="29">
        <f>+VLOOKUP(E67,[1]base!M:Q,5,0)</f>
        <v>344.5</v>
      </c>
      <c r="AD67" s="30">
        <f>+VLOOKUP(E67,[1]base!M:P,4,0)</f>
        <v>4.9019607843137254E-3</v>
      </c>
      <c r="AE67" s="31">
        <f t="shared" si="13"/>
        <v>119.80980392156863</v>
      </c>
    </row>
    <row r="68" spans="1:31" s="32" customFormat="1" x14ac:dyDescent="0.25">
      <c r="A68" s="12" t="s">
        <v>1339</v>
      </c>
      <c r="B68" s="13">
        <v>46269.394733796296</v>
      </c>
      <c r="C68" s="12" t="s">
        <v>266</v>
      </c>
      <c r="D68" s="12" t="s">
        <v>1353</v>
      </c>
      <c r="E68" s="26" t="str">
        <f t="shared" si="7"/>
        <v>CO104</v>
      </c>
      <c r="F68" s="27" t="str">
        <f t="shared" si="8"/>
        <v>ACAJOU</v>
      </c>
      <c r="G68" s="27">
        <f>+VLOOKUP(F68,[1]base!A:B,2,0)</f>
        <v>15.1</v>
      </c>
      <c r="H68" s="12">
        <v>8</v>
      </c>
      <c r="I68" s="12">
        <v>8</v>
      </c>
      <c r="J68" s="14"/>
      <c r="K68" s="14" t="s">
        <v>61</v>
      </c>
      <c r="L68" s="12" t="s">
        <v>1366</v>
      </c>
      <c r="M68" s="12" t="s">
        <v>150</v>
      </c>
      <c r="N68" s="12">
        <v>8</v>
      </c>
      <c r="O68" s="12">
        <v>8</v>
      </c>
      <c r="P68" s="12">
        <v>0</v>
      </c>
      <c r="Q68" s="16">
        <v>8</v>
      </c>
      <c r="R68" s="16">
        <v>0</v>
      </c>
      <c r="S68" s="16"/>
      <c r="T68" s="28">
        <v>8</v>
      </c>
      <c r="U68" s="28"/>
      <c r="V68" s="29">
        <f>+VLOOKUP(E68,[1]base!D:K,8,0)</f>
        <v>4.7059999999999995</v>
      </c>
      <c r="W68" s="29">
        <f t="shared" si="9"/>
        <v>37.647999999999996</v>
      </c>
      <c r="X68" s="29">
        <f t="shared" si="10"/>
        <v>1.9576959999999997</v>
      </c>
      <c r="Y68" s="29">
        <f>+VLOOKUP(E68,[1]base!D:E,2,0)</f>
        <v>13</v>
      </c>
      <c r="Z68" s="29">
        <f t="shared" si="11"/>
        <v>1</v>
      </c>
      <c r="AA68" s="29">
        <f t="shared" si="12"/>
        <v>6.6666666666666693E-2</v>
      </c>
      <c r="AB68" s="29">
        <f>+VLOOKUP(E68,[1]base!M:N,2,0)</f>
        <v>406</v>
      </c>
      <c r="AC68" s="29">
        <f>+VLOOKUP(E68,[1]base!M:Q,5,0)</f>
        <v>344.5</v>
      </c>
      <c r="AD68" s="30">
        <f>+VLOOKUP(E68,[1]base!M:P,4,0)</f>
        <v>4.9019607843137254E-3</v>
      </c>
      <c r="AE68" s="31">
        <f t="shared" si="13"/>
        <v>119.80980392156863</v>
      </c>
    </row>
    <row r="69" spans="1:31" s="32" customFormat="1" x14ac:dyDescent="0.25">
      <c r="A69" s="12" t="s">
        <v>1415</v>
      </c>
      <c r="B69" s="13">
        <v>46273.296388888892</v>
      </c>
      <c r="C69" s="12" t="s">
        <v>24</v>
      </c>
      <c r="D69" s="12" t="s">
        <v>1353</v>
      </c>
      <c r="E69" s="26" t="str">
        <f t="shared" si="7"/>
        <v>CO104</v>
      </c>
      <c r="F69" s="27" t="str">
        <f t="shared" si="8"/>
        <v>ACAJOU</v>
      </c>
      <c r="G69" s="27">
        <f>+VLOOKUP(F69,[1]base!A:B,2,0)</f>
        <v>15.1</v>
      </c>
      <c r="H69" s="12">
        <v>32</v>
      </c>
      <c r="I69" s="12">
        <v>32</v>
      </c>
      <c r="J69" s="14"/>
      <c r="K69" s="14" t="s">
        <v>61</v>
      </c>
      <c r="L69" s="12" t="s">
        <v>1431</v>
      </c>
      <c r="M69" s="12" t="s">
        <v>150</v>
      </c>
      <c r="N69" s="12">
        <v>32</v>
      </c>
      <c r="O69" s="12">
        <v>32</v>
      </c>
      <c r="P69" s="12">
        <v>0</v>
      </c>
      <c r="Q69" s="16">
        <v>32</v>
      </c>
      <c r="R69" s="16">
        <v>0</v>
      </c>
      <c r="S69" s="16"/>
      <c r="T69" s="28">
        <v>32</v>
      </c>
      <c r="U69" s="28"/>
      <c r="V69" s="29">
        <f>+VLOOKUP(E69,[1]base!D:K,8,0)</f>
        <v>4.7059999999999995</v>
      </c>
      <c r="W69" s="29">
        <f t="shared" si="9"/>
        <v>150.59199999999998</v>
      </c>
      <c r="X69" s="29">
        <f t="shared" si="10"/>
        <v>7.8307839999999986</v>
      </c>
      <c r="Y69" s="29">
        <f>+VLOOKUP(E69,[1]base!D:E,2,0)</f>
        <v>13</v>
      </c>
      <c r="Z69" s="29">
        <f t="shared" si="11"/>
        <v>3</v>
      </c>
      <c r="AA69" s="29">
        <f t="shared" si="12"/>
        <v>0.20000000000000007</v>
      </c>
      <c r="AB69" s="29">
        <f>+VLOOKUP(E69,[1]base!M:N,2,0)</f>
        <v>406</v>
      </c>
      <c r="AC69" s="29">
        <f>+VLOOKUP(E69,[1]base!M:Q,5,0)</f>
        <v>344.5</v>
      </c>
      <c r="AD69" s="30">
        <f>+VLOOKUP(E69,[1]base!M:P,4,0)</f>
        <v>4.9019607843137254E-3</v>
      </c>
      <c r="AE69" s="31">
        <f t="shared" si="13"/>
        <v>119.80980392156863</v>
      </c>
    </row>
    <row r="70" spans="1:31" s="32" customFormat="1" x14ac:dyDescent="0.25">
      <c r="A70" s="12" t="s">
        <v>667</v>
      </c>
      <c r="B70" s="13">
        <v>46252.518969907411</v>
      </c>
      <c r="C70" s="12" t="s">
        <v>522</v>
      </c>
      <c r="D70" s="12" t="s">
        <v>668</v>
      </c>
      <c r="E70" s="26" t="str">
        <f t="shared" si="7"/>
        <v>CO104</v>
      </c>
      <c r="F70" s="27" t="str">
        <f t="shared" si="8"/>
        <v>GRIS</v>
      </c>
      <c r="G70" s="27">
        <f>+VLOOKUP(F70,[1]base!A:B,2,0)</f>
        <v>22</v>
      </c>
      <c r="H70" s="12">
        <v>15</v>
      </c>
      <c r="I70" s="12">
        <v>15</v>
      </c>
      <c r="J70" s="14"/>
      <c r="K70" s="14" t="s">
        <v>61</v>
      </c>
      <c r="L70" s="12" t="s">
        <v>672</v>
      </c>
      <c r="M70" s="12" t="s">
        <v>150</v>
      </c>
      <c r="N70" s="12">
        <v>15</v>
      </c>
      <c r="O70" s="12">
        <v>15</v>
      </c>
      <c r="P70" s="12">
        <v>0</v>
      </c>
      <c r="Q70" s="16">
        <v>35</v>
      </c>
      <c r="R70" s="16">
        <v>0</v>
      </c>
      <c r="S70" s="16"/>
      <c r="T70" s="28">
        <v>15</v>
      </c>
      <c r="U70" s="28"/>
      <c r="V70" s="29">
        <f>+VLOOKUP(E70,[1]base!D:K,8,0)</f>
        <v>4.7059999999999995</v>
      </c>
      <c r="W70" s="29">
        <f t="shared" si="9"/>
        <v>70.589999999999989</v>
      </c>
      <c r="X70" s="29">
        <f t="shared" si="10"/>
        <v>3.6706799999999991</v>
      </c>
      <c r="Y70" s="29">
        <f>+VLOOKUP(E70,[1]base!D:E,2,0)</f>
        <v>13</v>
      </c>
      <c r="Z70" s="29">
        <f t="shared" si="11"/>
        <v>2</v>
      </c>
      <c r="AA70" s="29">
        <f t="shared" si="12"/>
        <v>0.13333333333333339</v>
      </c>
      <c r="AB70" s="29">
        <f>+VLOOKUP(E70,[1]base!M:N,2,0)</f>
        <v>406</v>
      </c>
      <c r="AC70" s="29">
        <f>+VLOOKUP(E70,[1]base!M:Q,5,0)</f>
        <v>344.5</v>
      </c>
      <c r="AD70" s="30">
        <f>+VLOOKUP(E70,[1]base!M:P,4,0)</f>
        <v>4.9019607843137254E-3</v>
      </c>
      <c r="AE70" s="31">
        <f t="shared" si="13"/>
        <v>119.80980392156863</v>
      </c>
    </row>
    <row r="71" spans="1:31" s="32" customFormat="1" x14ac:dyDescent="0.25">
      <c r="A71" s="12" t="s">
        <v>1218</v>
      </c>
      <c r="B71" s="13">
        <v>46268.354953703703</v>
      </c>
      <c r="C71" s="12" t="s">
        <v>24</v>
      </c>
      <c r="D71" s="12" t="s">
        <v>668</v>
      </c>
      <c r="E71" s="26" t="str">
        <f t="shared" si="7"/>
        <v>CO104</v>
      </c>
      <c r="F71" s="27" t="str">
        <f t="shared" si="8"/>
        <v>GRIS</v>
      </c>
      <c r="G71" s="27">
        <f>+VLOOKUP(F71,[1]base!A:B,2,0)</f>
        <v>22</v>
      </c>
      <c r="H71" s="12">
        <v>4</v>
      </c>
      <c r="I71" s="12">
        <v>4</v>
      </c>
      <c r="J71" s="14"/>
      <c r="K71" s="14" t="s">
        <v>61</v>
      </c>
      <c r="L71" s="12" t="s">
        <v>1220</v>
      </c>
      <c r="M71" s="12" t="s">
        <v>150</v>
      </c>
      <c r="N71" s="12">
        <v>4</v>
      </c>
      <c r="O71" s="12">
        <v>4</v>
      </c>
      <c r="P71" s="12">
        <v>0</v>
      </c>
      <c r="Q71" s="16">
        <v>4</v>
      </c>
      <c r="R71" s="16">
        <v>0</v>
      </c>
      <c r="S71" s="16"/>
      <c r="T71" s="28">
        <v>4</v>
      </c>
      <c r="U71" s="28"/>
      <c r="V71" s="29">
        <f>+VLOOKUP(E71,[1]base!D:K,8,0)</f>
        <v>4.7059999999999995</v>
      </c>
      <c r="W71" s="29">
        <f t="shared" si="9"/>
        <v>18.823999999999998</v>
      </c>
      <c r="X71" s="29">
        <f t="shared" si="10"/>
        <v>0.97884799999999983</v>
      </c>
      <c r="Y71" s="29">
        <f>+VLOOKUP(E71,[1]base!D:E,2,0)</f>
        <v>13</v>
      </c>
      <c r="Z71" s="29">
        <f t="shared" si="11"/>
        <v>1</v>
      </c>
      <c r="AA71" s="29">
        <f t="shared" si="12"/>
        <v>6.6666666666666693E-2</v>
      </c>
      <c r="AB71" s="29">
        <f>+VLOOKUP(E71,[1]base!M:N,2,0)</f>
        <v>406</v>
      </c>
      <c r="AC71" s="29">
        <f>+VLOOKUP(E71,[1]base!M:Q,5,0)</f>
        <v>344.5</v>
      </c>
      <c r="AD71" s="30">
        <f>+VLOOKUP(E71,[1]base!M:P,4,0)</f>
        <v>4.9019607843137254E-3</v>
      </c>
      <c r="AE71" s="31">
        <f t="shared" si="13"/>
        <v>119.80980392156863</v>
      </c>
    </row>
    <row r="72" spans="1:31" s="32" customFormat="1" x14ac:dyDescent="0.25">
      <c r="A72" s="12" t="s">
        <v>1492</v>
      </c>
      <c r="B72" s="13">
        <v>46273.61005787037</v>
      </c>
      <c r="C72" s="12" t="s">
        <v>266</v>
      </c>
      <c r="D72" s="12" t="s">
        <v>668</v>
      </c>
      <c r="E72" s="26" t="str">
        <f t="shared" si="7"/>
        <v>CO104</v>
      </c>
      <c r="F72" s="27" t="str">
        <f t="shared" si="8"/>
        <v>GRIS</v>
      </c>
      <c r="G72" s="27">
        <f>+VLOOKUP(F72,[1]base!A:B,2,0)</f>
        <v>22</v>
      </c>
      <c r="H72" s="12">
        <v>15</v>
      </c>
      <c r="I72" s="12">
        <v>15</v>
      </c>
      <c r="J72" s="14"/>
      <c r="K72" s="14" t="s">
        <v>61</v>
      </c>
      <c r="L72" s="12" t="s">
        <v>1502</v>
      </c>
      <c r="M72" s="12" t="s">
        <v>150</v>
      </c>
      <c r="N72" s="12">
        <v>15</v>
      </c>
      <c r="O72" s="12">
        <v>15</v>
      </c>
      <c r="P72" s="12">
        <v>0</v>
      </c>
      <c r="Q72" s="16">
        <v>15</v>
      </c>
      <c r="R72" s="16">
        <v>0</v>
      </c>
      <c r="S72" s="16"/>
      <c r="T72" s="28">
        <v>15</v>
      </c>
      <c r="U72" s="28"/>
      <c r="V72" s="29">
        <f>+VLOOKUP(E72,[1]base!D:K,8,0)</f>
        <v>4.7059999999999995</v>
      </c>
      <c r="W72" s="29">
        <f t="shared" si="9"/>
        <v>70.589999999999989</v>
      </c>
      <c r="X72" s="29">
        <f t="shared" si="10"/>
        <v>3.6706799999999991</v>
      </c>
      <c r="Y72" s="29">
        <f>+VLOOKUP(E72,[1]base!D:E,2,0)</f>
        <v>13</v>
      </c>
      <c r="Z72" s="29">
        <f t="shared" si="11"/>
        <v>2</v>
      </c>
      <c r="AA72" s="29">
        <f t="shared" si="12"/>
        <v>0.13333333333333339</v>
      </c>
      <c r="AB72" s="29">
        <f>+VLOOKUP(E72,[1]base!M:N,2,0)</f>
        <v>406</v>
      </c>
      <c r="AC72" s="29">
        <f>+VLOOKUP(E72,[1]base!M:Q,5,0)</f>
        <v>344.5</v>
      </c>
      <c r="AD72" s="30">
        <f>+VLOOKUP(E72,[1]base!M:P,4,0)</f>
        <v>4.9019607843137254E-3</v>
      </c>
      <c r="AE72" s="31">
        <f t="shared" si="13"/>
        <v>119.80980392156863</v>
      </c>
    </row>
    <row r="73" spans="1:31" s="32" customFormat="1" x14ac:dyDescent="0.25">
      <c r="A73" s="12" t="s">
        <v>1549</v>
      </c>
      <c r="B73" s="13">
        <v>46274.600347222222</v>
      </c>
      <c r="C73" s="12" t="s">
        <v>465</v>
      </c>
      <c r="D73" s="12" t="s">
        <v>668</v>
      </c>
      <c r="E73" s="26" t="str">
        <f t="shared" si="7"/>
        <v>CO104</v>
      </c>
      <c r="F73" s="27" t="str">
        <f t="shared" si="8"/>
        <v>GRIS</v>
      </c>
      <c r="G73" s="27">
        <f>+VLOOKUP(F73,[1]base!A:B,2,0)</f>
        <v>22</v>
      </c>
      <c r="H73" s="12">
        <v>15</v>
      </c>
      <c r="I73" s="12">
        <v>15</v>
      </c>
      <c r="J73" s="14"/>
      <c r="K73" s="14" t="s">
        <v>61</v>
      </c>
      <c r="L73" s="12" t="s">
        <v>1550</v>
      </c>
      <c r="M73" s="12" t="s">
        <v>150</v>
      </c>
      <c r="N73" s="12">
        <v>15</v>
      </c>
      <c r="O73" s="12">
        <v>15</v>
      </c>
      <c r="P73" s="12">
        <v>0</v>
      </c>
      <c r="Q73" s="16">
        <v>15</v>
      </c>
      <c r="R73" s="16">
        <v>0</v>
      </c>
      <c r="S73" s="16"/>
      <c r="T73" s="28">
        <v>15</v>
      </c>
      <c r="U73" s="28"/>
      <c r="V73" s="29">
        <f>+VLOOKUP(E73,[1]base!D:K,8,0)</f>
        <v>4.7059999999999995</v>
      </c>
      <c r="W73" s="29">
        <f t="shared" si="9"/>
        <v>70.589999999999989</v>
      </c>
      <c r="X73" s="29">
        <f t="shared" si="10"/>
        <v>3.6706799999999991</v>
      </c>
      <c r="Y73" s="29">
        <f>+VLOOKUP(E73,[1]base!D:E,2,0)</f>
        <v>13</v>
      </c>
      <c r="Z73" s="29">
        <f t="shared" si="11"/>
        <v>2</v>
      </c>
      <c r="AA73" s="29">
        <f t="shared" si="12"/>
        <v>0.13333333333333339</v>
      </c>
      <c r="AB73" s="29">
        <f>+VLOOKUP(E73,[1]base!M:N,2,0)</f>
        <v>406</v>
      </c>
      <c r="AC73" s="29">
        <f>+VLOOKUP(E73,[1]base!M:Q,5,0)</f>
        <v>344.5</v>
      </c>
      <c r="AD73" s="30">
        <f>+VLOOKUP(E73,[1]base!M:P,4,0)</f>
        <v>4.9019607843137254E-3</v>
      </c>
      <c r="AE73" s="31">
        <f t="shared" si="13"/>
        <v>119.80980392156863</v>
      </c>
    </row>
    <row r="74" spans="1:31" s="32" customFormat="1" x14ac:dyDescent="0.25">
      <c r="A74" s="12" t="s">
        <v>667</v>
      </c>
      <c r="B74" s="13">
        <v>46252.518969907411</v>
      </c>
      <c r="C74" s="12" t="s">
        <v>522</v>
      </c>
      <c r="D74" s="12" t="s">
        <v>244</v>
      </c>
      <c r="E74" s="26" t="str">
        <f t="shared" si="7"/>
        <v>CO104</v>
      </c>
      <c r="F74" s="27" t="str">
        <f t="shared" si="8"/>
        <v>NOIR</v>
      </c>
      <c r="G74" s="27">
        <f>+VLOOKUP(F74,[1]base!A:B,2,0)</f>
        <v>37</v>
      </c>
      <c r="H74" s="12">
        <v>20</v>
      </c>
      <c r="I74" s="12">
        <v>20</v>
      </c>
      <c r="J74" s="14"/>
      <c r="K74" s="14" t="s">
        <v>61</v>
      </c>
      <c r="L74" s="12" t="s">
        <v>676</v>
      </c>
      <c r="M74" s="12" t="s">
        <v>150</v>
      </c>
      <c r="N74" s="12">
        <v>20</v>
      </c>
      <c r="O74" s="12">
        <v>20</v>
      </c>
      <c r="P74" s="12">
        <v>0</v>
      </c>
      <c r="Q74" s="16">
        <v>35</v>
      </c>
      <c r="R74" s="16">
        <v>0</v>
      </c>
      <c r="S74" s="16"/>
      <c r="T74" s="28">
        <v>20</v>
      </c>
      <c r="U74" s="28"/>
      <c r="V74" s="29">
        <f>+VLOOKUP(E74,[1]base!D:K,8,0)</f>
        <v>4.7059999999999995</v>
      </c>
      <c r="W74" s="29">
        <f t="shared" si="9"/>
        <v>94.11999999999999</v>
      </c>
      <c r="X74" s="29">
        <f t="shared" si="10"/>
        <v>4.894239999999999</v>
      </c>
      <c r="Y74" s="29">
        <f>+VLOOKUP(E74,[1]base!D:E,2,0)</f>
        <v>13</v>
      </c>
      <c r="Z74" s="29">
        <f t="shared" si="11"/>
        <v>2</v>
      </c>
      <c r="AA74" s="29">
        <f t="shared" si="12"/>
        <v>0.13333333333333339</v>
      </c>
      <c r="AB74" s="29">
        <f>+VLOOKUP(E74,[1]base!M:N,2,0)</f>
        <v>406</v>
      </c>
      <c r="AC74" s="29">
        <f>+VLOOKUP(E74,[1]base!M:Q,5,0)</f>
        <v>344.5</v>
      </c>
      <c r="AD74" s="30">
        <f>+VLOOKUP(E74,[1]base!M:P,4,0)</f>
        <v>4.9019607843137254E-3</v>
      </c>
      <c r="AE74" s="31">
        <f t="shared" si="13"/>
        <v>119.80980392156863</v>
      </c>
    </row>
    <row r="75" spans="1:31" s="32" customFormat="1" x14ac:dyDescent="0.25">
      <c r="A75" s="12" t="s">
        <v>1141</v>
      </c>
      <c r="B75" s="13">
        <v>46267.323657407411</v>
      </c>
      <c r="C75" s="12" t="s">
        <v>585</v>
      </c>
      <c r="D75" s="12" t="s">
        <v>244</v>
      </c>
      <c r="E75" s="26" t="str">
        <f t="shared" si="7"/>
        <v>CO104</v>
      </c>
      <c r="F75" s="27" t="str">
        <f t="shared" si="8"/>
        <v>NOIR</v>
      </c>
      <c r="G75" s="27">
        <f>+VLOOKUP(F75,[1]base!A:B,2,0)</f>
        <v>37</v>
      </c>
      <c r="H75" s="12">
        <v>60</v>
      </c>
      <c r="I75" s="12">
        <v>60</v>
      </c>
      <c r="J75" s="14"/>
      <c r="K75" s="14" t="s">
        <v>61</v>
      </c>
      <c r="L75" s="12" t="s">
        <v>1145</v>
      </c>
      <c r="M75" s="12" t="s">
        <v>150</v>
      </c>
      <c r="N75" s="12">
        <v>60</v>
      </c>
      <c r="O75" s="12">
        <v>60</v>
      </c>
      <c r="P75" s="12">
        <v>0</v>
      </c>
      <c r="Q75" s="16">
        <v>60</v>
      </c>
      <c r="R75" s="16">
        <v>0</v>
      </c>
      <c r="S75" s="16"/>
      <c r="T75" s="28">
        <v>60</v>
      </c>
      <c r="U75" s="28"/>
      <c r="V75" s="29">
        <f>+VLOOKUP(E75,[1]base!D:K,8,0)</f>
        <v>4.7059999999999995</v>
      </c>
      <c r="W75" s="29">
        <f t="shared" si="9"/>
        <v>282.35999999999996</v>
      </c>
      <c r="X75" s="29">
        <f t="shared" si="10"/>
        <v>14.682719999999996</v>
      </c>
      <c r="Y75" s="29">
        <f>+VLOOKUP(E75,[1]base!D:E,2,0)</f>
        <v>13</v>
      </c>
      <c r="Z75" s="29">
        <f t="shared" si="11"/>
        <v>5</v>
      </c>
      <c r="AA75" s="29">
        <f t="shared" si="12"/>
        <v>0.33333333333333348</v>
      </c>
      <c r="AB75" s="29">
        <f>+VLOOKUP(E75,[1]base!M:N,2,0)</f>
        <v>406</v>
      </c>
      <c r="AC75" s="29">
        <f>+VLOOKUP(E75,[1]base!M:Q,5,0)</f>
        <v>344.5</v>
      </c>
      <c r="AD75" s="30">
        <f>+VLOOKUP(E75,[1]base!M:P,4,0)</f>
        <v>4.9019607843137254E-3</v>
      </c>
      <c r="AE75" s="31">
        <f t="shared" si="13"/>
        <v>119.80980392156863</v>
      </c>
    </row>
    <row r="76" spans="1:31" s="32" customFormat="1" x14ac:dyDescent="0.25">
      <c r="A76" s="12" t="s">
        <v>1291</v>
      </c>
      <c r="B76" s="13">
        <v>46269.280277777776</v>
      </c>
      <c r="C76" s="12" t="s">
        <v>266</v>
      </c>
      <c r="D76" s="12" t="s">
        <v>244</v>
      </c>
      <c r="E76" s="26" t="str">
        <f t="shared" si="7"/>
        <v>CO104</v>
      </c>
      <c r="F76" s="27" t="str">
        <f t="shared" si="8"/>
        <v>NOIR</v>
      </c>
      <c r="G76" s="27">
        <f>+VLOOKUP(F76,[1]base!A:B,2,0)</f>
        <v>37</v>
      </c>
      <c r="H76" s="12">
        <v>20</v>
      </c>
      <c r="I76" s="12">
        <v>20</v>
      </c>
      <c r="J76" s="14"/>
      <c r="K76" s="14" t="s">
        <v>61</v>
      </c>
      <c r="L76" s="12" t="s">
        <v>1297</v>
      </c>
      <c r="M76" s="12" t="s">
        <v>150</v>
      </c>
      <c r="N76" s="12">
        <v>20</v>
      </c>
      <c r="O76" s="12">
        <v>20</v>
      </c>
      <c r="P76" s="12">
        <v>0</v>
      </c>
      <c r="Q76" s="16">
        <v>20</v>
      </c>
      <c r="R76" s="16">
        <v>0</v>
      </c>
      <c r="S76" s="16"/>
      <c r="T76" s="28">
        <v>20</v>
      </c>
      <c r="U76" s="28"/>
      <c r="V76" s="29">
        <f>+VLOOKUP(E76,[1]base!D:K,8,0)</f>
        <v>4.7059999999999995</v>
      </c>
      <c r="W76" s="29">
        <f t="shared" si="9"/>
        <v>94.11999999999999</v>
      </c>
      <c r="X76" s="29">
        <f t="shared" si="10"/>
        <v>4.894239999999999</v>
      </c>
      <c r="Y76" s="29">
        <f>+VLOOKUP(E76,[1]base!D:E,2,0)</f>
        <v>13</v>
      </c>
      <c r="Z76" s="29">
        <f t="shared" si="11"/>
        <v>2</v>
      </c>
      <c r="AA76" s="29">
        <f t="shared" si="12"/>
        <v>0.13333333333333339</v>
      </c>
      <c r="AB76" s="29">
        <f>+VLOOKUP(E76,[1]base!M:N,2,0)</f>
        <v>406</v>
      </c>
      <c r="AC76" s="29">
        <f>+VLOOKUP(E76,[1]base!M:Q,5,0)</f>
        <v>344.5</v>
      </c>
      <c r="AD76" s="30">
        <f>+VLOOKUP(E76,[1]base!M:P,4,0)</f>
        <v>4.9019607843137254E-3</v>
      </c>
      <c r="AE76" s="31">
        <f t="shared" si="13"/>
        <v>119.80980392156863</v>
      </c>
    </row>
    <row r="77" spans="1:31" s="32" customFormat="1" x14ac:dyDescent="0.25">
      <c r="A77" s="12" t="s">
        <v>1292</v>
      </c>
      <c r="B77" s="13">
        <v>46269.281944444447</v>
      </c>
      <c r="C77" s="12" t="s">
        <v>398</v>
      </c>
      <c r="D77" s="12" t="s">
        <v>244</v>
      </c>
      <c r="E77" s="26" t="str">
        <f t="shared" si="7"/>
        <v>CO104</v>
      </c>
      <c r="F77" s="27" t="str">
        <f t="shared" si="8"/>
        <v>NOIR</v>
      </c>
      <c r="G77" s="27">
        <f>+VLOOKUP(F77,[1]base!A:B,2,0)</f>
        <v>37</v>
      </c>
      <c r="H77" s="12">
        <v>20</v>
      </c>
      <c r="I77" s="12">
        <v>20</v>
      </c>
      <c r="J77" s="14"/>
      <c r="K77" s="14" t="s">
        <v>61</v>
      </c>
      <c r="L77" s="12" t="s">
        <v>1311</v>
      </c>
      <c r="M77" s="12" t="s">
        <v>150</v>
      </c>
      <c r="N77" s="12">
        <v>20</v>
      </c>
      <c r="O77" s="12">
        <v>20</v>
      </c>
      <c r="P77" s="12">
        <v>0</v>
      </c>
      <c r="Q77" s="16">
        <v>20</v>
      </c>
      <c r="R77" s="16">
        <v>0</v>
      </c>
      <c r="S77" s="16"/>
      <c r="T77" s="28">
        <v>20</v>
      </c>
      <c r="U77" s="28"/>
      <c r="V77" s="29">
        <f>+VLOOKUP(E77,[1]base!D:K,8,0)</f>
        <v>4.7059999999999995</v>
      </c>
      <c r="W77" s="29">
        <f t="shared" si="9"/>
        <v>94.11999999999999</v>
      </c>
      <c r="X77" s="29">
        <f t="shared" si="10"/>
        <v>4.894239999999999</v>
      </c>
      <c r="Y77" s="29">
        <f>+VLOOKUP(E77,[1]base!D:E,2,0)</f>
        <v>13</v>
      </c>
      <c r="Z77" s="29">
        <f t="shared" si="11"/>
        <v>2</v>
      </c>
      <c r="AA77" s="29">
        <f t="shared" si="12"/>
        <v>0.13333333333333339</v>
      </c>
      <c r="AB77" s="29">
        <f>+VLOOKUP(E77,[1]base!M:N,2,0)</f>
        <v>406</v>
      </c>
      <c r="AC77" s="29">
        <f>+VLOOKUP(E77,[1]base!M:Q,5,0)</f>
        <v>344.5</v>
      </c>
      <c r="AD77" s="30">
        <f>+VLOOKUP(E77,[1]base!M:P,4,0)</f>
        <v>4.9019607843137254E-3</v>
      </c>
      <c r="AE77" s="31">
        <f t="shared" si="13"/>
        <v>119.80980392156863</v>
      </c>
    </row>
    <row r="78" spans="1:31" s="32" customFormat="1" x14ac:dyDescent="0.25">
      <c r="A78" s="12" t="s">
        <v>843</v>
      </c>
      <c r="B78" s="13">
        <v>46261.381307870368</v>
      </c>
      <c r="C78" s="12" t="s">
        <v>398</v>
      </c>
      <c r="D78" s="12" t="s">
        <v>332</v>
      </c>
      <c r="E78" s="26" t="str">
        <f t="shared" si="7"/>
        <v>CO104</v>
      </c>
      <c r="F78" s="27" t="str">
        <f t="shared" si="8"/>
        <v>DARK</v>
      </c>
      <c r="G78" s="27">
        <f>+VLOOKUP(F78,[1]base!A:B,2,0)</f>
        <v>38</v>
      </c>
      <c r="H78" s="12">
        <v>10</v>
      </c>
      <c r="I78" s="12">
        <v>10</v>
      </c>
      <c r="J78" s="14"/>
      <c r="K78" s="14" t="s">
        <v>26</v>
      </c>
      <c r="L78" s="12" t="s">
        <v>848</v>
      </c>
      <c r="M78" s="12" t="s">
        <v>150</v>
      </c>
      <c r="N78" s="12">
        <v>10</v>
      </c>
      <c r="O78" s="12">
        <v>10</v>
      </c>
      <c r="P78" s="12">
        <v>0</v>
      </c>
      <c r="Q78" s="16">
        <v>0</v>
      </c>
      <c r="R78" s="16">
        <v>0</v>
      </c>
      <c r="S78" s="16"/>
      <c r="T78" s="28">
        <v>10</v>
      </c>
      <c r="U78" s="28"/>
      <c r="V78" s="29">
        <f>+VLOOKUP(E78,[1]base!D:K,8,0)</f>
        <v>4.7059999999999995</v>
      </c>
      <c r="W78" s="29">
        <f t="shared" si="9"/>
        <v>47.059999999999995</v>
      </c>
      <c r="X78" s="29">
        <f t="shared" si="10"/>
        <v>2.4471199999999995</v>
      </c>
      <c r="Y78" s="29">
        <f>+VLOOKUP(E78,[1]base!D:E,2,0)</f>
        <v>13</v>
      </c>
      <c r="Z78" s="29">
        <f t="shared" si="11"/>
        <v>1</v>
      </c>
      <c r="AA78" s="29">
        <f t="shared" si="12"/>
        <v>6.6666666666666693E-2</v>
      </c>
      <c r="AB78" s="29">
        <f>+VLOOKUP(E78,[1]base!M:N,2,0)</f>
        <v>406</v>
      </c>
      <c r="AC78" s="29">
        <f>+VLOOKUP(E78,[1]base!M:Q,5,0)</f>
        <v>344.5</v>
      </c>
      <c r="AD78" s="30">
        <f>+VLOOKUP(E78,[1]base!M:P,4,0)</f>
        <v>4.9019607843137254E-3</v>
      </c>
      <c r="AE78" s="31">
        <f t="shared" si="13"/>
        <v>119.80980392156863</v>
      </c>
    </row>
    <row r="79" spans="1:31" s="32" customFormat="1" x14ac:dyDescent="0.25">
      <c r="A79" s="12" t="s">
        <v>1123</v>
      </c>
      <c r="B79" s="13">
        <v>46267.314710648148</v>
      </c>
      <c r="C79" s="12" t="s">
        <v>24</v>
      </c>
      <c r="D79" s="12" t="s">
        <v>332</v>
      </c>
      <c r="E79" s="26" t="str">
        <f t="shared" si="7"/>
        <v>CO104</v>
      </c>
      <c r="F79" s="27" t="str">
        <f t="shared" si="8"/>
        <v>DARK</v>
      </c>
      <c r="G79" s="27">
        <f>+VLOOKUP(F79,[1]base!A:B,2,0)</f>
        <v>38</v>
      </c>
      <c r="H79" s="12">
        <v>2</v>
      </c>
      <c r="I79" s="12">
        <v>2</v>
      </c>
      <c r="J79" s="14"/>
      <c r="K79" s="14" t="s">
        <v>61</v>
      </c>
      <c r="L79" s="12" t="s">
        <v>1130</v>
      </c>
      <c r="M79" s="12" t="s">
        <v>150</v>
      </c>
      <c r="N79" s="12">
        <v>2</v>
      </c>
      <c r="O79" s="12">
        <v>2</v>
      </c>
      <c r="P79" s="12">
        <v>0</v>
      </c>
      <c r="Q79" s="16">
        <v>2</v>
      </c>
      <c r="R79" s="16">
        <v>0</v>
      </c>
      <c r="S79" s="16"/>
      <c r="T79" s="28">
        <v>2</v>
      </c>
      <c r="U79" s="28"/>
      <c r="V79" s="29">
        <f>+VLOOKUP(E79,[1]base!D:K,8,0)</f>
        <v>4.7059999999999995</v>
      </c>
      <c r="W79" s="29">
        <f t="shared" si="9"/>
        <v>9.411999999999999</v>
      </c>
      <c r="X79" s="29">
        <f t="shared" si="10"/>
        <v>0.48942399999999991</v>
      </c>
      <c r="Y79" s="29">
        <f>+VLOOKUP(E79,[1]base!D:E,2,0)</f>
        <v>13</v>
      </c>
      <c r="Z79" s="29">
        <f t="shared" si="11"/>
        <v>1</v>
      </c>
      <c r="AA79" s="29">
        <f t="shared" si="12"/>
        <v>6.6666666666666693E-2</v>
      </c>
      <c r="AB79" s="29">
        <f>+VLOOKUP(E79,[1]base!M:N,2,0)</f>
        <v>406</v>
      </c>
      <c r="AC79" s="29">
        <f>+VLOOKUP(E79,[1]base!M:Q,5,0)</f>
        <v>344.5</v>
      </c>
      <c r="AD79" s="30">
        <f>+VLOOKUP(E79,[1]base!M:P,4,0)</f>
        <v>4.9019607843137254E-3</v>
      </c>
      <c r="AE79" s="31">
        <f t="shared" si="13"/>
        <v>119.80980392156863</v>
      </c>
    </row>
    <row r="80" spans="1:31" s="32" customFormat="1" x14ac:dyDescent="0.25">
      <c r="A80" s="12" t="s">
        <v>1549</v>
      </c>
      <c r="B80" s="13">
        <v>46274.600347222222</v>
      </c>
      <c r="C80" s="12" t="s">
        <v>465</v>
      </c>
      <c r="D80" s="12" t="s">
        <v>1554</v>
      </c>
      <c r="E80" s="26" t="str">
        <f t="shared" si="7"/>
        <v>CO105</v>
      </c>
      <c r="F80" s="27" t="str">
        <f t="shared" si="8"/>
        <v>GRIS</v>
      </c>
      <c r="G80" s="27">
        <f>+VLOOKUP(F80,[1]base!A:B,2,0)</f>
        <v>22</v>
      </c>
      <c r="H80" s="12">
        <v>15</v>
      </c>
      <c r="I80" s="12">
        <v>15</v>
      </c>
      <c r="J80" s="14"/>
      <c r="K80" s="14" t="s">
        <v>61</v>
      </c>
      <c r="L80" s="12" t="s">
        <v>1560</v>
      </c>
      <c r="M80" s="12" t="s">
        <v>150</v>
      </c>
      <c r="N80" s="12">
        <v>15</v>
      </c>
      <c r="O80" s="12">
        <v>15</v>
      </c>
      <c r="P80" s="12">
        <v>0</v>
      </c>
      <c r="Q80" s="16">
        <v>15</v>
      </c>
      <c r="R80" s="16">
        <v>12</v>
      </c>
      <c r="S80" s="16"/>
      <c r="T80" s="28">
        <v>3</v>
      </c>
      <c r="U80" s="28"/>
      <c r="V80" s="29">
        <f>+VLOOKUP(E80,[1]base!D:K,8,0)</f>
        <v>3.5685000000000002</v>
      </c>
      <c r="W80" s="29">
        <f t="shared" si="9"/>
        <v>10.705500000000001</v>
      </c>
      <c r="X80" s="29">
        <f t="shared" si="10"/>
        <v>0.55668600000000001</v>
      </c>
      <c r="Y80" s="29">
        <f>+VLOOKUP(E80,[1]base!D:E,2,0)</f>
        <v>13</v>
      </c>
      <c r="Z80" s="29">
        <f t="shared" si="11"/>
        <v>1</v>
      </c>
      <c r="AA80" s="29">
        <f t="shared" si="12"/>
        <v>6.6666666666666693E-2</v>
      </c>
      <c r="AB80" s="29">
        <f>+VLOOKUP(E80,[1]base!M:N,2,0)</f>
        <v>7</v>
      </c>
      <c r="AC80" s="29">
        <f>+VLOOKUP(E80,[1]base!M:Q,5,0)</f>
        <v>375.1</v>
      </c>
      <c r="AD80" s="30">
        <f>+VLOOKUP(E80,[1]base!M:P,4,0)</f>
        <v>0.94890510948905105</v>
      </c>
      <c r="AE80" s="31">
        <f t="shared" si="13"/>
        <v>-4.5423357664233572</v>
      </c>
    </row>
    <row r="81" spans="1:31" s="32" customFormat="1" x14ac:dyDescent="0.25">
      <c r="A81" s="12" t="s">
        <v>940</v>
      </c>
      <c r="B81" s="13">
        <v>46263.399872685186</v>
      </c>
      <c r="C81" s="12" t="s">
        <v>24</v>
      </c>
      <c r="D81" s="12" t="s">
        <v>242</v>
      </c>
      <c r="E81" s="26" t="str">
        <f t="shared" si="7"/>
        <v>CO105</v>
      </c>
      <c r="F81" s="27" t="str">
        <f t="shared" si="8"/>
        <v>NOIR</v>
      </c>
      <c r="G81" s="27">
        <f>+VLOOKUP(F81,[1]base!A:B,2,0)</f>
        <v>37</v>
      </c>
      <c r="H81" s="12">
        <v>3</v>
      </c>
      <c r="I81" s="12">
        <v>3</v>
      </c>
      <c r="J81" s="14"/>
      <c r="K81" s="14" t="s">
        <v>61</v>
      </c>
      <c r="L81" s="12" t="s">
        <v>945</v>
      </c>
      <c r="M81" s="12" t="s">
        <v>150</v>
      </c>
      <c r="N81" s="12">
        <v>3</v>
      </c>
      <c r="O81" s="12">
        <v>3</v>
      </c>
      <c r="P81" s="12">
        <v>0</v>
      </c>
      <c r="Q81" s="16">
        <v>3</v>
      </c>
      <c r="R81" s="16">
        <v>0</v>
      </c>
      <c r="S81" s="16"/>
      <c r="T81" s="28">
        <v>3</v>
      </c>
      <c r="U81" s="28"/>
      <c r="V81" s="29">
        <f>+VLOOKUP(E81,[1]base!D:K,8,0)</f>
        <v>3.5685000000000002</v>
      </c>
      <c r="W81" s="29">
        <f t="shared" si="9"/>
        <v>10.705500000000001</v>
      </c>
      <c r="X81" s="29">
        <f t="shared" si="10"/>
        <v>0.55668600000000001</v>
      </c>
      <c r="Y81" s="29">
        <f>+VLOOKUP(E81,[1]base!D:E,2,0)</f>
        <v>13</v>
      </c>
      <c r="Z81" s="29">
        <f t="shared" si="11"/>
        <v>1</v>
      </c>
      <c r="AA81" s="29">
        <f t="shared" si="12"/>
        <v>6.6666666666666693E-2</v>
      </c>
      <c r="AB81" s="29">
        <f>+VLOOKUP(E81,[1]base!M:N,2,0)</f>
        <v>7</v>
      </c>
      <c r="AC81" s="29">
        <f>+VLOOKUP(E81,[1]base!M:Q,5,0)</f>
        <v>375.1</v>
      </c>
      <c r="AD81" s="30">
        <f>+VLOOKUP(E81,[1]base!M:P,4,0)</f>
        <v>0.94890510948905105</v>
      </c>
      <c r="AE81" s="31">
        <f t="shared" si="13"/>
        <v>-4.5423357664233572</v>
      </c>
    </row>
    <row r="82" spans="1:31" s="32" customFormat="1" x14ac:dyDescent="0.25">
      <c r="A82" s="12" t="s">
        <v>1291</v>
      </c>
      <c r="B82" s="13">
        <v>46269.280277777776</v>
      </c>
      <c r="C82" s="12" t="s">
        <v>266</v>
      </c>
      <c r="D82" s="12" t="s">
        <v>242</v>
      </c>
      <c r="E82" s="26" t="str">
        <f t="shared" si="7"/>
        <v>CO105</v>
      </c>
      <c r="F82" s="27" t="str">
        <f t="shared" si="8"/>
        <v>NOIR</v>
      </c>
      <c r="G82" s="27">
        <f>+VLOOKUP(F82,[1]base!A:B,2,0)</f>
        <v>37</v>
      </c>
      <c r="H82" s="12">
        <v>30</v>
      </c>
      <c r="I82" s="12">
        <v>30</v>
      </c>
      <c r="J82" s="14"/>
      <c r="K82" s="14" t="s">
        <v>61</v>
      </c>
      <c r="L82" s="12" t="s">
        <v>1295</v>
      </c>
      <c r="M82" s="12" t="s">
        <v>150</v>
      </c>
      <c r="N82" s="12">
        <v>30</v>
      </c>
      <c r="O82" s="12">
        <v>30</v>
      </c>
      <c r="P82" s="12">
        <v>0</v>
      </c>
      <c r="Q82" s="16">
        <v>30</v>
      </c>
      <c r="R82" s="16">
        <v>0</v>
      </c>
      <c r="S82" s="16"/>
      <c r="T82" s="28">
        <v>30</v>
      </c>
      <c r="U82" s="28"/>
      <c r="V82" s="29">
        <f>+VLOOKUP(E82,[1]base!D:K,8,0)</f>
        <v>3.5685000000000002</v>
      </c>
      <c r="W82" s="29">
        <f t="shared" si="9"/>
        <v>107.05500000000001</v>
      </c>
      <c r="X82" s="29">
        <f t="shared" si="10"/>
        <v>5.5668600000000001</v>
      </c>
      <c r="Y82" s="29">
        <f>+VLOOKUP(E82,[1]base!D:E,2,0)</f>
        <v>13</v>
      </c>
      <c r="Z82" s="29">
        <f t="shared" si="11"/>
        <v>3</v>
      </c>
      <c r="AA82" s="29">
        <f t="shared" si="12"/>
        <v>0.20000000000000007</v>
      </c>
      <c r="AB82" s="29">
        <f>+VLOOKUP(E82,[1]base!M:N,2,0)</f>
        <v>7</v>
      </c>
      <c r="AC82" s="29">
        <f>+VLOOKUP(E82,[1]base!M:Q,5,0)</f>
        <v>375.1</v>
      </c>
      <c r="AD82" s="30">
        <f>+VLOOKUP(E82,[1]base!M:P,4,0)</f>
        <v>0.94890510948905105</v>
      </c>
      <c r="AE82" s="31">
        <f t="shared" si="13"/>
        <v>-4.5423357664233572</v>
      </c>
    </row>
    <row r="83" spans="1:31" s="32" customFormat="1" x14ac:dyDescent="0.25">
      <c r="A83" s="12"/>
      <c r="B83" s="13"/>
      <c r="C83" s="12"/>
      <c r="D83" s="12" t="s">
        <v>159</v>
      </c>
      <c r="E83" s="26" t="str">
        <f t="shared" si="7"/>
        <v>CO106</v>
      </c>
      <c r="F83" s="27" t="str">
        <f t="shared" si="8"/>
        <v>BLC</v>
      </c>
      <c r="G83" s="27">
        <f>+VLOOKUP(F83,[1]base!A:B,2,0)</f>
        <v>1</v>
      </c>
      <c r="H83" s="12"/>
      <c r="I83" s="12"/>
      <c r="J83" s="14"/>
      <c r="K83" s="14"/>
      <c r="L83" s="12"/>
      <c r="M83" s="12"/>
      <c r="N83" s="12"/>
      <c r="O83" s="12"/>
      <c r="P83" s="12"/>
      <c r="Q83" s="16">
        <v>0</v>
      </c>
      <c r="R83" s="16">
        <v>0</v>
      </c>
      <c r="S83" s="16"/>
      <c r="T83" s="28">
        <v>60</v>
      </c>
      <c r="U83" s="28"/>
      <c r="V83" s="29">
        <f>+VLOOKUP(E83,[1]base!D:K,8,0)</f>
        <v>4.3029999999999999</v>
      </c>
      <c r="W83" s="29">
        <f t="shared" si="9"/>
        <v>258.18</v>
      </c>
      <c r="X83" s="29">
        <f t="shared" si="10"/>
        <v>13.42536</v>
      </c>
      <c r="Y83" s="29">
        <f>+VLOOKUP(E83,[1]base!D:E,2,0)</f>
        <v>15</v>
      </c>
      <c r="Z83" s="29">
        <f t="shared" si="11"/>
        <v>4</v>
      </c>
      <c r="AA83" s="29">
        <f t="shared" si="12"/>
        <v>0.26666666666666677</v>
      </c>
      <c r="AB83" s="29">
        <f>+VLOOKUP(E83,[1]base!M:N,2,0)</f>
        <v>125</v>
      </c>
      <c r="AC83" s="29">
        <f>+VLOOKUP(E83,[1]base!M:Q,5,0)</f>
        <v>453.90909090909093</v>
      </c>
      <c r="AD83" s="30">
        <f>+VLOOKUP(E83,[1]base!M:P,4,0)</f>
        <v>9.420289855072464E-2</v>
      </c>
      <c r="AE83" s="31">
        <f t="shared" si="13"/>
        <v>25.724637681159418</v>
      </c>
    </row>
    <row r="84" spans="1:31" s="32" customFormat="1" x14ac:dyDescent="0.25">
      <c r="A84" s="12" t="s">
        <v>288</v>
      </c>
      <c r="B84" s="13">
        <v>46191.52375</v>
      </c>
      <c r="C84" s="12" t="s">
        <v>24</v>
      </c>
      <c r="D84" s="12" t="s">
        <v>290</v>
      </c>
      <c r="E84" s="26" t="str">
        <f t="shared" si="7"/>
        <v>CO106</v>
      </c>
      <c r="F84" s="27" t="str">
        <f t="shared" si="8"/>
        <v>ACAJOU</v>
      </c>
      <c r="G84" s="27">
        <f>+VLOOKUP(F84,[1]base!A:B,2,0)</f>
        <v>15.1</v>
      </c>
      <c r="H84" s="12">
        <v>30</v>
      </c>
      <c r="I84" s="12">
        <v>30</v>
      </c>
      <c r="J84" s="14"/>
      <c r="K84" s="14" t="s">
        <v>61</v>
      </c>
      <c r="L84" s="12" t="s">
        <v>292</v>
      </c>
      <c r="M84" s="12" t="s">
        <v>150</v>
      </c>
      <c r="N84" s="12">
        <v>30</v>
      </c>
      <c r="O84" s="12">
        <v>30</v>
      </c>
      <c r="P84" s="12">
        <v>0</v>
      </c>
      <c r="Q84" s="16">
        <v>30</v>
      </c>
      <c r="R84" s="16">
        <v>2</v>
      </c>
      <c r="S84" s="16"/>
      <c r="T84" s="28">
        <v>28</v>
      </c>
      <c r="U84" s="28">
        <v>2</v>
      </c>
      <c r="V84" s="29">
        <f>+VLOOKUP(E84,[1]base!D:K,8,0)</f>
        <v>4.3029999999999999</v>
      </c>
      <c r="W84" s="29">
        <f t="shared" si="9"/>
        <v>129.09</v>
      </c>
      <c r="X84" s="29">
        <f t="shared" si="10"/>
        <v>6.7126799999999998</v>
      </c>
      <c r="Y84" s="29">
        <f>+VLOOKUP(E84,[1]base!D:E,2,0)</f>
        <v>15</v>
      </c>
      <c r="Z84" s="29">
        <f t="shared" si="11"/>
        <v>2</v>
      </c>
      <c r="AA84" s="29">
        <f t="shared" si="12"/>
        <v>0.13333333333333339</v>
      </c>
      <c r="AB84" s="29">
        <f>+VLOOKUP(E84,[1]base!M:N,2,0)</f>
        <v>125</v>
      </c>
      <c r="AC84" s="29">
        <f>+VLOOKUP(E84,[1]base!M:Q,5,0)</f>
        <v>453.90909090909093</v>
      </c>
      <c r="AD84" s="30">
        <f>+VLOOKUP(E84,[1]base!M:P,4,0)</f>
        <v>9.420289855072464E-2</v>
      </c>
      <c r="AE84" s="31">
        <f t="shared" si="13"/>
        <v>25.724637681159418</v>
      </c>
    </row>
    <row r="85" spans="1:31" s="32" customFormat="1" x14ac:dyDescent="0.25">
      <c r="A85" s="12" t="s">
        <v>1492</v>
      </c>
      <c r="B85" s="13">
        <v>46273.61005787037</v>
      </c>
      <c r="C85" s="12" t="s">
        <v>266</v>
      </c>
      <c r="D85" s="12" t="s">
        <v>1495</v>
      </c>
      <c r="E85" s="26" t="str">
        <f t="shared" si="7"/>
        <v>CO106</v>
      </c>
      <c r="F85" s="27" t="str">
        <f t="shared" si="8"/>
        <v>GRIS</v>
      </c>
      <c r="G85" s="27">
        <f>+VLOOKUP(F85,[1]base!A:B,2,0)</f>
        <v>22</v>
      </c>
      <c r="H85" s="12">
        <v>20</v>
      </c>
      <c r="I85" s="12">
        <v>20</v>
      </c>
      <c r="J85" s="14"/>
      <c r="K85" s="14" t="s">
        <v>61</v>
      </c>
      <c r="L85" s="12" t="s">
        <v>1514</v>
      </c>
      <c r="M85" s="12" t="s">
        <v>150</v>
      </c>
      <c r="N85" s="12">
        <v>20</v>
      </c>
      <c r="O85" s="12">
        <v>20</v>
      </c>
      <c r="P85" s="12">
        <v>0</v>
      </c>
      <c r="Q85" s="16">
        <v>20</v>
      </c>
      <c r="R85" s="16">
        <v>6</v>
      </c>
      <c r="S85" s="16"/>
      <c r="T85" s="28">
        <v>14</v>
      </c>
      <c r="U85" s="28">
        <v>6</v>
      </c>
      <c r="V85" s="29">
        <f>+VLOOKUP(E85,[1]base!D:K,8,0)</f>
        <v>4.3029999999999999</v>
      </c>
      <c r="W85" s="29">
        <f t="shared" si="9"/>
        <v>86.06</v>
      </c>
      <c r="X85" s="29">
        <f t="shared" si="10"/>
        <v>4.4751199999999995</v>
      </c>
      <c r="Y85" s="29">
        <f>+VLOOKUP(E85,[1]base!D:E,2,0)</f>
        <v>15</v>
      </c>
      <c r="Z85" s="29">
        <f t="shared" si="11"/>
        <v>1</v>
      </c>
      <c r="AA85" s="29">
        <f t="shared" si="12"/>
        <v>6.6666666666666693E-2</v>
      </c>
      <c r="AB85" s="29">
        <f>+VLOOKUP(E85,[1]base!M:N,2,0)</f>
        <v>125</v>
      </c>
      <c r="AC85" s="29">
        <f>+VLOOKUP(E85,[1]base!M:Q,5,0)</f>
        <v>453.90909090909093</v>
      </c>
      <c r="AD85" s="30">
        <f>+VLOOKUP(E85,[1]base!M:P,4,0)</f>
        <v>9.420289855072464E-2</v>
      </c>
      <c r="AE85" s="31">
        <f t="shared" si="13"/>
        <v>25.724637681159418</v>
      </c>
    </row>
    <row r="86" spans="1:31" s="32" customFormat="1" x14ac:dyDescent="0.25">
      <c r="A86" s="12" t="s">
        <v>1291</v>
      </c>
      <c r="B86" s="13">
        <v>46269.280277777776</v>
      </c>
      <c r="C86" s="12" t="s">
        <v>266</v>
      </c>
      <c r="D86" s="12" t="s">
        <v>246</v>
      </c>
      <c r="E86" s="26" t="str">
        <f t="shared" si="7"/>
        <v>CO106</v>
      </c>
      <c r="F86" s="27" t="str">
        <f t="shared" si="8"/>
        <v>NOIR</v>
      </c>
      <c r="G86" s="27">
        <f>+VLOOKUP(F86,[1]base!A:B,2,0)</f>
        <v>37</v>
      </c>
      <c r="H86" s="12">
        <v>30</v>
      </c>
      <c r="I86" s="12">
        <v>30</v>
      </c>
      <c r="J86" s="14"/>
      <c r="K86" s="14" t="s">
        <v>61</v>
      </c>
      <c r="L86" s="12" t="s">
        <v>1299</v>
      </c>
      <c r="M86" s="12" t="s">
        <v>150</v>
      </c>
      <c r="N86" s="12">
        <v>30</v>
      </c>
      <c r="O86" s="12">
        <v>30</v>
      </c>
      <c r="P86" s="12">
        <v>0</v>
      </c>
      <c r="Q86" s="16">
        <v>30</v>
      </c>
      <c r="R86" s="16">
        <v>0</v>
      </c>
      <c r="S86" s="16"/>
      <c r="T86" s="28">
        <v>30</v>
      </c>
      <c r="U86" s="28"/>
      <c r="V86" s="29">
        <f>+VLOOKUP(E86,[1]base!D:K,8,0)</f>
        <v>4.3029999999999999</v>
      </c>
      <c r="W86" s="29">
        <f t="shared" si="9"/>
        <v>129.09</v>
      </c>
      <c r="X86" s="29">
        <f t="shared" si="10"/>
        <v>6.7126799999999998</v>
      </c>
      <c r="Y86" s="29">
        <f>+VLOOKUP(E86,[1]base!D:E,2,0)</f>
        <v>15</v>
      </c>
      <c r="Z86" s="29">
        <f t="shared" si="11"/>
        <v>2</v>
      </c>
      <c r="AA86" s="29">
        <f t="shared" si="12"/>
        <v>0.13333333333333339</v>
      </c>
      <c r="AB86" s="29">
        <f>+VLOOKUP(E86,[1]base!M:N,2,0)</f>
        <v>125</v>
      </c>
      <c r="AC86" s="29">
        <f>+VLOOKUP(E86,[1]base!M:Q,5,0)</f>
        <v>453.90909090909093</v>
      </c>
      <c r="AD86" s="30">
        <f>+VLOOKUP(E86,[1]base!M:P,4,0)</f>
        <v>9.420289855072464E-2</v>
      </c>
      <c r="AE86" s="31">
        <f t="shared" si="13"/>
        <v>25.724637681159418</v>
      </c>
    </row>
    <row r="87" spans="1:31" s="32" customFormat="1" x14ac:dyDescent="0.25">
      <c r="A87" s="12"/>
      <c r="B87" s="13"/>
      <c r="C87" s="12"/>
      <c r="D87" s="12" t="s">
        <v>160</v>
      </c>
      <c r="E87" s="26" t="str">
        <f t="shared" si="7"/>
        <v>CO114</v>
      </c>
      <c r="F87" s="27" t="str">
        <f t="shared" si="8"/>
        <v>BLC</v>
      </c>
      <c r="G87" s="27">
        <f>+VLOOKUP(F87,[1]base!A:B,2,0)</f>
        <v>1</v>
      </c>
      <c r="H87" s="12"/>
      <c r="I87" s="12"/>
      <c r="J87" s="14"/>
      <c r="K87" s="14"/>
      <c r="L87" s="12"/>
      <c r="M87" s="12"/>
      <c r="N87" s="12"/>
      <c r="O87" s="12"/>
      <c r="P87" s="12"/>
      <c r="Q87" s="16">
        <v>0</v>
      </c>
      <c r="R87" s="16">
        <v>0</v>
      </c>
      <c r="S87" s="16">
        <v>81</v>
      </c>
      <c r="T87" s="28">
        <v>250</v>
      </c>
      <c r="U87" s="28"/>
      <c r="V87" s="29">
        <f>+VLOOKUP(E87,[1]base!D:K,8,0)</f>
        <v>0.90350000000000008</v>
      </c>
      <c r="W87" s="29">
        <f t="shared" si="9"/>
        <v>225.87500000000003</v>
      </c>
      <c r="X87" s="29">
        <f t="shared" si="10"/>
        <v>11.745500000000002</v>
      </c>
      <c r="Y87" s="29">
        <f>+VLOOKUP(E87,[1]base!D:E,2,0)</f>
        <v>20</v>
      </c>
      <c r="Z87" s="29">
        <f t="shared" si="11"/>
        <v>13</v>
      </c>
      <c r="AA87" s="29">
        <f t="shared" si="12"/>
        <v>0.86666666666666703</v>
      </c>
      <c r="AB87" s="29">
        <f>+VLOOKUP(E87,[1]base!M:N,2,0)</f>
        <v>2067</v>
      </c>
      <c r="AC87" s="29">
        <f>+VLOOKUP(E87,[1]base!M:Q,5,0)</f>
        <v>2162.818181818182</v>
      </c>
      <c r="AD87" s="30">
        <f>+VLOOKUP(E87,[1]base!M:P,4,0)</f>
        <v>0.13982521847690388</v>
      </c>
      <c r="AE87" s="31">
        <f t="shared" si="13"/>
        <v>331.08127340823967</v>
      </c>
    </row>
    <row r="88" spans="1:31" s="32" customFormat="1" x14ac:dyDescent="0.25">
      <c r="A88" s="12" t="s">
        <v>1415</v>
      </c>
      <c r="B88" s="13">
        <v>46273.296388888892</v>
      </c>
      <c r="C88" s="12" t="s">
        <v>24</v>
      </c>
      <c r="D88" s="12" t="s">
        <v>1344</v>
      </c>
      <c r="E88" s="26" t="str">
        <f t="shared" si="7"/>
        <v>CO114</v>
      </c>
      <c r="F88" s="27" t="str">
        <f t="shared" si="8"/>
        <v>ACAJOU</v>
      </c>
      <c r="G88" s="27">
        <f>+VLOOKUP(F88,[1]base!A:B,2,0)</f>
        <v>15.1</v>
      </c>
      <c r="H88" s="12">
        <v>200</v>
      </c>
      <c r="I88" s="12">
        <v>200</v>
      </c>
      <c r="J88" s="14"/>
      <c r="K88" s="14" t="s">
        <v>61</v>
      </c>
      <c r="L88" s="12" t="s">
        <v>1423</v>
      </c>
      <c r="M88" s="12" t="s">
        <v>150</v>
      </c>
      <c r="N88" s="12">
        <v>200</v>
      </c>
      <c r="O88" s="12">
        <v>200</v>
      </c>
      <c r="P88" s="12">
        <v>0</v>
      </c>
      <c r="Q88" s="16">
        <v>500</v>
      </c>
      <c r="R88" s="16">
        <v>1</v>
      </c>
      <c r="S88" s="16"/>
      <c r="T88" s="28">
        <v>200</v>
      </c>
      <c r="U88" s="28"/>
      <c r="V88" s="29">
        <f>+VLOOKUP(E88,[1]base!D:K,8,0)</f>
        <v>0.90350000000000008</v>
      </c>
      <c r="W88" s="29">
        <f t="shared" si="9"/>
        <v>180.70000000000002</v>
      </c>
      <c r="X88" s="29">
        <f t="shared" si="10"/>
        <v>9.3963999999999999</v>
      </c>
      <c r="Y88" s="29">
        <f>+VLOOKUP(E88,[1]base!D:E,2,0)</f>
        <v>20</v>
      </c>
      <c r="Z88" s="29">
        <f t="shared" si="11"/>
        <v>10</v>
      </c>
      <c r="AA88" s="29">
        <f t="shared" si="12"/>
        <v>0.66666666666666696</v>
      </c>
      <c r="AB88" s="29">
        <f>+VLOOKUP(E88,[1]base!M:N,2,0)</f>
        <v>2067</v>
      </c>
      <c r="AC88" s="29">
        <f>+VLOOKUP(E88,[1]base!M:Q,5,0)</f>
        <v>2162.818181818182</v>
      </c>
      <c r="AD88" s="30">
        <f>+VLOOKUP(E88,[1]base!M:P,4,0)</f>
        <v>0.13982521847690388</v>
      </c>
      <c r="AE88" s="31">
        <f t="shared" si="13"/>
        <v>331.08127340823967</v>
      </c>
    </row>
    <row r="89" spans="1:31" s="32" customFormat="1" x14ac:dyDescent="0.25">
      <c r="A89" s="12" t="s">
        <v>667</v>
      </c>
      <c r="B89" s="13">
        <v>46252.518969907411</v>
      </c>
      <c r="C89" s="12" t="s">
        <v>522</v>
      </c>
      <c r="D89" s="12" t="s">
        <v>671</v>
      </c>
      <c r="E89" s="26" t="str">
        <f t="shared" si="7"/>
        <v>CO114</v>
      </c>
      <c r="F89" s="27" t="str">
        <f t="shared" si="8"/>
        <v>GRIS</v>
      </c>
      <c r="G89" s="27">
        <f>+VLOOKUP(F89,[1]base!A:B,2,0)</f>
        <v>22</v>
      </c>
      <c r="H89" s="12">
        <v>30</v>
      </c>
      <c r="I89" s="12">
        <v>30</v>
      </c>
      <c r="J89" s="14"/>
      <c r="K89" s="14" t="s">
        <v>61</v>
      </c>
      <c r="L89" s="12" t="s">
        <v>677</v>
      </c>
      <c r="M89" s="12" t="s">
        <v>150</v>
      </c>
      <c r="N89" s="12">
        <v>30</v>
      </c>
      <c r="O89" s="12">
        <v>30</v>
      </c>
      <c r="P89" s="12">
        <v>0</v>
      </c>
      <c r="Q89" s="16">
        <v>110</v>
      </c>
      <c r="R89" s="16">
        <v>1</v>
      </c>
      <c r="S89" s="16"/>
      <c r="T89" s="28">
        <v>30</v>
      </c>
      <c r="U89" s="28"/>
      <c r="V89" s="29">
        <f>+VLOOKUP(E89,[1]base!D:K,8,0)</f>
        <v>0.90350000000000008</v>
      </c>
      <c r="W89" s="29">
        <f t="shared" si="9"/>
        <v>27.105000000000004</v>
      </c>
      <c r="X89" s="29">
        <f t="shared" si="10"/>
        <v>1.4094600000000002</v>
      </c>
      <c r="Y89" s="29">
        <f>+VLOOKUP(E89,[1]base!D:E,2,0)</f>
        <v>20</v>
      </c>
      <c r="Z89" s="29">
        <f t="shared" si="11"/>
        <v>2</v>
      </c>
      <c r="AA89" s="29">
        <f t="shared" si="12"/>
        <v>0.13333333333333339</v>
      </c>
      <c r="AB89" s="29">
        <f>+VLOOKUP(E89,[1]base!M:N,2,0)</f>
        <v>2067</v>
      </c>
      <c r="AC89" s="29">
        <f>+VLOOKUP(E89,[1]base!M:Q,5,0)</f>
        <v>2162.818181818182</v>
      </c>
      <c r="AD89" s="30">
        <f>+VLOOKUP(E89,[1]base!M:P,4,0)</f>
        <v>0.13982521847690388</v>
      </c>
      <c r="AE89" s="31">
        <f t="shared" si="13"/>
        <v>331.08127340823967</v>
      </c>
    </row>
    <row r="90" spans="1:31" s="32" customFormat="1" x14ac:dyDescent="0.25">
      <c r="A90" s="12" t="s">
        <v>1218</v>
      </c>
      <c r="B90" s="13">
        <v>46268.354953703703</v>
      </c>
      <c r="C90" s="12" t="s">
        <v>24</v>
      </c>
      <c r="D90" s="12" t="s">
        <v>671</v>
      </c>
      <c r="E90" s="26" t="str">
        <f t="shared" si="7"/>
        <v>CO114</v>
      </c>
      <c r="F90" s="27" t="str">
        <f t="shared" si="8"/>
        <v>GRIS</v>
      </c>
      <c r="G90" s="27">
        <f>+VLOOKUP(F90,[1]base!A:B,2,0)</f>
        <v>22</v>
      </c>
      <c r="H90" s="12">
        <v>16</v>
      </c>
      <c r="I90" s="12">
        <v>16</v>
      </c>
      <c r="J90" s="14"/>
      <c r="K90" s="14" t="s">
        <v>61</v>
      </c>
      <c r="L90" s="12" t="s">
        <v>1222</v>
      </c>
      <c r="M90" s="12" t="s">
        <v>150</v>
      </c>
      <c r="N90" s="12">
        <v>16</v>
      </c>
      <c r="O90" s="12">
        <v>16</v>
      </c>
      <c r="P90" s="12">
        <v>0</v>
      </c>
      <c r="Q90" s="16">
        <v>16</v>
      </c>
      <c r="R90" s="16">
        <v>1</v>
      </c>
      <c r="S90" s="16"/>
      <c r="T90" s="28">
        <v>16</v>
      </c>
      <c r="U90" s="28"/>
      <c r="V90" s="29">
        <f>+VLOOKUP(E90,[1]base!D:K,8,0)</f>
        <v>0.90350000000000008</v>
      </c>
      <c r="W90" s="29">
        <f t="shared" si="9"/>
        <v>14.456000000000001</v>
      </c>
      <c r="X90" s="29">
        <f t="shared" si="10"/>
        <v>0.75171200000000005</v>
      </c>
      <c r="Y90" s="29">
        <f>+VLOOKUP(E90,[1]base!D:E,2,0)</f>
        <v>20</v>
      </c>
      <c r="Z90" s="29">
        <f t="shared" si="11"/>
        <v>1</v>
      </c>
      <c r="AA90" s="29">
        <f t="shared" si="12"/>
        <v>6.6666666666666693E-2</v>
      </c>
      <c r="AB90" s="29">
        <f>+VLOOKUP(E90,[1]base!M:N,2,0)</f>
        <v>2067</v>
      </c>
      <c r="AC90" s="29">
        <f>+VLOOKUP(E90,[1]base!M:Q,5,0)</f>
        <v>2162.818181818182</v>
      </c>
      <c r="AD90" s="30">
        <f>+VLOOKUP(E90,[1]base!M:P,4,0)</f>
        <v>0.13982521847690388</v>
      </c>
      <c r="AE90" s="31">
        <f t="shared" si="13"/>
        <v>331.08127340823967</v>
      </c>
    </row>
    <row r="91" spans="1:31" s="32" customFormat="1" x14ac:dyDescent="0.25">
      <c r="A91" s="12" t="s">
        <v>1492</v>
      </c>
      <c r="B91" s="13">
        <v>46273.61005787037</v>
      </c>
      <c r="C91" s="12" t="s">
        <v>266</v>
      </c>
      <c r="D91" s="12" t="s">
        <v>671</v>
      </c>
      <c r="E91" s="26" t="str">
        <f t="shared" si="7"/>
        <v>CO114</v>
      </c>
      <c r="F91" s="27" t="str">
        <f t="shared" si="8"/>
        <v>GRIS</v>
      </c>
      <c r="G91" s="27">
        <f>+VLOOKUP(F91,[1]base!A:B,2,0)</f>
        <v>22</v>
      </c>
      <c r="H91" s="12">
        <v>80</v>
      </c>
      <c r="I91" s="12">
        <v>80</v>
      </c>
      <c r="J91" s="14"/>
      <c r="K91" s="14" t="s">
        <v>61</v>
      </c>
      <c r="L91" s="12" t="s">
        <v>1504</v>
      </c>
      <c r="M91" s="12" t="s">
        <v>150</v>
      </c>
      <c r="N91" s="12">
        <v>80</v>
      </c>
      <c r="O91" s="12">
        <v>80</v>
      </c>
      <c r="P91" s="12">
        <v>0</v>
      </c>
      <c r="Q91" s="16">
        <v>80</v>
      </c>
      <c r="R91" s="16">
        <v>1</v>
      </c>
      <c r="S91" s="16"/>
      <c r="T91" s="28">
        <v>80</v>
      </c>
      <c r="U91" s="28"/>
      <c r="V91" s="29">
        <f>+VLOOKUP(E91,[1]base!D:K,8,0)</f>
        <v>0.90350000000000008</v>
      </c>
      <c r="W91" s="29">
        <f t="shared" si="9"/>
        <v>72.28</v>
      </c>
      <c r="X91" s="29">
        <f t="shared" si="10"/>
        <v>3.7585599999999997</v>
      </c>
      <c r="Y91" s="29">
        <f>+VLOOKUP(E91,[1]base!D:E,2,0)</f>
        <v>20</v>
      </c>
      <c r="Z91" s="29">
        <f t="shared" si="11"/>
        <v>4</v>
      </c>
      <c r="AA91" s="29">
        <f t="shared" si="12"/>
        <v>0.26666666666666677</v>
      </c>
      <c r="AB91" s="29">
        <f>+VLOOKUP(E91,[1]base!M:N,2,0)</f>
        <v>2067</v>
      </c>
      <c r="AC91" s="29">
        <f>+VLOOKUP(E91,[1]base!M:Q,5,0)</f>
        <v>2162.818181818182</v>
      </c>
      <c r="AD91" s="30">
        <f>+VLOOKUP(E91,[1]base!M:P,4,0)</f>
        <v>0.13982521847690388</v>
      </c>
      <c r="AE91" s="31">
        <f t="shared" si="13"/>
        <v>331.08127340823967</v>
      </c>
    </row>
    <row r="92" spans="1:31" s="32" customFormat="1" x14ac:dyDescent="0.25">
      <c r="A92" s="12" t="s">
        <v>667</v>
      </c>
      <c r="B92" s="13">
        <v>46252.518969907411</v>
      </c>
      <c r="C92" s="12" t="s">
        <v>522</v>
      </c>
      <c r="D92" s="12" t="s">
        <v>245</v>
      </c>
      <c r="E92" s="26" t="str">
        <f t="shared" si="7"/>
        <v>CO114</v>
      </c>
      <c r="F92" s="27" t="str">
        <f t="shared" si="8"/>
        <v>NOIR</v>
      </c>
      <c r="G92" s="27">
        <f>+VLOOKUP(F92,[1]base!A:B,2,0)</f>
        <v>37</v>
      </c>
      <c r="H92" s="12">
        <v>40</v>
      </c>
      <c r="I92" s="12">
        <v>40</v>
      </c>
      <c r="J92" s="14"/>
      <c r="K92" s="14" t="s">
        <v>61</v>
      </c>
      <c r="L92" s="12" t="s">
        <v>678</v>
      </c>
      <c r="M92" s="12" t="s">
        <v>150</v>
      </c>
      <c r="N92" s="12">
        <v>40</v>
      </c>
      <c r="O92" s="12">
        <v>40</v>
      </c>
      <c r="P92" s="12">
        <v>0</v>
      </c>
      <c r="Q92" s="16">
        <v>110</v>
      </c>
      <c r="R92" s="16">
        <v>0</v>
      </c>
      <c r="S92" s="16"/>
      <c r="T92" s="28">
        <v>40</v>
      </c>
      <c r="U92" s="28"/>
      <c r="V92" s="29">
        <f>+VLOOKUP(E92,[1]base!D:K,8,0)</f>
        <v>0.90350000000000008</v>
      </c>
      <c r="W92" s="29">
        <f t="shared" si="9"/>
        <v>36.14</v>
      </c>
      <c r="X92" s="29">
        <f t="shared" si="10"/>
        <v>1.8792799999999998</v>
      </c>
      <c r="Y92" s="29">
        <f>+VLOOKUP(E92,[1]base!D:E,2,0)</f>
        <v>20</v>
      </c>
      <c r="Z92" s="29">
        <f t="shared" si="11"/>
        <v>2</v>
      </c>
      <c r="AA92" s="29">
        <f t="shared" si="12"/>
        <v>0.13333333333333339</v>
      </c>
      <c r="AB92" s="29">
        <f>+VLOOKUP(E92,[1]base!M:N,2,0)</f>
        <v>2067</v>
      </c>
      <c r="AC92" s="29">
        <f>+VLOOKUP(E92,[1]base!M:Q,5,0)</f>
        <v>2162.818181818182</v>
      </c>
      <c r="AD92" s="30">
        <f>+VLOOKUP(E92,[1]base!M:P,4,0)</f>
        <v>0.13982521847690388</v>
      </c>
      <c r="AE92" s="31">
        <f t="shared" si="13"/>
        <v>331.08127340823967</v>
      </c>
    </row>
    <row r="93" spans="1:31" s="32" customFormat="1" x14ac:dyDescent="0.25">
      <c r="A93" s="12" t="s">
        <v>940</v>
      </c>
      <c r="B93" s="13">
        <v>46263.399872685186</v>
      </c>
      <c r="C93" s="12" t="s">
        <v>24</v>
      </c>
      <c r="D93" s="12" t="s">
        <v>245</v>
      </c>
      <c r="E93" s="26" t="str">
        <f t="shared" si="7"/>
        <v>CO114</v>
      </c>
      <c r="F93" s="27" t="str">
        <f t="shared" si="8"/>
        <v>NOIR</v>
      </c>
      <c r="G93" s="27">
        <f>+VLOOKUP(F93,[1]base!A:B,2,0)</f>
        <v>37</v>
      </c>
      <c r="H93" s="12">
        <v>30</v>
      </c>
      <c r="I93" s="12">
        <v>30</v>
      </c>
      <c r="J93" s="14"/>
      <c r="K93" s="14" t="s">
        <v>61</v>
      </c>
      <c r="L93" s="12" t="s">
        <v>947</v>
      </c>
      <c r="M93" s="12" t="s">
        <v>150</v>
      </c>
      <c r="N93" s="12">
        <v>30</v>
      </c>
      <c r="O93" s="12">
        <v>30</v>
      </c>
      <c r="P93" s="12">
        <v>0</v>
      </c>
      <c r="Q93" s="16">
        <v>30</v>
      </c>
      <c r="R93" s="16">
        <v>0</v>
      </c>
      <c r="S93" s="16"/>
      <c r="T93" s="28">
        <v>30</v>
      </c>
      <c r="U93" s="28"/>
      <c r="V93" s="29">
        <f>+VLOOKUP(E93,[1]base!D:K,8,0)</f>
        <v>0.90350000000000008</v>
      </c>
      <c r="W93" s="29">
        <f t="shared" si="9"/>
        <v>27.105000000000004</v>
      </c>
      <c r="X93" s="29">
        <f t="shared" si="10"/>
        <v>1.4094600000000002</v>
      </c>
      <c r="Y93" s="29">
        <f>+VLOOKUP(E93,[1]base!D:E,2,0)</f>
        <v>20</v>
      </c>
      <c r="Z93" s="29">
        <f t="shared" si="11"/>
        <v>2</v>
      </c>
      <c r="AA93" s="29">
        <f t="shared" si="12"/>
        <v>0.13333333333333339</v>
      </c>
      <c r="AB93" s="29">
        <f>+VLOOKUP(E93,[1]base!M:N,2,0)</f>
        <v>2067</v>
      </c>
      <c r="AC93" s="29">
        <f>+VLOOKUP(E93,[1]base!M:Q,5,0)</f>
        <v>2162.818181818182</v>
      </c>
      <c r="AD93" s="30">
        <f>+VLOOKUP(E93,[1]base!M:P,4,0)</f>
        <v>0.13982521847690388</v>
      </c>
      <c r="AE93" s="31">
        <f t="shared" si="13"/>
        <v>331.08127340823967</v>
      </c>
    </row>
    <row r="94" spans="1:31" s="32" customFormat="1" x14ac:dyDescent="0.25">
      <c r="A94" s="12" t="s">
        <v>1141</v>
      </c>
      <c r="B94" s="13">
        <v>46267.323657407411</v>
      </c>
      <c r="C94" s="12" t="s">
        <v>585</v>
      </c>
      <c r="D94" s="12" t="s">
        <v>245</v>
      </c>
      <c r="E94" s="26" t="str">
        <f t="shared" si="7"/>
        <v>CO114</v>
      </c>
      <c r="F94" s="27" t="str">
        <f t="shared" si="8"/>
        <v>NOIR</v>
      </c>
      <c r="G94" s="27">
        <f>+VLOOKUP(F94,[1]base!A:B,2,0)</f>
        <v>37</v>
      </c>
      <c r="H94" s="12">
        <v>200</v>
      </c>
      <c r="I94" s="12">
        <v>200</v>
      </c>
      <c r="J94" s="14"/>
      <c r="K94" s="14" t="s">
        <v>61</v>
      </c>
      <c r="L94" s="12" t="s">
        <v>1146</v>
      </c>
      <c r="M94" s="12" t="s">
        <v>150</v>
      </c>
      <c r="N94" s="12">
        <v>200</v>
      </c>
      <c r="O94" s="12">
        <v>200</v>
      </c>
      <c r="P94" s="12">
        <v>0</v>
      </c>
      <c r="Q94" s="16">
        <v>200</v>
      </c>
      <c r="R94" s="16">
        <v>0</v>
      </c>
      <c r="S94" s="16"/>
      <c r="T94" s="28">
        <v>200</v>
      </c>
      <c r="U94" s="28"/>
      <c r="V94" s="29">
        <f>+VLOOKUP(E94,[1]base!D:K,8,0)</f>
        <v>0.90350000000000008</v>
      </c>
      <c r="W94" s="29">
        <f t="shared" si="9"/>
        <v>180.70000000000002</v>
      </c>
      <c r="X94" s="29">
        <f t="shared" si="10"/>
        <v>9.3963999999999999</v>
      </c>
      <c r="Y94" s="29">
        <f>+VLOOKUP(E94,[1]base!D:E,2,0)</f>
        <v>20</v>
      </c>
      <c r="Z94" s="29">
        <f t="shared" si="11"/>
        <v>10</v>
      </c>
      <c r="AA94" s="29">
        <f t="shared" si="12"/>
        <v>0.66666666666666696</v>
      </c>
      <c r="AB94" s="29">
        <f>+VLOOKUP(E94,[1]base!M:N,2,0)</f>
        <v>2067</v>
      </c>
      <c r="AC94" s="29">
        <f>+VLOOKUP(E94,[1]base!M:Q,5,0)</f>
        <v>2162.818181818182</v>
      </c>
      <c r="AD94" s="30">
        <f>+VLOOKUP(E94,[1]base!M:P,4,0)</f>
        <v>0.13982521847690388</v>
      </c>
      <c r="AE94" s="31">
        <f t="shared" si="13"/>
        <v>331.08127340823967</v>
      </c>
    </row>
    <row r="95" spans="1:31" s="32" customFormat="1" x14ac:dyDescent="0.25">
      <c r="A95" s="12" t="s">
        <v>1243</v>
      </c>
      <c r="B95" s="13">
        <v>46268.575127314813</v>
      </c>
      <c r="C95" s="12" t="s">
        <v>368</v>
      </c>
      <c r="D95" s="12" t="s">
        <v>245</v>
      </c>
      <c r="E95" s="26" t="str">
        <f t="shared" si="7"/>
        <v>CO114</v>
      </c>
      <c r="F95" s="27" t="str">
        <f t="shared" si="8"/>
        <v>NOIR</v>
      </c>
      <c r="G95" s="27">
        <f>+VLOOKUP(F95,[1]base!A:B,2,0)</f>
        <v>37</v>
      </c>
      <c r="H95" s="12">
        <v>50</v>
      </c>
      <c r="I95" s="12">
        <v>50</v>
      </c>
      <c r="J95" s="14"/>
      <c r="K95" s="14" t="s">
        <v>61</v>
      </c>
      <c r="L95" s="12" t="s">
        <v>1255</v>
      </c>
      <c r="M95" s="12" t="s">
        <v>150</v>
      </c>
      <c r="N95" s="12">
        <v>50</v>
      </c>
      <c r="O95" s="12">
        <v>50</v>
      </c>
      <c r="P95" s="12">
        <v>0</v>
      </c>
      <c r="Q95" s="16">
        <v>50</v>
      </c>
      <c r="R95" s="16">
        <v>0</v>
      </c>
      <c r="S95" s="16"/>
      <c r="T95" s="28">
        <v>50</v>
      </c>
      <c r="U95" s="28"/>
      <c r="V95" s="29">
        <f>+VLOOKUP(E95,[1]base!D:K,8,0)</f>
        <v>0.90350000000000008</v>
      </c>
      <c r="W95" s="29">
        <f t="shared" si="9"/>
        <v>45.175000000000004</v>
      </c>
      <c r="X95" s="29">
        <f t="shared" si="10"/>
        <v>2.3491</v>
      </c>
      <c r="Y95" s="29">
        <f>+VLOOKUP(E95,[1]base!D:E,2,0)</f>
        <v>20</v>
      </c>
      <c r="Z95" s="29">
        <f t="shared" si="11"/>
        <v>3</v>
      </c>
      <c r="AA95" s="29">
        <f t="shared" si="12"/>
        <v>0.20000000000000007</v>
      </c>
      <c r="AB95" s="29">
        <f>+VLOOKUP(E95,[1]base!M:N,2,0)</f>
        <v>2067</v>
      </c>
      <c r="AC95" s="29">
        <f>+VLOOKUP(E95,[1]base!M:Q,5,0)</f>
        <v>2162.818181818182</v>
      </c>
      <c r="AD95" s="30">
        <f>+VLOOKUP(E95,[1]base!M:P,4,0)</f>
        <v>0.13982521847690388</v>
      </c>
      <c r="AE95" s="31">
        <f t="shared" si="13"/>
        <v>331.08127340823967</v>
      </c>
    </row>
    <row r="96" spans="1:31" s="32" customFormat="1" x14ac:dyDescent="0.25">
      <c r="A96" s="12" t="s">
        <v>1264</v>
      </c>
      <c r="B96" s="13">
        <v>46268.598958333336</v>
      </c>
      <c r="C96" s="12" t="s">
        <v>522</v>
      </c>
      <c r="D96" s="12" t="s">
        <v>245</v>
      </c>
      <c r="E96" s="26" t="str">
        <f t="shared" si="7"/>
        <v>CO114</v>
      </c>
      <c r="F96" s="27" t="str">
        <f t="shared" si="8"/>
        <v>NOIR</v>
      </c>
      <c r="G96" s="27">
        <f>+VLOOKUP(F96,[1]base!A:B,2,0)</f>
        <v>37</v>
      </c>
      <c r="H96" s="12">
        <v>100</v>
      </c>
      <c r="I96" s="12">
        <v>100</v>
      </c>
      <c r="J96" s="14"/>
      <c r="K96" s="14" t="s">
        <v>61</v>
      </c>
      <c r="L96" s="12" t="s">
        <v>1281</v>
      </c>
      <c r="M96" s="12" t="s">
        <v>150</v>
      </c>
      <c r="N96" s="12">
        <v>100</v>
      </c>
      <c r="O96" s="12">
        <v>100</v>
      </c>
      <c r="P96" s="12">
        <v>0</v>
      </c>
      <c r="Q96" s="16">
        <v>100</v>
      </c>
      <c r="R96" s="16">
        <v>0</v>
      </c>
      <c r="S96" s="16"/>
      <c r="T96" s="28">
        <v>100</v>
      </c>
      <c r="U96" s="28"/>
      <c r="V96" s="29">
        <f>+VLOOKUP(E96,[1]base!D:K,8,0)</f>
        <v>0.90350000000000008</v>
      </c>
      <c r="W96" s="29">
        <f t="shared" si="9"/>
        <v>90.350000000000009</v>
      </c>
      <c r="X96" s="29">
        <f t="shared" si="10"/>
        <v>4.6981999999999999</v>
      </c>
      <c r="Y96" s="29">
        <f>+VLOOKUP(E96,[1]base!D:E,2,0)</f>
        <v>20</v>
      </c>
      <c r="Z96" s="29">
        <f t="shared" si="11"/>
        <v>5</v>
      </c>
      <c r="AA96" s="29">
        <f t="shared" si="12"/>
        <v>0.33333333333333348</v>
      </c>
      <c r="AB96" s="29">
        <f>+VLOOKUP(E96,[1]base!M:N,2,0)</f>
        <v>2067</v>
      </c>
      <c r="AC96" s="29">
        <f>+VLOOKUP(E96,[1]base!M:Q,5,0)</f>
        <v>2162.818181818182</v>
      </c>
      <c r="AD96" s="30">
        <f>+VLOOKUP(E96,[1]base!M:P,4,0)</f>
        <v>0.13982521847690388</v>
      </c>
      <c r="AE96" s="31">
        <f t="shared" si="13"/>
        <v>331.08127340823967</v>
      </c>
    </row>
    <row r="97" spans="1:31" s="32" customFormat="1" x14ac:dyDescent="0.25">
      <c r="A97" s="12" t="s">
        <v>1291</v>
      </c>
      <c r="B97" s="13">
        <v>46269.280277777776</v>
      </c>
      <c r="C97" s="12" t="s">
        <v>266</v>
      </c>
      <c r="D97" s="12" t="s">
        <v>245</v>
      </c>
      <c r="E97" s="26" t="str">
        <f t="shared" si="7"/>
        <v>CO114</v>
      </c>
      <c r="F97" s="27" t="str">
        <f t="shared" si="8"/>
        <v>NOIR</v>
      </c>
      <c r="G97" s="27">
        <f>+VLOOKUP(F97,[1]base!A:B,2,0)</f>
        <v>37</v>
      </c>
      <c r="H97" s="12">
        <v>50</v>
      </c>
      <c r="I97" s="12">
        <v>50</v>
      </c>
      <c r="J97" s="14"/>
      <c r="K97" s="14" t="s">
        <v>61</v>
      </c>
      <c r="L97" s="12" t="s">
        <v>1298</v>
      </c>
      <c r="M97" s="12" t="s">
        <v>150</v>
      </c>
      <c r="N97" s="12">
        <v>50</v>
      </c>
      <c r="O97" s="12">
        <v>50</v>
      </c>
      <c r="P97" s="12">
        <v>0</v>
      </c>
      <c r="Q97" s="16">
        <v>50</v>
      </c>
      <c r="R97" s="16">
        <v>0</v>
      </c>
      <c r="S97" s="16"/>
      <c r="T97" s="28">
        <v>50</v>
      </c>
      <c r="U97" s="28"/>
      <c r="V97" s="29">
        <f>+VLOOKUP(E97,[1]base!D:K,8,0)</f>
        <v>0.90350000000000008</v>
      </c>
      <c r="W97" s="29">
        <f t="shared" si="9"/>
        <v>45.175000000000004</v>
      </c>
      <c r="X97" s="29">
        <f t="shared" si="10"/>
        <v>2.3491</v>
      </c>
      <c r="Y97" s="29">
        <f>+VLOOKUP(E97,[1]base!D:E,2,0)</f>
        <v>20</v>
      </c>
      <c r="Z97" s="29">
        <f t="shared" si="11"/>
        <v>3</v>
      </c>
      <c r="AA97" s="29">
        <f t="shared" si="12"/>
        <v>0.20000000000000007</v>
      </c>
      <c r="AB97" s="29">
        <f>+VLOOKUP(E97,[1]base!M:N,2,0)</f>
        <v>2067</v>
      </c>
      <c r="AC97" s="29">
        <f>+VLOOKUP(E97,[1]base!M:Q,5,0)</f>
        <v>2162.818181818182</v>
      </c>
      <c r="AD97" s="30">
        <f>+VLOOKUP(E97,[1]base!M:P,4,0)</f>
        <v>0.13982521847690388</v>
      </c>
      <c r="AE97" s="31">
        <f t="shared" si="13"/>
        <v>331.08127340823967</v>
      </c>
    </row>
    <row r="98" spans="1:31" s="32" customFormat="1" x14ac:dyDescent="0.25">
      <c r="A98" s="12" t="s">
        <v>1292</v>
      </c>
      <c r="B98" s="13">
        <v>46269.281944444447</v>
      </c>
      <c r="C98" s="12" t="s">
        <v>398</v>
      </c>
      <c r="D98" s="12" t="s">
        <v>245</v>
      </c>
      <c r="E98" s="26" t="str">
        <f t="shared" si="7"/>
        <v>CO114</v>
      </c>
      <c r="F98" s="27" t="str">
        <f t="shared" si="8"/>
        <v>NOIR</v>
      </c>
      <c r="G98" s="27">
        <f>+VLOOKUP(F98,[1]base!A:B,2,0)</f>
        <v>37</v>
      </c>
      <c r="H98" s="12">
        <v>100</v>
      </c>
      <c r="I98" s="12">
        <v>100</v>
      </c>
      <c r="J98" s="14"/>
      <c r="K98" s="14" t="s">
        <v>61</v>
      </c>
      <c r="L98" s="12" t="s">
        <v>1313</v>
      </c>
      <c r="M98" s="12" t="s">
        <v>150</v>
      </c>
      <c r="N98" s="12">
        <v>100</v>
      </c>
      <c r="O98" s="12">
        <v>100</v>
      </c>
      <c r="P98" s="12">
        <v>0</v>
      </c>
      <c r="Q98" s="16">
        <v>100</v>
      </c>
      <c r="R98" s="16">
        <v>0</v>
      </c>
      <c r="S98" s="16"/>
      <c r="T98" s="28">
        <v>100</v>
      </c>
      <c r="U98" s="28"/>
      <c r="V98" s="29">
        <f>+VLOOKUP(E98,[1]base!D:K,8,0)</f>
        <v>0.90350000000000008</v>
      </c>
      <c r="W98" s="29">
        <f t="shared" si="9"/>
        <v>90.350000000000009</v>
      </c>
      <c r="X98" s="29">
        <f t="shared" si="10"/>
        <v>4.6981999999999999</v>
      </c>
      <c r="Y98" s="29">
        <f>+VLOOKUP(E98,[1]base!D:E,2,0)</f>
        <v>20</v>
      </c>
      <c r="Z98" s="29">
        <f t="shared" si="11"/>
        <v>5</v>
      </c>
      <c r="AA98" s="29">
        <f t="shared" si="12"/>
        <v>0.33333333333333348</v>
      </c>
      <c r="AB98" s="29">
        <f>+VLOOKUP(E98,[1]base!M:N,2,0)</f>
        <v>2067</v>
      </c>
      <c r="AC98" s="29">
        <f>+VLOOKUP(E98,[1]base!M:Q,5,0)</f>
        <v>2162.818181818182</v>
      </c>
      <c r="AD98" s="30">
        <f>+VLOOKUP(E98,[1]base!M:P,4,0)</f>
        <v>0.13982521847690388</v>
      </c>
      <c r="AE98" s="31">
        <f t="shared" si="13"/>
        <v>331.08127340823967</v>
      </c>
    </row>
    <row r="99" spans="1:31" s="32" customFormat="1" x14ac:dyDescent="0.25">
      <c r="A99" s="12" t="s">
        <v>1415</v>
      </c>
      <c r="B99" s="13">
        <v>46273.296388888892</v>
      </c>
      <c r="C99" s="12" t="s">
        <v>24</v>
      </c>
      <c r="D99" s="12" t="s">
        <v>245</v>
      </c>
      <c r="E99" s="26" t="str">
        <f t="shared" si="7"/>
        <v>CO114</v>
      </c>
      <c r="F99" s="27" t="str">
        <f t="shared" si="8"/>
        <v>NOIR</v>
      </c>
      <c r="G99" s="27">
        <f>+VLOOKUP(F99,[1]base!A:B,2,0)</f>
        <v>37</v>
      </c>
      <c r="H99" s="12">
        <v>300</v>
      </c>
      <c r="I99" s="12">
        <v>300</v>
      </c>
      <c r="J99" s="14"/>
      <c r="K99" s="14" t="s">
        <v>61</v>
      </c>
      <c r="L99" s="12" t="s">
        <v>1422</v>
      </c>
      <c r="M99" s="12" t="s">
        <v>150</v>
      </c>
      <c r="N99" s="12">
        <v>300</v>
      </c>
      <c r="O99" s="12">
        <v>300</v>
      </c>
      <c r="P99" s="12">
        <v>0</v>
      </c>
      <c r="Q99" s="16">
        <v>500</v>
      </c>
      <c r="R99" s="16">
        <v>0</v>
      </c>
      <c r="S99" s="16"/>
      <c r="T99" s="28">
        <v>300</v>
      </c>
      <c r="U99" s="28"/>
      <c r="V99" s="29">
        <f>+VLOOKUP(E99,[1]base!D:K,8,0)</f>
        <v>0.90350000000000008</v>
      </c>
      <c r="W99" s="29">
        <f t="shared" si="9"/>
        <v>271.05</v>
      </c>
      <c r="X99" s="29">
        <f t="shared" si="10"/>
        <v>14.0946</v>
      </c>
      <c r="Y99" s="29">
        <f>+VLOOKUP(E99,[1]base!D:E,2,0)</f>
        <v>20</v>
      </c>
      <c r="Z99" s="29">
        <f t="shared" si="11"/>
        <v>15</v>
      </c>
      <c r="AA99" s="29">
        <f t="shared" si="12"/>
        <v>1.0000000000000004</v>
      </c>
      <c r="AB99" s="29">
        <f>+VLOOKUP(E99,[1]base!M:N,2,0)</f>
        <v>2067</v>
      </c>
      <c r="AC99" s="29">
        <f>+VLOOKUP(E99,[1]base!M:Q,5,0)</f>
        <v>2162.818181818182</v>
      </c>
      <c r="AD99" s="30">
        <f>+VLOOKUP(E99,[1]base!M:P,4,0)</f>
        <v>0.13982521847690388</v>
      </c>
      <c r="AE99" s="31">
        <f t="shared" si="13"/>
        <v>331.08127340823967</v>
      </c>
    </row>
    <row r="100" spans="1:31" s="32" customFormat="1" x14ac:dyDescent="0.25">
      <c r="A100" s="12" t="s">
        <v>1549</v>
      </c>
      <c r="B100" s="13">
        <v>46274.600347222222</v>
      </c>
      <c r="C100" s="12" t="s">
        <v>465</v>
      </c>
      <c r="D100" s="12" t="s">
        <v>245</v>
      </c>
      <c r="E100" s="26" t="str">
        <f t="shared" si="7"/>
        <v>CO114</v>
      </c>
      <c r="F100" s="27" t="str">
        <f t="shared" si="8"/>
        <v>NOIR</v>
      </c>
      <c r="G100" s="27">
        <f>+VLOOKUP(F100,[1]base!A:B,2,0)</f>
        <v>37</v>
      </c>
      <c r="H100" s="12">
        <v>40</v>
      </c>
      <c r="I100" s="12">
        <v>40</v>
      </c>
      <c r="J100" s="14"/>
      <c r="K100" s="14" t="s">
        <v>61</v>
      </c>
      <c r="L100" s="12" t="s">
        <v>1551</v>
      </c>
      <c r="M100" s="12" t="s">
        <v>150</v>
      </c>
      <c r="N100" s="12">
        <v>40</v>
      </c>
      <c r="O100" s="12">
        <v>40</v>
      </c>
      <c r="P100" s="12">
        <v>0</v>
      </c>
      <c r="Q100" s="16">
        <v>40</v>
      </c>
      <c r="R100" s="16">
        <v>0</v>
      </c>
      <c r="S100" s="16"/>
      <c r="T100" s="28">
        <v>40</v>
      </c>
      <c r="U100" s="28"/>
      <c r="V100" s="29">
        <f>+VLOOKUP(E100,[1]base!D:K,8,0)</f>
        <v>0.90350000000000008</v>
      </c>
      <c r="W100" s="29">
        <f t="shared" si="9"/>
        <v>36.14</v>
      </c>
      <c r="X100" s="29">
        <f t="shared" si="10"/>
        <v>1.8792799999999998</v>
      </c>
      <c r="Y100" s="29">
        <f>+VLOOKUP(E100,[1]base!D:E,2,0)</f>
        <v>20</v>
      </c>
      <c r="Z100" s="29">
        <f t="shared" si="11"/>
        <v>2</v>
      </c>
      <c r="AA100" s="29">
        <f t="shared" si="12"/>
        <v>0.13333333333333339</v>
      </c>
      <c r="AB100" s="29">
        <f>+VLOOKUP(E100,[1]base!M:N,2,0)</f>
        <v>2067</v>
      </c>
      <c r="AC100" s="29">
        <f>+VLOOKUP(E100,[1]base!M:Q,5,0)</f>
        <v>2162.818181818182</v>
      </c>
      <c r="AD100" s="30">
        <f>+VLOOKUP(E100,[1]base!M:P,4,0)</f>
        <v>0.13982521847690388</v>
      </c>
      <c r="AE100" s="31">
        <f t="shared" si="13"/>
        <v>331.08127340823967</v>
      </c>
    </row>
    <row r="101" spans="1:31" s="32" customFormat="1" x14ac:dyDescent="0.25">
      <c r="A101" s="12" t="s">
        <v>1562</v>
      </c>
      <c r="B101" s="13">
        <v>46274.635497685187</v>
      </c>
      <c r="C101" s="12" t="s">
        <v>484</v>
      </c>
      <c r="D101" s="12" t="s">
        <v>245</v>
      </c>
      <c r="E101" s="26" t="str">
        <f t="shared" si="7"/>
        <v>CO114</v>
      </c>
      <c r="F101" s="27" t="str">
        <f t="shared" si="8"/>
        <v>NOIR</v>
      </c>
      <c r="G101" s="27">
        <f>+VLOOKUP(F101,[1]base!A:B,2,0)</f>
        <v>37</v>
      </c>
      <c r="H101" s="12">
        <v>30</v>
      </c>
      <c r="I101" s="12">
        <v>30</v>
      </c>
      <c r="J101" s="14"/>
      <c r="K101" s="14" t="s">
        <v>61</v>
      </c>
      <c r="L101" s="12" t="s">
        <v>1563</v>
      </c>
      <c r="M101" s="12" t="s">
        <v>150</v>
      </c>
      <c r="N101" s="12">
        <v>30</v>
      </c>
      <c r="O101" s="12">
        <v>30</v>
      </c>
      <c r="P101" s="12">
        <v>0</v>
      </c>
      <c r="Q101" s="16">
        <v>30</v>
      </c>
      <c r="R101" s="16">
        <v>0</v>
      </c>
      <c r="S101" s="16"/>
      <c r="T101" s="28">
        <v>30</v>
      </c>
      <c r="U101" s="28"/>
      <c r="V101" s="29">
        <f>+VLOOKUP(E101,[1]base!D:K,8,0)</f>
        <v>0.90350000000000008</v>
      </c>
      <c r="W101" s="29">
        <f t="shared" si="9"/>
        <v>27.105000000000004</v>
      </c>
      <c r="X101" s="29">
        <f t="shared" si="10"/>
        <v>1.4094600000000002</v>
      </c>
      <c r="Y101" s="29">
        <f>+VLOOKUP(E101,[1]base!D:E,2,0)</f>
        <v>20</v>
      </c>
      <c r="Z101" s="29">
        <f t="shared" si="11"/>
        <v>2</v>
      </c>
      <c r="AA101" s="29">
        <f t="shared" si="12"/>
        <v>0.13333333333333339</v>
      </c>
      <c r="AB101" s="29">
        <f>+VLOOKUP(E101,[1]base!M:N,2,0)</f>
        <v>2067</v>
      </c>
      <c r="AC101" s="29">
        <f>+VLOOKUP(E101,[1]base!M:Q,5,0)</f>
        <v>2162.818181818182</v>
      </c>
      <c r="AD101" s="30">
        <f>+VLOOKUP(E101,[1]base!M:P,4,0)</f>
        <v>0.13982521847690388</v>
      </c>
      <c r="AE101" s="31">
        <f t="shared" si="13"/>
        <v>331.08127340823967</v>
      </c>
    </row>
    <row r="102" spans="1:31" s="32" customFormat="1" x14ac:dyDescent="0.25">
      <c r="A102" s="12" t="s">
        <v>667</v>
      </c>
      <c r="B102" s="13">
        <v>46252.518969907411</v>
      </c>
      <c r="C102" s="12" t="s">
        <v>522</v>
      </c>
      <c r="D102" s="12" t="s">
        <v>681</v>
      </c>
      <c r="E102" s="26" t="str">
        <f t="shared" si="7"/>
        <v>CO114</v>
      </c>
      <c r="F102" s="27" t="str">
        <f t="shared" si="8"/>
        <v>DARK</v>
      </c>
      <c r="G102" s="27">
        <f>+VLOOKUP(F102,[1]base!A:B,2,0)</f>
        <v>38</v>
      </c>
      <c r="H102" s="12">
        <v>40</v>
      </c>
      <c r="I102" s="12">
        <v>40</v>
      </c>
      <c r="J102" s="14"/>
      <c r="K102" s="14" t="s">
        <v>61</v>
      </c>
      <c r="L102" s="12" t="s">
        <v>682</v>
      </c>
      <c r="M102" s="12" t="s">
        <v>150</v>
      </c>
      <c r="N102" s="12">
        <v>40</v>
      </c>
      <c r="O102" s="12">
        <v>40</v>
      </c>
      <c r="P102" s="12">
        <v>0</v>
      </c>
      <c r="Q102" s="16">
        <v>110</v>
      </c>
      <c r="R102" s="16">
        <v>0</v>
      </c>
      <c r="S102" s="16"/>
      <c r="T102" s="28">
        <v>40</v>
      </c>
      <c r="U102" s="28"/>
      <c r="V102" s="29">
        <f>+VLOOKUP(E102,[1]base!D:K,8,0)</f>
        <v>0.90350000000000008</v>
      </c>
      <c r="W102" s="29">
        <f t="shared" si="9"/>
        <v>36.14</v>
      </c>
      <c r="X102" s="29">
        <f t="shared" si="10"/>
        <v>1.8792799999999998</v>
      </c>
      <c r="Y102" s="29">
        <f>+VLOOKUP(E102,[1]base!D:E,2,0)</f>
        <v>20</v>
      </c>
      <c r="Z102" s="29">
        <f t="shared" si="11"/>
        <v>2</v>
      </c>
      <c r="AA102" s="29">
        <f t="shared" si="12"/>
        <v>0.13333333333333339</v>
      </c>
      <c r="AB102" s="29">
        <f>+VLOOKUP(E102,[1]base!M:N,2,0)</f>
        <v>2067</v>
      </c>
      <c r="AC102" s="29">
        <f>+VLOOKUP(E102,[1]base!M:Q,5,0)</f>
        <v>2162.818181818182</v>
      </c>
      <c r="AD102" s="30">
        <f>+VLOOKUP(E102,[1]base!M:P,4,0)</f>
        <v>0.13982521847690388</v>
      </c>
      <c r="AE102" s="31">
        <f t="shared" si="13"/>
        <v>331.08127340823967</v>
      </c>
    </row>
    <row r="103" spans="1:31" s="32" customFormat="1" x14ac:dyDescent="0.25">
      <c r="A103" s="12" t="s">
        <v>1153</v>
      </c>
      <c r="B103" s="13">
        <v>46267.412812499999</v>
      </c>
      <c r="C103" s="12" t="s">
        <v>522</v>
      </c>
      <c r="D103" s="12" t="s">
        <v>681</v>
      </c>
      <c r="E103" s="26" t="str">
        <f t="shared" si="7"/>
        <v>CO114</v>
      </c>
      <c r="F103" s="27" t="str">
        <f t="shared" si="8"/>
        <v>DARK</v>
      </c>
      <c r="G103" s="27">
        <f>+VLOOKUP(F103,[1]base!A:B,2,0)</f>
        <v>38</v>
      </c>
      <c r="H103" s="12">
        <v>11</v>
      </c>
      <c r="I103" s="12">
        <v>11</v>
      </c>
      <c r="J103" s="14"/>
      <c r="K103" s="14" t="s">
        <v>61</v>
      </c>
      <c r="L103" s="12" t="s">
        <v>1174</v>
      </c>
      <c r="M103" s="12" t="s">
        <v>150</v>
      </c>
      <c r="N103" s="12">
        <v>11</v>
      </c>
      <c r="O103" s="12">
        <v>11</v>
      </c>
      <c r="P103" s="12">
        <v>0</v>
      </c>
      <c r="Q103" s="16">
        <v>11</v>
      </c>
      <c r="R103" s="16">
        <v>0</v>
      </c>
      <c r="S103" s="16"/>
      <c r="T103" s="28">
        <v>11</v>
      </c>
      <c r="U103" s="28"/>
      <c r="V103" s="29">
        <f>+VLOOKUP(E103,[1]base!D:K,8,0)</f>
        <v>0.90350000000000008</v>
      </c>
      <c r="W103" s="29">
        <f t="shared" si="9"/>
        <v>9.9385000000000012</v>
      </c>
      <c r="X103" s="29">
        <f t="shared" si="10"/>
        <v>0.51680200000000009</v>
      </c>
      <c r="Y103" s="29">
        <f>+VLOOKUP(E103,[1]base!D:E,2,0)</f>
        <v>20</v>
      </c>
      <c r="Z103" s="29">
        <f t="shared" si="11"/>
        <v>1</v>
      </c>
      <c r="AA103" s="29">
        <f t="shared" si="12"/>
        <v>6.6666666666666693E-2</v>
      </c>
      <c r="AB103" s="29">
        <f>+VLOOKUP(E103,[1]base!M:N,2,0)</f>
        <v>2067</v>
      </c>
      <c r="AC103" s="29">
        <f>+VLOOKUP(E103,[1]base!M:Q,5,0)</f>
        <v>2162.818181818182</v>
      </c>
      <c r="AD103" s="30">
        <f>+VLOOKUP(E103,[1]base!M:P,4,0)</f>
        <v>0.13982521847690388</v>
      </c>
      <c r="AE103" s="31">
        <f t="shared" si="13"/>
        <v>331.08127340823967</v>
      </c>
    </row>
    <row r="104" spans="1:31" s="32" customFormat="1" x14ac:dyDescent="0.25">
      <c r="A104" s="12" t="s">
        <v>1021</v>
      </c>
      <c r="B104" s="13">
        <v>46266.424675925926</v>
      </c>
      <c r="C104" s="12" t="s">
        <v>24</v>
      </c>
      <c r="D104" s="12" t="s">
        <v>1025</v>
      </c>
      <c r="E104" s="26" t="str">
        <f t="shared" si="7"/>
        <v>CO124</v>
      </c>
      <c r="F104" s="27" t="str">
        <f t="shared" si="8"/>
        <v>DARK</v>
      </c>
      <c r="G104" s="27">
        <f>+VLOOKUP(F104,[1]base!A:B,2,0)</f>
        <v>38</v>
      </c>
      <c r="H104" s="12">
        <v>9</v>
      </c>
      <c r="I104" s="12">
        <v>9</v>
      </c>
      <c r="J104" s="14"/>
      <c r="K104" s="14" t="s">
        <v>61</v>
      </c>
      <c r="L104" s="12" t="s">
        <v>1056</v>
      </c>
      <c r="M104" s="12" t="s">
        <v>150</v>
      </c>
      <c r="N104" s="12">
        <v>9</v>
      </c>
      <c r="O104" s="12">
        <v>9</v>
      </c>
      <c r="P104" s="12">
        <v>0</v>
      </c>
      <c r="Q104" s="16">
        <v>9</v>
      </c>
      <c r="R104" s="16">
        <v>0</v>
      </c>
      <c r="S104" s="16"/>
      <c r="T104" s="28">
        <v>9</v>
      </c>
      <c r="U104" s="28"/>
      <c r="V104" s="29">
        <f>+VLOOKUP(E104,[1]base!D:K,8,0)</f>
        <v>1.742</v>
      </c>
      <c r="W104" s="29">
        <f t="shared" si="9"/>
        <v>15.678000000000001</v>
      </c>
      <c r="X104" s="29">
        <f t="shared" si="10"/>
        <v>0.81525599999999998</v>
      </c>
      <c r="Y104" s="29">
        <f>+VLOOKUP(E104,[1]base!D:E,2,0)</f>
        <v>20</v>
      </c>
      <c r="Z104" s="29">
        <f t="shared" si="11"/>
        <v>1</v>
      </c>
      <c r="AA104" s="29">
        <f t="shared" si="12"/>
        <v>6.6666666666666693E-2</v>
      </c>
      <c r="AB104" s="29">
        <f>+VLOOKUP(E104,[1]base!M:N,2,0)</f>
        <v>207</v>
      </c>
      <c r="AC104" s="29">
        <f>+VLOOKUP(E104,[1]base!M:Q,5,0)</f>
        <v>37.666666666666664</v>
      </c>
      <c r="AD104" s="30">
        <f>+VLOOKUP(E104,[1]base!M:P,4,0)</f>
        <v>0.1038961038961039</v>
      </c>
      <c r="AE104" s="31">
        <f t="shared" si="13"/>
        <v>40.593506493506489</v>
      </c>
    </row>
    <row r="105" spans="1:31" s="32" customFormat="1" x14ac:dyDescent="0.25">
      <c r="A105" s="12" t="s">
        <v>598</v>
      </c>
      <c r="B105" s="13">
        <v>46246.522766203707</v>
      </c>
      <c r="C105" s="12" t="s">
        <v>599</v>
      </c>
      <c r="D105" s="12" t="s">
        <v>600</v>
      </c>
      <c r="E105" s="26" t="str">
        <f t="shared" si="7"/>
        <v>CSQ102</v>
      </c>
      <c r="F105" s="27" t="str">
        <f t="shared" si="8"/>
        <v>BLC</v>
      </c>
      <c r="G105" s="27">
        <f>+VLOOKUP(F105,[1]base!A:B,2,0)</f>
        <v>1</v>
      </c>
      <c r="H105" s="12">
        <v>60</v>
      </c>
      <c r="I105" s="12">
        <v>60</v>
      </c>
      <c r="J105" s="14"/>
      <c r="K105" s="14" t="s">
        <v>61</v>
      </c>
      <c r="L105" s="12" t="s">
        <v>601</v>
      </c>
      <c r="M105" s="12" t="s">
        <v>150</v>
      </c>
      <c r="N105" s="12">
        <v>60</v>
      </c>
      <c r="O105" s="12">
        <v>60</v>
      </c>
      <c r="P105" s="12">
        <v>0</v>
      </c>
      <c r="Q105" s="16">
        <v>110</v>
      </c>
      <c r="R105" s="16">
        <v>1</v>
      </c>
      <c r="S105" s="16"/>
      <c r="T105" s="28">
        <v>60</v>
      </c>
      <c r="U105" s="28"/>
      <c r="V105" s="29">
        <f>+VLOOKUP(E105,[1]base!D:K,8,0)</f>
        <v>6.5064999999999991</v>
      </c>
      <c r="W105" s="29">
        <f t="shared" si="9"/>
        <v>390.38999999999993</v>
      </c>
      <c r="X105" s="29">
        <f t="shared" si="10"/>
        <v>20.300279999999994</v>
      </c>
      <c r="Y105" s="29">
        <f>+VLOOKUP(E105,[1]base!D:E,2,0)</f>
        <v>12</v>
      </c>
      <c r="Z105" s="29">
        <f t="shared" si="11"/>
        <v>5</v>
      </c>
      <c r="AA105" s="29">
        <f t="shared" si="12"/>
        <v>0.33333333333333348</v>
      </c>
      <c r="AB105" s="29">
        <f>+VLOOKUP(E105,[1]base!M:N,2,0)</f>
        <v>24</v>
      </c>
      <c r="AC105" s="29">
        <f>+VLOOKUP(E105,[1]base!M:Q,5,0)</f>
        <v>266.66666666666669</v>
      </c>
      <c r="AD105" s="30">
        <f>+VLOOKUP(E105,[1]base!M:P,4,0)</f>
        <v>0.04</v>
      </c>
      <c r="AE105" s="31">
        <f t="shared" si="13"/>
        <v>6.24</v>
      </c>
    </row>
    <row r="106" spans="1:31" s="32" customFormat="1" x14ac:dyDescent="0.25">
      <c r="A106" s="12" t="s">
        <v>632</v>
      </c>
      <c r="B106" s="13">
        <v>46248.315150462964</v>
      </c>
      <c r="C106" s="12" t="s">
        <v>258</v>
      </c>
      <c r="D106" s="12" t="s">
        <v>600</v>
      </c>
      <c r="E106" s="26" t="str">
        <f t="shared" si="7"/>
        <v>CSQ102</v>
      </c>
      <c r="F106" s="27" t="str">
        <f t="shared" si="8"/>
        <v>BLC</v>
      </c>
      <c r="G106" s="27">
        <f>+VLOOKUP(F106,[1]base!A:B,2,0)</f>
        <v>1</v>
      </c>
      <c r="H106" s="12">
        <v>15</v>
      </c>
      <c r="I106" s="12">
        <v>15</v>
      </c>
      <c r="J106" s="14"/>
      <c r="K106" s="14" t="s">
        <v>61</v>
      </c>
      <c r="L106" s="12" t="s">
        <v>636</v>
      </c>
      <c r="M106" s="12" t="s">
        <v>150</v>
      </c>
      <c r="N106" s="12">
        <v>15</v>
      </c>
      <c r="O106" s="12">
        <v>15</v>
      </c>
      <c r="P106" s="12">
        <v>0</v>
      </c>
      <c r="Q106" s="16">
        <v>15</v>
      </c>
      <c r="R106" s="16">
        <v>1</v>
      </c>
      <c r="S106" s="16"/>
      <c r="T106" s="28">
        <v>15</v>
      </c>
      <c r="U106" s="28"/>
      <c r="V106" s="29">
        <f>+VLOOKUP(E106,[1]base!D:K,8,0)</f>
        <v>6.5064999999999991</v>
      </c>
      <c r="W106" s="29">
        <f t="shared" si="9"/>
        <v>97.597499999999982</v>
      </c>
      <c r="X106" s="29">
        <f t="shared" si="10"/>
        <v>5.0750699999999984</v>
      </c>
      <c r="Y106" s="29">
        <f>+VLOOKUP(E106,[1]base!D:E,2,0)</f>
        <v>12</v>
      </c>
      <c r="Z106" s="29">
        <f t="shared" si="11"/>
        <v>2</v>
      </c>
      <c r="AA106" s="29">
        <f t="shared" si="12"/>
        <v>0.13333333333333339</v>
      </c>
      <c r="AB106" s="29">
        <f>+VLOOKUP(E106,[1]base!M:N,2,0)</f>
        <v>24</v>
      </c>
      <c r="AC106" s="29">
        <f>+VLOOKUP(E106,[1]base!M:Q,5,0)</f>
        <v>266.66666666666669</v>
      </c>
      <c r="AD106" s="30">
        <f>+VLOOKUP(E106,[1]base!M:P,4,0)</f>
        <v>0.04</v>
      </c>
      <c r="AE106" s="31">
        <f t="shared" si="13"/>
        <v>6.24</v>
      </c>
    </row>
    <row r="107" spans="1:31" s="32" customFormat="1" x14ac:dyDescent="0.25">
      <c r="A107" s="12" t="s">
        <v>888</v>
      </c>
      <c r="B107" s="13">
        <v>46261.508750000001</v>
      </c>
      <c r="C107" s="12" t="s">
        <v>502</v>
      </c>
      <c r="D107" s="12" t="s">
        <v>600</v>
      </c>
      <c r="E107" s="26" t="str">
        <f t="shared" si="7"/>
        <v>CSQ102</v>
      </c>
      <c r="F107" s="27" t="str">
        <f t="shared" si="8"/>
        <v>BLC</v>
      </c>
      <c r="G107" s="27">
        <f>+VLOOKUP(F107,[1]base!A:B,2,0)</f>
        <v>1</v>
      </c>
      <c r="H107" s="12">
        <v>2</v>
      </c>
      <c r="I107" s="12">
        <v>2</v>
      </c>
      <c r="J107" s="14"/>
      <c r="K107" s="14" t="s">
        <v>61</v>
      </c>
      <c r="L107" s="12" t="s">
        <v>889</v>
      </c>
      <c r="M107" s="12" t="s">
        <v>150</v>
      </c>
      <c r="N107" s="12">
        <v>2</v>
      </c>
      <c r="O107" s="12">
        <v>2</v>
      </c>
      <c r="P107" s="12">
        <v>0</v>
      </c>
      <c r="Q107" s="16">
        <v>2</v>
      </c>
      <c r="R107" s="16">
        <v>1</v>
      </c>
      <c r="S107" s="16"/>
      <c r="T107" s="28">
        <v>1</v>
      </c>
      <c r="U107" s="28">
        <v>1</v>
      </c>
      <c r="V107" s="29">
        <f>+VLOOKUP(E107,[1]base!D:K,8,0)</f>
        <v>6.5064999999999991</v>
      </c>
      <c r="W107" s="29">
        <f t="shared" si="9"/>
        <v>13.012999999999998</v>
      </c>
      <c r="X107" s="29">
        <f t="shared" si="10"/>
        <v>0.67667599999999983</v>
      </c>
      <c r="Y107" s="29">
        <f>+VLOOKUP(E107,[1]base!D:E,2,0)</f>
        <v>12</v>
      </c>
      <c r="Z107" s="29">
        <f t="shared" si="11"/>
        <v>1</v>
      </c>
      <c r="AA107" s="29">
        <f t="shared" si="12"/>
        <v>6.6666666666666693E-2</v>
      </c>
      <c r="AB107" s="29">
        <f>+VLOOKUP(E107,[1]base!M:N,2,0)</f>
        <v>24</v>
      </c>
      <c r="AC107" s="29">
        <f>+VLOOKUP(E107,[1]base!M:Q,5,0)</f>
        <v>266.66666666666669</v>
      </c>
      <c r="AD107" s="30">
        <f>+VLOOKUP(E107,[1]base!M:P,4,0)</f>
        <v>0.04</v>
      </c>
      <c r="AE107" s="31">
        <f t="shared" si="13"/>
        <v>6.24</v>
      </c>
    </row>
    <row r="108" spans="1:31" s="32" customFormat="1" x14ac:dyDescent="0.25">
      <c r="A108" s="12" t="s">
        <v>1016</v>
      </c>
      <c r="B108" s="13">
        <v>46266.406585648147</v>
      </c>
      <c r="C108" s="12" t="s">
        <v>599</v>
      </c>
      <c r="D108" s="12" t="s">
        <v>600</v>
      </c>
      <c r="E108" s="26" t="str">
        <f t="shared" si="7"/>
        <v>CSQ102</v>
      </c>
      <c r="F108" s="27" t="str">
        <f t="shared" si="8"/>
        <v>BLC</v>
      </c>
      <c r="G108" s="27">
        <f>+VLOOKUP(F108,[1]base!A:B,2,0)</f>
        <v>1</v>
      </c>
      <c r="H108" s="12">
        <v>50</v>
      </c>
      <c r="I108" s="12">
        <v>50</v>
      </c>
      <c r="J108" s="14"/>
      <c r="K108" s="14" t="s">
        <v>61</v>
      </c>
      <c r="L108" s="12" t="s">
        <v>1019</v>
      </c>
      <c r="M108" s="12" t="s">
        <v>150</v>
      </c>
      <c r="N108" s="12">
        <v>50</v>
      </c>
      <c r="O108" s="12">
        <v>50</v>
      </c>
      <c r="P108" s="12">
        <v>0</v>
      </c>
      <c r="Q108" s="16">
        <v>50</v>
      </c>
      <c r="R108" s="16">
        <v>1</v>
      </c>
      <c r="S108" s="16"/>
      <c r="T108" s="28">
        <v>50</v>
      </c>
      <c r="U108" s="28"/>
      <c r="V108" s="29">
        <f>+VLOOKUP(E108,[1]base!D:K,8,0)</f>
        <v>6.5064999999999991</v>
      </c>
      <c r="W108" s="29">
        <f t="shared" si="9"/>
        <v>325.32499999999993</v>
      </c>
      <c r="X108" s="29">
        <f t="shared" si="10"/>
        <v>16.916899999999995</v>
      </c>
      <c r="Y108" s="29">
        <f>+VLOOKUP(E108,[1]base!D:E,2,0)</f>
        <v>12</v>
      </c>
      <c r="Z108" s="29">
        <f t="shared" si="11"/>
        <v>5</v>
      </c>
      <c r="AA108" s="29">
        <f t="shared" si="12"/>
        <v>0.33333333333333348</v>
      </c>
      <c r="AB108" s="29">
        <f>+VLOOKUP(E108,[1]base!M:N,2,0)</f>
        <v>24</v>
      </c>
      <c r="AC108" s="29">
        <f>+VLOOKUP(E108,[1]base!M:Q,5,0)</f>
        <v>266.66666666666669</v>
      </c>
      <c r="AD108" s="30">
        <f>+VLOOKUP(E108,[1]base!M:P,4,0)</f>
        <v>0.04</v>
      </c>
      <c r="AE108" s="31">
        <f t="shared" si="13"/>
        <v>6.24</v>
      </c>
    </row>
    <row r="109" spans="1:31" s="32" customFormat="1" x14ac:dyDescent="0.25">
      <c r="A109" s="12" t="s">
        <v>1570</v>
      </c>
      <c r="B109" s="13">
        <v>46274.654050925928</v>
      </c>
      <c r="C109" s="12" t="s">
        <v>24</v>
      </c>
      <c r="D109" s="12" t="s">
        <v>1577</v>
      </c>
      <c r="E109" s="26" t="str">
        <f t="shared" si="7"/>
        <v>CSQ102</v>
      </c>
      <c r="F109" s="27" t="str">
        <f t="shared" si="8"/>
        <v>CHPG</v>
      </c>
      <c r="G109" s="27">
        <f>+VLOOKUP(F109,[1]base!A:B,2,0)</f>
        <v>11</v>
      </c>
      <c r="H109" s="12">
        <v>1</v>
      </c>
      <c r="I109" s="12">
        <v>1</v>
      </c>
      <c r="J109" s="14"/>
      <c r="K109" s="14" t="s">
        <v>61</v>
      </c>
      <c r="L109" s="12" t="s">
        <v>1586</v>
      </c>
      <c r="M109" s="12" t="s">
        <v>150</v>
      </c>
      <c r="N109" s="12">
        <v>1</v>
      </c>
      <c r="O109" s="12">
        <v>1</v>
      </c>
      <c r="P109" s="12">
        <v>0</v>
      </c>
      <c r="Q109" s="16">
        <v>1</v>
      </c>
      <c r="R109" s="16">
        <v>0</v>
      </c>
      <c r="S109" s="16"/>
      <c r="T109" s="28">
        <v>1</v>
      </c>
      <c r="U109" s="28"/>
      <c r="V109" s="29">
        <f>+VLOOKUP(E109,[1]base!D:K,8,0)</f>
        <v>6.5064999999999991</v>
      </c>
      <c r="W109" s="29">
        <f t="shared" si="9"/>
        <v>6.5064999999999991</v>
      </c>
      <c r="X109" s="29">
        <f t="shared" si="10"/>
        <v>0.33833799999999992</v>
      </c>
      <c r="Y109" s="29">
        <f>+VLOOKUP(E109,[1]base!D:E,2,0)</f>
        <v>12</v>
      </c>
      <c r="Z109" s="29">
        <f t="shared" si="11"/>
        <v>1</v>
      </c>
      <c r="AA109" s="29">
        <f t="shared" si="12"/>
        <v>6.6666666666666693E-2</v>
      </c>
      <c r="AB109" s="29">
        <f>+VLOOKUP(E109,[1]base!M:N,2,0)</f>
        <v>24</v>
      </c>
      <c r="AC109" s="29">
        <f>+VLOOKUP(E109,[1]base!M:Q,5,0)</f>
        <v>266.66666666666669</v>
      </c>
      <c r="AD109" s="30">
        <f>+VLOOKUP(E109,[1]base!M:P,4,0)</f>
        <v>0.04</v>
      </c>
      <c r="AE109" s="31">
        <f t="shared" si="13"/>
        <v>6.24</v>
      </c>
    </row>
    <row r="110" spans="1:31" s="32" customFormat="1" x14ac:dyDescent="0.25">
      <c r="A110" s="12" t="s">
        <v>744</v>
      </c>
      <c r="B110" s="13">
        <v>46256.424629629626</v>
      </c>
      <c r="C110" s="12" t="s">
        <v>258</v>
      </c>
      <c r="D110" s="12" t="s">
        <v>105</v>
      </c>
      <c r="E110" s="26" t="str">
        <f t="shared" si="7"/>
        <v>CSQ102</v>
      </c>
      <c r="F110" s="27" t="str">
        <f t="shared" si="8"/>
        <v>NOIR</v>
      </c>
      <c r="G110" s="27">
        <f>+VLOOKUP(F110,[1]base!A:B,2,0)</f>
        <v>37</v>
      </c>
      <c r="H110" s="12">
        <v>3</v>
      </c>
      <c r="I110" s="12">
        <v>3</v>
      </c>
      <c r="J110" s="14"/>
      <c r="K110" s="14" t="s">
        <v>61</v>
      </c>
      <c r="L110" s="12" t="s">
        <v>745</v>
      </c>
      <c r="M110" s="12" t="s">
        <v>150</v>
      </c>
      <c r="N110" s="12">
        <v>3</v>
      </c>
      <c r="O110" s="12">
        <v>3</v>
      </c>
      <c r="P110" s="12">
        <v>0</v>
      </c>
      <c r="Q110" s="16">
        <v>3</v>
      </c>
      <c r="R110" s="16">
        <v>0</v>
      </c>
      <c r="S110" s="16"/>
      <c r="T110" s="28">
        <v>3</v>
      </c>
      <c r="U110" s="28"/>
      <c r="V110" s="29">
        <f>+VLOOKUP(E110,[1]base!D:K,8,0)</f>
        <v>6.5064999999999991</v>
      </c>
      <c r="W110" s="29">
        <f t="shared" si="9"/>
        <v>19.519499999999997</v>
      </c>
      <c r="X110" s="29">
        <f t="shared" si="10"/>
        <v>1.0150139999999999</v>
      </c>
      <c r="Y110" s="29">
        <f>+VLOOKUP(E110,[1]base!D:E,2,0)</f>
        <v>12</v>
      </c>
      <c r="Z110" s="29">
        <f t="shared" si="11"/>
        <v>1</v>
      </c>
      <c r="AA110" s="29">
        <f t="shared" si="12"/>
        <v>6.6666666666666693E-2</v>
      </c>
      <c r="AB110" s="29">
        <f>+VLOOKUP(E110,[1]base!M:N,2,0)</f>
        <v>24</v>
      </c>
      <c r="AC110" s="29">
        <f>+VLOOKUP(E110,[1]base!M:Q,5,0)</f>
        <v>266.66666666666669</v>
      </c>
      <c r="AD110" s="30">
        <f>+VLOOKUP(E110,[1]base!M:P,4,0)</f>
        <v>0.04</v>
      </c>
      <c r="AE110" s="31">
        <f t="shared" si="13"/>
        <v>6.24</v>
      </c>
    </row>
    <row r="111" spans="1:31" s="32" customFormat="1" x14ac:dyDescent="0.25">
      <c r="A111" s="12" t="s">
        <v>1186</v>
      </c>
      <c r="B111" s="13">
        <v>46267.531759259262</v>
      </c>
      <c r="C111" s="12" t="s">
        <v>258</v>
      </c>
      <c r="D111" s="12" t="s">
        <v>1189</v>
      </c>
      <c r="E111" s="26" t="str">
        <f t="shared" si="7"/>
        <v>CSQ102</v>
      </c>
      <c r="F111" s="27" t="str">
        <f t="shared" si="8"/>
        <v>DARK</v>
      </c>
      <c r="G111" s="27">
        <f>+VLOOKUP(F111,[1]base!A:B,2,0)</f>
        <v>38</v>
      </c>
      <c r="H111" s="12">
        <v>4</v>
      </c>
      <c r="I111" s="12">
        <v>4</v>
      </c>
      <c r="J111" s="14"/>
      <c r="K111" s="14" t="s">
        <v>61</v>
      </c>
      <c r="L111" s="12" t="s">
        <v>1193</v>
      </c>
      <c r="M111" s="12" t="s">
        <v>150</v>
      </c>
      <c r="N111" s="12">
        <v>4</v>
      </c>
      <c r="O111" s="12">
        <v>4</v>
      </c>
      <c r="P111" s="12">
        <v>0</v>
      </c>
      <c r="Q111" s="16">
        <v>4</v>
      </c>
      <c r="R111" s="16">
        <v>0</v>
      </c>
      <c r="S111" s="16"/>
      <c r="T111" s="28">
        <v>4</v>
      </c>
      <c r="U111" s="28"/>
      <c r="V111" s="29">
        <f>+VLOOKUP(E111,[1]base!D:K,8,0)</f>
        <v>6.5064999999999991</v>
      </c>
      <c r="W111" s="29">
        <f t="shared" si="9"/>
        <v>26.025999999999996</v>
      </c>
      <c r="X111" s="29">
        <f t="shared" si="10"/>
        <v>1.3533519999999997</v>
      </c>
      <c r="Y111" s="29">
        <f>+VLOOKUP(E111,[1]base!D:E,2,0)</f>
        <v>12</v>
      </c>
      <c r="Z111" s="29">
        <f t="shared" si="11"/>
        <v>1</v>
      </c>
      <c r="AA111" s="29">
        <f t="shared" si="12"/>
        <v>6.6666666666666693E-2</v>
      </c>
      <c r="AB111" s="29">
        <f>+VLOOKUP(E111,[1]base!M:N,2,0)</f>
        <v>24</v>
      </c>
      <c r="AC111" s="29">
        <f>+VLOOKUP(E111,[1]base!M:Q,5,0)</f>
        <v>266.66666666666669</v>
      </c>
      <c r="AD111" s="30">
        <f>+VLOOKUP(E111,[1]base!M:P,4,0)</f>
        <v>0.04</v>
      </c>
      <c r="AE111" s="31">
        <f t="shared" si="13"/>
        <v>6.24</v>
      </c>
    </row>
    <row r="112" spans="1:31" s="32" customFormat="1" x14ac:dyDescent="0.25">
      <c r="A112" s="12" t="s">
        <v>792</v>
      </c>
      <c r="B112" s="13">
        <v>46260.398888888885</v>
      </c>
      <c r="C112" s="12" t="s">
        <v>24</v>
      </c>
      <c r="D112" s="12" t="s">
        <v>795</v>
      </c>
      <c r="E112" s="26" t="str">
        <f t="shared" si="7"/>
        <v>CSQ103</v>
      </c>
      <c r="F112" s="27" t="str">
        <f t="shared" si="8"/>
        <v>GREY</v>
      </c>
      <c r="G112" s="27">
        <f>+VLOOKUP(F112,[1]base!A:B,2,0)</f>
        <v>24</v>
      </c>
      <c r="H112" s="12">
        <v>3</v>
      </c>
      <c r="I112" s="12">
        <v>3</v>
      </c>
      <c r="J112" s="14"/>
      <c r="K112" s="14" t="s">
        <v>61</v>
      </c>
      <c r="L112" s="12" t="s">
        <v>801</v>
      </c>
      <c r="M112" s="12" t="s">
        <v>150</v>
      </c>
      <c r="N112" s="12">
        <v>3</v>
      </c>
      <c r="O112" s="12">
        <v>3</v>
      </c>
      <c r="P112" s="12">
        <v>0</v>
      </c>
      <c r="Q112" s="16">
        <v>3</v>
      </c>
      <c r="R112" s="16">
        <v>0</v>
      </c>
      <c r="S112" s="16"/>
      <c r="T112" s="28">
        <v>3</v>
      </c>
      <c r="U112" s="28"/>
      <c r="V112" s="29">
        <f>+VLOOKUP(E112,[1]base!D:K,8,0)</f>
        <v>6.0255000000000001</v>
      </c>
      <c r="W112" s="29">
        <f t="shared" si="9"/>
        <v>18.076499999999999</v>
      </c>
      <c r="X112" s="29">
        <f t="shared" si="10"/>
        <v>0.93997799999999987</v>
      </c>
      <c r="Y112" s="29">
        <f>+VLOOKUP(E112,[1]base!D:E,2,0)</f>
        <v>12</v>
      </c>
      <c r="Z112" s="29">
        <f t="shared" si="11"/>
        <v>1</v>
      </c>
      <c r="AA112" s="29">
        <f t="shared" si="12"/>
        <v>6.6666666666666693E-2</v>
      </c>
      <c r="AB112" s="29">
        <f>+VLOOKUP(E112,[1]base!M:N,2,0)</f>
        <v>1502</v>
      </c>
      <c r="AC112" s="29">
        <f>+VLOOKUP(E112,[1]base!M:Q,5,0)</f>
        <v>153</v>
      </c>
      <c r="AD112" s="30">
        <f>+VLOOKUP(E112,[1]base!M:P,4,0)</f>
        <v>2.6560424966799467E-3</v>
      </c>
      <c r="AE112" s="31">
        <f t="shared" si="13"/>
        <v>446.61062416998669</v>
      </c>
    </row>
    <row r="113" spans="1:31" s="32" customFormat="1" x14ac:dyDescent="0.25">
      <c r="A113" s="12" t="s">
        <v>716</v>
      </c>
      <c r="B113" s="13">
        <v>46255.331192129626</v>
      </c>
      <c r="C113" s="12" t="s">
        <v>717</v>
      </c>
      <c r="D113" s="12" t="s">
        <v>718</v>
      </c>
      <c r="E113" s="26" t="str">
        <f t="shared" si="7"/>
        <v>CSQ103</v>
      </c>
      <c r="F113" s="27" t="str">
        <f t="shared" si="8"/>
        <v>NOIR</v>
      </c>
      <c r="G113" s="27">
        <f>+VLOOKUP(F113,[1]base!A:B,2,0)</f>
        <v>37</v>
      </c>
      <c r="H113" s="12">
        <v>1</v>
      </c>
      <c r="I113" s="12">
        <v>1</v>
      </c>
      <c r="J113" s="14"/>
      <c r="K113" s="14" t="s">
        <v>61</v>
      </c>
      <c r="L113" s="12" t="s">
        <v>720</v>
      </c>
      <c r="M113" s="12" t="s">
        <v>150</v>
      </c>
      <c r="N113" s="12">
        <v>1</v>
      </c>
      <c r="O113" s="12">
        <v>1</v>
      </c>
      <c r="P113" s="12">
        <v>0</v>
      </c>
      <c r="Q113" s="16">
        <v>1</v>
      </c>
      <c r="R113" s="16">
        <v>0</v>
      </c>
      <c r="S113" s="16"/>
      <c r="T113" s="28">
        <v>1</v>
      </c>
      <c r="U113" s="28"/>
      <c r="V113" s="29">
        <f>+VLOOKUP(E113,[1]base!D:K,8,0)</f>
        <v>6.0255000000000001</v>
      </c>
      <c r="W113" s="29">
        <f t="shared" si="9"/>
        <v>6.0255000000000001</v>
      </c>
      <c r="X113" s="29">
        <f t="shared" si="10"/>
        <v>0.31332599999999999</v>
      </c>
      <c r="Y113" s="29">
        <f>+VLOOKUP(E113,[1]base!D:E,2,0)</f>
        <v>12</v>
      </c>
      <c r="Z113" s="29">
        <f t="shared" si="11"/>
        <v>1</v>
      </c>
      <c r="AA113" s="29">
        <f t="shared" si="12"/>
        <v>6.6666666666666693E-2</v>
      </c>
      <c r="AB113" s="29">
        <f>+VLOOKUP(E113,[1]base!M:N,2,0)</f>
        <v>1502</v>
      </c>
      <c r="AC113" s="29">
        <f>+VLOOKUP(E113,[1]base!M:Q,5,0)</f>
        <v>153</v>
      </c>
      <c r="AD113" s="30">
        <f>+VLOOKUP(E113,[1]base!M:P,4,0)</f>
        <v>2.6560424966799467E-3</v>
      </c>
      <c r="AE113" s="31">
        <f t="shared" si="13"/>
        <v>446.61062416998669</v>
      </c>
    </row>
    <row r="114" spans="1:31" s="32" customFormat="1" x14ac:dyDescent="0.25">
      <c r="A114" s="12" t="s">
        <v>784</v>
      </c>
      <c r="B114" s="13">
        <v>46259.434999999998</v>
      </c>
      <c r="C114" s="12" t="s">
        <v>785</v>
      </c>
      <c r="D114" s="12" t="s">
        <v>718</v>
      </c>
      <c r="E114" s="26" t="str">
        <f t="shared" si="7"/>
        <v>CSQ103</v>
      </c>
      <c r="F114" s="27" t="str">
        <f t="shared" si="8"/>
        <v>NOIR</v>
      </c>
      <c r="G114" s="27">
        <f>+VLOOKUP(F114,[1]base!A:B,2,0)</f>
        <v>37</v>
      </c>
      <c r="H114" s="12">
        <v>10</v>
      </c>
      <c r="I114" s="12">
        <v>10</v>
      </c>
      <c r="J114" s="14"/>
      <c r="K114" s="14" t="s">
        <v>61</v>
      </c>
      <c r="L114" s="12" t="s">
        <v>787</v>
      </c>
      <c r="M114" s="12" t="s">
        <v>150</v>
      </c>
      <c r="N114" s="12">
        <v>10</v>
      </c>
      <c r="O114" s="12">
        <v>10</v>
      </c>
      <c r="P114" s="12">
        <v>0</v>
      </c>
      <c r="Q114" s="16">
        <v>10</v>
      </c>
      <c r="R114" s="16">
        <v>0</v>
      </c>
      <c r="S114" s="16"/>
      <c r="T114" s="28">
        <v>10</v>
      </c>
      <c r="U114" s="28"/>
      <c r="V114" s="29">
        <f>+VLOOKUP(E114,[1]base!D:K,8,0)</f>
        <v>6.0255000000000001</v>
      </c>
      <c r="W114" s="29">
        <f t="shared" si="9"/>
        <v>60.255000000000003</v>
      </c>
      <c r="X114" s="29">
        <f t="shared" si="10"/>
        <v>3.1332599999999999</v>
      </c>
      <c r="Y114" s="29">
        <f>+VLOOKUP(E114,[1]base!D:E,2,0)</f>
        <v>12</v>
      </c>
      <c r="Z114" s="29">
        <f t="shared" si="11"/>
        <v>1</v>
      </c>
      <c r="AA114" s="29">
        <f t="shared" si="12"/>
        <v>6.6666666666666693E-2</v>
      </c>
      <c r="AB114" s="29">
        <f>+VLOOKUP(E114,[1]base!M:N,2,0)</f>
        <v>1502</v>
      </c>
      <c r="AC114" s="29">
        <f>+VLOOKUP(E114,[1]base!M:Q,5,0)</f>
        <v>153</v>
      </c>
      <c r="AD114" s="30">
        <f>+VLOOKUP(E114,[1]base!M:P,4,0)</f>
        <v>2.6560424966799467E-3</v>
      </c>
      <c r="AE114" s="31">
        <f t="shared" si="13"/>
        <v>446.61062416998669</v>
      </c>
    </row>
    <row r="115" spans="1:31" s="32" customFormat="1" x14ac:dyDescent="0.25">
      <c r="A115" s="12" t="s">
        <v>1404</v>
      </c>
      <c r="B115" s="13">
        <v>46272.553136574075</v>
      </c>
      <c r="C115" s="12" t="s">
        <v>24</v>
      </c>
      <c r="D115" s="12" t="s">
        <v>718</v>
      </c>
      <c r="E115" s="26" t="str">
        <f t="shared" si="7"/>
        <v>CSQ103</v>
      </c>
      <c r="F115" s="27" t="str">
        <f t="shared" si="8"/>
        <v>NOIR</v>
      </c>
      <c r="G115" s="27">
        <f>+VLOOKUP(F115,[1]base!A:B,2,0)</f>
        <v>37</v>
      </c>
      <c r="H115" s="12">
        <v>10</v>
      </c>
      <c r="I115" s="12">
        <v>10</v>
      </c>
      <c r="J115" s="14"/>
      <c r="K115" s="14" t="s">
        <v>61</v>
      </c>
      <c r="L115" s="12" t="s">
        <v>1409</v>
      </c>
      <c r="M115" s="12" t="s">
        <v>150</v>
      </c>
      <c r="N115" s="12">
        <v>10</v>
      </c>
      <c r="O115" s="12">
        <v>10</v>
      </c>
      <c r="P115" s="12">
        <v>0</v>
      </c>
      <c r="Q115" s="16">
        <v>10</v>
      </c>
      <c r="R115" s="16">
        <v>0</v>
      </c>
      <c r="S115" s="16"/>
      <c r="T115" s="28">
        <v>10</v>
      </c>
      <c r="U115" s="28"/>
      <c r="V115" s="29">
        <f>+VLOOKUP(E115,[1]base!D:K,8,0)</f>
        <v>6.0255000000000001</v>
      </c>
      <c r="W115" s="29">
        <f t="shared" si="9"/>
        <v>60.255000000000003</v>
      </c>
      <c r="X115" s="29">
        <f t="shared" si="10"/>
        <v>3.1332599999999999</v>
      </c>
      <c r="Y115" s="29">
        <f>+VLOOKUP(E115,[1]base!D:E,2,0)</f>
        <v>12</v>
      </c>
      <c r="Z115" s="29">
        <f t="shared" si="11"/>
        <v>1</v>
      </c>
      <c r="AA115" s="29">
        <f t="shared" si="12"/>
        <v>6.6666666666666693E-2</v>
      </c>
      <c r="AB115" s="29">
        <f>+VLOOKUP(E115,[1]base!M:N,2,0)</f>
        <v>1502</v>
      </c>
      <c r="AC115" s="29">
        <f>+VLOOKUP(E115,[1]base!M:Q,5,0)</f>
        <v>153</v>
      </c>
      <c r="AD115" s="30">
        <f>+VLOOKUP(E115,[1]base!M:P,4,0)</f>
        <v>2.6560424966799467E-3</v>
      </c>
      <c r="AE115" s="31">
        <f t="shared" si="13"/>
        <v>446.61062416998669</v>
      </c>
    </row>
    <row r="116" spans="1:31" s="32" customFormat="1" x14ac:dyDescent="0.25">
      <c r="A116" s="12" t="s">
        <v>1021</v>
      </c>
      <c r="B116" s="13">
        <v>46266.424675925926</v>
      </c>
      <c r="C116" s="12" t="s">
        <v>24</v>
      </c>
      <c r="D116" s="12" t="s">
        <v>1026</v>
      </c>
      <c r="E116" s="26" t="str">
        <f t="shared" si="7"/>
        <v>CSQ103</v>
      </c>
      <c r="F116" s="27" t="str">
        <f t="shared" si="8"/>
        <v>DARK</v>
      </c>
      <c r="G116" s="27">
        <f>+VLOOKUP(F116,[1]base!A:B,2,0)</f>
        <v>38</v>
      </c>
      <c r="H116" s="12">
        <v>2</v>
      </c>
      <c r="I116" s="12">
        <v>2</v>
      </c>
      <c r="J116" s="14"/>
      <c r="K116" s="14" t="s">
        <v>61</v>
      </c>
      <c r="L116" s="12" t="s">
        <v>1057</v>
      </c>
      <c r="M116" s="12" t="s">
        <v>150</v>
      </c>
      <c r="N116" s="12">
        <v>2</v>
      </c>
      <c r="O116" s="12">
        <v>2</v>
      </c>
      <c r="P116" s="12">
        <v>0</v>
      </c>
      <c r="Q116" s="16">
        <v>2</v>
      </c>
      <c r="R116" s="16">
        <v>0</v>
      </c>
      <c r="S116" s="16"/>
      <c r="T116" s="28">
        <v>2</v>
      </c>
      <c r="U116" s="28"/>
      <c r="V116" s="29">
        <f>+VLOOKUP(E116,[1]base!D:K,8,0)</f>
        <v>6.0255000000000001</v>
      </c>
      <c r="W116" s="29">
        <f t="shared" si="9"/>
        <v>12.051</v>
      </c>
      <c r="X116" s="29">
        <f t="shared" si="10"/>
        <v>0.62665199999999999</v>
      </c>
      <c r="Y116" s="29">
        <f>+VLOOKUP(E116,[1]base!D:E,2,0)</f>
        <v>12</v>
      </c>
      <c r="Z116" s="29">
        <f t="shared" si="11"/>
        <v>1</v>
      </c>
      <c r="AA116" s="29">
        <f t="shared" si="12"/>
        <v>6.6666666666666693E-2</v>
      </c>
      <c r="AB116" s="29">
        <f>+VLOOKUP(E116,[1]base!M:N,2,0)</f>
        <v>1502</v>
      </c>
      <c r="AC116" s="29">
        <f>+VLOOKUP(E116,[1]base!M:Q,5,0)</f>
        <v>153</v>
      </c>
      <c r="AD116" s="30">
        <f>+VLOOKUP(E116,[1]base!M:P,4,0)</f>
        <v>2.6560424966799467E-3</v>
      </c>
      <c r="AE116" s="31">
        <f t="shared" si="13"/>
        <v>446.61062416998669</v>
      </c>
    </row>
    <row r="117" spans="1:31" s="32" customFormat="1" x14ac:dyDescent="0.25">
      <c r="A117" s="12" t="s">
        <v>632</v>
      </c>
      <c r="B117" s="13">
        <v>46248.315150462964</v>
      </c>
      <c r="C117" s="12" t="s">
        <v>258</v>
      </c>
      <c r="D117" s="12" t="s">
        <v>633</v>
      </c>
      <c r="E117" s="26" t="str">
        <f t="shared" si="7"/>
        <v>CSQ104</v>
      </c>
      <c r="F117" s="27" t="str">
        <f t="shared" si="8"/>
        <v>BLC</v>
      </c>
      <c r="G117" s="27">
        <f>+VLOOKUP(F117,[1]base!A:B,2,0)</f>
        <v>1</v>
      </c>
      <c r="H117" s="12">
        <v>30</v>
      </c>
      <c r="I117" s="12">
        <v>30</v>
      </c>
      <c r="J117" s="14"/>
      <c r="K117" s="14" t="s">
        <v>61</v>
      </c>
      <c r="L117" s="12" t="s">
        <v>637</v>
      </c>
      <c r="M117" s="12" t="s">
        <v>150</v>
      </c>
      <c r="N117" s="12">
        <v>30</v>
      </c>
      <c r="O117" s="12">
        <v>30</v>
      </c>
      <c r="P117" s="12">
        <v>0</v>
      </c>
      <c r="Q117" s="16">
        <v>30</v>
      </c>
      <c r="R117" s="16">
        <v>0</v>
      </c>
      <c r="S117" s="16"/>
      <c r="T117" s="28">
        <v>30</v>
      </c>
      <c r="U117" s="28"/>
      <c r="V117" s="29">
        <f>+VLOOKUP(E117,[1]base!D:K,8,0)</f>
        <v>4.7774999999999999</v>
      </c>
      <c r="W117" s="29">
        <f t="shared" si="9"/>
        <v>143.32499999999999</v>
      </c>
      <c r="X117" s="29">
        <f t="shared" si="10"/>
        <v>7.4528999999999987</v>
      </c>
      <c r="Y117" s="29">
        <f>+VLOOKUP(E117,[1]base!D:E,2,0)</f>
        <v>13</v>
      </c>
      <c r="Z117" s="29">
        <f t="shared" si="11"/>
        <v>3</v>
      </c>
      <c r="AA117" s="29">
        <f t="shared" si="12"/>
        <v>0.20000000000000007</v>
      </c>
      <c r="AB117" s="29">
        <f>+VLOOKUP(E117,[1]base!M:N,2,0)</f>
        <v>218</v>
      </c>
      <c r="AC117" s="29">
        <f>+VLOOKUP(E117,[1]base!M:Q,5,0)</f>
        <v>230.63636363636363</v>
      </c>
      <c r="AD117" s="30">
        <f>+VLOOKUP(E117,[1]base!M:P,4,0)</f>
        <v>1.3574660633484163E-2</v>
      </c>
      <c r="AE117" s="31">
        <f t="shared" si="13"/>
        <v>62.440723981900447</v>
      </c>
    </row>
    <row r="118" spans="1:31" s="32" customFormat="1" x14ac:dyDescent="0.25">
      <c r="A118" s="12" t="s">
        <v>888</v>
      </c>
      <c r="B118" s="13">
        <v>46261.508750000001</v>
      </c>
      <c r="C118" s="12" t="s">
        <v>502</v>
      </c>
      <c r="D118" s="12" t="s">
        <v>633</v>
      </c>
      <c r="E118" s="26" t="str">
        <f t="shared" si="7"/>
        <v>CSQ104</v>
      </c>
      <c r="F118" s="27" t="str">
        <f t="shared" si="8"/>
        <v>BLC</v>
      </c>
      <c r="G118" s="27">
        <f>+VLOOKUP(F118,[1]base!A:B,2,0)</f>
        <v>1</v>
      </c>
      <c r="H118" s="12">
        <v>12</v>
      </c>
      <c r="I118" s="12">
        <v>12</v>
      </c>
      <c r="J118" s="14"/>
      <c r="K118" s="14" t="s">
        <v>61</v>
      </c>
      <c r="L118" s="12" t="s">
        <v>890</v>
      </c>
      <c r="M118" s="12" t="s">
        <v>150</v>
      </c>
      <c r="N118" s="12">
        <v>12</v>
      </c>
      <c r="O118" s="12">
        <v>12</v>
      </c>
      <c r="P118" s="12">
        <v>0</v>
      </c>
      <c r="Q118" s="16">
        <v>12</v>
      </c>
      <c r="R118" s="16">
        <v>0</v>
      </c>
      <c r="S118" s="16"/>
      <c r="T118" s="28">
        <v>12</v>
      </c>
      <c r="U118" s="28"/>
      <c r="V118" s="29">
        <f>+VLOOKUP(E118,[1]base!D:K,8,0)</f>
        <v>4.7774999999999999</v>
      </c>
      <c r="W118" s="29">
        <f t="shared" si="9"/>
        <v>57.33</v>
      </c>
      <c r="X118" s="29">
        <f t="shared" si="10"/>
        <v>2.9811599999999996</v>
      </c>
      <c r="Y118" s="29">
        <f>+VLOOKUP(E118,[1]base!D:E,2,0)</f>
        <v>13</v>
      </c>
      <c r="Z118" s="29">
        <f t="shared" si="11"/>
        <v>1</v>
      </c>
      <c r="AA118" s="29">
        <f t="shared" si="12"/>
        <v>6.6666666666666693E-2</v>
      </c>
      <c r="AB118" s="29">
        <f>+VLOOKUP(E118,[1]base!M:N,2,0)</f>
        <v>218</v>
      </c>
      <c r="AC118" s="29">
        <f>+VLOOKUP(E118,[1]base!M:Q,5,0)</f>
        <v>230.63636363636363</v>
      </c>
      <c r="AD118" s="30">
        <f>+VLOOKUP(E118,[1]base!M:P,4,0)</f>
        <v>1.3574660633484163E-2</v>
      </c>
      <c r="AE118" s="31">
        <f t="shared" si="13"/>
        <v>62.440723981900447</v>
      </c>
    </row>
    <row r="119" spans="1:31" s="32" customFormat="1" x14ac:dyDescent="0.25">
      <c r="A119" s="12" t="s">
        <v>1570</v>
      </c>
      <c r="B119" s="13">
        <v>46274.654050925928</v>
      </c>
      <c r="C119" s="12" t="s">
        <v>24</v>
      </c>
      <c r="D119" s="12" t="s">
        <v>1579</v>
      </c>
      <c r="E119" s="26" t="str">
        <f t="shared" si="7"/>
        <v>CSQ104</v>
      </c>
      <c r="F119" s="27" t="str">
        <f t="shared" si="8"/>
        <v>CHPG</v>
      </c>
      <c r="G119" s="27">
        <f>+VLOOKUP(F119,[1]base!A:B,2,0)</f>
        <v>11</v>
      </c>
      <c r="H119" s="12">
        <v>1</v>
      </c>
      <c r="I119" s="12">
        <v>1</v>
      </c>
      <c r="J119" s="14"/>
      <c r="K119" s="14" t="s">
        <v>61</v>
      </c>
      <c r="L119" s="12" t="s">
        <v>1588</v>
      </c>
      <c r="M119" s="12" t="s">
        <v>150</v>
      </c>
      <c r="N119" s="12">
        <v>1</v>
      </c>
      <c r="O119" s="12">
        <v>1</v>
      </c>
      <c r="P119" s="12">
        <v>0</v>
      </c>
      <c r="Q119" s="16">
        <v>1</v>
      </c>
      <c r="R119" s="16">
        <v>1</v>
      </c>
      <c r="S119" s="16"/>
      <c r="T119" s="28">
        <v>0</v>
      </c>
      <c r="U119" s="28">
        <v>1</v>
      </c>
      <c r="V119" s="29">
        <f>+VLOOKUP(E119,[1]base!D:K,8,0)</f>
        <v>4.7774999999999999</v>
      </c>
      <c r="W119" s="29">
        <f t="shared" si="9"/>
        <v>4.7774999999999999</v>
      </c>
      <c r="X119" s="29">
        <f t="shared" si="10"/>
        <v>0.24842999999999998</v>
      </c>
      <c r="Y119" s="29">
        <f>+VLOOKUP(E119,[1]base!D:E,2,0)</f>
        <v>13</v>
      </c>
      <c r="Z119" s="29">
        <f t="shared" si="11"/>
        <v>0</v>
      </c>
      <c r="AA119" s="29">
        <f t="shared" si="12"/>
        <v>0</v>
      </c>
      <c r="AB119" s="29">
        <f>+VLOOKUP(E119,[1]base!M:N,2,0)</f>
        <v>218</v>
      </c>
      <c r="AC119" s="29">
        <f>+VLOOKUP(E119,[1]base!M:Q,5,0)</f>
        <v>230.63636363636363</v>
      </c>
      <c r="AD119" s="30">
        <f>+VLOOKUP(E119,[1]base!M:P,4,0)</f>
        <v>1.3574660633484163E-2</v>
      </c>
      <c r="AE119" s="31">
        <f t="shared" si="13"/>
        <v>62.440723981900447</v>
      </c>
    </row>
    <row r="120" spans="1:31" s="32" customFormat="1" x14ac:dyDescent="0.25">
      <c r="A120" s="12" t="s">
        <v>792</v>
      </c>
      <c r="B120" s="13">
        <v>46260.398888888885</v>
      </c>
      <c r="C120" s="12" t="s">
        <v>24</v>
      </c>
      <c r="D120" s="12" t="s">
        <v>797</v>
      </c>
      <c r="E120" s="26" t="str">
        <f t="shared" si="7"/>
        <v>CSQ104</v>
      </c>
      <c r="F120" s="27" t="str">
        <f t="shared" si="8"/>
        <v>GREY</v>
      </c>
      <c r="G120" s="27">
        <f>+VLOOKUP(F120,[1]base!A:B,2,0)</f>
        <v>24</v>
      </c>
      <c r="H120" s="12">
        <v>8</v>
      </c>
      <c r="I120" s="12">
        <v>8</v>
      </c>
      <c r="J120" s="14"/>
      <c r="K120" s="14" t="s">
        <v>61</v>
      </c>
      <c r="L120" s="12" t="s">
        <v>803</v>
      </c>
      <c r="M120" s="12" t="s">
        <v>150</v>
      </c>
      <c r="N120" s="12">
        <v>8</v>
      </c>
      <c r="O120" s="12">
        <v>8</v>
      </c>
      <c r="P120" s="12">
        <v>0</v>
      </c>
      <c r="Q120" s="16">
        <v>8</v>
      </c>
      <c r="R120" s="16">
        <v>0</v>
      </c>
      <c r="S120" s="16"/>
      <c r="T120" s="28">
        <v>8</v>
      </c>
      <c r="U120" s="28"/>
      <c r="V120" s="29">
        <f>+VLOOKUP(E120,[1]base!D:K,8,0)</f>
        <v>4.7774999999999999</v>
      </c>
      <c r="W120" s="29">
        <f t="shared" si="9"/>
        <v>38.22</v>
      </c>
      <c r="X120" s="29">
        <f t="shared" si="10"/>
        <v>1.9874399999999999</v>
      </c>
      <c r="Y120" s="29">
        <f>+VLOOKUP(E120,[1]base!D:E,2,0)</f>
        <v>13</v>
      </c>
      <c r="Z120" s="29">
        <f t="shared" si="11"/>
        <v>1</v>
      </c>
      <c r="AA120" s="29">
        <f t="shared" si="12"/>
        <v>6.6666666666666693E-2</v>
      </c>
      <c r="AB120" s="29">
        <f>+VLOOKUP(E120,[1]base!M:N,2,0)</f>
        <v>218</v>
      </c>
      <c r="AC120" s="29">
        <f>+VLOOKUP(E120,[1]base!M:Q,5,0)</f>
        <v>230.63636363636363</v>
      </c>
      <c r="AD120" s="30">
        <f>+VLOOKUP(E120,[1]base!M:P,4,0)</f>
        <v>1.3574660633484163E-2</v>
      </c>
      <c r="AE120" s="31">
        <f t="shared" si="13"/>
        <v>62.440723981900447</v>
      </c>
    </row>
    <row r="121" spans="1:31" s="32" customFormat="1" x14ac:dyDescent="0.25">
      <c r="A121" s="12" t="s">
        <v>744</v>
      </c>
      <c r="B121" s="13">
        <v>46256.424629629626</v>
      </c>
      <c r="C121" s="12" t="s">
        <v>258</v>
      </c>
      <c r="D121" s="12" t="s">
        <v>106</v>
      </c>
      <c r="E121" s="26" t="str">
        <f t="shared" si="7"/>
        <v>CSQ104</v>
      </c>
      <c r="F121" s="27" t="str">
        <f t="shared" si="8"/>
        <v>NOIR</v>
      </c>
      <c r="G121" s="27">
        <f>+VLOOKUP(F121,[1]base!A:B,2,0)</f>
        <v>37</v>
      </c>
      <c r="H121" s="12">
        <v>17</v>
      </c>
      <c r="I121" s="12">
        <v>17</v>
      </c>
      <c r="J121" s="14"/>
      <c r="K121" s="14" t="s">
        <v>61</v>
      </c>
      <c r="L121" s="12" t="s">
        <v>746</v>
      </c>
      <c r="M121" s="12" t="s">
        <v>150</v>
      </c>
      <c r="N121" s="12">
        <v>17</v>
      </c>
      <c r="O121" s="12">
        <v>17</v>
      </c>
      <c r="P121" s="12">
        <v>0</v>
      </c>
      <c r="Q121" s="16">
        <v>17</v>
      </c>
      <c r="R121" s="16">
        <v>0</v>
      </c>
      <c r="S121" s="16"/>
      <c r="T121" s="28">
        <v>17</v>
      </c>
      <c r="U121" s="28"/>
      <c r="V121" s="29">
        <f>+VLOOKUP(E121,[1]base!D:K,8,0)</f>
        <v>4.7774999999999999</v>
      </c>
      <c r="W121" s="29">
        <f t="shared" si="9"/>
        <v>81.217500000000001</v>
      </c>
      <c r="X121" s="29">
        <f t="shared" si="10"/>
        <v>4.2233099999999997</v>
      </c>
      <c r="Y121" s="29">
        <f>+VLOOKUP(E121,[1]base!D:E,2,0)</f>
        <v>13</v>
      </c>
      <c r="Z121" s="29">
        <f t="shared" si="11"/>
        <v>2</v>
      </c>
      <c r="AA121" s="29">
        <f t="shared" si="12"/>
        <v>0.13333333333333339</v>
      </c>
      <c r="AB121" s="29">
        <f>+VLOOKUP(E121,[1]base!M:N,2,0)</f>
        <v>218</v>
      </c>
      <c r="AC121" s="29">
        <f>+VLOOKUP(E121,[1]base!M:Q,5,0)</f>
        <v>230.63636363636363</v>
      </c>
      <c r="AD121" s="30">
        <f>+VLOOKUP(E121,[1]base!M:P,4,0)</f>
        <v>1.3574660633484163E-2</v>
      </c>
      <c r="AE121" s="31">
        <f t="shared" si="13"/>
        <v>62.440723981900447</v>
      </c>
    </row>
    <row r="122" spans="1:31" s="32" customFormat="1" x14ac:dyDescent="0.25">
      <c r="A122" s="12" t="s">
        <v>784</v>
      </c>
      <c r="B122" s="13">
        <v>46259.434999999998</v>
      </c>
      <c r="C122" s="12" t="s">
        <v>785</v>
      </c>
      <c r="D122" s="12" t="s">
        <v>106</v>
      </c>
      <c r="E122" s="26" t="str">
        <f t="shared" si="7"/>
        <v>CSQ104</v>
      </c>
      <c r="F122" s="27" t="str">
        <f t="shared" si="8"/>
        <v>NOIR</v>
      </c>
      <c r="G122" s="27">
        <f>+VLOOKUP(F122,[1]base!A:B,2,0)</f>
        <v>37</v>
      </c>
      <c r="H122" s="12">
        <v>9</v>
      </c>
      <c r="I122" s="12">
        <v>9</v>
      </c>
      <c r="J122" s="14"/>
      <c r="K122" s="14" t="s">
        <v>61</v>
      </c>
      <c r="L122" s="12" t="s">
        <v>786</v>
      </c>
      <c r="M122" s="12" t="s">
        <v>150</v>
      </c>
      <c r="N122" s="12">
        <v>9</v>
      </c>
      <c r="O122" s="12">
        <v>9</v>
      </c>
      <c r="P122" s="12">
        <v>0</v>
      </c>
      <c r="Q122" s="16">
        <v>9</v>
      </c>
      <c r="R122" s="16">
        <v>0</v>
      </c>
      <c r="S122" s="16"/>
      <c r="T122" s="28">
        <v>9</v>
      </c>
      <c r="U122" s="28"/>
      <c r="V122" s="29">
        <f>+VLOOKUP(E122,[1]base!D:K,8,0)</f>
        <v>4.7774999999999999</v>
      </c>
      <c r="W122" s="29">
        <f t="shared" si="9"/>
        <v>42.997500000000002</v>
      </c>
      <c r="X122" s="29">
        <f t="shared" si="10"/>
        <v>2.2358699999999998</v>
      </c>
      <c r="Y122" s="29">
        <f>+VLOOKUP(E122,[1]base!D:E,2,0)</f>
        <v>13</v>
      </c>
      <c r="Z122" s="29">
        <f t="shared" si="11"/>
        <v>1</v>
      </c>
      <c r="AA122" s="29">
        <f t="shared" si="12"/>
        <v>6.6666666666666693E-2</v>
      </c>
      <c r="AB122" s="29">
        <f>+VLOOKUP(E122,[1]base!M:N,2,0)</f>
        <v>218</v>
      </c>
      <c r="AC122" s="29">
        <f>+VLOOKUP(E122,[1]base!M:Q,5,0)</f>
        <v>230.63636363636363</v>
      </c>
      <c r="AD122" s="30">
        <f>+VLOOKUP(E122,[1]base!M:P,4,0)</f>
        <v>1.3574660633484163E-2</v>
      </c>
      <c r="AE122" s="31">
        <f t="shared" si="13"/>
        <v>62.440723981900447</v>
      </c>
    </row>
    <row r="123" spans="1:31" s="32" customFormat="1" x14ac:dyDescent="0.25">
      <c r="A123" s="12" t="s">
        <v>1021</v>
      </c>
      <c r="B123" s="13">
        <v>46266.424675925926</v>
      </c>
      <c r="C123" s="12" t="s">
        <v>24</v>
      </c>
      <c r="D123" s="12" t="s">
        <v>1028</v>
      </c>
      <c r="E123" s="26" t="str">
        <f t="shared" si="7"/>
        <v>CSQ104</v>
      </c>
      <c r="F123" s="27" t="str">
        <f t="shared" si="8"/>
        <v>DARK</v>
      </c>
      <c r="G123" s="27">
        <f>+VLOOKUP(F123,[1]base!A:B,2,0)</f>
        <v>38</v>
      </c>
      <c r="H123" s="12">
        <v>4</v>
      </c>
      <c r="I123" s="12">
        <v>4</v>
      </c>
      <c r="J123" s="14"/>
      <c r="K123" s="14" t="s">
        <v>61</v>
      </c>
      <c r="L123" s="12" t="s">
        <v>1058</v>
      </c>
      <c r="M123" s="12" t="s">
        <v>150</v>
      </c>
      <c r="N123" s="12">
        <v>4</v>
      </c>
      <c r="O123" s="12">
        <v>4</v>
      </c>
      <c r="P123" s="12">
        <v>0</v>
      </c>
      <c r="Q123" s="16">
        <v>4</v>
      </c>
      <c r="R123" s="16">
        <v>0</v>
      </c>
      <c r="S123" s="16"/>
      <c r="T123" s="28">
        <v>4</v>
      </c>
      <c r="U123" s="28"/>
      <c r="V123" s="29">
        <f>+VLOOKUP(E123,[1]base!D:K,8,0)</f>
        <v>4.7774999999999999</v>
      </c>
      <c r="W123" s="29">
        <f t="shared" si="9"/>
        <v>19.11</v>
      </c>
      <c r="X123" s="29">
        <f t="shared" si="10"/>
        <v>0.99371999999999994</v>
      </c>
      <c r="Y123" s="29">
        <f>+VLOOKUP(E123,[1]base!D:E,2,0)</f>
        <v>13</v>
      </c>
      <c r="Z123" s="29">
        <f t="shared" si="11"/>
        <v>1</v>
      </c>
      <c r="AA123" s="29">
        <f t="shared" si="12"/>
        <v>6.6666666666666693E-2</v>
      </c>
      <c r="AB123" s="29">
        <f>+VLOOKUP(E123,[1]base!M:N,2,0)</f>
        <v>218</v>
      </c>
      <c r="AC123" s="29">
        <f>+VLOOKUP(E123,[1]base!M:Q,5,0)</f>
        <v>230.63636363636363</v>
      </c>
      <c r="AD123" s="30">
        <f>+VLOOKUP(E123,[1]base!M:P,4,0)</f>
        <v>1.3574660633484163E-2</v>
      </c>
      <c r="AE123" s="31">
        <f t="shared" si="13"/>
        <v>62.440723981900447</v>
      </c>
    </row>
    <row r="124" spans="1:31" s="32" customFormat="1" x14ac:dyDescent="0.25">
      <c r="A124" s="12" t="s">
        <v>632</v>
      </c>
      <c r="B124" s="13">
        <v>46248.315150462964</v>
      </c>
      <c r="C124" s="12" t="s">
        <v>258</v>
      </c>
      <c r="D124" s="12" t="s">
        <v>634</v>
      </c>
      <c r="E124" s="26" t="str">
        <f t="shared" si="7"/>
        <v>CSQ105</v>
      </c>
      <c r="F124" s="27" t="str">
        <f t="shared" si="8"/>
        <v>blc</v>
      </c>
      <c r="G124" s="27">
        <f>+VLOOKUP(F124,[1]base!A:B,2,0)</f>
        <v>1</v>
      </c>
      <c r="H124" s="12">
        <v>30</v>
      </c>
      <c r="I124" s="12">
        <v>30</v>
      </c>
      <c r="J124" s="14"/>
      <c r="K124" s="14" t="s">
        <v>61</v>
      </c>
      <c r="L124" s="12" t="s">
        <v>638</v>
      </c>
      <c r="M124" s="12" t="s">
        <v>150</v>
      </c>
      <c r="N124" s="12">
        <v>30</v>
      </c>
      <c r="O124" s="12">
        <v>30</v>
      </c>
      <c r="P124" s="12">
        <v>0</v>
      </c>
      <c r="Q124" s="16">
        <v>30</v>
      </c>
      <c r="R124" s="16">
        <v>0</v>
      </c>
      <c r="S124" s="16"/>
      <c r="T124" s="28">
        <v>30</v>
      </c>
      <c r="U124" s="28"/>
      <c r="V124" s="29">
        <f>+VLOOKUP(E124,[1]base!D:K,8,0)</f>
        <v>3.6659999999999995</v>
      </c>
      <c r="W124" s="29">
        <f t="shared" si="9"/>
        <v>109.97999999999999</v>
      </c>
      <c r="X124" s="29">
        <f t="shared" si="10"/>
        <v>5.7189599999999992</v>
      </c>
      <c r="Y124" s="29">
        <f>+VLOOKUP(E124,[1]base!D:E,2,0)</f>
        <v>13</v>
      </c>
      <c r="Z124" s="29">
        <f t="shared" si="11"/>
        <v>3</v>
      </c>
      <c r="AA124" s="29">
        <f t="shared" si="12"/>
        <v>0.20000000000000007</v>
      </c>
      <c r="AB124" s="29">
        <f>+VLOOKUP(E124,[1]base!M:N,2,0)</f>
        <v>397</v>
      </c>
      <c r="AC124" s="29">
        <f>+VLOOKUP(E124,[1]base!M:Q,5,0)</f>
        <v>233</v>
      </c>
      <c r="AD124" s="30">
        <f>+VLOOKUP(E124,[1]base!M:P,4,0)</f>
        <v>0</v>
      </c>
      <c r="AE124" s="31">
        <f t="shared" si="13"/>
        <v>119.1</v>
      </c>
    </row>
    <row r="125" spans="1:31" s="32" customFormat="1" x14ac:dyDescent="0.25">
      <c r="A125" s="12" t="s">
        <v>888</v>
      </c>
      <c r="B125" s="13">
        <v>46261.508750000001</v>
      </c>
      <c r="C125" s="12" t="s">
        <v>502</v>
      </c>
      <c r="D125" s="12" t="s">
        <v>634</v>
      </c>
      <c r="E125" s="26" t="str">
        <f t="shared" si="7"/>
        <v>CSQ105</v>
      </c>
      <c r="F125" s="27" t="str">
        <f t="shared" si="8"/>
        <v>blc</v>
      </c>
      <c r="G125" s="27">
        <f>+VLOOKUP(F125,[1]base!A:B,2,0)</f>
        <v>1</v>
      </c>
      <c r="H125" s="12">
        <v>12</v>
      </c>
      <c r="I125" s="12">
        <v>12</v>
      </c>
      <c r="J125" s="14"/>
      <c r="K125" s="14" t="s">
        <v>61</v>
      </c>
      <c r="L125" s="12" t="s">
        <v>891</v>
      </c>
      <c r="M125" s="12" t="s">
        <v>150</v>
      </c>
      <c r="N125" s="12">
        <v>12</v>
      </c>
      <c r="O125" s="12">
        <v>12</v>
      </c>
      <c r="P125" s="12">
        <v>0</v>
      </c>
      <c r="Q125" s="16">
        <v>12</v>
      </c>
      <c r="R125" s="16">
        <v>0</v>
      </c>
      <c r="S125" s="16"/>
      <c r="T125" s="28">
        <v>12</v>
      </c>
      <c r="U125" s="28"/>
      <c r="V125" s="29">
        <f>+VLOOKUP(E125,[1]base!D:K,8,0)</f>
        <v>3.6659999999999995</v>
      </c>
      <c r="W125" s="29">
        <f t="shared" si="9"/>
        <v>43.99199999999999</v>
      </c>
      <c r="X125" s="29">
        <f t="shared" si="10"/>
        <v>2.2875839999999994</v>
      </c>
      <c r="Y125" s="29">
        <f>+VLOOKUP(E125,[1]base!D:E,2,0)</f>
        <v>13</v>
      </c>
      <c r="Z125" s="29">
        <f t="shared" si="11"/>
        <v>1</v>
      </c>
      <c r="AA125" s="29">
        <f t="shared" si="12"/>
        <v>6.6666666666666693E-2</v>
      </c>
      <c r="AB125" s="29">
        <f>+VLOOKUP(E125,[1]base!M:N,2,0)</f>
        <v>397</v>
      </c>
      <c r="AC125" s="29">
        <f>+VLOOKUP(E125,[1]base!M:Q,5,0)</f>
        <v>233</v>
      </c>
      <c r="AD125" s="30">
        <f>+VLOOKUP(E125,[1]base!M:P,4,0)</f>
        <v>0</v>
      </c>
      <c r="AE125" s="31">
        <f t="shared" si="13"/>
        <v>119.1</v>
      </c>
    </row>
    <row r="126" spans="1:31" s="32" customFormat="1" x14ac:dyDescent="0.25">
      <c r="A126" s="12" t="s">
        <v>1570</v>
      </c>
      <c r="B126" s="13">
        <v>46274.654050925928</v>
      </c>
      <c r="C126" s="12" t="s">
        <v>24</v>
      </c>
      <c r="D126" s="12" t="s">
        <v>1578</v>
      </c>
      <c r="E126" s="26" t="str">
        <f t="shared" si="7"/>
        <v>CSQ105</v>
      </c>
      <c r="F126" s="27" t="str">
        <f t="shared" si="8"/>
        <v>CHPG</v>
      </c>
      <c r="G126" s="27">
        <f>+VLOOKUP(F126,[1]base!A:B,2,0)</f>
        <v>11</v>
      </c>
      <c r="H126" s="12">
        <v>2</v>
      </c>
      <c r="I126" s="12">
        <v>2</v>
      </c>
      <c r="J126" s="14"/>
      <c r="K126" s="14" t="s">
        <v>61</v>
      </c>
      <c r="L126" s="12" t="s">
        <v>1587</v>
      </c>
      <c r="M126" s="12" t="s">
        <v>150</v>
      </c>
      <c r="N126" s="12">
        <v>2</v>
      </c>
      <c r="O126" s="12">
        <v>2</v>
      </c>
      <c r="P126" s="12">
        <v>0</v>
      </c>
      <c r="Q126" s="16">
        <v>2</v>
      </c>
      <c r="R126" s="16">
        <v>0</v>
      </c>
      <c r="S126" s="16"/>
      <c r="T126" s="28">
        <v>2</v>
      </c>
      <c r="U126" s="28"/>
      <c r="V126" s="29">
        <f>+VLOOKUP(E126,[1]base!D:K,8,0)</f>
        <v>3.6659999999999995</v>
      </c>
      <c r="W126" s="29">
        <f t="shared" si="9"/>
        <v>7.331999999999999</v>
      </c>
      <c r="X126" s="29">
        <f t="shared" si="10"/>
        <v>0.38126399999999994</v>
      </c>
      <c r="Y126" s="29">
        <f>+VLOOKUP(E126,[1]base!D:E,2,0)</f>
        <v>13</v>
      </c>
      <c r="Z126" s="29">
        <f t="shared" si="11"/>
        <v>1</v>
      </c>
      <c r="AA126" s="29">
        <f t="shared" si="12"/>
        <v>6.6666666666666693E-2</v>
      </c>
      <c r="AB126" s="29">
        <f>+VLOOKUP(E126,[1]base!M:N,2,0)</f>
        <v>397</v>
      </c>
      <c r="AC126" s="29">
        <f>+VLOOKUP(E126,[1]base!M:Q,5,0)</f>
        <v>233</v>
      </c>
      <c r="AD126" s="30">
        <f>+VLOOKUP(E126,[1]base!M:P,4,0)</f>
        <v>0</v>
      </c>
      <c r="AE126" s="31">
        <f t="shared" si="13"/>
        <v>119.1</v>
      </c>
    </row>
    <row r="127" spans="1:31" s="32" customFormat="1" x14ac:dyDescent="0.25">
      <c r="A127" s="12" t="s">
        <v>744</v>
      </c>
      <c r="B127" s="13">
        <v>46256.424629629626</v>
      </c>
      <c r="C127" s="12" t="s">
        <v>258</v>
      </c>
      <c r="D127" s="12" t="s">
        <v>107</v>
      </c>
      <c r="E127" s="26" t="str">
        <f t="shared" si="7"/>
        <v>CSQ105</v>
      </c>
      <c r="F127" s="27" t="str">
        <f t="shared" si="8"/>
        <v>NOIR</v>
      </c>
      <c r="G127" s="27">
        <f>+VLOOKUP(F127,[1]base!A:B,2,0)</f>
        <v>37</v>
      </c>
      <c r="H127" s="12">
        <v>17</v>
      </c>
      <c r="I127" s="12">
        <v>17</v>
      </c>
      <c r="J127" s="14"/>
      <c r="K127" s="14" t="s">
        <v>61</v>
      </c>
      <c r="L127" s="12" t="s">
        <v>747</v>
      </c>
      <c r="M127" s="12" t="s">
        <v>150</v>
      </c>
      <c r="N127" s="12">
        <v>17</v>
      </c>
      <c r="O127" s="12">
        <v>17</v>
      </c>
      <c r="P127" s="12">
        <v>0</v>
      </c>
      <c r="Q127" s="16">
        <v>17</v>
      </c>
      <c r="R127" s="16">
        <v>0</v>
      </c>
      <c r="S127" s="16"/>
      <c r="T127" s="28">
        <v>17</v>
      </c>
      <c r="U127" s="28"/>
      <c r="V127" s="29">
        <f>+VLOOKUP(E127,[1]base!D:K,8,0)</f>
        <v>3.6659999999999995</v>
      </c>
      <c r="W127" s="29">
        <f t="shared" si="9"/>
        <v>62.321999999999989</v>
      </c>
      <c r="X127" s="29">
        <f t="shared" si="10"/>
        <v>3.2407439999999994</v>
      </c>
      <c r="Y127" s="29">
        <f>+VLOOKUP(E127,[1]base!D:E,2,0)</f>
        <v>13</v>
      </c>
      <c r="Z127" s="29">
        <f t="shared" si="11"/>
        <v>2</v>
      </c>
      <c r="AA127" s="29">
        <f t="shared" si="12"/>
        <v>0.13333333333333339</v>
      </c>
      <c r="AB127" s="29">
        <f>+VLOOKUP(E127,[1]base!M:N,2,0)</f>
        <v>397</v>
      </c>
      <c r="AC127" s="29">
        <f>+VLOOKUP(E127,[1]base!M:Q,5,0)</f>
        <v>233</v>
      </c>
      <c r="AD127" s="30">
        <f>+VLOOKUP(E127,[1]base!M:P,4,0)</f>
        <v>0</v>
      </c>
      <c r="AE127" s="31">
        <f t="shared" si="13"/>
        <v>119.1</v>
      </c>
    </row>
    <row r="128" spans="1:31" s="32" customFormat="1" x14ac:dyDescent="0.25">
      <c r="A128" s="12" t="s">
        <v>784</v>
      </c>
      <c r="B128" s="13">
        <v>46259.434999999998</v>
      </c>
      <c r="C128" s="12" t="s">
        <v>785</v>
      </c>
      <c r="D128" s="12" t="s">
        <v>107</v>
      </c>
      <c r="E128" s="26" t="str">
        <f t="shared" si="7"/>
        <v>CSQ105</v>
      </c>
      <c r="F128" s="27" t="str">
        <f t="shared" si="8"/>
        <v>NOIR</v>
      </c>
      <c r="G128" s="27">
        <f>+VLOOKUP(F128,[1]base!A:B,2,0)</f>
        <v>37</v>
      </c>
      <c r="H128" s="12">
        <v>10</v>
      </c>
      <c r="I128" s="12">
        <v>10</v>
      </c>
      <c r="J128" s="14"/>
      <c r="K128" s="14" t="s">
        <v>61</v>
      </c>
      <c r="L128" s="12" t="s">
        <v>788</v>
      </c>
      <c r="M128" s="12" t="s">
        <v>150</v>
      </c>
      <c r="N128" s="12">
        <v>10</v>
      </c>
      <c r="O128" s="12">
        <v>10</v>
      </c>
      <c r="P128" s="12">
        <v>0</v>
      </c>
      <c r="Q128" s="16">
        <v>10</v>
      </c>
      <c r="R128" s="16">
        <v>0</v>
      </c>
      <c r="S128" s="16"/>
      <c r="T128" s="28">
        <v>10</v>
      </c>
      <c r="U128" s="28"/>
      <c r="V128" s="29">
        <f>+VLOOKUP(E128,[1]base!D:K,8,0)</f>
        <v>3.6659999999999995</v>
      </c>
      <c r="W128" s="29">
        <f t="shared" si="9"/>
        <v>36.659999999999997</v>
      </c>
      <c r="X128" s="29">
        <f t="shared" si="10"/>
        <v>1.9063199999999998</v>
      </c>
      <c r="Y128" s="29">
        <f>+VLOOKUP(E128,[1]base!D:E,2,0)</f>
        <v>13</v>
      </c>
      <c r="Z128" s="29">
        <f t="shared" si="11"/>
        <v>1</v>
      </c>
      <c r="AA128" s="29">
        <f t="shared" si="12"/>
        <v>6.6666666666666693E-2</v>
      </c>
      <c r="AB128" s="29">
        <f>+VLOOKUP(E128,[1]base!M:N,2,0)</f>
        <v>397</v>
      </c>
      <c r="AC128" s="29">
        <f>+VLOOKUP(E128,[1]base!M:Q,5,0)</f>
        <v>233</v>
      </c>
      <c r="AD128" s="30">
        <f>+VLOOKUP(E128,[1]base!M:P,4,0)</f>
        <v>0</v>
      </c>
      <c r="AE128" s="31">
        <f t="shared" si="13"/>
        <v>119.1</v>
      </c>
    </row>
    <row r="129" spans="1:31" s="32" customFormat="1" x14ac:dyDescent="0.25">
      <c r="A129" s="12" t="s">
        <v>1021</v>
      </c>
      <c r="B129" s="13">
        <v>46266.424675925926</v>
      </c>
      <c r="C129" s="12" t="s">
        <v>24</v>
      </c>
      <c r="D129" s="12" t="s">
        <v>1029</v>
      </c>
      <c r="E129" s="26" t="str">
        <f t="shared" si="7"/>
        <v>CSQ105</v>
      </c>
      <c r="F129" s="27" t="str">
        <f t="shared" si="8"/>
        <v>DARK</v>
      </c>
      <c r="G129" s="27">
        <f>+VLOOKUP(F129,[1]base!A:B,2,0)</f>
        <v>38</v>
      </c>
      <c r="H129" s="12">
        <v>10</v>
      </c>
      <c r="I129" s="12">
        <v>10</v>
      </c>
      <c r="J129" s="14"/>
      <c r="K129" s="14" t="s">
        <v>61</v>
      </c>
      <c r="L129" s="12" t="s">
        <v>1059</v>
      </c>
      <c r="M129" s="12" t="s">
        <v>150</v>
      </c>
      <c r="N129" s="12">
        <v>10</v>
      </c>
      <c r="O129" s="12">
        <v>10</v>
      </c>
      <c r="P129" s="12">
        <v>0</v>
      </c>
      <c r="Q129" s="16">
        <v>10</v>
      </c>
      <c r="R129" s="16">
        <v>0</v>
      </c>
      <c r="S129" s="16"/>
      <c r="T129" s="28">
        <v>10</v>
      </c>
      <c r="U129" s="28"/>
      <c r="V129" s="29">
        <f>+VLOOKUP(E129,[1]base!D:K,8,0)</f>
        <v>3.6659999999999995</v>
      </c>
      <c r="W129" s="29">
        <f t="shared" si="9"/>
        <v>36.659999999999997</v>
      </c>
      <c r="X129" s="29">
        <f t="shared" si="10"/>
        <v>1.9063199999999998</v>
      </c>
      <c r="Y129" s="29">
        <f>+VLOOKUP(E129,[1]base!D:E,2,0)</f>
        <v>13</v>
      </c>
      <c r="Z129" s="29">
        <f t="shared" si="11"/>
        <v>1</v>
      </c>
      <c r="AA129" s="29">
        <f t="shared" si="12"/>
        <v>6.6666666666666693E-2</v>
      </c>
      <c r="AB129" s="29">
        <f>+VLOOKUP(E129,[1]base!M:N,2,0)</f>
        <v>397</v>
      </c>
      <c r="AC129" s="29">
        <f>+VLOOKUP(E129,[1]base!M:Q,5,0)</f>
        <v>233</v>
      </c>
      <c r="AD129" s="30">
        <f>+VLOOKUP(E129,[1]base!M:P,4,0)</f>
        <v>0</v>
      </c>
      <c r="AE129" s="31">
        <f t="shared" si="13"/>
        <v>119.1</v>
      </c>
    </row>
    <row r="130" spans="1:31" s="32" customFormat="1" x14ac:dyDescent="0.25">
      <c r="A130" s="12" t="s">
        <v>1186</v>
      </c>
      <c r="B130" s="13">
        <v>46267.531759259262</v>
      </c>
      <c r="C130" s="12" t="s">
        <v>258</v>
      </c>
      <c r="D130" s="12" t="s">
        <v>1029</v>
      </c>
      <c r="E130" s="26" t="str">
        <f t="shared" ref="E130:E193" si="14">_xlfn.TEXTBEFORE(D130, "-", -1, 1, , D130)</f>
        <v>CSQ105</v>
      </c>
      <c r="F130" s="27" t="str">
        <f t="shared" ref="F130:F193" si="15">_xlfn.TEXTAFTER(D130, "-", -1, 1, , "")</f>
        <v>DARK</v>
      </c>
      <c r="G130" s="27">
        <f>+VLOOKUP(F130,[1]base!A:B,2,0)</f>
        <v>38</v>
      </c>
      <c r="H130" s="12">
        <v>2</v>
      </c>
      <c r="I130" s="12">
        <v>2</v>
      </c>
      <c r="J130" s="14"/>
      <c r="K130" s="14" t="s">
        <v>61</v>
      </c>
      <c r="L130" s="12" t="s">
        <v>1190</v>
      </c>
      <c r="M130" s="12" t="s">
        <v>150</v>
      </c>
      <c r="N130" s="12">
        <v>2</v>
      </c>
      <c r="O130" s="12">
        <v>2</v>
      </c>
      <c r="P130" s="12">
        <v>0</v>
      </c>
      <c r="Q130" s="16">
        <v>2</v>
      </c>
      <c r="R130" s="16">
        <v>0</v>
      </c>
      <c r="S130" s="16"/>
      <c r="T130" s="28">
        <v>2</v>
      </c>
      <c r="U130" s="28"/>
      <c r="V130" s="29">
        <f>+VLOOKUP(E130,[1]base!D:K,8,0)</f>
        <v>3.6659999999999995</v>
      </c>
      <c r="W130" s="29">
        <f t="shared" ref="W130:W193" si="16">(T130+U130)*V130</f>
        <v>7.331999999999999</v>
      </c>
      <c r="X130" s="29">
        <f t="shared" ref="X130:X193" si="17">+W130*0.052</f>
        <v>0.38126399999999994</v>
      </c>
      <c r="Y130" s="29">
        <f>+VLOOKUP(E130,[1]base!D:E,2,0)</f>
        <v>13</v>
      </c>
      <c r="Z130" s="29">
        <f t="shared" ref="Z130:Z193" si="18">ROUNDUP(T130/Y130,0)</f>
        <v>1</v>
      </c>
      <c r="AA130" s="29">
        <f t="shared" ref="AA130:AA193" si="19">+Z130*0.0666666666666667</f>
        <v>6.6666666666666693E-2</v>
      </c>
      <c r="AB130" s="29">
        <f>+VLOOKUP(E130,[1]base!M:N,2,0)</f>
        <v>397</v>
      </c>
      <c r="AC130" s="29">
        <f>+VLOOKUP(E130,[1]base!M:Q,5,0)</f>
        <v>233</v>
      </c>
      <c r="AD130" s="30">
        <f>+VLOOKUP(E130,[1]base!M:P,4,0)</f>
        <v>0</v>
      </c>
      <c r="AE130" s="31">
        <f t="shared" ref="AE130:AE193" si="20">+AB130*(30%-AD130)</f>
        <v>119.1</v>
      </c>
    </row>
    <row r="131" spans="1:31" s="32" customFormat="1" x14ac:dyDescent="0.25">
      <c r="A131" s="12" t="s">
        <v>1570</v>
      </c>
      <c r="B131" s="13">
        <v>46274.654050925928</v>
      </c>
      <c r="C131" s="12" t="s">
        <v>24</v>
      </c>
      <c r="D131" s="12" t="s">
        <v>1580</v>
      </c>
      <c r="E131" s="26" t="str">
        <f t="shared" si="14"/>
        <v>CSQ106</v>
      </c>
      <c r="F131" s="27" t="str">
        <f t="shared" si="15"/>
        <v>CHPG</v>
      </c>
      <c r="G131" s="27">
        <f>+VLOOKUP(F131,[1]base!A:B,2,0)</f>
        <v>11</v>
      </c>
      <c r="H131" s="12">
        <v>2</v>
      </c>
      <c r="I131" s="12">
        <v>2</v>
      </c>
      <c r="J131" s="14"/>
      <c r="K131" s="14" t="s">
        <v>61</v>
      </c>
      <c r="L131" s="12" t="s">
        <v>1589</v>
      </c>
      <c r="M131" s="12" t="s">
        <v>150</v>
      </c>
      <c r="N131" s="12">
        <v>2</v>
      </c>
      <c r="O131" s="12">
        <v>2</v>
      </c>
      <c r="P131" s="12">
        <v>0</v>
      </c>
      <c r="Q131" s="16">
        <v>2</v>
      </c>
      <c r="R131" s="16">
        <v>0</v>
      </c>
      <c r="S131" s="16"/>
      <c r="T131" s="28">
        <v>2</v>
      </c>
      <c r="U131" s="28"/>
      <c r="V131" s="29">
        <f>+VLOOKUP(E131,[1]base!D:K,8,0)</f>
        <v>4.1470000000000002</v>
      </c>
      <c r="W131" s="29">
        <f t="shared" si="16"/>
        <v>8.2940000000000005</v>
      </c>
      <c r="X131" s="29">
        <f t="shared" si="17"/>
        <v>0.431288</v>
      </c>
      <c r="Y131" s="29">
        <f>+VLOOKUP(E131,[1]base!D:E,2,0)</f>
        <v>15</v>
      </c>
      <c r="Z131" s="29">
        <f t="shared" si="18"/>
        <v>1</v>
      </c>
      <c r="AA131" s="29">
        <f t="shared" si="19"/>
        <v>6.6666666666666693E-2</v>
      </c>
      <c r="AB131" s="29">
        <f>+VLOOKUP(E131,[1]base!M:N,2,0)</f>
        <v>17</v>
      </c>
      <c r="AC131" s="29">
        <f>+VLOOKUP(E131,[1]base!M:Q,5,0)</f>
        <v>254.1</v>
      </c>
      <c r="AD131" s="30">
        <f>+VLOOKUP(E131,[1]base!M:P,4,0)</f>
        <v>0.43333333333333335</v>
      </c>
      <c r="AE131" s="31">
        <f t="shared" si="20"/>
        <v>-2.2666666666666671</v>
      </c>
    </row>
    <row r="132" spans="1:31" s="32" customFormat="1" x14ac:dyDescent="0.25">
      <c r="A132" s="12" t="s">
        <v>577</v>
      </c>
      <c r="B132" s="13">
        <v>46240.61173611111</v>
      </c>
      <c r="C132" s="12" t="s">
        <v>24</v>
      </c>
      <c r="D132" s="12" t="s">
        <v>108</v>
      </c>
      <c r="E132" s="26" t="str">
        <f t="shared" si="14"/>
        <v>CSQ106</v>
      </c>
      <c r="F132" s="27" t="str">
        <f t="shared" si="15"/>
        <v>NOIR</v>
      </c>
      <c r="G132" s="27">
        <f>+VLOOKUP(F132,[1]base!A:B,2,0)</f>
        <v>37</v>
      </c>
      <c r="H132" s="12">
        <v>3</v>
      </c>
      <c r="I132" s="12">
        <v>3</v>
      </c>
      <c r="J132" s="14"/>
      <c r="K132" s="14" t="s">
        <v>26</v>
      </c>
      <c r="L132" s="12" t="s">
        <v>578</v>
      </c>
      <c r="M132" s="12" t="s">
        <v>150</v>
      </c>
      <c r="N132" s="12">
        <v>3</v>
      </c>
      <c r="O132" s="12">
        <v>3</v>
      </c>
      <c r="P132" s="12">
        <v>0</v>
      </c>
      <c r="Q132" s="16">
        <v>0</v>
      </c>
      <c r="R132" s="16">
        <v>0</v>
      </c>
      <c r="S132" s="16"/>
      <c r="T132" s="28">
        <v>3</v>
      </c>
      <c r="U132" s="28"/>
      <c r="V132" s="29">
        <f>+VLOOKUP(E132,[1]base!D:K,8,0)</f>
        <v>4.1470000000000002</v>
      </c>
      <c r="W132" s="29">
        <f t="shared" si="16"/>
        <v>12.441000000000001</v>
      </c>
      <c r="X132" s="29">
        <f t="shared" si="17"/>
        <v>0.64693200000000006</v>
      </c>
      <c r="Y132" s="29">
        <f>+VLOOKUP(E132,[1]base!D:E,2,0)</f>
        <v>15</v>
      </c>
      <c r="Z132" s="29">
        <f t="shared" si="18"/>
        <v>1</v>
      </c>
      <c r="AA132" s="29">
        <f t="shared" si="19"/>
        <v>6.6666666666666693E-2</v>
      </c>
      <c r="AB132" s="29">
        <f>+VLOOKUP(E132,[1]base!M:N,2,0)</f>
        <v>17</v>
      </c>
      <c r="AC132" s="29">
        <f>+VLOOKUP(E132,[1]base!M:Q,5,0)</f>
        <v>254.1</v>
      </c>
      <c r="AD132" s="30">
        <f>+VLOOKUP(E132,[1]base!M:P,4,0)</f>
        <v>0.43333333333333335</v>
      </c>
      <c r="AE132" s="31">
        <f t="shared" si="20"/>
        <v>-2.2666666666666671</v>
      </c>
    </row>
    <row r="133" spans="1:31" s="32" customFormat="1" x14ac:dyDescent="0.25">
      <c r="A133" s="12" t="s">
        <v>1123</v>
      </c>
      <c r="B133" s="13">
        <v>46267.314710648148</v>
      </c>
      <c r="C133" s="12" t="s">
        <v>24</v>
      </c>
      <c r="D133" s="12" t="s">
        <v>1125</v>
      </c>
      <c r="E133" s="26" t="str">
        <f t="shared" si="14"/>
        <v>CSQ106</v>
      </c>
      <c r="F133" s="27" t="str">
        <f t="shared" si="15"/>
        <v>DARK</v>
      </c>
      <c r="G133" s="27">
        <f>+VLOOKUP(F133,[1]base!A:B,2,0)</f>
        <v>38</v>
      </c>
      <c r="H133" s="12">
        <v>2</v>
      </c>
      <c r="I133" s="12">
        <v>2</v>
      </c>
      <c r="J133" s="14"/>
      <c r="K133" s="14" t="s">
        <v>61</v>
      </c>
      <c r="L133" s="12" t="s">
        <v>1131</v>
      </c>
      <c r="M133" s="12" t="s">
        <v>150</v>
      </c>
      <c r="N133" s="12">
        <v>2</v>
      </c>
      <c r="O133" s="12">
        <v>2</v>
      </c>
      <c r="P133" s="12">
        <v>0</v>
      </c>
      <c r="Q133" s="16">
        <v>2</v>
      </c>
      <c r="R133" s="16">
        <v>0</v>
      </c>
      <c r="S133" s="16"/>
      <c r="T133" s="28">
        <v>2</v>
      </c>
      <c r="U133" s="28"/>
      <c r="V133" s="29">
        <f>+VLOOKUP(E133,[1]base!D:K,8,0)</f>
        <v>4.1470000000000002</v>
      </c>
      <c r="W133" s="29">
        <f t="shared" si="16"/>
        <v>8.2940000000000005</v>
      </c>
      <c r="X133" s="29">
        <f t="shared" si="17"/>
        <v>0.431288</v>
      </c>
      <c r="Y133" s="29">
        <f>+VLOOKUP(E133,[1]base!D:E,2,0)</f>
        <v>15</v>
      </c>
      <c r="Z133" s="29">
        <f t="shared" si="18"/>
        <v>1</v>
      </c>
      <c r="AA133" s="29">
        <f t="shared" si="19"/>
        <v>6.6666666666666693E-2</v>
      </c>
      <c r="AB133" s="29">
        <f>+VLOOKUP(E133,[1]base!M:N,2,0)</f>
        <v>17</v>
      </c>
      <c r="AC133" s="29">
        <f>+VLOOKUP(E133,[1]base!M:Q,5,0)</f>
        <v>254.1</v>
      </c>
      <c r="AD133" s="30">
        <f>+VLOOKUP(E133,[1]base!M:P,4,0)</f>
        <v>0.43333333333333335</v>
      </c>
      <c r="AE133" s="31">
        <f t="shared" si="20"/>
        <v>-2.2666666666666671</v>
      </c>
    </row>
    <row r="134" spans="1:31" s="32" customFormat="1" x14ac:dyDescent="0.25">
      <c r="A134" s="12" t="s">
        <v>598</v>
      </c>
      <c r="B134" s="13">
        <v>46246.522766203707</v>
      </c>
      <c r="C134" s="12" t="s">
        <v>599</v>
      </c>
      <c r="D134" s="12" t="s">
        <v>161</v>
      </c>
      <c r="E134" s="26" t="str">
        <f t="shared" si="14"/>
        <v>CSQ107</v>
      </c>
      <c r="F134" s="27" t="str">
        <f t="shared" si="15"/>
        <v>BLC</v>
      </c>
      <c r="G134" s="27">
        <f>+VLOOKUP(F134,[1]base!A:B,2,0)</f>
        <v>1</v>
      </c>
      <c r="H134" s="12">
        <v>20</v>
      </c>
      <c r="I134" s="12">
        <v>20</v>
      </c>
      <c r="J134" s="14"/>
      <c r="K134" s="14" t="s">
        <v>61</v>
      </c>
      <c r="L134" s="12" t="s">
        <v>604</v>
      </c>
      <c r="M134" s="12" t="s">
        <v>150</v>
      </c>
      <c r="N134" s="12">
        <v>20</v>
      </c>
      <c r="O134" s="12">
        <v>20</v>
      </c>
      <c r="P134" s="12">
        <v>0</v>
      </c>
      <c r="Q134" s="16">
        <v>40</v>
      </c>
      <c r="R134" s="16">
        <v>7</v>
      </c>
      <c r="S134" s="16"/>
      <c r="T134" s="28">
        <v>13</v>
      </c>
      <c r="U134" s="28"/>
      <c r="V134" s="29">
        <f>+VLOOKUP(E134,[1]base!D:K,8,0)</f>
        <v>7.2280000000000006</v>
      </c>
      <c r="W134" s="29">
        <f t="shared" si="16"/>
        <v>93.964000000000013</v>
      </c>
      <c r="X134" s="29">
        <f t="shared" si="17"/>
        <v>4.8861280000000002</v>
      </c>
      <c r="Y134" s="29">
        <f>+VLOOKUP(E134,[1]base!D:E,2,0)</f>
        <v>13</v>
      </c>
      <c r="Z134" s="29">
        <f t="shared" si="18"/>
        <v>1</v>
      </c>
      <c r="AA134" s="29">
        <f t="shared" si="19"/>
        <v>6.6666666666666693E-2</v>
      </c>
      <c r="AB134" s="29">
        <f>+VLOOKUP(E134,[1]base!M:N,2,0)</f>
        <v>0</v>
      </c>
      <c r="AC134" s="29">
        <f>+VLOOKUP(E134,[1]base!M:Q,5,0)</f>
        <v>88.111111111111114</v>
      </c>
      <c r="AD134" s="30">
        <f>+VLOOKUP(E134,[1]base!M:P,4,0)</f>
        <v>1</v>
      </c>
      <c r="AE134" s="31">
        <f t="shared" si="20"/>
        <v>0</v>
      </c>
    </row>
    <row r="135" spans="1:31" s="32" customFormat="1" x14ac:dyDescent="0.25">
      <c r="A135" s="12" t="s">
        <v>792</v>
      </c>
      <c r="B135" s="13">
        <v>46260.398888888885</v>
      </c>
      <c r="C135" s="12" t="s">
        <v>24</v>
      </c>
      <c r="D135" s="12" t="s">
        <v>798</v>
      </c>
      <c r="E135" s="26" t="str">
        <f t="shared" si="14"/>
        <v>CSQ107</v>
      </c>
      <c r="F135" s="27" t="str">
        <f t="shared" si="15"/>
        <v>GREY</v>
      </c>
      <c r="G135" s="27">
        <f>+VLOOKUP(F135,[1]base!A:B,2,0)</f>
        <v>24</v>
      </c>
      <c r="H135" s="12">
        <v>8</v>
      </c>
      <c r="I135" s="12">
        <v>8</v>
      </c>
      <c r="J135" s="14"/>
      <c r="K135" s="14" t="s">
        <v>61</v>
      </c>
      <c r="L135" s="12" t="s">
        <v>804</v>
      </c>
      <c r="M135" s="12" t="s">
        <v>150</v>
      </c>
      <c r="N135" s="12">
        <v>8</v>
      </c>
      <c r="O135" s="12">
        <v>8</v>
      </c>
      <c r="P135" s="12">
        <v>0</v>
      </c>
      <c r="Q135" s="16">
        <v>8</v>
      </c>
      <c r="R135" s="16">
        <v>0</v>
      </c>
      <c r="S135" s="16"/>
      <c r="T135" s="28">
        <v>8</v>
      </c>
      <c r="U135" s="28"/>
      <c r="V135" s="29">
        <f>+VLOOKUP(E135,[1]base!D:K,8,0)</f>
        <v>7.2280000000000006</v>
      </c>
      <c r="W135" s="29">
        <f t="shared" si="16"/>
        <v>57.824000000000005</v>
      </c>
      <c r="X135" s="29">
        <f t="shared" si="17"/>
        <v>3.0068480000000002</v>
      </c>
      <c r="Y135" s="29">
        <f>+VLOOKUP(E135,[1]base!D:E,2,0)</f>
        <v>13</v>
      </c>
      <c r="Z135" s="29">
        <f t="shared" si="18"/>
        <v>1</v>
      </c>
      <c r="AA135" s="29">
        <f t="shared" si="19"/>
        <v>6.6666666666666693E-2</v>
      </c>
      <c r="AB135" s="29">
        <f>+VLOOKUP(E135,[1]base!M:N,2,0)</f>
        <v>0</v>
      </c>
      <c r="AC135" s="29">
        <f>+VLOOKUP(E135,[1]base!M:Q,5,0)</f>
        <v>88.111111111111114</v>
      </c>
      <c r="AD135" s="30">
        <f>+VLOOKUP(E135,[1]base!M:P,4,0)</f>
        <v>1</v>
      </c>
      <c r="AE135" s="31">
        <f t="shared" si="20"/>
        <v>0</v>
      </c>
    </row>
    <row r="136" spans="1:31" s="32" customFormat="1" x14ac:dyDescent="0.25">
      <c r="A136" s="12" t="s">
        <v>598</v>
      </c>
      <c r="B136" s="13">
        <v>46246.522766203707</v>
      </c>
      <c r="C136" s="12" t="s">
        <v>599</v>
      </c>
      <c r="D136" s="12" t="s">
        <v>602</v>
      </c>
      <c r="E136" s="26" t="str">
        <f t="shared" si="14"/>
        <v>CSQ108</v>
      </c>
      <c r="F136" s="27" t="str">
        <f t="shared" si="15"/>
        <v>BLC</v>
      </c>
      <c r="G136" s="27">
        <f>+VLOOKUP(F136,[1]base!A:B,2,0)</f>
        <v>1</v>
      </c>
      <c r="H136" s="12">
        <v>20</v>
      </c>
      <c r="I136" s="12">
        <v>20</v>
      </c>
      <c r="J136" s="14"/>
      <c r="K136" s="14" t="s">
        <v>61</v>
      </c>
      <c r="L136" s="12" t="s">
        <v>605</v>
      </c>
      <c r="M136" s="12" t="s">
        <v>150</v>
      </c>
      <c r="N136" s="12">
        <v>20</v>
      </c>
      <c r="O136" s="12">
        <v>20</v>
      </c>
      <c r="P136" s="12">
        <v>0</v>
      </c>
      <c r="Q136" s="16">
        <v>20</v>
      </c>
      <c r="R136" s="16">
        <v>0</v>
      </c>
      <c r="S136" s="16"/>
      <c r="T136" s="28">
        <v>20</v>
      </c>
      <c r="U136" s="28"/>
      <c r="V136" s="29">
        <f>+VLOOKUP(E136,[1]base!D:K,8,0)</f>
        <v>6.6364999999999998</v>
      </c>
      <c r="W136" s="29">
        <f t="shared" si="16"/>
        <v>132.72999999999999</v>
      </c>
      <c r="X136" s="29">
        <f t="shared" si="17"/>
        <v>6.901959999999999</v>
      </c>
      <c r="Y136" s="29">
        <f>+VLOOKUP(E136,[1]base!D:E,2,0)</f>
        <v>13</v>
      </c>
      <c r="Z136" s="29">
        <f t="shared" si="18"/>
        <v>2</v>
      </c>
      <c r="AA136" s="29">
        <f t="shared" si="19"/>
        <v>0.13333333333333339</v>
      </c>
      <c r="AB136" s="29">
        <f>+VLOOKUP(E136,[1]base!M:N,2,0)</f>
        <v>173</v>
      </c>
      <c r="AC136" s="29">
        <f>+VLOOKUP(E136,[1]base!M:Q,5,0)</f>
        <v>46.111111111111114</v>
      </c>
      <c r="AD136" s="30">
        <f>+VLOOKUP(E136,[1]base!M:P,4,0)</f>
        <v>0</v>
      </c>
      <c r="AE136" s="31">
        <f t="shared" si="20"/>
        <v>51.9</v>
      </c>
    </row>
    <row r="137" spans="1:31" s="32" customFormat="1" x14ac:dyDescent="0.25">
      <c r="A137" s="12" t="s">
        <v>888</v>
      </c>
      <c r="B137" s="13">
        <v>46261.508750000001</v>
      </c>
      <c r="C137" s="12" t="s">
        <v>502</v>
      </c>
      <c r="D137" s="12" t="s">
        <v>602</v>
      </c>
      <c r="E137" s="26" t="str">
        <f t="shared" si="14"/>
        <v>CSQ108</v>
      </c>
      <c r="F137" s="27" t="str">
        <f t="shared" si="15"/>
        <v>BLC</v>
      </c>
      <c r="G137" s="27">
        <f>+VLOOKUP(F137,[1]base!A:B,2,0)</f>
        <v>1</v>
      </c>
      <c r="H137" s="12">
        <v>4</v>
      </c>
      <c r="I137" s="12">
        <v>4</v>
      </c>
      <c r="J137" s="14"/>
      <c r="K137" s="14" t="s">
        <v>61</v>
      </c>
      <c r="L137" s="12" t="s">
        <v>897</v>
      </c>
      <c r="M137" s="12" t="s">
        <v>150</v>
      </c>
      <c r="N137" s="12">
        <v>4</v>
      </c>
      <c r="O137" s="12">
        <v>4</v>
      </c>
      <c r="P137" s="12">
        <v>0</v>
      </c>
      <c r="Q137" s="16">
        <v>4</v>
      </c>
      <c r="R137" s="16">
        <v>0</v>
      </c>
      <c r="S137" s="16"/>
      <c r="T137" s="28">
        <v>4</v>
      </c>
      <c r="U137" s="28"/>
      <c r="V137" s="29">
        <f>+VLOOKUP(E137,[1]base!D:K,8,0)</f>
        <v>6.6364999999999998</v>
      </c>
      <c r="W137" s="29">
        <f t="shared" si="16"/>
        <v>26.545999999999999</v>
      </c>
      <c r="X137" s="29">
        <f t="shared" si="17"/>
        <v>1.3803919999999998</v>
      </c>
      <c r="Y137" s="29">
        <f>+VLOOKUP(E137,[1]base!D:E,2,0)</f>
        <v>13</v>
      </c>
      <c r="Z137" s="29">
        <f t="shared" si="18"/>
        <v>1</v>
      </c>
      <c r="AA137" s="29">
        <f t="shared" si="19"/>
        <v>6.6666666666666693E-2</v>
      </c>
      <c r="AB137" s="29">
        <f>+VLOOKUP(E137,[1]base!M:N,2,0)</f>
        <v>173</v>
      </c>
      <c r="AC137" s="29">
        <f>+VLOOKUP(E137,[1]base!M:Q,5,0)</f>
        <v>46.111111111111114</v>
      </c>
      <c r="AD137" s="30">
        <f>+VLOOKUP(E137,[1]base!M:P,4,0)</f>
        <v>0</v>
      </c>
      <c r="AE137" s="31">
        <f t="shared" si="20"/>
        <v>51.9</v>
      </c>
    </row>
    <row r="138" spans="1:31" s="32" customFormat="1" x14ac:dyDescent="0.25">
      <c r="A138" s="12" t="s">
        <v>1021</v>
      </c>
      <c r="B138" s="13">
        <v>46266.424675925926</v>
      </c>
      <c r="C138" s="12" t="s">
        <v>24</v>
      </c>
      <c r="D138" s="12" t="s">
        <v>1032</v>
      </c>
      <c r="E138" s="26" t="str">
        <f t="shared" si="14"/>
        <v>CSQ108</v>
      </c>
      <c r="F138" s="27" t="str">
        <f t="shared" si="15"/>
        <v>DARK</v>
      </c>
      <c r="G138" s="27">
        <f>+VLOOKUP(F138,[1]base!A:B,2,0)</f>
        <v>38</v>
      </c>
      <c r="H138" s="12">
        <v>7</v>
      </c>
      <c r="I138" s="12">
        <v>7</v>
      </c>
      <c r="J138" s="14"/>
      <c r="K138" s="14" t="s">
        <v>61</v>
      </c>
      <c r="L138" s="12" t="s">
        <v>1061</v>
      </c>
      <c r="M138" s="12" t="s">
        <v>150</v>
      </c>
      <c r="N138" s="12">
        <v>7</v>
      </c>
      <c r="O138" s="12">
        <v>7</v>
      </c>
      <c r="P138" s="12">
        <v>0</v>
      </c>
      <c r="Q138" s="16">
        <v>7</v>
      </c>
      <c r="R138" s="16">
        <v>0</v>
      </c>
      <c r="S138" s="16"/>
      <c r="T138" s="28">
        <v>7</v>
      </c>
      <c r="U138" s="28"/>
      <c r="V138" s="29">
        <f>+VLOOKUP(E138,[1]base!D:K,8,0)</f>
        <v>6.6364999999999998</v>
      </c>
      <c r="W138" s="29">
        <f t="shared" si="16"/>
        <v>46.455500000000001</v>
      </c>
      <c r="X138" s="29">
        <f t="shared" si="17"/>
        <v>2.415686</v>
      </c>
      <c r="Y138" s="29">
        <f>+VLOOKUP(E138,[1]base!D:E,2,0)</f>
        <v>13</v>
      </c>
      <c r="Z138" s="29">
        <f t="shared" si="18"/>
        <v>1</v>
      </c>
      <c r="AA138" s="29">
        <f t="shared" si="19"/>
        <v>6.6666666666666693E-2</v>
      </c>
      <c r="AB138" s="29">
        <f>+VLOOKUP(E138,[1]base!M:N,2,0)</f>
        <v>173</v>
      </c>
      <c r="AC138" s="29">
        <f>+VLOOKUP(E138,[1]base!M:Q,5,0)</f>
        <v>46.111111111111114</v>
      </c>
      <c r="AD138" s="30">
        <f>+VLOOKUP(E138,[1]base!M:P,4,0)</f>
        <v>0</v>
      </c>
      <c r="AE138" s="31">
        <f t="shared" si="20"/>
        <v>51.9</v>
      </c>
    </row>
    <row r="139" spans="1:31" s="32" customFormat="1" x14ac:dyDescent="0.25">
      <c r="A139" s="12" t="s">
        <v>1570</v>
      </c>
      <c r="B139" s="13">
        <v>46274.654050925928</v>
      </c>
      <c r="C139" s="12" t="s">
        <v>24</v>
      </c>
      <c r="D139" s="12" t="s">
        <v>1596</v>
      </c>
      <c r="E139" s="26" t="str">
        <f t="shared" si="14"/>
        <v>CSQ110</v>
      </c>
      <c r="F139" s="27" t="str">
        <f t="shared" si="15"/>
        <v>CHPG</v>
      </c>
      <c r="G139" s="27">
        <f>+VLOOKUP(F139,[1]base!A:B,2,0)</f>
        <v>11</v>
      </c>
      <c r="H139" s="12">
        <v>2</v>
      </c>
      <c r="I139" s="12">
        <v>2</v>
      </c>
      <c r="J139" s="14"/>
      <c r="K139" s="14" t="s">
        <v>61</v>
      </c>
      <c r="L139" s="12" t="s">
        <v>1598</v>
      </c>
      <c r="M139" s="12" t="s">
        <v>150</v>
      </c>
      <c r="N139" s="12">
        <v>2</v>
      </c>
      <c r="O139" s="12">
        <v>2</v>
      </c>
      <c r="P139" s="12">
        <v>0</v>
      </c>
      <c r="Q139" s="16">
        <v>2</v>
      </c>
      <c r="R139" s="16">
        <v>0</v>
      </c>
      <c r="S139" s="16"/>
      <c r="T139" s="28">
        <v>2</v>
      </c>
      <c r="U139" s="28"/>
      <c r="V139" s="29">
        <f>+VLOOKUP(E139,[1]base!D:K,8,0)</f>
        <v>9.4314999999999998</v>
      </c>
      <c r="W139" s="29">
        <f t="shared" si="16"/>
        <v>18.863</v>
      </c>
      <c r="X139" s="29">
        <f t="shared" si="17"/>
        <v>0.98087599999999997</v>
      </c>
      <c r="Y139" s="29">
        <f>+VLOOKUP(E139,[1]base!D:E,2,0)</f>
        <v>6</v>
      </c>
      <c r="Z139" s="29">
        <f t="shared" si="18"/>
        <v>1</v>
      </c>
      <c r="AA139" s="29">
        <f t="shared" si="19"/>
        <v>6.6666666666666693E-2</v>
      </c>
      <c r="AB139" s="29">
        <f>+VLOOKUP(E139,[1]base!M:N,2,0)</f>
        <v>109</v>
      </c>
      <c r="AC139" s="29">
        <f>+VLOOKUP(E139,[1]base!M:Q,5,0)</f>
        <v>74.166666666666671</v>
      </c>
      <c r="AD139" s="30">
        <f>+VLOOKUP(E139,[1]base!M:P,4,0)</f>
        <v>0</v>
      </c>
      <c r="AE139" s="31">
        <f t="shared" si="20"/>
        <v>32.699999999999996</v>
      </c>
    </row>
    <row r="140" spans="1:31" s="32" customFormat="1" x14ac:dyDescent="0.25">
      <c r="A140" s="12" t="s">
        <v>632</v>
      </c>
      <c r="B140" s="13">
        <v>46248.315150462964</v>
      </c>
      <c r="C140" s="12" t="s">
        <v>258</v>
      </c>
      <c r="D140" s="12" t="s">
        <v>635</v>
      </c>
      <c r="E140" s="26" t="str">
        <f t="shared" si="14"/>
        <v>CSQ114</v>
      </c>
      <c r="F140" s="27" t="str">
        <f t="shared" si="15"/>
        <v>BLC</v>
      </c>
      <c r="G140" s="27">
        <f>+VLOOKUP(F140,[1]base!A:B,2,0)</f>
        <v>1</v>
      </c>
      <c r="H140" s="12">
        <v>50</v>
      </c>
      <c r="I140" s="12">
        <v>50</v>
      </c>
      <c r="J140" s="14"/>
      <c r="K140" s="14" t="s">
        <v>61</v>
      </c>
      <c r="L140" s="12" t="s">
        <v>639</v>
      </c>
      <c r="M140" s="12" t="s">
        <v>150</v>
      </c>
      <c r="N140" s="12">
        <v>50</v>
      </c>
      <c r="O140" s="12">
        <v>50</v>
      </c>
      <c r="P140" s="12">
        <v>0</v>
      </c>
      <c r="Q140" s="16">
        <v>50</v>
      </c>
      <c r="R140" s="16">
        <v>25</v>
      </c>
      <c r="S140" s="16"/>
      <c r="T140" s="28">
        <v>25</v>
      </c>
      <c r="U140" s="28"/>
      <c r="V140" s="29">
        <f>+VLOOKUP(E140,[1]base!D:K,8,0)</f>
        <v>0.91000000000000014</v>
      </c>
      <c r="W140" s="29">
        <f t="shared" si="16"/>
        <v>22.750000000000004</v>
      </c>
      <c r="X140" s="29">
        <f t="shared" si="17"/>
        <v>1.1830000000000001</v>
      </c>
      <c r="Y140" s="29">
        <f>+VLOOKUP(E140,[1]base!D:E,2,0)</f>
        <v>20</v>
      </c>
      <c r="Z140" s="29">
        <f t="shared" si="18"/>
        <v>2</v>
      </c>
      <c r="AA140" s="29">
        <f t="shared" si="19"/>
        <v>0.13333333333333339</v>
      </c>
      <c r="AB140" s="29">
        <f>+VLOOKUP(E140,[1]base!M:N,2,0)</f>
        <v>639</v>
      </c>
      <c r="AC140" s="29">
        <f>+VLOOKUP(E140,[1]base!M:Q,5,0)</f>
        <v>351.33333333333331</v>
      </c>
      <c r="AD140" s="30">
        <f>+VLOOKUP(E140,[1]base!M:P,4,0)</f>
        <v>4.1979010494752625E-2</v>
      </c>
      <c r="AE140" s="31">
        <f t="shared" si="20"/>
        <v>164.87541229385309</v>
      </c>
    </row>
    <row r="141" spans="1:31" s="32" customFormat="1" x14ac:dyDescent="0.25">
      <c r="A141" s="12" t="s">
        <v>792</v>
      </c>
      <c r="B141" s="13">
        <v>46260.398888888885</v>
      </c>
      <c r="C141" s="12" t="s">
        <v>24</v>
      </c>
      <c r="D141" s="12" t="s">
        <v>796</v>
      </c>
      <c r="E141" s="26" t="str">
        <f t="shared" si="14"/>
        <v>CSQ114</v>
      </c>
      <c r="F141" s="27" t="str">
        <f t="shared" si="15"/>
        <v>GREY</v>
      </c>
      <c r="G141" s="27">
        <f>+VLOOKUP(F141,[1]base!A:B,2,0)</f>
        <v>24</v>
      </c>
      <c r="H141" s="12">
        <v>21</v>
      </c>
      <c r="I141" s="12">
        <v>21</v>
      </c>
      <c r="J141" s="14"/>
      <c r="K141" s="14" t="s">
        <v>61</v>
      </c>
      <c r="L141" s="12" t="s">
        <v>802</v>
      </c>
      <c r="M141" s="12" t="s">
        <v>150</v>
      </c>
      <c r="N141" s="12">
        <v>21</v>
      </c>
      <c r="O141" s="12">
        <v>21</v>
      </c>
      <c r="P141" s="12">
        <v>0</v>
      </c>
      <c r="Q141" s="16">
        <v>21</v>
      </c>
      <c r="R141" s="16">
        <v>0</v>
      </c>
      <c r="S141" s="16"/>
      <c r="T141" s="28">
        <v>21</v>
      </c>
      <c r="U141" s="28"/>
      <c r="V141" s="29">
        <f>+VLOOKUP(E141,[1]base!D:K,8,0)</f>
        <v>0.91000000000000014</v>
      </c>
      <c r="W141" s="29">
        <f t="shared" si="16"/>
        <v>19.110000000000003</v>
      </c>
      <c r="X141" s="29">
        <f t="shared" si="17"/>
        <v>0.99372000000000016</v>
      </c>
      <c r="Y141" s="29">
        <f>+VLOOKUP(E141,[1]base!D:E,2,0)</f>
        <v>20</v>
      </c>
      <c r="Z141" s="29">
        <f t="shared" si="18"/>
        <v>2</v>
      </c>
      <c r="AA141" s="29">
        <f t="shared" si="19"/>
        <v>0.13333333333333339</v>
      </c>
      <c r="AB141" s="29">
        <f>+VLOOKUP(E141,[1]base!M:N,2,0)</f>
        <v>639</v>
      </c>
      <c r="AC141" s="29">
        <f>+VLOOKUP(E141,[1]base!M:Q,5,0)</f>
        <v>351.33333333333331</v>
      </c>
      <c r="AD141" s="30">
        <f>+VLOOKUP(E141,[1]base!M:P,4,0)</f>
        <v>4.1979010494752625E-2</v>
      </c>
      <c r="AE141" s="31">
        <f t="shared" si="20"/>
        <v>164.87541229385309</v>
      </c>
    </row>
    <row r="142" spans="1:31" s="32" customFormat="1" x14ac:dyDescent="0.25">
      <c r="A142" s="12" t="s">
        <v>1437</v>
      </c>
      <c r="B142" s="13">
        <v>46273.419074074074</v>
      </c>
      <c r="C142" s="12" t="s">
        <v>258</v>
      </c>
      <c r="D142" s="12" t="s">
        <v>1440</v>
      </c>
      <c r="E142" s="26" t="str">
        <f t="shared" si="14"/>
        <v>CSQ114</v>
      </c>
      <c r="F142" s="27" t="str">
        <f t="shared" si="15"/>
        <v>NOIR</v>
      </c>
      <c r="G142" s="27">
        <f>+VLOOKUP(F142,[1]base!A:B,2,0)</f>
        <v>37</v>
      </c>
      <c r="H142" s="12">
        <v>2</v>
      </c>
      <c r="I142" s="12">
        <v>2</v>
      </c>
      <c r="J142" s="14"/>
      <c r="K142" s="14" t="s">
        <v>61</v>
      </c>
      <c r="L142" s="12" t="s">
        <v>1443</v>
      </c>
      <c r="M142" s="12" t="s">
        <v>150</v>
      </c>
      <c r="N142" s="12">
        <v>2</v>
      </c>
      <c r="O142" s="12">
        <v>2</v>
      </c>
      <c r="P142" s="12">
        <v>0</v>
      </c>
      <c r="Q142" s="16">
        <v>2</v>
      </c>
      <c r="R142" s="16">
        <v>0</v>
      </c>
      <c r="S142" s="16"/>
      <c r="T142" s="28">
        <v>2</v>
      </c>
      <c r="U142" s="28"/>
      <c r="V142" s="29">
        <f>+VLOOKUP(E142,[1]base!D:K,8,0)</f>
        <v>0.91000000000000014</v>
      </c>
      <c r="W142" s="29">
        <f t="shared" si="16"/>
        <v>1.8200000000000003</v>
      </c>
      <c r="X142" s="29">
        <f t="shared" si="17"/>
        <v>9.4640000000000016E-2</v>
      </c>
      <c r="Y142" s="29">
        <f>+VLOOKUP(E142,[1]base!D:E,2,0)</f>
        <v>20</v>
      </c>
      <c r="Z142" s="29">
        <f t="shared" si="18"/>
        <v>1</v>
      </c>
      <c r="AA142" s="29">
        <f t="shared" si="19"/>
        <v>6.6666666666666693E-2</v>
      </c>
      <c r="AB142" s="29">
        <f>+VLOOKUP(E142,[1]base!M:N,2,0)</f>
        <v>639</v>
      </c>
      <c r="AC142" s="29">
        <f>+VLOOKUP(E142,[1]base!M:Q,5,0)</f>
        <v>351.33333333333331</v>
      </c>
      <c r="AD142" s="30">
        <f>+VLOOKUP(E142,[1]base!M:P,4,0)</f>
        <v>4.1979010494752625E-2</v>
      </c>
      <c r="AE142" s="31">
        <f t="shared" si="20"/>
        <v>164.87541229385309</v>
      </c>
    </row>
    <row r="143" spans="1:31" s="32" customFormat="1" x14ac:dyDescent="0.25">
      <c r="A143" s="12" t="s">
        <v>598</v>
      </c>
      <c r="B143" s="13">
        <v>46246.522766203707</v>
      </c>
      <c r="C143" s="12" t="s">
        <v>599</v>
      </c>
      <c r="D143" s="12" t="s">
        <v>603</v>
      </c>
      <c r="E143" s="26" t="str">
        <f t="shared" si="14"/>
        <v>CSQ126</v>
      </c>
      <c r="F143" s="27" t="str">
        <f t="shared" si="15"/>
        <v>BLC</v>
      </c>
      <c r="G143" s="27">
        <f>+VLOOKUP(F143,[1]base!A:B,2,0)</f>
        <v>1</v>
      </c>
      <c r="H143" s="12">
        <v>30</v>
      </c>
      <c r="I143" s="12">
        <v>30</v>
      </c>
      <c r="J143" s="14"/>
      <c r="K143" s="14" t="s">
        <v>61</v>
      </c>
      <c r="L143" s="12" t="s">
        <v>606</v>
      </c>
      <c r="M143" s="12" t="s">
        <v>150</v>
      </c>
      <c r="N143" s="12">
        <v>30</v>
      </c>
      <c r="O143" s="12">
        <v>30</v>
      </c>
      <c r="P143" s="12">
        <v>0</v>
      </c>
      <c r="Q143" s="16">
        <v>30</v>
      </c>
      <c r="R143" s="16">
        <v>4</v>
      </c>
      <c r="S143" s="16"/>
      <c r="T143" s="28">
        <v>26</v>
      </c>
      <c r="U143" s="28"/>
      <c r="V143" s="29">
        <f>+VLOOKUP(E143,[1]base!D:K,8,0)</f>
        <v>1.5859999999999999</v>
      </c>
      <c r="W143" s="29">
        <f t="shared" si="16"/>
        <v>41.235999999999997</v>
      </c>
      <c r="X143" s="29">
        <f t="shared" si="17"/>
        <v>2.144272</v>
      </c>
      <c r="Y143" s="29">
        <f>+VLOOKUP(E143,[1]base!D:E,2,0)</f>
        <v>20</v>
      </c>
      <c r="Z143" s="29">
        <f t="shared" si="18"/>
        <v>2</v>
      </c>
      <c r="AA143" s="29">
        <f t="shared" si="19"/>
        <v>0.13333333333333339</v>
      </c>
      <c r="AB143" s="29">
        <f>+VLOOKUP(E143,[1]base!M:N,2,0)</f>
        <v>51</v>
      </c>
      <c r="AC143" s="29">
        <f>+VLOOKUP(E143,[1]base!M:Q,5,0)</f>
        <v>29.666666666666668</v>
      </c>
      <c r="AD143" s="30">
        <f>+VLOOKUP(E143,[1]base!M:P,4,0)</f>
        <v>7.2727272727272724E-2</v>
      </c>
      <c r="AE143" s="31">
        <f t="shared" si="20"/>
        <v>11.59090909090909</v>
      </c>
    </row>
    <row r="144" spans="1:31" s="32" customFormat="1" x14ac:dyDescent="0.25">
      <c r="A144" s="12" t="s">
        <v>792</v>
      </c>
      <c r="B144" s="13">
        <v>46260.398888888885</v>
      </c>
      <c r="C144" s="12" t="s">
        <v>24</v>
      </c>
      <c r="D144" s="12" t="s">
        <v>799</v>
      </c>
      <c r="E144" s="26" t="str">
        <f t="shared" si="14"/>
        <v>CSQ201</v>
      </c>
      <c r="F144" s="27" t="str">
        <f t="shared" si="15"/>
        <v>GREY</v>
      </c>
      <c r="G144" s="27">
        <f>+VLOOKUP(F144,[1]base!A:B,2,0)</f>
        <v>24</v>
      </c>
      <c r="H144" s="12">
        <v>1</v>
      </c>
      <c r="I144" s="12">
        <v>1</v>
      </c>
      <c r="J144" s="14"/>
      <c r="K144" s="14" t="s">
        <v>61</v>
      </c>
      <c r="L144" s="12" t="s">
        <v>805</v>
      </c>
      <c r="M144" s="12" t="s">
        <v>150</v>
      </c>
      <c r="N144" s="12">
        <v>1</v>
      </c>
      <c r="O144" s="12">
        <v>1</v>
      </c>
      <c r="P144" s="12">
        <v>0</v>
      </c>
      <c r="Q144" s="16">
        <v>1</v>
      </c>
      <c r="R144" s="16">
        <v>0</v>
      </c>
      <c r="S144" s="16"/>
      <c r="T144" s="28">
        <v>1</v>
      </c>
      <c r="U144" s="28"/>
      <c r="V144" s="29">
        <f>+VLOOKUP(E144,[1]base!D:K,8,0)</f>
        <v>4.9595000000000002</v>
      </c>
      <c r="W144" s="29">
        <f t="shared" si="16"/>
        <v>4.9595000000000002</v>
      </c>
      <c r="X144" s="29">
        <f t="shared" si="17"/>
        <v>0.25789400000000001</v>
      </c>
      <c r="Y144" s="29">
        <f>+VLOOKUP(E144,[1]base!D:E,2,0)</f>
        <v>12</v>
      </c>
      <c r="Z144" s="29">
        <f t="shared" si="18"/>
        <v>1</v>
      </c>
      <c r="AA144" s="29">
        <f t="shared" si="19"/>
        <v>6.6666666666666693E-2</v>
      </c>
      <c r="AB144" s="29">
        <f>+VLOOKUP(E144,[1]base!M:N,2,0)</f>
        <v>315</v>
      </c>
      <c r="AC144" s="29">
        <f>+VLOOKUP(E144,[1]base!M:Q,5,0)</f>
        <v>4</v>
      </c>
      <c r="AD144" s="30">
        <f>+VLOOKUP(E144,[1]base!M:P,4,0)</f>
        <v>3.0769230769230771E-2</v>
      </c>
      <c r="AE144" s="31">
        <f t="shared" si="20"/>
        <v>84.807692307692307</v>
      </c>
    </row>
    <row r="145" spans="1:31" s="32" customFormat="1" x14ac:dyDescent="0.25">
      <c r="A145" s="12" t="s">
        <v>954</v>
      </c>
      <c r="B145" s="13">
        <v>46263.489895833336</v>
      </c>
      <c r="C145" s="12" t="s">
        <v>258</v>
      </c>
      <c r="D145" s="12" t="s">
        <v>956</v>
      </c>
      <c r="E145" s="26" t="str">
        <f t="shared" si="14"/>
        <v>CSQ201</v>
      </c>
      <c r="F145" s="27" t="str">
        <f t="shared" si="15"/>
        <v>DARK</v>
      </c>
      <c r="G145" s="27">
        <f>+VLOOKUP(F145,[1]base!A:B,2,0)</f>
        <v>38</v>
      </c>
      <c r="H145" s="12">
        <v>3</v>
      </c>
      <c r="I145" s="12">
        <v>3</v>
      </c>
      <c r="J145" s="14"/>
      <c r="K145" s="14" t="s">
        <v>61</v>
      </c>
      <c r="L145" s="12" t="s">
        <v>962</v>
      </c>
      <c r="M145" s="12" t="s">
        <v>150</v>
      </c>
      <c r="N145" s="12">
        <v>3</v>
      </c>
      <c r="O145" s="12">
        <v>3</v>
      </c>
      <c r="P145" s="12">
        <v>0</v>
      </c>
      <c r="Q145" s="16">
        <v>3</v>
      </c>
      <c r="R145" s="16">
        <v>2</v>
      </c>
      <c r="S145" s="16"/>
      <c r="T145" s="28">
        <v>1</v>
      </c>
      <c r="U145" s="28">
        <v>2</v>
      </c>
      <c r="V145" s="29">
        <f>+VLOOKUP(E145,[1]base!D:K,8,0)</f>
        <v>4.9595000000000002</v>
      </c>
      <c r="W145" s="29">
        <f t="shared" si="16"/>
        <v>14.878500000000001</v>
      </c>
      <c r="X145" s="29">
        <f t="shared" si="17"/>
        <v>0.77368199999999998</v>
      </c>
      <c r="Y145" s="29">
        <f>+VLOOKUP(E145,[1]base!D:E,2,0)</f>
        <v>12</v>
      </c>
      <c r="Z145" s="29">
        <f t="shared" si="18"/>
        <v>1</v>
      </c>
      <c r="AA145" s="29">
        <f t="shared" si="19"/>
        <v>6.6666666666666693E-2</v>
      </c>
      <c r="AB145" s="29">
        <f>+VLOOKUP(E145,[1]base!M:N,2,0)</f>
        <v>315</v>
      </c>
      <c r="AC145" s="29">
        <f>+VLOOKUP(E145,[1]base!M:Q,5,0)</f>
        <v>4</v>
      </c>
      <c r="AD145" s="30">
        <f>+VLOOKUP(E145,[1]base!M:P,4,0)</f>
        <v>3.0769230769230771E-2</v>
      </c>
      <c r="AE145" s="31">
        <f t="shared" si="20"/>
        <v>84.807692307692307</v>
      </c>
    </row>
    <row r="146" spans="1:31" s="32" customFormat="1" x14ac:dyDescent="0.25">
      <c r="A146" s="12" t="s">
        <v>1524</v>
      </c>
      <c r="B146" s="13">
        <v>46274.348136574074</v>
      </c>
      <c r="C146" s="12" t="s">
        <v>502</v>
      </c>
      <c r="D146" s="12" t="s">
        <v>1527</v>
      </c>
      <c r="E146" s="26" t="str">
        <f t="shared" si="14"/>
        <v>CSQ202</v>
      </c>
      <c r="F146" s="27" t="str">
        <f t="shared" si="15"/>
        <v>GRIS</v>
      </c>
      <c r="G146" s="27">
        <f>+VLOOKUP(F146,[1]base!A:B,2,0)</f>
        <v>22</v>
      </c>
      <c r="H146" s="12">
        <v>8</v>
      </c>
      <c r="I146" s="12">
        <v>8</v>
      </c>
      <c r="J146" s="14"/>
      <c r="K146" s="14" t="s">
        <v>61</v>
      </c>
      <c r="L146" s="12" t="s">
        <v>1529</v>
      </c>
      <c r="M146" s="12" t="s">
        <v>150</v>
      </c>
      <c r="N146" s="12">
        <v>8</v>
      </c>
      <c r="O146" s="12">
        <v>8</v>
      </c>
      <c r="P146" s="12">
        <v>0</v>
      </c>
      <c r="Q146" s="16">
        <v>8</v>
      </c>
      <c r="R146" s="16">
        <v>0</v>
      </c>
      <c r="S146" s="16"/>
      <c r="T146" s="28">
        <v>8</v>
      </c>
      <c r="U146" s="28"/>
      <c r="V146" s="29">
        <f>+VLOOKUP(E146,[1]base!D:K,8,0)</f>
        <v>5.6094999999999997</v>
      </c>
      <c r="W146" s="29">
        <f t="shared" si="16"/>
        <v>44.875999999999998</v>
      </c>
      <c r="X146" s="29">
        <f t="shared" si="17"/>
        <v>2.3335519999999996</v>
      </c>
      <c r="Y146" s="29">
        <f>+VLOOKUP(E146,[1]base!D:E,2,0)</f>
        <v>12</v>
      </c>
      <c r="Z146" s="29">
        <f t="shared" si="18"/>
        <v>1</v>
      </c>
      <c r="AA146" s="29">
        <f t="shared" si="19"/>
        <v>6.6666666666666693E-2</v>
      </c>
      <c r="AB146" s="29">
        <f>+VLOOKUP(E146,[1]base!M:N,2,0)</f>
        <v>1021</v>
      </c>
      <c r="AC146" s="29">
        <f>+VLOOKUP(E146,[1]base!M:Q,5,0)</f>
        <v>75.333333333333329</v>
      </c>
      <c r="AD146" s="30">
        <f>+VLOOKUP(E146,[1]base!M:P,4,0)</f>
        <v>2.9296875E-3</v>
      </c>
      <c r="AE146" s="31">
        <f t="shared" si="20"/>
        <v>303.30878906250001</v>
      </c>
    </row>
    <row r="147" spans="1:31" s="32" customFormat="1" x14ac:dyDescent="0.25">
      <c r="A147" s="12" t="s">
        <v>792</v>
      </c>
      <c r="B147" s="13">
        <v>46260.398888888885</v>
      </c>
      <c r="C147" s="12" t="s">
        <v>24</v>
      </c>
      <c r="D147" s="12" t="s">
        <v>807</v>
      </c>
      <c r="E147" s="26" t="str">
        <f t="shared" si="14"/>
        <v>CSQ203</v>
      </c>
      <c r="F147" s="27" t="str">
        <f t="shared" si="15"/>
        <v>GREY</v>
      </c>
      <c r="G147" s="27">
        <f>+VLOOKUP(F147,[1]base!A:B,2,0)</f>
        <v>24</v>
      </c>
      <c r="H147" s="12">
        <v>12</v>
      </c>
      <c r="I147" s="12">
        <v>12</v>
      </c>
      <c r="J147" s="14"/>
      <c r="K147" s="14" t="s">
        <v>61</v>
      </c>
      <c r="L147" s="12" t="s">
        <v>818</v>
      </c>
      <c r="M147" s="12" t="s">
        <v>150</v>
      </c>
      <c r="N147" s="12">
        <v>12</v>
      </c>
      <c r="O147" s="12">
        <v>12</v>
      </c>
      <c r="P147" s="12">
        <v>0</v>
      </c>
      <c r="Q147" s="16">
        <v>12</v>
      </c>
      <c r="R147" s="16">
        <v>1</v>
      </c>
      <c r="S147" s="16"/>
      <c r="T147" s="28">
        <v>11</v>
      </c>
      <c r="U147" s="28">
        <v>1</v>
      </c>
      <c r="V147" s="29">
        <f>+VLOOKUP(E147,[1]base!D:K,8,0)</f>
        <v>5.1284999999999998</v>
      </c>
      <c r="W147" s="29">
        <f t="shared" si="16"/>
        <v>61.542000000000002</v>
      </c>
      <c r="X147" s="29">
        <f t="shared" si="17"/>
        <v>3.2001840000000001</v>
      </c>
      <c r="Y147" s="29">
        <f>+VLOOKUP(E147,[1]base!D:E,2,0)</f>
        <v>12</v>
      </c>
      <c r="Z147" s="29">
        <f t="shared" si="18"/>
        <v>1</v>
      </c>
      <c r="AA147" s="29">
        <f t="shared" si="19"/>
        <v>6.6666666666666693E-2</v>
      </c>
      <c r="AB147" s="29">
        <f>+VLOOKUP(E147,[1]base!M:N,2,0)</f>
        <v>899</v>
      </c>
      <c r="AC147" s="29">
        <f>+VLOOKUP(E147,[1]base!M:Q,5,0)</f>
        <v>53.2</v>
      </c>
      <c r="AD147" s="30">
        <f>+VLOOKUP(E147,[1]base!M:P,4,0)</f>
        <v>2.2197558268590455E-3</v>
      </c>
      <c r="AE147" s="31">
        <f t="shared" si="20"/>
        <v>267.70443951165367</v>
      </c>
    </row>
    <row r="148" spans="1:31" s="32" customFormat="1" x14ac:dyDescent="0.25">
      <c r="A148" s="12" t="s">
        <v>1021</v>
      </c>
      <c r="B148" s="13">
        <v>46266.424675925926</v>
      </c>
      <c r="C148" s="12" t="s">
        <v>24</v>
      </c>
      <c r="D148" s="12" t="s">
        <v>1033</v>
      </c>
      <c r="E148" s="26" t="str">
        <f t="shared" si="14"/>
        <v>CSQ203</v>
      </c>
      <c r="F148" s="27" t="str">
        <f t="shared" si="15"/>
        <v>DARK</v>
      </c>
      <c r="G148" s="27">
        <f>+VLOOKUP(F148,[1]base!A:B,2,0)</f>
        <v>38</v>
      </c>
      <c r="H148" s="12">
        <v>12</v>
      </c>
      <c r="I148" s="12">
        <v>12</v>
      </c>
      <c r="J148" s="14"/>
      <c r="K148" s="14" t="s">
        <v>61</v>
      </c>
      <c r="L148" s="12" t="s">
        <v>1062</v>
      </c>
      <c r="M148" s="12" t="s">
        <v>150</v>
      </c>
      <c r="N148" s="12">
        <v>12</v>
      </c>
      <c r="O148" s="12">
        <v>12</v>
      </c>
      <c r="P148" s="12">
        <v>0</v>
      </c>
      <c r="Q148" s="16">
        <v>12</v>
      </c>
      <c r="R148" s="16">
        <v>0</v>
      </c>
      <c r="S148" s="16"/>
      <c r="T148" s="28">
        <v>12</v>
      </c>
      <c r="U148" s="28"/>
      <c r="V148" s="29">
        <f>+VLOOKUP(E148,[1]base!D:K,8,0)</f>
        <v>5.1284999999999998</v>
      </c>
      <c r="W148" s="29">
        <f t="shared" si="16"/>
        <v>61.542000000000002</v>
      </c>
      <c r="X148" s="29">
        <f t="shared" si="17"/>
        <v>3.2001840000000001</v>
      </c>
      <c r="Y148" s="29">
        <f>+VLOOKUP(E148,[1]base!D:E,2,0)</f>
        <v>12</v>
      </c>
      <c r="Z148" s="29">
        <f t="shared" si="18"/>
        <v>1</v>
      </c>
      <c r="AA148" s="29">
        <f t="shared" si="19"/>
        <v>6.6666666666666693E-2</v>
      </c>
      <c r="AB148" s="29">
        <f>+VLOOKUP(E148,[1]base!M:N,2,0)</f>
        <v>899</v>
      </c>
      <c r="AC148" s="29">
        <f>+VLOOKUP(E148,[1]base!M:Q,5,0)</f>
        <v>53.2</v>
      </c>
      <c r="AD148" s="30">
        <f>+VLOOKUP(E148,[1]base!M:P,4,0)</f>
        <v>2.2197558268590455E-3</v>
      </c>
      <c r="AE148" s="31">
        <f t="shared" si="20"/>
        <v>267.70443951165367</v>
      </c>
    </row>
    <row r="149" spans="1:31" s="32" customFormat="1" x14ac:dyDescent="0.25">
      <c r="A149" s="12" t="s">
        <v>888</v>
      </c>
      <c r="B149" s="13">
        <v>46261.508750000001</v>
      </c>
      <c r="C149" s="12" t="s">
        <v>502</v>
      </c>
      <c r="D149" s="12" t="s">
        <v>892</v>
      </c>
      <c r="E149" s="26" t="str">
        <f t="shared" si="14"/>
        <v>CSQ210</v>
      </c>
      <c r="F149" s="27" t="str">
        <f t="shared" si="15"/>
        <v>BLC</v>
      </c>
      <c r="G149" s="27">
        <f>+VLOOKUP(F149,[1]base!A:B,2,0)</f>
        <v>1</v>
      </c>
      <c r="H149" s="12">
        <v>4</v>
      </c>
      <c r="I149" s="12">
        <v>4</v>
      </c>
      <c r="J149" s="14"/>
      <c r="K149" s="14" t="s">
        <v>61</v>
      </c>
      <c r="L149" s="12" t="s">
        <v>898</v>
      </c>
      <c r="M149" s="12" t="s">
        <v>150</v>
      </c>
      <c r="N149" s="12">
        <v>4</v>
      </c>
      <c r="O149" s="12">
        <v>4</v>
      </c>
      <c r="P149" s="12">
        <v>0</v>
      </c>
      <c r="Q149" s="16">
        <v>4</v>
      </c>
      <c r="R149" s="16">
        <v>0</v>
      </c>
      <c r="S149" s="16"/>
      <c r="T149" s="28">
        <v>4</v>
      </c>
      <c r="U149" s="28"/>
      <c r="V149" s="29">
        <f>+VLOOKUP(E149,[1]base!D:K,8,0)</f>
        <v>8.4109999999999996</v>
      </c>
      <c r="W149" s="29">
        <f t="shared" si="16"/>
        <v>33.643999999999998</v>
      </c>
      <c r="X149" s="29">
        <f t="shared" si="17"/>
        <v>1.7494879999999999</v>
      </c>
      <c r="Y149" s="29">
        <f>+VLOOKUP(E149,[1]base!D:E,2,0)</f>
        <v>12</v>
      </c>
      <c r="Z149" s="29">
        <f t="shared" si="18"/>
        <v>1</v>
      </c>
      <c r="AA149" s="29">
        <f t="shared" si="19"/>
        <v>6.6666666666666693E-2</v>
      </c>
      <c r="AB149" s="29">
        <f>+VLOOKUP(E149,[1]base!M:N,2,0)</f>
        <v>442</v>
      </c>
      <c r="AC149" s="29">
        <f>+VLOOKUP(E149,[1]base!M:Q,5,0)</f>
        <v>19</v>
      </c>
      <c r="AD149" s="30">
        <f>+VLOOKUP(E149,[1]base!M:P,4,0)</f>
        <v>2.257336343115124E-3</v>
      </c>
      <c r="AE149" s="31">
        <f t="shared" si="20"/>
        <v>131.60225733634309</v>
      </c>
    </row>
    <row r="150" spans="1:31" s="32" customFormat="1" x14ac:dyDescent="0.25">
      <c r="A150" s="12" t="s">
        <v>792</v>
      </c>
      <c r="B150" s="13">
        <v>46260.398888888885</v>
      </c>
      <c r="C150" s="12" t="s">
        <v>24</v>
      </c>
      <c r="D150" s="12" t="s">
        <v>800</v>
      </c>
      <c r="E150" s="26" t="str">
        <f t="shared" si="14"/>
        <v>CSQ301</v>
      </c>
      <c r="F150" s="27" t="str">
        <f t="shared" si="15"/>
        <v>GREY</v>
      </c>
      <c r="G150" s="27">
        <f>+VLOOKUP(F150,[1]base!A:B,2,0)</f>
        <v>24</v>
      </c>
      <c r="H150" s="12">
        <v>36</v>
      </c>
      <c r="I150" s="12">
        <v>36</v>
      </c>
      <c r="J150" s="14"/>
      <c r="K150" s="14" t="s">
        <v>61</v>
      </c>
      <c r="L150" s="12" t="s">
        <v>806</v>
      </c>
      <c r="M150" s="12" t="s">
        <v>150</v>
      </c>
      <c r="N150" s="12">
        <v>36</v>
      </c>
      <c r="O150" s="12">
        <v>36</v>
      </c>
      <c r="P150" s="12">
        <v>0</v>
      </c>
      <c r="Q150" s="16">
        <v>36</v>
      </c>
      <c r="R150" s="16">
        <v>0</v>
      </c>
      <c r="S150" s="16"/>
      <c r="T150" s="28">
        <v>36</v>
      </c>
      <c r="U150" s="28"/>
      <c r="V150" s="29">
        <f>+VLOOKUP(E150,[1]base!D:K,8,0)</f>
        <v>1.3130000000000002</v>
      </c>
      <c r="W150" s="29">
        <f t="shared" si="16"/>
        <v>47.268000000000008</v>
      </c>
      <c r="X150" s="29">
        <f t="shared" si="17"/>
        <v>2.4579360000000001</v>
      </c>
      <c r="Y150" s="29">
        <f>+VLOOKUP(E150,[1]base!D:E,2,0)</f>
        <v>20</v>
      </c>
      <c r="Z150" s="29">
        <f t="shared" si="18"/>
        <v>2</v>
      </c>
      <c r="AA150" s="29">
        <f t="shared" si="19"/>
        <v>0.13333333333333339</v>
      </c>
      <c r="AB150" s="29">
        <f>+VLOOKUP(E150,[1]base!M:N,2,0)</f>
        <v>2555</v>
      </c>
      <c r="AC150" s="29">
        <f>+VLOOKUP(E150,[1]base!M:Q,5,0)</f>
        <v>82.777777777777771</v>
      </c>
      <c r="AD150" s="30">
        <f>+VLOOKUP(E150,[1]base!M:P,4,0)</f>
        <v>8.152173913043478E-3</v>
      </c>
      <c r="AE150" s="31">
        <f t="shared" si="20"/>
        <v>745.67119565217388</v>
      </c>
    </row>
    <row r="151" spans="1:31" s="32" customFormat="1" x14ac:dyDescent="0.25">
      <c r="A151" s="12" t="s">
        <v>716</v>
      </c>
      <c r="B151" s="13">
        <v>46255.331192129626</v>
      </c>
      <c r="C151" s="12" t="s">
        <v>717</v>
      </c>
      <c r="D151" s="12" t="s">
        <v>719</v>
      </c>
      <c r="E151" s="26" t="str">
        <f t="shared" si="14"/>
        <v>CSQ301</v>
      </c>
      <c r="F151" s="27" t="str">
        <f t="shared" si="15"/>
        <v>NOIR</v>
      </c>
      <c r="G151" s="27">
        <f>+VLOOKUP(F151,[1]base!A:B,2,0)</f>
        <v>37</v>
      </c>
      <c r="H151" s="12">
        <v>1</v>
      </c>
      <c r="I151" s="12">
        <v>1</v>
      </c>
      <c r="J151" s="14"/>
      <c r="K151" s="14" t="s">
        <v>61</v>
      </c>
      <c r="L151" s="12" t="s">
        <v>721</v>
      </c>
      <c r="M151" s="12" t="s">
        <v>150</v>
      </c>
      <c r="N151" s="12">
        <v>1</v>
      </c>
      <c r="O151" s="12">
        <v>1</v>
      </c>
      <c r="P151" s="12">
        <v>0</v>
      </c>
      <c r="Q151" s="16">
        <v>1</v>
      </c>
      <c r="R151" s="16">
        <v>0</v>
      </c>
      <c r="S151" s="16"/>
      <c r="T151" s="28">
        <v>1</v>
      </c>
      <c r="U151" s="28"/>
      <c r="V151" s="29">
        <f>+VLOOKUP(E151,[1]base!D:K,8,0)</f>
        <v>1.3130000000000002</v>
      </c>
      <c r="W151" s="29">
        <f t="shared" si="16"/>
        <v>1.3130000000000002</v>
      </c>
      <c r="X151" s="29">
        <f t="shared" si="17"/>
        <v>6.8276000000000003E-2</v>
      </c>
      <c r="Y151" s="29">
        <f>+VLOOKUP(E151,[1]base!D:E,2,0)</f>
        <v>20</v>
      </c>
      <c r="Z151" s="29">
        <f t="shared" si="18"/>
        <v>1</v>
      </c>
      <c r="AA151" s="29">
        <f t="shared" si="19"/>
        <v>6.6666666666666693E-2</v>
      </c>
      <c r="AB151" s="29">
        <f>+VLOOKUP(E151,[1]base!M:N,2,0)</f>
        <v>2555</v>
      </c>
      <c r="AC151" s="29">
        <f>+VLOOKUP(E151,[1]base!M:Q,5,0)</f>
        <v>82.777777777777771</v>
      </c>
      <c r="AD151" s="30">
        <f>+VLOOKUP(E151,[1]base!M:P,4,0)</f>
        <v>8.152173913043478E-3</v>
      </c>
      <c r="AE151" s="31">
        <f t="shared" si="20"/>
        <v>745.67119565217388</v>
      </c>
    </row>
    <row r="152" spans="1:31" s="32" customFormat="1" x14ac:dyDescent="0.25">
      <c r="A152" s="12" t="s">
        <v>1570</v>
      </c>
      <c r="B152" s="13">
        <v>46274.654050925928</v>
      </c>
      <c r="C152" s="12" t="s">
        <v>24</v>
      </c>
      <c r="D152" s="12" t="s">
        <v>1603</v>
      </c>
      <c r="E152" s="26" t="str">
        <f t="shared" si="14"/>
        <v>CSQ302</v>
      </c>
      <c r="F152" s="27" t="str">
        <f t="shared" si="15"/>
        <v>CHPG</v>
      </c>
      <c r="G152" s="27">
        <f>+VLOOKUP(F152,[1]base!A:B,2,0)</f>
        <v>11</v>
      </c>
      <c r="H152" s="12">
        <v>2</v>
      </c>
      <c r="I152" s="12">
        <v>2</v>
      </c>
      <c r="J152" s="14"/>
      <c r="K152" s="14" t="s">
        <v>61</v>
      </c>
      <c r="L152" s="12" t="s">
        <v>1617</v>
      </c>
      <c r="M152" s="12" t="s">
        <v>150</v>
      </c>
      <c r="N152" s="12">
        <v>2</v>
      </c>
      <c r="O152" s="12">
        <v>2</v>
      </c>
      <c r="P152" s="12">
        <v>0</v>
      </c>
      <c r="Q152" s="16">
        <v>2</v>
      </c>
      <c r="R152" s="16">
        <v>0</v>
      </c>
      <c r="S152" s="16"/>
      <c r="T152" s="28">
        <v>2</v>
      </c>
      <c r="U152" s="28"/>
      <c r="V152" s="29">
        <f>+VLOOKUP(E152,[1]base!D:K,8,0)</f>
        <v>1.157</v>
      </c>
      <c r="W152" s="29">
        <f t="shared" si="16"/>
        <v>2.3140000000000001</v>
      </c>
      <c r="X152" s="29">
        <f t="shared" si="17"/>
        <v>0.12032799999999999</v>
      </c>
      <c r="Y152" s="29">
        <f>+VLOOKUP(E152,[1]base!D:E,2,0)</f>
        <v>20</v>
      </c>
      <c r="Z152" s="29">
        <f t="shared" si="18"/>
        <v>1</v>
      </c>
      <c r="AA152" s="29">
        <f t="shared" si="19"/>
        <v>6.6666666666666693E-2</v>
      </c>
      <c r="AB152" s="29">
        <f>+VLOOKUP(E152,[1]base!M:N,2,0)</f>
        <v>358</v>
      </c>
      <c r="AC152" s="29">
        <f>+VLOOKUP(E152,[1]base!M:Q,5,0)</f>
        <v>69</v>
      </c>
      <c r="AD152" s="30">
        <f>+VLOOKUP(E152,[1]base!M:P,4,0)</f>
        <v>2.7855153203342618E-3</v>
      </c>
      <c r="AE152" s="31">
        <f t="shared" si="20"/>
        <v>106.40278551532033</v>
      </c>
    </row>
    <row r="153" spans="1:31" s="32" customFormat="1" x14ac:dyDescent="0.25">
      <c r="A153" s="12" t="s">
        <v>724</v>
      </c>
      <c r="B153" s="13">
        <v>46255.604097222225</v>
      </c>
      <c r="C153" s="12" t="s">
        <v>156</v>
      </c>
      <c r="D153" s="12" t="s">
        <v>725</v>
      </c>
      <c r="E153" s="26" t="str">
        <f t="shared" si="14"/>
        <v>CSQ302</v>
      </c>
      <c r="F153" s="27" t="str">
        <f t="shared" si="15"/>
        <v>NOIR</v>
      </c>
      <c r="G153" s="27">
        <f>+VLOOKUP(F153,[1]base!A:B,2,0)</f>
        <v>37</v>
      </c>
      <c r="H153" s="12">
        <v>2</v>
      </c>
      <c r="I153" s="12">
        <v>2</v>
      </c>
      <c r="J153" s="14"/>
      <c r="K153" s="14" t="s">
        <v>61</v>
      </c>
      <c r="L153" s="12" t="s">
        <v>727</v>
      </c>
      <c r="M153" s="12" t="s">
        <v>150</v>
      </c>
      <c r="N153" s="12">
        <v>2</v>
      </c>
      <c r="O153" s="12">
        <v>2</v>
      </c>
      <c r="P153" s="12">
        <v>0</v>
      </c>
      <c r="Q153" s="16">
        <v>2</v>
      </c>
      <c r="R153" s="16">
        <v>1</v>
      </c>
      <c r="S153" s="16"/>
      <c r="T153" s="28">
        <v>1</v>
      </c>
      <c r="U153" s="28">
        <v>1</v>
      </c>
      <c r="V153" s="29">
        <f>+VLOOKUP(E153,[1]base!D:K,8,0)</f>
        <v>1.157</v>
      </c>
      <c r="W153" s="29">
        <f t="shared" si="16"/>
        <v>2.3140000000000001</v>
      </c>
      <c r="X153" s="29">
        <f t="shared" si="17"/>
        <v>0.12032799999999999</v>
      </c>
      <c r="Y153" s="29">
        <f>+VLOOKUP(E153,[1]base!D:E,2,0)</f>
        <v>20</v>
      </c>
      <c r="Z153" s="29">
        <f t="shared" si="18"/>
        <v>1</v>
      </c>
      <c r="AA153" s="29">
        <f t="shared" si="19"/>
        <v>6.6666666666666693E-2</v>
      </c>
      <c r="AB153" s="29">
        <f>+VLOOKUP(E153,[1]base!M:N,2,0)</f>
        <v>358</v>
      </c>
      <c r="AC153" s="29">
        <f>+VLOOKUP(E153,[1]base!M:Q,5,0)</f>
        <v>69</v>
      </c>
      <c r="AD153" s="30">
        <f>+VLOOKUP(E153,[1]base!M:P,4,0)</f>
        <v>2.7855153203342618E-3</v>
      </c>
      <c r="AE153" s="31">
        <f t="shared" si="20"/>
        <v>106.40278551532033</v>
      </c>
    </row>
    <row r="154" spans="1:31" s="32" customFormat="1" x14ac:dyDescent="0.25">
      <c r="A154" s="12" t="s">
        <v>888</v>
      </c>
      <c r="B154" s="13">
        <v>46261.508750000001</v>
      </c>
      <c r="C154" s="12" t="s">
        <v>502</v>
      </c>
      <c r="D154" s="12" t="s">
        <v>893</v>
      </c>
      <c r="E154" s="26" t="str">
        <f t="shared" si="14"/>
        <v>CSQ305</v>
      </c>
      <c r="F154" s="27" t="str">
        <f t="shared" si="15"/>
        <v>BLC</v>
      </c>
      <c r="G154" s="27">
        <f>+VLOOKUP(F154,[1]base!A:B,2,0)</f>
        <v>1</v>
      </c>
      <c r="H154" s="12">
        <v>8</v>
      </c>
      <c r="I154" s="12">
        <v>8</v>
      </c>
      <c r="J154" s="14"/>
      <c r="K154" s="14" t="s">
        <v>61</v>
      </c>
      <c r="L154" s="12" t="s">
        <v>899</v>
      </c>
      <c r="M154" s="12" t="s">
        <v>150</v>
      </c>
      <c r="N154" s="12">
        <v>8</v>
      </c>
      <c r="O154" s="12">
        <v>8</v>
      </c>
      <c r="P154" s="12">
        <v>0</v>
      </c>
      <c r="Q154" s="16">
        <v>8</v>
      </c>
      <c r="R154" s="16">
        <v>0</v>
      </c>
      <c r="S154" s="16"/>
      <c r="T154" s="28">
        <v>8</v>
      </c>
      <c r="U154" s="28"/>
      <c r="V154" s="29">
        <f>+VLOOKUP(E154,[1]base!D:K,8,0)</f>
        <v>1.56</v>
      </c>
      <c r="W154" s="29">
        <f t="shared" si="16"/>
        <v>12.48</v>
      </c>
      <c r="X154" s="29">
        <f t="shared" si="17"/>
        <v>0.64895999999999998</v>
      </c>
      <c r="Y154" s="29">
        <f>+VLOOKUP(E154,[1]base!D:E,2,0)</f>
        <v>20</v>
      </c>
      <c r="Z154" s="29">
        <f t="shared" si="18"/>
        <v>1</v>
      </c>
      <c r="AA154" s="29">
        <f t="shared" si="19"/>
        <v>6.6666666666666693E-2</v>
      </c>
      <c r="AB154" s="29">
        <f>+VLOOKUP(E154,[1]base!M:N,2,0)</f>
        <v>707</v>
      </c>
      <c r="AC154" s="29">
        <f>+VLOOKUP(E154,[1]base!M:Q,5,0)</f>
        <v>174.77777777777777</v>
      </c>
      <c r="AD154" s="30">
        <f>+VLOOKUP(E154,[1]base!M:P,4,0)</f>
        <v>9.8039215686274508E-3</v>
      </c>
      <c r="AE154" s="31">
        <f t="shared" si="20"/>
        <v>205.16862745098038</v>
      </c>
    </row>
    <row r="155" spans="1:31" s="32" customFormat="1" x14ac:dyDescent="0.25">
      <c r="A155" s="12" t="s">
        <v>1322</v>
      </c>
      <c r="B155" s="13">
        <v>46269.305231481485</v>
      </c>
      <c r="C155" s="12" t="s">
        <v>24</v>
      </c>
      <c r="D155" s="12" t="s">
        <v>118</v>
      </c>
      <c r="E155" s="26" t="str">
        <f t="shared" si="14"/>
        <v>CSQ305</v>
      </c>
      <c r="F155" s="27" t="str">
        <f t="shared" si="15"/>
        <v>NOIR</v>
      </c>
      <c r="G155" s="27">
        <f>+VLOOKUP(F155,[1]base!A:B,2,0)</f>
        <v>37</v>
      </c>
      <c r="H155" s="12">
        <v>5</v>
      </c>
      <c r="I155" s="12">
        <v>5</v>
      </c>
      <c r="J155" s="14"/>
      <c r="K155" s="14" t="s">
        <v>61</v>
      </c>
      <c r="L155" s="12" t="s">
        <v>1326</v>
      </c>
      <c r="M155" s="12" t="s">
        <v>150</v>
      </c>
      <c r="N155" s="12">
        <v>5</v>
      </c>
      <c r="O155" s="12">
        <v>5</v>
      </c>
      <c r="P155" s="12">
        <v>0</v>
      </c>
      <c r="Q155" s="16">
        <v>5</v>
      </c>
      <c r="R155" s="16">
        <v>0</v>
      </c>
      <c r="S155" s="16"/>
      <c r="T155" s="28">
        <v>5</v>
      </c>
      <c r="U155" s="28"/>
      <c r="V155" s="29">
        <f>+VLOOKUP(E155,[1]base!D:K,8,0)</f>
        <v>1.56</v>
      </c>
      <c r="W155" s="29">
        <f t="shared" si="16"/>
        <v>7.8000000000000007</v>
      </c>
      <c r="X155" s="29">
        <f t="shared" si="17"/>
        <v>0.40560000000000002</v>
      </c>
      <c r="Y155" s="29">
        <f>+VLOOKUP(E155,[1]base!D:E,2,0)</f>
        <v>20</v>
      </c>
      <c r="Z155" s="29">
        <f t="shared" si="18"/>
        <v>1</v>
      </c>
      <c r="AA155" s="29">
        <f t="shared" si="19"/>
        <v>6.6666666666666693E-2</v>
      </c>
      <c r="AB155" s="29">
        <f>+VLOOKUP(E155,[1]base!M:N,2,0)</f>
        <v>707</v>
      </c>
      <c r="AC155" s="29">
        <f>+VLOOKUP(E155,[1]base!M:Q,5,0)</f>
        <v>174.77777777777777</v>
      </c>
      <c r="AD155" s="30">
        <f>+VLOOKUP(E155,[1]base!M:P,4,0)</f>
        <v>9.8039215686274508E-3</v>
      </c>
      <c r="AE155" s="31">
        <f t="shared" si="20"/>
        <v>205.16862745098038</v>
      </c>
    </row>
    <row r="156" spans="1:31" s="32" customFormat="1" x14ac:dyDescent="0.25">
      <c r="A156" s="12" t="s">
        <v>1021</v>
      </c>
      <c r="B156" s="13">
        <v>46266.424675925926</v>
      </c>
      <c r="C156" s="12" t="s">
        <v>24</v>
      </c>
      <c r="D156" s="12" t="s">
        <v>1030</v>
      </c>
      <c r="E156" s="26" t="str">
        <f t="shared" si="14"/>
        <v>CSQ305</v>
      </c>
      <c r="F156" s="27" t="str">
        <f t="shared" si="15"/>
        <v>DARK</v>
      </c>
      <c r="G156" s="27">
        <f>+VLOOKUP(F156,[1]base!A:B,2,0)</f>
        <v>38</v>
      </c>
      <c r="H156" s="12">
        <v>55</v>
      </c>
      <c r="I156" s="12">
        <v>55</v>
      </c>
      <c r="J156" s="14"/>
      <c r="K156" s="14" t="s">
        <v>61</v>
      </c>
      <c r="L156" s="12" t="s">
        <v>1060</v>
      </c>
      <c r="M156" s="12" t="s">
        <v>150</v>
      </c>
      <c r="N156" s="12">
        <v>55</v>
      </c>
      <c r="O156" s="12">
        <v>55</v>
      </c>
      <c r="P156" s="12">
        <v>0</v>
      </c>
      <c r="Q156" s="16">
        <v>55</v>
      </c>
      <c r="R156" s="16">
        <v>0</v>
      </c>
      <c r="S156" s="16"/>
      <c r="T156" s="28">
        <v>55</v>
      </c>
      <c r="U156" s="28"/>
      <c r="V156" s="29">
        <f>+VLOOKUP(E156,[1]base!D:K,8,0)</f>
        <v>1.56</v>
      </c>
      <c r="W156" s="29">
        <f t="shared" si="16"/>
        <v>85.8</v>
      </c>
      <c r="X156" s="29">
        <f t="shared" si="17"/>
        <v>4.4615999999999998</v>
      </c>
      <c r="Y156" s="29">
        <f>+VLOOKUP(E156,[1]base!D:E,2,0)</f>
        <v>20</v>
      </c>
      <c r="Z156" s="29">
        <f t="shared" si="18"/>
        <v>3</v>
      </c>
      <c r="AA156" s="29">
        <f t="shared" si="19"/>
        <v>0.20000000000000007</v>
      </c>
      <c r="AB156" s="29">
        <f>+VLOOKUP(E156,[1]base!M:N,2,0)</f>
        <v>707</v>
      </c>
      <c r="AC156" s="29">
        <f>+VLOOKUP(E156,[1]base!M:Q,5,0)</f>
        <v>174.77777777777777</v>
      </c>
      <c r="AD156" s="30">
        <f>+VLOOKUP(E156,[1]base!M:P,4,0)</f>
        <v>9.8039215686274508E-3</v>
      </c>
      <c r="AE156" s="31">
        <f t="shared" si="20"/>
        <v>205.16862745098038</v>
      </c>
    </row>
    <row r="157" spans="1:31" s="32" customFormat="1" x14ac:dyDescent="0.25">
      <c r="A157" s="12" t="s">
        <v>784</v>
      </c>
      <c r="B157" s="13">
        <v>46259.434999999998</v>
      </c>
      <c r="C157" s="12" t="s">
        <v>785</v>
      </c>
      <c r="D157" s="12" t="s">
        <v>789</v>
      </c>
      <c r="E157" s="26" t="str">
        <f t="shared" si="14"/>
        <v>CSQ306</v>
      </c>
      <c r="F157" s="27" t="str">
        <f t="shared" si="15"/>
        <v>NOIR</v>
      </c>
      <c r="G157" s="27">
        <f>+VLOOKUP(F157,[1]base!A:B,2,0)</f>
        <v>37</v>
      </c>
      <c r="H157" s="12">
        <v>17</v>
      </c>
      <c r="I157" s="12">
        <v>17</v>
      </c>
      <c r="J157" s="14"/>
      <c r="K157" s="14" t="s">
        <v>61</v>
      </c>
      <c r="L157" s="12" t="s">
        <v>790</v>
      </c>
      <c r="M157" s="12" t="s">
        <v>150</v>
      </c>
      <c r="N157" s="12">
        <v>17</v>
      </c>
      <c r="O157" s="12">
        <v>17</v>
      </c>
      <c r="P157" s="12">
        <v>0</v>
      </c>
      <c r="Q157" s="16">
        <v>17</v>
      </c>
      <c r="R157" s="16">
        <v>0</v>
      </c>
      <c r="S157" s="16"/>
      <c r="T157" s="28">
        <v>17</v>
      </c>
      <c r="U157" s="28"/>
      <c r="V157" s="29">
        <f>+VLOOKUP(E157,[1]base!D:K,8,0)</f>
        <v>1.4039999999999999</v>
      </c>
      <c r="W157" s="29">
        <f t="shared" si="16"/>
        <v>23.867999999999999</v>
      </c>
      <c r="X157" s="29">
        <f t="shared" si="17"/>
        <v>1.2411359999999998</v>
      </c>
      <c r="Y157" s="29">
        <f>+VLOOKUP(E157,[1]base!D:E,2,0)</f>
        <v>20</v>
      </c>
      <c r="Z157" s="29">
        <f t="shared" si="18"/>
        <v>1</v>
      </c>
      <c r="AA157" s="29">
        <f t="shared" si="19"/>
        <v>6.6666666666666693E-2</v>
      </c>
      <c r="AB157" s="29">
        <f>+VLOOKUP(E157,[1]base!M:N,2,0)</f>
        <v>0</v>
      </c>
      <c r="AC157" s="29">
        <f>+VLOOKUP(E157,[1]base!M:Q,5,0)</f>
        <v>65.8</v>
      </c>
      <c r="AD157" s="30">
        <f>+VLOOKUP(E157,[1]base!M:P,4,0)</f>
        <v>1</v>
      </c>
      <c r="AE157" s="31">
        <f t="shared" si="20"/>
        <v>0</v>
      </c>
    </row>
    <row r="158" spans="1:31" s="32" customFormat="1" x14ac:dyDescent="0.25">
      <c r="A158" s="12"/>
      <c r="B158" s="13"/>
      <c r="C158" s="12"/>
      <c r="D158" s="12" t="s">
        <v>933</v>
      </c>
      <c r="E158" s="26" t="str">
        <f t="shared" si="14"/>
        <v>EC22104</v>
      </c>
      <c r="F158" s="27" t="str">
        <f t="shared" si="15"/>
        <v>BLC</v>
      </c>
      <c r="G158" s="27">
        <f>+VLOOKUP(F158,[1]base!A:B,2,0)</f>
        <v>1</v>
      </c>
      <c r="H158" s="12">
        <v>60</v>
      </c>
      <c r="I158" s="12">
        <v>60</v>
      </c>
      <c r="J158" s="14"/>
      <c r="K158" s="14" t="s">
        <v>61</v>
      </c>
      <c r="L158" s="12" t="s">
        <v>935</v>
      </c>
      <c r="M158" s="12" t="s">
        <v>150</v>
      </c>
      <c r="N158" s="12">
        <v>60</v>
      </c>
      <c r="O158" s="12">
        <v>60</v>
      </c>
      <c r="P158" s="12">
        <v>0</v>
      </c>
      <c r="Q158" s="16">
        <v>60</v>
      </c>
      <c r="R158" s="16">
        <v>0</v>
      </c>
      <c r="S158" s="16"/>
      <c r="T158" s="28">
        <v>80</v>
      </c>
      <c r="U158" s="28"/>
      <c r="V158" s="29">
        <f>+VLOOKUP(E158,[1]base!D:K,8,0)</f>
        <v>4.6669999999999998</v>
      </c>
      <c r="W158" s="29">
        <f t="shared" si="16"/>
        <v>373.36</v>
      </c>
      <c r="X158" s="29">
        <f t="shared" si="17"/>
        <v>19.414719999999999</v>
      </c>
      <c r="Y158" s="29">
        <v>10</v>
      </c>
      <c r="Z158" s="29">
        <f t="shared" si="18"/>
        <v>8</v>
      </c>
      <c r="AA158" s="29">
        <f t="shared" si="19"/>
        <v>0.53333333333333355</v>
      </c>
      <c r="AB158" s="29">
        <f>+VLOOKUP(E158,[1]base!M:N,2,0)</f>
        <v>276</v>
      </c>
      <c r="AC158" s="29">
        <f>+VLOOKUP(E158,[1]base!M:Q,5,0)</f>
        <v>109.6</v>
      </c>
      <c r="AD158" s="30">
        <f>+VLOOKUP(E158,[1]base!M:P,4,0)</f>
        <v>0.24175824175824176</v>
      </c>
      <c r="AE158" s="31">
        <f t="shared" si="20"/>
        <v>16.074725274725271</v>
      </c>
    </row>
    <row r="159" spans="1:31" s="32" customFormat="1" x14ac:dyDescent="0.25">
      <c r="A159" s="12" t="s">
        <v>931</v>
      </c>
      <c r="B159" s="13">
        <v>46263.380335648151</v>
      </c>
      <c r="C159" s="12" t="s">
        <v>423</v>
      </c>
      <c r="D159" s="12" t="s">
        <v>936</v>
      </c>
      <c r="E159" s="26" t="str">
        <f t="shared" si="14"/>
        <v>EC22106</v>
      </c>
      <c r="F159" s="27" t="str">
        <f t="shared" si="15"/>
        <v>GRIS</v>
      </c>
      <c r="G159" s="27">
        <f>+VLOOKUP(F159,[1]base!A:B,2,0)</f>
        <v>22</v>
      </c>
      <c r="H159" s="12">
        <v>50</v>
      </c>
      <c r="I159" s="12">
        <v>50</v>
      </c>
      <c r="J159" s="14"/>
      <c r="K159" s="14" t="s">
        <v>61</v>
      </c>
      <c r="L159" s="12" t="s">
        <v>937</v>
      </c>
      <c r="M159" s="12" t="s">
        <v>150</v>
      </c>
      <c r="N159" s="12">
        <v>50</v>
      </c>
      <c r="O159" s="12">
        <v>50</v>
      </c>
      <c r="P159" s="12">
        <v>0</v>
      </c>
      <c r="Q159" s="16">
        <v>90</v>
      </c>
      <c r="R159" s="16">
        <v>0</v>
      </c>
      <c r="S159" s="16"/>
      <c r="T159" s="28">
        <v>50</v>
      </c>
      <c r="U159" s="28"/>
      <c r="V159" s="29">
        <f>+VLOOKUP(E159,[1]base!D:K,8,0)</f>
        <v>4.407</v>
      </c>
      <c r="W159" s="29">
        <f t="shared" si="16"/>
        <v>220.35</v>
      </c>
      <c r="X159" s="29">
        <f t="shared" si="17"/>
        <v>11.4582</v>
      </c>
      <c r="Y159" s="29">
        <f>+VLOOKUP(E159,[1]base!D:E,2,0)</f>
        <v>13</v>
      </c>
      <c r="Z159" s="29">
        <f t="shared" si="18"/>
        <v>4</v>
      </c>
      <c r="AA159" s="29">
        <f t="shared" si="19"/>
        <v>0.26666666666666677</v>
      </c>
      <c r="AB159" s="29">
        <f>+VLOOKUP(E159,[1]base!M:N,2,0)</f>
        <v>712</v>
      </c>
      <c r="AC159" s="29">
        <f>+VLOOKUP(E159,[1]base!M:Q,5,0)</f>
        <v>180</v>
      </c>
      <c r="AD159" s="30">
        <f>+VLOOKUP(E159,[1]base!M:P,4,0)</f>
        <v>0.37379067722075637</v>
      </c>
      <c r="AE159" s="31">
        <f t="shared" si="20"/>
        <v>-52.538962181178547</v>
      </c>
    </row>
    <row r="160" spans="1:31" s="32" customFormat="1" x14ac:dyDescent="0.25">
      <c r="A160" s="12" t="s">
        <v>931</v>
      </c>
      <c r="B160" s="13">
        <v>46263.380335648151</v>
      </c>
      <c r="C160" s="12" t="s">
        <v>423</v>
      </c>
      <c r="D160" s="12" t="s">
        <v>932</v>
      </c>
      <c r="E160" s="26" t="str">
        <f t="shared" si="14"/>
        <v>EC22106</v>
      </c>
      <c r="F160" s="27" t="str">
        <f t="shared" si="15"/>
        <v>NOIR</v>
      </c>
      <c r="G160" s="27">
        <f>+VLOOKUP(F160,[1]base!A:B,2,0)</f>
        <v>37</v>
      </c>
      <c r="H160" s="12">
        <v>40</v>
      </c>
      <c r="I160" s="12">
        <v>40</v>
      </c>
      <c r="J160" s="14"/>
      <c r="K160" s="14" t="s">
        <v>61</v>
      </c>
      <c r="L160" s="12" t="s">
        <v>934</v>
      </c>
      <c r="M160" s="12" t="s">
        <v>150</v>
      </c>
      <c r="N160" s="12">
        <v>40</v>
      </c>
      <c r="O160" s="12">
        <v>40</v>
      </c>
      <c r="P160" s="12">
        <v>0</v>
      </c>
      <c r="Q160" s="16">
        <v>90</v>
      </c>
      <c r="R160" s="16">
        <v>0</v>
      </c>
      <c r="S160" s="16"/>
      <c r="T160" s="28">
        <v>40</v>
      </c>
      <c r="U160" s="28"/>
      <c r="V160" s="29">
        <f>+VLOOKUP(E160,[1]base!D:K,8,0)</f>
        <v>4.407</v>
      </c>
      <c r="W160" s="29">
        <f t="shared" si="16"/>
        <v>176.28</v>
      </c>
      <c r="X160" s="29">
        <f t="shared" si="17"/>
        <v>9.1665600000000005</v>
      </c>
      <c r="Y160" s="29">
        <f>+VLOOKUP(E160,[1]base!D:E,2,0)</f>
        <v>13</v>
      </c>
      <c r="Z160" s="29">
        <f t="shared" si="18"/>
        <v>4</v>
      </c>
      <c r="AA160" s="29">
        <f t="shared" si="19"/>
        <v>0.26666666666666677</v>
      </c>
      <c r="AB160" s="29">
        <f>+VLOOKUP(E160,[1]base!M:N,2,0)</f>
        <v>712</v>
      </c>
      <c r="AC160" s="29">
        <f>+VLOOKUP(E160,[1]base!M:Q,5,0)</f>
        <v>180</v>
      </c>
      <c r="AD160" s="30">
        <f>+VLOOKUP(E160,[1]base!M:P,4,0)</f>
        <v>0.37379067722075637</v>
      </c>
      <c r="AE160" s="31">
        <f t="shared" si="20"/>
        <v>-52.538962181178547</v>
      </c>
    </row>
    <row r="161" spans="1:31" s="32" customFormat="1" x14ac:dyDescent="0.25">
      <c r="A161" s="12"/>
      <c r="B161" s="13"/>
      <c r="C161" s="12"/>
      <c r="D161" s="12" t="s">
        <v>70</v>
      </c>
      <c r="E161" s="26" t="str">
        <f t="shared" si="14"/>
        <v>EC40100</v>
      </c>
      <c r="F161" s="27" t="str">
        <f t="shared" si="15"/>
        <v>BLC</v>
      </c>
      <c r="G161" s="27">
        <f>+VLOOKUP(F161,[1]base!A:B,2,0)</f>
        <v>1</v>
      </c>
      <c r="H161" s="12">
        <v>300</v>
      </c>
      <c r="I161" s="12">
        <v>80</v>
      </c>
      <c r="J161" s="14"/>
      <c r="K161" s="14" t="s">
        <v>26</v>
      </c>
      <c r="L161" s="12" t="s">
        <v>27</v>
      </c>
      <c r="M161" s="12" t="s">
        <v>28</v>
      </c>
      <c r="N161" s="12"/>
      <c r="O161" s="12"/>
      <c r="P161" s="12"/>
      <c r="Q161" s="16">
        <v>0</v>
      </c>
      <c r="R161" s="16">
        <v>0</v>
      </c>
      <c r="S161" s="16"/>
      <c r="T161" s="33">
        <v>260</v>
      </c>
      <c r="U161" s="33"/>
      <c r="V161" s="29">
        <f>+VLOOKUP(E161,[1]base!D:K,8,0)</f>
        <v>4.1340000000000003</v>
      </c>
      <c r="W161" s="29">
        <f t="shared" si="16"/>
        <v>1074.8400000000001</v>
      </c>
      <c r="X161" s="29">
        <f t="shared" si="17"/>
        <v>55.891680000000008</v>
      </c>
      <c r="Y161" s="29">
        <f>+VLOOKUP(E161,[1]base!D:E,2,0)</f>
        <v>13</v>
      </c>
      <c r="Z161" s="29">
        <f t="shared" si="18"/>
        <v>20</v>
      </c>
      <c r="AA161" s="29">
        <f t="shared" si="19"/>
        <v>1.3333333333333339</v>
      </c>
      <c r="AB161" s="29">
        <f>+VLOOKUP(E161,[1]base!M:N,2,0)</f>
        <v>442</v>
      </c>
      <c r="AC161" s="29">
        <f>+VLOOKUP(E161,[1]base!M:Q,5,0)</f>
        <v>2247.5454545454545</v>
      </c>
      <c r="AD161" s="30">
        <f>+VLOOKUP(E161,[1]base!M:P,4,0)</f>
        <v>9.9796334012219962E-2</v>
      </c>
      <c r="AE161" s="31">
        <f t="shared" si="20"/>
        <v>88.49002036659877</v>
      </c>
    </row>
    <row r="162" spans="1:31" s="32" customFormat="1" x14ac:dyDescent="0.25">
      <c r="A162" s="12" t="s">
        <v>984</v>
      </c>
      <c r="B162" s="13">
        <v>46265.500104166669</v>
      </c>
      <c r="C162" s="12" t="s">
        <v>986</v>
      </c>
      <c r="D162" s="12" t="s">
        <v>496</v>
      </c>
      <c r="E162" s="26" t="str">
        <f t="shared" si="14"/>
        <v>EC40100</v>
      </c>
      <c r="F162" s="27" t="str">
        <f t="shared" si="15"/>
        <v>ACAJOU</v>
      </c>
      <c r="G162" s="27">
        <f>+VLOOKUP(F162,[1]base!A:B,2,0)</f>
        <v>15.1</v>
      </c>
      <c r="H162" s="12">
        <v>50</v>
      </c>
      <c r="I162" s="12">
        <v>50</v>
      </c>
      <c r="J162" s="14"/>
      <c r="K162" s="14" t="s">
        <v>61</v>
      </c>
      <c r="L162" s="12" t="s">
        <v>997</v>
      </c>
      <c r="M162" s="12" t="s">
        <v>150</v>
      </c>
      <c r="N162" s="12">
        <v>50</v>
      </c>
      <c r="O162" s="12">
        <v>50</v>
      </c>
      <c r="P162" s="12">
        <v>0</v>
      </c>
      <c r="Q162" s="16">
        <v>50</v>
      </c>
      <c r="R162" s="16">
        <v>0</v>
      </c>
      <c r="S162" s="16"/>
      <c r="T162" s="28">
        <v>50</v>
      </c>
      <c r="U162" s="28"/>
      <c r="V162" s="29">
        <f>+VLOOKUP(E162,[1]base!D:K,8,0)</f>
        <v>4.1340000000000003</v>
      </c>
      <c r="W162" s="29">
        <f t="shared" si="16"/>
        <v>206.70000000000002</v>
      </c>
      <c r="X162" s="29">
        <f t="shared" si="17"/>
        <v>10.7484</v>
      </c>
      <c r="Y162" s="29">
        <f>+VLOOKUP(E162,[1]base!D:E,2,0)</f>
        <v>13</v>
      </c>
      <c r="Z162" s="29">
        <f t="shared" si="18"/>
        <v>4</v>
      </c>
      <c r="AA162" s="29">
        <f t="shared" si="19"/>
        <v>0.26666666666666677</v>
      </c>
      <c r="AB162" s="29">
        <f>+VLOOKUP(E162,[1]base!M:N,2,0)</f>
        <v>442</v>
      </c>
      <c r="AC162" s="29">
        <f>+VLOOKUP(E162,[1]base!M:Q,5,0)</f>
        <v>2247.5454545454545</v>
      </c>
      <c r="AD162" s="30">
        <f>+VLOOKUP(E162,[1]base!M:P,4,0)</f>
        <v>9.9796334012219962E-2</v>
      </c>
      <c r="AE162" s="31">
        <f t="shared" si="20"/>
        <v>88.49002036659877</v>
      </c>
    </row>
    <row r="163" spans="1:31" s="32" customFormat="1" x14ac:dyDescent="0.25">
      <c r="A163" s="12" t="s">
        <v>985</v>
      </c>
      <c r="B163" s="13">
        <v>46265.519386574073</v>
      </c>
      <c r="C163" s="12" t="s">
        <v>627</v>
      </c>
      <c r="D163" s="12" t="s">
        <v>496</v>
      </c>
      <c r="E163" s="26" t="str">
        <f t="shared" si="14"/>
        <v>EC40100</v>
      </c>
      <c r="F163" s="27" t="str">
        <f t="shared" si="15"/>
        <v>ACAJOU</v>
      </c>
      <c r="G163" s="27">
        <f>+VLOOKUP(F163,[1]base!A:B,2,0)</f>
        <v>15.1</v>
      </c>
      <c r="H163" s="12">
        <v>25</v>
      </c>
      <c r="I163" s="12">
        <v>25</v>
      </c>
      <c r="J163" s="14"/>
      <c r="K163" s="14" t="s">
        <v>61</v>
      </c>
      <c r="L163" s="12" t="s">
        <v>1003</v>
      </c>
      <c r="M163" s="12" t="s">
        <v>150</v>
      </c>
      <c r="N163" s="12">
        <v>25</v>
      </c>
      <c r="O163" s="12">
        <v>25</v>
      </c>
      <c r="P163" s="12">
        <v>0</v>
      </c>
      <c r="Q163" s="16">
        <v>25</v>
      </c>
      <c r="R163" s="16">
        <v>0</v>
      </c>
      <c r="S163" s="16"/>
      <c r="T163" s="28">
        <v>25</v>
      </c>
      <c r="U163" s="28"/>
      <c r="V163" s="29">
        <f>+VLOOKUP(E163,[1]base!D:K,8,0)</f>
        <v>4.1340000000000003</v>
      </c>
      <c r="W163" s="29">
        <f t="shared" si="16"/>
        <v>103.35000000000001</v>
      </c>
      <c r="X163" s="29">
        <f t="shared" si="17"/>
        <v>5.3742000000000001</v>
      </c>
      <c r="Y163" s="29">
        <f>+VLOOKUP(E163,[1]base!D:E,2,0)</f>
        <v>13</v>
      </c>
      <c r="Z163" s="29">
        <f t="shared" si="18"/>
        <v>2</v>
      </c>
      <c r="AA163" s="29">
        <f t="shared" si="19"/>
        <v>0.13333333333333339</v>
      </c>
      <c r="AB163" s="29">
        <f>+VLOOKUP(E163,[1]base!M:N,2,0)</f>
        <v>442</v>
      </c>
      <c r="AC163" s="29">
        <f>+VLOOKUP(E163,[1]base!M:Q,5,0)</f>
        <v>2247.5454545454545</v>
      </c>
      <c r="AD163" s="30">
        <f>+VLOOKUP(E163,[1]base!M:P,4,0)</f>
        <v>9.9796334012219962E-2</v>
      </c>
      <c r="AE163" s="31">
        <f t="shared" si="20"/>
        <v>88.49002036659877</v>
      </c>
    </row>
    <row r="164" spans="1:31" s="32" customFormat="1" x14ac:dyDescent="0.25">
      <c r="A164" s="12" t="s">
        <v>1016</v>
      </c>
      <c r="B164" s="13">
        <v>46266.406585648147</v>
      </c>
      <c r="C164" s="12" t="s">
        <v>599</v>
      </c>
      <c r="D164" s="12" t="s">
        <v>496</v>
      </c>
      <c r="E164" s="26" t="str">
        <f t="shared" si="14"/>
        <v>EC40100</v>
      </c>
      <c r="F164" s="27" t="str">
        <f t="shared" si="15"/>
        <v>ACAJOU</v>
      </c>
      <c r="G164" s="27">
        <f>+VLOOKUP(F164,[1]base!A:B,2,0)</f>
        <v>15.1</v>
      </c>
      <c r="H164" s="12">
        <v>50</v>
      </c>
      <c r="I164" s="12">
        <v>50</v>
      </c>
      <c r="J164" s="14"/>
      <c r="K164" s="14" t="s">
        <v>61</v>
      </c>
      <c r="L164" s="12" t="s">
        <v>1020</v>
      </c>
      <c r="M164" s="12" t="s">
        <v>150</v>
      </c>
      <c r="N164" s="12">
        <v>50</v>
      </c>
      <c r="O164" s="12">
        <v>50</v>
      </c>
      <c r="P164" s="12">
        <v>0</v>
      </c>
      <c r="Q164" s="16">
        <v>50</v>
      </c>
      <c r="R164" s="16">
        <v>0</v>
      </c>
      <c r="S164" s="16"/>
      <c r="T164" s="28">
        <v>50</v>
      </c>
      <c r="U164" s="28"/>
      <c r="V164" s="29">
        <f>+VLOOKUP(E164,[1]base!D:K,8,0)</f>
        <v>4.1340000000000003</v>
      </c>
      <c r="W164" s="29">
        <f t="shared" si="16"/>
        <v>206.70000000000002</v>
      </c>
      <c r="X164" s="29">
        <f t="shared" si="17"/>
        <v>10.7484</v>
      </c>
      <c r="Y164" s="29">
        <f>+VLOOKUP(E164,[1]base!D:E,2,0)</f>
        <v>13</v>
      </c>
      <c r="Z164" s="29">
        <f t="shared" si="18"/>
        <v>4</v>
      </c>
      <c r="AA164" s="29">
        <f t="shared" si="19"/>
        <v>0.26666666666666677</v>
      </c>
      <c r="AB164" s="29">
        <f>+VLOOKUP(E164,[1]base!M:N,2,0)</f>
        <v>442</v>
      </c>
      <c r="AC164" s="29">
        <f>+VLOOKUP(E164,[1]base!M:Q,5,0)</f>
        <v>2247.5454545454545</v>
      </c>
      <c r="AD164" s="30">
        <f>+VLOOKUP(E164,[1]base!M:P,4,0)</f>
        <v>9.9796334012219962E-2</v>
      </c>
      <c r="AE164" s="31">
        <f t="shared" si="20"/>
        <v>88.49002036659877</v>
      </c>
    </row>
    <row r="165" spans="1:31" s="32" customFormat="1" x14ac:dyDescent="0.25">
      <c r="A165" s="12" t="s">
        <v>1197</v>
      </c>
      <c r="B165" s="13">
        <v>46267.551539351851</v>
      </c>
      <c r="C165" s="12" t="s">
        <v>24</v>
      </c>
      <c r="D165" s="12" t="s">
        <v>496</v>
      </c>
      <c r="E165" s="26" t="str">
        <f t="shared" si="14"/>
        <v>EC40100</v>
      </c>
      <c r="F165" s="27" t="str">
        <f t="shared" si="15"/>
        <v>ACAJOU</v>
      </c>
      <c r="G165" s="27">
        <f>+VLOOKUP(F165,[1]base!A:B,2,0)</f>
        <v>15.1</v>
      </c>
      <c r="H165" s="12">
        <v>200</v>
      </c>
      <c r="I165" s="12">
        <v>200</v>
      </c>
      <c r="J165" s="14"/>
      <c r="K165" s="14" t="s">
        <v>61</v>
      </c>
      <c r="L165" s="12" t="s">
        <v>1204</v>
      </c>
      <c r="M165" s="12" t="s">
        <v>150</v>
      </c>
      <c r="N165" s="12">
        <v>200</v>
      </c>
      <c r="O165" s="12">
        <v>200</v>
      </c>
      <c r="P165" s="12">
        <v>0</v>
      </c>
      <c r="Q165" s="16">
        <v>800</v>
      </c>
      <c r="R165" s="16">
        <v>0</v>
      </c>
      <c r="S165" s="16"/>
      <c r="T165" s="28">
        <v>200</v>
      </c>
      <c r="U165" s="28"/>
      <c r="V165" s="29">
        <f>+VLOOKUP(E165,[1]base!D:K,8,0)</f>
        <v>4.1340000000000003</v>
      </c>
      <c r="W165" s="29">
        <f t="shared" si="16"/>
        <v>826.80000000000007</v>
      </c>
      <c r="X165" s="29">
        <f t="shared" si="17"/>
        <v>42.993600000000001</v>
      </c>
      <c r="Y165" s="29">
        <f>+VLOOKUP(E165,[1]base!D:E,2,0)</f>
        <v>13</v>
      </c>
      <c r="Z165" s="29">
        <f t="shared" si="18"/>
        <v>16</v>
      </c>
      <c r="AA165" s="29">
        <f t="shared" si="19"/>
        <v>1.0666666666666671</v>
      </c>
      <c r="AB165" s="29">
        <f>+VLOOKUP(E165,[1]base!M:N,2,0)</f>
        <v>442</v>
      </c>
      <c r="AC165" s="29">
        <f>+VLOOKUP(E165,[1]base!M:Q,5,0)</f>
        <v>2247.5454545454545</v>
      </c>
      <c r="AD165" s="30">
        <f>+VLOOKUP(E165,[1]base!M:P,4,0)</f>
        <v>9.9796334012219962E-2</v>
      </c>
      <c r="AE165" s="31">
        <f t="shared" si="20"/>
        <v>88.49002036659877</v>
      </c>
    </row>
    <row r="166" spans="1:31" s="32" customFormat="1" x14ac:dyDescent="0.25">
      <c r="A166" s="12" t="s">
        <v>953</v>
      </c>
      <c r="B166" s="13">
        <v>46263.483680555553</v>
      </c>
      <c r="C166" s="12" t="s">
        <v>423</v>
      </c>
      <c r="D166" s="12" t="s">
        <v>552</v>
      </c>
      <c r="E166" s="26" t="str">
        <f t="shared" si="14"/>
        <v>EC40100</v>
      </c>
      <c r="F166" s="27" t="str">
        <f t="shared" si="15"/>
        <v>GRIS</v>
      </c>
      <c r="G166" s="27">
        <f>+VLOOKUP(F166,[1]base!A:B,2,0)</f>
        <v>22</v>
      </c>
      <c r="H166" s="12">
        <v>150</v>
      </c>
      <c r="I166" s="12">
        <v>150</v>
      </c>
      <c r="J166" s="14"/>
      <c r="K166" s="14" t="s">
        <v>61</v>
      </c>
      <c r="L166" s="12" t="s">
        <v>957</v>
      </c>
      <c r="M166" s="12" t="s">
        <v>150</v>
      </c>
      <c r="N166" s="12">
        <v>150</v>
      </c>
      <c r="O166" s="12">
        <v>150</v>
      </c>
      <c r="P166" s="12">
        <v>0</v>
      </c>
      <c r="Q166" s="16">
        <v>150</v>
      </c>
      <c r="R166" s="16">
        <v>0</v>
      </c>
      <c r="S166" s="16"/>
      <c r="T166" s="28">
        <v>150</v>
      </c>
      <c r="U166" s="28"/>
      <c r="V166" s="29">
        <f>+VLOOKUP(E166,[1]base!D:K,8,0)</f>
        <v>4.1340000000000003</v>
      </c>
      <c r="W166" s="29">
        <f t="shared" si="16"/>
        <v>620.1</v>
      </c>
      <c r="X166" s="29">
        <f t="shared" si="17"/>
        <v>32.245199999999997</v>
      </c>
      <c r="Y166" s="29">
        <f>+VLOOKUP(E166,[1]base!D:E,2,0)</f>
        <v>13</v>
      </c>
      <c r="Z166" s="29">
        <f t="shared" si="18"/>
        <v>12</v>
      </c>
      <c r="AA166" s="29">
        <f t="shared" si="19"/>
        <v>0.80000000000000027</v>
      </c>
      <c r="AB166" s="29">
        <f>+VLOOKUP(E166,[1]base!M:N,2,0)</f>
        <v>442</v>
      </c>
      <c r="AC166" s="29">
        <f>+VLOOKUP(E166,[1]base!M:Q,5,0)</f>
        <v>2247.5454545454545</v>
      </c>
      <c r="AD166" s="30">
        <f>+VLOOKUP(E166,[1]base!M:P,4,0)</f>
        <v>9.9796334012219962E-2</v>
      </c>
      <c r="AE166" s="31">
        <f t="shared" si="20"/>
        <v>88.49002036659877</v>
      </c>
    </row>
    <row r="167" spans="1:31" s="32" customFormat="1" x14ac:dyDescent="0.25">
      <c r="A167" s="12" t="s">
        <v>1197</v>
      </c>
      <c r="B167" s="13">
        <v>46267.551539351851</v>
      </c>
      <c r="C167" s="12" t="s">
        <v>24</v>
      </c>
      <c r="D167" s="12" t="s">
        <v>552</v>
      </c>
      <c r="E167" s="26" t="str">
        <f t="shared" si="14"/>
        <v>EC40100</v>
      </c>
      <c r="F167" s="27" t="str">
        <f t="shared" si="15"/>
        <v>GRIS</v>
      </c>
      <c r="G167" s="27">
        <f>+VLOOKUP(F167,[1]base!A:B,2,0)</f>
        <v>22</v>
      </c>
      <c r="H167" s="12">
        <v>200</v>
      </c>
      <c r="I167" s="12">
        <v>200</v>
      </c>
      <c r="J167" s="14"/>
      <c r="K167" s="14" t="s">
        <v>61</v>
      </c>
      <c r="L167" s="12" t="s">
        <v>1208</v>
      </c>
      <c r="M167" s="12" t="s">
        <v>150</v>
      </c>
      <c r="N167" s="12">
        <v>200</v>
      </c>
      <c r="O167" s="12">
        <v>200</v>
      </c>
      <c r="P167" s="12">
        <v>0</v>
      </c>
      <c r="Q167" s="16">
        <v>800</v>
      </c>
      <c r="R167" s="16">
        <v>0</v>
      </c>
      <c r="S167" s="16"/>
      <c r="T167" s="28">
        <v>200</v>
      </c>
      <c r="U167" s="28"/>
      <c r="V167" s="29">
        <f>+VLOOKUP(E167,[1]base!D:K,8,0)</f>
        <v>4.1340000000000003</v>
      </c>
      <c r="W167" s="29">
        <f t="shared" si="16"/>
        <v>826.80000000000007</v>
      </c>
      <c r="X167" s="29">
        <f t="shared" si="17"/>
        <v>42.993600000000001</v>
      </c>
      <c r="Y167" s="29">
        <f>+VLOOKUP(E167,[1]base!D:E,2,0)</f>
        <v>13</v>
      </c>
      <c r="Z167" s="29">
        <f t="shared" si="18"/>
        <v>16</v>
      </c>
      <c r="AA167" s="29">
        <f t="shared" si="19"/>
        <v>1.0666666666666671</v>
      </c>
      <c r="AB167" s="29">
        <f>+VLOOKUP(E167,[1]base!M:N,2,0)</f>
        <v>442</v>
      </c>
      <c r="AC167" s="29">
        <f>+VLOOKUP(E167,[1]base!M:Q,5,0)</f>
        <v>2247.5454545454545</v>
      </c>
      <c r="AD167" s="30">
        <f>+VLOOKUP(E167,[1]base!M:P,4,0)</f>
        <v>9.9796334012219962E-2</v>
      </c>
      <c r="AE167" s="31">
        <f t="shared" si="20"/>
        <v>88.49002036659877</v>
      </c>
    </row>
    <row r="168" spans="1:31" s="32" customFormat="1" x14ac:dyDescent="0.25">
      <c r="A168" s="12" t="s">
        <v>1492</v>
      </c>
      <c r="B168" s="13">
        <v>46273.61005787037</v>
      </c>
      <c r="C168" s="12" t="s">
        <v>266</v>
      </c>
      <c r="D168" s="12" t="s">
        <v>552</v>
      </c>
      <c r="E168" s="26" t="str">
        <f t="shared" si="14"/>
        <v>EC40100</v>
      </c>
      <c r="F168" s="27" t="str">
        <f t="shared" si="15"/>
        <v>GRIS</v>
      </c>
      <c r="G168" s="27">
        <f>+VLOOKUP(F168,[1]base!A:B,2,0)</f>
        <v>22</v>
      </c>
      <c r="H168" s="12">
        <v>20</v>
      </c>
      <c r="I168" s="12">
        <v>20</v>
      </c>
      <c r="J168" s="14"/>
      <c r="K168" s="14" t="s">
        <v>61</v>
      </c>
      <c r="L168" s="12" t="s">
        <v>1507</v>
      </c>
      <c r="M168" s="12" t="s">
        <v>150</v>
      </c>
      <c r="N168" s="12">
        <v>20</v>
      </c>
      <c r="O168" s="12">
        <v>20</v>
      </c>
      <c r="P168" s="12">
        <v>0</v>
      </c>
      <c r="Q168" s="16">
        <v>20</v>
      </c>
      <c r="R168" s="16">
        <v>0</v>
      </c>
      <c r="S168" s="16"/>
      <c r="T168" s="28">
        <v>20</v>
      </c>
      <c r="U168" s="28"/>
      <c r="V168" s="29">
        <f>+VLOOKUP(E168,[1]base!D:K,8,0)</f>
        <v>4.1340000000000003</v>
      </c>
      <c r="W168" s="29">
        <f t="shared" si="16"/>
        <v>82.68</v>
      </c>
      <c r="X168" s="29">
        <f t="shared" si="17"/>
        <v>4.2993600000000001</v>
      </c>
      <c r="Y168" s="29">
        <f>+VLOOKUP(E168,[1]base!D:E,2,0)</f>
        <v>13</v>
      </c>
      <c r="Z168" s="29">
        <f t="shared" si="18"/>
        <v>2</v>
      </c>
      <c r="AA168" s="29">
        <f t="shared" si="19"/>
        <v>0.13333333333333339</v>
      </c>
      <c r="AB168" s="29">
        <f>+VLOOKUP(E168,[1]base!M:N,2,0)</f>
        <v>442</v>
      </c>
      <c r="AC168" s="29">
        <f>+VLOOKUP(E168,[1]base!M:Q,5,0)</f>
        <v>2247.5454545454545</v>
      </c>
      <c r="AD168" s="30">
        <f>+VLOOKUP(E168,[1]base!M:P,4,0)</f>
        <v>9.9796334012219962E-2</v>
      </c>
      <c r="AE168" s="31">
        <f t="shared" si="20"/>
        <v>88.49002036659877</v>
      </c>
    </row>
    <row r="169" spans="1:31" s="32" customFormat="1" x14ac:dyDescent="0.25">
      <c r="A169" s="12" t="s">
        <v>758</v>
      </c>
      <c r="B169" s="13">
        <v>46258.403113425928</v>
      </c>
      <c r="C169" s="12" t="s">
        <v>759</v>
      </c>
      <c r="D169" s="12" t="s">
        <v>572</v>
      </c>
      <c r="E169" s="26" t="str">
        <f t="shared" si="14"/>
        <v>EC40100</v>
      </c>
      <c r="F169" s="27" t="str">
        <f t="shared" si="15"/>
        <v>NOIR</v>
      </c>
      <c r="G169" s="27">
        <f>+VLOOKUP(F169,[1]base!A:B,2,0)</f>
        <v>37</v>
      </c>
      <c r="H169" s="12">
        <v>10</v>
      </c>
      <c r="I169" s="12">
        <v>10</v>
      </c>
      <c r="J169" s="14"/>
      <c r="K169" s="14" t="s">
        <v>61</v>
      </c>
      <c r="L169" s="12" t="s">
        <v>770</v>
      </c>
      <c r="M169" s="12" t="s">
        <v>150</v>
      </c>
      <c r="N169" s="12">
        <v>10</v>
      </c>
      <c r="O169" s="12">
        <v>10</v>
      </c>
      <c r="P169" s="12">
        <v>0</v>
      </c>
      <c r="Q169" s="16">
        <v>20</v>
      </c>
      <c r="R169" s="16">
        <v>10</v>
      </c>
      <c r="S169" s="16"/>
      <c r="T169" s="28">
        <v>0</v>
      </c>
      <c r="U169" s="28">
        <v>10</v>
      </c>
      <c r="V169" s="29">
        <f>+VLOOKUP(E169,[1]base!D:K,8,0)</f>
        <v>4.1340000000000003</v>
      </c>
      <c r="W169" s="29">
        <f t="shared" si="16"/>
        <v>41.34</v>
      </c>
      <c r="X169" s="29">
        <f t="shared" si="17"/>
        <v>2.14968</v>
      </c>
      <c r="Y169" s="29">
        <f>+VLOOKUP(E169,[1]base!D:E,2,0)</f>
        <v>13</v>
      </c>
      <c r="Z169" s="29">
        <f t="shared" si="18"/>
        <v>0</v>
      </c>
      <c r="AA169" s="29">
        <f t="shared" si="19"/>
        <v>0</v>
      </c>
      <c r="AB169" s="29">
        <f>+VLOOKUP(E169,[1]base!M:N,2,0)</f>
        <v>442</v>
      </c>
      <c r="AC169" s="29">
        <f>+VLOOKUP(E169,[1]base!M:Q,5,0)</f>
        <v>2247.5454545454545</v>
      </c>
      <c r="AD169" s="30">
        <f>+VLOOKUP(E169,[1]base!M:P,4,0)</f>
        <v>9.9796334012219962E-2</v>
      </c>
      <c r="AE169" s="31">
        <f t="shared" si="20"/>
        <v>88.49002036659877</v>
      </c>
    </row>
    <row r="170" spans="1:31" s="32" customFormat="1" x14ac:dyDescent="0.25">
      <c r="A170" s="12" t="s">
        <v>1291</v>
      </c>
      <c r="B170" s="13">
        <v>46269.280277777776</v>
      </c>
      <c r="C170" s="12" t="s">
        <v>266</v>
      </c>
      <c r="D170" s="12" t="s">
        <v>572</v>
      </c>
      <c r="E170" s="26" t="str">
        <f t="shared" si="14"/>
        <v>EC40100</v>
      </c>
      <c r="F170" s="27" t="str">
        <f t="shared" si="15"/>
        <v>NOIR</v>
      </c>
      <c r="G170" s="27">
        <f>+VLOOKUP(F170,[1]base!A:B,2,0)</f>
        <v>37</v>
      </c>
      <c r="H170" s="12">
        <v>20</v>
      </c>
      <c r="I170" s="12">
        <v>20</v>
      </c>
      <c r="J170" s="14"/>
      <c r="K170" s="14" t="s">
        <v>61</v>
      </c>
      <c r="L170" s="12" t="s">
        <v>1308</v>
      </c>
      <c r="M170" s="12" t="s">
        <v>150</v>
      </c>
      <c r="N170" s="12">
        <v>20</v>
      </c>
      <c r="O170" s="12">
        <v>20</v>
      </c>
      <c r="P170" s="12">
        <v>0</v>
      </c>
      <c r="Q170" s="16">
        <v>20</v>
      </c>
      <c r="R170" s="16">
        <v>10</v>
      </c>
      <c r="S170" s="16"/>
      <c r="T170" s="28">
        <v>20</v>
      </c>
      <c r="U170" s="28"/>
      <c r="V170" s="29">
        <f>+VLOOKUP(E170,[1]base!D:K,8,0)</f>
        <v>4.1340000000000003</v>
      </c>
      <c r="W170" s="29">
        <f t="shared" si="16"/>
        <v>82.68</v>
      </c>
      <c r="X170" s="29">
        <f t="shared" si="17"/>
        <v>4.2993600000000001</v>
      </c>
      <c r="Y170" s="29">
        <f>+VLOOKUP(E170,[1]base!D:E,2,0)</f>
        <v>13</v>
      </c>
      <c r="Z170" s="29">
        <f t="shared" si="18"/>
        <v>2</v>
      </c>
      <c r="AA170" s="29">
        <f t="shared" si="19"/>
        <v>0.13333333333333339</v>
      </c>
      <c r="AB170" s="29">
        <f>+VLOOKUP(E170,[1]base!M:N,2,0)</f>
        <v>442</v>
      </c>
      <c r="AC170" s="29">
        <f>+VLOOKUP(E170,[1]base!M:Q,5,0)</f>
        <v>2247.5454545454545</v>
      </c>
      <c r="AD170" s="30">
        <f>+VLOOKUP(E170,[1]base!M:P,4,0)</f>
        <v>9.9796334012219962E-2</v>
      </c>
      <c r="AE170" s="31">
        <f t="shared" si="20"/>
        <v>88.49002036659877</v>
      </c>
    </row>
    <row r="171" spans="1:31" s="32" customFormat="1" x14ac:dyDescent="0.25">
      <c r="A171" s="12" t="s">
        <v>1562</v>
      </c>
      <c r="B171" s="13">
        <v>46274.635497685187</v>
      </c>
      <c r="C171" s="12" t="s">
        <v>484</v>
      </c>
      <c r="D171" s="12" t="s">
        <v>572</v>
      </c>
      <c r="E171" s="26" t="str">
        <f t="shared" si="14"/>
        <v>EC40100</v>
      </c>
      <c r="F171" s="27" t="str">
        <f t="shared" si="15"/>
        <v>NOIR</v>
      </c>
      <c r="G171" s="27">
        <f>+VLOOKUP(F171,[1]base!A:B,2,0)</f>
        <v>37</v>
      </c>
      <c r="H171" s="12">
        <v>50</v>
      </c>
      <c r="I171" s="12">
        <v>50</v>
      </c>
      <c r="J171" s="14"/>
      <c r="K171" s="14" t="s">
        <v>61</v>
      </c>
      <c r="L171" s="12" t="s">
        <v>1574</v>
      </c>
      <c r="M171" s="12" t="s">
        <v>150</v>
      </c>
      <c r="N171" s="12">
        <v>50</v>
      </c>
      <c r="O171" s="12">
        <v>50</v>
      </c>
      <c r="P171" s="12">
        <v>0</v>
      </c>
      <c r="Q171" s="16">
        <v>50</v>
      </c>
      <c r="R171" s="16">
        <v>10</v>
      </c>
      <c r="S171" s="16"/>
      <c r="T171" s="28">
        <v>50</v>
      </c>
      <c r="U171" s="28"/>
      <c r="V171" s="29">
        <f>+VLOOKUP(E171,[1]base!D:K,8,0)</f>
        <v>4.1340000000000003</v>
      </c>
      <c r="W171" s="29">
        <f t="shared" si="16"/>
        <v>206.70000000000002</v>
      </c>
      <c r="X171" s="29">
        <f t="shared" si="17"/>
        <v>10.7484</v>
      </c>
      <c r="Y171" s="29">
        <f>+VLOOKUP(E171,[1]base!D:E,2,0)</f>
        <v>13</v>
      </c>
      <c r="Z171" s="29">
        <f t="shared" si="18"/>
        <v>4</v>
      </c>
      <c r="AA171" s="29">
        <f t="shared" si="19"/>
        <v>0.26666666666666677</v>
      </c>
      <c r="AB171" s="29">
        <f>+VLOOKUP(E171,[1]base!M:N,2,0)</f>
        <v>442</v>
      </c>
      <c r="AC171" s="29">
        <f>+VLOOKUP(E171,[1]base!M:Q,5,0)</f>
        <v>2247.5454545454545</v>
      </c>
      <c r="AD171" s="30">
        <f>+VLOOKUP(E171,[1]base!M:P,4,0)</f>
        <v>9.9796334012219962E-2</v>
      </c>
      <c r="AE171" s="31">
        <f t="shared" si="20"/>
        <v>88.49002036659877</v>
      </c>
    </row>
    <row r="172" spans="1:31" s="32" customFormat="1" x14ac:dyDescent="0.25">
      <c r="A172" s="12" t="s">
        <v>1021</v>
      </c>
      <c r="B172" s="13">
        <v>46266.424675925926</v>
      </c>
      <c r="C172" s="12" t="s">
        <v>24</v>
      </c>
      <c r="D172" s="12" t="s">
        <v>1048</v>
      </c>
      <c r="E172" s="26" t="str">
        <f t="shared" si="14"/>
        <v>EC40100</v>
      </c>
      <c r="F172" s="27" t="str">
        <f t="shared" si="15"/>
        <v>DARK</v>
      </c>
      <c r="G172" s="27">
        <f>+VLOOKUP(F172,[1]base!A:B,2,0)</f>
        <v>38</v>
      </c>
      <c r="H172" s="12">
        <v>12</v>
      </c>
      <c r="I172" s="12">
        <v>12</v>
      </c>
      <c r="J172" s="14"/>
      <c r="K172" s="14" t="s">
        <v>61</v>
      </c>
      <c r="L172" s="12" t="s">
        <v>1078</v>
      </c>
      <c r="M172" s="12" t="s">
        <v>150</v>
      </c>
      <c r="N172" s="12">
        <v>12</v>
      </c>
      <c r="O172" s="12">
        <v>12</v>
      </c>
      <c r="P172" s="12">
        <v>0</v>
      </c>
      <c r="Q172" s="16">
        <v>12</v>
      </c>
      <c r="R172" s="16">
        <v>0</v>
      </c>
      <c r="S172" s="16"/>
      <c r="T172" s="28">
        <v>12</v>
      </c>
      <c r="U172" s="28"/>
      <c r="V172" s="29">
        <f>+VLOOKUP(E172,[1]base!D:K,8,0)</f>
        <v>4.1340000000000003</v>
      </c>
      <c r="W172" s="29">
        <f t="shared" si="16"/>
        <v>49.608000000000004</v>
      </c>
      <c r="X172" s="29">
        <f t="shared" si="17"/>
        <v>2.5796160000000001</v>
      </c>
      <c r="Y172" s="29">
        <f>+VLOOKUP(E172,[1]base!D:E,2,0)</f>
        <v>13</v>
      </c>
      <c r="Z172" s="29">
        <f t="shared" si="18"/>
        <v>1</v>
      </c>
      <c r="AA172" s="29">
        <f t="shared" si="19"/>
        <v>6.6666666666666693E-2</v>
      </c>
      <c r="AB172" s="29">
        <f>+VLOOKUP(E172,[1]base!M:N,2,0)</f>
        <v>442</v>
      </c>
      <c r="AC172" s="29">
        <f>+VLOOKUP(E172,[1]base!M:Q,5,0)</f>
        <v>2247.5454545454545</v>
      </c>
      <c r="AD172" s="30">
        <f>+VLOOKUP(E172,[1]base!M:P,4,0)</f>
        <v>9.9796334012219962E-2</v>
      </c>
      <c r="AE172" s="31">
        <f t="shared" si="20"/>
        <v>88.49002036659877</v>
      </c>
    </row>
    <row r="173" spans="1:31" s="32" customFormat="1" x14ac:dyDescent="0.25">
      <c r="A173" s="12"/>
      <c r="B173" s="13"/>
      <c r="C173" s="12"/>
      <c r="D173" s="12" t="s">
        <v>261</v>
      </c>
      <c r="E173" s="26" t="str">
        <f t="shared" si="14"/>
        <v>EC40102</v>
      </c>
      <c r="F173" s="27" t="str">
        <f t="shared" si="15"/>
        <v>BLC</v>
      </c>
      <c r="G173" s="27">
        <f>+VLOOKUP(F173,[1]base!A:B,2,0)</f>
        <v>1</v>
      </c>
      <c r="H173" s="12">
        <v>6</v>
      </c>
      <c r="I173" s="12">
        <v>6</v>
      </c>
      <c r="J173" s="14"/>
      <c r="K173" s="14" t="s">
        <v>26</v>
      </c>
      <c r="L173" s="12" t="s">
        <v>27</v>
      </c>
      <c r="M173" s="12"/>
      <c r="N173" s="12"/>
      <c r="O173" s="12"/>
      <c r="P173" s="12"/>
      <c r="Q173" s="16"/>
      <c r="R173" s="16"/>
      <c r="S173" s="16"/>
      <c r="T173" s="33">
        <v>6</v>
      </c>
      <c r="U173" s="33"/>
      <c r="V173" s="29">
        <f>+VLOOKUP(E173,[1]base!D:K,8,0)</f>
        <v>3.2825000000000002</v>
      </c>
      <c r="W173" s="29">
        <f t="shared" si="16"/>
        <v>19.695</v>
      </c>
      <c r="X173" s="29">
        <f t="shared" si="17"/>
        <v>1.0241400000000001</v>
      </c>
      <c r="Y173" s="29">
        <f>+VLOOKUP(E173,[1]base!D:E,2,0)</f>
        <v>13</v>
      </c>
      <c r="Z173" s="29">
        <f t="shared" si="18"/>
        <v>1</v>
      </c>
      <c r="AA173" s="29">
        <f t="shared" si="19"/>
        <v>6.6666666666666693E-2</v>
      </c>
      <c r="AB173" s="29">
        <f>+VLOOKUP(E173,[1]base!M:N,2,0)</f>
        <v>6</v>
      </c>
      <c r="AC173" s="29">
        <f>+VLOOKUP(E173,[1]base!M:Q,5,0)</f>
        <v>824.22222222222217</v>
      </c>
      <c r="AD173" s="30">
        <f>+VLOOKUP(E173,[1]base!M:P,4,0)</f>
        <v>0.45454545454545453</v>
      </c>
      <c r="AE173" s="31">
        <f t="shared" si="20"/>
        <v>-0.92727272727272725</v>
      </c>
    </row>
    <row r="174" spans="1:31" s="32" customFormat="1" x14ac:dyDescent="0.25">
      <c r="A174" s="12" t="s">
        <v>983</v>
      </c>
      <c r="B174" s="13">
        <v>46265.499872685185</v>
      </c>
      <c r="C174" s="12" t="s">
        <v>986</v>
      </c>
      <c r="D174" s="12" t="s">
        <v>987</v>
      </c>
      <c r="E174" s="26" t="str">
        <f t="shared" si="14"/>
        <v>EC40102</v>
      </c>
      <c r="F174" s="27" t="str">
        <f t="shared" si="15"/>
        <v>GRIS</v>
      </c>
      <c r="G174" s="27">
        <f>+VLOOKUP(F174,[1]base!A:B,2,0)</f>
        <v>22</v>
      </c>
      <c r="H174" s="12">
        <v>12</v>
      </c>
      <c r="I174" s="12">
        <v>12</v>
      </c>
      <c r="J174" s="14"/>
      <c r="K174" s="14" t="s">
        <v>61</v>
      </c>
      <c r="L174" s="12" t="s">
        <v>989</v>
      </c>
      <c r="M174" s="12" t="s">
        <v>150</v>
      </c>
      <c r="N174" s="12">
        <v>12</v>
      </c>
      <c r="O174" s="12">
        <v>12</v>
      </c>
      <c r="P174" s="12">
        <v>0</v>
      </c>
      <c r="Q174" s="16">
        <v>12</v>
      </c>
      <c r="R174" s="16">
        <v>0</v>
      </c>
      <c r="S174" s="16"/>
      <c r="T174" s="28">
        <v>12</v>
      </c>
      <c r="U174" s="28"/>
      <c r="V174" s="29">
        <f>+VLOOKUP(E174,[1]base!D:K,8,0)</f>
        <v>3.2825000000000002</v>
      </c>
      <c r="W174" s="29">
        <f t="shared" si="16"/>
        <v>39.39</v>
      </c>
      <c r="X174" s="29">
        <f t="shared" si="17"/>
        <v>2.0482800000000001</v>
      </c>
      <c r="Y174" s="29">
        <f>+VLOOKUP(E174,[1]base!D:E,2,0)</f>
        <v>13</v>
      </c>
      <c r="Z174" s="29">
        <f t="shared" si="18"/>
        <v>1</v>
      </c>
      <c r="AA174" s="29">
        <f t="shared" si="19"/>
        <v>6.6666666666666693E-2</v>
      </c>
      <c r="AB174" s="29">
        <f>+VLOOKUP(E174,[1]base!M:N,2,0)</f>
        <v>6</v>
      </c>
      <c r="AC174" s="29">
        <f>+VLOOKUP(E174,[1]base!M:Q,5,0)</f>
        <v>824.22222222222217</v>
      </c>
      <c r="AD174" s="30">
        <f>+VLOOKUP(E174,[1]base!M:P,4,0)</f>
        <v>0.45454545454545453</v>
      </c>
      <c r="AE174" s="31">
        <f t="shared" si="20"/>
        <v>-0.92727272727272725</v>
      </c>
    </row>
    <row r="175" spans="1:31" s="32" customFormat="1" x14ac:dyDescent="0.25">
      <c r="A175" s="12" t="s">
        <v>1241</v>
      </c>
      <c r="B175" s="13">
        <v>46268.574664351851</v>
      </c>
      <c r="C175" s="12" t="s">
        <v>368</v>
      </c>
      <c r="D175" s="12" t="s">
        <v>987</v>
      </c>
      <c r="E175" s="26" t="str">
        <f t="shared" si="14"/>
        <v>EC40102</v>
      </c>
      <c r="F175" s="27" t="str">
        <f t="shared" si="15"/>
        <v>GRIS</v>
      </c>
      <c r="G175" s="27">
        <f>+VLOOKUP(F175,[1]base!A:B,2,0)</f>
        <v>22</v>
      </c>
      <c r="H175" s="12">
        <v>2</v>
      </c>
      <c r="I175" s="12">
        <v>2</v>
      </c>
      <c r="J175" s="14"/>
      <c r="K175" s="14" t="s">
        <v>61</v>
      </c>
      <c r="L175" s="12" t="s">
        <v>1247</v>
      </c>
      <c r="M175" s="12" t="s">
        <v>150</v>
      </c>
      <c r="N175" s="12">
        <v>2</v>
      </c>
      <c r="O175" s="12">
        <v>2</v>
      </c>
      <c r="P175" s="12">
        <v>0</v>
      </c>
      <c r="Q175" s="16">
        <v>2</v>
      </c>
      <c r="R175" s="16">
        <v>0</v>
      </c>
      <c r="S175" s="16"/>
      <c r="T175" s="28">
        <v>2</v>
      </c>
      <c r="U175" s="28"/>
      <c r="V175" s="29">
        <f>+VLOOKUP(E175,[1]base!D:K,8,0)</f>
        <v>3.2825000000000002</v>
      </c>
      <c r="W175" s="29">
        <f t="shared" si="16"/>
        <v>6.5650000000000004</v>
      </c>
      <c r="X175" s="29">
        <f t="shared" si="17"/>
        <v>0.34138000000000002</v>
      </c>
      <c r="Y175" s="29">
        <f>+VLOOKUP(E175,[1]base!D:E,2,0)</f>
        <v>13</v>
      </c>
      <c r="Z175" s="29">
        <f t="shared" si="18"/>
        <v>1</v>
      </c>
      <c r="AA175" s="29">
        <f t="shared" si="19"/>
        <v>6.6666666666666693E-2</v>
      </c>
      <c r="AB175" s="29">
        <f>+VLOOKUP(E175,[1]base!M:N,2,0)</f>
        <v>6</v>
      </c>
      <c r="AC175" s="29">
        <f>+VLOOKUP(E175,[1]base!M:Q,5,0)</f>
        <v>824.22222222222217</v>
      </c>
      <c r="AD175" s="30">
        <f>+VLOOKUP(E175,[1]base!M:P,4,0)</f>
        <v>0.45454545454545453</v>
      </c>
      <c r="AE175" s="31">
        <f t="shared" si="20"/>
        <v>-0.92727272727272725</v>
      </c>
    </row>
    <row r="176" spans="1:31" s="32" customFormat="1" x14ac:dyDescent="0.25">
      <c r="A176" s="12" t="s">
        <v>758</v>
      </c>
      <c r="B176" s="13">
        <v>46258.403113425928</v>
      </c>
      <c r="C176" s="12" t="s">
        <v>759</v>
      </c>
      <c r="D176" s="12" t="s">
        <v>760</v>
      </c>
      <c r="E176" s="26" t="str">
        <f t="shared" si="14"/>
        <v>EC40102</v>
      </c>
      <c r="F176" s="27" t="str">
        <f t="shared" si="15"/>
        <v>NOIR</v>
      </c>
      <c r="G176" s="27">
        <f>+VLOOKUP(F176,[1]base!A:B,2,0)</f>
        <v>37</v>
      </c>
      <c r="H176" s="12">
        <v>24</v>
      </c>
      <c r="I176" s="12">
        <v>24</v>
      </c>
      <c r="J176" s="14"/>
      <c r="K176" s="14" t="s">
        <v>61</v>
      </c>
      <c r="L176" s="12" t="s">
        <v>761</v>
      </c>
      <c r="M176" s="12" t="s">
        <v>150</v>
      </c>
      <c r="N176" s="12">
        <v>24</v>
      </c>
      <c r="O176" s="12">
        <v>24</v>
      </c>
      <c r="P176" s="12">
        <v>0</v>
      </c>
      <c r="Q176" s="16">
        <v>48</v>
      </c>
      <c r="R176" s="16">
        <v>0</v>
      </c>
      <c r="S176" s="16"/>
      <c r="T176" s="28">
        <v>24</v>
      </c>
      <c r="U176" s="28"/>
      <c r="V176" s="29">
        <f>+VLOOKUP(E176,[1]base!D:K,8,0)</f>
        <v>3.2825000000000002</v>
      </c>
      <c r="W176" s="29">
        <f t="shared" si="16"/>
        <v>78.78</v>
      </c>
      <c r="X176" s="29">
        <f t="shared" si="17"/>
        <v>4.0965600000000002</v>
      </c>
      <c r="Y176" s="29">
        <f>+VLOOKUP(E176,[1]base!D:E,2,0)</f>
        <v>13</v>
      </c>
      <c r="Z176" s="29">
        <f t="shared" si="18"/>
        <v>2</v>
      </c>
      <c r="AA176" s="29">
        <f t="shared" si="19"/>
        <v>0.13333333333333339</v>
      </c>
      <c r="AB176" s="29">
        <f>+VLOOKUP(E176,[1]base!M:N,2,0)</f>
        <v>6</v>
      </c>
      <c r="AC176" s="29">
        <f>+VLOOKUP(E176,[1]base!M:Q,5,0)</f>
        <v>824.22222222222217</v>
      </c>
      <c r="AD176" s="30">
        <f>+VLOOKUP(E176,[1]base!M:P,4,0)</f>
        <v>0.45454545454545453</v>
      </c>
      <c r="AE176" s="31">
        <f t="shared" si="20"/>
        <v>-0.92727272727272725</v>
      </c>
    </row>
    <row r="177" spans="1:31" s="32" customFormat="1" x14ac:dyDescent="0.25">
      <c r="A177" s="12" t="s">
        <v>1162</v>
      </c>
      <c r="B177" s="13">
        <v>46267.43309027778</v>
      </c>
      <c r="C177" s="12" t="s">
        <v>627</v>
      </c>
      <c r="D177" s="12" t="s">
        <v>760</v>
      </c>
      <c r="E177" s="26" t="str">
        <f t="shared" si="14"/>
        <v>EC40102</v>
      </c>
      <c r="F177" s="27" t="str">
        <f t="shared" si="15"/>
        <v>NOIR</v>
      </c>
      <c r="G177" s="27">
        <f>+VLOOKUP(F177,[1]base!A:B,2,0)</f>
        <v>37</v>
      </c>
      <c r="H177" s="12">
        <v>6</v>
      </c>
      <c r="I177" s="12">
        <v>6</v>
      </c>
      <c r="J177" s="14"/>
      <c r="K177" s="14" t="s">
        <v>61</v>
      </c>
      <c r="L177" s="12" t="s">
        <v>1180</v>
      </c>
      <c r="M177" s="12" t="s">
        <v>150</v>
      </c>
      <c r="N177" s="12">
        <v>6</v>
      </c>
      <c r="O177" s="12">
        <v>6</v>
      </c>
      <c r="P177" s="12">
        <v>0</v>
      </c>
      <c r="Q177" s="16">
        <v>6</v>
      </c>
      <c r="R177" s="16">
        <v>0</v>
      </c>
      <c r="S177" s="16"/>
      <c r="T177" s="28">
        <v>6</v>
      </c>
      <c r="U177" s="28"/>
      <c r="V177" s="29">
        <f>+VLOOKUP(E177,[1]base!D:K,8,0)</f>
        <v>3.2825000000000002</v>
      </c>
      <c r="W177" s="29">
        <f t="shared" si="16"/>
        <v>19.695</v>
      </c>
      <c r="X177" s="29">
        <f t="shared" si="17"/>
        <v>1.0241400000000001</v>
      </c>
      <c r="Y177" s="29">
        <f>+VLOOKUP(E177,[1]base!D:E,2,0)</f>
        <v>13</v>
      </c>
      <c r="Z177" s="29">
        <f t="shared" si="18"/>
        <v>1</v>
      </c>
      <c r="AA177" s="29">
        <f t="shared" si="19"/>
        <v>6.6666666666666693E-2</v>
      </c>
      <c r="AB177" s="29">
        <f>+VLOOKUP(E177,[1]base!M:N,2,0)</f>
        <v>6</v>
      </c>
      <c r="AC177" s="29">
        <f>+VLOOKUP(E177,[1]base!M:Q,5,0)</f>
        <v>824.22222222222217</v>
      </c>
      <c r="AD177" s="30">
        <f>+VLOOKUP(E177,[1]base!M:P,4,0)</f>
        <v>0.45454545454545453</v>
      </c>
      <c r="AE177" s="31">
        <f t="shared" si="20"/>
        <v>-0.92727272727272725</v>
      </c>
    </row>
    <row r="178" spans="1:31" s="32" customFormat="1" x14ac:dyDescent="0.25">
      <c r="A178" s="12" t="s">
        <v>1562</v>
      </c>
      <c r="B178" s="13">
        <v>46274.635497685187</v>
      </c>
      <c r="C178" s="12" t="s">
        <v>484</v>
      </c>
      <c r="D178" s="12" t="s">
        <v>760</v>
      </c>
      <c r="E178" s="26" t="str">
        <f t="shared" si="14"/>
        <v>EC40102</v>
      </c>
      <c r="F178" s="27" t="str">
        <f t="shared" si="15"/>
        <v>NOIR</v>
      </c>
      <c r="G178" s="27">
        <f>+VLOOKUP(F178,[1]base!A:B,2,0)</f>
        <v>37</v>
      </c>
      <c r="H178" s="12">
        <v>20</v>
      </c>
      <c r="I178" s="12">
        <v>20</v>
      </c>
      <c r="J178" s="14"/>
      <c r="K178" s="14" t="s">
        <v>61</v>
      </c>
      <c r="L178" s="12" t="s">
        <v>1564</v>
      </c>
      <c r="M178" s="12" t="s">
        <v>150</v>
      </c>
      <c r="N178" s="12">
        <v>20</v>
      </c>
      <c r="O178" s="12">
        <v>20</v>
      </c>
      <c r="P178" s="12">
        <v>0</v>
      </c>
      <c r="Q178" s="16">
        <v>20</v>
      </c>
      <c r="R178" s="16">
        <v>0</v>
      </c>
      <c r="S178" s="16"/>
      <c r="T178" s="28">
        <v>20</v>
      </c>
      <c r="U178" s="28"/>
      <c r="V178" s="29">
        <f>+VLOOKUP(E178,[1]base!D:K,8,0)</f>
        <v>3.2825000000000002</v>
      </c>
      <c r="W178" s="29">
        <f t="shared" si="16"/>
        <v>65.650000000000006</v>
      </c>
      <c r="X178" s="29">
        <f t="shared" si="17"/>
        <v>3.4138000000000002</v>
      </c>
      <c r="Y178" s="29">
        <f>+VLOOKUP(E178,[1]base!D:E,2,0)</f>
        <v>13</v>
      </c>
      <c r="Z178" s="29">
        <f t="shared" si="18"/>
        <v>2</v>
      </c>
      <c r="AA178" s="29">
        <f t="shared" si="19"/>
        <v>0.13333333333333339</v>
      </c>
      <c r="AB178" s="29">
        <f>+VLOOKUP(E178,[1]base!M:N,2,0)</f>
        <v>6</v>
      </c>
      <c r="AC178" s="29">
        <f>+VLOOKUP(E178,[1]base!M:Q,5,0)</f>
        <v>824.22222222222217</v>
      </c>
      <c r="AD178" s="30">
        <f>+VLOOKUP(E178,[1]base!M:P,4,0)</f>
        <v>0.45454545454545453</v>
      </c>
      <c r="AE178" s="31">
        <f t="shared" si="20"/>
        <v>-0.92727272727272725</v>
      </c>
    </row>
    <row r="179" spans="1:31" s="32" customFormat="1" x14ac:dyDescent="0.25">
      <c r="A179" s="12"/>
      <c r="B179" s="13"/>
      <c r="C179" s="12"/>
      <c r="D179" s="12" t="s">
        <v>373</v>
      </c>
      <c r="E179" s="26" t="str">
        <f t="shared" si="14"/>
        <v>EC40104</v>
      </c>
      <c r="F179" s="27" t="str">
        <f t="shared" si="15"/>
        <v>BLC</v>
      </c>
      <c r="G179" s="27">
        <f>+VLOOKUP(F179,[1]base!A:B,2,0)</f>
        <v>1</v>
      </c>
      <c r="H179" s="12">
        <v>30</v>
      </c>
      <c r="I179" s="12">
        <v>18</v>
      </c>
      <c r="J179" s="14"/>
      <c r="K179" s="14" t="s">
        <v>61</v>
      </c>
      <c r="L179" s="12" t="s">
        <v>27</v>
      </c>
      <c r="M179" s="12" t="s">
        <v>28</v>
      </c>
      <c r="N179" s="12"/>
      <c r="O179" s="12"/>
      <c r="P179" s="12"/>
      <c r="Q179" s="16">
        <v>25</v>
      </c>
      <c r="R179" s="16">
        <v>2</v>
      </c>
      <c r="S179" s="16"/>
      <c r="T179" s="33">
        <v>26</v>
      </c>
      <c r="U179" s="33"/>
      <c r="V179" s="29">
        <f>+VLOOKUP(E179,[1]base!D:K,8,0)</f>
        <v>5.7004999999999999</v>
      </c>
      <c r="W179" s="29">
        <f t="shared" si="16"/>
        <v>148.21299999999999</v>
      </c>
      <c r="X179" s="29">
        <f t="shared" si="17"/>
        <v>7.7070759999999989</v>
      </c>
      <c r="Y179" s="29">
        <f>+VLOOKUP(E179,[1]base!D:E,2,0)</f>
        <v>13</v>
      </c>
      <c r="Z179" s="29">
        <f t="shared" si="18"/>
        <v>2</v>
      </c>
      <c r="AA179" s="29">
        <f t="shared" si="19"/>
        <v>0.13333333333333339</v>
      </c>
      <c r="AB179" s="29">
        <f>+VLOOKUP(E179,[1]base!M:N,2,0)</f>
        <v>57</v>
      </c>
      <c r="AC179" s="29">
        <f>+VLOOKUP(E179,[1]base!M:Q,5,0)</f>
        <v>150.71428571428572</v>
      </c>
      <c r="AD179" s="30">
        <f>+VLOOKUP(E179,[1]base!M:P,4,0)</f>
        <v>3.3898305084745763E-2</v>
      </c>
      <c r="AE179" s="31">
        <f t="shared" si="20"/>
        <v>15.167796610169489</v>
      </c>
    </row>
    <row r="180" spans="1:31" s="32" customFormat="1" x14ac:dyDescent="0.25">
      <c r="A180" s="12" t="s">
        <v>1197</v>
      </c>
      <c r="B180" s="13">
        <v>46267.551539351851</v>
      </c>
      <c r="C180" s="12" t="s">
        <v>24</v>
      </c>
      <c r="D180" s="12" t="s">
        <v>1199</v>
      </c>
      <c r="E180" s="26" t="str">
        <f t="shared" si="14"/>
        <v>EC40104</v>
      </c>
      <c r="F180" s="27" t="str">
        <f t="shared" si="15"/>
        <v>ACAJOU</v>
      </c>
      <c r="G180" s="27">
        <f>+VLOOKUP(F180,[1]base!A:B,2,0)</f>
        <v>15.1</v>
      </c>
      <c r="H180" s="12">
        <v>45</v>
      </c>
      <c r="I180" s="12">
        <v>45</v>
      </c>
      <c r="J180" s="14"/>
      <c r="K180" s="14" t="s">
        <v>61</v>
      </c>
      <c r="L180" s="12" t="s">
        <v>1205</v>
      </c>
      <c r="M180" s="12" t="s">
        <v>150</v>
      </c>
      <c r="N180" s="12">
        <v>45</v>
      </c>
      <c r="O180" s="12">
        <v>45</v>
      </c>
      <c r="P180" s="12">
        <v>0</v>
      </c>
      <c r="Q180" s="16">
        <v>135</v>
      </c>
      <c r="R180" s="16">
        <v>0</v>
      </c>
      <c r="S180" s="16"/>
      <c r="T180" s="28">
        <v>45</v>
      </c>
      <c r="U180" s="28"/>
      <c r="V180" s="29">
        <f>+VLOOKUP(E180,[1]base!D:K,8,0)</f>
        <v>5.7004999999999999</v>
      </c>
      <c r="W180" s="29">
        <f t="shared" si="16"/>
        <v>256.52249999999998</v>
      </c>
      <c r="X180" s="29">
        <f t="shared" si="17"/>
        <v>13.339169999999998</v>
      </c>
      <c r="Y180" s="29">
        <f>+VLOOKUP(E180,[1]base!D:E,2,0)</f>
        <v>13</v>
      </c>
      <c r="Z180" s="29">
        <f t="shared" si="18"/>
        <v>4</v>
      </c>
      <c r="AA180" s="29">
        <f t="shared" si="19"/>
        <v>0.26666666666666677</v>
      </c>
      <c r="AB180" s="29">
        <f>+VLOOKUP(E180,[1]base!M:N,2,0)</f>
        <v>57</v>
      </c>
      <c r="AC180" s="29">
        <f>+VLOOKUP(E180,[1]base!M:Q,5,0)</f>
        <v>150.71428571428572</v>
      </c>
      <c r="AD180" s="30">
        <f>+VLOOKUP(E180,[1]base!M:P,4,0)</f>
        <v>3.3898305084745763E-2</v>
      </c>
      <c r="AE180" s="31">
        <f t="shared" si="20"/>
        <v>15.167796610169489</v>
      </c>
    </row>
    <row r="181" spans="1:31" s="32" customFormat="1" x14ac:dyDescent="0.25">
      <c r="A181" s="12" t="s">
        <v>1242</v>
      </c>
      <c r="B181" s="13">
        <v>46268.574895833335</v>
      </c>
      <c r="C181" s="12" t="s">
        <v>368</v>
      </c>
      <c r="D181" s="12" t="s">
        <v>1199</v>
      </c>
      <c r="E181" s="26" t="str">
        <f t="shared" si="14"/>
        <v>EC40104</v>
      </c>
      <c r="F181" s="27" t="str">
        <f t="shared" si="15"/>
        <v>ACAJOU</v>
      </c>
      <c r="G181" s="27">
        <f>+VLOOKUP(F181,[1]base!A:B,2,0)</f>
        <v>15.1</v>
      </c>
      <c r="H181" s="12">
        <v>3</v>
      </c>
      <c r="I181" s="12">
        <v>3</v>
      </c>
      <c r="J181" s="14"/>
      <c r="K181" s="14" t="s">
        <v>61</v>
      </c>
      <c r="L181" s="12" t="s">
        <v>1250</v>
      </c>
      <c r="M181" s="12" t="s">
        <v>150</v>
      </c>
      <c r="N181" s="12">
        <v>3</v>
      </c>
      <c r="O181" s="12">
        <v>3</v>
      </c>
      <c r="P181" s="12">
        <v>0</v>
      </c>
      <c r="Q181" s="16">
        <v>3</v>
      </c>
      <c r="R181" s="16">
        <v>0</v>
      </c>
      <c r="S181" s="16"/>
      <c r="T181" s="28">
        <v>3</v>
      </c>
      <c r="U181" s="28"/>
      <c r="V181" s="29">
        <f>+VLOOKUP(E181,[1]base!D:K,8,0)</f>
        <v>5.7004999999999999</v>
      </c>
      <c r="W181" s="29">
        <f t="shared" si="16"/>
        <v>17.101500000000001</v>
      </c>
      <c r="X181" s="29">
        <f t="shared" si="17"/>
        <v>0.88927800000000001</v>
      </c>
      <c r="Y181" s="29">
        <f>+VLOOKUP(E181,[1]base!D:E,2,0)</f>
        <v>13</v>
      </c>
      <c r="Z181" s="29">
        <f t="shared" si="18"/>
        <v>1</v>
      </c>
      <c r="AA181" s="29">
        <f t="shared" si="19"/>
        <v>6.6666666666666693E-2</v>
      </c>
      <c r="AB181" s="29">
        <f>+VLOOKUP(E181,[1]base!M:N,2,0)</f>
        <v>57</v>
      </c>
      <c r="AC181" s="29">
        <f>+VLOOKUP(E181,[1]base!M:Q,5,0)</f>
        <v>150.71428571428572</v>
      </c>
      <c r="AD181" s="30">
        <f>+VLOOKUP(E181,[1]base!M:P,4,0)</f>
        <v>3.3898305084745763E-2</v>
      </c>
      <c r="AE181" s="31">
        <f t="shared" si="20"/>
        <v>15.167796610169489</v>
      </c>
    </row>
    <row r="182" spans="1:31" s="32" customFormat="1" x14ac:dyDescent="0.25">
      <c r="A182" s="12" t="s">
        <v>372</v>
      </c>
      <c r="B182" s="13">
        <v>46212.477118055554</v>
      </c>
      <c r="C182" s="12" t="s">
        <v>24</v>
      </c>
      <c r="D182" s="12" t="s">
        <v>375</v>
      </c>
      <c r="E182" s="26" t="str">
        <f t="shared" si="14"/>
        <v>EC40104</v>
      </c>
      <c r="F182" s="27" t="str">
        <f t="shared" si="15"/>
        <v>GRIS</v>
      </c>
      <c r="G182" s="27">
        <f>+VLOOKUP(F182,[1]base!A:B,2,0)</f>
        <v>22</v>
      </c>
      <c r="H182" s="12">
        <v>15</v>
      </c>
      <c r="I182" s="12">
        <v>15</v>
      </c>
      <c r="J182" s="14"/>
      <c r="K182" s="14" t="s">
        <v>61</v>
      </c>
      <c r="L182" s="12" t="s">
        <v>376</v>
      </c>
      <c r="M182" s="12" t="s">
        <v>150</v>
      </c>
      <c r="N182" s="12">
        <v>15</v>
      </c>
      <c r="O182" s="12">
        <v>15</v>
      </c>
      <c r="P182" s="12">
        <v>0</v>
      </c>
      <c r="Q182" s="16">
        <v>25</v>
      </c>
      <c r="R182" s="16">
        <v>0</v>
      </c>
      <c r="S182" s="16"/>
      <c r="T182" s="28">
        <v>15</v>
      </c>
      <c r="U182" s="28"/>
      <c r="V182" s="29">
        <f>+VLOOKUP(E182,[1]base!D:K,8,0)</f>
        <v>5.7004999999999999</v>
      </c>
      <c r="W182" s="29">
        <f t="shared" si="16"/>
        <v>85.507499999999993</v>
      </c>
      <c r="X182" s="29">
        <f t="shared" si="17"/>
        <v>4.4463899999999992</v>
      </c>
      <c r="Y182" s="29">
        <f>+VLOOKUP(E182,[1]base!D:E,2,0)</f>
        <v>13</v>
      </c>
      <c r="Z182" s="29">
        <f t="shared" si="18"/>
        <v>2</v>
      </c>
      <c r="AA182" s="29">
        <f t="shared" si="19"/>
        <v>0.13333333333333339</v>
      </c>
      <c r="AB182" s="29">
        <f>+VLOOKUP(E182,[1]base!M:N,2,0)</f>
        <v>57</v>
      </c>
      <c r="AC182" s="29">
        <f>+VLOOKUP(E182,[1]base!M:Q,5,0)</f>
        <v>150.71428571428572</v>
      </c>
      <c r="AD182" s="30">
        <f>+VLOOKUP(E182,[1]base!M:P,4,0)</f>
        <v>3.3898305084745763E-2</v>
      </c>
      <c r="AE182" s="31">
        <f t="shared" si="20"/>
        <v>15.167796610169489</v>
      </c>
    </row>
    <row r="183" spans="1:31" s="32" customFormat="1" x14ac:dyDescent="0.25">
      <c r="A183" s="12" t="s">
        <v>1197</v>
      </c>
      <c r="B183" s="13">
        <v>46267.551539351851</v>
      </c>
      <c r="C183" s="12" t="s">
        <v>24</v>
      </c>
      <c r="D183" s="12" t="s">
        <v>375</v>
      </c>
      <c r="E183" s="26" t="str">
        <f t="shared" si="14"/>
        <v>EC40104</v>
      </c>
      <c r="F183" s="27" t="str">
        <f t="shared" si="15"/>
        <v>GRIS</v>
      </c>
      <c r="G183" s="27">
        <f>+VLOOKUP(F183,[1]base!A:B,2,0)</f>
        <v>22</v>
      </c>
      <c r="H183" s="12">
        <v>45</v>
      </c>
      <c r="I183" s="12">
        <v>45</v>
      </c>
      <c r="J183" s="14"/>
      <c r="K183" s="14" t="s">
        <v>61</v>
      </c>
      <c r="L183" s="12" t="s">
        <v>1217</v>
      </c>
      <c r="M183" s="12" t="s">
        <v>150</v>
      </c>
      <c r="N183" s="12">
        <v>45</v>
      </c>
      <c r="O183" s="12">
        <v>45</v>
      </c>
      <c r="P183" s="12">
        <v>0</v>
      </c>
      <c r="Q183" s="16">
        <v>135</v>
      </c>
      <c r="R183" s="16">
        <v>0</v>
      </c>
      <c r="S183" s="16"/>
      <c r="T183" s="28">
        <v>45</v>
      </c>
      <c r="U183" s="28"/>
      <c r="V183" s="29">
        <f>+VLOOKUP(E183,[1]base!D:K,8,0)</f>
        <v>5.7004999999999999</v>
      </c>
      <c r="W183" s="29">
        <f t="shared" si="16"/>
        <v>256.52249999999998</v>
      </c>
      <c r="X183" s="29">
        <f t="shared" si="17"/>
        <v>13.339169999999998</v>
      </c>
      <c r="Y183" s="29">
        <f>+VLOOKUP(E183,[1]base!D:E,2,0)</f>
        <v>13</v>
      </c>
      <c r="Z183" s="29">
        <f t="shared" si="18"/>
        <v>4</v>
      </c>
      <c r="AA183" s="29">
        <f t="shared" si="19"/>
        <v>0.26666666666666677</v>
      </c>
      <c r="AB183" s="29">
        <f>+VLOOKUP(E183,[1]base!M:N,2,0)</f>
        <v>57</v>
      </c>
      <c r="AC183" s="29">
        <f>+VLOOKUP(E183,[1]base!M:Q,5,0)</f>
        <v>150.71428571428572</v>
      </c>
      <c r="AD183" s="30">
        <f>+VLOOKUP(E183,[1]base!M:P,4,0)</f>
        <v>3.3898305084745763E-2</v>
      </c>
      <c r="AE183" s="31">
        <f t="shared" si="20"/>
        <v>15.167796610169489</v>
      </c>
    </row>
    <row r="184" spans="1:31" s="32" customFormat="1" x14ac:dyDescent="0.25">
      <c r="A184" s="12" t="s">
        <v>1549</v>
      </c>
      <c r="B184" s="13">
        <v>46274.600347222222</v>
      </c>
      <c r="C184" s="12" t="s">
        <v>465</v>
      </c>
      <c r="D184" s="12" t="s">
        <v>375</v>
      </c>
      <c r="E184" s="26" t="str">
        <f t="shared" si="14"/>
        <v>EC40104</v>
      </c>
      <c r="F184" s="27" t="str">
        <f t="shared" si="15"/>
        <v>GRIS</v>
      </c>
      <c r="G184" s="27">
        <f>+VLOOKUP(F184,[1]base!A:B,2,0)</f>
        <v>22</v>
      </c>
      <c r="H184" s="12">
        <v>9</v>
      </c>
      <c r="I184" s="12">
        <v>9</v>
      </c>
      <c r="J184" s="14"/>
      <c r="K184" s="14" t="s">
        <v>61</v>
      </c>
      <c r="L184" s="12" t="s">
        <v>1561</v>
      </c>
      <c r="M184" s="12" t="s">
        <v>150</v>
      </c>
      <c r="N184" s="12">
        <v>9</v>
      </c>
      <c r="O184" s="12">
        <v>9</v>
      </c>
      <c r="P184" s="12">
        <v>0</v>
      </c>
      <c r="Q184" s="16">
        <v>9</v>
      </c>
      <c r="R184" s="16">
        <v>0</v>
      </c>
      <c r="S184" s="16"/>
      <c r="T184" s="28">
        <v>9</v>
      </c>
      <c r="U184" s="28"/>
      <c r="V184" s="29">
        <f>+VLOOKUP(E184,[1]base!D:K,8,0)</f>
        <v>5.7004999999999999</v>
      </c>
      <c r="W184" s="29">
        <f t="shared" si="16"/>
        <v>51.304499999999997</v>
      </c>
      <c r="X184" s="29">
        <f t="shared" si="17"/>
        <v>2.6678339999999996</v>
      </c>
      <c r="Y184" s="29">
        <f>+VLOOKUP(E184,[1]base!D:E,2,0)</f>
        <v>13</v>
      </c>
      <c r="Z184" s="29">
        <f t="shared" si="18"/>
        <v>1</v>
      </c>
      <c r="AA184" s="29">
        <f t="shared" si="19"/>
        <v>6.6666666666666693E-2</v>
      </c>
      <c r="AB184" s="29">
        <f>+VLOOKUP(E184,[1]base!M:N,2,0)</f>
        <v>57</v>
      </c>
      <c r="AC184" s="29">
        <f>+VLOOKUP(E184,[1]base!M:Q,5,0)</f>
        <v>150.71428571428572</v>
      </c>
      <c r="AD184" s="30">
        <f>+VLOOKUP(E184,[1]base!M:P,4,0)</f>
        <v>3.3898305084745763E-2</v>
      </c>
      <c r="AE184" s="31">
        <f t="shared" si="20"/>
        <v>15.167796610169489</v>
      </c>
    </row>
    <row r="185" spans="1:31" s="32" customFormat="1" x14ac:dyDescent="0.25">
      <c r="A185" s="12" t="s">
        <v>777</v>
      </c>
      <c r="B185" s="13">
        <v>46258.578530092593</v>
      </c>
      <c r="C185" s="12" t="s">
        <v>778</v>
      </c>
      <c r="D185" s="12" t="s">
        <v>267</v>
      </c>
      <c r="E185" s="26" t="str">
        <f t="shared" si="14"/>
        <v>EC40104</v>
      </c>
      <c r="F185" s="27" t="str">
        <f t="shared" si="15"/>
        <v>NOIR</v>
      </c>
      <c r="G185" s="27">
        <f>+VLOOKUP(F185,[1]base!A:B,2,0)</f>
        <v>37</v>
      </c>
      <c r="H185" s="12">
        <v>6</v>
      </c>
      <c r="I185" s="12">
        <v>6</v>
      </c>
      <c r="J185" s="14"/>
      <c r="K185" s="14" t="s">
        <v>61</v>
      </c>
      <c r="L185" s="12" t="s">
        <v>779</v>
      </c>
      <c r="M185" s="12" t="s">
        <v>150</v>
      </c>
      <c r="N185" s="12">
        <v>6</v>
      </c>
      <c r="O185" s="12">
        <v>6</v>
      </c>
      <c r="P185" s="12">
        <v>0</v>
      </c>
      <c r="Q185" s="16">
        <v>6</v>
      </c>
      <c r="R185" s="16">
        <v>0</v>
      </c>
      <c r="S185" s="16"/>
      <c r="T185" s="28">
        <v>6</v>
      </c>
      <c r="U185" s="28"/>
      <c r="V185" s="29">
        <f>+VLOOKUP(E185,[1]base!D:K,8,0)</f>
        <v>5.7004999999999999</v>
      </c>
      <c r="W185" s="29">
        <f t="shared" si="16"/>
        <v>34.203000000000003</v>
      </c>
      <c r="X185" s="29">
        <f t="shared" si="17"/>
        <v>1.778556</v>
      </c>
      <c r="Y185" s="29">
        <f>+VLOOKUP(E185,[1]base!D:E,2,0)</f>
        <v>13</v>
      </c>
      <c r="Z185" s="29">
        <f t="shared" si="18"/>
        <v>1</v>
      </c>
      <c r="AA185" s="29">
        <f t="shared" si="19"/>
        <v>6.6666666666666693E-2</v>
      </c>
      <c r="AB185" s="29">
        <f>+VLOOKUP(E185,[1]base!M:N,2,0)</f>
        <v>57</v>
      </c>
      <c r="AC185" s="29">
        <f>+VLOOKUP(E185,[1]base!M:Q,5,0)</f>
        <v>150.71428571428572</v>
      </c>
      <c r="AD185" s="30">
        <f>+VLOOKUP(E185,[1]base!M:P,4,0)</f>
        <v>3.3898305084745763E-2</v>
      </c>
      <c r="AE185" s="31">
        <f t="shared" si="20"/>
        <v>15.167796610169489</v>
      </c>
    </row>
    <row r="186" spans="1:31" s="32" customFormat="1" x14ac:dyDescent="0.25">
      <c r="A186" s="12" t="s">
        <v>1141</v>
      </c>
      <c r="B186" s="13">
        <v>46267.323657407411</v>
      </c>
      <c r="C186" s="12" t="s">
        <v>585</v>
      </c>
      <c r="D186" s="12" t="s">
        <v>267</v>
      </c>
      <c r="E186" s="26" t="str">
        <f t="shared" si="14"/>
        <v>EC40104</v>
      </c>
      <c r="F186" s="27" t="str">
        <f t="shared" si="15"/>
        <v>NOIR</v>
      </c>
      <c r="G186" s="27">
        <f>+VLOOKUP(F186,[1]base!A:B,2,0)</f>
        <v>37</v>
      </c>
      <c r="H186" s="12">
        <v>20</v>
      </c>
      <c r="I186" s="12">
        <v>20</v>
      </c>
      <c r="J186" s="14"/>
      <c r="K186" s="14" t="s">
        <v>61</v>
      </c>
      <c r="L186" s="12" t="s">
        <v>1147</v>
      </c>
      <c r="M186" s="12" t="s">
        <v>150</v>
      </c>
      <c r="N186" s="12">
        <v>20</v>
      </c>
      <c r="O186" s="12">
        <v>20</v>
      </c>
      <c r="P186" s="12">
        <v>0</v>
      </c>
      <c r="Q186" s="16">
        <v>20</v>
      </c>
      <c r="R186" s="16">
        <v>0</v>
      </c>
      <c r="S186" s="16"/>
      <c r="T186" s="28">
        <v>20</v>
      </c>
      <c r="U186" s="28"/>
      <c r="V186" s="29">
        <f>+VLOOKUP(E186,[1]base!D:K,8,0)</f>
        <v>5.7004999999999999</v>
      </c>
      <c r="W186" s="29">
        <f t="shared" si="16"/>
        <v>114.00999999999999</v>
      </c>
      <c r="X186" s="29">
        <f t="shared" si="17"/>
        <v>5.9285199999999989</v>
      </c>
      <c r="Y186" s="29">
        <f>+VLOOKUP(E186,[1]base!D:E,2,0)</f>
        <v>13</v>
      </c>
      <c r="Z186" s="29">
        <f t="shared" si="18"/>
        <v>2</v>
      </c>
      <c r="AA186" s="29">
        <f t="shared" si="19"/>
        <v>0.13333333333333339</v>
      </c>
      <c r="AB186" s="29">
        <f>+VLOOKUP(E186,[1]base!M:N,2,0)</f>
        <v>57</v>
      </c>
      <c r="AC186" s="29">
        <f>+VLOOKUP(E186,[1]base!M:Q,5,0)</f>
        <v>150.71428571428572</v>
      </c>
      <c r="AD186" s="30">
        <f>+VLOOKUP(E186,[1]base!M:P,4,0)</f>
        <v>3.3898305084745763E-2</v>
      </c>
      <c r="AE186" s="31">
        <f t="shared" si="20"/>
        <v>15.167796610169489</v>
      </c>
    </row>
    <row r="187" spans="1:31" s="32" customFormat="1" x14ac:dyDescent="0.25">
      <c r="A187" s="12" t="s">
        <v>1197</v>
      </c>
      <c r="B187" s="13">
        <v>46267.551539351851</v>
      </c>
      <c r="C187" s="12" t="s">
        <v>24</v>
      </c>
      <c r="D187" s="12" t="s">
        <v>267</v>
      </c>
      <c r="E187" s="26" t="str">
        <f t="shared" si="14"/>
        <v>EC40104</v>
      </c>
      <c r="F187" s="27" t="str">
        <f t="shared" si="15"/>
        <v>NOIR</v>
      </c>
      <c r="G187" s="27">
        <f>+VLOOKUP(F187,[1]base!A:B,2,0)</f>
        <v>37</v>
      </c>
      <c r="H187" s="12">
        <v>45</v>
      </c>
      <c r="I187" s="12">
        <v>45</v>
      </c>
      <c r="J187" s="14"/>
      <c r="K187" s="14" t="s">
        <v>61</v>
      </c>
      <c r="L187" s="12" t="s">
        <v>1203</v>
      </c>
      <c r="M187" s="12" t="s">
        <v>150</v>
      </c>
      <c r="N187" s="12">
        <v>45</v>
      </c>
      <c r="O187" s="12">
        <v>45</v>
      </c>
      <c r="P187" s="12">
        <v>0</v>
      </c>
      <c r="Q187" s="16">
        <v>135</v>
      </c>
      <c r="R187" s="16">
        <v>0</v>
      </c>
      <c r="S187" s="16"/>
      <c r="T187" s="28">
        <v>45</v>
      </c>
      <c r="U187" s="28"/>
      <c r="V187" s="29">
        <f>+VLOOKUP(E187,[1]base!D:K,8,0)</f>
        <v>5.7004999999999999</v>
      </c>
      <c r="W187" s="29">
        <f t="shared" si="16"/>
        <v>256.52249999999998</v>
      </c>
      <c r="X187" s="29">
        <f t="shared" si="17"/>
        <v>13.339169999999998</v>
      </c>
      <c r="Y187" s="29">
        <f>+VLOOKUP(E187,[1]base!D:E,2,0)</f>
        <v>13</v>
      </c>
      <c r="Z187" s="29">
        <f t="shared" si="18"/>
        <v>4</v>
      </c>
      <c r="AA187" s="29">
        <f t="shared" si="19"/>
        <v>0.26666666666666677</v>
      </c>
      <c r="AB187" s="29">
        <f>+VLOOKUP(E187,[1]base!M:N,2,0)</f>
        <v>57</v>
      </c>
      <c r="AC187" s="29">
        <f>+VLOOKUP(E187,[1]base!M:Q,5,0)</f>
        <v>150.71428571428572</v>
      </c>
      <c r="AD187" s="30">
        <f>+VLOOKUP(E187,[1]base!M:P,4,0)</f>
        <v>3.3898305084745763E-2</v>
      </c>
      <c r="AE187" s="31">
        <f t="shared" si="20"/>
        <v>15.167796610169489</v>
      </c>
    </row>
    <row r="188" spans="1:31" s="32" customFormat="1" x14ac:dyDescent="0.25">
      <c r="A188" s="12" t="s">
        <v>1291</v>
      </c>
      <c r="B188" s="13">
        <v>46269.280277777776</v>
      </c>
      <c r="C188" s="12" t="s">
        <v>266</v>
      </c>
      <c r="D188" s="12" t="s">
        <v>267</v>
      </c>
      <c r="E188" s="26" t="str">
        <f t="shared" si="14"/>
        <v>EC40104</v>
      </c>
      <c r="F188" s="27" t="str">
        <f t="shared" si="15"/>
        <v>NOIR</v>
      </c>
      <c r="G188" s="27">
        <f>+VLOOKUP(F188,[1]base!A:B,2,0)</f>
        <v>37</v>
      </c>
      <c r="H188" s="12">
        <v>21</v>
      </c>
      <c r="I188" s="12">
        <v>21</v>
      </c>
      <c r="J188" s="14"/>
      <c r="K188" s="14" t="s">
        <v>61</v>
      </c>
      <c r="L188" s="12" t="s">
        <v>1300</v>
      </c>
      <c r="M188" s="12" t="s">
        <v>150</v>
      </c>
      <c r="N188" s="12">
        <v>21</v>
      </c>
      <c r="O188" s="12">
        <v>21</v>
      </c>
      <c r="P188" s="12">
        <v>0</v>
      </c>
      <c r="Q188" s="16">
        <v>21</v>
      </c>
      <c r="R188" s="16">
        <v>0</v>
      </c>
      <c r="S188" s="16"/>
      <c r="T188" s="28">
        <v>21</v>
      </c>
      <c r="U188" s="28"/>
      <c r="V188" s="29">
        <f>+VLOOKUP(E188,[1]base!D:K,8,0)</f>
        <v>5.7004999999999999</v>
      </c>
      <c r="W188" s="29">
        <f t="shared" si="16"/>
        <v>119.7105</v>
      </c>
      <c r="X188" s="29">
        <f t="shared" si="17"/>
        <v>6.2249459999999992</v>
      </c>
      <c r="Y188" s="29">
        <f>+VLOOKUP(E188,[1]base!D:E,2,0)</f>
        <v>13</v>
      </c>
      <c r="Z188" s="29">
        <f t="shared" si="18"/>
        <v>2</v>
      </c>
      <c r="AA188" s="29">
        <f t="shared" si="19"/>
        <v>0.13333333333333339</v>
      </c>
      <c r="AB188" s="29">
        <f>+VLOOKUP(E188,[1]base!M:N,2,0)</f>
        <v>57</v>
      </c>
      <c r="AC188" s="29">
        <f>+VLOOKUP(E188,[1]base!M:Q,5,0)</f>
        <v>150.71428571428572</v>
      </c>
      <c r="AD188" s="30">
        <f>+VLOOKUP(E188,[1]base!M:P,4,0)</f>
        <v>3.3898305084745763E-2</v>
      </c>
      <c r="AE188" s="31">
        <f t="shared" si="20"/>
        <v>15.167796610169489</v>
      </c>
    </row>
    <row r="189" spans="1:31" s="32" customFormat="1" x14ac:dyDescent="0.25">
      <c r="A189" s="12" t="s">
        <v>1292</v>
      </c>
      <c r="B189" s="13">
        <v>46269.281944444447</v>
      </c>
      <c r="C189" s="12" t="s">
        <v>398</v>
      </c>
      <c r="D189" s="12" t="s">
        <v>267</v>
      </c>
      <c r="E189" s="26" t="str">
        <f t="shared" si="14"/>
        <v>EC40104</v>
      </c>
      <c r="F189" s="27" t="str">
        <f t="shared" si="15"/>
        <v>NOIR</v>
      </c>
      <c r="G189" s="27">
        <f>+VLOOKUP(F189,[1]base!A:B,2,0)</f>
        <v>37</v>
      </c>
      <c r="H189" s="12">
        <v>6</v>
      </c>
      <c r="I189" s="12">
        <v>6</v>
      </c>
      <c r="J189" s="14"/>
      <c r="K189" s="14" t="s">
        <v>61</v>
      </c>
      <c r="L189" s="12" t="s">
        <v>1314</v>
      </c>
      <c r="M189" s="12" t="s">
        <v>150</v>
      </c>
      <c r="N189" s="12">
        <v>6</v>
      </c>
      <c r="O189" s="12">
        <v>6</v>
      </c>
      <c r="P189" s="12">
        <v>0</v>
      </c>
      <c r="Q189" s="16">
        <v>15</v>
      </c>
      <c r="R189" s="16">
        <v>0</v>
      </c>
      <c r="S189" s="16"/>
      <c r="T189" s="28">
        <v>6</v>
      </c>
      <c r="U189" s="28"/>
      <c r="V189" s="29">
        <f>+VLOOKUP(E189,[1]base!D:K,8,0)</f>
        <v>5.7004999999999999</v>
      </c>
      <c r="W189" s="29">
        <f t="shared" si="16"/>
        <v>34.203000000000003</v>
      </c>
      <c r="X189" s="29">
        <f t="shared" si="17"/>
        <v>1.778556</v>
      </c>
      <c r="Y189" s="29">
        <f>+VLOOKUP(E189,[1]base!D:E,2,0)</f>
        <v>13</v>
      </c>
      <c r="Z189" s="29">
        <f t="shared" si="18"/>
        <v>1</v>
      </c>
      <c r="AA189" s="29">
        <f t="shared" si="19"/>
        <v>6.6666666666666693E-2</v>
      </c>
      <c r="AB189" s="29">
        <f>+VLOOKUP(E189,[1]base!M:N,2,0)</f>
        <v>57</v>
      </c>
      <c r="AC189" s="29">
        <f>+VLOOKUP(E189,[1]base!M:Q,5,0)</f>
        <v>150.71428571428572</v>
      </c>
      <c r="AD189" s="30">
        <f>+VLOOKUP(E189,[1]base!M:P,4,0)</f>
        <v>3.3898305084745763E-2</v>
      </c>
      <c r="AE189" s="31">
        <f t="shared" si="20"/>
        <v>15.167796610169489</v>
      </c>
    </row>
    <row r="190" spans="1:31" s="32" customFormat="1" x14ac:dyDescent="0.25">
      <c r="A190" s="12" t="s">
        <v>1153</v>
      </c>
      <c r="B190" s="13">
        <v>46267.412812499999</v>
      </c>
      <c r="C190" s="12" t="s">
        <v>522</v>
      </c>
      <c r="D190" s="12" t="s">
        <v>1163</v>
      </c>
      <c r="E190" s="26" t="str">
        <f t="shared" si="14"/>
        <v>EC40104</v>
      </c>
      <c r="F190" s="27" t="str">
        <f t="shared" si="15"/>
        <v>DARK</v>
      </c>
      <c r="G190" s="27">
        <f>+VLOOKUP(F190,[1]base!A:B,2,0)</f>
        <v>38</v>
      </c>
      <c r="H190" s="12">
        <v>1</v>
      </c>
      <c r="I190" s="12">
        <v>1</v>
      </c>
      <c r="J190" s="14"/>
      <c r="K190" s="14" t="s">
        <v>61</v>
      </c>
      <c r="L190" s="12" t="s">
        <v>1169</v>
      </c>
      <c r="M190" s="12" t="s">
        <v>150</v>
      </c>
      <c r="N190" s="12">
        <v>1</v>
      </c>
      <c r="O190" s="12">
        <v>1</v>
      </c>
      <c r="P190" s="12">
        <v>0</v>
      </c>
      <c r="Q190" s="16">
        <v>1</v>
      </c>
      <c r="R190" s="16">
        <v>0</v>
      </c>
      <c r="S190" s="16"/>
      <c r="T190" s="28">
        <v>1</v>
      </c>
      <c r="U190" s="28"/>
      <c r="V190" s="29">
        <f>+VLOOKUP(E190,[1]base!D:K,8,0)</f>
        <v>5.7004999999999999</v>
      </c>
      <c r="W190" s="29">
        <f t="shared" si="16"/>
        <v>5.7004999999999999</v>
      </c>
      <c r="X190" s="29">
        <f t="shared" si="17"/>
        <v>0.29642599999999997</v>
      </c>
      <c r="Y190" s="29">
        <f>+VLOOKUP(E190,[1]base!D:E,2,0)</f>
        <v>13</v>
      </c>
      <c r="Z190" s="29">
        <f t="shared" si="18"/>
        <v>1</v>
      </c>
      <c r="AA190" s="29">
        <f t="shared" si="19"/>
        <v>6.6666666666666693E-2</v>
      </c>
      <c r="AB190" s="29">
        <f>+VLOOKUP(E190,[1]base!M:N,2,0)</f>
        <v>57</v>
      </c>
      <c r="AC190" s="29">
        <f>+VLOOKUP(E190,[1]base!M:Q,5,0)</f>
        <v>150.71428571428572</v>
      </c>
      <c r="AD190" s="30">
        <f>+VLOOKUP(E190,[1]base!M:P,4,0)</f>
        <v>3.3898305084745763E-2</v>
      </c>
      <c r="AE190" s="31">
        <f t="shared" si="20"/>
        <v>15.167796610169489</v>
      </c>
    </row>
    <row r="191" spans="1:31" s="32" customFormat="1" x14ac:dyDescent="0.25">
      <c r="A191" s="12" t="s">
        <v>1570</v>
      </c>
      <c r="B191" s="13">
        <v>46274.654050925928</v>
      </c>
      <c r="C191" s="12" t="s">
        <v>24</v>
      </c>
      <c r="D191" s="12" t="s">
        <v>1606</v>
      </c>
      <c r="E191" s="26" t="str">
        <f t="shared" si="14"/>
        <v>EC40107</v>
      </c>
      <c r="F191" s="27" t="str">
        <f t="shared" si="15"/>
        <v>CHPG</v>
      </c>
      <c r="G191" s="27">
        <f>+VLOOKUP(F191,[1]base!A:B,2,0)</f>
        <v>11</v>
      </c>
      <c r="H191" s="12">
        <v>1</v>
      </c>
      <c r="I191" s="12">
        <v>1</v>
      </c>
      <c r="J191" s="14"/>
      <c r="K191" s="14" t="s">
        <v>61</v>
      </c>
      <c r="L191" s="12" t="s">
        <v>1620</v>
      </c>
      <c r="M191" s="12" t="s">
        <v>150</v>
      </c>
      <c r="N191" s="12">
        <v>1</v>
      </c>
      <c r="O191" s="12">
        <v>1</v>
      </c>
      <c r="P191" s="12">
        <v>0</v>
      </c>
      <c r="Q191" s="16">
        <v>1</v>
      </c>
      <c r="R191" s="16">
        <v>0</v>
      </c>
      <c r="S191" s="16"/>
      <c r="T191" s="28">
        <v>1</v>
      </c>
      <c r="U191" s="28"/>
      <c r="V191" s="29">
        <f>+VLOOKUP(E191,[1]base!D:K,8,0)</f>
        <v>0.67599999999999993</v>
      </c>
      <c r="W191" s="29">
        <f t="shared" si="16"/>
        <v>0.67599999999999993</v>
      </c>
      <c r="X191" s="29">
        <f t="shared" si="17"/>
        <v>3.5151999999999996E-2</v>
      </c>
      <c r="Y191" s="29">
        <f>+VLOOKUP(E191,[1]base!D:E,2,0)</f>
        <v>20</v>
      </c>
      <c r="Z191" s="29">
        <f t="shared" si="18"/>
        <v>1</v>
      </c>
      <c r="AA191" s="29">
        <f t="shared" si="19"/>
        <v>6.6666666666666693E-2</v>
      </c>
      <c r="AB191" s="29">
        <f>+VLOOKUP(E191,[1]base!M:N,2,0)</f>
        <v>5246</v>
      </c>
      <c r="AC191" s="29">
        <f>+VLOOKUP(E191,[1]base!M:Q,5,0)</f>
        <v>423</v>
      </c>
      <c r="AD191" s="30">
        <f>+VLOOKUP(E191,[1]base!M:P,4,0)</f>
        <v>8.8603196664350237E-2</v>
      </c>
      <c r="AE191" s="31">
        <f t="shared" si="20"/>
        <v>1108.9876302988187</v>
      </c>
    </row>
    <row r="192" spans="1:31" x14ac:dyDescent="0.25">
      <c r="A192" s="34" t="s">
        <v>724</v>
      </c>
      <c r="B192" s="35">
        <v>46255.604097222225</v>
      </c>
      <c r="C192" s="34" t="s">
        <v>156</v>
      </c>
      <c r="D192" s="34" t="s">
        <v>726</v>
      </c>
      <c r="E192" s="26" t="str">
        <f t="shared" si="14"/>
        <v>EC40107</v>
      </c>
      <c r="F192" s="27" t="str">
        <f t="shared" si="15"/>
        <v>NOIR</v>
      </c>
      <c r="G192" s="27">
        <f>+VLOOKUP(F192,[1]base!A:B,2,0)</f>
        <v>37</v>
      </c>
      <c r="H192" s="34">
        <v>10</v>
      </c>
      <c r="I192" s="34">
        <v>10</v>
      </c>
      <c r="J192" s="36"/>
      <c r="K192" s="36" t="s">
        <v>61</v>
      </c>
      <c r="L192" s="34" t="s">
        <v>728</v>
      </c>
      <c r="M192" s="34" t="s">
        <v>150</v>
      </c>
      <c r="N192" s="34">
        <v>10</v>
      </c>
      <c r="O192" s="34">
        <v>10</v>
      </c>
      <c r="P192" s="34">
        <v>0</v>
      </c>
      <c r="Q192" s="37">
        <v>10</v>
      </c>
      <c r="R192" s="37">
        <v>6</v>
      </c>
      <c r="S192" s="37"/>
      <c r="T192" s="38">
        <v>4</v>
      </c>
      <c r="U192" s="38">
        <v>6</v>
      </c>
      <c r="V192" s="29">
        <f>+VLOOKUP(E192,[1]base!D:K,8,0)</f>
        <v>0.67599999999999993</v>
      </c>
      <c r="W192" s="29">
        <f t="shared" si="16"/>
        <v>6.76</v>
      </c>
      <c r="X192" s="29">
        <f t="shared" si="17"/>
        <v>0.35152</v>
      </c>
      <c r="Y192" s="29">
        <f>+VLOOKUP(E192,[1]base!D:E,2,0)</f>
        <v>20</v>
      </c>
      <c r="Z192" s="29">
        <f t="shared" si="18"/>
        <v>1</v>
      </c>
      <c r="AA192" s="29">
        <f t="shared" si="19"/>
        <v>6.6666666666666693E-2</v>
      </c>
      <c r="AB192" s="29">
        <f>+VLOOKUP(E192,[1]base!M:N,2,0)</f>
        <v>5246</v>
      </c>
      <c r="AC192" s="29">
        <f>+VLOOKUP(E192,[1]base!M:Q,5,0)</f>
        <v>423</v>
      </c>
      <c r="AD192" s="30">
        <f>+VLOOKUP(E192,[1]base!M:P,4,0)</f>
        <v>8.8603196664350237E-2</v>
      </c>
      <c r="AE192" s="31">
        <f t="shared" si="20"/>
        <v>1108.9876302988187</v>
      </c>
    </row>
    <row r="193" spans="1:31" s="32" customFormat="1" x14ac:dyDescent="0.25">
      <c r="A193" s="12" t="s">
        <v>732</v>
      </c>
      <c r="B193" s="13">
        <v>46256.374837962961</v>
      </c>
      <c r="C193" s="12" t="s">
        <v>258</v>
      </c>
      <c r="D193" s="12" t="s">
        <v>726</v>
      </c>
      <c r="E193" s="26" t="str">
        <f t="shared" si="14"/>
        <v>EC40107</v>
      </c>
      <c r="F193" s="27" t="str">
        <f t="shared" si="15"/>
        <v>NOIR</v>
      </c>
      <c r="G193" s="27">
        <f>+VLOOKUP(F193,[1]base!A:B,2,0)</f>
        <v>37</v>
      </c>
      <c r="H193" s="12">
        <v>4</v>
      </c>
      <c r="I193" s="12">
        <v>4</v>
      </c>
      <c r="J193" s="14"/>
      <c r="K193" s="14" t="s">
        <v>61</v>
      </c>
      <c r="L193" s="12" t="s">
        <v>737</v>
      </c>
      <c r="M193" s="12" t="s">
        <v>150</v>
      </c>
      <c r="N193" s="12">
        <v>4</v>
      </c>
      <c r="O193" s="12">
        <v>4</v>
      </c>
      <c r="P193" s="12">
        <v>0</v>
      </c>
      <c r="Q193" s="16">
        <v>4</v>
      </c>
      <c r="R193" s="16">
        <v>6</v>
      </c>
      <c r="S193" s="16"/>
      <c r="T193" s="28">
        <v>4</v>
      </c>
      <c r="U193" s="28"/>
      <c r="V193" s="29">
        <f>+VLOOKUP(E193,[1]base!D:K,8,0)</f>
        <v>0.67599999999999993</v>
      </c>
      <c r="W193" s="29">
        <f t="shared" si="16"/>
        <v>2.7039999999999997</v>
      </c>
      <c r="X193" s="29">
        <f t="shared" si="17"/>
        <v>0.14060799999999998</v>
      </c>
      <c r="Y193" s="29">
        <f>+VLOOKUP(E193,[1]base!D:E,2,0)</f>
        <v>20</v>
      </c>
      <c r="Z193" s="29">
        <f t="shared" si="18"/>
        <v>1</v>
      </c>
      <c r="AA193" s="29">
        <f t="shared" si="19"/>
        <v>6.6666666666666693E-2</v>
      </c>
      <c r="AB193" s="29">
        <f>+VLOOKUP(E193,[1]base!M:N,2,0)</f>
        <v>5246</v>
      </c>
      <c r="AC193" s="29">
        <f>+VLOOKUP(E193,[1]base!M:Q,5,0)</f>
        <v>423</v>
      </c>
      <c r="AD193" s="30">
        <f>+VLOOKUP(E193,[1]base!M:P,4,0)</f>
        <v>8.8603196664350237E-2</v>
      </c>
      <c r="AE193" s="31">
        <f t="shared" si="20"/>
        <v>1108.9876302988187</v>
      </c>
    </row>
    <row r="194" spans="1:31" s="32" customFormat="1" x14ac:dyDescent="0.25">
      <c r="A194" s="12"/>
      <c r="B194" s="13"/>
      <c r="C194" s="12"/>
      <c r="D194" s="12" t="s">
        <v>354</v>
      </c>
      <c r="E194" s="26" t="str">
        <f t="shared" ref="E194:E257" si="21">_xlfn.TEXTBEFORE(D194, "-", -1, 1, , D194)</f>
        <v>EC40112</v>
      </c>
      <c r="F194" s="27" t="str">
        <f t="shared" ref="F194:F257" si="22">_xlfn.TEXTAFTER(D194, "-", -1, 1, , "")</f>
        <v>BLC</v>
      </c>
      <c r="G194" s="27">
        <f>+VLOOKUP(F194,[1]base!A:B,2,0)</f>
        <v>1</v>
      </c>
      <c r="H194" s="12">
        <v>12</v>
      </c>
      <c r="I194" s="12">
        <v>2</v>
      </c>
      <c r="J194" s="14">
        <v>-1</v>
      </c>
      <c r="K194" s="14" t="s">
        <v>26</v>
      </c>
      <c r="L194" s="12" t="s">
        <v>27</v>
      </c>
      <c r="M194" s="12" t="s">
        <v>28</v>
      </c>
      <c r="N194" s="12"/>
      <c r="O194" s="12"/>
      <c r="P194" s="12"/>
      <c r="Q194" s="16">
        <v>0</v>
      </c>
      <c r="R194" s="16">
        <v>0</v>
      </c>
      <c r="S194" s="16"/>
      <c r="T194" s="33">
        <v>16</v>
      </c>
      <c r="U194" s="33"/>
      <c r="V194" s="29">
        <f>+VLOOKUP(E194,[1]base!D:K,8,0)</f>
        <v>4.16</v>
      </c>
      <c r="W194" s="29">
        <f t="shared" ref="W194:W257" si="23">(T194+U194)*V194</f>
        <v>66.56</v>
      </c>
      <c r="X194" s="29">
        <f t="shared" ref="X194:X257" si="24">+W194*0.052</f>
        <v>3.4611199999999998</v>
      </c>
      <c r="Y194" s="29">
        <f>+VLOOKUP(E194,[1]base!D:E,2,0)</f>
        <v>14</v>
      </c>
      <c r="Z194" s="29">
        <f t="shared" ref="Z194:Z257" si="25">ROUNDUP(T194/Y194,0)</f>
        <v>2</v>
      </c>
      <c r="AA194" s="29">
        <f t="shared" ref="AA194:AA257" si="26">+Z194*0.0666666666666667</f>
        <v>0.13333333333333339</v>
      </c>
      <c r="AB194" s="29">
        <f>+VLOOKUP(E194,[1]base!M:N,2,0)</f>
        <v>19</v>
      </c>
      <c r="AC194" s="29">
        <f>+VLOOKUP(E194,[1]base!M:Q,5,0)</f>
        <v>268.39999999999998</v>
      </c>
      <c r="AD194" s="30">
        <f>+VLOOKUP(E194,[1]base!M:P,4,0)</f>
        <v>0.32142857142857145</v>
      </c>
      <c r="AE194" s="31">
        <f t="shared" ref="AE194:AE257" si="27">+AB194*(30%-AD194)</f>
        <v>-0.40714285714285781</v>
      </c>
    </row>
    <row r="195" spans="1:31" s="32" customFormat="1" x14ac:dyDescent="0.25">
      <c r="A195" s="12" t="s">
        <v>477</v>
      </c>
      <c r="B195" s="13">
        <v>46228.328831018516</v>
      </c>
      <c r="C195" s="12" t="s">
        <v>266</v>
      </c>
      <c r="D195" s="12" t="s">
        <v>424</v>
      </c>
      <c r="E195" s="26" t="str">
        <f t="shared" si="21"/>
        <v>EC40112</v>
      </c>
      <c r="F195" s="27" t="str">
        <f t="shared" si="22"/>
        <v>ACAJOU</v>
      </c>
      <c r="G195" s="27">
        <f>+VLOOKUP(F195,[1]base!A:B,2,0)</f>
        <v>15.1</v>
      </c>
      <c r="H195" s="12">
        <v>6</v>
      </c>
      <c r="I195" s="12">
        <v>6</v>
      </c>
      <c r="J195" s="14"/>
      <c r="K195" s="14" t="s">
        <v>61</v>
      </c>
      <c r="L195" s="12" t="s">
        <v>482</v>
      </c>
      <c r="M195" s="12" t="s">
        <v>150</v>
      </c>
      <c r="N195" s="12">
        <v>6</v>
      </c>
      <c r="O195" s="12">
        <v>6</v>
      </c>
      <c r="P195" s="12">
        <v>0</v>
      </c>
      <c r="Q195" s="16">
        <v>6</v>
      </c>
      <c r="R195" s="16">
        <v>0</v>
      </c>
      <c r="S195" s="16"/>
      <c r="T195" s="28">
        <v>6</v>
      </c>
      <c r="U195" s="28"/>
      <c r="V195" s="29">
        <f>+VLOOKUP(E195,[1]base!D:K,8,0)</f>
        <v>4.16</v>
      </c>
      <c r="W195" s="29">
        <f t="shared" si="23"/>
        <v>24.96</v>
      </c>
      <c r="X195" s="29">
        <f t="shared" si="24"/>
        <v>1.29792</v>
      </c>
      <c r="Y195" s="29">
        <f>+VLOOKUP(E195,[1]base!D:E,2,0)</f>
        <v>14</v>
      </c>
      <c r="Z195" s="29">
        <f t="shared" si="25"/>
        <v>1</v>
      </c>
      <c r="AA195" s="29">
        <f t="shared" si="26"/>
        <v>6.6666666666666693E-2</v>
      </c>
      <c r="AB195" s="29">
        <f>+VLOOKUP(E195,[1]base!M:N,2,0)</f>
        <v>19</v>
      </c>
      <c r="AC195" s="29">
        <f>+VLOOKUP(E195,[1]base!M:Q,5,0)</f>
        <v>268.39999999999998</v>
      </c>
      <c r="AD195" s="30">
        <f>+VLOOKUP(E195,[1]base!M:P,4,0)</f>
        <v>0.32142857142857145</v>
      </c>
      <c r="AE195" s="31">
        <f t="shared" si="27"/>
        <v>-0.40714285714285781</v>
      </c>
    </row>
    <row r="196" spans="1:31" s="32" customFormat="1" x14ac:dyDescent="0.25">
      <c r="A196" s="12" t="s">
        <v>984</v>
      </c>
      <c r="B196" s="13">
        <v>46265.500104166669</v>
      </c>
      <c r="C196" s="12" t="s">
        <v>986</v>
      </c>
      <c r="D196" s="12" t="s">
        <v>424</v>
      </c>
      <c r="E196" s="26" t="str">
        <f t="shared" si="21"/>
        <v>EC40112</v>
      </c>
      <c r="F196" s="27" t="str">
        <f t="shared" si="22"/>
        <v>ACAJOU</v>
      </c>
      <c r="G196" s="27">
        <f>+VLOOKUP(F196,[1]base!A:B,2,0)</f>
        <v>15.1</v>
      </c>
      <c r="H196" s="12">
        <v>8</v>
      </c>
      <c r="I196" s="12">
        <v>8</v>
      </c>
      <c r="J196" s="14"/>
      <c r="K196" s="14" t="s">
        <v>61</v>
      </c>
      <c r="L196" s="12" t="s">
        <v>1002</v>
      </c>
      <c r="M196" s="12" t="s">
        <v>150</v>
      </c>
      <c r="N196" s="12">
        <v>8</v>
      </c>
      <c r="O196" s="12">
        <v>8</v>
      </c>
      <c r="P196" s="12">
        <v>0</v>
      </c>
      <c r="Q196" s="16">
        <v>8</v>
      </c>
      <c r="R196" s="16">
        <v>0</v>
      </c>
      <c r="S196" s="16"/>
      <c r="T196" s="28">
        <v>8</v>
      </c>
      <c r="U196" s="28"/>
      <c r="V196" s="29">
        <f>+VLOOKUP(E196,[1]base!D:K,8,0)</f>
        <v>4.16</v>
      </c>
      <c r="W196" s="29">
        <f t="shared" si="23"/>
        <v>33.28</v>
      </c>
      <c r="X196" s="29">
        <f t="shared" si="24"/>
        <v>1.7305599999999999</v>
      </c>
      <c r="Y196" s="29">
        <f>+VLOOKUP(E196,[1]base!D:E,2,0)</f>
        <v>14</v>
      </c>
      <c r="Z196" s="29">
        <f t="shared" si="25"/>
        <v>1</v>
      </c>
      <c r="AA196" s="29">
        <f t="shared" si="26"/>
        <v>6.6666666666666693E-2</v>
      </c>
      <c r="AB196" s="29">
        <f>+VLOOKUP(E196,[1]base!M:N,2,0)</f>
        <v>19</v>
      </c>
      <c r="AC196" s="29">
        <f>+VLOOKUP(E196,[1]base!M:Q,5,0)</f>
        <v>268.39999999999998</v>
      </c>
      <c r="AD196" s="30">
        <f>+VLOOKUP(E196,[1]base!M:P,4,0)</f>
        <v>0.32142857142857145</v>
      </c>
      <c r="AE196" s="31">
        <f t="shared" si="27"/>
        <v>-0.40714285714285781</v>
      </c>
    </row>
    <row r="197" spans="1:31" s="32" customFormat="1" x14ac:dyDescent="0.25">
      <c r="A197" s="12" t="s">
        <v>1549</v>
      </c>
      <c r="B197" s="13">
        <v>46274.600347222222</v>
      </c>
      <c r="C197" s="12" t="s">
        <v>465</v>
      </c>
      <c r="D197" s="12" t="s">
        <v>550</v>
      </c>
      <c r="E197" s="26" t="str">
        <f t="shared" si="21"/>
        <v>EC40112</v>
      </c>
      <c r="F197" s="27" t="str">
        <f t="shared" si="22"/>
        <v>GRIS</v>
      </c>
      <c r="G197" s="27">
        <f>+VLOOKUP(F197,[1]base!A:B,2,0)</f>
        <v>22</v>
      </c>
      <c r="H197" s="12">
        <v>12</v>
      </c>
      <c r="I197" s="12">
        <v>12</v>
      </c>
      <c r="J197" s="14"/>
      <c r="K197" s="14" t="s">
        <v>61</v>
      </c>
      <c r="L197" s="12" t="s">
        <v>1552</v>
      </c>
      <c r="M197" s="12" t="s">
        <v>150</v>
      </c>
      <c r="N197" s="12">
        <v>12</v>
      </c>
      <c r="O197" s="12">
        <v>12</v>
      </c>
      <c r="P197" s="12">
        <v>0</v>
      </c>
      <c r="Q197" s="16">
        <v>12</v>
      </c>
      <c r="R197" s="16">
        <v>0</v>
      </c>
      <c r="S197" s="16"/>
      <c r="T197" s="28">
        <v>12</v>
      </c>
      <c r="U197" s="28"/>
      <c r="V197" s="29">
        <f>+VLOOKUP(E197,[1]base!D:K,8,0)</f>
        <v>4.16</v>
      </c>
      <c r="W197" s="29">
        <f t="shared" si="23"/>
        <v>49.92</v>
      </c>
      <c r="X197" s="29">
        <f t="shared" si="24"/>
        <v>2.5958399999999999</v>
      </c>
      <c r="Y197" s="29">
        <f>+VLOOKUP(E197,[1]base!D:E,2,0)</f>
        <v>14</v>
      </c>
      <c r="Z197" s="29">
        <f t="shared" si="25"/>
        <v>1</v>
      </c>
      <c r="AA197" s="29">
        <f t="shared" si="26"/>
        <v>6.6666666666666693E-2</v>
      </c>
      <c r="AB197" s="29">
        <f>+VLOOKUP(E197,[1]base!M:N,2,0)</f>
        <v>19</v>
      </c>
      <c r="AC197" s="29">
        <f>+VLOOKUP(E197,[1]base!M:Q,5,0)</f>
        <v>268.39999999999998</v>
      </c>
      <c r="AD197" s="30">
        <f>+VLOOKUP(E197,[1]base!M:P,4,0)</f>
        <v>0.32142857142857145</v>
      </c>
      <c r="AE197" s="31">
        <f t="shared" si="27"/>
        <v>-0.40714285714285781</v>
      </c>
    </row>
    <row r="198" spans="1:31" s="32" customFormat="1" x14ac:dyDescent="0.25">
      <c r="A198" s="12"/>
      <c r="B198" s="13"/>
      <c r="C198" s="12"/>
      <c r="D198" s="12" t="s">
        <v>374</v>
      </c>
      <c r="E198" s="26" t="str">
        <f t="shared" si="21"/>
        <v>EC40121</v>
      </c>
      <c r="F198" s="27" t="str">
        <f t="shared" si="22"/>
        <v>BLC</v>
      </c>
      <c r="G198" s="27">
        <f>+VLOOKUP(F198,[1]base!A:B,2,0)</f>
        <v>1</v>
      </c>
      <c r="H198" s="12">
        <v>40</v>
      </c>
      <c r="I198" s="12">
        <v>40</v>
      </c>
      <c r="J198" s="14"/>
      <c r="K198" s="14" t="s">
        <v>26</v>
      </c>
      <c r="L198" s="12" t="s">
        <v>27</v>
      </c>
      <c r="M198" s="12" t="s">
        <v>28</v>
      </c>
      <c r="N198" s="12"/>
      <c r="O198" s="12"/>
      <c r="P198" s="12"/>
      <c r="Q198" s="16">
        <v>0</v>
      </c>
      <c r="R198" s="16">
        <v>0</v>
      </c>
      <c r="S198" s="16"/>
      <c r="T198" s="33">
        <v>27</v>
      </c>
      <c r="U198" s="33"/>
      <c r="V198" s="29">
        <f>+VLOOKUP(E198,[1]base!D:K,8,0)</f>
        <v>8.7554999999999996</v>
      </c>
      <c r="W198" s="29">
        <f t="shared" si="23"/>
        <v>236.39849999999998</v>
      </c>
      <c r="X198" s="29">
        <f t="shared" si="24"/>
        <v>12.292721999999999</v>
      </c>
      <c r="Y198" s="29">
        <f>+VLOOKUP(E198,[1]base!D:E,2,0)</f>
        <v>9</v>
      </c>
      <c r="Z198" s="29">
        <f t="shared" si="25"/>
        <v>3</v>
      </c>
      <c r="AA198" s="29">
        <f t="shared" si="26"/>
        <v>0.20000000000000007</v>
      </c>
      <c r="AB198" s="29">
        <f>+VLOOKUP(E198,[1]base!M:N,2,0)</f>
        <v>91</v>
      </c>
      <c r="AC198" s="29">
        <f>+VLOOKUP(E198,[1]base!M:Q,5,0)</f>
        <v>272.25</v>
      </c>
      <c r="AD198" s="30">
        <f>+VLOOKUP(E198,[1]base!M:P,4,0)</f>
        <v>0</v>
      </c>
      <c r="AE198" s="31">
        <f t="shared" si="27"/>
        <v>27.3</v>
      </c>
    </row>
    <row r="199" spans="1:31" s="32" customFormat="1" x14ac:dyDescent="0.25">
      <c r="A199" s="12" t="s">
        <v>984</v>
      </c>
      <c r="B199" s="13">
        <v>46265.500104166669</v>
      </c>
      <c r="C199" s="12" t="s">
        <v>986</v>
      </c>
      <c r="D199" s="12" t="s">
        <v>988</v>
      </c>
      <c r="E199" s="26" t="str">
        <f t="shared" si="21"/>
        <v>EC40121</v>
      </c>
      <c r="F199" s="27" t="str">
        <f t="shared" si="22"/>
        <v>ACAJOU</v>
      </c>
      <c r="G199" s="27">
        <f>+VLOOKUP(F199,[1]base!A:B,2,0)</f>
        <v>15.1</v>
      </c>
      <c r="H199" s="12">
        <v>4</v>
      </c>
      <c r="I199" s="12">
        <v>4</v>
      </c>
      <c r="J199" s="14"/>
      <c r="K199" s="14" t="s">
        <v>61</v>
      </c>
      <c r="L199" s="12" t="s">
        <v>998</v>
      </c>
      <c r="M199" s="12" t="s">
        <v>150</v>
      </c>
      <c r="N199" s="12">
        <v>4</v>
      </c>
      <c r="O199" s="12">
        <v>4</v>
      </c>
      <c r="P199" s="12">
        <v>0</v>
      </c>
      <c r="Q199" s="16">
        <v>4</v>
      </c>
      <c r="R199" s="16">
        <v>0</v>
      </c>
      <c r="S199" s="16"/>
      <c r="T199" s="28">
        <v>4</v>
      </c>
      <c r="U199" s="28"/>
      <c r="V199" s="29">
        <f>+VLOOKUP(E199,[1]base!D:K,8,0)</f>
        <v>8.7554999999999996</v>
      </c>
      <c r="W199" s="29">
        <f t="shared" si="23"/>
        <v>35.021999999999998</v>
      </c>
      <c r="X199" s="29">
        <f t="shared" si="24"/>
        <v>1.8211439999999999</v>
      </c>
      <c r="Y199" s="29">
        <f>+VLOOKUP(E199,[1]base!D:E,2,0)</f>
        <v>9</v>
      </c>
      <c r="Z199" s="29">
        <f t="shared" si="25"/>
        <v>1</v>
      </c>
      <c r="AA199" s="29">
        <f t="shared" si="26"/>
        <v>6.6666666666666693E-2</v>
      </c>
      <c r="AB199" s="29">
        <f>+VLOOKUP(E199,[1]base!M:N,2,0)</f>
        <v>91</v>
      </c>
      <c r="AC199" s="29">
        <f>+VLOOKUP(E199,[1]base!M:Q,5,0)</f>
        <v>272.25</v>
      </c>
      <c r="AD199" s="30">
        <f>+VLOOKUP(E199,[1]base!M:P,4,0)</f>
        <v>0</v>
      </c>
      <c r="AE199" s="31">
        <f t="shared" si="27"/>
        <v>27.3</v>
      </c>
    </row>
    <row r="200" spans="1:31" s="32" customFormat="1" x14ac:dyDescent="0.25">
      <c r="A200" s="12" t="s">
        <v>1197</v>
      </c>
      <c r="B200" s="13">
        <v>46267.551539351851</v>
      </c>
      <c r="C200" s="12" t="s">
        <v>24</v>
      </c>
      <c r="D200" s="12" t="s">
        <v>551</v>
      </c>
      <c r="E200" s="26" t="str">
        <f t="shared" si="21"/>
        <v>EC40121</v>
      </c>
      <c r="F200" s="27" t="str">
        <f t="shared" si="22"/>
        <v>GRIS</v>
      </c>
      <c r="G200" s="27">
        <f>+VLOOKUP(F200,[1]base!A:B,2,0)</f>
        <v>22</v>
      </c>
      <c r="H200" s="12">
        <v>20</v>
      </c>
      <c r="I200" s="12">
        <v>20</v>
      </c>
      <c r="J200" s="14"/>
      <c r="K200" s="14" t="s">
        <v>61</v>
      </c>
      <c r="L200" s="12" t="s">
        <v>1206</v>
      </c>
      <c r="M200" s="12" t="s">
        <v>150</v>
      </c>
      <c r="N200" s="12">
        <v>20</v>
      </c>
      <c r="O200" s="12">
        <v>20</v>
      </c>
      <c r="P200" s="12">
        <v>0</v>
      </c>
      <c r="Q200" s="16">
        <v>20</v>
      </c>
      <c r="R200" s="16">
        <v>0</v>
      </c>
      <c r="S200" s="16"/>
      <c r="T200" s="28">
        <v>20</v>
      </c>
      <c r="U200" s="28"/>
      <c r="V200" s="29">
        <f>+VLOOKUP(E200,[1]base!D:K,8,0)</f>
        <v>8.7554999999999996</v>
      </c>
      <c r="W200" s="29">
        <f t="shared" si="23"/>
        <v>175.10999999999999</v>
      </c>
      <c r="X200" s="29">
        <f t="shared" si="24"/>
        <v>9.105719999999998</v>
      </c>
      <c r="Y200" s="29">
        <f>+VLOOKUP(E200,[1]base!D:E,2,0)</f>
        <v>9</v>
      </c>
      <c r="Z200" s="29">
        <f t="shared" si="25"/>
        <v>3</v>
      </c>
      <c r="AA200" s="29">
        <f t="shared" si="26"/>
        <v>0.20000000000000007</v>
      </c>
      <c r="AB200" s="29">
        <f>+VLOOKUP(E200,[1]base!M:N,2,0)</f>
        <v>91</v>
      </c>
      <c r="AC200" s="29">
        <f>+VLOOKUP(E200,[1]base!M:Q,5,0)</f>
        <v>272.25</v>
      </c>
      <c r="AD200" s="30">
        <f>+VLOOKUP(E200,[1]base!M:P,4,0)</f>
        <v>0</v>
      </c>
      <c r="AE200" s="31">
        <f t="shared" si="27"/>
        <v>27.3</v>
      </c>
    </row>
    <row r="201" spans="1:31" s="32" customFormat="1" x14ac:dyDescent="0.25">
      <c r="A201" s="12" t="s">
        <v>1492</v>
      </c>
      <c r="B201" s="13">
        <v>46273.61005787037</v>
      </c>
      <c r="C201" s="12" t="s">
        <v>266</v>
      </c>
      <c r="D201" s="12" t="s">
        <v>551</v>
      </c>
      <c r="E201" s="26" t="str">
        <f t="shared" si="21"/>
        <v>EC40121</v>
      </c>
      <c r="F201" s="27" t="str">
        <f t="shared" si="22"/>
        <v>GRIS</v>
      </c>
      <c r="G201" s="27">
        <f>+VLOOKUP(F201,[1]base!A:B,2,0)</f>
        <v>22</v>
      </c>
      <c r="H201" s="12">
        <v>4</v>
      </c>
      <c r="I201" s="12">
        <v>4</v>
      </c>
      <c r="J201" s="14"/>
      <c r="K201" s="14" t="s">
        <v>61</v>
      </c>
      <c r="L201" s="12" t="s">
        <v>1506</v>
      </c>
      <c r="M201" s="12" t="s">
        <v>150</v>
      </c>
      <c r="N201" s="12">
        <v>4</v>
      </c>
      <c r="O201" s="12">
        <v>4</v>
      </c>
      <c r="P201" s="12">
        <v>0</v>
      </c>
      <c r="Q201" s="16">
        <v>4</v>
      </c>
      <c r="R201" s="16">
        <v>0</v>
      </c>
      <c r="S201" s="16"/>
      <c r="T201" s="28">
        <v>4</v>
      </c>
      <c r="U201" s="28"/>
      <c r="V201" s="29">
        <f>+VLOOKUP(E201,[1]base!D:K,8,0)</f>
        <v>8.7554999999999996</v>
      </c>
      <c r="W201" s="29">
        <f t="shared" si="23"/>
        <v>35.021999999999998</v>
      </c>
      <c r="X201" s="29">
        <f t="shared" si="24"/>
        <v>1.8211439999999999</v>
      </c>
      <c r="Y201" s="29">
        <f>+VLOOKUP(E201,[1]base!D:E,2,0)</f>
        <v>9</v>
      </c>
      <c r="Z201" s="29">
        <f t="shared" si="25"/>
        <v>1</v>
      </c>
      <c r="AA201" s="29">
        <f t="shared" si="26"/>
        <v>6.6666666666666693E-2</v>
      </c>
      <c r="AB201" s="29">
        <f>+VLOOKUP(E201,[1]base!M:N,2,0)</f>
        <v>91</v>
      </c>
      <c r="AC201" s="29">
        <f>+VLOOKUP(E201,[1]base!M:Q,5,0)</f>
        <v>272.25</v>
      </c>
      <c r="AD201" s="30">
        <f>+VLOOKUP(E201,[1]base!M:P,4,0)</f>
        <v>0</v>
      </c>
      <c r="AE201" s="31">
        <f t="shared" si="27"/>
        <v>27.3</v>
      </c>
    </row>
    <row r="202" spans="1:31" s="32" customFormat="1" x14ac:dyDescent="0.25">
      <c r="A202" s="12"/>
      <c r="B202" s="13"/>
      <c r="C202" s="12"/>
      <c r="D202" s="12" t="s">
        <v>324</v>
      </c>
      <c r="E202" s="26" t="str">
        <f t="shared" si="21"/>
        <v>EC40148</v>
      </c>
      <c r="F202" s="27" t="str">
        <f t="shared" si="22"/>
        <v>BLC</v>
      </c>
      <c r="G202" s="27">
        <f>+VLOOKUP(F202,[1]base!A:B,2,0)</f>
        <v>1</v>
      </c>
      <c r="H202" s="12">
        <v>60</v>
      </c>
      <c r="I202" s="12">
        <v>18</v>
      </c>
      <c r="J202" s="14"/>
      <c r="K202" s="14" t="s">
        <v>61</v>
      </c>
      <c r="L202" s="12" t="s">
        <v>27</v>
      </c>
      <c r="M202" s="12" t="s">
        <v>28</v>
      </c>
      <c r="N202" s="12"/>
      <c r="O202" s="12"/>
      <c r="P202" s="12"/>
      <c r="Q202" s="16">
        <v>30</v>
      </c>
      <c r="R202" s="16">
        <v>4</v>
      </c>
      <c r="S202" s="16"/>
      <c r="T202" s="33">
        <v>39</v>
      </c>
      <c r="U202" s="33"/>
      <c r="V202" s="29">
        <f>+VLOOKUP(E202,[1]base!D:K,8,0)</f>
        <v>4.1989999999999998</v>
      </c>
      <c r="W202" s="29">
        <f t="shared" si="23"/>
        <v>163.761</v>
      </c>
      <c r="X202" s="29">
        <f t="shared" si="24"/>
        <v>8.5155719999999988</v>
      </c>
      <c r="Y202" s="29">
        <f>+VLOOKUP(E202,[1]base!D:E,2,0)</f>
        <v>13</v>
      </c>
      <c r="Z202" s="29">
        <f t="shared" si="25"/>
        <v>3</v>
      </c>
      <c r="AA202" s="29">
        <f t="shared" si="26"/>
        <v>0.20000000000000007</v>
      </c>
      <c r="AB202" s="29">
        <f>+VLOOKUP(E202,[1]base!M:N,2,0)</f>
        <v>180</v>
      </c>
      <c r="AC202" s="29">
        <f>+VLOOKUP(E202,[1]base!M:Q,5,0)</f>
        <v>317.5</v>
      </c>
      <c r="AD202" s="30">
        <f>+VLOOKUP(E202,[1]base!M:P,4,0)</f>
        <v>0.10891089108910891</v>
      </c>
      <c r="AE202" s="31">
        <f t="shared" si="27"/>
        <v>34.396039603960396</v>
      </c>
    </row>
    <row r="203" spans="1:31" s="32" customFormat="1" x14ac:dyDescent="0.25">
      <c r="A203" s="12" t="s">
        <v>1492</v>
      </c>
      <c r="B203" s="13">
        <v>46273.61005787037</v>
      </c>
      <c r="C203" s="12" t="s">
        <v>266</v>
      </c>
      <c r="D203" s="12" t="s">
        <v>549</v>
      </c>
      <c r="E203" s="26" t="str">
        <f t="shared" si="21"/>
        <v>EC40148</v>
      </c>
      <c r="F203" s="27" t="str">
        <f t="shared" si="22"/>
        <v>GRIS</v>
      </c>
      <c r="G203" s="27">
        <f>+VLOOKUP(F203,[1]base!A:B,2,0)</f>
        <v>22</v>
      </c>
      <c r="H203" s="12">
        <v>18</v>
      </c>
      <c r="I203" s="12">
        <v>18</v>
      </c>
      <c r="J203" s="14"/>
      <c r="K203" s="14" t="s">
        <v>61</v>
      </c>
      <c r="L203" s="12" t="s">
        <v>1505</v>
      </c>
      <c r="M203" s="12" t="s">
        <v>150</v>
      </c>
      <c r="N203" s="12">
        <v>18</v>
      </c>
      <c r="O203" s="12">
        <v>18</v>
      </c>
      <c r="P203" s="12">
        <v>0</v>
      </c>
      <c r="Q203" s="16">
        <v>18</v>
      </c>
      <c r="R203" s="16">
        <v>1</v>
      </c>
      <c r="S203" s="16"/>
      <c r="T203" s="28">
        <v>17</v>
      </c>
      <c r="U203" s="28">
        <v>1</v>
      </c>
      <c r="V203" s="29">
        <f>+VLOOKUP(E203,[1]base!D:K,8,0)</f>
        <v>4.1989999999999998</v>
      </c>
      <c r="W203" s="29">
        <f t="shared" si="23"/>
        <v>75.581999999999994</v>
      </c>
      <c r="X203" s="29">
        <f t="shared" si="24"/>
        <v>3.9302639999999993</v>
      </c>
      <c r="Y203" s="29">
        <f>+VLOOKUP(E203,[1]base!D:E,2,0)</f>
        <v>13</v>
      </c>
      <c r="Z203" s="29">
        <f t="shared" si="25"/>
        <v>2</v>
      </c>
      <c r="AA203" s="29">
        <f t="shared" si="26"/>
        <v>0.13333333333333339</v>
      </c>
      <c r="AB203" s="29">
        <f>+VLOOKUP(E203,[1]base!M:N,2,0)</f>
        <v>180</v>
      </c>
      <c r="AC203" s="29">
        <f>+VLOOKUP(E203,[1]base!M:Q,5,0)</f>
        <v>317.5</v>
      </c>
      <c r="AD203" s="30">
        <f>+VLOOKUP(E203,[1]base!M:P,4,0)</f>
        <v>0.10891089108910891</v>
      </c>
      <c r="AE203" s="31">
        <f t="shared" si="27"/>
        <v>34.396039603960396</v>
      </c>
    </row>
    <row r="204" spans="1:31" s="32" customFormat="1" x14ac:dyDescent="0.25">
      <c r="A204" s="12"/>
      <c r="B204" s="13"/>
      <c r="C204" s="12"/>
      <c r="D204" s="12" t="s">
        <v>617</v>
      </c>
      <c r="E204" s="26" t="str">
        <f t="shared" si="21"/>
        <v>EC40154</v>
      </c>
      <c r="F204" s="27" t="str">
        <f t="shared" si="22"/>
        <v>BLC</v>
      </c>
      <c r="G204" s="27">
        <f>+VLOOKUP(F204,[1]base!A:B,2,0)</f>
        <v>1</v>
      </c>
      <c r="H204" s="12">
        <v>100</v>
      </c>
      <c r="I204" s="12">
        <v>70</v>
      </c>
      <c r="J204" s="14"/>
      <c r="K204" s="14" t="s">
        <v>26</v>
      </c>
      <c r="L204" s="12" t="s">
        <v>27</v>
      </c>
      <c r="M204" s="12" t="s">
        <v>28</v>
      </c>
      <c r="N204" s="12"/>
      <c r="O204" s="12"/>
      <c r="P204" s="12"/>
      <c r="Q204" s="16">
        <v>0</v>
      </c>
      <c r="R204" s="16">
        <v>0</v>
      </c>
      <c r="S204" s="16"/>
      <c r="T204" s="33">
        <v>90</v>
      </c>
      <c r="U204" s="33"/>
      <c r="V204" s="29">
        <f>+VLOOKUP(E204,[1]base!D:K,8,0)</f>
        <v>8.7100000000000009</v>
      </c>
      <c r="W204" s="29">
        <f t="shared" si="23"/>
        <v>783.90000000000009</v>
      </c>
      <c r="X204" s="29">
        <f t="shared" si="24"/>
        <v>40.762800000000006</v>
      </c>
      <c r="Y204" s="29">
        <f>+VLOOKUP(E204,[1]base!D:E,2,0)</f>
        <v>9</v>
      </c>
      <c r="Z204" s="29">
        <f t="shared" si="25"/>
        <v>10</v>
      </c>
      <c r="AA204" s="29">
        <f t="shared" si="26"/>
        <v>0.66666666666666696</v>
      </c>
      <c r="AB204" s="29">
        <f>+VLOOKUP(E204,[1]base!M:N,2,0)</f>
        <v>287</v>
      </c>
      <c r="AC204" s="29">
        <f>+VLOOKUP(E204,[1]base!M:Q,5,0)</f>
        <v>102.83333333333333</v>
      </c>
      <c r="AD204" s="30">
        <f>+VLOOKUP(E204,[1]base!M:P,4,0)</f>
        <v>1.3745704467353952E-2</v>
      </c>
      <c r="AE204" s="31">
        <f t="shared" si="27"/>
        <v>82.15498281786941</v>
      </c>
    </row>
    <row r="205" spans="1:31" s="32" customFormat="1" x14ac:dyDescent="0.25">
      <c r="A205" s="12" t="s">
        <v>1197</v>
      </c>
      <c r="B205" s="13">
        <v>46267.551539351851</v>
      </c>
      <c r="C205" s="12" t="s">
        <v>24</v>
      </c>
      <c r="D205" s="12" t="s">
        <v>1200</v>
      </c>
      <c r="E205" s="26" t="str">
        <f t="shared" si="21"/>
        <v>EC40154</v>
      </c>
      <c r="F205" s="27" t="str">
        <f t="shared" si="22"/>
        <v>ACAJOU</v>
      </c>
      <c r="G205" s="27">
        <f>+VLOOKUP(F205,[1]base!A:B,2,0)</f>
        <v>15.1</v>
      </c>
      <c r="H205" s="12">
        <v>20</v>
      </c>
      <c r="I205" s="12">
        <v>20</v>
      </c>
      <c r="J205" s="14"/>
      <c r="K205" s="14" t="s">
        <v>61</v>
      </c>
      <c r="L205" s="12" t="s">
        <v>1209</v>
      </c>
      <c r="M205" s="12" t="s">
        <v>150</v>
      </c>
      <c r="N205" s="12">
        <v>20</v>
      </c>
      <c r="O205" s="12">
        <v>20</v>
      </c>
      <c r="P205" s="12">
        <v>0</v>
      </c>
      <c r="Q205" s="16">
        <v>30</v>
      </c>
      <c r="R205" s="16">
        <v>1</v>
      </c>
      <c r="S205" s="16"/>
      <c r="T205" s="28">
        <v>19</v>
      </c>
      <c r="U205" s="28">
        <v>1</v>
      </c>
      <c r="V205" s="29">
        <f>+VLOOKUP(E205,[1]base!D:K,8,0)</f>
        <v>8.7100000000000009</v>
      </c>
      <c r="W205" s="29">
        <f t="shared" si="23"/>
        <v>174.20000000000002</v>
      </c>
      <c r="X205" s="29">
        <f t="shared" si="24"/>
        <v>9.0584000000000007</v>
      </c>
      <c r="Y205" s="29">
        <f>+VLOOKUP(E205,[1]base!D:E,2,0)</f>
        <v>9</v>
      </c>
      <c r="Z205" s="29">
        <f t="shared" si="25"/>
        <v>3</v>
      </c>
      <c r="AA205" s="29">
        <f t="shared" si="26"/>
        <v>0.20000000000000007</v>
      </c>
      <c r="AB205" s="29">
        <f>+VLOOKUP(E205,[1]base!M:N,2,0)</f>
        <v>287</v>
      </c>
      <c r="AC205" s="29">
        <f>+VLOOKUP(E205,[1]base!M:Q,5,0)</f>
        <v>102.83333333333333</v>
      </c>
      <c r="AD205" s="30">
        <f>+VLOOKUP(E205,[1]base!M:P,4,0)</f>
        <v>1.3745704467353952E-2</v>
      </c>
      <c r="AE205" s="31">
        <f t="shared" si="27"/>
        <v>82.15498281786941</v>
      </c>
    </row>
    <row r="206" spans="1:31" s="32" customFormat="1" x14ac:dyDescent="0.25">
      <c r="A206" s="12" t="s">
        <v>1339</v>
      </c>
      <c r="B206" s="13">
        <v>46269.394733796296</v>
      </c>
      <c r="C206" s="12" t="s">
        <v>266</v>
      </c>
      <c r="D206" s="12" t="s">
        <v>1200</v>
      </c>
      <c r="E206" s="26" t="str">
        <f t="shared" si="21"/>
        <v>EC40154</v>
      </c>
      <c r="F206" s="27" t="str">
        <f t="shared" si="22"/>
        <v>ACAJOU</v>
      </c>
      <c r="G206" s="27">
        <f>+VLOOKUP(F206,[1]base!A:B,2,0)</f>
        <v>15.1</v>
      </c>
      <c r="H206" s="12">
        <v>4</v>
      </c>
      <c r="I206" s="12">
        <v>4</v>
      </c>
      <c r="J206" s="14"/>
      <c r="K206" s="14" t="s">
        <v>61</v>
      </c>
      <c r="L206" s="12" t="s">
        <v>1357</v>
      </c>
      <c r="M206" s="12" t="s">
        <v>150</v>
      </c>
      <c r="N206" s="12">
        <v>4</v>
      </c>
      <c r="O206" s="12">
        <v>4</v>
      </c>
      <c r="P206" s="12">
        <v>0</v>
      </c>
      <c r="Q206" s="16">
        <v>4</v>
      </c>
      <c r="R206" s="16">
        <v>0</v>
      </c>
      <c r="S206" s="16"/>
      <c r="T206" s="28">
        <v>4</v>
      </c>
      <c r="U206" s="28"/>
      <c r="V206" s="29">
        <f>+VLOOKUP(E206,[1]base!D:K,8,0)</f>
        <v>8.7100000000000009</v>
      </c>
      <c r="W206" s="29">
        <f t="shared" si="23"/>
        <v>34.840000000000003</v>
      </c>
      <c r="X206" s="29">
        <f t="shared" si="24"/>
        <v>1.8116800000000002</v>
      </c>
      <c r="Y206" s="29">
        <f>+VLOOKUP(E206,[1]base!D:E,2,0)</f>
        <v>9</v>
      </c>
      <c r="Z206" s="29">
        <f t="shared" si="25"/>
        <v>1</v>
      </c>
      <c r="AA206" s="29">
        <f t="shared" si="26"/>
        <v>6.6666666666666693E-2</v>
      </c>
      <c r="AB206" s="29">
        <f>+VLOOKUP(E206,[1]base!M:N,2,0)</f>
        <v>287</v>
      </c>
      <c r="AC206" s="29">
        <f>+VLOOKUP(E206,[1]base!M:Q,5,0)</f>
        <v>102.83333333333333</v>
      </c>
      <c r="AD206" s="30">
        <f>+VLOOKUP(E206,[1]base!M:P,4,0)</f>
        <v>1.3745704467353952E-2</v>
      </c>
      <c r="AE206" s="31">
        <f t="shared" si="27"/>
        <v>82.15498281786941</v>
      </c>
    </row>
    <row r="207" spans="1:31" s="32" customFormat="1" x14ac:dyDescent="0.25">
      <c r="A207" s="12" t="s">
        <v>1197</v>
      </c>
      <c r="B207" s="13">
        <v>46267.551539351851</v>
      </c>
      <c r="C207" s="12" t="s">
        <v>24</v>
      </c>
      <c r="D207" s="12" t="s">
        <v>1202</v>
      </c>
      <c r="E207" s="26" t="str">
        <f t="shared" si="21"/>
        <v>EC40154</v>
      </c>
      <c r="F207" s="27" t="str">
        <f t="shared" si="22"/>
        <v>GRIS</v>
      </c>
      <c r="G207" s="27">
        <f>+VLOOKUP(F207,[1]base!A:B,2,0)</f>
        <v>22</v>
      </c>
      <c r="H207" s="12">
        <v>10</v>
      </c>
      <c r="I207" s="12">
        <v>10</v>
      </c>
      <c r="J207" s="14"/>
      <c r="K207" s="14" t="s">
        <v>61</v>
      </c>
      <c r="L207" s="12" t="s">
        <v>1212</v>
      </c>
      <c r="M207" s="12" t="s">
        <v>150</v>
      </c>
      <c r="N207" s="12">
        <v>10</v>
      </c>
      <c r="O207" s="12">
        <v>10</v>
      </c>
      <c r="P207" s="12">
        <v>0</v>
      </c>
      <c r="Q207" s="16">
        <v>30</v>
      </c>
      <c r="R207" s="16">
        <v>0</v>
      </c>
      <c r="S207" s="16"/>
      <c r="T207" s="28">
        <v>10</v>
      </c>
      <c r="U207" s="28"/>
      <c r="V207" s="29">
        <f>+VLOOKUP(E207,[1]base!D:K,8,0)</f>
        <v>8.7100000000000009</v>
      </c>
      <c r="W207" s="29">
        <f t="shared" si="23"/>
        <v>87.100000000000009</v>
      </c>
      <c r="X207" s="29">
        <f t="shared" si="24"/>
        <v>4.5292000000000003</v>
      </c>
      <c r="Y207" s="29">
        <f>+VLOOKUP(E207,[1]base!D:E,2,0)</f>
        <v>9</v>
      </c>
      <c r="Z207" s="29">
        <f t="shared" si="25"/>
        <v>2</v>
      </c>
      <c r="AA207" s="29">
        <f t="shared" si="26"/>
        <v>0.13333333333333339</v>
      </c>
      <c r="AB207" s="29">
        <f>+VLOOKUP(E207,[1]base!M:N,2,0)</f>
        <v>287</v>
      </c>
      <c r="AC207" s="29">
        <f>+VLOOKUP(E207,[1]base!M:Q,5,0)</f>
        <v>102.83333333333333</v>
      </c>
      <c r="AD207" s="30">
        <f>+VLOOKUP(E207,[1]base!M:P,4,0)</f>
        <v>1.3745704467353952E-2</v>
      </c>
      <c r="AE207" s="31">
        <f t="shared" si="27"/>
        <v>82.15498281786941</v>
      </c>
    </row>
    <row r="208" spans="1:31" s="32" customFormat="1" x14ac:dyDescent="0.25">
      <c r="A208" s="12" t="s">
        <v>1260</v>
      </c>
      <c r="B208" s="13">
        <v>46268.598344907405</v>
      </c>
      <c r="C208" s="12" t="s">
        <v>522</v>
      </c>
      <c r="D208" s="12" t="s">
        <v>1202</v>
      </c>
      <c r="E208" s="26" t="str">
        <f t="shared" si="21"/>
        <v>EC40154</v>
      </c>
      <c r="F208" s="27" t="str">
        <f t="shared" si="22"/>
        <v>GRIS</v>
      </c>
      <c r="G208" s="27">
        <f>+VLOOKUP(F208,[1]base!A:B,2,0)</f>
        <v>22</v>
      </c>
      <c r="H208" s="12">
        <v>4</v>
      </c>
      <c r="I208" s="12">
        <v>4</v>
      </c>
      <c r="J208" s="14"/>
      <c r="K208" s="14" t="s">
        <v>61</v>
      </c>
      <c r="L208" s="12" t="s">
        <v>1269</v>
      </c>
      <c r="M208" s="12" t="s">
        <v>150</v>
      </c>
      <c r="N208" s="12">
        <v>4</v>
      </c>
      <c r="O208" s="12">
        <v>4</v>
      </c>
      <c r="P208" s="12">
        <v>0</v>
      </c>
      <c r="Q208" s="16">
        <v>4</v>
      </c>
      <c r="R208" s="16">
        <v>0</v>
      </c>
      <c r="S208" s="16"/>
      <c r="T208" s="28">
        <v>4</v>
      </c>
      <c r="U208" s="28"/>
      <c r="V208" s="29">
        <f>+VLOOKUP(E208,[1]base!D:K,8,0)</f>
        <v>8.7100000000000009</v>
      </c>
      <c r="W208" s="29">
        <f t="shared" si="23"/>
        <v>34.840000000000003</v>
      </c>
      <c r="X208" s="29">
        <f t="shared" si="24"/>
        <v>1.8116800000000002</v>
      </c>
      <c r="Y208" s="29">
        <f>+VLOOKUP(E208,[1]base!D:E,2,0)</f>
        <v>9</v>
      </c>
      <c r="Z208" s="29">
        <f t="shared" si="25"/>
        <v>1</v>
      </c>
      <c r="AA208" s="29">
        <f t="shared" si="26"/>
        <v>6.6666666666666693E-2</v>
      </c>
      <c r="AB208" s="29">
        <f>+VLOOKUP(E208,[1]base!M:N,2,0)</f>
        <v>287</v>
      </c>
      <c r="AC208" s="29">
        <f>+VLOOKUP(E208,[1]base!M:Q,5,0)</f>
        <v>102.83333333333333</v>
      </c>
      <c r="AD208" s="30">
        <f>+VLOOKUP(E208,[1]base!M:P,4,0)</f>
        <v>1.3745704467353952E-2</v>
      </c>
      <c r="AE208" s="31">
        <f t="shared" si="27"/>
        <v>82.15498281786941</v>
      </c>
    </row>
    <row r="209" spans="1:31" s="32" customFormat="1" x14ac:dyDescent="0.25">
      <c r="A209" s="12" t="s">
        <v>1492</v>
      </c>
      <c r="B209" s="13">
        <v>46273.61005787037</v>
      </c>
      <c r="C209" s="12" t="s">
        <v>266</v>
      </c>
      <c r="D209" s="12" t="s">
        <v>1202</v>
      </c>
      <c r="E209" s="26" t="str">
        <f t="shared" si="21"/>
        <v>EC40154</v>
      </c>
      <c r="F209" s="27" t="str">
        <f t="shared" si="22"/>
        <v>GRIS</v>
      </c>
      <c r="G209" s="27">
        <f>+VLOOKUP(F209,[1]base!A:B,2,0)</f>
        <v>22</v>
      </c>
      <c r="H209" s="12">
        <v>6</v>
      </c>
      <c r="I209" s="12">
        <v>6</v>
      </c>
      <c r="J209" s="14"/>
      <c r="K209" s="14" t="s">
        <v>61</v>
      </c>
      <c r="L209" s="12" t="s">
        <v>1508</v>
      </c>
      <c r="M209" s="12" t="s">
        <v>150</v>
      </c>
      <c r="N209" s="12">
        <v>6</v>
      </c>
      <c r="O209" s="12">
        <v>6</v>
      </c>
      <c r="P209" s="12">
        <v>0</v>
      </c>
      <c r="Q209" s="16">
        <v>6</v>
      </c>
      <c r="R209" s="16">
        <v>0</v>
      </c>
      <c r="S209" s="16"/>
      <c r="T209" s="28">
        <v>6</v>
      </c>
      <c r="U209" s="28"/>
      <c r="V209" s="29">
        <f>+VLOOKUP(E209,[1]base!D:K,8,0)</f>
        <v>8.7100000000000009</v>
      </c>
      <c r="W209" s="29">
        <f t="shared" si="23"/>
        <v>52.260000000000005</v>
      </c>
      <c r="X209" s="29">
        <f t="shared" si="24"/>
        <v>2.7175199999999999</v>
      </c>
      <c r="Y209" s="29">
        <f>+VLOOKUP(E209,[1]base!D:E,2,0)</f>
        <v>9</v>
      </c>
      <c r="Z209" s="29">
        <f t="shared" si="25"/>
        <v>1</v>
      </c>
      <c r="AA209" s="29">
        <f t="shared" si="26"/>
        <v>6.6666666666666693E-2</v>
      </c>
      <c r="AB209" s="29">
        <f>+VLOOKUP(E209,[1]base!M:N,2,0)</f>
        <v>287</v>
      </c>
      <c r="AC209" s="29">
        <f>+VLOOKUP(E209,[1]base!M:Q,5,0)</f>
        <v>102.83333333333333</v>
      </c>
      <c r="AD209" s="30">
        <f>+VLOOKUP(E209,[1]base!M:P,4,0)</f>
        <v>1.3745704467353952E-2</v>
      </c>
      <c r="AE209" s="31">
        <f t="shared" si="27"/>
        <v>82.15498281786941</v>
      </c>
    </row>
    <row r="210" spans="1:31" s="32" customFormat="1" x14ac:dyDescent="0.25">
      <c r="A210" s="12" t="s">
        <v>698</v>
      </c>
      <c r="B210" s="13">
        <v>46254.525277777779</v>
      </c>
      <c r="C210" s="12" t="s">
        <v>511</v>
      </c>
      <c r="D210" s="12" t="s">
        <v>699</v>
      </c>
      <c r="E210" s="26" t="str">
        <f t="shared" si="21"/>
        <v>EC40154</v>
      </c>
      <c r="F210" s="27" t="str">
        <f t="shared" si="22"/>
        <v>NOIR</v>
      </c>
      <c r="G210" s="27">
        <f>+VLOOKUP(F210,[1]base!A:B,2,0)</f>
        <v>37</v>
      </c>
      <c r="H210" s="12">
        <v>10</v>
      </c>
      <c r="I210" s="12">
        <v>10</v>
      </c>
      <c r="J210" s="14"/>
      <c r="K210" s="14" t="s">
        <v>61</v>
      </c>
      <c r="L210" s="12" t="s">
        <v>700</v>
      </c>
      <c r="M210" s="12" t="s">
        <v>150</v>
      </c>
      <c r="N210" s="12">
        <v>10</v>
      </c>
      <c r="O210" s="12">
        <v>10</v>
      </c>
      <c r="P210" s="12">
        <v>0</v>
      </c>
      <c r="Q210" s="16">
        <v>10</v>
      </c>
      <c r="R210" s="16">
        <v>0</v>
      </c>
      <c r="S210" s="16"/>
      <c r="T210" s="28">
        <v>10</v>
      </c>
      <c r="U210" s="28"/>
      <c r="V210" s="29">
        <f>+VLOOKUP(E210,[1]base!D:K,8,0)</f>
        <v>8.7100000000000009</v>
      </c>
      <c r="W210" s="29">
        <f t="shared" si="23"/>
        <v>87.100000000000009</v>
      </c>
      <c r="X210" s="29">
        <f t="shared" si="24"/>
        <v>4.5292000000000003</v>
      </c>
      <c r="Y210" s="29">
        <f>+VLOOKUP(E210,[1]base!D:E,2,0)</f>
        <v>9</v>
      </c>
      <c r="Z210" s="29">
        <f t="shared" si="25"/>
        <v>2</v>
      </c>
      <c r="AA210" s="29">
        <f t="shared" si="26"/>
        <v>0.13333333333333339</v>
      </c>
      <c r="AB210" s="29">
        <f>+VLOOKUP(E210,[1]base!M:N,2,0)</f>
        <v>287</v>
      </c>
      <c r="AC210" s="29">
        <f>+VLOOKUP(E210,[1]base!M:Q,5,0)</f>
        <v>102.83333333333333</v>
      </c>
      <c r="AD210" s="30">
        <f>+VLOOKUP(E210,[1]base!M:P,4,0)</f>
        <v>1.3745704467353952E-2</v>
      </c>
      <c r="AE210" s="31">
        <f t="shared" si="27"/>
        <v>82.15498281786941</v>
      </c>
    </row>
    <row r="211" spans="1:31" s="32" customFormat="1" x14ac:dyDescent="0.25">
      <c r="A211" s="12" t="s">
        <v>732</v>
      </c>
      <c r="B211" s="13">
        <v>46256.374837962961</v>
      </c>
      <c r="C211" s="12" t="s">
        <v>258</v>
      </c>
      <c r="D211" s="12" t="s">
        <v>699</v>
      </c>
      <c r="E211" s="26" t="str">
        <f t="shared" si="21"/>
        <v>EC40154</v>
      </c>
      <c r="F211" s="27" t="str">
        <f t="shared" si="22"/>
        <v>NOIR</v>
      </c>
      <c r="G211" s="27">
        <f>+VLOOKUP(F211,[1]base!A:B,2,0)</f>
        <v>37</v>
      </c>
      <c r="H211" s="12">
        <v>3</v>
      </c>
      <c r="I211" s="12">
        <v>3</v>
      </c>
      <c r="J211" s="14"/>
      <c r="K211" s="14" t="s">
        <v>61</v>
      </c>
      <c r="L211" s="12" t="s">
        <v>738</v>
      </c>
      <c r="M211" s="12" t="s">
        <v>150</v>
      </c>
      <c r="N211" s="12">
        <v>3</v>
      </c>
      <c r="O211" s="12">
        <v>3</v>
      </c>
      <c r="P211" s="12">
        <v>0</v>
      </c>
      <c r="Q211" s="16">
        <v>3</v>
      </c>
      <c r="R211" s="16">
        <v>0</v>
      </c>
      <c r="S211" s="16"/>
      <c r="T211" s="28">
        <v>3</v>
      </c>
      <c r="U211" s="28"/>
      <c r="V211" s="29">
        <f>+VLOOKUP(E211,[1]base!D:K,8,0)</f>
        <v>8.7100000000000009</v>
      </c>
      <c r="W211" s="29">
        <f t="shared" si="23"/>
        <v>26.130000000000003</v>
      </c>
      <c r="X211" s="29">
        <f t="shared" si="24"/>
        <v>1.35876</v>
      </c>
      <c r="Y211" s="29">
        <f>+VLOOKUP(E211,[1]base!D:E,2,0)</f>
        <v>9</v>
      </c>
      <c r="Z211" s="29">
        <f t="shared" si="25"/>
        <v>1</v>
      </c>
      <c r="AA211" s="29">
        <f t="shared" si="26"/>
        <v>6.6666666666666693E-2</v>
      </c>
      <c r="AB211" s="29">
        <f>+VLOOKUP(E211,[1]base!M:N,2,0)</f>
        <v>287</v>
      </c>
      <c r="AC211" s="29">
        <f>+VLOOKUP(E211,[1]base!M:Q,5,0)</f>
        <v>102.83333333333333</v>
      </c>
      <c r="AD211" s="30">
        <f>+VLOOKUP(E211,[1]base!M:P,4,0)</f>
        <v>1.3745704467353952E-2</v>
      </c>
      <c r="AE211" s="31">
        <f t="shared" si="27"/>
        <v>82.15498281786941</v>
      </c>
    </row>
    <row r="212" spans="1:31" x14ac:dyDescent="0.25">
      <c r="A212" s="12" t="s">
        <v>772</v>
      </c>
      <c r="B212" s="13">
        <v>46258.508391203701</v>
      </c>
      <c r="C212" s="12" t="s">
        <v>773</v>
      </c>
      <c r="D212" s="12" t="s">
        <v>699</v>
      </c>
      <c r="E212" s="26" t="str">
        <f t="shared" si="21"/>
        <v>EC40154</v>
      </c>
      <c r="F212" s="27" t="str">
        <f t="shared" si="22"/>
        <v>NOIR</v>
      </c>
      <c r="G212" s="27">
        <f>+VLOOKUP(F212,[1]base!A:B,2,0)</f>
        <v>37</v>
      </c>
      <c r="H212" s="12">
        <v>1</v>
      </c>
      <c r="I212" s="12">
        <v>1</v>
      </c>
      <c r="J212" s="14"/>
      <c r="K212" s="14" t="s">
        <v>61</v>
      </c>
      <c r="L212" s="12" t="s">
        <v>774</v>
      </c>
      <c r="M212" s="12" t="s">
        <v>150</v>
      </c>
      <c r="N212" s="12">
        <v>1</v>
      </c>
      <c r="O212" s="12">
        <v>1</v>
      </c>
      <c r="P212" s="12">
        <v>0</v>
      </c>
      <c r="Q212" s="16">
        <v>1</v>
      </c>
      <c r="R212" s="16">
        <v>0</v>
      </c>
      <c r="S212" s="16"/>
      <c r="T212" s="28">
        <v>1</v>
      </c>
      <c r="U212" s="28"/>
      <c r="V212" s="29">
        <f>+VLOOKUP(E212,[1]base!D:K,8,0)</f>
        <v>8.7100000000000009</v>
      </c>
      <c r="W212" s="29">
        <f t="shared" si="23"/>
        <v>8.7100000000000009</v>
      </c>
      <c r="X212" s="29">
        <f t="shared" si="24"/>
        <v>0.45292000000000004</v>
      </c>
      <c r="Y212" s="29">
        <f>+VLOOKUP(E212,[1]base!D:E,2,0)</f>
        <v>9</v>
      </c>
      <c r="Z212" s="29">
        <f t="shared" si="25"/>
        <v>1</v>
      </c>
      <c r="AA212" s="29">
        <f t="shared" si="26"/>
        <v>6.6666666666666693E-2</v>
      </c>
      <c r="AB212" s="29">
        <f>+VLOOKUP(E212,[1]base!M:N,2,0)</f>
        <v>287</v>
      </c>
      <c r="AC212" s="29">
        <f>+VLOOKUP(E212,[1]base!M:Q,5,0)</f>
        <v>102.83333333333333</v>
      </c>
      <c r="AD212" s="30">
        <f>+VLOOKUP(E212,[1]base!M:P,4,0)</f>
        <v>1.3745704467353952E-2</v>
      </c>
      <c r="AE212" s="31">
        <f t="shared" si="27"/>
        <v>82.15498281786941</v>
      </c>
    </row>
    <row r="213" spans="1:31" x14ac:dyDescent="0.25">
      <c r="A213" s="12" t="s">
        <v>777</v>
      </c>
      <c r="B213" s="13">
        <v>46258.578530092593</v>
      </c>
      <c r="C213" s="12" t="s">
        <v>778</v>
      </c>
      <c r="D213" s="12" t="s">
        <v>699</v>
      </c>
      <c r="E213" s="26" t="str">
        <f t="shared" si="21"/>
        <v>EC40154</v>
      </c>
      <c r="F213" s="27" t="str">
        <f t="shared" si="22"/>
        <v>NOIR</v>
      </c>
      <c r="G213" s="27">
        <f>+VLOOKUP(F213,[1]base!A:B,2,0)</f>
        <v>37</v>
      </c>
      <c r="H213" s="12">
        <v>10</v>
      </c>
      <c r="I213" s="12">
        <v>10</v>
      </c>
      <c r="J213" s="14"/>
      <c r="K213" s="14" t="s">
        <v>61</v>
      </c>
      <c r="L213" s="12" t="s">
        <v>780</v>
      </c>
      <c r="M213" s="12" t="s">
        <v>150</v>
      </c>
      <c r="N213" s="12">
        <v>10</v>
      </c>
      <c r="O213" s="12">
        <v>10</v>
      </c>
      <c r="P213" s="12">
        <v>0</v>
      </c>
      <c r="Q213" s="16">
        <v>10</v>
      </c>
      <c r="R213" s="16">
        <v>0</v>
      </c>
      <c r="S213" s="16"/>
      <c r="T213" s="28">
        <v>10</v>
      </c>
      <c r="U213" s="28"/>
      <c r="V213" s="29">
        <f>+VLOOKUP(E213,[1]base!D:K,8,0)</f>
        <v>8.7100000000000009</v>
      </c>
      <c r="W213" s="29">
        <f t="shared" si="23"/>
        <v>87.100000000000009</v>
      </c>
      <c r="X213" s="29">
        <f t="shared" si="24"/>
        <v>4.5292000000000003</v>
      </c>
      <c r="Y213" s="29">
        <f>+VLOOKUP(E213,[1]base!D:E,2,0)</f>
        <v>9</v>
      </c>
      <c r="Z213" s="29">
        <f t="shared" si="25"/>
        <v>2</v>
      </c>
      <c r="AA213" s="29">
        <f t="shared" si="26"/>
        <v>0.13333333333333339</v>
      </c>
      <c r="AB213" s="29">
        <f>+VLOOKUP(E213,[1]base!M:N,2,0)</f>
        <v>287</v>
      </c>
      <c r="AC213" s="29">
        <f>+VLOOKUP(E213,[1]base!M:Q,5,0)</f>
        <v>102.83333333333333</v>
      </c>
      <c r="AD213" s="30">
        <f>+VLOOKUP(E213,[1]base!M:P,4,0)</f>
        <v>1.3745704467353952E-2</v>
      </c>
      <c r="AE213" s="31">
        <f t="shared" si="27"/>
        <v>82.15498281786941</v>
      </c>
    </row>
    <row r="214" spans="1:31" x14ac:dyDescent="0.25">
      <c r="A214" s="12" t="s">
        <v>1141</v>
      </c>
      <c r="B214" s="13">
        <v>46267.323657407411</v>
      </c>
      <c r="C214" s="12" t="s">
        <v>585</v>
      </c>
      <c r="D214" s="12" t="s">
        <v>699</v>
      </c>
      <c r="E214" s="26" t="str">
        <f t="shared" si="21"/>
        <v>EC40154</v>
      </c>
      <c r="F214" s="27" t="str">
        <f t="shared" si="22"/>
        <v>NOIR</v>
      </c>
      <c r="G214" s="27">
        <f>+VLOOKUP(F214,[1]base!A:B,2,0)</f>
        <v>37</v>
      </c>
      <c r="H214" s="12">
        <v>12</v>
      </c>
      <c r="I214" s="12">
        <v>12</v>
      </c>
      <c r="J214" s="14"/>
      <c r="K214" s="14" t="s">
        <v>61</v>
      </c>
      <c r="L214" s="12" t="s">
        <v>1148</v>
      </c>
      <c r="M214" s="12" t="s">
        <v>150</v>
      </c>
      <c r="N214" s="12">
        <v>12</v>
      </c>
      <c r="O214" s="12">
        <v>12</v>
      </c>
      <c r="P214" s="12">
        <v>0</v>
      </c>
      <c r="Q214" s="16">
        <v>12</v>
      </c>
      <c r="R214" s="16">
        <v>0</v>
      </c>
      <c r="S214" s="16"/>
      <c r="T214" s="28">
        <v>12</v>
      </c>
      <c r="U214" s="28"/>
      <c r="V214" s="29">
        <f>+VLOOKUP(E214,[1]base!D:K,8,0)</f>
        <v>8.7100000000000009</v>
      </c>
      <c r="W214" s="29">
        <f t="shared" si="23"/>
        <v>104.52000000000001</v>
      </c>
      <c r="X214" s="29">
        <f t="shared" si="24"/>
        <v>5.4350399999999999</v>
      </c>
      <c r="Y214" s="29">
        <f>+VLOOKUP(E214,[1]base!D:E,2,0)</f>
        <v>9</v>
      </c>
      <c r="Z214" s="29">
        <f t="shared" si="25"/>
        <v>2</v>
      </c>
      <c r="AA214" s="29">
        <f t="shared" si="26"/>
        <v>0.13333333333333339</v>
      </c>
      <c r="AB214" s="29">
        <f>+VLOOKUP(E214,[1]base!M:N,2,0)</f>
        <v>287</v>
      </c>
      <c r="AC214" s="29">
        <f>+VLOOKUP(E214,[1]base!M:Q,5,0)</f>
        <v>102.83333333333333</v>
      </c>
      <c r="AD214" s="30">
        <f>+VLOOKUP(E214,[1]base!M:P,4,0)</f>
        <v>1.3745704467353952E-2</v>
      </c>
      <c r="AE214" s="31">
        <f t="shared" si="27"/>
        <v>82.15498281786941</v>
      </c>
    </row>
    <row r="215" spans="1:31" x14ac:dyDescent="0.25">
      <c r="A215" s="12" t="s">
        <v>1230</v>
      </c>
      <c r="B215" s="13">
        <v>46268.418807870374</v>
      </c>
      <c r="C215" s="12" t="s">
        <v>345</v>
      </c>
      <c r="D215" s="12" t="s">
        <v>699</v>
      </c>
      <c r="E215" s="26" t="str">
        <f t="shared" si="21"/>
        <v>EC40154</v>
      </c>
      <c r="F215" s="27" t="str">
        <f t="shared" si="22"/>
        <v>NOIR</v>
      </c>
      <c r="G215" s="27">
        <f>+VLOOKUP(F215,[1]base!A:B,2,0)</f>
        <v>37</v>
      </c>
      <c r="H215" s="12">
        <v>6</v>
      </c>
      <c r="I215" s="12">
        <v>6</v>
      </c>
      <c r="J215" s="14"/>
      <c r="K215" s="14" t="s">
        <v>61</v>
      </c>
      <c r="L215" s="12" t="s">
        <v>1233</v>
      </c>
      <c r="M215" s="12" t="s">
        <v>150</v>
      </c>
      <c r="N215" s="12">
        <v>6</v>
      </c>
      <c r="O215" s="12">
        <v>6</v>
      </c>
      <c r="P215" s="12">
        <v>0</v>
      </c>
      <c r="Q215" s="16">
        <v>6</v>
      </c>
      <c r="R215" s="16">
        <v>0</v>
      </c>
      <c r="S215" s="16"/>
      <c r="T215" s="28">
        <v>6</v>
      </c>
      <c r="U215" s="28"/>
      <c r="V215" s="29">
        <f>+VLOOKUP(E215,[1]base!D:K,8,0)</f>
        <v>8.7100000000000009</v>
      </c>
      <c r="W215" s="29">
        <f t="shared" si="23"/>
        <v>52.260000000000005</v>
      </c>
      <c r="X215" s="29">
        <f t="shared" si="24"/>
        <v>2.7175199999999999</v>
      </c>
      <c r="Y215" s="29">
        <f>+VLOOKUP(E215,[1]base!D:E,2,0)</f>
        <v>9</v>
      </c>
      <c r="Z215" s="29">
        <f t="shared" si="25"/>
        <v>1</v>
      </c>
      <c r="AA215" s="29">
        <f t="shared" si="26"/>
        <v>6.6666666666666693E-2</v>
      </c>
      <c r="AB215" s="29">
        <f>+VLOOKUP(E215,[1]base!M:N,2,0)</f>
        <v>287</v>
      </c>
      <c r="AC215" s="29">
        <f>+VLOOKUP(E215,[1]base!M:Q,5,0)</f>
        <v>102.83333333333333</v>
      </c>
      <c r="AD215" s="30">
        <f>+VLOOKUP(E215,[1]base!M:P,4,0)</f>
        <v>1.3745704467353952E-2</v>
      </c>
      <c r="AE215" s="31">
        <f t="shared" si="27"/>
        <v>82.15498281786941</v>
      </c>
    </row>
    <row r="216" spans="1:31" x14ac:dyDescent="0.25">
      <c r="A216" s="12" t="s">
        <v>1264</v>
      </c>
      <c r="B216" s="13">
        <v>46268.598958333336</v>
      </c>
      <c r="C216" s="12" t="s">
        <v>522</v>
      </c>
      <c r="D216" s="12" t="s">
        <v>699</v>
      </c>
      <c r="E216" s="26" t="str">
        <f t="shared" si="21"/>
        <v>EC40154</v>
      </c>
      <c r="F216" s="27" t="str">
        <f t="shared" si="22"/>
        <v>NOIR</v>
      </c>
      <c r="G216" s="27">
        <f>+VLOOKUP(F216,[1]base!A:B,2,0)</f>
        <v>37</v>
      </c>
      <c r="H216" s="12">
        <v>4</v>
      </c>
      <c r="I216" s="12">
        <v>4</v>
      </c>
      <c r="J216" s="14"/>
      <c r="K216" s="14" t="s">
        <v>61</v>
      </c>
      <c r="L216" s="12" t="s">
        <v>1282</v>
      </c>
      <c r="M216" s="12" t="s">
        <v>150</v>
      </c>
      <c r="N216" s="12">
        <v>4</v>
      </c>
      <c r="O216" s="12">
        <v>4</v>
      </c>
      <c r="P216" s="12">
        <v>0</v>
      </c>
      <c r="Q216" s="16">
        <v>4</v>
      </c>
      <c r="R216" s="16">
        <v>0</v>
      </c>
      <c r="S216" s="16"/>
      <c r="T216" s="28">
        <v>4</v>
      </c>
      <c r="U216" s="28"/>
      <c r="V216" s="29">
        <f>+VLOOKUP(E216,[1]base!D:K,8,0)</f>
        <v>8.7100000000000009</v>
      </c>
      <c r="W216" s="29">
        <f t="shared" si="23"/>
        <v>34.840000000000003</v>
      </c>
      <c r="X216" s="29">
        <f t="shared" si="24"/>
        <v>1.8116800000000002</v>
      </c>
      <c r="Y216" s="29">
        <f>+VLOOKUP(E216,[1]base!D:E,2,0)</f>
        <v>9</v>
      </c>
      <c r="Z216" s="29">
        <f t="shared" si="25"/>
        <v>1</v>
      </c>
      <c r="AA216" s="29">
        <f t="shared" si="26"/>
        <v>6.6666666666666693E-2</v>
      </c>
      <c r="AB216" s="29">
        <f>+VLOOKUP(E216,[1]base!M:N,2,0)</f>
        <v>287</v>
      </c>
      <c r="AC216" s="29">
        <f>+VLOOKUP(E216,[1]base!M:Q,5,0)</f>
        <v>102.83333333333333</v>
      </c>
      <c r="AD216" s="30">
        <f>+VLOOKUP(E216,[1]base!M:P,4,0)</f>
        <v>1.3745704467353952E-2</v>
      </c>
      <c r="AE216" s="31">
        <f t="shared" si="27"/>
        <v>82.15498281786941</v>
      </c>
    </row>
    <row r="217" spans="1:31" x14ac:dyDescent="0.25">
      <c r="A217" s="12" t="s">
        <v>963</v>
      </c>
      <c r="B217" s="13">
        <v>46265.30091435185</v>
      </c>
      <c r="C217" s="12" t="s">
        <v>484</v>
      </c>
      <c r="D217" s="12" t="s">
        <v>966</v>
      </c>
      <c r="E217" s="26" t="str">
        <f t="shared" si="21"/>
        <v>EC40154</v>
      </c>
      <c r="F217" s="27" t="str">
        <f t="shared" si="22"/>
        <v>DARK</v>
      </c>
      <c r="G217" s="27">
        <f>+VLOOKUP(F217,[1]base!A:B,2,0)</f>
        <v>38</v>
      </c>
      <c r="H217" s="12">
        <v>1</v>
      </c>
      <c r="I217" s="12">
        <v>1</v>
      </c>
      <c r="J217" s="14"/>
      <c r="K217" s="14" t="s">
        <v>61</v>
      </c>
      <c r="L217" s="12" t="s">
        <v>971</v>
      </c>
      <c r="M217" s="12" t="s">
        <v>150</v>
      </c>
      <c r="N217" s="12">
        <v>1</v>
      </c>
      <c r="O217" s="12">
        <v>1</v>
      </c>
      <c r="P217" s="12">
        <v>0</v>
      </c>
      <c r="Q217" s="16">
        <v>1</v>
      </c>
      <c r="R217" s="16">
        <v>0</v>
      </c>
      <c r="S217" s="16"/>
      <c r="T217" s="28">
        <v>1</v>
      </c>
      <c r="U217" s="28"/>
      <c r="V217" s="29">
        <f>+VLOOKUP(E217,[1]base!D:K,8,0)</f>
        <v>8.7100000000000009</v>
      </c>
      <c r="W217" s="29">
        <f t="shared" si="23"/>
        <v>8.7100000000000009</v>
      </c>
      <c r="X217" s="29">
        <f t="shared" si="24"/>
        <v>0.45292000000000004</v>
      </c>
      <c r="Y217" s="29">
        <f>+VLOOKUP(E217,[1]base!D:E,2,0)</f>
        <v>9</v>
      </c>
      <c r="Z217" s="29">
        <f t="shared" si="25"/>
        <v>1</v>
      </c>
      <c r="AA217" s="29">
        <f t="shared" si="26"/>
        <v>6.6666666666666693E-2</v>
      </c>
      <c r="AB217" s="29">
        <f>+VLOOKUP(E217,[1]base!M:N,2,0)</f>
        <v>287</v>
      </c>
      <c r="AC217" s="29">
        <f>+VLOOKUP(E217,[1]base!M:Q,5,0)</f>
        <v>102.83333333333333</v>
      </c>
      <c r="AD217" s="30">
        <f>+VLOOKUP(E217,[1]base!M:P,4,0)</f>
        <v>1.3745704467353952E-2</v>
      </c>
      <c r="AE217" s="31">
        <f t="shared" si="27"/>
        <v>82.15498281786941</v>
      </c>
    </row>
    <row r="218" spans="1:31" x14ac:dyDescent="0.25">
      <c r="A218" s="12" t="s">
        <v>1021</v>
      </c>
      <c r="B218" s="13">
        <v>46266.424675925926</v>
      </c>
      <c r="C218" s="12" t="s">
        <v>24</v>
      </c>
      <c r="D218" s="12" t="s">
        <v>966</v>
      </c>
      <c r="E218" s="26" t="str">
        <f t="shared" si="21"/>
        <v>EC40154</v>
      </c>
      <c r="F218" s="27" t="str">
        <f t="shared" si="22"/>
        <v>DARK</v>
      </c>
      <c r="G218" s="27">
        <f>+VLOOKUP(F218,[1]base!A:B,2,0)</f>
        <v>38</v>
      </c>
      <c r="H218" s="12">
        <v>1</v>
      </c>
      <c r="I218" s="12">
        <v>1</v>
      </c>
      <c r="J218" s="14"/>
      <c r="K218" s="14" t="s">
        <v>61</v>
      </c>
      <c r="L218" s="12" t="s">
        <v>1063</v>
      </c>
      <c r="M218" s="12" t="s">
        <v>150</v>
      </c>
      <c r="N218" s="12">
        <v>1</v>
      </c>
      <c r="O218" s="12">
        <v>1</v>
      </c>
      <c r="P218" s="12">
        <v>0</v>
      </c>
      <c r="Q218" s="16">
        <v>1</v>
      </c>
      <c r="R218" s="16">
        <v>0</v>
      </c>
      <c r="S218" s="16"/>
      <c r="T218" s="28">
        <v>1</v>
      </c>
      <c r="U218" s="28"/>
      <c r="V218" s="29">
        <f>+VLOOKUP(E218,[1]base!D:K,8,0)</f>
        <v>8.7100000000000009</v>
      </c>
      <c r="W218" s="29">
        <f t="shared" si="23"/>
        <v>8.7100000000000009</v>
      </c>
      <c r="X218" s="29">
        <f t="shared" si="24"/>
        <v>0.45292000000000004</v>
      </c>
      <c r="Y218" s="29">
        <f>+VLOOKUP(E218,[1]base!D:E,2,0)</f>
        <v>9</v>
      </c>
      <c r="Z218" s="29">
        <f t="shared" si="25"/>
        <v>1</v>
      </c>
      <c r="AA218" s="29">
        <f t="shared" si="26"/>
        <v>6.6666666666666693E-2</v>
      </c>
      <c r="AB218" s="29">
        <f>+VLOOKUP(E218,[1]base!M:N,2,0)</f>
        <v>287</v>
      </c>
      <c r="AC218" s="29">
        <f>+VLOOKUP(E218,[1]base!M:Q,5,0)</f>
        <v>102.83333333333333</v>
      </c>
      <c r="AD218" s="30">
        <f>+VLOOKUP(E218,[1]base!M:P,4,0)</f>
        <v>1.3745704467353952E-2</v>
      </c>
      <c r="AE218" s="31">
        <f t="shared" si="27"/>
        <v>82.15498281786941</v>
      </c>
    </row>
    <row r="219" spans="1:31" x14ac:dyDescent="0.25">
      <c r="A219" s="12" t="s">
        <v>1123</v>
      </c>
      <c r="B219" s="13">
        <v>46267.314710648148</v>
      </c>
      <c r="C219" s="12" t="s">
        <v>24</v>
      </c>
      <c r="D219" s="12" t="s">
        <v>966</v>
      </c>
      <c r="E219" s="26" t="str">
        <f t="shared" si="21"/>
        <v>EC40154</v>
      </c>
      <c r="F219" s="27" t="str">
        <f t="shared" si="22"/>
        <v>DARK</v>
      </c>
      <c r="G219" s="27">
        <f>+VLOOKUP(F219,[1]base!A:B,2,0)</f>
        <v>38</v>
      </c>
      <c r="H219" s="12">
        <v>2</v>
      </c>
      <c r="I219" s="12">
        <v>2</v>
      </c>
      <c r="J219" s="14"/>
      <c r="K219" s="14" t="s">
        <v>61</v>
      </c>
      <c r="L219" s="12" t="s">
        <v>1132</v>
      </c>
      <c r="M219" s="12" t="s">
        <v>150</v>
      </c>
      <c r="N219" s="12">
        <v>2</v>
      </c>
      <c r="O219" s="12">
        <v>2</v>
      </c>
      <c r="P219" s="12">
        <v>0</v>
      </c>
      <c r="Q219" s="16">
        <v>2</v>
      </c>
      <c r="R219" s="16">
        <v>0</v>
      </c>
      <c r="S219" s="16"/>
      <c r="T219" s="28">
        <v>2</v>
      </c>
      <c r="U219" s="28"/>
      <c r="V219" s="29">
        <f>+VLOOKUP(E219,[1]base!D:K,8,0)</f>
        <v>8.7100000000000009</v>
      </c>
      <c r="W219" s="29">
        <f t="shared" si="23"/>
        <v>17.420000000000002</v>
      </c>
      <c r="X219" s="29">
        <f t="shared" si="24"/>
        <v>0.90584000000000009</v>
      </c>
      <c r="Y219" s="29">
        <f>+VLOOKUP(E219,[1]base!D:E,2,0)</f>
        <v>9</v>
      </c>
      <c r="Z219" s="29">
        <f t="shared" si="25"/>
        <v>1</v>
      </c>
      <c r="AA219" s="29">
        <f t="shared" si="26"/>
        <v>6.6666666666666693E-2</v>
      </c>
      <c r="AB219" s="29">
        <f>+VLOOKUP(E219,[1]base!M:N,2,0)</f>
        <v>287</v>
      </c>
      <c r="AC219" s="29">
        <f>+VLOOKUP(E219,[1]base!M:Q,5,0)</f>
        <v>102.83333333333333</v>
      </c>
      <c r="AD219" s="30">
        <f>+VLOOKUP(E219,[1]base!M:P,4,0)</f>
        <v>1.3745704467353952E-2</v>
      </c>
      <c r="AE219" s="31">
        <f t="shared" si="27"/>
        <v>82.15498281786941</v>
      </c>
    </row>
    <row r="220" spans="1:31" x14ac:dyDescent="0.25">
      <c r="A220" s="12"/>
      <c r="B220" s="13"/>
      <c r="C220" s="12"/>
      <c r="D220" s="12" t="s">
        <v>71</v>
      </c>
      <c r="E220" s="26" t="str">
        <f t="shared" si="21"/>
        <v>EC40166</v>
      </c>
      <c r="F220" s="27" t="str">
        <f t="shared" si="22"/>
        <v>BLC</v>
      </c>
      <c r="G220" s="27">
        <f>+VLOOKUP(F220,[1]base!A:B,2,0)</f>
        <v>1</v>
      </c>
      <c r="H220" s="12">
        <v>300</v>
      </c>
      <c r="I220" s="12">
        <v>150</v>
      </c>
      <c r="J220" s="14">
        <v>-50</v>
      </c>
      <c r="K220" s="14" t="s">
        <v>26</v>
      </c>
      <c r="L220" s="12" t="s">
        <v>27</v>
      </c>
      <c r="M220" s="12" t="s">
        <v>28</v>
      </c>
      <c r="N220" s="12"/>
      <c r="O220" s="12"/>
      <c r="P220" s="12"/>
      <c r="Q220" s="16">
        <v>0</v>
      </c>
      <c r="R220" s="16">
        <v>0</v>
      </c>
      <c r="S220" s="16"/>
      <c r="T220" s="33">
        <v>120</v>
      </c>
      <c r="U220" s="33"/>
      <c r="V220" s="29">
        <f>+VLOOKUP(E220,[1]base!D:K,8,0)</f>
        <v>1.482</v>
      </c>
      <c r="W220" s="29">
        <f t="shared" si="23"/>
        <v>177.84</v>
      </c>
      <c r="X220" s="29">
        <f t="shared" si="24"/>
        <v>9.247679999999999</v>
      </c>
      <c r="Y220" s="29">
        <f>+VLOOKUP(E220,[1]base!D:E,2,0)</f>
        <v>20</v>
      </c>
      <c r="Z220" s="29">
        <f t="shared" si="25"/>
        <v>6</v>
      </c>
      <c r="AA220" s="29">
        <f t="shared" si="26"/>
        <v>0.40000000000000013</v>
      </c>
      <c r="AB220" s="29">
        <f>+VLOOKUP(E220,[1]base!M:N,2,0)</f>
        <v>245</v>
      </c>
      <c r="AC220" s="29">
        <f>+VLOOKUP(E220,[1]base!M:Q,5,0)</f>
        <v>2305.5454545454545</v>
      </c>
      <c r="AD220" s="30">
        <f>+VLOOKUP(E220,[1]base!M:P,4,0)</f>
        <v>2.7777777777777776E-2</v>
      </c>
      <c r="AE220" s="31">
        <f t="shared" si="27"/>
        <v>66.694444444444443</v>
      </c>
    </row>
    <row r="221" spans="1:31" x14ac:dyDescent="0.25">
      <c r="A221" s="12" t="s">
        <v>547</v>
      </c>
      <c r="B221" s="13">
        <v>46240.550856481481</v>
      </c>
      <c r="C221" s="12" t="s">
        <v>548</v>
      </c>
      <c r="D221" s="12" t="s">
        <v>558</v>
      </c>
      <c r="E221" s="26" t="str">
        <f t="shared" si="21"/>
        <v>EC40166</v>
      </c>
      <c r="F221" s="27" t="str">
        <f t="shared" si="22"/>
        <v>ACAJOU</v>
      </c>
      <c r="G221" s="27">
        <f>+VLOOKUP(F221,[1]base!A:B,2,0)</f>
        <v>15.1</v>
      </c>
      <c r="H221" s="12">
        <v>30</v>
      </c>
      <c r="I221" s="12">
        <v>30</v>
      </c>
      <c r="J221" s="14"/>
      <c r="K221" s="14" t="s">
        <v>61</v>
      </c>
      <c r="L221" s="12" t="s">
        <v>563</v>
      </c>
      <c r="M221" s="12" t="s">
        <v>150</v>
      </c>
      <c r="N221" s="12">
        <v>30</v>
      </c>
      <c r="O221" s="12">
        <v>30</v>
      </c>
      <c r="P221" s="12">
        <v>0</v>
      </c>
      <c r="Q221" s="16">
        <v>80</v>
      </c>
      <c r="R221" s="16">
        <v>0</v>
      </c>
      <c r="S221" s="16"/>
      <c r="T221" s="28">
        <v>30</v>
      </c>
      <c r="U221" s="28"/>
      <c r="V221" s="29">
        <f>+VLOOKUP(E221,[1]base!D:K,8,0)</f>
        <v>1.482</v>
      </c>
      <c r="W221" s="29">
        <f t="shared" si="23"/>
        <v>44.46</v>
      </c>
      <c r="X221" s="29">
        <f t="shared" si="24"/>
        <v>2.3119199999999998</v>
      </c>
      <c r="Y221" s="29">
        <f>+VLOOKUP(E221,[1]base!D:E,2,0)</f>
        <v>20</v>
      </c>
      <c r="Z221" s="29">
        <f t="shared" si="25"/>
        <v>2</v>
      </c>
      <c r="AA221" s="29">
        <f t="shared" si="26"/>
        <v>0.13333333333333339</v>
      </c>
      <c r="AB221" s="29">
        <f>+VLOOKUP(E221,[1]base!M:N,2,0)</f>
        <v>245</v>
      </c>
      <c r="AC221" s="29">
        <f>+VLOOKUP(E221,[1]base!M:Q,5,0)</f>
        <v>2305.5454545454545</v>
      </c>
      <c r="AD221" s="30">
        <f>+VLOOKUP(E221,[1]base!M:P,4,0)</f>
        <v>2.7777777777777776E-2</v>
      </c>
      <c r="AE221" s="31">
        <f t="shared" si="27"/>
        <v>66.694444444444443</v>
      </c>
    </row>
    <row r="222" spans="1:31" x14ac:dyDescent="0.25">
      <c r="A222" s="12" t="s">
        <v>984</v>
      </c>
      <c r="B222" s="13">
        <v>46265.500104166669</v>
      </c>
      <c r="C222" s="12" t="s">
        <v>986</v>
      </c>
      <c r="D222" s="12" t="s">
        <v>558</v>
      </c>
      <c r="E222" s="26" t="str">
        <f t="shared" si="21"/>
        <v>EC40166</v>
      </c>
      <c r="F222" s="27" t="str">
        <f t="shared" si="22"/>
        <v>ACAJOU</v>
      </c>
      <c r="G222" s="27">
        <f>+VLOOKUP(F222,[1]base!A:B,2,0)</f>
        <v>15.1</v>
      </c>
      <c r="H222" s="12">
        <v>40</v>
      </c>
      <c r="I222" s="12">
        <v>40</v>
      </c>
      <c r="J222" s="14"/>
      <c r="K222" s="14" t="s">
        <v>61</v>
      </c>
      <c r="L222" s="12" t="s">
        <v>1001</v>
      </c>
      <c r="M222" s="12" t="s">
        <v>150</v>
      </c>
      <c r="N222" s="12">
        <v>40</v>
      </c>
      <c r="O222" s="12">
        <v>40</v>
      </c>
      <c r="P222" s="12">
        <v>0</v>
      </c>
      <c r="Q222" s="16">
        <v>40</v>
      </c>
      <c r="R222" s="16">
        <v>0</v>
      </c>
      <c r="S222" s="16"/>
      <c r="T222" s="28">
        <v>40</v>
      </c>
      <c r="U222" s="28"/>
      <c r="V222" s="29">
        <f>+VLOOKUP(E222,[1]base!D:K,8,0)</f>
        <v>1.482</v>
      </c>
      <c r="W222" s="29">
        <f t="shared" si="23"/>
        <v>59.28</v>
      </c>
      <c r="X222" s="29">
        <f t="shared" si="24"/>
        <v>3.08256</v>
      </c>
      <c r="Y222" s="29">
        <f>+VLOOKUP(E222,[1]base!D:E,2,0)</f>
        <v>20</v>
      </c>
      <c r="Z222" s="29">
        <f t="shared" si="25"/>
        <v>2</v>
      </c>
      <c r="AA222" s="29">
        <f t="shared" si="26"/>
        <v>0.13333333333333339</v>
      </c>
      <c r="AB222" s="29">
        <f>+VLOOKUP(E222,[1]base!M:N,2,0)</f>
        <v>245</v>
      </c>
      <c r="AC222" s="29">
        <f>+VLOOKUP(E222,[1]base!M:Q,5,0)</f>
        <v>2305.5454545454545</v>
      </c>
      <c r="AD222" s="30">
        <f>+VLOOKUP(E222,[1]base!M:P,4,0)</f>
        <v>2.7777777777777776E-2</v>
      </c>
      <c r="AE222" s="31">
        <f t="shared" si="27"/>
        <v>66.694444444444443</v>
      </c>
    </row>
    <row r="223" spans="1:31" x14ac:dyDescent="0.25">
      <c r="A223" s="12" t="s">
        <v>1535</v>
      </c>
      <c r="B223" s="13">
        <v>46274.537615740737</v>
      </c>
      <c r="C223" s="12" t="s">
        <v>398</v>
      </c>
      <c r="D223" s="12" t="s">
        <v>558</v>
      </c>
      <c r="E223" s="26" t="str">
        <f t="shared" si="21"/>
        <v>EC40166</v>
      </c>
      <c r="F223" s="27" t="str">
        <f t="shared" si="22"/>
        <v>ACAJOU</v>
      </c>
      <c r="G223" s="27">
        <f>+VLOOKUP(F223,[1]base!A:B,2,0)</f>
        <v>15.1</v>
      </c>
      <c r="H223" s="12">
        <v>20</v>
      </c>
      <c r="I223" s="12">
        <v>20</v>
      </c>
      <c r="J223" s="14"/>
      <c r="K223" s="14" t="s">
        <v>61</v>
      </c>
      <c r="L223" s="12" t="s">
        <v>1542</v>
      </c>
      <c r="M223" s="12" t="s">
        <v>150</v>
      </c>
      <c r="N223" s="12">
        <v>20</v>
      </c>
      <c r="O223" s="12">
        <v>20</v>
      </c>
      <c r="P223" s="12">
        <v>0</v>
      </c>
      <c r="Q223" s="16">
        <v>120</v>
      </c>
      <c r="R223" s="16">
        <v>0</v>
      </c>
      <c r="S223" s="16"/>
      <c r="T223" s="28">
        <v>20</v>
      </c>
      <c r="U223" s="28"/>
      <c r="V223" s="29">
        <f>+VLOOKUP(E223,[1]base!D:K,8,0)</f>
        <v>1.482</v>
      </c>
      <c r="W223" s="29">
        <f t="shared" si="23"/>
        <v>29.64</v>
      </c>
      <c r="X223" s="29">
        <f t="shared" si="24"/>
        <v>1.54128</v>
      </c>
      <c r="Y223" s="29">
        <f>+VLOOKUP(E223,[1]base!D:E,2,0)</f>
        <v>20</v>
      </c>
      <c r="Z223" s="29">
        <f t="shared" si="25"/>
        <v>1</v>
      </c>
      <c r="AA223" s="29">
        <f t="shared" si="26"/>
        <v>6.6666666666666693E-2</v>
      </c>
      <c r="AB223" s="29">
        <f>+VLOOKUP(E223,[1]base!M:N,2,0)</f>
        <v>245</v>
      </c>
      <c r="AC223" s="29">
        <f>+VLOOKUP(E223,[1]base!M:Q,5,0)</f>
        <v>2305.5454545454545</v>
      </c>
      <c r="AD223" s="30">
        <f>+VLOOKUP(E223,[1]base!M:P,4,0)</f>
        <v>2.7777777777777776E-2</v>
      </c>
      <c r="AE223" s="31">
        <f t="shared" si="27"/>
        <v>66.694444444444443</v>
      </c>
    </row>
    <row r="224" spans="1:31" x14ac:dyDescent="0.25">
      <c r="A224" s="12" t="s">
        <v>471</v>
      </c>
      <c r="B224" s="13">
        <v>46228.313125000001</v>
      </c>
      <c r="C224" s="12" t="s">
        <v>266</v>
      </c>
      <c r="D224" s="12" t="s">
        <v>472</v>
      </c>
      <c r="E224" s="26" t="str">
        <f t="shared" si="21"/>
        <v>EC40166</v>
      </c>
      <c r="F224" s="27" t="str">
        <f t="shared" si="22"/>
        <v>GRIS</v>
      </c>
      <c r="G224" s="27">
        <f>+VLOOKUP(F224,[1]base!A:B,2,0)</f>
        <v>22</v>
      </c>
      <c r="H224" s="12">
        <v>30</v>
      </c>
      <c r="I224" s="12">
        <v>30</v>
      </c>
      <c r="J224" s="14"/>
      <c r="K224" s="14" t="s">
        <v>61</v>
      </c>
      <c r="L224" s="12" t="s">
        <v>473</v>
      </c>
      <c r="M224" s="12" t="s">
        <v>150</v>
      </c>
      <c r="N224" s="12">
        <v>30</v>
      </c>
      <c r="O224" s="12">
        <v>30</v>
      </c>
      <c r="P224" s="12">
        <v>0</v>
      </c>
      <c r="Q224" s="16">
        <v>30</v>
      </c>
      <c r="R224" s="16">
        <v>0</v>
      </c>
      <c r="S224" s="16"/>
      <c r="T224" s="28">
        <v>30</v>
      </c>
      <c r="U224" s="28"/>
      <c r="V224" s="29">
        <f>+VLOOKUP(E224,[1]base!D:K,8,0)</f>
        <v>1.482</v>
      </c>
      <c r="W224" s="29">
        <f t="shared" si="23"/>
        <v>44.46</v>
      </c>
      <c r="X224" s="29">
        <f t="shared" si="24"/>
        <v>2.3119199999999998</v>
      </c>
      <c r="Y224" s="29">
        <f>+VLOOKUP(E224,[1]base!D:E,2,0)</f>
        <v>20</v>
      </c>
      <c r="Z224" s="29">
        <f t="shared" si="25"/>
        <v>2</v>
      </c>
      <c r="AA224" s="29">
        <f t="shared" si="26"/>
        <v>0.13333333333333339</v>
      </c>
      <c r="AB224" s="29">
        <f>+VLOOKUP(E224,[1]base!M:N,2,0)</f>
        <v>245</v>
      </c>
      <c r="AC224" s="29">
        <f>+VLOOKUP(E224,[1]base!M:Q,5,0)</f>
        <v>2305.5454545454545</v>
      </c>
      <c r="AD224" s="30">
        <f>+VLOOKUP(E224,[1]base!M:P,4,0)</f>
        <v>2.7777777777777776E-2</v>
      </c>
      <c r="AE224" s="31">
        <f t="shared" si="27"/>
        <v>66.694444444444443</v>
      </c>
    </row>
    <row r="225" spans="1:31" x14ac:dyDescent="0.25">
      <c r="A225" s="12" t="s">
        <v>547</v>
      </c>
      <c r="B225" s="13">
        <v>46240.550856481481</v>
      </c>
      <c r="C225" s="12" t="s">
        <v>548</v>
      </c>
      <c r="D225" s="12" t="s">
        <v>472</v>
      </c>
      <c r="E225" s="26" t="str">
        <f t="shared" si="21"/>
        <v>EC40166</v>
      </c>
      <c r="F225" s="27" t="str">
        <f t="shared" si="22"/>
        <v>GRIS</v>
      </c>
      <c r="G225" s="27">
        <f>+VLOOKUP(F225,[1]base!A:B,2,0)</f>
        <v>22</v>
      </c>
      <c r="H225" s="12">
        <v>50</v>
      </c>
      <c r="I225" s="12">
        <v>50</v>
      </c>
      <c r="J225" s="14"/>
      <c r="K225" s="14" t="s">
        <v>61</v>
      </c>
      <c r="L225" s="12" t="s">
        <v>554</v>
      </c>
      <c r="M225" s="12" t="s">
        <v>150</v>
      </c>
      <c r="N225" s="12">
        <v>50</v>
      </c>
      <c r="O225" s="12">
        <v>50</v>
      </c>
      <c r="P225" s="12">
        <v>0</v>
      </c>
      <c r="Q225" s="16">
        <v>80</v>
      </c>
      <c r="R225" s="16">
        <v>0</v>
      </c>
      <c r="S225" s="16"/>
      <c r="T225" s="28">
        <v>50</v>
      </c>
      <c r="U225" s="28"/>
      <c r="V225" s="29">
        <f>+VLOOKUP(E225,[1]base!D:K,8,0)</f>
        <v>1.482</v>
      </c>
      <c r="W225" s="29">
        <f t="shared" si="23"/>
        <v>74.099999999999994</v>
      </c>
      <c r="X225" s="29">
        <f t="shared" si="24"/>
        <v>3.8531999999999997</v>
      </c>
      <c r="Y225" s="29">
        <f>+VLOOKUP(E225,[1]base!D:E,2,0)</f>
        <v>20</v>
      </c>
      <c r="Z225" s="29">
        <f t="shared" si="25"/>
        <v>3</v>
      </c>
      <c r="AA225" s="29">
        <f t="shared" si="26"/>
        <v>0.20000000000000007</v>
      </c>
      <c r="AB225" s="29">
        <f>+VLOOKUP(E225,[1]base!M:N,2,0)</f>
        <v>245</v>
      </c>
      <c r="AC225" s="29">
        <f>+VLOOKUP(E225,[1]base!M:Q,5,0)</f>
        <v>2305.5454545454545</v>
      </c>
      <c r="AD225" s="30">
        <f>+VLOOKUP(E225,[1]base!M:P,4,0)</f>
        <v>2.7777777777777776E-2</v>
      </c>
      <c r="AE225" s="31">
        <f t="shared" si="27"/>
        <v>66.694444444444443</v>
      </c>
    </row>
    <row r="226" spans="1:31" x14ac:dyDescent="0.25">
      <c r="A226" s="12" t="s">
        <v>953</v>
      </c>
      <c r="B226" s="13">
        <v>46263.483680555553</v>
      </c>
      <c r="C226" s="12" t="s">
        <v>423</v>
      </c>
      <c r="D226" s="12" t="s">
        <v>472</v>
      </c>
      <c r="E226" s="26" t="str">
        <f t="shared" si="21"/>
        <v>EC40166</v>
      </c>
      <c r="F226" s="27" t="str">
        <f t="shared" si="22"/>
        <v>GRIS</v>
      </c>
      <c r="G226" s="27">
        <f>+VLOOKUP(F226,[1]base!A:B,2,0)</f>
        <v>22</v>
      </c>
      <c r="H226" s="12">
        <v>100</v>
      </c>
      <c r="I226" s="12">
        <v>100</v>
      </c>
      <c r="J226" s="14"/>
      <c r="K226" s="14" t="s">
        <v>61</v>
      </c>
      <c r="L226" s="12" t="s">
        <v>958</v>
      </c>
      <c r="M226" s="12" t="s">
        <v>150</v>
      </c>
      <c r="N226" s="12">
        <v>100</v>
      </c>
      <c r="O226" s="12">
        <v>100</v>
      </c>
      <c r="P226" s="12">
        <v>0</v>
      </c>
      <c r="Q226" s="16">
        <v>100</v>
      </c>
      <c r="R226" s="16">
        <v>0</v>
      </c>
      <c r="S226" s="16"/>
      <c r="T226" s="28">
        <v>100</v>
      </c>
      <c r="U226" s="28"/>
      <c r="V226" s="29">
        <f>+VLOOKUP(E226,[1]base!D:K,8,0)</f>
        <v>1.482</v>
      </c>
      <c r="W226" s="29">
        <f t="shared" si="23"/>
        <v>148.19999999999999</v>
      </c>
      <c r="X226" s="29">
        <f t="shared" si="24"/>
        <v>7.7063999999999995</v>
      </c>
      <c r="Y226" s="29">
        <f>+VLOOKUP(E226,[1]base!D:E,2,0)</f>
        <v>20</v>
      </c>
      <c r="Z226" s="29">
        <f t="shared" si="25"/>
        <v>5</v>
      </c>
      <c r="AA226" s="29">
        <f t="shared" si="26"/>
        <v>0.33333333333333348</v>
      </c>
      <c r="AB226" s="29">
        <f>+VLOOKUP(E226,[1]base!M:N,2,0)</f>
        <v>245</v>
      </c>
      <c r="AC226" s="29">
        <f>+VLOOKUP(E226,[1]base!M:Q,5,0)</f>
        <v>2305.5454545454545</v>
      </c>
      <c r="AD226" s="30">
        <f>+VLOOKUP(E226,[1]base!M:P,4,0)</f>
        <v>2.7777777777777776E-2</v>
      </c>
      <c r="AE226" s="31">
        <f t="shared" si="27"/>
        <v>66.694444444444443</v>
      </c>
    </row>
    <row r="227" spans="1:31" x14ac:dyDescent="0.25">
      <c r="A227" s="12" t="s">
        <v>983</v>
      </c>
      <c r="B227" s="13">
        <v>46265.499872685185</v>
      </c>
      <c r="C227" s="12" t="s">
        <v>986</v>
      </c>
      <c r="D227" s="12" t="s">
        <v>472</v>
      </c>
      <c r="E227" s="26" t="str">
        <f t="shared" si="21"/>
        <v>EC40166</v>
      </c>
      <c r="F227" s="27" t="str">
        <f t="shared" si="22"/>
        <v>GRIS</v>
      </c>
      <c r="G227" s="27">
        <f>+VLOOKUP(F227,[1]base!A:B,2,0)</f>
        <v>22</v>
      </c>
      <c r="H227" s="12">
        <v>100</v>
      </c>
      <c r="I227" s="12">
        <v>100</v>
      </c>
      <c r="J227" s="14"/>
      <c r="K227" s="14" t="s">
        <v>61</v>
      </c>
      <c r="L227" s="12" t="s">
        <v>990</v>
      </c>
      <c r="M227" s="12" t="s">
        <v>150</v>
      </c>
      <c r="N227" s="12">
        <v>100</v>
      </c>
      <c r="O227" s="12">
        <v>100</v>
      </c>
      <c r="P227" s="12">
        <v>0</v>
      </c>
      <c r="Q227" s="16">
        <v>100</v>
      </c>
      <c r="R227" s="16">
        <v>0</v>
      </c>
      <c r="S227" s="16"/>
      <c r="T227" s="28">
        <v>100</v>
      </c>
      <c r="U227" s="28"/>
      <c r="V227" s="29">
        <f>+VLOOKUP(E227,[1]base!D:K,8,0)</f>
        <v>1.482</v>
      </c>
      <c r="W227" s="29">
        <f t="shared" si="23"/>
        <v>148.19999999999999</v>
      </c>
      <c r="X227" s="29">
        <f t="shared" si="24"/>
        <v>7.7063999999999995</v>
      </c>
      <c r="Y227" s="29">
        <f>+VLOOKUP(E227,[1]base!D:E,2,0)</f>
        <v>20</v>
      </c>
      <c r="Z227" s="29">
        <f t="shared" si="25"/>
        <v>5</v>
      </c>
      <c r="AA227" s="29">
        <f t="shared" si="26"/>
        <v>0.33333333333333348</v>
      </c>
      <c r="AB227" s="29">
        <f>+VLOOKUP(E227,[1]base!M:N,2,0)</f>
        <v>245</v>
      </c>
      <c r="AC227" s="29">
        <f>+VLOOKUP(E227,[1]base!M:Q,5,0)</f>
        <v>2305.5454545454545</v>
      </c>
      <c r="AD227" s="30">
        <f>+VLOOKUP(E227,[1]base!M:P,4,0)</f>
        <v>2.7777777777777776E-2</v>
      </c>
      <c r="AE227" s="31">
        <f t="shared" si="27"/>
        <v>66.694444444444443</v>
      </c>
    </row>
    <row r="228" spans="1:31" x14ac:dyDescent="0.25">
      <c r="A228" s="12" t="s">
        <v>1260</v>
      </c>
      <c r="B228" s="13">
        <v>46268.598344907405</v>
      </c>
      <c r="C228" s="12" t="s">
        <v>522</v>
      </c>
      <c r="D228" s="12" t="s">
        <v>472</v>
      </c>
      <c r="E228" s="26" t="str">
        <f t="shared" si="21"/>
        <v>EC40166</v>
      </c>
      <c r="F228" s="27" t="str">
        <f t="shared" si="22"/>
        <v>GRIS</v>
      </c>
      <c r="G228" s="27">
        <f>+VLOOKUP(F228,[1]base!A:B,2,0)</f>
        <v>22</v>
      </c>
      <c r="H228" s="12">
        <v>60</v>
      </c>
      <c r="I228" s="12">
        <v>60</v>
      </c>
      <c r="J228" s="14"/>
      <c r="K228" s="14" t="s">
        <v>61</v>
      </c>
      <c r="L228" s="12" t="s">
        <v>1268</v>
      </c>
      <c r="M228" s="12" t="s">
        <v>150</v>
      </c>
      <c r="N228" s="12">
        <v>60</v>
      </c>
      <c r="O228" s="12">
        <v>60</v>
      </c>
      <c r="P228" s="12">
        <v>0</v>
      </c>
      <c r="Q228" s="16">
        <v>60</v>
      </c>
      <c r="R228" s="16">
        <v>0</v>
      </c>
      <c r="S228" s="16"/>
      <c r="T228" s="28">
        <v>60</v>
      </c>
      <c r="U228" s="28"/>
      <c r="V228" s="29">
        <f>+VLOOKUP(E228,[1]base!D:K,8,0)</f>
        <v>1.482</v>
      </c>
      <c r="W228" s="29">
        <f t="shared" si="23"/>
        <v>88.92</v>
      </c>
      <c r="X228" s="29">
        <f t="shared" si="24"/>
        <v>4.6238399999999995</v>
      </c>
      <c r="Y228" s="29">
        <f>+VLOOKUP(E228,[1]base!D:E,2,0)</f>
        <v>20</v>
      </c>
      <c r="Z228" s="29">
        <f t="shared" si="25"/>
        <v>3</v>
      </c>
      <c r="AA228" s="29">
        <f t="shared" si="26"/>
        <v>0.20000000000000007</v>
      </c>
      <c r="AB228" s="29">
        <f>+VLOOKUP(E228,[1]base!M:N,2,0)</f>
        <v>245</v>
      </c>
      <c r="AC228" s="29">
        <f>+VLOOKUP(E228,[1]base!M:Q,5,0)</f>
        <v>2305.5454545454545</v>
      </c>
      <c r="AD228" s="30">
        <f>+VLOOKUP(E228,[1]base!M:P,4,0)</f>
        <v>2.7777777777777776E-2</v>
      </c>
      <c r="AE228" s="31">
        <f t="shared" si="27"/>
        <v>66.694444444444443</v>
      </c>
    </row>
    <row r="229" spans="1:31" x14ac:dyDescent="0.25">
      <c r="A229" s="12" t="s">
        <v>1549</v>
      </c>
      <c r="B229" s="13">
        <v>46274.600347222222</v>
      </c>
      <c r="C229" s="12" t="s">
        <v>465</v>
      </c>
      <c r="D229" s="12" t="s">
        <v>472</v>
      </c>
      <c r="E229" s="26" t="str">
        <f t="shared" si="21"/>
        <v>EC40166</v>
      </c>
      <c r="F229" s="27" t="str">
        <f t="shared" si="22"/>
        <v>GRIS</v>
      </c>
      <c r="G229" s="27">
        <f>+VLOOKUP(F229,[1]base!A:B,2,0)</f>
        <v>22</v>
      </c>
      <c r="H229" s="12">
        <v>40</v>
      </c>
      <c r="I229" s="12">
        <v>40</v>
      </c>
      <c r="J229" s="14"/>
      <c r="K229" s="14" t="s">
        <v>61</v>
      </c>
      <c r="L229" s="12" t="s">
        <v>1553</v>
      </c>
      <c r="M229" s="12" t="s">
        <v>150</v>
      </c>
      <c r="N229" s="12">
        <v>40</v>
      </c>
      <c r="O229" s="12">
        <v>40</v>
      </c>
      <c r="P229" s="12">
        <v>0</v>
      </c>
      <c r="Q229" s="16">
        <v>40</v>
      </c>
      <c r="R229" s="16">
        <v>0</v>
      </c>
      <c r="S229" s="16"/>
      <c r="T229" s="28">
        <v>40</v>
      </c>
      <c r="U229" s="28"/>
      <c r="V229" s="29">
        <f>+VLOOKUP(E229,[1]base!D:K,8,0)</f>
        <v>1.482</v>
      </c>
      <c r="W229" s="29">
        <f t="shared" si="23"/>
        <v>59.28</v>
      </c>
      <c r="X229" s="29">
        <f t="shared" si="24"/>
        <v>3.08256</v>
      </c>
      <c r="Y229" s="29">
        <f>+VLOOKUP(E229,[1]base!D:E,2,0)</f>
        <v>20</v>
      </c>
      <c r="Z229" s="29">
        <f t="shared" si="25"/>
        <v>2</v>
      </c>
      <c r="AA229" s="29">
        <f t="shared" si="26"/>
        <v>0.13333333333333339</v>
      </c>
      <c r="AB229" s="29">
        <f>+VLOOKUP(E229,[1]base!M:N,2,0)</f>
        <v>245</v>
      </c>
      <c r="AC229" s="29">
        <f>+VLOOKUP(E229,[1]base!M:Q,5,0)</f>
        <v>2305.5454545454545</v>
      </c>
      <c r="AD229" s="30">
        <f>+VLOOKUP(E229,[1]base!M:P,4,0)</f>
        <v>2.7777777777777776E-2</v>
      </c>
      <c r="AE229" s="31">
        <f t="shared" si="27"/>
        <v>66.694444444444443</v>
      </c>
    </row>
    <row r="230" spans="1:31" x14ac:dyDescent="0.25">
      <c r="A230" s="12" t="s">
        <v>706</v>
      </c>
      <c r="B230" s="13">
        <v>46254.622511574074</v>
      </c>
      <c r="C230" s="12" t="s">
        <v>522</v>
      </c>
      <c r="D230" s="12" t="s">
        <v>442</v>
      </c>
      <c r="E230" s="26" t="str">
        <f t="shared" si="21"/>
        <v>EC40166</v>
      </c>
      <c r="F230" s="27" t="str">
        <f t="shared" si="22"/>
        <v>NOIR</v>
      </c>
      <c r="G230" s="27">
        <f>+VLOOKUP(F230,[1]base!A:B,2,0)</f>
        <v>37</v>
      </c>
      <c r="H230" s="12">
        <v>30</v>
      </c>
      <c r="I230" s="12">
        <v>30</v>
      </c>
      <c r="J230" s="14"/>
      <c r="K230" s="14" t="s">
        <v>61</v>
      </c>
      <c r="L230" s="12" t="s">
        <v>707</v>
      </c>
      <c r="M230" s="12" t="s">
        <v>150</v>
      </c>
      <c r="N230" s="12">
        <v>30</v>
      </c>
      <c r="O230" s="12">
        <v>30</v>
      </c>
      <c r="P230" s="12">
        <v>0</v>
      </c>
      <c r="Q230" s="16">
        <v>60</v>
      </c>
      <c r="R230" s="16">
        <v>0</v>
      </c>
      <c r="S230" s="16"/>
      <c r="T230" s="28">
        <v>30</v>
      </c>
      <c r="U230" s="28"/>
      <c r="V230" s="29">
        <f>+VLOOKUP(E230,[1]base!D:K,8,0)</f>
        <v>1.482</v>
      </c>
      <c r="W230" s="29">
        <f t="shared" si="23"/>
        <v>44.46</v>
      </c>
      <c r="X230" s="29">
        <f t="shared" si="24"/>
        <v>2.3119199999999998</v>
      </c>
      <c r="Y230" s="29">
        <f>+VLOOKUP(E230,[1]base!D:E,2,0)</f>
        <v>20</v>
      </c>
      <c r="Z230" s="29">
        <f t="shared" si="25"/>
        <v>2</v>
      </c>
      <c r="AA230" s="29">
        <f t="shared" si="26"/>
        <v>0.13333333333333339</v>
      </c>
      <c r="AB230" s="29">
        <f>+VLOOKUP(E230,[1]base!M:N,2,0)</f>
        <v>245</v>
      </c>
      <c r="AC230" s="29">
        <f>+VLOOKUP(E230,[1]base!M:Q,5,0)</f>
        <v>2305.5454545454545</v>
      </c>
      <c r="AD230" s="30">
        <f>+VLOOKUP(E230,[1]base!M:P,4,0)</f>
        <v>2.7777777777777776E-2</v>
      </c>
      <c r="AE230" s="31">
        <f t="shared" si="27"/>
        <v>66.694444444444443</v>
      </c>
    </row>
    <row r="231" spans="1:31" x14ac:dyDescent="0.25">
      <c r="A231" s="12" t="s">
        <v>750</v>
      </c>
      <c r="B231" s="13">
        <v>46256.457442129627</v>
      </c>
      <c r="C231" s="12" t="s">
        <v>751</v>
      </c>
      <c r="D231" s="12" t="s">
        <v>442</v>
      </c>
      <c r="E231" s="26" t="str">
        <f t="shared" si="21"/>
        <v>EC40166</v>
      </c>
      <c r="F231" s="27" t="str">
        <f t="shared" si="22"/>
        <v>NOIR</v>
      </c>
      <c r="G231" s="27">
        <f>+VLOOKUP(F231,[1]base!A:B,2,0)</f>
        <v>37</v>
      </c>
      <c r="H231" s="12">
        <v>50</v>
      </c>
      <c r="I231" s="12">
        <v>50</v>
      </c>
      <c r="J231" s="14"/>
      <c r="K231" s="14" t="s">
        <v>61</v>
      </c>
      <c r="L231" s="12" t="s">
        <v>752</v>
      </c>
      <c r="M231" s="12" t="s">
        <v>150</v>
      </c>
      <c r="N231" s="12">
        <v>50</v>
      </c>
      <c r="O231" s="12">
        <v>50</v>
      </c>
      <c r="P231" s="12">
        <v>0</v>
      </c>
      <c r="Q231" s="16">
        <v>100</v>
      </c>
      <c r="R231" s="16">
        <v>0</v>
      </c>
      <c r="S231" s="16"/>
      <c r="T231" s="28">
        <v>50</v>
      </c>
      <c r="U231" s="28"/>
      <c r="V231" s="29">
        <f>+VLOOKUP(E231,[1]base!D:K,8,0)</f>
        <v>1.482</v>
      </c>
      <c r="W231" s="29">
        <f t="shared" si="23"/>
        <v>74.099999999999994</v>
      </c>
      <c r="X231" s="29">
        <f t="shared" si="24"/>
        <v>3.8531999999999997</v>
      </c>
      <c r="Y231" s="29">
        <f>+VLOOKUP(E231,[1]base!D:E,2,0)</f>
        <v>20</v>
      </c>
      <c r="Z231" s="29">
        <f t="shared" si="25"/>
        <v>3</v>
      </c>
      <c r="AA231" s="29">
        <f t="shared" si="26"/>
        <v>0.20000000000000007</v>
      </c>
      <c r="AB231" s="29">
        <f>+VLOOKUP(E231,[1]base!M:N,2,0)</f>
        <v>245</v>
      </c>
      <c r="AC231" s="29">
        <f>+VLOOKUP(E231,[1]base!M:Q,5,0)</f>
        <v>2305.5454545454545</v>
      </c>
      <c r="AD231" s="30">
        <f>+VLOOKUP(E231,[1]base!M:P,4,0)</f>
        <v>2.7777777777777776E-2</v>
      </c>
      <c r="AE231" s="31">
        <f t="shared" si="27"/>
        <v>66.694444444444443</v>
      </c>
    </row>
    <row r="232" spans="1:31" x14ac:dyDescent="0.25">
      <c r="A232" s="12" t="s">
        <v>923</v>
      </c>
      <c r="B232" s="13">
        <v>46262.577372685184</v>
      </c>
      <c r="C232" s="12" t="s">
        <v>511</v>
      </c>
      <c r="D232" s="12" t="s">
        <v>442</v>
      </c>
      <c r="E232" s="26" t="str">
        <f t="shared" si="21"/>
        <v>EC40166</v>
      </c>
      <c r="F232" s="27" t="str">
        <f t="shared" si="22"/>
        <v>NOIR</v>
      </c>
      <c r="G232" s="27">
        <f>+VLOOKUP(F232,[1]base!A:B,2,0)</f>
        <v>37</v>
      </c>
      <c r="H232" s="12">
        <v>20</v>
      </c>
      <c r="I232" s="12">
        <v>20</v>
      </c>
      <c r="J232" s="14"/>
      <c r="K232" s="14" t="s">
        <v>61</v>
      </c>
      <c r="L232" s="12" t="s">
        <v>925</v>
      </c>
      <c r="M232" s="12" t="s">
        <v>150</v>
      </c>
      <c r="N232" s="12">
        <v>20</v>
      </c>
      <c r="O232" s="12">
        <v>20</v>
      </c>
      <c r="P232" s="12">
        <v>0</v>
      </c>
      <c r="Q232" s="16">
        <v>20</v>
      </c>
      <c r="R232" s="16">
        <v>0</v>
      </c>
      <c r="S232" s="16"/>
      <c r="T232" s="28">
        <v>20</v>
      </c>
      <c r="U232" s="28"/>
      <c r="V232" s="29">
        <f>+VLOOKUP(E232,[1]base!D:K,8,0)</f>
        <v>1.482</v>
      </c>
      <c r="W232" s="29">
        <f t="shared" si="23"/>
        <v>29.64</v>
      </c>
      <c r="X232" s="29">
        <f t="shared" si="24"/>
        <v>1.54128</v>
      </c>
      <c r="Y232" s="29">
        <f>+VLOOKUP(E232,[1]base!D:E,2,0)</f>
        <v>20</v>
      </c>
      <c r="Z232" s="29">
        <f t="shared" si="25"/>
        <v>1</v>
      </c>
      <c r="AA232" s="29">
        <f t="shared" si="26"/>
        <v>6.6666666666666693E-2</v>
      </c>
      <c r="AB232" s="29">
        <f>+VLOOKUP(E232,[1]base!M:N,2,0)</f>
        <v>245</v>
      </c>
      <c r="AC232" s="29">
        <f>+VLOOKUP(E232,[1]base!M:Q,5,0)</f>
        <v>2305.5454545454545</v>
      </c>
      <c r="AD232" s="30">
        <f>+VLOOKUP(E232,[1]base!M:P,4,0)</f>
        <v>2.7777777777777776E-2</v>
      </c>
      <c r="AE232" s="31">
        <f t="shared" si="27"/>
        <v>66.694444444444443</v>
      </c>
    </row>
    <row r="233" spans="1:31" x14ac:dyDescent="0.25">
      <c r="A233" s="12" t="s">
        <v>1082</v>
      </c>
      <c r="B233" s="13">
        <v>46266.490532407406</v>
      </c>
      <c r="C233" s="12" t="s">
        <v>505</v>
      </c>
      <c r="D233" s="12" t="s">
        <v>442</v>
      </c>
      <c r="E233" s="26" t="str">
        <f t="shared" si="21"/>
        <v>EC40166</v>
      </c>
      <c r="F233" s="27" t="str">
        <f t="shared" si="22"/>
        <v>NOIR</v>
      </c>
      <c r="G233" s="27">
        <f>+VLOOKUP(F233,[1]base!A:B,2,0)</f>
        <v>37</v>
      </c>
      <c r="H233" s="12">
        <v>30</v>
      </c>
      <c r="I233" s="12">
        <v>30</v>
      </c>
      <c r="J233" s="14"/>
      <c r="K233" s="14" t="s">
        <v>61</v>
      </c>
      <c r="L233" s="12" t="s">
        <v>1086</v>
      </c>
      <c r="M233" s="12" t="s">
        <v>150</v>
      </c>
      <c r="N233" s="12">
        <v>30</v>
      </c>
      <c r="O233" s="12">
        <v>30</v>
      </c>
      <c r="P233" s="12">
        <v>0</v>
      </c>
      <c r="Q233" s="16">
        <v>30</v>
      </c>
      <c r="R233" s="16">
        <v>0</v>
      </c>
      <c r="S233" s="16"/>
      <c r="T233" s="28">
        <v>30</v>
      </c>
      <c r="U233" s="28"/>
      <c r="V233" s="29">
        <f>+VLOOKUP(E233,[1]base!D:K,8,0)</f>
        <v>1.482</v>
      </c>
      <c r="W233" s="29">
        <f t="shared" si="23"/>
        <v>44.46</v>
      </c>
      <c r="X233" s="29">
        <f t="shared" si="24"/>
        <v>2.3119199999999998</v>
      </c>
      <c r="Y233" s="29">
        <f>+VLOOKUP(E233,[1]base!D:E,2,0)</f>
        <v>20</v>
      </c>
      <c r="Z233" s="29">
        <f t="shared" si="25"/>
        <v>2</v>
      </c>
      <c r="AA233" s="29">
        <f t="shared" si="26"/>
        <v>0.13333333333333339</v>
      </c>
      <c r="AB233" s="29">
        <f>+VLOOKUP(E233,[1]base!M:N,2,0)</f>
        <v>245</v>
      </c>
      <c r="AC233" s="29">
        <f>+VLOOKUP(E233,[1]base!M:Q,5,0)</f>
        <v>2305.5454545454545</v>
      </c>
      <c r="AD233" s="30">
        <f>+VLOOKUP(E233,[1]base!M:P,4,0)</f>
        <v>2.7777777777777776E-2</v>
      </c>
      <c r="AE233" s="31">
        <f t="shared" si="27"/>
        <v>66.694444444444443</v>
      </c>
    </row>
    <row r="234" spans="1:31" x14ac:dyDescent="0.25">
      <c r="A234" s="12" t="s">
        <v>1162</v>
      </c>
      <c r="B234" s="13">
        <v>46267.43309027778</v>
      </c>
      <c r="C234" s="12" t="s">
        <v>627</v>
      </c>
      <c r="D234" s="12" t="s">
        <v>442</v>
      </c>
      <c r="E234" s="26" t="str">
        <f t="shared" si="21"/>
        <v>EC40166</v>
      </c>
      <c r="F234" s="27" t="str">
        <f t="shared" si="22"/>
        <v>NOIR</v>
      </c>
      <c r="G234" s="27">
        <f>+VLOOKUP(F234,[1]base!A:B,2,0)</f>
        <v>37</v>
      </c>
      <c r="H234" s="12">
        <v>40</v>
      </c>
      <c r="I234" s="12">
        <v>40</v>
      </c>
      <c r="J234" s="14"/>
      <c r="K234" s="14" t="s">
        <v>61</v>
      </c>
      <c r="L234" s="12" t="s">
        <v>1182</v>
      </c>
      <c r="M234" s="12" t="s">
        <v>150</v>
      </c>
      <c r="N234" s="12">
        <v>40</v>
      </c>
      <c r="O234" s="12">
        <v>40</v>
      </c>
      <c r="P234" s="12">
        <v>0</v>
      </c>
      <c r="Q234" s="16">
        <v>40</v>
      </c>
      <c r="R234" s="16">
        <v>0</v>
      </c>
      <c r="S234" s="16"/>
      <c r="T234" s="28">
        <v>40</v>
      </c>
      <c r="U234" s="28"/>
      <c r="V234" s="29">
        <f>+VLOOKUP(E234,[1]base!D:K,8,0)</f>
        <v>1.482</v>
      </c>
      <c r="W234" s="29">
        <f t="shared" si="23"/>
        <v>59.28</v>
      </c>
      <c r="X234" s="29">
        <f t="shared" si="24"/>
        <v>3.08256</v>
      </c>
      <c r="Y234" s="29">
        <f>+VLOOKUP(E234,[1]base!D:E,2,0)</f>
        <v>20</v>
      </c>
      <c r="Z234" s="29">
        <f t="shared" si="25"/>
        <v>2</v>
      </c>
      <c r="AA234" s="29">
        <f t="shared" si="26"/>
        <v>0.13333333333333339</v>
      </c>
      <c r="AB234" s="29">
        <f>+VLOOKUP(E234,[1]base!M:N,2,0)</f>
        <v>245</v>
      </c>
      <c r="AC234" s="29">
        <f>+VLOOKUP(E234,[1]base!M:Q,5,0)</f>
        <v>2305.5454545454545</v>
      </c>
      <c r="AD234" s="30">
        <f>+VLOOKUP(E234,[1]base!M:P,4,0)</f>
        <v>2.7777777777777776E-2</v>
      </c>
      <c r="AE234" s="31">
        <f t="shared" si="27"/>
        <v>66.694444444444443</v>
      </c>
    </row>
    <row r="235" spans="1:31" x14ac:dyDescent="0.25">
      <c r="A235" s="12" t="s">
        <v>1264</v>
      </c>
      <c r="B235" s="13">
        <v>46268.598958333336</v>
      </c>
      <c r="C235" s="12" t="s">
        <v>522</v>
      </c>
      <c r="D235" s="12" t="s">
        <v>442</v>
      </c>
      <c r="E235" s="26" t="str">
        <f t="shared" si="21"/>
        <v>EC40166</v>
      </c>
      <c r="F235" s="27" t="str">
        <f t="shared" si="22"/>
        <v>NOIR</v>
      </c>
      <c r="G235" s="27">
        <f>+VLOOKUP(F235,[1]base!A:B,2,0)</f>
        <v>37</v>
      </c>
      <c r="H235" s="12">
        <v>80</v>
      </c>
      <c r="I235" s="12">
        <v>80</v>
      </c>
      <c r="J235" s="14"/>
      <c r="K235" s="14" t="s">
        <v>61</v>
      </c>
      <c r="L235" s="12" t="s">
        <v>1284</v>
      </c>
      <c r="M235" s="12" t="s">
        <v>150</v>
      </c>
      <c r="N235" s="12">
        <v>80</v>
      </c>
      <c r="O235" s="12">
        <v>80</v>
      </c>
      <c r="P235" s="12">
        <v>0</v>
      </c>
      <c r="Q235" s="16">
        <v>80</v>
      </c>
      <c r="R235" s="16">
        <v>0</v>
      </c>
      <c r="S235" s="16"/>
      <c r="T235" s="28">
        <v>80</v>
      </c>
      <c r="U235" s="28"/>
      <c r="V235" s="29">
        <f>+VLOOKUP(E235,[1]base!D:K,8,0)</f>
        <v>1.482</v>
      </c>
      <c r="W235" s="29">
        <f t="shared" si="23"/>
        <v>118.56</v>
      </c>
      <c r="X235" s="29">
        <f t="shared" si="24"/>
        <v>6.1651199999999999</v>
      </c>
      <c r="Y235" s="29">
        <f>+VLOOKUP(E235,[1]base!D:E,2,0)</f>
        <v>20</v>
      </c>
      <c r="Z235" s="29">
        <f t="shared" si="25"/>
        <v>4</v>
      </c>
      <c r="AA235" s="29">
        <f t="shared" si="26"/>
        <v>0.26666666666666677</v>
      </c>
      <c r="AB235" s="29">
        <f>+VLOOKUP(E235,[1]base!M:N,2,0)</f>
        <v>245</v>
      </c>
      <c r="AC235" s="29">
        <f>+VLOOKUP(E235,[1]base!M:Q,5,0)</f>
        <v>2305.5454545454545</v>
      </c>
      <c r="AD235" s="30">
        <f>+VLOOKUP(E235,[1]base!M:P,4,0)</f>
        <v>2.7777777777777776E-2</v>
      </c>
      <c r="AE235" s="31">
        <f t="shared" si="27"/>
        <v>66.694444444444443</v>
      </c>
    </row>
    <row r="236" spans="1:31" x14ac:dyDescent="0.25">
      <c r="A236" s="12" t="s">
        <v>1021</v>
      </c>
      <c r="B236" s="13">
        <v>46266.424675925926</v>
      </c>
      <c r="C236" s="12" t="s">
        <v>24</v>
      </c>
      <c r="D236" s="12" t="s">
        <v>1035</v>
      </c>
      <c r="E236" s="26" t="str">
        <f t="shared" si="21"/>
        <v>EC40166</v>
      </c>
      <c r="F236" s="27" t="str">
        <f t="shared" si="22"/>
        <v>DARK</v>
      </c>
      <c r="G236" s="27">
        <f>+VLOOKUP(F236,[1]base!A:B,2,0)</f>
        <v>38</v>
      </c>
      <c r="H236" s="12">
        <v>10</v>
      </c>
      <c r="I236" s="12">
        <v>10</v>
      </c>
      <c r="J236" s="14"/>
      <c r="K236" s="14" t="s">
        <v>61</v>
      </c>
      <c r="L236" s="12" t="s">
        <v>1064</v>
      </c>
      <c r="M236" s="12" t="s">
        <v>150</v>
      </c>
      <c r="N236" s="12">
        <v>10</v>
      </c>
      <c r="O236" s="12">
        <v>10</v>
      </c>
      <c r="P236" s="12">
        <v>0</v>
      </c>
      <c r="Q236" s="16">
        <v>10</v>
      </c>
      <c r="R236" s="16">
        <v>0</v>
      </c>
      <c r="S236" s="16"/>
      <c r="T236" s="28">
        <v>10</v>
      </c>
      <c r="U236" s="28"/>
      <c r="V236" s="29">
        <f>+VLOOKUP(E236,[1]base!D:K,8,0)</f>
        <v>1.482</v>
      </c>
      <c r="W236" s="29">
        <f t="shared" si="23"/>
        <v>14.82</v>
      </c>
      <c r="X236" s="29">
        <f t="shared" si="24"/>
        <v>0.77063999999999999</v>
      </c>
      <c r="Y236" s="29">
        <f>+VLOOKUP(E236,[1]base!D:E,2,0)</f>
        <v>20</v>
      </c>
      <c r="Z236" s="29">
        <f t="shared" si="25"/>
        <v>1</v>
      </c>
      <c r="AA236" s="29">
        <f t="shared" si="26"/>
        <v>6.6666666666666693E-2</v>
      </c>
      <c r="AB236" s="29">
        <f>+VLOOKUP(E236,[1]base!M:N,2,0)</f>
        <v>245</v>
      </c>
      <c r="AC236" s="29">
        <f>+VLOOKUP(E236,[1]base!M:Q,5,0)</f>
        <v>2305.5454545454545</v>
      </c>
      <c r="AD236" s="30">
        <f>+VLOOKUP(E236,[1]base!M:P,4,0)</f>
        <v>2.7777777777777776E-2</v>
      </c>
      <c r="AE236" s="31">
        <f t="shared" si="27"/>
        <v>66.694444444444443</v>
      </c>
    </row>
    <row r="237" spans="1:31" x14ac:dyDescent="0.25">
      <c r="A237" s="12"/>
      <c r="B237" s="13"/>
      <c r="C237" s="12"/>
      <c r="D237" s="12" t="s">
        <v>525</v>
      </c>
      <c r="E237" s="26" t="str">
        <f t="shared" si="21"/>
        <v>EC40402</v>
      </c>
      <c r="F237" s="27" t="str">
        <f t="shared" si="22"/>
        <v>BLC</v>
      </c>
      <c r="G237" s="27">
        <f>+VLOOKUP(F237,[1]base!A:B,2,0)</f>
        <v>1</v>
      </c>
      <c r="H237" s="12">
        <v>60</v>
      </c>
      <c r="I237" s="12">
        <v>60</v>
      </c>
      <c r="J237" s="14"/>
      <c r="K237" s="14" t="s">
        <v>26</v>
      </c>
      <c r="L237" s="12" t="s">
        <v>27</v>
      </c>
      <c r="M237" s="12" t="s">
        <v>28</v>
      </c>
      <c r="N237" s="12"/>
      <c r="O237" s="12"/>
      <c r="P237" s="12"/>
      <c r="Q237" s="16">
        <v>0</v>
      </c>
      <c r="R237" s="16">
        <v>0</v>
      </c>
      <c r="S237" s="16"/>
      <c r="T237" s="33">
        <v>520</v>
      </c>
      <c r="U237" s="33"/>
      <c r="V237" s="29">
        <f>+VLOOKUP(E237,[1]base!D:K,8,0)</f>
        <v>4.2250000000000005</v>
      </c>
      <c r="W237" s="29">
        <f t="shared" si="23"/>
        <v>2197.0000000000005</v>
      </c>
      <c r="X237" s="29">
        <f t="shared" si="24"/>
        <v>114.24400000000001</v>
      </c>
      <c r="Y237" s="29">
        <f>+VLOOKUP(E237,[1]base!D:E,2,0)</f>
        <v>13</v>
      </c>
      <c r="Z237" s="29">
        <f t="shared" si="25"/>
        <v>40</v>
      </c>
      <c r="AA237" s="29">
        <f t="shared" si="26"/>
        <v>2.6666666666666679</v>
      </c>
      <c r="AB237" s="29">
        <f>+VLOOKUP(E237,[1]base!M:N,2,0)</f>
        <v>2283</v>
      </c>
      <c r="AC237" s="29">
        <f>+VLOOKUP(E237,[1]base!M:Q,5,0)</f>
        <v>1635.090909090909</v>
      </c>
      <c r="AD237" s="30">
        <f>+VLOOKUP(E237,[1]base!M:P,4,0)</f>
        <v>8.4603047313552532E-2</v>
      </c>
      <c r="AE237" s="31">
        <f t="shared" si="27"/>
        <v>491.75124298315956</v>
      </c>
    </row>
    <row r="238" spans="1:31" x14ac:dyDescent="0.25">
      <c r="A238" s="12" t="s">
        <v>547</v>
      </c>
      <c r="B238" s="13">
        <v>46240.550856481481</v>
      </c>
      <c r="C238" s="12" t="s">
        <v>548</v>
      </c>
      <c r="D238" s="12" t="s">
        <v>273</v>
      </c>
      <c r="E238" s="26" t="str">
        <f t="shared" si="21"/>
        <v>EC40402</v>
      </c>
      <c r="F238" s="27" t="str">
        <f t="shared" si="22"/>
        <v>ACAJOU</v>
      </c>
      <c r="G238" s="27">
        <f>+VLOOKUP(F238,[1]base!A:B,2,0)</f>
        <v>15.1</v>
      </c>
      <c r="H238" s="12">
        <v>40</v>
      </c>
      <c r="I238" s="12">
        <v>40</v>
      </c>
      <c r="J238" s="14"/>
      <c r="K238" s="14" t="s">
        <v>61</v>
      </c>
      <c r="L238" s="12" t="s">
        <v>556</v>
      </c>
      <c r="M238" s="12" t="s">
        <v>150</v>
      </c>
      <c r="N238" s="12">
        <v>40</v>
      </c>
      <c r="O238" s="12">
        <v>40</v>
      </c>
      <c r="P238" s="12">
        <v>0</v>
      </c>
      <c r="Q238" s="16">
        <v>120</v>
      </c>
      <c r="R238" s="16">
        <v>0</v>
      </c>
      <c r="S238" s="16"/>
      <c r="T238" s="28">
        <v>40</v>
      </c>
      <c r="U238" s="28"/>
      <c r="V238" s="29">
        <f>+VLOOKUP(E238,[1]base!D:K,8,0)</f>
        <v>4.2250000000000005</v>
      </c>
      <c r="W238" s="29">
        <f t="shared" si="23"/>
        <v>169.00000000000003</v>
      </c>
      <c r="X238" s="29">
        <f t="shared" si="24"/>
        <v>8.7880000000000003</v>
      </c>
      <c r="Y238" s="29">
        <f>+VLOOKUP(E238,[1]base!D:E,2,0)</f>
        <v>13</v>
      </c>
      <c r="Z238" s="29">
        <f t="shared" si="25"/>
        <v>4</v>
      </c>
      <c r="AA238" s="29">
        <f t="shared" si="26"/>
        <v>0.26666666666666677</v>
      </c>
      <c r="AB238" s="29">
        <f>+VLOOKUP(E238,[1]base!M:N,2,0)</f>
        <v>2283</v>
      </c>
      <c r="AC238" s="29">
        <f>+VLOOKUP(E238,[1]base!M:Q,5,0)</f>
        <v>1635.090909090909</v>
      </c>
      <c r="AD238" s="30">
        <f>+VLOOKUP(E238,[1]base!M:P,4,0)</f>
        <v>8.4603047313552532E-2</v>
      </c>
      <c r="AE238" s="31">
        <f t="shared" si="27"/>
        <v>491.75124298315956</v>
      </c>
    </row>
    <row r="239" spans="1:31" x14ac:dyDescent="0.25">
      <c r="A239" s="12" t="s">
        <v>921</v>
      </c>
      <c r="B239" s="13">
        <v>46262.541180555556</v>
      </c>
      <c r="C239" s="12" t="s">
        <v>502</v>
      </c>
      <c r="D239" s="12" t="s">
        <v>273</v>
      </c>
      <c r="E239" s="26" t="str">
        <f t="shared" si="21"/>
        <v>EC40402</v>
      </c>
      <c r="F239" s="27" t="str">
        <f t="shared" si="22"/>
        <v>ACAJOU</v>
      </c>
      <c r="G239" s="27">
        <f>+VLOOKUP(F239,[1]base!A:B,2,0)</f>
        <v>15.1</v>
      </c>
      <c r="H239" s="12">
        <v>4</v>
      </c>
      <c r="I239" s="12">
        <v>4</v>
      </c>
      <c r="J239" s="14"/>
      <c r="K239" s="14" t="s">
        <v>61</v>
      </c>
      <c r="L239" s="12" t="s">
        <v>922</v>
      </c>
      <c r="M239" s="12" t="s">
        <v>150</v>
      </c>
      <c r="N239" s="12">
        <v>4</v>
      </c>
      <c r="O239" s="12">
        <v>4</v>
      </c>
      <c r="P239" s="12">
        <v>0</v>
      </c>
      <c r="Q239" s="16">
        <v>4</v>
      </c>
      <c r="R239" s="16">
        <v>0</v>
      </c>
      <c r="S239" s="16"/>
      <c r="T239" s="28">
        <v>4</v>
      </c>
      <c r="U239" s="28"/>
      <c r="V239" s="29">
        <f>+VLOOKUP(E239,[1]base!D:K,8,0)</f>
        <v>4.2250000000000005</v>
      </c>
      <c r="W239" s="29">
        <f t="shared" si="23"/>
        <v>16.900000000000002</v>
      </c>
      <c r="X239" s="29">
        <f t="shared" si="24"/>
        <v>0.87880000000000003</v>
      </c>
      <c r="Y239" s="29">
        <f>+VLOOKUP(E239,[1]base!D:E,2,0)</f>
        <v>13</v>
      </c>
      <c r="Z239" s="29">
        <f t="shared" si="25"/>
        <v>1</v>
      </c>
      <c r="AA239" s="29">
        <f t="shared" si="26"/>
        <v>6.6666666666666693E-2</v>
      </c>
      <c r="AB239" s="29">
        <f>+VLOOKUP(E239,[1]base!M:N,2,0)</f>
        <v>2283</v>
      </c>
      <c r="AC239" s="29">
        <f>+VLOOKUP(E239,[1]base!M:Q,5,0)</f>
        <v>1635.090909090909</v>
      </c>
      <c r="AD239" s="30">
        <f>+VLOOKUP(E239,[1]base!M:P,4,0)</f>
        <v>8.4603047313552532E-2</v>
      </c>
      <c r="AE239" s="31">
        <f t="shared" si="27"/>
        <v>491.75124298315956</v>
      </c>
    </row>
    <row r="240" spans="1:31" x14ac:dyDescent="0.25">
      <c r="A240" s="12" t="s">
        <v>984</v>
      </c>
      <c r="B240" s="13">
        <v>46265.500104166669</v>
      </c>
      <c r="C240" s="12" t="s">
        <v>986</v>
      </c>
      <c r="D240" s="12" t="s">
        <v>273</v>
      </c>
      <c r="E240" s="26" t="str">
        <f t="shared" si="21"/>
        <v>EC40402</v>
      </c>
      <c r="F240" s="27" t="str">
        <f t="shared" si="22"/>
        <v>ACAJOU</v>
      </c>
      <c r="G240" s="27">
        <f>+VLOOKUP(F240,[1]base!A:B,2,0)</f>
        <v>15.1</v>
      </c>
      <c r="H240" s="12">
        <v>30</v>
      </c>
      <c r="I240" s="12">
        <v>30</v>
      </c>
      <c r="J240" s="14"/>
      <c r="K240" s="14" t="s">
        <v>61</v>
      </c>
      <c r="L240" s="12" t="s">
        <v>999</v>
      </c>
      <c r="M240" s="12" t="s">
        <v>150</v>
      </c>
      <c r="N240" s="12">
        <v>30</v>
      </c>
      <c r="O240" s="12">
        <v>30</v>
      </c>
      <c r="P240" s="12">
        <v>0</v>
      </c>
      <c r="Q240" s="16">
        <v>30</v>
      </c>
      <c r="R240" s="16">
        <v>0</v>
      </c>
      <c r="S240" s="16"/>
      <c r="T240" s="28">
        <v>30</v>
      </c>
      <c r="U240" s="28"/>
      <c r="V240" s="29">
        <f>+VLOOKUP(E240,[1]base!D:K,8,0)</f>
        <v>4.2250000000000005</v>
      </c>
      <c r="W240" s="29">
        <f t="shared" si="23"/>
        <v>126.75000000000001</v>
      </c>
      <c r="X240" s="29">
        <f t="shared" si="24"/>
        <v>6.5910000000000002</v>
      </c>
      <c r="Y240" s="29">
        <f>+VLOOKUP(E240,[1]base!D:E,2,0)</f>
        <v>13</v>
      </c>
      <c r="Z240" s="29">
        <f t="shared" si="25"/>
        <v>3</v>
      </c>
      <c r="AA240" s="29">
        <f t="shared" si="26"/>
        <v>0.20000000000000007</v>
      </c>
      <c r="AB240" s="29">
        <f>+VLOOKUP(E240,[1]base!M:N,2,0)</f>
        <v>2283</v>
      </c>
      <c r="AC240" s="29">
        <f>+VLOOKUP(E240,[1]base!M:Q,5,0)</f>
        <v>1635.090909090909</v>
      </c>
      <c r="AD240" s="30">
        <f>+VLOOKUP(E240,[1]base!M:P,4,0)</f>
        <v>8.4603047313552532E-2</v>
      </c>
      <c r="AE240" s="31">
        <f t="shared" si="27"/>
        <v>491.75124298315956</v>
      </c>
    </row>
    <row r="241" spans="1:31" x14ac:dyDescent="0.25">
      <c r="A241" s="12" t="s">
        <v>985</v>
      </c>
      <c r="B241" s="13">
        <v>46265.519386574073</v>
      </c>
      <c r="C241" s="12" t="s">
        <v>627</v>
      </c>
      <c r="D241" s="12" t="s">
        <v>273</v>
      </c>
      <c r="E241" s="26" t="str">
        <f t="shared" si="21"/>
        <v>EC40402</v>
      </c>
      <c r="F241" s="27" t="str">
        <f t="shared" si="22"/>
        <v>ACAJOU</v>
      </c>
      <c r="G241" s="27">
        <f>+VLOOKUP(F241,[1]base!A:B,2,0)</f>
        <v>15.1</v>
      </c>
      <c r="H241" s="12">
        <v>10</v>
      </c>
      <c r="I241" s="12">
        <v>10</v>
      </c>
      <c r="J241" s="14"/>
      <c r="K241" s="14" t="s">
        <v>61</v>
      </c>
      <c r="L241" s="12" t="s">
        <v>1006</v>
      </c>
      <c r="M241" s="12" t="s">
        <v>150</v>
      </c>
      <c r="N241" s="12">
        <v>10</v>
      </c>
      <c r="O241" s="12">
        <v>10</v>
      </c>
      <c r="P241" s="12">
        <v>0</v>
      </c>
      <c r="Q241" s="16">
        <v>10</v>
      </c>
      <c r="R241" s="16">
        <v>0</v>
      </c>
      <c r="S241" s="16"/>
      <c r="T241" s="28">
        <v>10</v>
      </c>
      <c r="U241" s="28"/>
      <c r="V241" s="29">
        <f>+VLOOKUP(E241,[1]base!D:K,8,0)</f>
        <v>4.2250000000000005</v>
      </c>
      <c r="W241" s="29">
        <f t="shared" si="23"/>
        <v>42.250000000000007</v>
      </c>
      <c r="X241" s="29">
        <f t="shared" si="24"/>
        <v>2.1970000000000001</v>
      </c>
      <c r="Y241" s="29">
        <f>+VLOOKUP(E241,[1]base!D:E,2,0)</f>
        <v>13</v>
      </c>
      <c r="Z241" s="29">
        <f t="shared" si="25"/>
        <v>1</v>
      </c>
      <c r="AA241" s="29">
        <f t="shared" si="26"/>
        <v>6.6666666666666693E-2</v>
      </c>
      <c r="AB241" s="29">
        <f>+VLOOKUP(E241,[1]base!M:N,2,0)</f>
        <v>2283</v>
      </c>
      <c r="AC241" s="29">
        <f>+VLOOKUP(E241,[1]base!M:Q,5,0)</f>
        <v>1635.090909090909</v>
      </c>
      <c r="AD241" s="30">
        <f>+VLOOKUP(E241,[1]base!M:P,4,0)</f>
        <v>8.4603047313552532E-2</v>
      </c>
      <c r="AE241" s="31">
        <f t="shared" si="27"/>
        <v>491.75124298315956</v>
      </c>
    </row>
    <row r="242" spans="1:31" x14ac:dyDescent="0.25">
      <c r="A242" s="12" t="s">
        <v>1197</v>
      </c>
      <c r="B242" s="13">
        <v>46267.551539351851</v>
      </c>
      <c r="C242" s="12" t="s">
        <v>24</v>
      </c>
      <c r="D242" s="12" t="s">
        <v>273</v>
      </c>
      <c r="E242" s="26" t="str">
        <f t="shared" si="21"/>
        <v>EC40402</v>
      </c>
      <c r="F242" s="27" t="str">
        <f t="shared" si="22"/>
        <v>ACAJOU</v>
      </c>
      <c r="G242" s="27">
        <f>+VLOOKUP(F242,[1]base!A:B,2,0)</f>
        <v>15.1</v>
      </c>
      <c r="H242" s="12">
        <v>100</v>
      </c>
      <c r="I242" s="12">
        <v>100</v>
      </c>
      <c r="J242" s="14"/>
      <c r="K242" s="14" t="s">
        <v>61</v>
      </c>
      <c r="L242" s="12" t="s">
        <v>1211</v>
      </c>
      <c r="M242" s="12" t="s">
        <v>150</v>
      </c>
      <c r="N242" s="12">
        <v>100</v>
      </c>
      <c r="O242" s="12">
        <v>100</v>
      </c>
      <c r="P242" s="12">
        <v>0</v>
      </c>
      <c r="Q242" s="16">
        <v>280</v>
      </c>
      <c r="R242" s="16">
        <v>0</v>
      </c>
      <c r="S242" s="16"/>
      <c r="T242" s="28">
        <v>100</v>
      </c>
      <c r="U242" s="28"/>
      <c r="V242" s="29">
        <f>+VLOOKUP(E242,[1]base!D:K,8,0)</f>
        <v>4.2250000000000005</v>
      </c>
      <c r="W242" s="29">
        <f t="shared" si="23"/>
        <v>422.50000000000006</v>
      </c>
      <c r="X242" s="29">
        <f t="shared" si="24"/>
        <v>21.970000000000002</v>
      </c>
      <c r="Y242" s="29">
        <f>+VLOOKUP(E242,[1]base!D:E,2,0)</f>
        <v>13</v>
      </c>
      <c r="Z242" s="29">
        <f t="shared" si="25"/>
        <v>8</v>
      </c>
      <c r="AA242" s="29">
        <f t="shared" si="26"/>
        <v>0.53333333333333355</v>
      </c>
      <c r="AB242" s="29">
        <f>+VLOOKUP(E242,[1]base!M:N,2,0)</f>
        <v>2283</v>
      </c>
      <c r="AC242" s="29">
        <f>+VLOOKUP(E242,[1]base!M:Q,5,0)</f>
        <v>1635.090909090909</v>
      </c>
      <c r="AD242" s="30">
        <f>+VLOOKUP(E242,[1]base!M:P,4,0)</f>
        <v>8.4603047313552532E-2</v>
      </c>
      <c r="AE242" s="31">
        <f t="shared" si="27"/>
        <v>491.75124298315956</v>
      </c>
    </row>
    <row r="243" spans="1:31" x14ac:dyDescent="0.25">
      <c r="A243" s="12" t="s">
        <v>547</v>
      </c>
      <c r="B243" s="13">
        <v>46240.550856481481</v>
      </c>
      <c r="C243" s="12" t="s">
        <v>548</v>
      </c>
      <c r="D243" s="12" t="s">
        <v>559</v>
      </c>
      <c r="E243" s="26" t="str">
        <f t="shared" si="21"/>
        <v>EC40402</v>
      </c>
      <c r="F243" s="27" t="str">
        <f t="shared" si="22"/>
        <v>GRIS</v>
      </c>
      <c r="G243" s="27">
        <f>+VLOOKUP(F243,[1]base!A:B,2,0)</f>
        <v>22</v>
      </c>
      <c r="H243" s="12">
        <v>40</v>
      </c>
      <c r="I243" s="12">
        <v>40</v>
      </c>
      <c r="J243" s="14"/>
      <c r="K243" s="14" t="s">
        <v>61</v>
      </c>
      <c r="L243" s="12" t="s">
        <v>564</v>
      </c>
      <c r="M243" s="12" t="s">
        <v>150</v>
      </c>
      <c r="N243" s="12">
        <v>40</v>
      </c>
      <c r="O243" s="12">
        <v>40</v>
      </c>
      <c r="P243" s="12">
        <v>0</v>
      </c>
      <c r="Q243" s="16">
        <v>120</v>
      </c>
      <c r="R243" s="16">
        <v>0</v>
      </c>
      <c r="S243" s="16"/>
      <c r="T243" s="28">
        <v>40</v>
      </c>
      <c r="U243" s="28"/>
      <c r="V243" s="29">
        <f>+VLOOKUP(E243,[1]base!D:K,8,0)</f>
        <v>4.2250000000000005</v>
      </c>
      <c r="W243" s="29">
        <f t="shared" si="23"/>
        <v>169.00000000000003</v>
      </c>
      <c r="X243" s="29">
        <f t="shared" si="24"/>
        <v>8.7880000000000003</v>
      </c>
      <c r="Y243" s="29">
        <f>+VLOOKUP(E243,[1]base!D:E,2,0)</f>
        <v>13</v>
      </c>
      <c r="Z243" s="29">
        <f t="shared" si="25"/>
        <v>4</v>
      </c>
      <c r="AA243" s="29">
        <f t="shared" si="26"/>
        <v>0.26666666666666677</v>
      </c>
      <c r="AB243" s="29">
        <f>+VLOOKUP(E243,[1]base!M:N,2,0)</f>
        <v>2283</v>
      </c>
      <c r="AC243" s="29">
        <f>+VLOOKUP(E243,[1]base!M:Q,5,0)</f>
        <v>1635.090909090909</v>
      </c>
      <c r="AD243" s="30">
        <f>+VLOOKUP(E243,[1]base!M:P,4,0)</f>
        <v>8.4603047313552532E-2</v>
      </c>
      <c r="AE243" s="31">
        <f t="shared" si="27"/>
        <v>491.75124298315956</v>
      </c>
    </row>
    <row r="244" spans="1:31" x14ac:dyDescent="0.25">
      <c r="A244" s="12" t="s">
        <v>953</v>
      </c>
      <c r="B244" s="13">
        <v>46263.483680555553</v>
      </c>
      <c r="C244" s="12" t="s">
        <v>423</v>
      </c>
      <c r="D244" s="12" t="s">
        <v>559</v>
      </c>
      <c r="E244" s="26" t="str">
        <f t="shared" si="21"/>
        <v>EC40402</v>
      </c>
      <c r="F244" s="27" t="str">
        <f t="shared" si="22"/>
        <v>GRIS</v>
      </c>
      <c r="G244" s="27">
        <f>+VLOOKUP(F244,[1]base!A:B,2,0)</f>
        <v>22</v>
      </c>
      <c r="H244" s="12">
        <v>100</v>
      </c>
      <c r="I244" s="12">
        <v>100</v>
      </c>
      <c r="J244" s="14"/>
      <c r="K244" s="14" t="s">
        <v>61</v>
      </c>
      <c r="L244" s="12" t="s">
        <v>960</v>
      </c>
      <c r="M244" s="12" t="s">
        <v>150</v>
      </c>
      <c r="N244" s="12">
        <v>100</v>
      </c>
      <c r="O244" s="12">
        <v>100</v>
      </c>
      <c r="P244" s="12">
        <v>0</v>
      </c>
      <c r="Q244" s="16">
        <v>100</v>
      </c>
      <c r="R244" s="16">
        <v>0</v>
      </c>
      <c r="S244" s="16"/>
      <c r="T244" s="28">
        <v>100</v>
      </c>
      <c r="U244" s="28"/>
      <c r="V244" s="29">
        <f>+VLOOKUP(E244,[1]base!D:K,8,0)</f>
        <v>4.2250000000000005</v>
      </c>
      <c r="W244" s="29">
        <f t="shared" si="23"/>
        <v>422.50000000000006</v>
      </c>
      <c r="X244" s="29">
        <f t="shared" si="24"/>
        <v>21.970000000000002</v>
      </c>
      <c r="Y244" s="29">
        <f>+VLOOKUP(E244,[1]base!D:E,2,0)</f>
        <v>13</v>
      </c>
      <c r="Z244" s="29">
        <f t="shared" si="25"/>
        <v>8</v>
      </c>
      <c r="AA244" s="29">
        <f t="shared" si="26"/>
        <v>0.53333333333333355</v>
      </c>
      <c r="AB244" s="29">
        <f>+VLOOKUP(E244,[1]base!M:N,2,0)</f>
        <v>2283</v>
      </c>
      <c r="AC244" s="29">
        <f>+VLOOKUP(E244,[1]base!M:Q,5,0)</f>
        <v>1635.090909090909</v>
      </c>
      <c r="AD244" s="30">
        <f>+VLOOKUP(E244,[1]base!M:P,4,0)</f>
        <v>8.4603047313552532E-2</v>
      </c>
      <c r="AE244" s="31">
        <f t="shared" si="27"/>
        <v>491.75124298315956</v>
      </c>
    </row>
    <row r="245" spans="1:31" x14ac:dyDescent="0.25">
      <c r="A245" s="12" t="s">
        <v>983</v>
      </c>
      <c r="B245" s="13">
        <v>46265.499872685185</v>
      </c>
      <c r="C245" s="12" t="s">
        <v>986</v>
      </c>
      <c r="D245" s="12" t="s">
        <v>559</v>
      </c>
      <c r="E245" s="26" t="str">
        <f t="shared" si="21"/>
        <v>EC40402</v>
      </c>
      <c r="F245" s="27" t="str">
        <f t="shared" si="22"/>
        <v>GRIS</v>
      </c>
      <c r="G245" s="27">
        <f>+VLOOKUP(F245,[1]base!A:B,2,0)</f>
        <v>22</v>
      </c>
      <c r="H245" s="12">
        <v>60</v>
      </c>
      <c r="I245" s="12">
        <v>60</v>
      </c>
      <c r="J245" s="14"/>
      <c r="K245" s="14" t="s">
        <v>61</v>
      </c>
      <c r="L245" s="12" t="s">
        <v>992</v>
      </c>
      <c r="M245" s="12" t="s">
        <v>150</v>
      </c>
      <c r="N245" s="12">
        <v>60</v>
      </c>
      <c r="O245" s="12">
        <v>60</v>
      </c>
      <c r="P245" s="12">
        <v>0</v>
      </c>
      <c r="Q245" s="16">
        <v>60</v>
      </c>
      <c r="R245" s="16">
        <v>0</v>
      </c>
      <c r="S245" s="16"/>
      <c r="T245" s="28">
        <v>60</v>
      </c>
      <c r="U245" s="28"/>
      <c r="V245" s="29">
        <f>+VLOOKUP(E245,[1]base!D:K,8,0)</f>
        <v>4.2250000000000005</v>
      </c>
      <c r="W245" s="29">
        <f t="shared" si="23"/>
        <v>253.50000000000003</v>
      </c>
      <c r="X245" s="29">
        <f t="shared" si="24"/>
        <v>13.182</v>
      </c>
      <c r="Y245" s="29">
        <f>+VLOOKUP(E245,[1]base!D:E,2,0)</f>
        <v>13</v>
      </c>
      <c r="Z245" s="29">
        <f t="shared" si="25"/>
        <v>5</v>
      </c>
      <c r="AA245" s="29">
        <f t="shared" si="26"/>
        <v>0.33333333333333348</v>
      </c>
      <c r="AB245" s="29">
        <f>+VLOOKUP(E245,[1]base!M:N,2,0)</f>
        <v>2283</v>
      </c>
      <c r="AC245" s="29">
        <f>+VLOOKUP(E245,[1]base!M:Q,5,0)</f>
        <v>1635.090909090909</v>
      </c>
      <c r="AD245" s="30">
        <f>+VLOOKUP(E245,[1]base!M:P,4,0)</f>
        <v>8.4603047313552532E-2</v>
      </c>
      <c r="AE245" s="31">
        <f t="shared" si="27"/>
        <v>491.75124298315956</v>
      </c>
    </row>
    <row r="246" spans="1:31" x14ac:dyDescent="0.25">
      <c r="A246" s="12" t="s">
        <v>1197</v>
      </c>
      <c r="B246" s="13">
        <v>46267.551539351851</v>
      </c>
      <c r="C246" s="12" t="s">
        <v>24</v>
      </c>
      <c r="D246" s="12" t="s">
        <v>559</v>
      </c>
      <c r="E246" s="26" t="str">
        <f t="shared" si="21"/>
        <v>EC40402</v>
      </c>
      <c r="F246" s="27" t="str">
        <f t="shared" si="22"/>
        <v>GRIS</v>
      </c>
      <c r="G246" s="27">
        <f>+VLOOKUP(F246,[1]base!A:B,2,0)</f>
        <v>22</v>
      </c>
      <c r="H246" s="12">
        <v>120</v>
      </c>
      <c r="I246" s="12">
        <v>120</v>
      </c>
      <c r="J246" s="14"/>
      <c r="K246" s="14" t="s">
        <v>61</v>
      </c>
      <c r="L246" s="12" t="s">
        <v>1215</v>
      </c>
      <c r="M246" s="12" t="s">
        <v>150</v>
      </c>
      <c r="N246" s="12">
        <v>120</v>
      </c>
      <c r="O246" s="12">
        <v>120</v>
      </c>
      <c r="P246" s="12">
        <v>0</v>
      </c>
      <c r="Q246" s="16">
        <v>280</v>
      </c>
      <c r="R246" s="16">
        <v>0</v>
      </c>
      <c r="S246" s="16"/>
      <c r="T246" s="28">
        <v>120</v>
      </c>
      <c r="U246" s="28"/>
      <c r="V246" s="29">
        <f>+VLOOKUP(E246,[1]base!D:K,8,0)</f>
        <v>4.2250000000000005</v>
      </c>
      <c r="W246" s="29">
        <f t="shared" si="23"/>
        <v>507.00000000000006</v>
      </c>
      <c r="X246" s="29">
        <f t="shared" si="24"/>
        <v>26.364000000000001</v>
      </c>
      <c r="Y246" s="29">
        <f>+VLOOKUP(E246,[1]base!D:E,2,0)</f>
        <v>13</v>
      </c>
      <c r="Z246" s="29">
        <f t="shared" si="25"/>
        <v>10</v>
      </c>
      <c r="AA246" s="29">
        <f t="shared" si="26"/>
        <v>0.66666666666666696</v>
      </c>
      <c r="AB246" s="29">
        <f>+VLOOKUP(E246,[1]base!M:N,2,0)</f>
        <v>2283</v>
      </c>
      <c r="AC246" s="29">
        <f>+VLOOKUP(E246,[1]base!M:Q,5,0)</f>
        <v>1635.090909090909</v>
      </c>
      <c r="AD246" s="30">
        <f>+VLOOKUP(E246,[1]base!M:P,4,0)</f>
        <v>8.4603047313552532E-2</v>
      </c>
      <c r="AE246" s="31">
        <f t="shared" si="27"/>
        <v>491.75124298315956</v>
      </c>
    </row>
    <row r="247" spans="1:31" x14ac:dyDescent="0.25">
      <c r="A247" s="12" t="s">
        <v>1260</v>
      </c>
      <c r="B247" s="13">
        <v>46268.598344907405</v>
      </c>
      <c r="C247" s="12" t="s">
        <v>522</v>
      </c>
      <c r="D247" s="12" t="s">
        <v>559</v>
      </c>
      <c r="E247" s="26" t="str">
        <f t="shared" si="21"/>
        <v>EC40402</v>
      </c>
      <c r="F247" s="27" t="str">
        <f t="shared" si="22"/>
        <v>GRIS</v>
      </c>
      <c r="G247" s="27">
        <f>+VLOOKUP(F247,[1]base!A:B,2,0)</f>
        <v>22</v>
      </c>
      <c r="H247" s="12">
        <v>50</v>
      </c>
      <c r="I247" s="12">
        <v>50</v>
      </c>
      <c r="J247" s="14"/>
      <c r="K247" s="14" t="s">
        <v>61</v>
      </c>
      <c r="L247" s="12" t="s">
        <v>1271</v>
      </c>
      <c r="M247" s="12" t="s">
        <v>150</v>
      </c>
      <c r="N247" s="12">
        <v>50</v>
      </c>
      <c r="O247" s="12">
        <v>50</v>
      </c>
      <c r="P247" s="12">
        <v>0</v>
      </c>
      <c r="Q247" s="16">
        <v>50</v>
      </c>
      <c r="R247" s="16">
        <v>0</v>
      </c>
      <c r="S247" s="16"/>
      <c r="T247" s="28">
        <v>50</v>
      </c>
      <c r="U247" s="28"/>
      <c r="V247" s="29">
        <f>+VLOOKUP(E247,[1]base!D:K,8,0)</f>
        <v>4.2250000000000005</v>
      </c>
      <c r="W247" s="29">
        <f t="shared" si="23"/>
        <v>211.25000000000003</v>
      </c>
      <c r="X247" s="29">
        <f t="shared" si="24"/>
        <v>10.985000000000001</v>
      </c>
      <c r="Y247" s="29">
        <f>+VLOOKUP(E247,[1]base!D:E,2,0)</f>
        <v>13</v>
      </c>
      <c r="Z247" s="29">
        <f t="shared" si="25"/>
        <v>4</v>
      </c>
      <c r="AA247" s="29">
        <f t="shared" si="26"/>
        <v>0.26666666666666677</v>
      </c>
      <c r="AB247" s="29">
        <f>+VLOOKUP(E247,[1]base!M:N,2,0)</f>
        <v>2283</v>
      </c>
      <c r="AC247" s="29">
        <f>+VLOOKUP(E247,[1]base!M:Q,5,0)</f>
        <v>1635.090909090909</v>
      </c>
      <c r="AD247" s="30">
        <f>+VLOOKUP(E247,[1]base!M:P,4,0)</f>
        <v>8.4603047313552532E-2</v>
      </c>
      <c r="AE247" s="31">
        <f t="shared" si="27"/>
        <v>491.75124298315956</v>
      </c>
    </row>
    <row r="248" spans="1:31" x14ac:dyDescent="0.25">
      <c r="A248" s="12" t="s">
        <v>1492</v>
      </c>
      <c r="B248" s="13">
        <v>46273.61005787037</v>
      </c>
      <c r="C248" s="12" t="s">
        <v>266</v>
      </c>
      <c r="D248" s="12" t="s">
        <v>559</v>
      </c>
      <c r="E248" s="26" t="str">
        <f t="shared" si="21"/>
        <v>EC40402</v>
      </c>
      <c r="F248" s="27" t="str">
        <f t="shared" si="22"/>
        <v>GRIS</v>
      </c>
      <c r="G248" s="27">
        <f>+VLOOKUP(F248,[1]base!A:B,2,0)</f>
        <v>22</v>
      </c>
      <c r="H248" s="12">
        <v>60</v>
      </c>
      <c r="I248" s="12">
        <v>60</v>
      </c>
      <c r="J248" s="14"/>
      <c r="K248" s="14" t="s">
        <v>61</v>
      </c>
      <c r="L248" s="12" t="s">
        <v>1509</v>
      </c>
      <c r="M248" s="12" t="s">
        <v>150</v>
      </c>
      <c r="N248" s="12">
        <v>60</v>
      </c>
      <c r="O248" s="12">
        <v>60</v>
      </c>
      <c r="P248" s="12">
        <v>0</v>
      </c>
      <c r="Q248" s="16">
        <v>60</v>
      </c>
      <c r="R248" s="16">
        <v>0</v>
      </c>
      <c r="S248" s="16"/>
      <c r="T248" s="28">
        <v>60</v>
      </c>
      <c r="U248" s="28"/>
      <c r="V248" s="29">
        <f>+VLOOKUP(E248,[1]base!D:K,8,0)</f>
        <v>4.2250000000000005</v>
      </c>
      <c r="W248" s="29">
        <f t="shared" si="23"/>
        <v>253.50000000000003</v>
      </c>
      <c r="X248" s="29">
        <f t="shared" si="24"/>
        <v>13.182</v>
      </c>
      <c r="Y248" s="29">
        <f>+VLOOKUP(E248,[1]base!D:E,2,0)</f>
        <v>13</v>
      </c>
      <c r="Z248" s="29">
        <f t="shared" si="25"/>
        <v>5</v>
      </c>
      <c r="AA248" s="29">
        <f t="shared" si="26"/>
        <v>0.33333333333333348</v>
      </c>
      <c r="AB248" s="29">
        <f>+VLOOKUP(E248,[1]base!M:N,2,0)</f>
        <v>2283</v>
      </c>
      <c r="AC248" s="29">
        <f>+VLOOKUP(E248,[1]base!M:Q,5,0)</f>
        <v>1635.090909090909</v>
      </c>
      <c r="AD248" s="30">
        <f>+VLOOKUP(E248,[1]base!M:P,4,0)</f>
        <v>8.4603047313552532E-2</v>
      </c>
      <c r="AE248" s="31">
        <f t="shared" si="27"/>
        <v>491.75124298315956</v>
      </c>
    </row>
    <row r="249" spans="1:31" x14ac:dyDescent="0.25">
      <c r="A249" s="12" t="s">
        <v>547</v>
      </c>
      <c r="B249" s="13">
        <v>46240.550856481481</v>
      </c>
      <c r="C249" s="12" t="s">
        <v>548</v>
      </c>
      <c r="D249" s="12" t="s">
        <v>553</v>
      </c>
      <c r="E249" s="26" t="str">
        <f t="shared" si="21"/>
        <v>EC40402</v>
      </c>
      <c r="F249" s="27" t="str">
        <f t="shared" si="22"/>
        <v>NOIR</v>
      </c>
      <c r="G249" s="27">
        <f>+VLOOKUP(F249,[1]base!A:B,2,0)</f>
        <v>37</v>
      </c>
      <c r="H249" s="12">
        <v>40</v>
      </c>
      <c r="I249" s="12">
        <v>40</v>
      </c>
      <c r="J249" s="14"/>
      <c r="K249" s="14" t="s">
        <v>61</v>
      </c>
      <c r="L249" s="12" t="s">
        <v>555</v>
      </c>
      <c r="M249" s="12" t="s">
        <v>150</v>
      </c>
      <c r="N249" s="12">
        <v>40</v>
      </c>
      <c r="O249" s="12">
        <v>40</v>
      </c>
      <c r="P249" s="12">
        <v>0</v>
      </c>
      <c r="Q249" s="16">
        <v>120</v>
      </c>
      <c r="R249" s="16">
        <v>2</v>
      </c>
      <c r="S249" s="16"/>
      <c r="T249" s="28">
        <v>38</v>
      </c>
      <c r="U249" s="28">
        <v>2</v>
      </c>
      <c r="V249" s="29">
        <f>+VLOOKUP(E249,[1]base!D:K,8,0)</f>
        <v>4.2250000000000005</v>
      </c>
      <c r="W249" s="29">
        <f t="shared" si="23"/>
        <v>169.00000000000003</v>
      </c>
      <c r="X249" s="29">
        <f t="shared" si="24"/>
        <v>8.7880000000000003</v>
      </c>
      <c r="Y249" s="29">
        <f>+VLOOKUP(E249,[1]base!D:E,2,0)</f>
        <v>13</v>
      </c>
      <c r="Z249" s="29">
        <f t="shared" si="25"/>
        <v>3</v>
      </c>
      <c r="AA249" s="29">
        <f t="shared" si="26"/>
        <v>0.20000000000000007</v>
      </c>
      <c r="AB249" s="29">
        <f>+VLOOKUP(E249,[1]base!M:N,2,0)</f>
        <v>2283</v>
      </c>
      <c r="AC249" s="29">
        <f>+VLOOKUP(E249,[1]base!M:Q,5,0)</f>
        <v>1635.090909090909</v>
      </c>
      <c r="AD249" s="30">
        <f>+VLOOKUP(E249,[1]base!M:P,4,0)</f>
        <v>8.4603047313552532E-2</v>
      </c>
      <c r="AE249" s="31">
        <f t="shared" si="27"/>
        <v>491.75124298315956</v>
      </c>
    </row>
    <row r="250" spans="1:31" x14ac:dyDescent="0.25">
      <c r="A250" s="12" t="s">
        <v>758</v>
      </c>
      <c r="B250" s="13">
        <v>46258.403113425928</v>
      </c>
      <c r="C250" s="12" t="s">
        <v>759</v>
      </c>
      <c r="D250" s="12" t="s">
        <v>553</v>
      </c>
      <c r="E250" s="26" t="str">
        <f t="shared" si="21"/>
        <v>EC40402</v>
      </c>
      <c r="F250" s="27" t="str">
        <f t="shared" si="22"/>
        <v>NOIR</v>
      </c>
      <c r="G250" s="27">
        <f>+VLOOKUP(F250,[1]base!A:B,2,0)</f>
        <v>37</v>
      </c>
      <c r="H250" s="12">
        <v>24</v>
      </c>
      <c r="I250" s="12">
        <v>24</v>
      </c>
      <c r="J250" s="14"/>
      <c r="K250" s="14" t="s">
        <v>61</v>
      </c>
      <c r="L250" s="12" t="s">
        <v>763</v>
      </c>
      <c r="M250" s="12" t="s">
        <v>150</v>
      </c>
      <c r="N250" s="12">
        <v>24</v>
      </c>
      <c r="O250" s="12">
        <v>24</v>
      </c>
      <c r="P250" s="12">
        <v>0</v>
      </c>
      <c r="Q250" s="16">
        <v>48</v>
      </c>
      <c r="R250" s="16">
        <v>2</v>
      </c>
      <c r="S250" s="16"/>
      <c r="T250" s="28">
        <v>24</v>
      </c>
      <c r="U250" s="28"/>
      <c r="V250" s="29">
        <f>+VLOOKUP(E250,[1]base!D:K,8,0)</f>
        <v>4.2250000000000005</v>
      </c>
      <c r="W250" s="29">
        <f t="shared" si="23"/>
        <v>101.4</v>
      </c>
      <c r="X250" s="29">
        <f t="shared" si="24"/>
        <v>5.2728000000000002</v>
      </c>
      <c r="Y250" s="29">
        <f>+VLOOKUP(E250,[1]base!D:E,2,0)</f>
        <v>13</v>
      </c>
      <c r="Z250" s="29">
        <f t="shared" si="25"/>
        <v>2</v>
      </c>
      <c r="AA250" s="29">
        <f t="shared" si="26"/>
        <v>0.13333333333333339</v>
      </c>
      <c r="AB250" s="29">
        <f>+VLOOKUP(E250,[1]base!M:N,2,0)</f>
        <v>2283</v>
      </c>
      <c r="AC250" s="29">
        <f>+VLOOKUP(E250,[1]base!M:Q,5,0)</f>
        <v>1635.090909090909</v>
      </c>
      <c r="AD250" s="30">
        <f>+VLOOKUP(E250,[1]base!M:P,4,0)</f>
        <v>8.4603047313552532E-2</v>
      </c>
      <c r="AE250" s="31">
        <f t="shared" si="27"/>
        <v>491.75124298315956</v>
      </c>
    </row>
    <row r="251" spans="1:31" x14ac:dyDescent="0.25">
      <c r="A251" s="12" t="s">
        <v>777</v>
      </c>
      <c r="B251" s="13">
        <v>46258.578530092593</v>
      </c>
      <c r="C251" s="12" t="s">
        <v>778</v>
      </c>
      <c r="D251" s="12" t="s">
        <v>553</v>
      </c>
      <c r="E251" s="26" t="str">
        <f t="shared" si="21"/>
        <v>EC40402</v>
      </c>
      <c r="F251" s="27" t="str">
        <f t="shared" si="22"/>
        <v>NOIR</v>
      </c>
      <c r="G251" s="27">
        <f>+VLOOKUP(F251,[1]base!A:B,2,0)</f>
        <v>37</v>
      </c>
      <c r="H251" s="12">
        <v>20</v>
      </c>
      <c r="I251" s="12">
        <v>20</v>
      </c>
      <c r="J251" s="14"/>
      <c r="K251" s="14" t="s">
        <v>61</v>
      </c>
      <c r="L251" s="12" t="s">
        <v>781</v>
      </c>
      <c r="M251" s="12" t="s">
        <v>150</v>
      </c>
      <c r="N251" s="12">
        <v>20</v>
      </c>
      <c r="O251" s="12">
        <v>20</v>
      </c>
      <c r="P251" s="12">
        <v>0</v>
      </c>
      <c r="Q251" s="16">
        <v>20</v>
      </c>
      <c r="R251" s="16">
        <v>2</v>
      </c>
      <c r="S251" s="16"/>
      <c r="T251" s="28">
        <v>20</v>
      </c>
      <c r="U251" s="28"/>
      <c r="V251" s="29">
        <f>+VLOOKUP(E251,[1]base!D:K,8,0)</f>
        <v>4.2250000000000005</v>
      </c>
      <c r="W251" s="29">
        <f t="shared" si="23"/>
        <v>84.500000000000014</v>
      </c>
      <c r="X251" s="29">
        <f t="shared" si="24"/>
        <v>4.3940000000000001</v>
      </c>
      <c r="Y251" s="29">
        <f>+VLOOKUP(E251,[1]base!D:E,2,0)</f>
        <v>13</v>
      </c>
      <c r="Z251" s="29">
        <f t="shared" si="25"/>
        <v>2</v>
      </c>
      <c r="AA251" s="29">
        <f t="shared" si="26"/>
        <v>0.13333333333333339</v>
      </c>
      <c r="AB251" s="29">
        <f>+VLOOKUP(E251,[1]base!M:N,2,0)</f>
        <v>2283</v>
      </c>
      <c r="AC251" s="29">
        <f>+VLOOKUP(E251,[1]base!M:Q,5,0)</f>
        <v>1635.090909090909</v>
      </c>
      <c r="AD251" s="30">
        <f>+VLOOKUP(E251,[1]base!M:P,4,0)</f>
        <v>8.4603047313552532E-2</v>
      </c>
      <c r="AE251" s="31">
        <f t="shared" si="27"/>
        <v>491.75124298315956</v>
      </c>
    </row>
    <row r="252" spans="1:31" x14ac:dyDescent="0.25">
      <c r="A252" s="12" t="s">
        <v>1082</v>
      </c>
      <c r="B252" s="13">
        <v>46266.490532407406</v>
      </c>
      <c r="C252" s="12" t="s">
        <v>505</v>
      </c>
      <c r="D252" s="12" t="s">
        <v>553</v>
      </c>
      <c r="E252" s="26" t="str">
        <f t="shared" si="21"/>
        <v>EC40402</v>
      </c>
      <c r="F252" s="27" t="str">
        <f t="shared" si="22"/>
        <v>NOIR</v>
      </c>
      <c r="G252" s="27">
        <f>+VLOOKUP(F252,[1]base!A:B,2,0)</f>
        <v>37</v>
      </c>
      <c r="H252" s="12">
        <v>16</v>
      </c>
      <c r="I252" s="12">
        <v>16</v>
      </c>
      <c r="J252" s="14"/>
      <c r="K252" s="14" t="s">
        <v>61</v>
      </c>
      <c r="L252" s="12" t="s">
        <v>1085</v>
      </c>
      <c r="M252" s="12" t="s">
        <v>150</v>
      </c>
      <c r="N252" s="12">
        <v>16</v>
      </c>
      <c r="O252" s="12">
        <v>16</v>
      </c>
      <c r="P252" s="12">
        <v>0</v>
      </c>
      <c r="Q252" s="16">
        <v>44</v>
      </c>
      <c r="R252" s="16">
        <v>2</v>
      </c>
      <c r="S252" s="16"/>
      <c r="T252" s="28">
        <v>16</v>
      </c>
      <c r="U252" s="28"/>
      <c r="V252" s="29">
        <f>+VLOOKUP(E252,[1]base!D:K,8,0)</f>
        <v>4.2250000000000005</v>
      </c>
      <c r="W252" s="29">
        <f t="shared" si="23"/>
        <v>67.600000000000009</v>
      </c>
      <c r="X252" s="29">
        <f t="shared" si="24"/>
        <v>3.5152000000000001</v>
      </c>
      <c r="Y252" s="29">
        <f>+VLOOKUP(E252,[1]base!D:E,2,0)</f>
        <v>13</v>
      </c>
      <c r="Z252" s="29">
        <f t="shared" si="25"/>
        <v>2</v>
      </c>
      <c r="AA252" s="29">
        <f t="shared" si="26"/>
        <v>0.13333333333333339</v>
      </c>
      <c r="AB252" s="29">
        <f>+VLOOKUP(E252,[1]base!M:N,2,0)</f>
        <v>2283</v>
      </c>
      <c r="AC252" s="29">
        <f>+VLOOKUP(E252,[1]base!M:Q,5,0)</f>
        <v>1635.090909090909</v>
      </c>
      <c r="AD252" s="30">
        <f>+VLOOKUP(E252,[1]base!M:P,4,0)</f>
        <v>8.4603047313552532E-2</v>
      </c>
      <c r="AE252" s="31">
        <f t="shared" si="27"/>
        <v>491.75124298315956</v>
      </c>
    </row>
    <row r="253" spans="1:31" x14ac:dyDescent="0.25">
      <c r="A253" s="12" t="s">
        <v>1162</v>
      </c>
      <c r="B253" s="13">
        <v>46267.43309027778</v>
      </c>
      <c r="C253" s="12" t="s">
        <v>627</v>
      </c>
      <c r="D253" s="12" t="s">
        <v>553</v>
      </c>
      <c r="E253" s="26" t="str">
        <f t="shared" si="21"/>
        <v>EC40402</v>
      </c>
      <c r="F253" s="27" t="str">
        <f t="shared" si="22"/>
        <v>NOIR</v>
      </c>
      <c r="G253" s="27">
        <f>+VLOOKUP(F253,[1]base!A:B,2,0)</f>
        <v>37</v>
      </c>
      <c r="H253" s="12">
        <v>20</v>
      </c>
      <c r="I253" s="12">
        <v>20</v>
      </c>
      <c r="J253" s="14"/>
      <c r="K253" s="14" t="s">
        <v>61</v>
      </c>
      <c r="L253" s="12" t="s">
        <v>1181</v>
      </c>
      <c r="M253" s="12" t="s">
        <v>150</v>
      </c>
      <c r="N253" s="12">
        <v>20</v>
      </c>
      <c r="O253" s="12">
        <v>20</v>
      </c>
      <c r="P253" s="12">
        <v>0</v>
      </c>
      <c r="Q253" s="16">
        <v>20</v>
      </c>
      <c r="R253" s="16">
        <v>2</v>
      </c>
      <c r="S253" s="16"/>
      <c r="T253" s="28">
        <v>20</v>
      </c>
      <c r="U253" s="28"/>
      <c r="V253" s="29">
        <f>+VLOOKUP(E253,[1]base!D:K,8,0)</f>
        <v>4.2250000000000005</v>
      </c>
      <c r="W253" s="29">
        <f t="shared" si="23"/>
        <v>84.500000000000014</v>
      </c>
      <c r="X253" s="29">
        <f t="shared" si="24"/>
        <v>4.3940000000000001</v>
      </c>
      <c r="Y253" s="29">
        <f>+VLOOKUP(E253,[1]base!D:E,2,0)</f>
        <v>13</v>
      </c>
      <c r="Z253" s="29">
        <f t="shared" si="25"/>
        <v>2</v>
      </c>
      <c r="AA253" s="29">
        <f t="shared" si="26"/>
        <v>0.13333333333333339</v>
      </c>
      <c r="AB253" s="29">
        <f>+VLOOKUP(E253,[1]base!M:N,2,0)</f>
        <v>2283</v>
      </c>
      <c r="AC253" s="29">
        <f>+VLOOKUP(E253,[1]base!M:Q,5,0)</f>
        <v>1635.090909090909</v>
      </c>
      <c r="AD253" s="30">
        <f>+VLOOKUP(E253,[1]base!M:P,4,0)</f>
        <v>8.4603047313552532E-2</v>
      </c>
      <c r="AE253" s="31">
        <f t="shared" si="27"/>
        <v>491.75124298315956</v>
      </c>
    </row>
    <row r="254" spans="1:31" x14ac:dyDescent="0.25">
      <c r="A254" s="12" t="s">
        <v>1197</v>
      </c>
      <c r="B254" s="13">
        <v>46267.551539351851</v>
      </c>
      <c r="C254" s="12" t="s">
        <v>24</v>
      </c>
      <c r="D254" s="12" t="s">
        <v>553</v>
      </c>
      <c r="E254" s="26" t="str">
        <f t="shared" si="21"/>
        <v>EC40402</v>
      </c>
      <c r="F254" s="27" t="str">
        <f t="shared" si="22"/>
        <v>NOIR</v>
      </c>
      <c r="G254" s="27">
        <f>+VLOOKUP(F254,[1]base!A:B,2,0)</f>
        <v>37</v>
      </c>
      <c r="H254" s="12">
        <v>60</v>
      </c>
      <c r="I254" s="12">
        <v>60</v>
      </c>
      <c r="J254" s="14"/>
      <c r="K254" s="14" t="s">
        <v>61</v>
      </c>
      <c r="L254" s="12" t="s">
        <v>1210</v>
      </c>
      <c r="M254" s="12" t="s">
        <v>150</v>
      </c>
      <c r="N254" s="12">
        <v>60</v>
      </c>
      <c r="O254" s="12">
        <v>60</v>
      </c>
      <c r="P254" s="12">
        <v>0</v>
      </c>
      <c r="Q254" s="16">
        <v>280</v>
      </c>
      <c r="R254" s="16">
        <v>2</v>
      </c>
      <c r="S254" s="16"/>
      <c r="T254" s="28">
        <v>60</v>
      </c>
      <c r="U254" s="28"/>
      <c r="V254" s="29">
        <f>+VLOOKUP(E254,[1]base!D:K,8,0)</f>
        <v>4.2250000000000005</v>
      </c>
      <c r="W254" s="29">
        <f t="shared" si="23"/>
        <v>253.50000000000003</v>
      </c>
      <c r="X254" s="29">
        <f t="shared" si="24"/>
        <v>13.182</v>
      </c>
      <c r="Y254" s="29">
        <f>+VLOOKUP(E254,[1]base!D:E,2,0)</f>
        <v>13</v>
      </c>
      <c r="Z254" s="29">
        <f t="shared" si="25"/>
        <v>5</v>
      </c>
      <c r="AA254" s="29">
        <f t="shared" si="26"/>
        <v>0.33333333333333348</v>
      </c>
      <c r="AB254" s="29">
        <f>+VLOOKUP(E254,[1]base!M:N,2,0)</f>
        <v>2283</v>
      </c>
      <c r="AC254" s="29">
        <f>+VLOOKUP(E254,[1]base!M:Q,5,0)</f>
        <v>1635.090909090909</v>
      </c>
      <c r="AD254" s="30">
        <f>+VLOOKUP(E254,[1]base!M:P,4,0)</f>
        <v>8.4603047313552532E-2</v>
      </c>
      <c r="AE254" s="31">
        <f t="shared" si="27"/>
        <v>491.75124298315956</v>
      </c>
    </row>
    <row r="255" spans="1:31" x14ac:dyDescent="0.25">
      <c r="A255" s="12" t="s">
        <v>1264</v>
      </c>
      <c r="B255" s="13">
        <v>46268.598958333336</v>
      </c>
      <c r="C255" s="12" t="s">
        <v>522</v>
      </c>
      <c r="D255" s="12" t="s">
        <v>553</v>
      </c>
      <c r="E255" s="26" t="str">
        <f t="shared" si="21"/>
        <v>EC40402</v>
      </c>
      <c r="F255" s="27" t="str">
        <f t="shared" si="22"/>
        <v>NOIR</v>
      </c>
      <c r="G255" s="27">
        <f>+VLOOKUP(F255,[1]base!A:B,2,0)</f>
        <v>37</v>
      </c>
      <c r="H255" s="12">
        <v>30</v>
      </c>
      <c r="I255" s="12">
        <v>30</v>
      </c>
      <c r="J255" s="14"/>
      <c r="K255" s="14" t="s">
        <v>61</v>
      </c>
      <c r="L255" s="12" t="s">
        <v>1283</v>
      </c>
      <c r="M255" s="12" t="s">
        <v>150</v>
      </c>
      <c r="N255" s="12">
        <v>30</v>
      </c>
      <c r="O255" s="12">
        <v>30</v>
      </c>
      <c r="P255" s="12">
        <v>0</v>
      </c>
      <c r="Q255" s="16">
        <v>30</v>
      </c>
      <c r="R255" s="16">
        <v>2</v>
      </c>
      <c r="S255" s="16"/>
      <c r="T255" s="28">
        <v>30</v>
      </c>
      <c r="U255" s="28"/>
      <c r="V255" s="29">
        <f>+VLOOKUP(E255,[1]base!D:K,8,0)</f>
        <v>4.2250000000000005</v>
      </c>
      <c r="W255" s="29">
        <f t="shared" si="23"/>
        <v>126.75000000000001</v>
      </c>
      <c r="X255" s="29">
        <f t="shared" si="24"/>
        <v>6.5910000000000002</v>
      </c>
      <c r="Y255" s="29">
        <f>+VLOOKUP(E255,[1]base!D:E,2,0)</f>
        <v>13</v>
      </c>
      <c r="Z255" s="29">
        <f t="shared" si="25"/>
        <v>3</v>
      </c>
      <c r="AA255" s="29">
        <f t="shared" si="26"/>
        <v>0.20000000000000007</v>
      </c>
      <c r="AB255" s="29">
        <f>+VLOOKUP(E255,[1]base!M:N,2,0)</f>
        <v>2283</v>
      </c>
      <c r="AC255" s="29">
        <f>+VLOOKUP(E255,[1]base!M:Q,5,0)</f>
        <v>1635.090909090909</v>
      </c>
      <c r="AD255" s="30">
        <f>+VLOOKUP(E255,[1]base!M:P,4,0)</f>
        <v>8.4603047313552532E-2</v>
      </c>
      <c r="AE255" s="31">
        <f t="shared" si="27"/>
        <v>491.75124298315956</v>
      </c>
    </row>
    <row r="256" spans="1:31" x14ac:dyDescent="0.25">
      <c r="A256" s="12" t="s">
        <v>1291</v>
      </c>
      <c r="B256" s="13">
        <v>46269.280277777776</v>
      </c>
      <c r="C256" s="12" t="s">
        <v>266</v>
      </c>
      <c r="D256" s="12" t="s">
        <v>553</v>
      </c>
      <c r="E256" s="26" t="str">
        <f t="shared" si="21"/>
        <v>EC40402</v>
      </c>
      <c r="F256" s="27" t="str">
        <f t="shared" si="22"/>
        <v>NOIR</v>
      </c>
      <c r="G256" s="27">
        <f>+VLOOKUP(F256,[1]base!A:B,2,0)</f>
        <v>37</v>
      </c>
      <c r="H256" s="12">
        <v>32</v>
      </c>
      <c r="I256" s="12">
        <v>32</v>
      </c>
      <c r="J256" s="14"/>
      <c r="K256" s="14" t="s">
        <v>61</v>
      </c>
      <c r="L256" s="12" t="s">
        <v>1301</v>
      </c>
      <c r="M256" s="12" t="s">
        <v>150</v>
      </c>
      <c r="N256" s="12">
        <v>32</v>
      </c>
      <c r="O256" s="12">
        <v>32</v>
      </c>
      <c r="P256" s="12">
        <v>0</v>
      </c>
      <c r="Q256" s="16">
        <v>32</v>
      </c>
      <c r="R256" s="16">
        <v>2</v>
      </c>
      <c r="S256" s="16"/>
      <c r="T256" s="28">
        <v>32</v>
      </c>
      <c r="U256" s="28"/>
      <c r="V256" s="29">
        <f>+VLOOKUP(E256,[1]base!D:K,8,0)</f>
        <v>4.2250000000000005</v>
      </c>
      <c r="W256" s="29">
        <f t="shared" si="23"/>
        <v>135.20000000000002</v>
      </c>
      <c r="X256" s="29">
        <f t="shared" si="24"/>
        <v>7.0304000000000002</v>
      </c>
      <c r="Y256" s="29">
        <f>+VLOOKUP(E256,[1]base!D:E,2,0)</f>
        <v>13</v>
      </c>
      <c r="Z256" s="29">
        <f t="shared" si="25"/>
        <v>3</v>
      </c>
      <c r="AA256" s="29">
        <f t="shared" si="26"/>
        <v>0.20000000000000007</v>
      </c>
      <c r="AB256" s="29">
        <f>+VLOOKUP(E256,[1]base!M:N,2,0)</f>
        <v>2283</v>
      </c>
      <c r="AC256" s="29">
        <f>+VLOOKUP(E256,[1]base!M:Q,5,0)</f>
        <v>1635.090909090909</v>
      </c>
      <c r="AD256" s="30">
        <f>+VLOOKUP(E256,[1]base!M:P,4,0)</f>
        <v>8.4603047313552532E-2</v>
      </c>
      <c r="AE256" s="31">
        <f t="shared" si="27"/>
        <v>491.75124298315956</v>
      </c>
    </row>
    <row r="257" spans="1:31" x14ac:dyDescent="0.25">
      <c r="A257" s="12" t="s">
        <v>1292</v>
      </c>
      <c r="B257" s="13">
        <v>46269.281944444447</v>
      </c>
      <c r="C257" s="12" t="s">
        <v>398</v>
      </c>
      <c r="D257" s="12" t="s">
        <v>553</v>
      </c>
      <c r="E257" s="26" t="str">
        <f t="shared" si="21"/>
        <v>EC40402</v>
      </c>
      <c r="F257" s="27" t="str">
        <f t="shared" si="22"/>
        <v>NOIR</v>
      </c>
      <c r="G257" s="27">
        <f>+VLOOKUP(F257,[1]base!A:B,2,0)</f>
        <v>37</v>
      </c>
      <c r="H257" s="12">
        <v>20</v>
      </c>
      <c r="I257" s="12">
        <v>20</v>
      </c>
      <c r="J257" s="14"/>
      <c r="K257" s="14" t="s">
        <v>61</v>
      </c>
      <c r="L257" s="12" t="s">
        <v>1316</v>
      </c>
      <c r="M257" s="12" t="s">
        <v>150</v>
      </c>
      <c r="N257" s="12">
        <v>20</v>
      </c>
      <c r="O257" s="12">
        <v>20</v>
      </c>
      <c r="P257" s="12">
        <v>0</v>
      </c>
      <c r="Q257" s="16">
        <v>20</v>
      </c>
      <c r="R257" s="16">
        <v>2</v>
      </c>
      <c r="S257" s="16"/>
      <c r="T257" s="28">
        <v>20</v>
      </c>
      <c r="U257" s="28"/>
      <c r="V257" s="29">
        <f>+VLOOKUP(E257,[1]base!D:K,8,0)</f>
        <v>4.2250000000000005</v>
      </c>
      <c r="W257" s="29">
        <f t="shared" si="23"/>
        <v>84.500000000000014</v>
      </c>
      <c r="X257" s="29">
        <f t="shared" si="24"/>
        <v>4.3940000000000001</v>
      </c>
      <c r="Y257" s="29">
        <f>+VLOOKUP(E257,[1]base!D:E,2,0)</f>
        <v>13</v>
      </c>
      <c r="Z257" s="29">
        <f t="shared" si="25"/>
        <v>2</v>
      </c>
      <c r="AA257" s="29">
        <f t="shared" si="26"/>
        <v>0.13333333333333339</v>
      </c>
      <c r="AB257" s="29">
        <f>+VLOOKUP(E257,[1]base!M:N,2,0)</f>
        <v>2283</v>
      </c>
      <c r="AC257" s="29">
        <f>+VLOOKUP(E257,[1]base!M:Q,5,0)</f>
        <v>1635.090909090909</v>
      </c>
      <c r="AD257" s="30">
        <f>+VLOOKUP(E257,[1]base!M:P,4,0)</f>
        <v>8.4603047313552532E-2</v>
      </c>
      <c r="AE257" s="31">
        <f t="shared" si="27"/>
        <v>491.75124298315956</v>
      </c>
    </row>
    <row r="258" spans="1:31" x14ac:dyDescent="0.25">
      <c r="A258" s="12" t="s">
        <v>843</v>
      </c>
      <c r="B258" s="13">
        <v>46261.381307870368</v>
      </c>
      <c r="C258" s="12" t="s">
        <v>398</v>
      </c>
      <c r="D258" s="12" t="s">
        <v>531</v>
      </c>
      <c r="E258" s="26" t="str">
        <f t="shared" ref="E258:E321" si="28">_xlfn.TEXTBEFORE(D258, "-", -1, 1, , D258)</f>
        <v>EC40402</v>
      </c>
      <c r="F258" s="27" t="str">
        <f t="shared" ref="F258:F321" si="29">_xlfn.TEXTAFTER(D258, "-", -1, 1, , "")</f>
        <v>DARK</v>
      </c>
      <c r="G258" s="27">
        <f>+VLOOKUP(F258,[1]base!A:B,2,0)</f>
        <v>38</v>
      </c>
      <c r="H258" s="12">
        <v>16</v>
      </c>
      <c r="I258" s="12">
        <v>16</v>
      </c>
      <c r="J258" s="14"/>
      <c r="K258" s="14" t="s">
        <v>61</v>
      </c>
      <c r="L258" s="12" t="s">
        <v>851</v>
      </c>
      <c r="M258" s="12" t="s">
        <v>150</v>
      </c>
      <c r="N258" s="12">
        <v>16</v>
      </c>
      <c r="O258" s="12">
        <v>16</v>
      </c>
      <c r="P258" s="12">
        <v>0</v>
      </c>
      <c r="Q258" s="16">
        <v>16</v>
      </c>
      <c r="R258" s="16">
        <v>0</v>
      </c>
      <c r="S258" s="16"/>
      <c r="T258" s="28">
        <v>16</v>
      </c>
      <c r="U258" s="28"/>
      <c r="V258" s="29">
        <f>+VLOOKUP(E258,[1]base!D:K,8,0)</f>
        <v>4.2250000000000005</v>
      </c>
      <c r="W258" s="29">
        <f t="shared" ref="W258:W321" si="30">(T258+U258)*V258</f>
        <v>67.600000000000009</v>
      </c>
      <c r="X258" s="29">
        <f t="shared" ref="X258:X321" si="31">+W258*0.052</f>
        <v>3.5152000000000001</v>
      </c>
      <c r="Y258" s="29">
        <f>+VLOOKUP(E258,[1]base!D:E,2,0)</f>
        <v>13</v>
      </c>
      <c r="Z258" s="29">
        <f t="shared" ref="Z258:Z321" si="32">ROUNDUP(T258/Y258,0)</f>
        <v>2</v>
      </c>
      <c r="AA258" s="29">
        <f t="shared" ref="AA258:AA321" si="33">+Z258*0.0666666666666667</f>
        <v>0.13333333333333339</v>
      </c>
      <c r="AB258" s="29">
        <f>+VLOOKUP(E258,[1]base!M:N,2,0)</f>
        <v>2283</v>
      </c>
      <c r="AC258" s="29">
        <f>+VLOOKUP(E258,[1]base!M:Q,5,0)</f>
        <v>1635.090909090909</v>
      </c>
      <c r="AD258" s="30">
        <f>+VLOOKUP(E258,[1]base!M:P,4,0)</f>
        <v>8.4603047313552532E-2</v>
      </c>
      <c r="AE258" s="31">
        <f t="shared" ref="AE258:AE321" si="34">+AB258*(30%-AD258)</f>
        <v>491.75124298315956</v>
      </c>
    </row>
    <row r="259" spans="1:31" x14ac:dyDescent="0.25">
      <c r="A259" s="12" t="s">
        <v>963</v>
      </c>
      <c r="B259" s="13">
        <v>46265.30091435185</v>
      </c>
      <c r="C259" s="12" t="s">
        <v>484</v>
      </c>
      <c r="D259" s="12" t="s">
        <v>531</v>
      </c>
      <c r="E259" s="26" t="str">
        <f t="shared" si="28"/>
        <v>EC40402</v>
      </c>
      <c r="F259" s="27" t="str">
        <f t="shared" si="29"/>
        <v>DARK</v>
      </c>
      <c r="G259" s="27">
        <f>+VLOOKUP(F259,[1]base!A:B,2,0)</f>
        <v>38</v>
      </c>
      <c r="H259" s="12">
        <v>8</v>
      </c>
      <c r="I259" s="12">
        <v>8</v>
      </c>
      <c r="J259" s="14"/>
      <c r="K259" s="14" t="s">
        <v>61</v>
      </c>
      <c r="L259" s="12" t="s">
        <v>972</v>
      </c>
      <c r="M259" s="12" t="s">
        <v>150</v>
      </c>
      <c r="N259" s="12">
        <v>8</v>
      </c>
      <c r="O259" s="12">
        <v>8</v>
      </c>
      <c r="P259" s="12">
        <v>0</v>
      </c>
      <c r="Q259" s="16">
        <v>8</v>
      </c>
      <c r="R259" s="16">
        <v>0</v>
      </c>
      <c r="S259" s="16"/>
      <c r="T259" s="28">
        <v>8</v>
      </c>
      <c r="U259" s="28"/>
      <c r="V259" s="29">
        <f>+VLOOKUP(E259,[1]base!D:K,8,0)</f>
        <v>4.2250000000000005</v>
      </c>
      <c r="W259" s="29">
        <f t="shared" si="30"/>
        <v>33.800000000000004</v>
      </c>
      <c r="X259" s="29">
        <f t="shared" si="31"/>
        <v>1.7576000000000001</v>
      </c>
      <c r="Y259" s="29">
        <f>+VLOOKUP(E259,[1]base!D:E,2,0)</f>
        <v>13</v>
      </c>
      <c r="Z259" s="29">
        <f t="shared" si="32"/>
        <v>1</v>
      </c>
      <c r="AA259" s="29">
        <f t="shared" si="33"/>
        <v>6.6666666666666693E-2</v>
      </c>
      <c r="AB259" s="29">
        <f>+VLOOKUP(E259,[1]base!M:N,2,0)</f>
        <v>2283</v>
      </c>
      <c r="AC259" s="29">
        <f>+VLOOKUP(E259,[1]base!M:Q,5,0)</f>
        <v>1635.090909090909</v>
      </c>
      <c r="AD259" s="30">
        <f>+VLOOKUP(E259,[1]base!M:P,4,0)</f>
        <v>8.4603047313552532E-2</v>
      </c>
      <c r="AE259" s="31">
        <f t="shared" si="34"/>
        <v>491.75124298315956</v>
      </c>
    </row>
    <row r="260" spans="1:31" x14ac:dyDescent="0.25">
      <c r="A260" s="12" t="s">
        <v>1021</v>
      </c>
      <c r="B260" s="13">
        <v>46266.424675925926</v>
      </c>
      <c r="C260" s="12" t="s">
        <v>24</v>
      </c>
      <c r="D260" s="12" t="s">
        <v>531</v>
      </c>
      <c r="E260" s="26" t="str">
        <f t="shared" si="28"/>
        <v>EC40402</v>
      </c>
      <c r="F260" s="27" t="str">
        <f t="shared" si="29"/>
        <v>DARK</v>
      </c>
      <c r="G260" s="27">
        <f>+VLOOKUP(F260,[1]base!A:B,2,0)</f>
        <v>38</v>
      </c>
      <c r="H260" s="12">
        <v>8</v>
      </c>
      <c r="I260" s="12">
        <v>8</v>
      </c>
      <c r="J260" s="14"/>
      <c r="K260" s="14" t="s">
        <v>61</v>
      </c>
      <c r="L260" s="12" t="s">
        <v>1066</v>
      </c>
      <c r="M260" s="12" t="s">
        <v>150</v>
      </c>
      <c r="N260" s="12">
        <v>8</v>
      </c>
      <c r="O260" s="12">
        <v>8</v>
      </c>
      <c r="P260" s="12">
        <v>0</v>
      </c>
      <c r="Q260" s="16">
        <v>8</v>
      </c>
      <c r="R260" s="16">
        <v>0</v>
      </c>
      <c r="S260" s="16"/>
      <c r="T260" s="28">
        <v>8</v>
      </c>
      <c r="U260" s="28"/>
      <c r="V260" s="29">
        <f>+VLOOKUP(E260,[1]base!D:K,8,0)</f>
        <v>4.2250000000000005</v>
      </c>
      <c r="W260" s="29">
        <f t="shared" si="30"/>
        <v>33.800000000000004</v>
      </c>
      <c r="X260" s="29">
        <f t="shared" si="31"/>
        <v>1.7576000000000001</v>
      </c>
      <c r="Y260" s="29">
        <f>+VLOOKUP(E260,[1]base!D:E,2,0)</f>
        <v>13</v>
      </c>
      <c r="Z260" s="29">
        <f t="shared" si="32"/>
        <v>1</v>
      </c>
      <c r="AA260" s="29">
        <f t="shared" si="33"/>
        <v>6.6666666666666693E-2</v>
      </c>
      <c r="AB260" s="29">
        <f>+VLOOKUP(E260,[1]base!M:N,2,0)</f>
        <v>2283</v>
      </c>
      <c r="AC260" s="29">
        <f>+VLOOKUP(E260,[1]base!M:Q,5,0)</f>
        <v>1635.090909090909</v>
      </c>
      <c r="AD260" s="30">
        <f>+VLOOKUP(E260,[1]base!M:P,4,0)</f>
        <v>8.4603047313552532E-2</v>
      </c>
      <c r="AE260" s="31">
        <f t="shared" si="34"/>
        <v>491.75124298315956</v>
      </c>
    </row>
    <row r="261" spans="1:31" x14ac:dyDescent="0.25">
      <c r="A261" s="12"/>
      <c r="B261" s="13"/>
      <c r="C261" s="12"/>
      <c r="D261" s="12" t="s">
        <v>924</v>
      </c>
      <c r="E261" s="26" t="str">
        <f t="shared" si="28"/>
        <v>EC40404</v>
      </c>
      <c r="F261" s="27" t="str">
        <f t="shared" si="29"/>
        <v>BLC</v>
      </c>
      <c r="G261" s="27">
        <f>+VLOOKUP(F261,[1]base!A:B,2,0)</f>
        <v>1</v>
      </c>
      <c r="H261" s="12">
        <v>50</v>
      </c>
      <c r="I261" s="12">
        <v>50</v>
      </c>
      <c r="J261" s="14"/>
      <c r="K261" s="14" t="s">
        <v>26</v>
      </c>
      <c r="L261" s="12" t="s">
        <v>27</v>
      </c>
      <c r="M261" s="12" t="s">
        <v>28</v>
      </c>
      <c r="N261" s="12"/>
      <c r="O261" s="12"/>
      <c r="P261" s="12"/>
      <c r="Q261" s="16">
        <v>0</v>
      </c>
      <c r="R261" s="16">
        <v>0</v>
      </c>
      <c r="S261" s="16"/>
      <c r="T261" s="33">
        <v>390</v>
      </c>
      <c r="U261" s="33"/>
      <c r="V261" s="29">
        <f>+VLOOKUP(E261,[1]base!D:K,8,0)</f>
        <v>4.8879999999999999</v>
      </c>
      <c r="W261" s="29">
        <f t="shared" si="30"/>
        <v>1906.32</v>
      </c>
      <c r="X261" s="29">
        <f t="shared" si="31"/>
        <v>99.12863999999999</v>
      </c>
      <c r="Y261" s="29">
        <f>+VLOOKUP(E261,[1]base!D:E,2,0)</f>
        <v>13</v>
      </c>
      <c r="Z261" s="29">
        <f t="shared" si="32"/>
        <v>30</v>
      </c>
      <c r="AA261" s="29">
        <f t="shared" si="33"/>
        <v>2.0000000000000009</v>
      </c>
      <c r="AB261" s="29">
        <f>+VLOOKUP(E261,[1]base!M:N,2,0)</f>
        <v>2357</v>
      </c>
      <c r="AC261" s="29">
        <f>+VLOOKUP(E261,[1]base!M:Q,5,0)</f>
        <v>1288.0999999999999</v>
      </c>
      <c r="AD261" s="30">
        <f>+VLOOKUP(E261,[1]base!M:P,4,0)</f>
        <v>5.112721417069243E-2</v>
      </c>
      <c r="AE261" s="31">
        <f t="shared" si="34"/>
        <v>586.59315619967788</v>
      </c>
    </row>
    <row r="262" spans="1:31" x14ac:dyDescent="0.25">
      <c r="A262" s="12" t="s">
        <v>547</v>
      </c>
      <c r="B262" s="13">
        <v>46240.550856481481</v>
      </c>
      <c r="C262" s="12" t="s">
        <v>548</v>
      </c>
      <c r="D262" s="12" t="s">
        <v>274</v>
      </c>
      <c r="E262" s="26" t="str">
        <f t="shared" si="28"/>
        <v>EC40404</v>
      </c>
      <c r="F262" s="27" t="str">
        <f t="shared" si="29"/>
        <v>ACAJOU</v>
      </c>
      <c r="G262" s="27">
        <f>+VLOOKUP(F262,[1]base!A:B,2,0)</f>
        <v>15.1</v>
      </c>
      <c r="H262" s="12">
        <v>40</v>
      </c>
      <c r="I262" s="12">
        <v>40</v>
      </c>
      <c r="J262" s="14"/>
      <c r="K262" s="14" t="s">
        <v>61</v>
      </c>
      <c r="L262" s="12" t="s">
        <v>561</v>
      </c>
      <c r="M262" s="12" t="s">
        <v>150</v>
      </c>
      <c r="N262" s="12">
        <v>40</v>
      </c>
      <c r="O262" s="12">
        <v>40</v>
      </c>
      <c r="P262" s="12">
        <v>0</v>
      </c>
      <c r="Q262" s="16">
        <v>120</v>
      </c>
      <c r="R262" s="16">
        <v>0</v>
      </c>
      <c r="S262" s="16"/>
      <c r="T262" s="28">
        <v>40</v>
      </c>
      <c r="U262" s="28"/>
      <c r="V262" s="29">
        <f>+VLOOKUP(E262,[1]base!D:K,8,0)</f>
        <v>4.8879999999999999</v>
      </c>
      <c r="W262" s="29">
        <f t="shared" si="30"/>
        <v>195.51999999999998</v>
      </c>
      <c r="X262" s="29">
        <f t="shared" si="31"/>
        <v>10.167039999999998</v>
      </c>
      <c r="Y262" s="29">
        <f>+VLOOKUP(E262,[1]base!D:E,2,0)</f>
        <v>13</v>
      </c>
      <c r="Z262" s="29">
        <f t="shared" si="32"/>
        <v>4</v>
      </c>
      <c r="AA262" s="29">
        <f t="shared" si="33"/>
        <v>0.26666666666666677</v>
      </c>
      <c r="AB262" s="29">
        <f>+VLOOKUP(E262,[1]base!M:N,2,0)</f>
        <v>2357</v>
      </c>
      <c r="AC262" s="29">
        <f>+VLOOKUP(E262,[1]base!M:Q,5,0)</f>
        <v>1288.0999999999999</v>
      </c>
      <c r="AD262" s="30">
        <f>+VLOOKUP(E262,[1]base!M:P,4,0)</f>
        <v>5.112721417069243E-2</v>
      </c>
      <c r="AE262" s="31">
        <f t="shared" si="34"/>
        <v>586.59315619967788</v>
      </c>
    </row>
    <row r="263" spans="1:31" x14ac:dyDescent="0.25">
      <c r="A263" s="12" t="s">
        <v>984</v>
      </c>
      <c r="B263" s="13">
        <v>46265.500104166669</v>
      </c>
      <c r="C263" s="12" t="s">
        <v>986</v>
      </c>
      <c r="D263" s="12" t="s">
        <v>274</v>
      </c>
      <c r="E263" s="26" t="str">
        <f t="shared" si="28"/>
        <v>EC40404</v>
      </c>
      <c r="F263" s="27" t="str">
        <f t="shared" si="29"/>
        <v>ACAJOU</v>
      </c>
      <c r="G263" s="27">
        <f>+VLOOKUP(F263,[1]base!A:B,2,0)</f>
        <v>15.1</v>
      </c>
      <c r="H263" s="12">
        <v>20</v>
      </c>
      <c r="I263" s="12">
        <v>20</v>
      </c>
      <c r="J263" s="14"/>
      <c r="K263" s="14" t="s">
        <v>61</v>
      </c>
      <c r="L263" s="12" t="s">
        <v>1000</v>
      </c>
      <c r="M263" s="12" t="s">
        <v>150</v>
      </c>
      <c r="N263" s="12">
        <v>20</v>
      </c>
      <c r="O263" s="12">
        <v>20</v>
      </c>
      <c r="P263" s="12">
        <v>0</v>
      </c>
      <c r="Q263" s="16">
        <v>20</v>
      </c>
      <c r="R263" s="16">
        <v>0</v>
      </c>
      <c r="S263" s="16"/>
      <c r="T263" s="28">
        <v>20</v>
      </c>
      <c r="U263" s="28"/>
      <c r="V263" s="29">
        <f>+VLOOKUP(E263,[1]base!D:K,8,0)</f>
        <v>4.8879999999999999</v>
      </c>
      <c r="W263" s="29">
        <f t="shared" si="30"/>
        <v>97.759999999999991</v>
      </c>
      <c r="X263" s="29">
        <f t="shared" si="31"/>
        <v>5.0835199999999992</v>
      </c>
      <c r="Y263" s="29">
        <f>+VLOOKUP(E263,[1]base!D:E,2,0)</f>
        <v>13</v>
      </c>
      <c r="Z263" s="29">
        <f t="shared" si="32"/>
        <v>2</v>
      </c>
      <c r="AA263" s="29">
        <f t="shared" si="33"/>
        <v>0.13333333333333339</v>
      </c>
      <c r="AB263" s="29">
        <f>+VLOOKUP(E263,[1]base!M:N,2,0)</f>
        <v>2357</v>
      </c>
      <c r="AC263" s="29">
        <f>+VLOOKUP(E263,[1]base!M:Q,5,0)</f>
        <v>1288.0999999999999</v>
      </c>
      <c r="AD263" s="30">
        <f>+VLOOKUP(E263,[1]base!M:P,4,0)</f>
        <v>5.112721417069243E-2</v>
      </c>
      <c r="AE263" s="31">
        <f t="shared" si="34"/>
        <v>586.59315619967788</v>
      </c>
    </row>
    <row r="264" spans="1:31" x14ac:dyDescent="0.25">
      <c r="A264" s="12" t="s">
        <v>1197</v>
      </c>
      <c r="B264" s="13">
        <v>46267.551539351851</v>
      </c>
      <c r="C264" s="12" t="s">
        <v>24</v>
      </c>
      <c r="D264" s="12" t="s">
        <v>274</v>
      </c>
      <c r="E264" s="26" t="str">
        <f t="shared" si="28"/>
        <v>EC40404</v>
      </c>
      <c r="F264" s="27" t="str">
        <f t="shared" si="29"/>
        <v>ACAJOU</v>
      </c>
      <c r="G264" s="27">
        <f>+VLOOKUP(F264,[1]base!A:B,2,0)</f>
        <v>15.1</v>
      </c>
      <c r="H264" s="12">
        <v>100</v>
      </c>
      <c r="I264" s="12">
        <v>100</v>
      </c>
      <c r="J264" s="14"/>
      <c r="K264" s="14" t="s">
        <v>61</v>
      </c>
      <c r="L264" s="12" t="s">
        <v>1213</v>
      </c>
      <c r="M264" s="12" t="s">
        <v>150</v>
      </c>
      <c r="N264" s="12">
        <v>100</v>
      </c>
      <c r="O264" s="12">
        <v>100</v>
      </c>
      <c r="P264" s="12">
        <v>0</v>
      </c>
      <c r="Q264" s="16">
        <v>400</v>
      </c>
      <c r="R264" s="16">
        <v>0</v>
      </c>
      <c r="S264" s="16"/>
      <c r="T264" s="28">
        <v>100</v>
      </c>
      <c r="U264" s="28"/>
      <c r="V264" s="29">
        <f>+VLOOKUP(E264,[1]base!D:K,8,0)</f>
        <v>4.8879999999999999</v>
      </c>
      <c r="W264" s="29">
        <f t="shared" si="30"/>
        <v>488.8</v>
      </c>
      <c r="X264" s="29">
        <f t="shared" si="31"/>
        <v>25.4176</v>
      </c>
      <c r="Y264" s="29">
        <f>+VLOOKUP(E264,[1]base!D:E,2,0)</f>
        <v>13</v>
      </c>
      <c r="Z264" s="29">
        <f t="shared" si="32"/>
        <v>8</v>
      </c>
      <c r="AA264" s="29">
        <f t="shared" si="33"/>
        <v>0.53333333333333355</v>
      </c>
      <c r="AB264" s="29">
        <f>+VLOOKUP(E264,[1]base!M:N,2,0)</f>
        <v>2357</v>
      </c>
      <c r="AC264" s="29">
        <f>+VLOOKUP(E264,[1]base!M:Q,5,0)</f>
        <v>1288.0999999999999</v>
      </c>
      <c r="AD264" s="30">
        <f>+VLOOKUP(E264,[1]base!M:P,4,0)</f>
        <v>5.112721417069243E-2</v>
      </c>
      <c r="AE264" s="31">
        <f t="shared" si="34"/>
        <v>586.59315619967788</v>
      </c>
    </row>
    <row r="265" spans="1:31" x14ac:dyDescent="0.25">
      <c r="A265" s="12" t="s">
        <v>547</v>
      </c>
      <c r="B265" s="13">
        <v>46240.550856481481</v>
      </c>
      <c r="C265" s="12" t="s">
        <v>548</v>
      </c>
      <c r="D265" s="12" t="s">
        <v>557</v>
      </c>
      <c r="E265" s="26" t="str">
        <f t="shared" si="28"/>
        <v>EC40404</v>
      </c>
      <c r="F265" s="27" t="str">
        <f t="shared" si="29"/>
        <v>GRIS</v>
      </c>
      <c r="G265" s="27">
        <f>+VLOOKUP(F265,[1]base!A:B,2,0)</f>
        <v>22</v>
      </c>
      <c r="H265" s="12">
        <v>40</v>
      </c>
      <c r="I265" s="12">
        <v>40</v>
      </c>
      <c r="J265" s="14"/>
      <c r="K265" s="14" t="s">
        <v>61</v>
      </c>
      <c r="L265" s="12" t="s">
        <v>562</v>
      </c>
      <c r="M265" s="12" t="s">
        <v>150</v>
      </c>
      <c r="N265" s="12">
        <v>40</v>
      </c>
      <c r="O265" s="12">
        <v>40</v>
      </c>
      <c r="P265" s="12">
        <v>0</v>
      </c>
      <c r="Q265" s="16">
        <v>120</v>
      </c>
      <c r="R265" s="16">
        <v>0</v>
      </c>
      <c r="S265" s="16"/>
      <c r="T265" s="28">
        <v>40</v>
      </c>
      <c r="U265" s="28"/>
      <c r="V265" s="29">
        <f>+VLOOKUP(E265,[1]base!D:K,8,0)</f>
        <v>4.8879999999999999</v>
      </c>
      <c r="W265" s="29">
        <f t="shared" si="30"/>
        <v>195.51999999999998</v>
      </c>
      <c r="X265" s="29">
        <f t="shared" si="31"/>
        <v>10.167039999999998</v>
      </c>
      <c r="Y265" s="29">
        <f>+VLOOKUP(E265,[1]base!D:E,2,0)</f>
        <v>13</v>
      </c>
      <c r="Z265" s="29">
        <f t="shared" si="32"/>
        <v>4</v>
      </c>
      <c r="AA265" s="29">
        <f t="shared" si="33"/>
        <v>0.26666666666666677</v>
      </c>
      <c r="AB265" s="29">
        <f>+VLOOKUP(E265,[1]base!M:N,2,0)</f>
        <v>2357</v>
      </c>
      <c r="AC265" s="29">
        <f>+VLOOKUP(E265,[1]base!M:Q,5,0)</f>
        <v>1288.0999999999999</v>
      </c>
      <c r="AD265" s="30">
        <f>+VLOOKUP(E265,[1]base!M:P,4,0)</f>
        <v>5.112721417069243E-2</v>
      </c>
      <c r="AE265" s="31">
        <f t="shared" si="34"/>
        <v>586.59315619967788</v>
      </c>
    </row>
    <row r="266" spans="1:31" x14ac:dyDescent="0.25">
      <c r="A266" s="12" t="s">
        <v>953</v>
      </c>
      <c r="B266" s="13">
        <v>46263.483680555553</v>
      </c>
      <c r="C266" s="12" t="s">
        <v>423</v>
      </c>
      <c r="D266" s="12" t="s">
        <v>557</v>
      </c>
      <c r="E266" s="26" t="str">
        <f t="shared" si="28"/>
        <v>EC40404</v>
      </c>
      <c r="F266" s="27" t="str">
        <f t="shared" si="29"/>
        <v>GRIS</v>
      </c>
      <c r="G266" s="27">
        <f>+VLOOKUP(F266,[1]base!A:B,2,0)</f>
        <v>22</v>
      </c>
      <c r="H266" s="12">
        <v>70</v>
      </c>
      <c r="I266" s="12">
        <v>70</v>
      </c>
      <c r="J266" s="14"/>
      <c r="K266" s="14" t="s">
        <v>61</v>
      </c>
      <c r="L266" s="12" t="s">
        <v>959</v>
      </c>
      <c r="M266" s="12" t="s">
        <v>150</v>
      </c>
      <c r="N266" s="12">
        <v>70</v>
      </c>
      <c r="O266" s="12">
        <v>70</v>
      </c>
      <c r="P266" s="12">
        <v>0</v>
      </c>
      <c r="Q266" s="16">
        <v>70</v>
      </c>
      <c r="R266" s="16">
        <v>0</v>
      </c>
      <c r="S266" s="16"/>
      <c r="T266" s="28">
        <v>70</v>
      </c>
      <c r="U266" s="28"/>
      <c r="V266" s="29">
        <f>+VLOOKUP(E266,[1]base!D:K,8,0)</f>
        <v>4.8879999999999999</v>
      </c>
      <c r="W266" s="29">
        <f t="shared" si="30"/>
        <v>342.15999999999997</v>
      </c>
      <c r="X266" s="29">
        <f t="shared" si="31"/>
        <v>17.792319999999997</v>
      </c>
      <c r="Y266" s="29">
        <f>+VLOOKUP(E266,[1]base!D:E,2,0)</f>
        <v>13</v>
      </c>
      <c r="Z266" s="29">
        <f t="shared" si="32"/>
        <v>6</v>
      </c>
      <c r="AA266" s="29">
        <f t="shared" si="33"/>
        <v>0.40000000000000013</v>
      </c>
      <c r="AB266" s="29">
        <f>+VLOOKUP(E266,[1]base!M:N,2,0)</f>
        <v>2357</v>
      </c>
      <c r="AC266" s="29">
        <f>+VLOOKUP(E266,[1]base!M:Q,5,0)</f>
        <v>1288.0999999999999</v>
      </c>
      <c r="AD266" s="30">
        <f>+VLOOKUP(E266,[1]base!M:P,4,0)</f>
        <v>5.112721417069243E-2</v>
      </c>
      <c r="AE266" s="31">
        <f t="shared" si="34"/>
        <v>586.59315619967788</v>
      </c>
    </row>
    <row r="267" spans="1:31" x14ac:dyDescent="0.25">
      <c r="A267" s="12" t="s">
        <v>983</v>
      </c>
      <c r="B267" s="13">
        <v>46265.499872685185</v>
      </c>
      <c r="C267" s="12" t="s">
        <v>986</v>
      </c>
      <c r="D267" s="12" t="s">
        <v>557</v>
      </c>
      <c r="E267" s="26" t="str">
        <f t="shared" si="28"/>
        <v>EC40404</v>
      </c>
      <c r="F267" s="27" t="str">
        <f t="shared" si="29"/>
        <v>GRIS</v>
      </c>
      <c r="G267" s="27">
        <f>+VLOOKUP(F267,[1]base!A:B,2,0)</f>
        <v>22</v>
      </c>
      <c r="H267" s="12">
        <v>40</v>
      </c>
      <c r="I267" s="12">
        <v>40</v>
      </c>
      <c r="J267" s="14"/>
      <c r="K267" s="14" t="s">
        <v>61</v>
      </c>
      <c r="L267" s="12" t="s">
        <v>991</v>
      </c>
      <c r="M267" s="12" t="s">
        <v>150</v>
      </c>
      <c r="N267" s="12">
        <v>40</v>
      </c>
      <c r="O267" s="12">
        <v>40</v>
      </c>
      <c r="P267" s="12">
        <v>0</v>
      </c>
      <c r="Q267" s="16">
        <v>40</v>
      </c>
      <c r="R267" s="16">
        <v>0</v>
      </c>
      <c r="S267" s="16"/>
      <c r="T267" s="28">
        <v>40</v>
      </c>
      <c r="U267" s="28"/>
      <c r="V267" s="29">
        <f>+VLOOKUP(E267,[1]base!D:K,8,0)</f>
        <v>4.8879999999999999</v>
      </c>
      <c r="W267" s="29">
        <f t="shared" si="30"/>
        <v>195.51999999999998</v>
      </c>
      <c r="X267" s="29">
        <f t="shared" si="31"/>
        <v>10.167039999999998</v>
      </c>
      <c r="Y267" s="29">
        <f>+VLOOKUP(E267,[1]base!D:E,2,0)</f>
        <v>13</v>
      </c>
      <c r="Z267" s="29">
        <f t="shared" si="32"/>
        <v>4</v>
      </c>
      <c r="AA267" s="29">
        <f t="shared" si="33"/>
        <v>0.26666666666666677</v>
      </c>
      <c r="AB267" s="29">
        <f>+VLOOKUP(E267,[1]base!M:N,2,0)</f>
        <v>2357</v>
      </c>
      <c r="AC267" s="29">
        <f>+VLOOKUP(E267,[1]base!M:Q,5,0)</f>
        <v>1288.0999999999999</v>
      </c>
      <c r="AD267" s="30">
        <f>+VLOOKUP(E267,[1]base!M:P,4,0)</f>
        <v>5.112721417069243E-2</v>
      </c>
      <c r="AE267" s="31">
        <f t="shared" si="34"/>
        <v>586.59315619967788</v>
      </c>
    </row>
    <row r="268" spans="1:31" x14ac:dyDescent="0.25">
      <c r="A268" s="12" t="s">
        <v>1197</v>
      </c>
      <c r="B268" s="13">
        <v>46267.551539351851</v>
      </c>
      <c r="C268" s="12" t="s">
        <v>24</v>
      </c>
      <c r="D268" s="12" t="s">
        <v>557</v>
      </c>
      <c r="E268" s="26" t="str">
        <f t="shared" si="28"/>
        <v>EC40404</v>
      </c>
      <c r="F268" s="27" t="str">
        <f t="shared" si="29"/>
        <v>GRIS</v>
      </c>
      <c r="G268" s="27">
        <f>+VLOOKUP(F268,[1]base!A:B,2,0)</f>
        <v>22</v>
      </c>
      <c r="H268" s="12">
        <v>260</v>
      </c>
      <c r="I268" s="12">
        <v>260</v>
      </c>
      <c r="J268" s="14"/>
      <c r="K268" s="14" t="s">
        <v>61</v>
      </c>
      <c r="L268" s="12" t="s">
        <v>1214</v>
      </c>
      <c r="M268" s="12" t="s">
        <v>150</v>
      </c>
      <c r="N268" s="12">
        <v>260</v>
      </c>
      <c r="O268" s="12">
        <v>260</v>
      </c>
      <c r="P268" s="12">
        <v>0</v>
      </c>
      <c r="Q268" s="16">
        <v>400</v>
      </c>
      <c r="R268" s="16">
        <v>0</v>
      </c>
      <c r="S268" s="16"/>
      <c r="T268" s="28">
        <v>260</v>
      </c>
      <c r="U268" s="28"/>
      <c r="V268" s="29">
        <f>+VLOOKUP(E268,[1]base!D:K,8,0)</f>
        <v>4.8879999999999999</v>
      </c>
      <c r="W268" s="29">
        <f t="shared" si="30"/>
        <v>1270.8799999999999</v>
      </c>
      <c r="X268" s="29">
        <f t="shared" si="31"/>
        <v>66.085759999999993</v>
      </c>
      <c r="Y268" s="29">
        <f>+VLOOKUP(E268,[1]base!D:E,2,0)</f>
        <v>13</v>
      </c>
      <c r="Z268" s="29">
        <f t="shared" si="32"/>
        <v>20</v>
      </c>
      <c r="AA268" s="29">
        <f t="shared" si="33"/>
        <v>1.3333333333333339</v>
      </c>
      <c r="AB268" s="29">
        <f>+VLOOKUP(E268,[1]base!M:N,2,0)</f>
        <v>2357</v>
      </c>
      <c r="AC268" s="29">
        <f>+VLOOKUP(E268,[1]base!M:Q,5,0)</f>
        <v>1288.0999999999999</v>
      </c>
      <c r="AD268" s="30">
        <f>+VLOOKUP(E268,[1]base!M:P,4,0)</f>
        <v>5.112721417069243E-2</v>
      </c>
      <c r="AE268" s="31">
        <f t="shared" si="34"/>
        <v>586.59315619967788</v>
      </c>
    </row>
    <row r="269" spans="1:31" x14ac:dyDescent="0.25">
      <c r="A269" s="12" t="s">
        <v>1260</v>
      </c>
      <c r="B269" s="13">
        <v>46268.598344907405</v>
      </c>
      <c r="C269" s="12" t="s">
        <v>522</v>
      </c>
      <c r="D269" s="12" t="s">
        <v>557</v>
      </c>
      <c r="E269" s="26" t="str">
        <f t="shared" si="28"/>
        <v>EC40404</v>
      </c>
      <c r="F269" s="27" t="str">
        <f t="shared" si="29"/>
        <v>GRIS</v>
      </c>
      <c r="G269" s="27">
        <f>+VLOOKUP(F269,[1]base!A:B,2,0)</f>
        <v>22</v>
      </c>
      <c r="H269" s="12">
        <v>50</v>
      </c>
      <c r="I269" s="12">
        <v>50</v>
      </c>
      <c r="J269" s="14"/>
      <c r="K269" s="14" t="s">
        <v>61</v>
      </c>
      <c r="L269" s="12" t="s">
        <v>1270</v>
      </c>
      <c r="M269" s="12" t="s">
        <v>150</v>
      </c>
      <c r="N269" s="12">
        <v>50</v>
      </c>
      <c r="O269" s="12">
        <v>50</v>
      </c>
      <c r="P269" s="12">
        <v>0</v>
      </c>
      <c r="Q269" s="16">
        <v>50</v>
      </c>
      <c r="R269" s="16">
        <v>0</v>
      </c>
      <c r="S269" s="16"/>
      <c r="T269" s="28">
        <v>50</v>
      </c>
      <c r="U269" s="28"/>
      <c r="V269" s="29">
        <f>+VLOOKUP(E269,[1]base!D:K,8,0)</f>
        <v>4.8879999999999999</v>
      </c>
      <c r="W269" s="29">
        <f t="shared" si="30"/>
        <v>244.4</v>
      </c>
      <c r="X269" s="29">
        <f t="shared" si="31"/>
        <v>12.7088</v>
      </c>
      <c r="Y269" s="29">
        <f>+VLOOKUP(E269,[1]base!D:E,2,0)</f>
        <v>13</v>
      </c>
      <c r="Z269" s="29">
        <f t="shared" si="32"/>
        <v>4</v>
      </c>
      <c r="AA269" s="29">
        <f t="shared" si="33"/>
        <v>0.26666666666666677</v>
      </c>
      <c r="AB269" s="29">
        <f>+VLOOKUP(E269,[1]base!M:N,2,0)</f>
        <v>2357</v>
      </c>
      <c r="AC269" s="29">
        <f>+VLOOKUP(E269,[1]base!M:Q,5,0)</f>
        <v>1288.0999999999999</v>
      </c>
      <c r="AD269" s="30">
        <f>+VLOOKUP(E269,[1]base!M:P,4,0)</f>
        <v>5.112721417069243E-2</v>
      </c>
      <c r="AE269" s="31">
        <f t="shared" si="34"/>
        <v>586.59315619967788</v>
      </c>
    </row>
    <row r="270" spans="1:31" x14ac:dyDescent="0.25">
      <c r="A270" s="12" t="s">
        <v>547</v>
      </c>
      <c r="B270" s="13">
        <v>46240.550856481481</v>
      </c>
      <c r="C270" s="12" t="s">
        <v>548</v>
      </c>
      <c r="D270" s="12" t="s">
        <v>560</v>
      </c>
      <c r="E270" s="26" t="str">
        <f t="shared" si="28"/>
        <v>EC40404</v>
      </c>
      <c r="F270" s="27" t="str">
        <f t="shared" si="29"/>
        <v>NOIR</v>
      </c>
      <c r="G270" s="27">
        <f>+VLOOKUP(F270,[1]base!A:B,2,0)</f>
        <v>37</v>
      </c>
      <c r="H270" s="12">
        <v>40</v>
      </c>
      <c r="I270" s="12">
        <v>40</v>
      </c>
      <c r="J270" s="14"/>
      <c r="K270" s="14" t="s">
        <v>61</v>
      </c>
      <c r="L270" s="12" t="s">
        <v>565</v>
      </c>
      <c r="M270" s="12" t="s">
        <v>150</v>
      </c>
      <c r="N270" s="12">
        <v>40</v>
      </c>
      <c r="O270" s="12">
        <v>40</v>
      </c>
      <c r="P270" s="12">
        <v>0</v>
      </c>
      <c r="Q270" s="16">
        <v>120</v>
      </c>
      <c r="R270" s="16">
        <v>0</v>
      </c>
      <c r="S270" s="16"/>
      <c r="T270" s="28">
        <v>40</v>
      </c>
      <c r="U270" s="28"/>
      <c r="V270" s="29">
        <f>+VLOOKUP(E270,[1]base!D:K,8,0)</f>
        <v>4.8879999999999999</v>
      </c>
      <c r="W270" s="29">
        <f t="shared" si="30"/>
        <v>195.51999999999998</v>
      </c>
      <c r="X270" s="29">
        <f t="shared" si="31"/>
        <v>10.167039999999998</v>
      </c>
      <c r="Y270" s="29">
        <f>+VLOOKUP(E270,[1]base!D:E,2,0)</f>
        <v>13</v>
      </c>
      <c r="Z270" s="29">
        <f t="shared" si="32"/>
        <v>4</v>
      </c>
      <c r="AA270" s="29">
        <f t="shared" si="33"/>
        <v>0.26666666666666677</v>
      </c>
      <c r="AB270" s="29">
        <f>+VLOOKUP(E270,[1]base!M:N,2,0)</f>
        <v>2357</v>
      </c>
      <c r="AC270" s="29">
        <f>+VLOOKUP(E270,[1]base!M:Q,5,0)</f>
        <v>1288.0999999999999</v>
      </c>
      <c r="AD270" s="30">
        <f>+VLOOKUP(E270,[1]base!M:P,4,0)</f>
        <v>5.112721417069243E-2</v>
      </c>
      <c r="AE270" s="31">
        <f t="shared" si="34"/>
        <v>586.59315619967788</v>
      </c>
    </row>
    <row r="271" spans="1:31" x14ac:dyDescent="0.25">
      <c r="A271" s="12" t="s">
        <v>698</v>
      </c>
      <c r="B271" s="13">
        <v>46254.525277777779</v>
      </c>
      <c r="C271" s="12" t="s">
        <v>511</v>
      </c>
      <c r="D271" s="12" t="s">
        <v>560</v>
      </c>
      <c r="E271" s="26" t="str">
        <f t="shared" si="28"/>
        <v>EC40404</v>
      </c>
      <c r="F271" s="27" t="str">
        <f t="shared" si="29"/>
        <v>NOIR</v>
      </c>
      <c r="G271" s="27">
        <f>+VLOOKUP(F271,[1]base!A:B,2,0)</f>
        <v>37</v>
      </c>
      <c r="H271" s="12">
        <v>10</v>
      </c>
      <c r="I271" s="12">
        <v>10</v>
      </c>
      <c r="J271" s="14"/>
      <c r="K271" s="14" t="s">
        <v>61</v>
      </c>
      <c r="L271" s="12" t="s">
        <v>704</v>
      </c>
      <c r="M271" s="12" t="s">
        <v>150</v>
      </c>
      <c r="N271" s="12">
        <v>10</v>
      </c>
      <c r="O271" s="12">
        <v>10</v>
      </c>
      <c r="P271" s="12">
        <v>0</v>
      </c>
      <c r="Q271" s="16">
        <v>10</v>
      </c>
      <c r="R271" s="16">
        <v>0</v>
      </c>
      <c r="S271" s="16"/>
      <c r="T271" s="28">
        <v>10</v>
      </c>
      <c r="U271" s="28"/>
      <c r="V271" s="29">
        <f>+VLOOKUP(E271,[1]base!D:K,8,0)</f>
        <v>4.8879999999999999</v>
      </c>
      <c r="W271" s="29">
        <f t="shared" si="30"/>
        <v>48.879999999999995</v>
      </c>
      <c r="X271" s="29">
        <f t="shared" si="31"/>
        <v>2.5417599999999996</v>
      </c>
      <c r="Y271" s="29">
        <f>+VLOOKUP(E271,[1]base!D:E,2,0)</f>
        <v>13</v>
      </c>
      <c r="Z271" s="29">
        <f t="shared" si="32"/>
        <v>1</v>
      </c>
      <c r="AA271" s="29">
        <f t="shared" si="33"/>
        <v>6.6666666666666693E-2</v>
      </c>
      <c r="AB271" s="29">
        <f>+VLOOKUP(E271,[1]base!M:N,2,0)</f>
        <v>2357</v>
      </c>
      <c r="AC271" s="29">
        <f>+VLOOKUP(E271,[1]base!M:Q,5,0)</f>
        <v>1288.0999999999999</v>
      </c>
      <c r="AD271" s="30">
        <f>+VLOOKUP(E271,[1]base!M:P,4,0)</f>
        <v>5.112721417069243E-2</v>
      </c>
      <c r="AE271" s="31">
        <f t="shared" si="34"/>
        <v>586.59315619967788</v>
      </c>
    </row>
    <row r="272" spans="1:31" x14ac:dyDescent="0.25">
      <c r="A272" s="12" t="s">
        <v>758</v>
      </c>
      <c r="B272" s="13">
        <v>46258.403113425928</v>
      </c>
      <c r="C272" s="12" t="s">
        <v>759</v>
      </c>
      <c r="D272" s="12" t="s">
        <v>560</v>
      </c>
      <c r="E272" s="26" t="str">
        <f t="shared" si="28"/>
        <v>EC40404</v>
      </c>
      <c r="F272" s="27" t="str">
        <f t="shared" si="29"/>
        <v>NOIR</v>
      </c>
      <c r="G272" s="27">
        <f>+VLOOKUP(F272,[1]base!A:B,2,0)</f>
        <v>37</v>
      </c>
      <c r="H272" s="12">
        <v>24</v>
      </c>
      <c r="I272" s="12">
        <v>24</v>
      </c>
      <c r="J272" s="14"/>
      <c r="K272" s="14" t="s">
        <v>61</v>
      </c>
      <c r="L272" s="12" t="s">
        <v>766</v>
      </c>
      <c r="M272" s="12" t="s">
        <v>150</v>
      </c>
      <c r="N272" s="12">
        <v>24</v>
      </c>
      <c r="O272" s="12">
        <v>24</v>
      </c>
      <c r="P272" s="12">
        <v>0</v>
      </c>
      <c r="Q272" s="16">
        <v>24</v>
      </c>
      <c r="R272" s="16">
        <v>0</v>
      </c>
      <c r="S272" s="16"/>
      <c r="T272" s="28">
        <v>24</v>
      </c>
      <c r="U272" s="28"/>
      <c r="V272" s="29">
        <f>+VLOOKUP(E272,[1]base!D:K,8,0)</f>
        <v>4.8879999999999999</v>
      </c>
      <c r="W272" s="29">
        <f t="shared" si="30"/>
        <v>117.312</v>
      </c>
      <c r="X272" s="29">
        <f t="shared" si="31"/>
        <v>6.1002239999999999</v>
      </c>
      <c r="Y272" s="29">
        <f>+VLOOKUP(E272,[1]base!D:E,2,0)</f>
        <v>13</v>
      </c>
      <c r="Z272" s="29">
        <f t="shared" si="32"/>
        <v>2</v>
      </c>
      <c r="AA272" s="29">
        <f t="shared" si="33"/>
        <v>0.13333333333333339</v>
      </c>
      <c r="AB272" s="29">
        <f>+VLOOKUP(E272,[1]base!M:N,2,0)</f>
        <v>2357</v>
      </c>
      <c r="AC272" s="29">
        <f>+VLOOKUP(E272,[1]base!M:Q,5,0)</f>
        <v>1288.0999999999999</v>
      </c>
      <c r="AD272" s="30">
        <f>+VLOOKUP(E272,[1]base!M:P,4,0)</f>
        <v>5.112721417069243E-2</v>
      </c>
      <c r="AE272" s="31">
        <f t="shared" si="34"/>
        <v>586.59315619967788</v>
      </c>
    </row>
    <row r="273" spans="1:31" x14ac:dyDescent="0.25">
      <c r="A273" s="12" t="s">
        <v>1197</v>
      </c>
      <c r="B273" s="13">
        <v>46267.551539351851</v>
      </c>
      <c r="C273" s="12" t="s">
        <v>24</v>
      </c>
      <c r="D273" s="12" t="s">
        <v>560</v>
      </c>
      <c r="E273" s="26" t="str">
        <f t="shared" si="28"/>
        <v>EC40404</v>
      </c>
      <c r="F273" s="27" t="str">
        <f t="shared" si="29"/>
        <v>NOIR</v>
      </c>
      <c r="G273" s="27">
        <f>+VLOOKUP(F273,[1]base!A:B,2,0)</f>
        <v>37</v>
      </c>
      <c r="H273" s="12">
        <v>40</v>
      </c>
      <c r="I273" s="12">
        <v>40</v>
      </c>
      <c r="J273" s="14"/>
      <c r="K273" s="14" t="s">
        <v>61</v>
      </c>
      <c r="L273" s="12" t="s">
        <v>1216</v>
      </c>
      <c r="M273" s="12" t="s">
        <v>150</v>
      </c>
      <c r="N273" s="12">
        <v>40</v>
      </c>
      <c r="O273" s="12">
        <v>40</v>
      </c>
      <c r="P273" s="12">
        <v>0</v>
      </c>
      <c r="Q273" s="16">
        <v>400</v>
      </c>
      <c r="R273" s="16">
        <v>0</v>
      </c>
      <c r="S273" s="16"/>
      <c r="T273" s="28">
        <v>40</v>
      </c>
      <c r="U273" s="28"/>
      <c r="V273" s="29">
        <f>+VLOOKUP(E273,[1]base!D:K,8,0)</f>
        <v>4.8879999999999999</v>
      </c>
      <c r="W273" s="29">
        <f t="shared" si="30"/>
        <v>195.51999999999998</v>
      </c>
      <c r="X273" s="29">
        <f t="shared" si="31"/>
        <v>10.167039999999998</v>
      </c>
      <c r="Y273" s="29">
        <f>+VLOOKUP(E273,[1]base!D:E,2,0)</f>
        <v>13</v>
      </c>
      <c r="Z273" s="29">
        <f t="shared" si="32"/>
        <v>4</v>
      </c>
      <c r="AA273" s="29">
        <f t="shared" si="33"/>
        <v>0.26666666666666677</v>
      </c>
      <c r="AB273" s="29">
        <f>+VLOOKUP(E273,[1]base!M:N,2,0)</f>
        <v>2357</v>
      </c>
      <c r="AC273" s="29">
        <f>+VLOOKUP(E273,[1]base!M:Q,5,0)</f>
        <v>1288.0999999999999</v>
      </c>
      <c r="AD273" s="30">
        <f>+VLOOKUP(E273,[1]base!M:P,4,0)</f>
        <v>5.112721417069243E-2</v>
      </c>
      <c r="AE273" s="31">
        <f t="shared" si="34"/>
        <v>586.59315619967788</v>
      </c>
    </row>
    <row r="274" spans="1:31" x14ac:dyDescent="0.25">
      <c r="A274" s="12" t="s">
        <v>1264</v>
      </c>
      <c r="B274" s="13">
        <v>46268.598958333336</v>
      </c>
      <c r="C274" s="12" t="s">
        <v>522</v>
      </c>
      <c r="D274" s="12" t="s">
        <v>560</v>
      </c>
      <c r="E274" s="26" t="str">
        <f t="shared" si="28"/>
        <v>EC40404</v>
      </c>
      <c r="F274" s="27" t="str">
        <f t="shared" si="29"/>
        <v>NOIR</v>
      </c>
      <c r="G274" s="27">
        <f>+VLOOKUP(F274,[1]base!A:B,2,0)</f>
        <v>37</v>
      </c>
      <c r="H274" s="12">
        <v>20</v>
      </c>
      <c r="I274" s="12">
        <v>20</v>
      </c>
      <c r="J274" s="14"/>
      <c r="K274" s="14" t="s">
        <v>61</v>
      </c>
      <c r="L274" s="12" t="s">
        <v>1285</v>
      </c>
      <c r="M274" s="12" t="s">
        <v>150</v>
      </c>
      <c r="N274" s="12">
        <v>20</v>
      </c>
      <c r="O274" s="12">
        <v>20</v>
      </c>
      <c r="P274" s="12">
        <v>0</v>
      </c>
      <c r="Q274" s="16">
        <v>20</v>
      </c>
      <c r="R274" s="16">
        <v>0</v>
      </c>
      <c r="S274" s="16"/>
      <c r="T274" s="28">
        <v>20</v>
      </c>
      <c r="U274" s="28"/>
      <c r="V274" s="29">
        <f>+VLOOKUP(E274,[1]base!D:K,8,0)</f>
        <v>4.8879999999999999</v>
      </c>
      <c r="W274" s="29">
        <f t="shared" si="30"/>
        <v>97.759999999999991</v>
      </c>
      <c r="X274" s="29">
        <f t="shared" si="31"/>
        <v>5.0835199999999992</v>
      </c>
      <c r="Y274" s="29">
        <f>+VLOOKUP(E274,[1]base!D:E,2,0)</f>
        <v>13</v>
      </c>
      <c r="Z274" s="29">
        <f t="shared" si="32"/>
        <v>2</v>
      </c>
      <c r="AA274" s="29">
        <f t="shared" si="33"/>
        <v>0.13333333333333339</v>
      </c>
      <c r="AB274" s="29">
        <f>+VLOOKUP(E274,[1]base!M:N,2,0)</f>
        <v>2357</v>
      </c>
      <c r="AC274" s="29">
        <f>+VLOOKUP(E274,[1]base!M:Q,5,0)</f>
        <v>1288.0999999999999</v>
      </c>
      <c r="AD274" s="30">
        <f>+VLOOKUP(E274,[1]base!M:P,4,0)</f>
        <v>5.112721417069243E-2</v>
      </c>
      <c r="AE274" s="31">
        <f t="shared" si="34"/>
        <v>586.59315619967788</v>
      </c>
    </row>
    <row r="275" spans="1:31" x14ac:dyDescent="0.25">
      <c r="A275" s="12" t="s">
        <v>1021</v>
      </c>
      <c r="B275" s="13">
        <v>46266.424675925926</v>
      </c>
      <c r="C275" s="12" t="s">
        <v>24</v>
      </c>
      <c r="D275" s="12" t="s">
        <v>1036</v>
      </c>
      <c r="E275" s="26" t="str">
        <f t="shared" si="28"/>
        <v>EC40404</v>
      </c>
      <c r="F275" s="27" t="str">
        <f t="shared" si="29"/>
        <v>DARK</v>
      </c>
      <c r="G275" s="27">
        <f>+VLOOKUP(F275,[1]base!A:B,2,0)</f>
        <v>38</v>
      </c>
      <c r="H275" s="12">
        <v>10</v>
      </c>
      <c r="I275" s="12">
        <v>10</v>
      </c>
      <c r="J275" s="14"/>
      <c r="K275" s="14" t="s">
        <v>61</v>
      </c>
      <c r="L275" s="12" t="s">
        <v>1065</v>
      </c>
      <c r="M275" s="12" t="s">
        <v>150</v>
      </c>
      <c r="N275" s="12">
        <v>10</v>
      </c>
      <c r="O275" s="12">
        <v>10</v>
      </c>
      <c r="P275" s="12">
        <v>0</v>
      </c>
      <c r="Q275" s="16">
        <v>10</v>
      </c>
      <c r="R275" s="16">
        <v>0</v>
      </c>
      <c r="S275" s="16"/>
      <c r="T275" s="28">
        <v>10</v>
      </c>
      <c r="U275" s="28"/>
      <c r="V275" s="29">
        <f>+VLOOKUP(E275,[1]base!D:K,8,0)</f>
        <v>4.8879999999999999</v>
      </c>
      <c r="W275" s="29">
        <f t="shared" si="30"/>
        <v>48.879999999999995</v>
      </c>
      <c r="X275" s="29">
        <f t="shared" si="31"/>
        <v>2.5417599999999996</v>
      </c>
      <c r="Y275" s="29">
        <f>+VLOOKUP(E275,[1]base!D:E,2,0)</f>
        <v>13</v>
      </c>
      <c r="Z275" s="29">
        <f t="shared" si="32"/>
        <v>1</v>
      </c>
      <c r="AA275" s="29">
        <f t="shared" si="33"/>
        <v>6.6666666666666693E-2</v>
      </c>
      <c r="AB275" s="29">
        <f>+VLOOKUP(E275,[1]base!M:N,2,0)</f>
        <v>2357</v>
      </c>
      <c r="AC275" s="29">
        <f>+VLOOKUP(E275,[1]base!M:Q,5,0)</f>
        <v>1288.0999999999999</v>
      </c>
      <c r="AD275" s="30">
        <f>+VLOOKUP(E275,[1]base!M:P,4,0)</f>
        <v>5.112721417069243E-2</v>
      </c>
      <c r="AE275" s="31">
        <f t="shared" si="34"/>
        <v>586.59315619967788</v>
      </c>
    </row>
    <row r="276" spans="1:31" x14ac:dyDescent="0.25">
      <c r="A276" s="12" t="s">
        <v>758</v>
      </c>
      <c r="B276" s="13">
        <v>46258.403113425928</v>
      </c>
      <c r="C276" s="12" t="s">
        <v>759</v>
      </c>
      <c r="D276" s="12" t="s">
        <v>762</v>
      </c>
      <c r="E276" s="26" t="str">
        <f t="shared" si="28"/>
        <v>EC67101</v>
      </c>
      <c r="F276" s="27" t="str">
        <f t="shared" si="29"/>
        <v>NOIR</v>
      </c>
      <c r="G276" s="27">
        <f>+VLOOKUP(F276,[1]base!A:B,2,0)</f>
        <v>37</v>
      </c>
      <c r="H276" s="12">
        <v>8</v>
      </c>
      <c r="I276" s="12">
        <v>8</v>
      </c>
      <c r="J276" s="14"/>
      <c r="K276" s="14" t="s">
        <v>61</v>
      </c>
      <c r="L276" s="12" t="s">
        <v>764</v>
      </c>
      <c r="M276" s="12" t="s">
        <v>150</v>
      </c>
      <c r="N276" s="12">
        <v>8</v>
      </c>
      <c r="O276" s="12">
        <v>8</v>
      </c>
      <c r="P276" s="12">
        <v>0</v>
      </c>
      <c r="Q276" s="16">
        <v>8</v>
      </c>
      <c r="R276" s="16">
        <v>0</v>
      </c>
      <c r="S276" s="16"/>
      <c r="T276" s="28">
        <v>8</v>
      </c>
      <c r="U276" s="28"/>
      <c r="V276" s="29">
        <f>+VLOOKUP(E276,[1]base!D:K,8,0)</f>
        <v>4.9855</v>
      </c>
      <c r="W276" s="29">
        <f t="shared" si="30"/>
        <v>39.884</v>
      </c>
      <c r="X276" s="29">
        <f t="shared" si="31"/>
        <v>2.0739679999999998</v>
      </c>
      <c r="Y276" s="29">
        <f>+VLOOKUP(E276,[1]base!D:E,2,0)</f>
        <v>12</v>
      </c>
      <c r="Z276" s="29">
        <f t="shared" si="32"/>
        <v>1</v>
      </c>
      <c r="AA276" s="29">
        <f t="shared" si="33"/>
        <v>6.6666666666666693E-2</v>
      </c>
      <c r="AB276" s="29">
        <f>+VLOOKUP(E276,[1]base!M:N,2,0)</f>
        <v>919</v>
      </c>
      <c r="AC276" s="29">
        <f>+VLOOKUP(E276,[1]base!M:Q,5,0)</f>
        <v>200.44444444444446</v>
      </c>
      <c r="AD276" s="30">
        <f>+VLOOKUP(E276,[1]base!M:P,4,0)</f>
        <v>0.17578475336322871</v>
      </c>
      <c r="AE276" s="31">
        <f t="shared" si="34"/>
        <v>114.1538116591928</v>
      </c>
    </row>
    <row r="277" spans="1:31" x14ac:dyDescent="0.25">
      <c r="A277" s="12"/>
      <c r="B277" s="13"/>
      <c r="C277" s="12"/>
      <c r="D277" s="12" t="s">
        <v>325</v>
      </c>
      <c r="E277" s="26" t="str">
        <f t="shared" si="28"/>
        <v>EC67102</v>
      </c>
      <c r="F277" s="27" t="str">
        <f t="shared" si="29"/>
        <v>BLC</v>
      </c>
      <c r="G277" s="27">
        <f>+VLOOKUP(F277,[1]base!A:B,2,0)</f>
        <v>1</v>
      </c>
      <c r="H277" s="12">
        <v>40</v>
      </c>
      <c r="I277" s="12">
        <v>30</v>
      </c>
      <c r="J277" s="14"/>
      <c r="K277" s="14" t="s">
        <v>61</v>
      </c>
      <c r="L277" s="12" t="s">
        <v>27</v>
      </c>
      <c r="M277" s="12" t="s">
        <v>28</v>
      </c>
      <c r="N277" s="12"/>
      <c r="O277" s="12"/>
      <c r="P277" s="12"/>
      <c r="Q277" s="16">
        <v>40</v>
      </c>
      <c r="R277" s="16">
        <v>4</v>
      </c>
      <c r="S277" s="16"/>
      <c r="T277" s="33">
        <v>9</v>
      </c>
      <c r="U277" s="33">
        <v>0</v>
      </c>
      <c r="V277" s="29">
        <f>+VLOOKUP(E277,[1]base!D:K,8,0)</f>
        <v>5.6355000000000004</v>
      </c>
      <c r="W277" s="29">
        <f t="shared" si="30"/>
        <v>50.719500000000004</v>
      </c>
      <c r="X277" s="29">
        <f t="shared" si="31"/>
        <v>2.6374140000000001</v>
      </c>
      <c r="Y277" s="29">
        <f>+VLOOKUP(E277,[1]base!D:E,2,0)</f>
        <v>12</v>
      </c>
      <c r="Z277" s="29">
        <f t="shared" si="32"/>
        <v>1</v>
      </c>
      <c r="AA277" s="29">
        <f t="shared" si="33"/>
        <v>6.6666666666666693E-2</v>
      </c>
      <c r="AB277" s="29">
        <f>+VLOOKUP(E277,[1]base!M:N,2,0)</f>
        <v>9</v>
      </c>
      <c r="AC277" s="29">
        <f>+VLOOKUP(E277,[1]base!M:Q,5,0)</f>
        <v>159.33333333333334</v>
      </c>
      <c r="AD277" s="30">
        <f>+VLOOKUP(E277,[1]base!M:P,4,0)</f>
        <v>0.99268292682926829</v>
      </c>
      <c r="AE277" s="31">
        <f t="shared" si="34"/>
        <v>-6.234146341463414</v>
      </c>
    </row>
    <row r="278" spans="1:31" x14ac:dyDescent="0.25">
      <c r="A278" s="12" t="s">
        <v>698</v>
      </c>
      <c r="B278" s="13">
        <v>46254.525277777779</v>
      </c>
      <c r="C278" s="12" t="s">
        <v>511</v>
      </c>
      <c r="D278" s="12" t="s">
        <v>701</v>
      </c>
      <c r="E278" s="26" t="str">
        <f t="shared" si="28"/>
        <v>EC67102</v>
      </c>
      <c r="F278" s="27" t="str">
        <f t="shared" si="29"/>
        <v>NOIR</v>
      </c>
      <c r="G278" s="27">
        <f>+VLOOKUP(F278,[1]base!A:B,2,0)</f>
        <v>37</v>
      </c>
      <c r="H278" s="12">
        <v>20</v>
      </c>
      <c r="I278" s="12">
        <v>20</v>
      </c>
      <c r="J278" s="14"/>
      <c r="K278" s="14" t="s">
        <v>61</v>
      </c>
      <c r="L278" s="12" t="s">
        <v>702</v>
      </c>
      <c r="M278" s="12" t="s">
        <v>150</v>
      </c>
      <c r="N278" s="12">
        <v>20</v>
      </c>
      <c r="O278" s="12">
        <v>20</v>
      </c>
      <c r="P278" s="12">
        <v>0</v>
      </c>
      <c r="Q278" s="16">
        <v>20</v>
      </c>
      <c r="R278" s="16">
        <v>0</v>
      </c>
      <c r="S278" s="16"/>
      <c r="T278" s="28">
        <v>20</v>
      </c>
      <c r="U278" s="28"/>
      <c r="V278" s="29">
        <f>+VLOOKUP(E278,[1]base!D:K,8,0)</f>
        <v>5.6355000000000004</v>
      </c>
      <c r="W278" s="29">
        <f t="shared" si="30"/>
        <v>112.71000000000001</v>
      </c>
      <c r="X278" s="29">
        <f t="shared" si="31"/>
        <v>5.8609200000000001</v>
      </c>
      <c r="Y278" s="29">
        <f>+VLOOKUP(E278,[1]base!D:E,2,0)</f>
        <v>12</v>
      </c>
      <c r="Z278" s="29">
        <f t="shared" si="32"/>
        <v>2</v>
      </c>
      <c r="AA278" s="29">
        <f t="shared" si="33"/>
        <v>0.13333333333333339</v>
      </c>
      <c r="AB278" s="29">
        <f>+VLOOKUP(E278,[1]base!M:N,2,0)</f>
        <v>9</v>
      </c>
      <c r="AC278" s="29">
        <f>+VLOOKUP(E278,[1]base!M:Q,5,0)</f>
        <v>159.33333333333334</v>
      </c>
      <c r="AD278" s="30">
        <f>+VLOOKUP(E278,[1]base!M:P,4,0)</f>
        <v>0.99268292682926829</v>
      </c>
      <c r="AE278" s="31">
        <f t="shared" si="34"/>
        <v>-6.234146341463414</v>
      </c>
    </row>
    <row r="279" spans="1:31" x14ac:dyDescent="0.25">
      <c r="A279" s="12" t="s">
        <v>758</v>
      </c>
      <c r="B279" s="13">
        <v>46258.403113425928</v>
      </c>
      <c r="C279" s="12" t="s">
        <v>759</v>
      </c>
      <c r="D279" s="12" t="s">
        <v>701</v>
      </c>
      <c r="E279" s="26" t="str">
        <f t="shared" si="28"/>
        <v>EC67102</v>
      </c>
      <c r="F279" s="27" t="str">
        <f t="shared" si="29"/>
        <v>NOIR</v>
      </c>
      <c r="G279" s="27">
        <f>+VLOOKUP(F279,[1]base!A:B,2,0)</f>
        <v>37</v>
      </c>
      <c r="H279" s="12">
        <v>8</v>
      </c>
      <c r="I279" s="12">
        <v>8</v>
      </c>
      <c r="J279" s="14"/>
      <c r="K279" s="14" t="s">
        <v>61</v>
      </c>
      <c r="L279" s="12" t="s">
        <v>765</v>
      </c>
      <c r="M279" s="12" t="s">
        <v>150</v>
      </c>
      <c r="N279" s="12">
        <v>8</v>
      </c>
      <c r="O279" s="12">
        <v>8</v>
      </c>
      <c r="P279" s="12">
        <v>0</v>
      </c>
      <c r="Q279" s="16">
        <v>8</v>
      </c>
      <c r="R279" s="16">
        <v>0</v>
      </c>
      <c r="S279" s="16"/>
      <c r="T279" s="28">
        <v>8</v>
      </c>
      <c r="U279" s="28"/>
      <c r="V279" s="29">
        <f>+VLOOKUP(E279,[1]base!D:K,8,0)</f>
        <v>5.6355000000000004</v>
      </c>
      <c r="W279" s="29">
        <f t="shared" si="30"/>
        <v>45.084000000000003</v>
      </c>
      <c r="X279" s="29">
        <f t="shared" si="31"/>
        <v>2.3443680000000002</v>
      </c>
      <c r="Y279" s="29">
        <f>+VLOOKUP(E279,[1]base!D:E,2,0)</f>
        <v>12</v>
      </c>
      <c r="Z279" s="29">
        <f t="shared" si="32"/>
        <v>1</v>
      </c>
      <c r="AA279" s="29">
        <f t="shared" si="33"/>
        <v>6.6666666666666693E-2</v>
      </c>
      <c r="AB279" s="29">
        <f>+VLOOKUP(E279,[1]base!M:N,2,0)</f>
        <v>9</v>
      </c>
      <c r="AC279" s="29">
        <f>+VLOOKUP(E279,[1]base!M:Q,5,0)</f>
        <v>159.33333333333334</v>
      </c>
      <c r="AD279" s="30">
        <f>+VLOOKUP(E279,[1]base!M:P,4,0)</f>
        <v>0.99268292682926829</v>
      </c>
      <c r="AE279" s="31">
        <f t="shared" si="34"/>
        <v>-6.234146341463414</v>
      </c>
    </row>
    <row r="280" spans="1:31" x14ac:dyDescent="0.25">
      <c r="A280" s="12"/>
      <c r="B280" s="13"/>
      <c r="C280" s="12"/>
      <c r="D280" s="12" t="s">
        <v>1333</v>
      </c>
      <c r="E280" s="26" t="str">
        <f t="shared" si="28"/>
        <v>EC67103</v>
      </c>
      <c r="F280" s="27" t="str">
        <f t="shared" si="29"/>
        <v>BLC</v>
      </c>
      <c r="G280" s="27">
        <f>+VLOOKUP(F280,[1]base!A:B,2,0)</f>
        <v>1</v>
      </c>
      <c r="H280" s="12">
        <v>40</v>
      </c>
      <c r="I280" s="12">
        <v>40</v>
      </c>
      <c r="J280" s="14"/>
      <c r="K280" s="14" t="s">
        <v>26</v>
      </c>
      <c r="L280" s="12" t="s">
        <v>27</v>
      </c>
      <c r="M280" s="12" t="s">
        <v>28</v>
      </c>
      <c r="N280" s="12"/>
      <c r="O280" s="12"/>
      <c r="P280" s="12"/>
      <c r="Q280" s="16">
        <v>0</v>
      </c>
      <c r="R280" s="16">
        <v>0</v>
      </c>
      <c r="S280" s="16">
        <v>29</v>
      </c>
      <c r="T280" s="33">
        <v>60</v>
      </c>
      <c r="U280" s="33">
        <v>0</v>
      </c>
      <c r="V280" s="29">
        <f>+VLOOKUP(E280,[1]base!D:K,8,0)</f>
        <v>6.0449999999999999</v>
      </c>
      <c r="W280" s="29">
        <f t="shared" si="30"/>
        <v>362.7</v>
      </c>
      <c r="X280" s="29">
        <f t="shared" si="31"/>
        <v>18.860399999999998</v>
      </c>
      <c r="Y280" s="29">
        <f>+VLOOKUP(E280,[1]base!D:E,2,0)</f>
        <v>12</v>
      </c>
      <c r="Z280" s="29">
        <f t="shared" si="32"/>
        <v>5</v>
      </c>
      <c r="AA280" s="29">
        <f t="shared" si="33"/>
        <v>0.33333333333333348</v>
      </c>
      <c r="AB280" s="29">
        <f>+VLOOKUP(E280,[1]base!M:N,2,0)</f>
        <v>683</v>
      </c>
      <c r="AC280" s="29">
        <f>+VLOOKUP(E280,[1]base!M:Q,5,0)</f>
        <v>720.75</v>
      </c>
      <c r="AD280" s="30">
        <f>+VLOOKUP(E280,[1]base!M:P,4,0)</f>
        <v>8.3221476510067116E-2</v>
      </c>
      <c r="AE280" s="31">
        <f t="shared" si="34"/>
        <v>148.05973154362414</v>
      </c>
    </row>
    <row r="281" spans="1:31" x14ac:dyDescent="0.25">
      <c r="A281" s="12" t="s">
        <v>953</v>
      </c>
      <c r="B281" s="13">
        <v>46263.483680555553</v>
      </c>
      <c r="C281" s="12" t="s">
        <v>423</v>
      </c>
      <c r="D281" s="12" t="s">
        <v>955</v>
      </c>
      <c r="E281" s="26" t="str">
        <f t="shared" si="28"/>
        <v>EC67103</v>
      </c>
      <c r="F281" s="27" t="str">
        <f t="shared" si="29"/>
        <v>GRIS</v>
      </c>
      <c r="G281" s="27">
        <f>+VLOOKUP(F281,[1]base!A:B,2,0)</f>
        <v>22</v>
      </c>
      <c r="H281" s="12">
        <v>40</v>
      </c>
      <c r="I281" s="12">
        <v>40</v>
      </c>
      <c r="J281" s="14"/>
      <c r="K281" s="14" t="s">
        <v>61</v>
      </c>
      <c r="L281" s="12" t="s">
        <v>961</v>
      </c>
      <c r="M281" s="12" t="s">
        <v>150</v>
      </c>
      <c r="N281" s="12">
        <v>40</v>
      </c>
      <c r="O281" s="12">
        <v>40</v>
      </c>
      <c r="P281" s="12">
        <v>0</v>
      </c>
      <c r="Q281" s="16">
        <v>40</v>
      </c>
      <c r="R281" s="16">
        <v>0</v>
      </c>
      <c r="S281" s="16"/>
      <c r="T281" s="28">
        <v>40</v>
      </c>
      <c r="U281" s="28"/>
      <c r="V281" s="29">
        <f>+VLOOKUP(E281,[1]base!D:K,8,0)</f>
        <v>6.0449999999999999</v>
      </c>
      <c r="W281" s="29">
        <f t="shared" si="30"/>
        <v>241.8</v>
      </c>
      <c r="X281" s="29">
        <f t="shared" si="31"/>
        <v>12.573600000000001</v>
      </c>
      <c r="Y281" s="29">
        <f>+VLOOKUP(E281,[1]base!D:E,2,0)</f>
        <v>12</v>
      </c>
      <c r="Z281" s="29">
        <f t="shared" si="32"/>
        <v>4</v>
      </c>
      <c r="AA281" s="29">
        <f t="shared" si="33"/>
        <v>0.26666666666666677</v>
      </c>
      <c r="AB281" s="29">
        <f>+VLOOKUP(E281,[1]base!M:N,2,0)</f>
        <v>683</v>
      </c>
      <c r="AC281" s="29">
        <f>+VLOOKUP(E281,[1]base!M:Q,5,0)</f>
        <v>720.75</v>
      </c>
      <c r="AD281" s="30">
        <f>+VLOOKUP(E281,[1]base!M:P,4,0)</f>
        <v>8.3221476510067116E-2</v>
      </c>
      <c r="AE281" s="31">
        <f t="shared" si="34"/>
        <v>148.05973154362414</v>
      </c>
    </row>
    <row r="282" spans="1:31" x14ac:dyDescent="0.25">
      <c r="A282" s="12" t="s">
        <v>983</v>
      </c>
      <c r="B282" s="13">
        <v>46265.499872685185</v>
      </c>
      <c r="C282" s="12" t="s">
        <v>986</v>
      </c>
      <c r="D282" s="12" t="s">
        <v>955</v>
      </c>
      <c r="E282" s="26" t="str">
        <f t="shared" si="28"/>
        <v>EC67103</v>
      </c>
      <c r="F282" s="27" t="str">
        <f t="shared" si="29"/>
        <v>GRIS</v>
      </c>
      <c r="G282" s="27">
        <f>+VLOOKUP(F282,[1]base!A:B,2,0)</f>
        <v>22</v>
      </c>
      <c r="H282" s="12">
        <v>40</v>
      </c>
      <c r="I282" s="12">
        <v>40</v>
      </c>
      <c r="J282" s="14"/>
      <c r="K282" s="14" t="s">
        <v>61</v>
      </c>
      <c r="L282" s="12" t="s">
        <v>995</v>
      </c>
      <c r="M282" s="12" t="s">
        <v>150</v>
      </c>
      <c r="N282" s="12">
        <v>40</v>
      </c>
      <c r="O282" s="12">
        <v>40</v>
      </c>
      <c r="P282" s="12">
        <v>0</v>
      </c>
      <c r="Q282" s="16">
        <v>40</v>
      </c>
      <c r="R282" s="16">
        <v>0</v>
      </c>
      <c r="S282" s="16"/>
      <c r="T282" s="28">
        <v>40</v>
      </c>
      <c r="U282" s="28"/>
      <c r="V282" s="29">
        <f>+VLOOKUP(E282,[1]base!D:K,8,0)</f>
        <v>6.0449999999999999</v>
      </c>
      <c r="W282" s="29">
        <f t="shared" si="30"/>
        <v>241.8</v>
      </c>
      <c r="X282" s="29">
        <f t="shared" si="31"/>
        <v>12.573600000000001</v>
      </c>
      <c r="Y282" s="29">
        <f>+VLOOKUP(E282,[1]base!D:E,2,0)</f>
        <v>12</v>
      </c>
      <c r="Z282" s="29">
        <f t="shared" si="32"/>
        <v>4</v>
      </c>
      <c r="AA282" s="29">
        <f t="shared" si="33"/>
        <v>0.26666666666666677</v>
      </c>
      <c r="AB282" s="29">
        <f>+VLOOKUP(E282,[1]base!M:N,2,0)</f>
        <v>683</v>
      </c>
      <c r="AC282" s="29">
        <f>+VLOOKUP(E282,[1]base!M:Q,5,0)</f>
        <v>720.75</v>
      </c>
      <c r="AD282" s="30">
        <f>+VLOOKUP(E282,[1]base!M:P,4,0)</f>
        <v>8.3221476510067116E-2</v>
      </c>
      <c r="AE282" s="31">
        <f t="shared" si="34"/>
        <v>148.05973154362414</v>
      </c>
    </row>
    <row r="283" spans="1:31" x14ac:dyDescent="0.25">
      <c r="A283" s="12" t="s">
        <v>1492</v>
      </c>
      <c r="B283" s="13">
        <v>46273.61005787037</v>
      </c>
      <c r="C283" s="12" t="s">
        <v>266</v>
      </c>
      <c r="D283" s="12" t="s">
        <v>955</v>
      </c>
      <c r="E283" s="26" t="str">
        <f t="shared" si="28"/>
        <v>EC67103</v>
      </c>
      <c r="F283" s="27" t="str">
        <f t="shared" si="29"/>
        <v>GRIS</v>
      </c>
      <c r="G283" s="27">
        <f>+VLOOKUP(F283,[1]base!A:B,2,0)</f>
        <v>22</v>
      </c>
      <c r="H283" s="12">
        <v>30</v>
      </c>
      <c r="I283" s="12">
        <v>30</v>
      </c>
      <c r="J283" s="14"/>
      <c r="K283" s="14" t="s">
        <v>61</v>
      </c>
      <c r="L283" s="12" t="s">
        <v>1515</v>
      </c>
      <c r="M283" s="12" t="s">
        <v>150</v>
      </c>
      <c r="N283" s="12">
        <v>30</v>
      </c>
      <c r="O283" s="12">
        <v>30</v>
      </c>
      <c r="P283" s="12">
        <v>0</v>
      </c>
      <c r="Q283" s="16">
        <v>30</v>
      </c>
      <c r="R283" s="16">
        <v>0</v>
      </c>
      <c r="S283" s="16"/>
      <c r="T283" s="28">
        <v>30</v>
      </c>
      <c r="U283" s="28"/>
      <c r="V283" s="29">
        <f>+VLOOKUP(E283,[1]base!D:K,8,0)</f>
        <v>6.0449999999999999</v>
      </c>
      <c r="W283" s="29">
        <f t="shared" si="30"/>
        <v>181.35</v>
      </c>
      <c r="X283" s="29">
        <f t="shared" si="31"/>
        <v>9.4301999999999992</v>
      </c>
      <c r="Y283" s="29">
        <f>+VLOOKUP(E283,[1]base!D:E,2,0)</f>
        <v>12</v>
      </c>
      <c r="Z283" s="29">
        <f t="shared" si="32"/>
        <v>3</v>
      </c>
      <c r="AA283" s="29">
        <f t="shared" si="33"/>
        <v>0.20000000000000007</v>
      </c>
      <c r="AB283" s="29">
        <f>+VLOOKUP(E283,[1]base!M:N,2,0)</f>
        <v>683</v>
      </c>
      <c r="AC283" s="29">
        <f>+VLOOKUP(E283,[1]base!M:Q,5,0)</f>
        <v>720.75</v>
      </c>
      <c r="AD283" s="30">
        <f>+VLOOKUP(E283,[1]base!M:P,4,0)</f>
        <v>8.3221476510067116E-2</v>
      </c>
      <c r="AE283" s="31">
        <f t="shared" si="34"/>
        <v>148.05973154362414</v>
      </c>
    </row>
    <row r="284" spans="1:31" x14ac:dyDescent="0.25">
      <c r="A284" s="12" t="s">
        <v>706</v>
      </c>
      <c r="B284" s="13">
        <v>46254.622511574074</v>
      </c>
      <c r="C284" s="12" t="s">
        <v>522</v>
      </c>
      <c r="D284" s="12" t="s">
        <v>326</v>
      </c>
      <c r="E284" s="26" t="str">
        <f t="shared" si="28"/>
        <v>EC67103</v>
      </c>
      <c r="F284" s="27" t="str">
        <f t="shared" si="29"/>
        <v>NOIR</v>
      </c>
      <c r="G284" s="27">
        <f>+VLOOKUP(F284,[1]base!A:B,2,0)</f>
        <v>37</v>
      </c>
      <c r="H284" s="12">
        <v>40</v>
      </c>
      <c r="I284" s="12">
        <v>40</v>
      </c>
      <c r="J284" s="14"/>
      <c r="K284" s="14" t="s">
        <v>61</v>
      </c>
      <c r="L284" s="12" t="s">
        <v>708</v>
      </c>
      <c r="M284" s="12" t="s">
        <v>150</v>
      </c>
      <c r="N284" s="12">
        <v>40</v>
      </c>
      <c r="O284" s="12">
        <v>40</v>
      </c>
      <c r="P284" s="12">
        <v>0</v>
      </c>
      <c r="Q284" s="16">
        <v>40</v>
      </c>
      <c r="R284" s="16">
        <v>0</v>
      </c>
      <c r="S284" s="16"/>
      <c r="T284" s="28">
        <v>40</v>
      </c>
      <c r="U284" s="28"/>
      <c r="V284" s="29">
        <f>+VLOOKUP(E284,[1]base!D:K,8,0)</f>
        <v>6.0449999999999999</v>
      </c>
      <c r="W284" s="29">
        <f t="shared" si="30"/>
        <v>241.8</v>
      </c>
      <c r="X284" s="29">
        <f t="shared" si="31"/>
        <v>12.573600000000001</v>
      </c>
      <c r="Y284" s="29">
        <f>+VLOOKUP(E284,[1]base!D:E,2,0)</f>
        <v>12</v>
      </c>
      <c r="Z284" s="29">
        <f t="shared" si="32"/>
        <v>4</v>
      </c>
      <c r="AA284" s="29">
        <f t="shared" si="33"/>
        <v>0.26666666666666677</v>
      </c>
      <c r="AB284" s="29">
        <f>+VLOOKUP(E284,[1]base!M:N,2,0)</f>
        <v>683</v>
      </c>
      <c r="AC284" s="29">
        <f>+VLOOKUP(E284,[1]base!M:Q,5,0)</f>
        <v>720.75</v>
      </c>
      <c r="AD284" s="30">
        <f>+VLOOKUP(E284,[1]base!M:P,4,0)</f>
        <v>8.3221476510067116E-2</v>
      </c>
      <c r="AE284" s="31">
        <f t="shared" si="34"/>
        <v>148.05973154362414</v>
      </c>
    </row>
    <row r="285" spans="1:31" x14ac:dyDescent="0.25">
      <c r="A285" s="12" t="s">
        <v>750</v>
      </c>
      <c r="B285" s="13">
        <v>46256.457442129627</v>
      </c>
      <c r="C285" s="12" t="s">
        <v>751</v>
      </c>
      <c r="D285" s="12" t="s">
        <v>326</v>
      </c>
      <c r="E285" s="26" t="str">
        <f t="shared" si="28"/>
        <v>EC67103</v>
      </c>
      <c r="F285" s="27" t="str">
        <f t="shared" si="29"/>
        <v>NOIR</v>
      </c>
      <c r="G285" s="27">
        <f>+VLOOKUP(F285,[1]base!A:B,2,0)</f>
        <v>37</v>
      </c>
      <c r="H285" s="12">
        <v>20</v>
      </c>
      <c r="I285" s="12">
        <v>20</v>
      </c>
      <c r="J285" s="14"/>
      <c r="K285" s="14" t="s">
        <v>61</v>
      </c>
      <c r="L285" s="12" t="s">
        <v>753</v>
      </c>
      <c r="M285" s="12" t="s">
        <v>150</v>
      </c>
      <c r="N285" s="12">
        <v>20</v>
      </c>
      <c r="O285" s="12">
        <v>20</v>
      </c>
      <c r="P285" s="12">
        <v>0</v>
      </c>
      <c r="Q285" s="16">
        <v>40</v>
      </c>
      <c r="R285" s="16">
        <v>0</v>
      </c>
      <c r="S285" s="16"/>
      <c r="T285" s="28">
        <v>20</v>
      </c>
      <c r="U285" s="28"/>
      <c r="V285" s="29">
        <f>+VLOOKUP(E285,[1]base!D:K,8,0)</f>
        <v>6.0449999999999999</v>
      </c>
      <c r="W285" s="29">
        <f t="shared" si="30"/>
        <v>120.9</v>
      </c>
      <c r="X285" s="29">
        <f t="shared" si="31"/>
        <v>6.2868000000000004</v>
      </c>
      <c r="Y285" s="29">
        <f>+VLOOKUP(E285,[1]base!D:E,2,0)</f>
        <v>12</v>
      </c>
      <c r="Z285" s="29">
        <f t="shared" si="32"/>
        <v>2</v>
      </c>
      <c r="AA285" s="29">
        <f t="shared" si="33"/>
        <v>0.13333333333333339</v>
      </c>
      <c r="AB285" s="29">
        <f>+VLOOKUP(E285,[1]base!M:N,2,0)</f>
        <v>683</v>
      </c>
      <c r="AC285" s="29">
        <f>+VLOOKUP(E285,[1]base!M:Q,5,0)</f>
        <v>720.75</v>
      </c>
      <c r="AD285" s="30">
        <f>+VLOOKUP(E285,[1]base!M:P,4,0)</f>
        <v>8.3221476510067116E-2</v>
      </c>
      <c r="AE285" s="31">
        <f t="shared" si="34"/>
        <v>148.05973154362414</v>
      </c>
    </row>
    <row r="286" spans="1:31" x14ac:dyDescent="0.25">
      <c r="A286" s="12" t="s">
        <v>758</v>
      </c>
      <c r="B286" s="13">
        <v>46258.403113425928</v>
      </c>
      <c r="C286" s="12" t="s">
        <v>759</v>
      </c>
      <c r="D286" s="12" t="s">
        <v>326</v>
      </c>
      <c r="E286" s="26" t="str">
        <f t="shared" si="28"/>
        <v>EC67103</v>
      </c>
      <c r="F286" s="27" t="str">
        <f t="shared" si="29"/>
        <v>NOIR</v>
      </c>
      <c r="G286" s="27">
        <f>+VLOOKUP(F286,[1]base!A:B,2,0)</f>
        <v>37</v>
      </c>
      <c r="H286" s="12">
        <v>24</v>
      </c>
      <c r="I286" s="12">
        <v>24</v>
      </c>
      <c r="J286" s="14"/>
      <c r="K286" s="14" t="s">
        <v>61</v>
      </c>
      <c r="L286" s="12" t="s">
        <v>768</v>
      </c>
      <c r="M286" s="12" t="s">
        <v>150</v>
      </c>
      <c r="N286" s="12">
        <v>24</v>
      </c>
      <c r="O286" s="12">
        <v>24</v>
      </c>
      <c r="P286" s="12">
        <v>0</v>
      </c>
      <c r="Q286" s="16">
        <v>24</v>
      </c>
      <c r="R286" s="16">
        <v>0</v>
      </c>
      <c r="S286" s="16"/>
      <c r="T286" s="28">
        <v>24</v>
      </c>
      <c r="U286" s="28"/>
      <c r="V286" s="29">
        <f>+VLOOKUP(E286,[1]base!D:K,8,0)</f>
        <v>6.0449999999999999</v>
      </c>
      <c r="W286" s="29">
        <f t="shared" si="30"/>
        <v>145.07999999999998</v>
      </c>
      <c r="X286" s="29">
        <f t="shared" si="31"/>
        <v>7.5441599999999989</v>
      </c>
      <c r="Y286" s="29">
        <f>+VLOOKUP(E286,[1]base!D:E,2,0)</f>
        <v>12</v>
      </c>
      <c r="Z286" s="29">
        <f t="shared" si="32"/>
        <v>2</v>
      </c>
      <c r="AA286" s="29">
        <f t="shared" si="33"/>
        <v>0.13333333333333339</v>
      </c>
      <c r="AB286" s="29">
        <f>+VLOOKUP(E286,[1]base!M:N,2,0)</f>
        <v>683</v>
      </c>
      <c r="AC286" s="29">
        <f>+VLOOKUP(E286,[1]base!M:Q,5,0)</f>
        <v>720.75</v>
      </c>
      <c r="AD286" s="30">
        <f>+VLOOKUP(E286,[1]base!M:P,4,0)</f>
        <v>8.3221476510067116E-2</v>
      </c>
      <c r="AE286" s="31">
        <f t="shared" si="34"/>
        <v>148.05973154362414</v>
      </c>
    </row>
    <row r="287" spans="1:31" x14ac:dyDescent="0.25">
      <c r="A287" s="12" t="s">
        <v>777</v>
      </c>
      <c r="B287" s="13">
        <v>46258.578530092593</v>
      </c>
      <c r="C287" s="12" t="s">
        <v>778</v>
      </c>
      <c r="D287" s="12" t="s">
        <v>326</v>
      </c>
      <c r="E287" s="26" t="str">
        <f t="shared" si="28"/>
        <v>EC67103</v>
      </c>
      <c r="F287" s="27" t="str">
        <f t="shared" si="29"/>
        <v>NOIR</v>
      </c>
      <c r="G287" s="27">
        <f>+VLOOKUP(F287,[1]base!A:B,2,0)</f>
        <v>37</v>
      </c>
      <c r="H287" s="12">
        <v>20</v>
      </c>
      <c r="I287" s="12">
        <v>20</v>
      </c>
      <c r="J287" s="14"/>
      <c r="K287" s="14" t="s">
        <v>61</v>
      </c>
      <c r="L287" s="12" t="s">
        <v>782</v>
      </c>
      <c r="M287" s="12" t="s">
        <v>150</v>
      </c>
      <c r="N287" s="12">
        <v>20</v>
      </c>
      <c r="O287" s="12">
        <v>20</v>
      </c>
      <c r="P287" s="12">
        <v>0</v>
      </c>
      <c r="Q287" s="16">
        <v>20</v>
      </c>
      <c r="R287" s="16">
        <v>0</v>
      </c>
      <c r="S287" s="16"/>
      <c r="T287" s="28">
        <v>20</v>
      </c>
      <c r="U287" s="28"/>
      <c r="V287" s="29">
        <f>+VLOOKUP(E287,[1]base!D:K,8,0)</f>
        <v>6.0449999999999999</v>
      </c>
      <c r="W287" s="29">
        <f t="shared" si="30"/>
        <v>120.9</v>
      </c>
      <c r="X287" s="29">
        <f t="shared" si="31"/>
        <v>6.2868000000000004</v>
      </c>
      <c r="Y287" s="29">
        <f>+VLOOKUP(E287,[1]base!D:E,2,0)</f>
        <v>12</v>
      </c>
      <c r="Z287" s="29">
        <f t="shared" si="32"/>
        <v>2</v>
      </c>
      <c r="AA287" s="29">
        <f t="shared" si="33"/>
        <v>0.13333333333333339</v>
      </c>
      <c r="AB287" s="29">
        <f>+VLOOKUP(E287,[1]base!M:N,2,0)</f>
        <v>683</v>
      </c>
      <c r="AC287" s="29">
        <f>+VLOOKUP(E287,[1]base!M:Q,5,0)</f>
        <v>720.75</v>
      </c>
      <c r="AD287" s="30">
        <f>+VLOOKUP(E287,[1]base!M:P,4,0)</f>
        <v>8.3221476510067116E-2</v>
      </c>
      <c r="AE287" s="31">
        <f t="shared" si="34"/>
        <v>148.05973154362414</v>
      </c>
    </row>
    <row r="288" spans="1:31" x14ac:dyDescent="0.25">
      <c r="A288" s="12" t="s">
        <v>837</v>
      </c>
      <c r="B288" s="13">
        <v>46260.566678240742</v>
      </c>
      <c r="C288" s="12" t="s">
        <v>522</v>
      </c>
      <c r="D288" s="12" t="s">
        <v>326</v>
      </c>
      <c r="E288" s="26" t="str">
        <f t="shared" si="28"/>
        <v>EC67103</v>
      </c>
      <c r="F288" s="27" t="str">
        <f t="shared" si="29"/>
        <v>NOIR</v>
      </c>
      <c r="G288" s="27">
        <f>+VLOOKUP(F288,[1]base!A:B,2,0)</f>
        <v>37</v>
      </c>
      <c r="H288" s="12">
        <v>20</v>
      </c>
      <c r="I288" s="12">
        <v>20</v>
      </c>
      <c r="J288" s="14"/>
      <c r="K288" s="14" t="s">
        <v>61</v>
      </c>
      <c r="L288" s="12" t="s">
        <v>839</v>
      </c>
      <c r="M288" s="12" t="s">
        <v>150</v>
      </c>
      <c r="N288" s="12">
        <v>20</v>
      </c>
      <c r="O288" s="12">
        <v>20</v>
      </c>
      <c r="P288" s="12">
        <v>0</v>
      </c>
      <c r="Q288" s="16">
        <v>20</v>
      </c>
      <c r="R288" s="16">
        <v>0</v>
      </c>
      <c r="S288" s="16"/>
      <c r="T288" s="28">
        <v>20</v>
      </c>
      <c r="U288" s="28"/>
      <c r="V288" s="29">
        <f>+VLOOKUP(E288,[1]base!D:K,8,0)</f>
        <v>6.0449999999999999</v>
      </c>
      <c r="W288" s="29">
        <f t="shared" si="30"/>
        <v>120.9</v>
      </c>
      <c r="X288" s="29">
        <f t="shared" si="31"/>
        <v>6.2868000000000004</v>
      </c>
      <c r="Y288" s="29">
        <f>+VLOOKUP(E288,[1]base!D:E,2,0)</f>
        <v>12</v>
      </c>
      <c r="Z288" s="29">
        <f t="shared" si="32"/>
        <v>2</v>
      </c>
      <c r="AA288" s="29">
        <f t="shared" si="33"/>
        <v>0.13333333333333339</v>
      </c>
      <c r="AB288" s="29">
        <f>+VLOOKUP(E288,[1]base!M:N,2,0)</f>
        <v>683</v>
      </c>
      <c r="AC288" s="29">
        <f>+VLOOKUP(E288,[1]base!M:Q,5,0)</f>
        <v>720.75</v>
      </c>
      <c r="AD288" s="30">
        <f>+VLOOKUP(E288,[1]base!M:P,4,0)</f>
        <v>8.3221476510067116E-2</v>
      </c>
      <c r="AE288" s="31">
        <f t="shared" si="34"/>
        <v>148.05973154362414</v>
      </c>
    </row>
    <row r="289" spans="1:31" x14ac:dyDescent="0.25">
      <c r="A289" s="12" t="s">
        <v>1261</v>
      </c>
      <c r="B289" s="13">
        <v>46268.598449074074</v>
      </c>
      <c r="C289" s="12" t="s">
        <v>522</v>
      </c>
      <c r="D289" s="12" t="s">
        <v>326</v>
      </c>
      <c r="E289" s="26" t="str">
        <f t="shared" si="28"/>
        <v>EC67103</v>
      </c>
      <c r="F289" s="27" t="str">
        <f t="shared" si="29"/>
        <v>NOIR</v>
      </c>
      <c r="G289" s="27">
        <f>+VLOOKUP(F289,[1]base!A:B,2,0)</f>
        <v>37</v>
      </c>
      <c r="H289" s="12">
        <v>50</v>
      </c>
      <c r="I289" s="12">
        <v>50</v>
      </c>
      <c r="J289" s="14"/>
      <c r="K289" s="14" t="s">
        <v>61</v>
      </c>
      <c r="L289" s="12" t="s">
        <v>1272</v>
      </c>
      <c r="M289" s="12" t="s">
        <v>150</v>
      </c>
      <c r="N289" s="12">
        <v>50</v>
      </c>
      <c r="O289" s="12">
        <v>50</v>
      </c>
      <c r="P289" s="12">
        <v>0</v>
      </c>
      <c r="Q289" s="16">
        <v>50</v>
      </c>
      <c r="R289" s="16">
        <v>0</v>
      </c>
      <c r="S289" s="16"/>
      <c r="T289" s="28">
        <v>50</v>
      </c>
      <c r="U289" s="28"/>
      <c r="V289" s="29">
        <f>+VLOOKUP(E289,[1]base!D:K,8,0)</f>
        <v>6.0449999999999999</v>
      </c>
      <c r="W289" s="29">
        <f t="shared" si="30"/>
        <v>302.25</v>
      </c>
      <c r="X289" s="29">
        <f t="shared" si="31"/>
        <v>15.716999999999999</v>
      </c>
      <c r="Y289" s="29">
        <f>+VLOOKUP(E289,[1]base!D:E,2,0)</f>
        <v>12</v>
      </c>
      <c r="Z289" s="29">
        <f t="shared" si="32"/>
        <v>5</v>
      </c>
      <c r="AA289" s="29">
        <f t="shared" si="33"/>
        <v>0.33333333333333348</v>
      </c>
      <c r="AB289" s="29">
        <f>+VLOOKUP(E289,[1]base!M:N,2,0)</f>
        <v>683</v>
      </c>
      <c r="AC289" s="29">
        <f>+VLOOKUP(E289,[1]base!M:Q,5,0)</f>
        <v>720.75</v>
      </c>
      <c r="AD289" s="30">
        <f>+VLOOKUP(E289,[1]base!M:P,4,0)</f>
        <v>8.3221476510067116E-2</v>
      </c>
      <c r="AE289" s="31">
        <f t="shared" si="34"/>
        <v>148.05973154362414</v>
      </c>
    </row>
    <row r="290" spans="1:31" x14ac:dyDescent="0.25">
      <c r="A290" s="12" t="s">
        <v>1291</v>
      </c>
      <c r="B290" s="13">
        <v>46269.280277777776</v>
      </c>
      <c r="C290" s="12" t="s">
        <v>266</v>
      </c>
      <c r="D290" s="12" t="s">
        <v>326</v>
      </c>
      <c r="E290" s="26" t="str">
        <f t="shared" si="28"/>
        <v>EC67103</v>
      </c>
      <c r="F290" s="27" t="str">
        <f t="shared" si="29"/>
        <v>NOIR</v>
      </c>
      <c r="G290" s="27">
        <f>+VLOOKUP(F290,[1]base!A:B,2,0)</f>
        <v>37</v>
      </c>
      <c r="H290" s="12">
        <v>40</v>
      </c>
      <c r="I290" s="12">
        <v>40</v>
      </c>
      <c r="J290" s="14"/>
      <c r="K290" s="14" t="s">
        <v>61</v>
      </c>
      <c r="L290" s="12" t="s">
        <v>1302</v>
      </c>
      <c r="M290" s="12" t="s">
        <v>150</v>
      </c>
      <c r="N290" s="12">
        <v>40</v>
      </c>
      <c r="O290" s="12">
        <v>40</v>
      </c>
      <c r="P290" s="12">
        <v>0</v>
      </c>
      <c r="Q290" s="16">
        <v>40</v>
      </c>
      <c r="R290" s="16">
        <v>0</v>
      </c>
      <c r="S290" s="16"/>
      <c r="T290" s="28">
        <v>40</v>
      </c>
      <c r="U290" s="28"/>
      <c r="V290" s="29">
        <f>+VLOOKUP(E290,[1]base!D:K,8,0)</f>
        <v>6.0449999999999999</v>
      </c>
      <c r="W290" s="29">
        <f t="shared" si="30"/>
        <v>241.8</v>
      </c>
      <c r="X290" s="29">
        <f t="shared" si="31"/>
        <v>12.573600000000001</v>
      </c>
      <c r="Y290" s="29">
        <f>+VLOOKUP(E290,[1]base!D:E,2,0)</f>
        <v>12</v>
      </c>
      <c r="Z290" s="29">
        <f t="shared" si="32"/>
        <v>4</v>
      </c>
      <c r="AA290" s="29">
        <f t="shared" si="33"/>
        <v>0.26666666666666677</v>
      </c>
      <c r="AB290" s="29">
        <f>+VLOOKUP(E290,[1]base!M:N,2,0)</f>
        <v>683</v>
      </c>
      <c r="AC290" s="29">
        <f>+VLOOKUP(E290,[1]base!M:Q,5,0)</f>
        <v>720.75</v>
      </c>
      <c r="AD290" s="30">
        <f>+VLOOKUP(E290,[1]base!M:P,4,0)</f>
        <v>8.3221476510067116E-2</v>
      </c>
      <c r="AE290" s="31">
        <f t="shared" si="34"/>
        <v>148.05973154362414</v>
      </c>
    </row>
    <row r="291" spans="1:31" x14ac:dyDescent="0.25">
      <c r="A291" s="12" t="s">
        <v>1562</v>
      </c>
      <c r="B291" s="13">
        <v>46274.635497685187</v>
      </c>
      <c r="C291" s="12" t="s">
        <v>484</v>
      </c>
      <c r="D291" s="12" t="s">
        <v>326</v>
      </c>
      <c r="E291" s="26" t="str">
        <f t="shared" si="28"/>
        <v>EC67103</v>
      </c>
      <c r="F291" s="27" t="str">
        <f t="shared" si="29"/>
        <v>NOIR</v>
      </c>
      <c r="G291" s="27">
        <f>+VLOOKUP(F291,[1]base!A:B,2,0)</f>
        <v>37</v>
      </c>
      <c r="H291" s="12">
        <v>30</v>
      </c>
      <c r="I291" s="12">
        <v>30</v>
      </c>
      <c r="J291" s="14"/>
      <c r="K291" s="14" t="s">
        <v>61</v>
      </c>
      <c r="L291" s="12" t="s">
        <v>1565</v>
      </c>
      <c r="M291" s="12" t="s">
        <v>150</v>
      </c>
      <c r="N291" s="12">
        <v>30</v>
      </c>
      <c r="O291" s="12">
        <v>30</v>
      </c>
      <c r="P291" s="12">
        <v>0</v>
      </c>
      <c r="Q291" s="16">
        <v>30</v>
      </c>
      <c r="R291" s="16">
        <v>0</v>
      </c>
      <c r="S291" s="16"/>
      <c r="T291" s="28">
        <v>30</v>
      </c>
      <c r="U291" s="28"/>
      <c r="V291" s="29">
        <f>+VLOOKUP(E291,[1]base!D:K,8,0)</f>
        <v>6.0449999999999999</v>
      </c>
      <c r="W291" s="29">
        <f t="shared" si="30"/>
        <v>181.35</v>
      </c>
      <c r="X291" s="29">
        <f t="shared" si="31"/>
        <v>9.4301999999999992</v>
      </c>
      <c r="Y291" s="29">
        <f>+VLOOKUP(E291,[1]base!D:E,2,0)</f>
        <v>12</v>
      </c>
      <c r="Z291" s="29">
        <f t="shared" si="32"/>
        <v>3</v>
      </c>
      <c r="AA291" s="29">
        <f t="shared" si="33"/>
        <v>0.20000000000000007</v>
      </c>
      <c r="AB291" s="29">
        <f>+VLOOKUP(E291,[1]base!M:N,2,0)</f>
        <v>683</v>
      </c>
      <c r="AC291" s="29">
        <f>+VLOOKUP(E291,[1]base!M:Q,5,0)</f>
        <v>720.75</v>
      </c>
      <c r="AD291" s="30">
        <f>+VLOOKUP(E291,[1]base!M:P,4,0)</f>
        <v>8.3221476510067116E-2</v>
      </c>
      <c r="AE291" s="31">
        <f t="shared" si="34"/>
        <v>148.05973154362414</v>
      </c>
    </row>
    <row r="292" spans="1:31" x14ac:dyDescent="0.25">
      <c r="A292" s="12" t="s">
        <v>843</v>
      </c>
      <c r="B292" s="13">
        <v>46261.381307870368</v>
      </c>
      <c r="C292" s="12" t="s">
        <v>398</v>
      </c>
      <c r="D292" s="12" t="s">
        <v>844</v>
      </c>
      <c r="E292" s="26" t="str">
        <f t="shared" si="28"/>
        <v>EC67103</v>
      </c>
      <c r="F292" s="27" t="str">
        <f t="shared" si="29"/>
        <v>DARK</v>
      </c>
      <c r="G292" s="27">
        <f>+VLOOKUP(F292,[1]base!A:B,2,0)</f>
        <v>38</v>
      </c>
      <c r="H292" s="12">
        <v>18</v>
      </c>
      <c r="I292" s="12">
        <v>18</v>
      </c>
      <c r="J292" s="14"/>
      <c r="K292" s="14" t="s">
        <v>61</v>
      </c>
      <c r="L292" s="12" t="s">
        <v>850</v>
      </c>
      <c r="M292" s="12" t="s">
        <v>150</v>
      </c>
      <c r="N292" s="12">
        <v>18</v>
      </c>
      <c r="O292" s="12">
        <v>18</v>
      </c>
      <c r="P292" s="12">
        <v>0</v>
      </c>
      <c r="Q292" s="16">
        <v>18</v>
      </c>
      <c r="R292" s="16">
        <v>0</v>
      </c>
      <c r="S292" s="16"/>
      <c r="T292" s="28">
        <v>18</v>
      </c>
      <c r="U292" s="28"/>
      <c r="V292" s="29">
        <f>+VLOOKUP(E292,[1]base!D:K,8,0)</f>
        <v>6.0449999999999999</v>
      </c>
      <c r="W292" s="29">
        <f t="shared" si="30"/>
        <v>108.81</v>
      </c>
      <c r="X292" s="29">
        <f t="shared" si="31"/>
        <v>5.6581200000000003</v>
      </c>
      <c r="Y292" s="29">
        <f>+VLOOKUP(E292,[1]base!D:E,2,0)</f>
        <v>12</v>
      </c>
      <c r="Z292" s="29">
        <f t="shared" si="32"/>
        <v>2</v>
      </c>
      <c r="AA292" s="29">
        <f t="shared" si="33"/>
        <v>0.13333333333333339</v>
      </c>
      <c r="AB292" s="29">
        <f>+VLOOKUP(E292,[1]base!M:N,2,0)</f>
        <v>683</v>
      </c>
      <c r="AC292" s="29">
        <f>+VLOOKUP(E292,[1]base!M:Q,5,0)</f>
        <v>720.75</v>
      </c>
      <c r="AD292" s="30">
        <f>+VLOOKUP(E292,[1]base!M:P,4,0)</f>
        <v>8.3221476510067116E-2</v>
      </c>
      <c r="AE292" s="31">
        <f t="shared" si="34"/>
        <v>148.05973154362414</v>
      </c>
    </row>
    <row r="293" spans="1:31" x14ac:dyDescent="0.25">
      <c r="A293" s="12"/>
      <c r="B293" s="13"/>
      <c r="C293" s="12"/>
      <c r="D293" s="12" t="s">
        <v>1335</v>
      </c>
      <c r="E293" s="26" t="str">
        <f t="shared" si="28"/>
        <v>EC67104</v>
      </c>
      <c r="F293" s="27" t="str">
        <f t="shared" si="29"/>
        <v>BLC</v>
      </c>
      <c r="G293" s="27">
        <f>+VLOOKUP(F293,[1]base!A:B,2,0)</f>
        <v>1</v>
      </c>
      <c r="H293" s="12">
        <v>15</v>
      </c>
      <c r="I293" s="12">
        <v>15</v>
      </c>
      <c r="J293" s="14"/>
      <c r="K293" s="14" t="s">
        <v>26</v>
      </c>
      <c r="L293" s="12" t="s">
        <v>27</v>
      </c>
      <c r="M293" s="12" t="s">
        <v>28</v>
      </c>
      <c r="N293" s="12"/>
      <c r="O293" s="12"/>
      <c r="P293" s="12"/>
      <c r="Q293" s="16">
        <v>0</v>
      </c>
      <c r="R293" s="16">
        <v>0</v>
      </c>
      <c r="S293" s="16"/>
      <c r="T293" s="33">
        <v>260</v>
      </c>
      <c r="U293" s="33"/>
      <c r="V293" s="29">
        <f>+VLOOKUP(E293,[1]base!D:K,8,0)</f>
        <v>3.8739999999999997</v>
      </c>
      <c r="W293" s="29">
        <f t="shared" si="30"/>
        <v>1007.2399999999999</v>
      </c>
      <c r="X293" s="29">
        <f t="shared" si="31"/>
        <v>52.376479999999994</v>
      </c>
      <c r="Y293" s="29">
        <f>+VLOOKUP(E293,[1]base!D:E,2,0)</f>
        <v>13</v>
      </c>
      <c r="Z293" s="29">
        <f t="shared" si="32"/>
        <v>20</v>
      </c>
      <c r="AA293" s="29">
        <f t="shared" si="33"/>
        <v>1.3333333333333339</v>
      </c>
      <c r="AB293" s="29">
        <f>+VLOOKUP(E293,[1]base!M:N,2,0)</f>
        <v>1227</v>
      </c>
      <c r="AC293" s="29">
        <f>+VLOOKUP(E293,[1]base!M:Q,5,0)</f>
        <v>409.875</v>
      </c>
      <c r="AD293" s="30">
        <f>+VLOOKUP(E293,[1]base!M:P,4,0)</f>
        <v>2.3089171974522291E-2</v>
      </c>
      <c r="AE293" s="31">
        <f t="shared" si="34"/>
        <v>339.76958598726111</v>
      </c>
    </row>
    <row r="294" spans="1:31" x14ac:dyDescent="0.25">
      <c r="A294" s="12" t="s">
        <v>1291</v>
      </c>
      <c r="B294" s="13">
        <v>46269.280277777776</v>
      </c>
      <c r="C294" s="12" t="s">
        <v>266</v>
      </c>
      <c r="D294" s="12" t="s">
        <v>1267</v>
      </c>
      <c r="E294" s="26" t="str">
        <f t="shared" si="28"/>
        <v>EC67104</v>
      </c>
      <c r="F294" s="27" t="str">
        <f t="shared" si="29"/>
        <v>NOIR</v>
      </c>
      <c r="G294" s="27">
        <f>+VLOOKUP(F294,[1]base!A:B,2,0)</f>
        <v>37</v>
      </c>
      <c r="H294" s="12">
        <v>20</v>
      </c>
      <c r="I294" s="12">
        <v>20</v>
      </c>
      <c r="J294" s="14"/>
      <c r="K294" s="14" t="s">
        <v>61</v>
      </c>
      <c r="L294" s="12" t="s">
        <v>1303</v>
      </c>
      <c r="M294" s="12" t="s">
        <v>150</v>
      </c>
      <c r="N294" s="12">
        <v>20</v>
      </c>
      <c r="O294" s="12">
        <v>20</v>
      </c>
      <c r="P294" s="12">
        <v>0</v>
      </c>
      <c r="Q294" s="16">
        <v>20</v>
      </c>
      <c r="R294" s="16">
        <v>0</v>
      </c>
      <c r="S294" s="16"/>
      <c r="T294" s="28">
        <v>20</v>
      </c>
      <c r="U294" s="28"/>
      <c r="V294" s="29">
        <f>+VLOOKUP(E294,[1]base!D:K,8,0)</f>
        <v>3.8739999999999997</v>
      </c>
      <c r="W294" s="29">
        <f t="shared" si="30"/>
        <v>77.47999999999999</v>
      </c>
      <c r="X294" s="29">
        <f t="shared" si="31"/>
        <v>4.0289599999999997</v>
      </c>
      <c r="Y294" s="29">
        <f>+VLOOKUP(E294,[1]base!D:E,2,0)</f>
        <v>13</v>
      </c>
      <c r="Z294" s="29">
        <f t="shared" si="32"/>
        <v>2</v>
      </c>
      <c r="AA294" s="29">
        <f t="shared" si="33"/>
        <v>0.13333333333333339</v>
      </c>
      <c r="AB294" s="29">
        <f>+VLOOKUP(E294,[1]base!M:N,2,0)</f>
        <v>1227</v>
      </c>
      <c r="AC294" s="29">
        <f>+VLOOKUP(E294,[1]base!M:Q,5,0)</f>
        <v>409.875</v>
      </c>
      <c r="AD294" s="30">
        <f>+VLOOKUP(E294,[1]base!M:P,4,0)</f>
        <v>2.3089171974522291E-2</v>
      </c>
      <c r="AE294" s="31">
        <f t="shared" si="34"/>
        <v>339.76958598726111</v>
      </c>
    </row>
    <row r="295" spans="1:31" x14ac:dyDescent="0.25">
      <c r="A295" s="12" t="s">
        <v>1562</v>
      </c>
      <c r="B295" s="13">
        <v>46274.635497685187</v>
      </c>
      <c r="C295" s="12" t="s">
        <v>484</v>
      </c>
      <c r="D295" s="12" t="s">
        <v>1267</v>
      </c>
      <c r="E295" s="26" t="str">
        <f t="shared" si="28"/>
        <v>EC67104</v>
      </c>
      <c r="F295" s="27" t="str">
        <f t="shared" si="29"/>
        <v>NOIR</v>
      </c>
      <c r="G295" s="27">
        <f>+VLOOKUP(F295,[1]base!A:B,2,0)</f>
        <v>37</v>
      </c>
      <c r="H295" s="12">
        <v>30</v>
      </c>
      <c r="I295" s="12">
        <v>30</v>
      </c>
      <c r="J295" s="14"/>
      <c r="K295" s="14" t="s">
        <v>61</v>
      </c>
      <c r="L295" s="12" t="s">
        <v>1566</v>
      </c>
      <c r="M295" s="12" t="s">
        <v>150</v>
      </c>
      <c r="N295" s="12">
        <v>30</v>
      </c>
      <c r="O295" s="12">
        <v>30</v>
      </c>
      <c r="P295" s="12">
        <v>0</v>
      </c>
      <c r="Q295" s="16">
        <v>30</v>
      </c>
      <c r="R295" s="16">
        <v>0</v>
      </c>
      <c r="S295" s="16"/>
      <c r="T295" s="28">
        <v>30</v>
      </c>
      <c r="U295" s="28"/>
      <c r="V295" s="29">
        <f>+VLOOKUP(E295,[1]base!D:K,8,0)</f>
        <v>3.8739999999999997</v>
      </c>
      <c r="W295" s="29">
        <f t="shared" si="30"/>
        <v>116.21999999999998</v>
      </c>
      <c r="X295" s="29">
        <f t="shared" si="31"/>
        <v>6.0434399999999986</v>
      </c>
      <c r="Y295" s="29">
        <f>+VLOOKUP(E295,[1]base!D:E,2,0)</f>
        <v>13</v>
      </c>
      <c r="Z295" s="29">
        <f t="shared" si="32"/>
        <v>3</v>
      </c>
      <c r="AA295" s="29">
        <f t="shared" si="33"/>
        <v>0.20000000000000007</v>
      </c>
      <c r="AB295" s="29">
        <f>+VLOOKUP(E295,[1]base!M:N,2,0)</f>
        <v>1227</v>
      </c>
      <c r="AC295" s="29">
        <f>+VLOOKUP(E295,[1]base!M:Q,5,0)</f>
        <v>409.875</v>
      </c>
      <c r="AD295" s="30">
        <f>+VLOOKUP(E295,[1]base!M:P,4,0)</f>
        <v>2.3089171974522291E-2</v>
      </c>
      <c r="AE295" s="31">
        <f t="shared" si="34"/>
        <v>339.76958598726111</v>
      </c>
    </row>
    <row r="296" spans="1:31" x14ac:dyDescent="0.25">
      <c r="A296" s="12" t="s">
        <v>985</v>
      </c>
      <c r="B296" s="13">
        <v>46265.519386574073</v>
      </c>
      <c r="C296" s="12" t="s">
        <v>627</v>
      </c>
      <c r="D296" s="12" t="s">
        <v>1005</v>
      </c>
      <c r="E296" s="26" t="str">
        <f t="shared" si="28"/>
        <v>EC67105</v>
      </c>
      <c r="F296" s="27" t="str">
        <f t="shared" si="29"/>
        <v>ACAJOU</v>
      </c>
      <c r="G296" s="27">
        <f>+VLOOKUP(F296,[1]base!A:B,2,0)</f>
        <v>15.1</v>
      </c>
      <c r="H296" s="12">
        <v>5</v>
      </c>
      <c r="I296" s="12">
        <v>5</v>
      </c>
      <c r="J296" s="14"/>
      <c r="K296" s="14" t="s">
        <v>61</v>
      </c>
      <c r="L296" s="12" t="s">
        <v>1008</v>
      </c>
      <c r="M296" s="12" t="s">
        <v>150</v>
      </c>
      <c r="N296" s="12">
        <v>5</v>
      </c>
      <c r="O296" s="12">
        <v>5</v>
      </c>
      <c r="P296" s="12">
        <v>0</v>
      </c>
      <c r="Q296" s="16">
        <v>5</v>
      </c>
      <c r="R296" s="16">
        <v>0</v>
      </c>
      <c r="S296" s="16"/>
      <c r="T296" s="28">
        <v>5</v>
      </c>
      <c r="U296" s="28"/>
      <c r="V296" s="29">
        <f>+VLOOKUP(E296,[1]base!D:K,8,0)</f>
        <v>2.9445000000000001</v>
      </c>
      <c r="W296" s="29">
        <f t="shared" si="30"/>
        <v>14.7225</v>
      </c>
      <c r="X296" s="29">
        <f t="shared" si="31"/>
        <v>0.76556999999999997</v>
      </c>
      <c r="Y296" s="29">
        <f>+VLOOKUP(E296,[1]base!D:E,2,0)</f>
        <v>13</v>
      </c>
      <c r="Z296" s="29">
        <f t="shared" si="32"/>
        <v>1</v>
      </c>
      <c r="AA296" s="29">
        <f t="shared" si="33"/>
        <v>6.6666666666666693E-2</v>
      </c>
      <c r="AB296" s="29">
        <f>+VLOOKUP(E296,[1]base!M:N,2,0)</f>
        <v>78</v>
      </c>
      <c r="AC296" s="29">
        <f>+VLOOKUP(E296,[1]base!M:Q,5,0)</f>
        <v>520.63636363636363</v>
      </c>
      <c r="AD296" s="30">
        <f>+VLOOKUP(E296,[1]base!M:P,4,0)</f>
        <v>0.68421052631578949</v>
      </c>
      <c r="AE296" s="31">
        <f t="shared" si="34"/>
        <v>-29.96842105263158</v>
      </c>
    </row>
    <row r="297" spans="1:31" x14ac:dyDescent="0.25">
      <c r="A297" s="12" t="s">
        <v>983</v>
      </c>
      <c r="B297" s="13">
        <v>46265.499872685185</v>
      </c>
      <c r="C297" s="12" t="s">
        <v>986</v>
      </c>
      <c r="D297" s="12" t="s">
        <v>346</v>
      </c>
      <c r="E297" s="26" t="str">
        <f t="shared" si="28"/>
        <v>EC67105</v>
      </c>
      <c r="F297" s="27" t="str">
        <f t="shared" si="29"/>
        <v>GRIS</v>
      </c>
      <c r="G297" s="27">
        <f>+VLOOKUP(F297,[1]base!A:B,2,0)</f>
        <v>22</v>
      </c>
      <c r="H297" s="12">
        <v>20</v>
      </c>
      <c r="I297" s="12">
        <v>20</v>
      </c>
      <c r="J297" s="14"/>
      <c r="K297" s="14" t="s">
        <v>61</v>
      </c>
      <c r="L297" s="12" t="s">
        <v>993</v>
      </c>
      <c r="M297" s="12" t="s">
        <v>150</v>
      </c>
      <c r="N297" s="12">
        <v>20</v>
      </c>
      <c r="O297" s="12">
        <v>20</v>
      </c>
      <c r="P297" s="12">
        <v>0</v>
      </c>
      <c r="Q297" s="16">
        <v>20</v>
      </c>
      <c r="R297" s="16">
        <v>0</v>
      </c>
      <c r="S297" s="16"/>
      <c r="T297" s="28">
        <v>20</v>
      </c>
      <c r="U297" s="28"/>
      <c r="V297" s="29">
        <f>+VLOOKUP(E297,[1]base!D:K,8,0)</f>
        <v>2.9445000000000001</v>
      </c>
      <c r="W297" s="29">
        <f t="shared" si="30"/>
        <v>58.89</v>
      </c>
      <c r="X297" s="29">
        <f t="shared" si="31"/>
        <v>3.0622799999999999</v>
      </c>
      <c r="Y297" s="29">
        <f>+VLOOKUP(E297,[1]base!D:E,2,0)</f>
        <v>13</v>
      </c>
      <c r="Z297" s="29">
        <f t="shared" si="32"/>
        <v>2</v>
      </c>
      <c r="AA297" s="29">
        <f t="shared" si="33"/>
        <v>0.13333333333333339</v>
      </c>
      <c r="AB297" s="29">
        <f>+VLOOKUP(E297,[1]base!M:N,2,0)</f>
        <v>78</v>
      </c>
      <c r="AC297" s="29">
        <f>+VLOOKUP(E297,[1]base!M:Q,5,0)</f>
        <v>520.63636363636363</v>
      </c>
      <c r="AD297" s="30">
        <f>+VLOOKUP(E297,[1]base!M:P,4,0)</f>
        <v>0.68421052631578949</v>
      </c>
      <c r="AE297" s="31">
        <f t="shared" si="34"/>
        <v>-29.96842105263158</v>
      </c>
    </row>
    <row r="298" spans="1:31" x14ac:dyDescent="0.25">
      <c r="A298" s="12" t="s">
        <v>1218</v>
      </c>
      <c r="B298" s="13">
        <v>46268.354953703703</v>
      </c>
      <c r="C298" s="12" t="s">
        <v>24</v>
      </c>
      <c r="D298" s="12" t="s">
        <v>346</v>
      </c>
      <c r="E298" s="26" t="str">
        <f t="shared" si="28"/>
        <v>EC67105</v>
      </c>
      <c r="F298" s="27" t="str">
        <f t="shared" si="29"/>
        <v>GRIS</v>
      </c>
      <c r="G298" s="27">
        <f>+VLOOKUP(F298,[1]base!A:B,2,0)</f>
        <v>22</v>
      </c>
      <c r="H298" s="12">
        <v>4</v>
      </c>
      <c r="I298" s="12">
        <v>4</v>
      </c>
      <c r="J298" s="14"/>
      <c r="K298" s="14" t="s">
        <v>61</v>
      </c>
      <c r="L298" s="12" t="s">
        <v>1223</v>
      </c>
      <c r="M298" s="12" t="s">
        <v>150</v>
      </c>
      <c r="N298" s="12">
        <v>4</v>
      </c>
      <c r="O298" s="12">
        <v>4</v>
      </c>
      <c r="P298" s="12">
        <v>0</v>
      </c>
      <c r="Q298" s="16">
        <v>4</v>
      </c>
      <c r="R298" s="16">
        <v>0</v>
      </c>
      <c r="S298" s="16"/>
      <c r="T298" s="28">
        <v>4</v>
      </c>
      <c r="U298" s="28"/>
      <c r="V298" s="29">
        <f>+VLOOKUP(E298,[1]base!D:K,8,0)</f>
        <v>2.9445000000000001</v>
      </c>
      <c r="W298" s="29">
        <f t="shared" si="30"/>
        <v>11.778</v>
      </c>
      <c r="X298" s="29">
        <f t="shared" si="31"/>
        <v>0.612456</v>
      </c>
      <c r="Y298" s="29">
        <f>+VLOOKUP(E298,[1]base!D:E,2,0)</f>
        <v>13</v>
      </c>
      <c r="Z298" s="29">
        <f t="shared" si="32"/>
        <v>1</v>
      </c>
      <c r="AA298" s="29">
        <f t="shared" si="33"/>
        <v>6.6666666666666693E-2</v>
      </c>
      <c r="AB298" s="29">
        <f>+VLOOKUP(E298,[1]base!M:N,2,0)</f>
        <v>78</v>
      </c>
      <c r="AC298" s="29">
        <f>+VLOOKUP(E298,[1]base!M:Q,5,0)</f>
        <v>520.63636363636363</v>
      </c>
      <c r="AD298" s="30">
        <f>+VLOOKUP(E298,[1]base!M:P,4,0)</f>
        <v>0.68421052631578949</v>
      </c>
      <c r="AE298" s="31">
        <f t="shared" si="34"/>
        <v>-29.96842105263158</v>
      </c>
    </row>
    <row r="299" spans="1:31" x14ac:dyDescent="0.25">
      <c r="A299" s="12" t="s">
        <v>1492</v>
      </c>
      <c r="B299" s="13">
        <v>46273.61005787037</v>
      </c>
      <c r="C299" s="12" t="s">
        <v>266</v>
      </c>
      <c r="D299" s="12" t="s">
        <v>346</v>
      </c>
      <c r="E299" s="26" t="str">
        <f t="shared" si="28"/>
        <v>EC67105</v>
      </c>
      <c r="F299" s="27" t="str">
        <f t="shared" si="29"/>
        <v>GRIS</v>
      </c>
      <c r="G299" s="27">
        <f>+VLOOKUP(F299,[1]base!A:B,2,0)</f>
        <v>22</v>
      </c>
      <c r="H299" s="12">
        <v>20</v>
      </c>
      <c r="I299" s="12">
        <v>20</v>
      </c>
      <c r="J299" s="14"/>
      <c r="K299" s="14" t="s">
        <v>61</v>
      </c>
      <c r="L299" s="12" t="s">
        <v>1511</v>
      </c>
      <c r="M299" s="12" t="s">
        <v>150</v>
      </c>
      <c r="N299" s="12">
        <v>20</v>
      </c>
      <c r="O299" s="12">
        <v>20</v>
      </c>
      <c r="P299" s="12">
        <v>0</v>
      </c>
      <c r="Q299" s="16">
        <v>20</v>
      </c>
      <c r="R299" s="16">
        <v>0</v>
      </c>
      <c r="S299" s="16"/>
      <c r="T299" s="28">
        <v>20</v>
      </c>
      <c r="U299" s="28"/>
      <c r="V299" s="29">
        <f>+VLOOKUP(E299,[1]base!D:K,8,0)</f>
        <v>2.9445000000000001</v>
      </c>
      <c r="W299" s="29">
        <f t="shared" si="30"/>
        <v>58.89</v>
      </c>
      <c r="X299" s="29">
        <f t="shared" si="31"/>
        <v>3.0622799999999999</v>
      </c>
      <c r="Y299" s="29">
        <f>+VLOOKUP(E299,[1]base!D:E,2,0)</f>
        <v>13</v>
      </c>
      <c r="Z299" s="29">
        <f t="shared" si="32"/>
        <v>2</v>
      </c>
      <c r="AA299" s="29">
        <f t="shared" si="33"/>
        <v>0.13333333333333339</v>
      </c>
      <c r="AB299" s="29">
        <f>+VLOOKUP(E299,[1]base!M:N,2,0)</f>
        <v>78</v>
      </c>
      <c r="AC299" s="29">
        <f>+VLOOKUP(E299,[1]base!M:Q,5,0)</f>
        <v>520.63636363636363</v>
      </c>
      <c r="AD299" s="30">
        <f>+VLOOKUP(E299,[1]base!M:P,4,0)</f>
        <v>0.68421052631578949</v>
      </c>
      <c r="AE299" s="31">
        <f t="shared" si="34"/>
        <v>-29.96842105263158</v>
      </c>
    </row>
    <row r="300" spans="1:31" x14ac:dyDescent="0.25">
      <c r="A300" s="12" t="s">
        <v>758</v>
      </c>
      <c r="B300" s="13">
        <v>46258.403113425928</v>
      </c>
      <c r="C300" s="12" t="s">
        <v>759</v>
      </c>
      <c r="D300" s="12" t="s">
        <v>767</v>
      </c>
      <c r="E300" s="26" t="str">
        <f t="shared" si="28"/>
        <v>EC67105</v>
      </c>
      <c r="F300" s="27" t="str">
        <f t="shared" si="29"/>
        <v>NOIR</v>
      </c>
      <c r="G300" s="27">
        <f>+VLOOKUP(F300,[1]base!A:B,2,0)</f>
        <v>37</v>
      </c>
      <c r="H300" s="12">
        <v>24</v>
      </c>
      <c r="I300" s="12">
        <v>24</v>
      </c>
      <c r="J300" s="14"/>
      <c r="K300" s="14" t="s">
        <v>61</v>
      </c>
      <c r="L300" s="12" t="s">
        <v>769</v>
      </c>
      <c r="M300" s="12" t="s">
        <v>150</v>
      </c>
      <c r="N300" s="12">
        <v>24</v>
      </c>
      <c r="O300" s="12">
        <v>24</v>
      </c>
      <c r="P300" s="12">
        <v>0</v>
      </c>
      <c r="Q300" s="16">
        <v>24</v>
      </c>
      <c r="R300" s="16">
        <v>0</v>
      </c>
      <c r="S300" s="16"/>
      <c r="T300" s="28">
        <v>24</v>
      </c>
      <c r="U300" s="28"/>
      <c r="V300" s="29">
        <f>+VLOOKUP(E300,[1]base!D:K,8,0)</f>
        <v>2.9445000000000001</v>
      </c>
      <c r="W300" s="29">
        <f t="shared" si="30"/>
        <v>70.668000000000006</v>
      </c>
      <c r="X300" s="29">
        <f t="shared" si="31"/>
        <v>3.6747360000000002</v>
      </c>
      <c r="Y300" s="29">
        <f>+VLOOKUP(E300,[1]base!D:E,2,0)</f>
        <v>13</v>
      </c>
      <c r="Z300" s="29">
        <f t="shared" si="32"/>
        <v>2</v>
      </c>
      <c r="AA300" s="29">
        <f t="shared" si="33"/>
        <v>0.13333333333333339</v>
      </c>
      <c r="AB300" s="29">
        <f>+VLOOKUP(E300,[1]base!M:N,2,0)</f>
        <v>78</v>
      </c>
      <c r="AC300" s="29">
        <f>+VLOOKUP(E300,[1]base!M:Q,5,0)</f>
        <v>520.63636363636363</v>
      </c>
      <c r="AD300" s="30">
        <f>+VLOOKUP(E300,[1]base!M:P,4,0)</f>
        <v>0.68421052631578949</v>
      </c>
      <c r="AE300" s="31">
        <f t="shared" si="34"/>
        <v>-29.96842105263158</v>
      </c>
    </row>
    <row r="301" spans="1:31" x14ac:dyDescent="0.25">
      <c r="A301" s="12" t="s">
        <v>931</v>
      </c>
      <c r="B301" s="13">
        <v>46263.380335648151</v>
      </c>
      <c r="C301" s="12" t="s">
        <v>423</v>
      </c>
      <c r="D301" s="12" t="s">
        <v>767</v>
      </c>
      <c r="E301" s="26" t="str">
        <f t="shared" si="28"/>
        <v>EC67105</v>
      </c>
      <c r="F301" s="27" t="str">
        <f t="shared" si="29"/>
        <v>NOIR</v>
      </c>
      <c r="G301" s="27">
        <f>+VLOOKUP(F301,[1]base!A:B,2,0)</f>
        <v>37</v>
      </c>
      <c r="H301" s="12">
        <v>20</v>
      </c>
      <c r="I301" s="12">
        <v>20</v>
      </c>
      <c r="J301" s="14"/>
      <c r="K301" s="14" t="s">
        <v>61</v>
      </c>
      <c r="L301" s="12" t="s">
        <v>943</v>
      </c>
      <c r="M301" s="12" t="s">
        <v>150</v>
      </c>
      <c r="N301" s="12">
        <v>20</v>
      </c>
      <c r="O301" s="12">
        <v>20</v>
      </c>
      <c r="P301" s="12">
        <v>0</v>
      </c>
      <c r="Q301" s="16">
        <v>20</v>
      </c>
      <c r="R301" s="16">
        <v>0</v>
      </c>
      <c r="S301" s="16"/>
      <c r="T301" s="28">
        <v>20</v>
      </c>
      <c r="U301" s="28"/>
      <c r="V301" s="29">
        <f>+VLOOKUP(E301,[1]base!D:K,8,0)</f>
        <v>2.9445000000000001</v>
      </c>
      <c r="W301" s="29">
        <f t="shared" si="30"/>
        <v>58.89</v>
      </c>
      <c r="X301" s="29">
        <f t="shared" si="31"/>
        <v>3.0622799999999999</v>
      </c>
      <c r="Y301" s="29">
        <f>+VLOOKUP(E301,[1]base!D:E,2,0)</f>
        <v>13</v>
      </c>
      <c r="Z301" s="29">
        <f t="shared" si="32"/>
        <v>2</v>
      </c>
      <c r="AA301" s="29">
        <f t="shared" si="33"/>
        <v>0.13333333333333339</v>
      </c>
      <c r="AB301" s="29">
        <f>+VLOOKUP(E301,[1]base!M:N,2,0)</f>
        <v>78</v>
      </c>
      <c r="AC301" s="29">
        <f>+VLOOKUP(E301,[1]base!M:Q,5,0)</f>
        <v>520.63636363636363</v>
      </c>
      <c r="AD301" s="30">
        <f>+VLOOKUP(E301,[1]base!M:P,4,0)</f>
        <v>0.68421052631578949</v>
      </c>
      <c r="AE301" s="31">
        <f t="shared" si="34"/>
        <v>-29.96842105263158</v>
      </c>
    </row>
    <row r="302" spans="1:31" x14ac:dyDescent="0.25">
      <c r="A302" s="12" t="s">
        <v>1261</v>
      </c>
      <c r="B302" s="13">
        <v>46268.598449074074</v>
      </c>
      <c r="C302" s="12" t="s">
        <v>522</v>
      </c>
      <c r="D302" s="12" t="s">
        <v>767</v>
      </c>
      <c r="E302" s="26" t="str">
        <f t="shared" si="28"/>
        <v>EC67105</v>
      </c>
      <c r="F302" s="27" t="str">
        <f t="shared" si="29"/>
        <v>NOIR</v>
      </c>
      <c r="G302" s="27">
        <f>+VLOOKUP(F302,[1]base!A:B,2,0)</f>
        <v>37</v>
      </c>
      <c r="H302" s="12">
        <v>20</v>
      </c>
      <c r="I302" s="12">
        <v>20</v>
      </c>
      <c r="J302" s="14"/>
      <c r="K302" s="14" t="s">
        <v>61</v>
      </c>
      <c r="L302" s="12" t="s">
        <v>1273</v>
      </c>
      <c r="M302" s="12" t="s">
        <v>150</v>
      </c>
      <c r="N302" s="12">
        <v>20</v>
      </c>
      <c r="O302" s="12">
        <v>20</v>
      </c>
      <c r="P302" s="12">
        <v>0</v>
      </c>
      <c r="Q302" s="16">
        <v>20</v>
      </c>
      <c r="R302" s="16">
        <v>0</v>
      </c>
      <c r="S302" s="16"/>
      <c r="T302" s="28">
        <v>20</v>
      </c>
      <c r="U302" s="28"/>
      <c r="V302" s="29">
        <f>+VLOOKUP(E302,[1]base!D:K,8,0)</f>
        <v>2.9445000000000001</v>
      </c>
      <c r="W302" s="29">
        <f t="shared" si="30"/>
        <v>58.89</v>
      </c>
      <c r="X302" s="29">
        <f t="shared" si="31"/>
        <v>3.0622799999999999</v>
      </c>
      <c r="Y302" s="29">
        <f>+VLOOKUP(E302,[1]base!D:E,2,0)</f>
        <v>13</v>
      </c>
      <c r="Z302" s="29">
        <f t="shared" si="32"/>
        <v>2</v>
      </c>
      <c r="AA302" s="29">
        <f t="shared" si="33"/>
        <v>0.13333333333333339</v>
      </c>
      <c r="AB302" s="29">
        <f>+VLOOKUP(E302,[1]base!M:N,2,0)</f>
        <v>78</v>
      </c>
      <c r="AC302" s="29">
        <f>+VLOOKUP(E302,[1]base!M:Q,5,0)</f>
        <v>520.63636363636363</v>
      </c>
      <c r="AD302" s="30">
        <f>+VLOOKUP(E302,[1]base!M:P,4,0)</f>
        <v>0.68421052631578949</v>
      </c>
      <c r="AE302" s="31">
        <f t="shared" si="34"/>
        <v>-29.96842105263158</v>
      </c>
    </row>
    <row r="303" spans="1:31" x14ac:dyDescent="0.25">
      <c r="A303" s="12" t="s">
        <v>843</v>
      </c>
      <c r="B303" s="13">
        <v>46261.381307870368</v>
      </c>
      <c r="C303" s="12" t="s">
        <v>398</v>
      </c>
      <c r="D303" s="12" t="s">
        <v>530</v>
      </c>
      <c r="E303" s="26" t="str">
        <f t="shared" si="28"/>
        <v>EC67105</v>
      </c>
      <c r="F303" s="27" t="str">
        <f t="shared" si="29"/>
        <v>DARK</v>
      </c>
      <c r="G303" s="27">
        <f>+VLOOKUP(F303,[1]base!A:B,2,0)</f>
        <v>38</v>
      </c>
      <c r="H303" s="12">
        <v>10</v>
      </c>
      <c r="I303" s="12">
        <v>10</v>
      </c>
      <c r="J303" s="14"/>
      <c r="K303" s="14" t="s">
        <v>61</v>
      </c>
      <c r="L303" s="12" t="s">
        <v>849</v>
      </c>
      <c r="M303" s="12" t="s">
        <v>150</v>
      </c>
      <c r="N303" s="12">
        <v>10</v>
      </c>
      <c r="O303" s="12">
        <v>10</v>
      </c>
      <c r="P303" s="12">
        <v>0</v>
      </c>
      <c r="Q303" s="16">
        <v>10</v>
      </c>
      <c r="R303" s="16">
        <v>0</v>
      </c>
      <c r="S303" s="16"/>
      <c r="T303" s="28">
        <v>10</v>
      </c>
      <c r="U303" s="28"/>
      <c r="V303" s="29">
        <f>+VLOOKUP(E303,[1]base!D:K,8,0)</f>
        <v>2.9445000000000001</v>
      </c>
      <c r="W303" s="29">
        <f t="shared" si="30"/>
        <v>29.445</v>
      </c>
      <c r="X303" s="29">
        <f t="shared" si="31"/>
        <v>1.5311399999999999</v>
      </c>
      <c r="Y303" s="29">
        <f>+VLOOKUP(E303,[1]base!D:E,2,0)</f>
        <v>13</v>
      </c>
      <c r="Z303" s="29">
        <f t="shared" si="32"/>
        <v>1</v>
      </c>
      <c r="AA303" s="29">
        <f t="shared" si="33"/>
        <v>6.6666666666666693E-2</v>
      </c>
      <c r="AB303" s="29">
        <f>+VLOOKUP(E303,[1]base!M:N,2,0)</f>
        <v>78</v>
      </c>
      <c r="AC303" s="29">
        <f>+VLOOKUP(E303,[1]base!M:Q,5,0)</f>
        <v>520.63636363636363</v>
      </c>
      <c r="AD303" s="30">
        <f>+VLOOKUP(E303,[1]base!M:P,4,0)</f>
        <v>0.68421052631578949</v>
      </c>
      <c r="AE303" s="31">
        <f t="shared" si="34"/>
        <v>-29.96842105263158</v>
      </c>
    </row>
    <row r="304" spans="1:31" x14ac:dyDescent="0.25">
      <c r="A304" s="12" t="s">
        <v>1123</v>
      </c>
      <c r="B304" s="13">
        <v>46267.314710648148</v>
      </c>
      <c r="C304" s="12" t="s">
        <v>24</v>
      </c>
      <c r="D304" s="12" t="s">
        <v>530</v>
      </c>
      <c r="E304" s="26" t="str">
        <f t="shared" si="28"/>
        <v>EC67105</v>
      </c>
      <c r="F304" s="27" t="str">
        <f t="shared" si="29"/>
        <v>DARK</v>
      </c>
      <c r="G304" s="27">
        <f>+VLOOKUP(F304,[1]base!A:B,2,0)</f>
        <v>38</v>
      </c>
      <c r="H304" s="12">
        <v>2</v>
      </c>
      <c r="I304" s="12">
        <v>2</v>
      </c>
      <c r="J304" s="14"/>
      <c r="K304" s="14" t="s">
        <v>61</v>
      </c>
      <c r="L304" s="12" t="s">
        <v>1133</v>
      </c>
      <c r="M304" s="12" t="s">
        <v>150</v>
      </c>
      <c r="N304" s="12">
        <v>2</v>
      </c>
      <c r="O304" s="12">
        <v>2</v>
      </c>
      <c r="P304" s="12">
        <v>0</v>
      </c>
      <c r="Q304" s="16">
        <v>2</v>
      </c>
      <c r="R304" s="16">
        <v>0</v>
      </c>
      <c r="S304" s="16"/>
      <c r="T304" s="28">
        <v>2</v>
      </c>
      <c r="U304" s="28"/>
      <c r="V304" s="29">
        <f>+VLOOKUP(E304,[1]base!D:K,8,0)</f>
        <v>2.9445000000000001</v>
      </c>
      <c r="W304" s="29">
        <f t="shared" si="30"/>
        <v>5.8890000000000002</v>
      </c>
      <c r="X304" s="29">
        <f t="shared" si="31"/>
        <v>0.306228</v>
      </c>
      <c r="Y304" s="29">
        <f>+VLOOKUP(E304,[1]base!D:E,2,0)</f>
        <v>13</v>
      </c>
      <c r="Z304" s="29">
        <f t="shared" si="32"/>
        <v>1</v>
      </c>
      <c r="AA304" s="29">
        <f t="shared" si="33"/>
        <v>6.6666666666666693E-2</v>
      </c>
      <c r="AB304" s="29">
        <f>+VLOOKUP(E304,[1]base!M:N,2,0)</f>
        <v>78</v>
      </c>
      <c r="AC304" s="29">
        <f>+VLOOKUP(E304,[1]base!M:Q,5,0)</f>
        <v>520.63636363636363</v>
      </c>
      <c r="AD304" s="30">
        <f>+VLOOKUP(E304,[1]base!M:P,4,0)</f>
        <v>0.68421052631578949</v>
      </c>
      <c r="AE304" s="31">
        <f t="shared" si="34"/>
        <v>-29.96842105263158</v>
      </c>
    </row>
    <row r="305" spans="1:31" x14ac:dyDescent="0.25">
      <c r="A305" s="12"/>
      <c r="B305" s="13"/>
      <c r="C305" s="12"/>
      <c r="D305" s="12" t="s">
        <v>283</v>
      </c>
      <c r="E305" s="26" t="str">
        <f t="shared" si="28"/>
        <v>FR100</v>
      </c>
      <c r="F305" s="27" t="str">
        <f t="shared" si="29"/>
        <v>BLC</v>
      </c>
      <c r="G305" s="27">
        <f>+VLOOKUP(F305,[1]base!A:B,2,0)</f>
        <v>1</v>
      </c>
      <c r="H305" s="12">
        <v>20</v>
      </c>
      <c r="I305" s="12">
        <v>12</v>
      </c>
      <c r="J305" s="14"/>
      <c r="K305" s="14" t="s">
        <v>26</v>
      </c>
      <c r="L305" s="12" t="s">
        <v>27</v>
      </c>
      <c r="M305" s="12" t="s">
        <v>28</v>
      </c>
      <c r="N305" s="12"/>
      <c r="O305" s="12"/>
      <c r="P305" s="12"/>
      <c r="Q305" s="16">
        <v>0</v>
      </c>
      <c r="R305" s="16">
        <v>0</v>
      </c>
      <c r="S305" s="16"/>
      <c r="T305" s="33">
        <v>169</v>
      </c>
      <c r="U305" s="33"/>
      <c r="V305" s="29">
        <f>+VLOOKUP(E305,[1]base!D:K,8,0)</f>
        <v>5.4209999999999994</v>
      </c>
      <c r="W305" s="29">
        <f t="shared" si="30"/>
        <v>916.14899999999989</v>
      </c>
      <c r="X305" s="29">
        <f t="shared" si="31"/>
        <v>47.63974799999999</v>
      </c>
      <c r="Y305" s="29">
        <f>+VLOOKUP(E305,[1]base!D:E,2,0)</f>
        <v>13</v>
      </c>
      <c r="Z305" s="29">
        <f t="shared" si="32"/>
        <v>13</v>
      </c>
      <c r="AA305" s="29">
        <f t="shared" si="33"/>
        <v>0.86666666666666703</v>
      </c>
      <c r="AB305" s="29">
        <f>+VLOOKUP(E305,[1]base!M:N,2,0)</f>
        <v>263</v>
      </c>
      <c r="AC305" s="29">
        <f>+VLOOKUP(E305,[1]base!M:Q,5,0)</f>
        <v>812.5</v>
      </c>
      <c r="AD305" s="30">
        <f>+VLOOKUP(E305,[1]base!M:P,4,0)</f>
        <v>0.25071225071225073</v>
      </c>
      <c r="AE305" s="31">
        <f t="shared" si="34"/>
        <v>12.962678062678055</v>
      </c>
    </row>
    <row r="306" spans="1:31" x14ac:dyDescent="0.25">
      <c r="A306" s="12" t="s">
        <v>1082</v>
      </c>
      <c r="B306" s="13">
        <v>46266.490532407406</v>
      </c>
      <c r="C306" s="12" t="s">
        <v>505</v>
      </c>
      <c r="D306" s="12" t="s">
        <v>1088</v>
      </c>
      <c r="E306" s="26" t="str">
        <f t="shared" si="28"/>
        <v>FR100</v>
      </c>
      <c r="F306" s="27" t="str">
        <f t="shared" si="29"/>
        <v>ACAJOU</v>
      </c>
      <c r="G306" s="27">
        <f>+VLOOKUP(F306,[1]base!A:B,2,0)</f>
        <v>15.1</v>
      </c>
      <c r="H306" s="12">
        <v>16</v>
      </c>
      <c r="I306" s="12">
        <v>16</v>
      </c>
      <c r="J306" s="14"/>
      <c r="K306" s="14" t="s">
        <v>61</v>
      </c>
      <c r="L306" s="12" t="s">
        <v>1089</v>
      </c>
      <c r="M306" s="12" t="s">
        <v>150</v>
      </c>
      <c r="N306" s="12">
        <v>16</v>
      </c>
      <c r="O306" s="12">
        <v>16</v>
      </c>
      <c r="P306" s="12">
        <v>0</v>
      </c>
      <c r="Q306" s="16">
        <v>68</v>
      </c>
      <c r="R306" s="16">
        <v>8</v>
      </c>
      <c r="S306" s="16"/>
      <c r="T306" s="28">
        <v>8</v>
      </c>
      <c r="U306" s="28">
        <v>8</v>
      </c>
      <c r="V306" s="29">
        <f>+VLOOKUP(E306,[1]base!D:K,8,0)</f>
        <v>5.4209999999999994</v>
      </c>
      <c r="W306" s="29">
        <f t="shared" si="30"/>
        <v>86.73599999999999</v>
      </c>
      <c r="X306" s="29">
        <f t="shared" si="31"/>
        <v>4.5102719999999996</v>
      </c>
      <c r="Y306" s="29">
        <f>+VLOOKUP(E306,[1]base!D:E,2,0)</f>
        <v>13</v>
      </c>
      <c r="Z306" s="29">
        <f t="shared" si="32"/>
        <v>1</v>
      </c>
      <c r="AA306" s="29">
        <f t="shared" si="33"/>
        <v>6.6666666666666693E-2</v>
      </c>
      <c r="AB306" s="29">
        <f>+VLOOKUP(E306,[1]base!M:N,2,0)</f>
        <v>263</v>
      </c>
      <c r="AC306" s="29">
        <f>+VLOOKUP(E306,[1]base!M:Q,5,0)</f>
        <v>812.5</v>
      </c>
      <c r="AD306" s="30">
        <f>+VLOOKUP(E306,[1]base!M:P,4,0)</f>
        <v>0.25071225071225073</v>
      </c>
      <c r="AE306" s="31">
        <f t="shared" si="34"/>
        <v>12.962678062678055</v>
      </c>
    </row>
    <row r="307" spans="1:31" x14ac:dyDescent="0.25">
      <c r="A307" s="12" t="s">
        <v>1339</v>
      </c>
      <c r="B307" s="13">
        <v>46269.394733796296</v>
      </c>
      <c r="C307" s="12" t="s">
        <v>266</v>
      </c>
      <c r="D307" s="12" t="s">
        <v>1088</v>
      </c>
      <c r="E307" s="26" t="str">
        <f t="shared" si="28"/>
        <v>FR100</v>
      </c>
      <c r="F307" s="27" t="str">
        <f t="shared" si="29"/>
        <v>ACAJOU</v>
      </c>
      <c r="G307" s="27">
        <f>+VLOOKUP(F307,[1]base!A:B,2,0)</f>
        <v>15.1</v>
      </c>
      <c r="H307" s="12">
        <v>16</v>
      </c>
      <c r="I307" s="12">
        <v>16</v>
      </c>
      <c r="J307" s="14"/>
      <c r="K307" s="14" t="s">
        <v>61</v>
      </c>
      <c r="L307" s="12" t="s">
        <v>1359</v>
      </c>
      <c r="M307" s="12" t="s">
        <v>150</v>
      </c>
      <c r="N307" s="12">
        <v>16</v>
      </c>
      <c r="O307" s="12">
        <v>16</v>
      </c>
      <c r="P307" s="12">
        <v>0</v>
      </c>
      <c r="Q307" s="16">
        <v>16</v>
      </c>
      <c r="R307" s="16">
        <v>0</v>
      </c>
      <c r="S307" s="16"/>
      <c r="T307" s="28">
        <v>16</v>
      </c>
      <c r="U307" s="28"/>
      <c r="V307" s="29">
        <f>+VLOOKUP(E307,[1]base!D:K,8,0)</f>
        <v>5.4209999999999994</v>
      </c>
      <c r="W307" s="29">
        <f t="shared" si="30"/>
        <v>86.73599999999999</v>
      </c>
      <c r="X307" s="29">
        <f t="shared" si="31"/>
        <v>4.5102719999999996</v>
      </c>
      <c r="Y307" s="29">
        <f>+VLOOKUP(E307,[1]base!D:E,2,0)</f>
        <v>13</v>
      </c>
      <c r="Z307" s="29">
        <f t="shared" si="32"/>
        <v>2</v>
      </c>
      <c r="AA307" s="29">
        <f t="shared" si="33"/>
        <v>0.13333333333333339</v>
      </c>
      <c r="AB307" s="29">
        <f>+VLOOKUP(E307,[1]base!M:N,2,0)</f>
        <v>263</v>
      </c>
      <c r="AC307" s="29">
        <f>+VLOOKUP(E307,[1]base!M:Q,5,0)</f>
        <v>812.5</v>
      </c>
      <c r="AD307" s="30">
        <f>+VLOOKUP(E307,[1]base!M:P,4,0)</f>
        <v>0.25071225071225073</v>
      </c>
      <c r="AE307" s="31">
        <f t="shared" si="34"/>
        <v>12.962678062678055</v>
      </c>
    </row>
    <row r="308" spans="1:31" x14ac:dyDescent="0.25">
      <c r="A308" s="12" t="s">
        <v>1161</v>
      </c>
      <c r="B308" s="13">
        <v>46267.415729166663</v>
      </c>
      <c r="C308" s="12" t="s">
        <v>661</v>
      </c>
      <c r="D308" s="12" t="s">
        <v>1164</v>
      </c>
      <c r="E308" s="26" t="str">
        <f t="shared" si="28"/>
        <v>FR100</v>
      </c>
      <c r="F308" s="27" t="str">
        <f t="shared" si="29"/>
        <v>GRIS</v>
      </c>
      <c r="G308" s="27">
        <f>+VLOOKUP(F308,[1]base!A:B,2,0)</f>
        <v>22</v>
      </c>
      <c r="H308" s="12">
        <v>12</v>
      </c>
      <c r="I308" s="12">
        <v>12</v>
      </c>
      <c r="J308" s="14"/>
      <c r="K308" s="14" t="s">
        <v>61</v>
      </c>
      <c r="L308" s="12" t="s">
        <v>1175</v>
      </c>
      <c r="M308" s="12" t="s">
        <v>150</v>
      </c>
      <c r="N308" s="12">
        <v>12</v>
      </c>
      <c r="O308" s="12">
        <v>12</v>
      </c>
      <c r="P308" s="12">
        <v>0</v>
      </c>
      <c r="Q308" s="16">
        <v>12</v>
      </c>
      <c r="R308" s="16">
        <v>0</v>
      </c>
      <c r="S308" s="16"/>
      <c r="T308" s="28">
        <v>12</v>
      </c>
      <c r="U308" s="28"/>
      <c r="V308" s="29">
        <f>+VLOOKUP(E308,[1]base!D:K,8,0)</f>
        <v>5.4209999999999994</v>
      </c>
      <c r="W308" s="29">
        <f t="shared" si="30"/>
        <v>65.051999999999992</v>
      </c>
      <c r="X308" s="29">
        <f t="shared" si="31"/>
        <v>3.3827039999999995</v>
      </c>
      <c r="Y308" s="29">
        <f>+VLOOKUP(E308,[1]base!D:E,2,0)</f>
        <v>13</v>
      </c>
      <c r="Z308" s="29">
        <f t="shared" si="32"/>
        <v>1</v>
      </c>
      <c r="AA308" s="29">
        <f t="shared" si="33"/>
        <v>6.6666666666666693E-2</v>
      </c>
      <c r="AB308" s="29">
        <f>+VLOOKUP(E308,[1]base!M:N,2,0)</f>
        <v>263</v>
      </c>
      <c r="AC308" s="29">
        <f>+VLOOKUP(E308,[1]base!M:Q,5,0)</f>
        <v>812.5</v>
      </c>
      <c r="AD308" s="30">
        <f>+VLOOKUP(E308,[1]base!M:P,4,0)</f>
        <v>0.25071225071225073</v>
      </c>
      <c r="AE308" s="31">
        <f t="shared" si="34"/>
        <v>12.962678062678055</v>
      </c>
    </row>
    <row r="309" spans="1:31" x14ac:dyDescent="0.25">
      <c r="A309" s="12" t="s">
        <v>1415</v>
      </c>
      <c r="B309" s="13">
        <v>46273.296388888892</v>
      </c>
      <c r="C309" s="12" t="s">
        <v>24</v>
      </c>
      <c r="D309" s="12" t="s">
        <v>1164</v>
      </c>
      <c r="E309" s="26" t="str">
        <f t="shared" si="28"/>
        <v>FR100</v>
      </c>
      <c r="F309" s="27" t="str">
        <f t="shared" si="29"/>
        <v>GRIS</v>
      </c>
      <c r="G309" s="27">
        <f>+VLOOKUP(F309,[1]base!A:B,2,0)</f>
        <v>22</v>
      </c>
      <c r="H309" s="12">
        <v>50</v>
      </c>
      <c r="I309" s="12">
        <v>50</v>
      </c>
      <c r="J309" s="14"/>
      <c r="K309" s="14" t="s">
        <v>61</v>
      </c>
      <c r="L309" s="12" t="s">
        <v>1424</v>
      </c>
      <c r="M309" s="12" t="s">
        <v>150</v>
      </c>
      <c r="N309" s="12">
        <v>50</v>
      </c>
      <c r="O309" s="12">
        <v>50</v>
      </c>
      <c r="P309" s="12">
        <v>0</v>
      </c>
      <c r="Q309" s="16">
        <v>50</v>
      </c>
      <c r="R309" s="16">
        <v>0</v>
      </c>
      <c r="S309" s="16"/>
      <c r="T309" s="28">
        <v>50</v>
      </c>
      <c r="U309" s="28"/>
      <c r="V309" s="29">
        <f>+VLOOKUP(E309,[1]base!D:K,8,0)</f>
        <v>5.4209999999999994</v>
      </c>
      <c r="W309" s="29">
        <f t="shared" si="30"/>
        <v>271.04999999999995</v>
      </c>
      <c r="X309" s="29">
        <f t="shared" si="31"/>
        <v>14.094599999999996</v>
      </c>
      <c r="Y309" s="29">
        <f>+VLOOKUP(E309,[1]base!D:E,2,0)</f>
        <v>13</v>
      </c>
      <c r="Z309" s="29">
        <f t="shared" si="32"/>
        <v>4</v>
      </c>
      <c r="AA309" s="29">
        <f t="shared" si="33"/>
        <v>0.26666666666666677</v>
      </c>
      <c r="AB309" s="29">
        <f>+VLOOKUP(E309,[1]base!M:N,2,0)</f>
        <v>263</v>
      </c>
      <c r="AC309" s="29">
        <f>+VLOOKUP(E309,[1]base!M:Q,5,0)</f>
        <v>812.5</v>
      </c>
      <c r="AD309" s="30">
        <f>+VLOOKUP(E309,[1]base!M:P,4,0)</f>
        <v>0.25071225071225073</v>
      </c>
      <c r="AE309" s="31">
        <f t="shared" si="34"/>
        <v>12.962678062678055</v>
      </c>
    </row>
    <row r="310" spans="1:31" x14ac:dyDescent="0.25">
      <c r="A310" s="12" t="s">
        <v>1492</v>
      </c>
      <c r="B310" s="13">
        <v>46273.61005787037</v>
      </c>
      <c r="C310" s="12" t="s">
        <v>266</v>
      </c>
      <c r="D310" s="12" t="s">
        <v>1164</v>
      </c>
      <c r="E310" s="26" t="str">
        <f t="shared" si="28"/>
        <v>FR100</v>
      </c>
      <c r="F310" s="27" t="str">
        <f t="shared" si="29"/>
        <v>GRIS</v>
      </c>
      <c r="G310" s="27">
        <f>+VLOOKUP(F310,[1]base!A:B,2,0)</f>
        <v>22</v>
      </c>
      <c r="H310" s="12">
        <v>15</v>
      </c>
      <c r="I310" s="12">
        <v>15</v>
      </c>
      <c r="J310" s="14"/>
      <c r="K310" s="14" t="s">
        <v>61</v>
      </c>
      <c r="L310" s="12" t="s">
        <v>1510</v>
      </c>
      <c r="M310" s="12" t="s">
        <v>150</v>
      </c>
      <c r="N310" s="12">
        <v>15</v>
      </c>
      <c r="O310" s="12">
        <v>15</v>
      </c>
      <c r="P310" s="12">
        <v>0</v>
      </c>
      <c r="Q310" s="16">
        <v>15</v>
      </c>
      <c r="R310" s="16">
        <v>0</v>
      </c>
      <c r="S310" s="16"/>
      <c r="T310" s="28">
        <v>15</v>
      </c>
      <c r="U310" s="28"/>
      <c r="V310" s="29">
        <f>+VLOOKUP(E310,[1]base!D:K,8,0)</f>
        <v>5.4209999999999994</v>
      </c>
      <c r="W310" s="29">
        <f t="shared" si="30"/>
        <v>81.314999999999998</v>
      </c>
      <c r="X310" s="29">
        <f t="shared" si="31"/>
        <v>4.2283799999999996</v>
      </c>
      <c r="Y310" s="29">
        <f>+VLOOKUP(E310,[1]base!D:E,2,0)</f>
        <v>13</v>
      </c>
      <c r="Z310" s="29">
        <f t="shared" si="32"/>
        <v>2</v>
      </c>
      <c r="AA310" s="29">
        <f t="shared" si="33"/>
        <v>0.13333333333333339</v>
      </c>
      <c r="AB310" s="29">
        <f>+VLOOKUP(E310,[1]base!M:N,2,0)</f>
        <v>263</v>
      </c>
      <c r="AC310" s="29">
        <f>+VLOOKUP(E310,[1]base!M:Q,5,0)</f>
        <v>812.5</v>
      </c>
      <c r="AD310" s="30">
        <f>+VLOOKUP(E310,[1]base!M:P,4,0)</f>
        <v>0.25071225071225073</v>
      </c>
      <c r="AE310" s="31">
        <f t="shared" si="34"/>
        <v>12.962678062678055</v>
      </c>
    </row>
    <row r="311" spans="1:31" x14ac:dyDescent="0.25">
      <c r="A311" s="12" t="s">
        <v>750</v>
      </c>
      <c r="B311" s="13">
        <v>46256.457442129627</v>
      </c>
      <c r="C311" s="12" t="s">
        <v>751</v>
      </c>
      <c r="D311" s="12" t="s">
        <v>67</v>
      </c>
      <c r="E311" s="26" t="str">
        <f t="shared" si="28"/>
        <v>FR100</v>
      </c>
      <c r="F311" s="27" t="str">
        <f t="shared" si="29"/>
        <v>NOIR</v>
      </c>
      <c r="G311" s="27">
        <f>+VLOOKUP(F311,[1]base!A:B,2,0)</f>
        <v>37</v>
      </c>
      <c r="H311" s="12">
        <v>20</v>
      </c>
      <c r="I311" s="12">
        <v>20</v>
      </c>
      <c r="J311" s="14"/>
      <c r="K311" s="14" t="s">
        <v>61</v>
      </c>
      <c r="L311" s="12" t="s">
        <v>755</v>
      </c>
      <c r="M311" s="12" t="s">
        <v>150</v>
      </c>
      <c r="N311" s="12">
        <v>20</v>
      </c>
      <c r="O311" s="12">
        <v>20</v>
      </c>
      <c r="P311" s="12">
        <v>0</v>
      </c>
      <c r="Q311" s="16">
        <v>50</v>
      </c>
      <c r="R311" s="16">
        <v>0</v>
      </c>
      <c r="S311" s="16"/>
      <c r="T311" s="28">
        <v>20</v>
      </c>
      <c r="U311" s="28"/>
      <c r="V311" s="29">
        <f>+VLOOKUP(E311,[1]base!D:K,8,0)</f>
        <v>5.4209999999999994</v>
      </c>
      <c r="W311" s="29">
        <f t="shared" si="30"/>
        <v>108.41999999999999</v>
      </c>
      <c r="X311" s="29">
        <f t="shared" si="31"/>
        <v>5.6378399999999989</v>
      </c>
      <c r="Y311" s="29">
        <f>+VLOOKUP(E311,[1]base!D:E,2,0)</f>
        <v>13</v>
      </c>
      <c r="Z311" s="29">
        <f t="shared" si="32"/>
        <v>2</v>
      </c>
      <c r="AA311" s="29">
        <f t="shared" si="33"/>
        <v>0.13333333333333339</v>
      </c>
      <c r="AB311" s="29">
        <f>+VLOOKUP(E311,[1]base!M:N,2,0)</f>
        <v>263</v>
      </c>
      <c r="AC311" s="29">
        <f>+VLOOKUP(E311,[1]base!M:Q,5,0)</f>
        <v>812.5</v>
      </c>
      <c r="AD311" s="30">
        <f>+VLOOKUP(E311,[1]base!M:P,4,0)</f>
        <v>0.25071225071225073</v>
      </c>
      <c r="AE311" s="31">
        <f t="shared" si="34"/>
        <v>12.962678062678055</v>
      </c>
    </row>
    <row r="312" spans="1:31" x14ac:dyDescent="0.25">
      <c r="A312" s="12" t="s">
        <v>772</v>
      </c>
      <c r="B312" s="13">
        <v>46258.508391203701</v>
      </c>
      <c r="C312" s="12" t="s">
        <v>773</v>
      </c>
      <c r="D312" s="12" t="s">
        <v>67</v>
      </c>
      <c r="E312" s="26" t="str">
        <f t="shared" si="28"/>
        <v>FR100</v>
      </c>
      <c r="F312" s="27" t="str">
        <f t="shared" si="29"/>
        <v>NOIR</v>
      </c>
      <c r="G312" s="27">
        <f>+VLOOKUP(F312,[1]base!A:B,2,0)</f>
        <v>37</v>
      </c>
      <c r="H312" s="12">
        <v>7</v>
      </c>
      <c r="I312" s="12">
        <v>7</v>
      </c>
      <c r="J312" s="14"/>
      <c r="K312" s="14" t="s">
        <v>61</v>
      </c>
      <c r="L312" s="12" t="s">
        <v>775</v>
      </c>
      <c r="M312" s="12" t="s">
        <v>150</v>
      </c>
      <c r="N312" s="12">
        <v>7</v>
      </c>
      <c r="O312" s="12">
        <v>7</v>
      </c>
      <c r="P312" s="12">
        <v>0</v>
      </c>
      <c r="Q312" s="16">
        <v>7</v>
      </c>
      <c r="R312" s="16">
        <v>0</v>
      </c>
      <c r="S312" s="16"/>
      <c r="T312" s="28">
        <v>7</v>
      </c>
      <c r="U312" s="28"/>
      <c r="V312" s="29">
        <f>+VLOOKUP(E312,[1]base!D:K,8,0)</f>
        <v>5.4209999999999994</v>
      </c>
      <c r="W312" s="29">
        <f t="shared" si="30"/>
        <v>37.946999999999996</v>
      </c>
      <c r="X312" s="29">
        <f t="shared" si="31"/>
        <v>1.9732439999999998</v>
      </c>
      <c r="Y312" s="29">
        <f>+VLOOKUP(E312,[1]base!D:E,2,0)</f>
        <v>13</v>
      </c>
      <c r="Z312" s="29">
        <f t="shared" si="32"/>
        <v>1</v>
      </c>
      <c r="AA312" s="29">
        <f t="shared" si="33"/>
        <v>6.6666666666666693E-2</v>
      </c>
      <c r="AB312" s="29">
        <f>+VLOOKUP(E312,[1]base!M:N,2,0)</f>
        <v>263</v>
      </c>
      <c r="AC312" s="29">
        <f>+VLOOKUP(E312,[1]base!M:Q,5,0)</f>
        <v>812.5</v>
      </c>
      <c r="AD312" s="30">
        <f>+VLOOKUP(E312,[1]base!M:P,4,0)</f>
        <v>0.25071225071225073</v>
      </c>
      <c r="AE312" s="31">
        <f t="shared" si="34"/>
        <v>12.962678062678055</v>
      </c>
    </row>
    <row r="313" spans="1:31" x14ac:dyDescent="0.25">
      <c r="A313" s="12" t="s">
        <v>837</v>
      </c>
      <c r="B313" s="13">
        <v>46260.566678240742</v>
      </c>
      <c r="C313" s="12" t="s">
        <v>522</v>
      </c>
      <c r="D313" s="12" t="s">
        <v>67</v>
      </c>
      <c r="E313" s="26" t="str">
        <f t="shared" si="28"/>
        <v>FR100</v>
      </c>
      <c r="F313" s="27" t="str">
        <f t="shared" si="29"/>
        <v>NOIR</v>
      </c>
      <c r="G313" s="27">
        <f>+VLOOKUP(F313,[1]base!A:B,2,0)</f>
        <v>37</v>
      </c>
      <c r="H313" s="12">
        <v>100</v>
      </c>
      <c r="I313" s="12">
        <v>100</v>
      </c>
      <c r="J313" s="14"/>
      <c r="K313" s="14" t="s">
        <v>61</v>
      </c>
      <c r="L313" s="12" t="s">
        <v>840</v>
      </c>
      <c r="M313" s="12" t="s">
        <v>150</v>
      </c>
      <c r="N313" s="12">
        <v>100</v>
      </c>
      <c r="O313" s="12">
        <v>100</v>
      </c>
      <c r="P313" s="12">
        <v>0</v>
      </c>
      <c r="Q313" s="16">
        <v>100</v>
      </c>
      <c r="R313" s="16">
        <v>0</v>
      </c>
      <c r="S313" s="16"/>
      <c r="T313" s="28">
        <v>100</v>
      </c>
      <c r="U313" s="28"/>
      <c r="V313" s="29">
        <f>+VLOOKUP(E313,[1]base!D:K,8,0)</f>
        <v>5.4209999999999994</v>
      </c>
      <c r="W313" s="29">
        <f t="shared" si="30"/>
        <v>542.09999999999991</v>
      </c>
      <c r="X313" s="29">
        <f t="shared" si="31"/>
        <v>28.189199999999992</v>
      </c>
      <c r="Y313" s="29">
        <f>+VLOOKUP(E313,[1]base!D:E,2,0)</f>
        <v>13</v>
      </c>
      <c r="Z313" s="29">
        <f t="shared" si="32"/>
        <v>8</v>
      </c>
      <c r="AA313" s="29">
        <f t="shared" si="33"/>
        <v>0.53333333333333355</v>
      </c>
      <c r="AB313" s="29">
        <f>+VLOOKUP(E313,[1]base!M:N,2,0)</f>
        <v>263</v>
      </c>
      <c r="AC313" s="29">
        <f>+VLOOKUP(E313,[1]base!M:Q,5,0)</f>
        <v>812.5</v>
      </c>
      <c r="AD313" s="30">
        <f>+VLOOKUP(E313,[1]base!M:P,4,0)</f>
        <v>0.25071225071225073</v>
      </c>
      <c r="AE313" s="31">
        <f t="shared" si="34"/>
        <v>12.962678062678055</v>
      </c>
    </row>
    <row r="314" spans="1:31" x14ac:dyDescent="0.25">
      <c r="A314" s="12" t="s">
        <v>940</v>
      </c>
      <c r="B314" s="13">
        <v>46263.399872685186</v>
      </c>
      <c r="C314" s="12" t="s">
        <v>24</v>
      </c>
      <c r="D314" s="12" t="s">
        <v>67</v>
      </c>
      <c r="E314" s="26" t="str">
        <f t="shared" si="28"/>
        <v>FR100</v>
      </c>
      <c r="F314" s="27" t="str">
        <f t="shared" si="29"/>
        <v>NOIR</v>
      </c>
      <c r="G314" s="27">
        <f>+VLOOKUP(F314,[1]base!A:B,2,0)</f>
        <v>37</v>
      </c>
      <c r="H314" s="12">
        <v>4</v>
      </c>
      <c r="I314" s="12">
        <v>4</v>
      </c>
      <c r="J314" s="14"/>
      <c r="K314" s="14" t="s">
        <v>61</v>
      </c>
      <c r="L314" s="12" t="s">
        <v>948</v>
      </c>
      <c r="M314" s="12" t="s">
        <v>150</v>
      </c>
      <c r="N314" s="12">
        <v>4</v>
      </c>
      <c r="O314" s="12">
        <v>4</v>
      </c>
      <c r="P314" s="12">
        <v>0</v>
      </c>
      <c r="Q314" s="16">
        <v>4</v>
      </c>
      <c r="R314" s="16">
        <v>0</v>
      </c>
      <c r="S314" s="16"/>
      <c r="T314" s="28">
        <v>4</v>
      </c>
      <c r="U314" s="28"/>
      <c r="V314" s="29">
        <f>+VLOOKUP(E314,[1]base!D:K,8,0)</f>
        <v>5.4209999999999994</v>
      </c>
      <c r="W314" s="29">
        <f t="shared" si="30"/>
        <v>21.683999999999997</v>
      </c>
      <c r="X314" s="29">
        <f t="shared" si="31"/>
        <v>1.1275679999999999</v>
      </c>
      <c r="Y314" s="29">
        <f>+VLOOKUP(E314,[1]base!D:E,2,0)</f>
        <v>13</v>
      </c>
      <c r="Z314" s="29">
        <f t="shared" si="32"/>
        <v>1</v>
      </c>
      <c r="AA314" s="29">
        <f t="shared" si="33"/>
        <v>6.6666666666666693E-2</v>
      </c>
      <c r="AB314" s="29">
        <f>+VLOOKUP(E314,[1]base!M:N,2,0)</f>
        <v>263</v>
      </c>
      <c r="AC314" s="29">
        <f>+VLOOKUP(E314,[1]base!M:Q,5,0)</f>
        <v>812.5</v>
      </c>
      <c r="AD314" s="30">
        <f>+VLOOKUP(E314,[1]base!M:P,4,0)</f>
        <v>0.25071225071225073</v>
      </c>
      <c r="AE314" s="31">
        <f t="shared" si="34"/>
        <v>12.962678062678055</v>
      </c>
    </row>
    <row r="315" spans="1:31" x14ac:dyDescent="0.25">
      <c r="A315" s="12" t="s">
        <v>1016</v>
      </c>
      <c r="B315" s="13">
        <v>46266.406585648147</v>
      </c>
      <c r="C315" s="12" t="s">
        <v>599</v>
      </c>
      <c r="D315" s="12" t="s">
        <v>67</v>
      </c>
      <c r="E315" s="26" t="str">
        <f t="shared" si="28"/>
        <v>FR100</v>
      </c>
      <c r="F315" s="27" t="str">
        <f t="shared" si="29"/>
        <v>NOIR</v>
      </c>
      <c r="G315" s="27">
        <f>+VLOOKUP(F315,[1]base!A:B,2,0)</f>
        <v>37</v>
      </c>
      <c r="H315" s="12">
        <v>100</v>
      </c>
      <c r="I315" s="12">
        <v>100</v>
      </c>
      <c r="J315" s="14"/>
      <c r="K315" s="14" t="s">
        <v>61</v>
      </c>
      <c r="L315" s="12" t="s">
        <v>1053</v>
      </c>
      <c r="M315" s="12" t="s">
        <v>150</v>
      </c>
      <c r="N315" s="12">
        <v>100</v>
      </c>
      <c r="O315" s="12">
        <v>100</v>
      </c>
      <c r="P315" s="12">
        <v>0</v>
      </c>
      <c r="Q315" s="16">
        <v>200</v>
      </c>
      <c r="R315" s="16">
        <v>0</v>
      </c>
      <c r="S315" s="16"/>
      <c r="T315" s="28">
        <v>100</v>
      </c>
      <c r="U315" s="28"/>
      <c r="V315" s="29">
        <f>+VLOOKUP(E315,[1]base!D:K,8,0)</f>
        <v>5.4209999999999994</v>
      </c>
      <c r="W315" s="29">
        <f t="shared" si="30"/>
        <v>542.09999999999991</v>
      </c>
      <c r="X315" s="29">
        <f t="shared" si="31"/>
        <v>28.189199999999992</v>
      </c>
      <c r="Y315" s="29">
        <f>+VLOOKUP(E315,[1]base!D:E,2,0)</f>
        <v>13</v>
      </c>
      <c r="Z315" s="29">
        <f t="shared" si="32"/>
        <v>8</v>
      </c>
      <c r="AA315" s="29">
        <f t="shared" si="33"/>
        <v>0.53333333333333355</v>
      </c>
      <c r="AB315" s="29">
        <f>+VLOOKUP(E315,[1]base!M:N,2,0)</f>
        <v>263</v>
      </c>
      <c r="AC315" s="29">
        <f>+VLOOKUP(E315,[1]base!M:Q,5,0)</f>
        <v>812.5</v>
      </c>
      <c r="AD315" s="30">
        <f>+VLOOKUP(E315,[1]base!M:P,4,0)</f>
        <v>0.25071225071225073</v>
      </c>
      <c r="AE315" s="31">
        <f t="shared" si="34"/>
        <v>12.962678062678055</v>
      </c>
    </row>
    <row r="316" spans="1:31" x14ac:dyDescent="0.25">
      <c r="A316" s="12" t="s">
        <v>1263</v>
      </c>
      <c r="B316" s="13">
        <v>46268.598738425928</v>
      </c>
      <c r="C316" s="12" t="s">
        <v>522</v>
      </c>
      <c r="D316" s="12" t="s">
        <v>67</v>
      </c>
      <c r="E316" s="26" t="str">
        <f t="shared" si="28"/>
        <v>FR100</v>
      </c>
      <c r="F316" s="27" t="str">
        <f t="shared" si="29"/>
        <v>NOIR</v>
      </c>
      <c r="G316" s="27">
        <f>+VLOOKUP(F316,[1]base!A:B,2,0)</f>
        <v>37</v>
      </c>
      <c r="H316" s="12">
        <v>30</v>
      </c>
      <c r="I316" s="12">
        <v>30</v>
      </c>
      <c r="J316" s="14"/>
      <c r="K316" s="14" t="s">
        <v>61</v>
      </c>
      <c r="L316" s="12" t="s">
        <v>1277</v>
      </c>
      <c r="M316" s="12" t="s">
        <v>150</v>
      </c>
      <c r="N316" s="12">
        <v>30</v>
      </c>
      <c r="O316" s="12">
        <v>30</v>
      </c>
      <c r="P316" s="12">
        <v>0</v>
      </c>
      <c r="Q316" s="16">
        <v>30</v>
      </c>
      <c r="R316" s="16">
        <v>0</v>
      </c>
      <c r="S316" s="16"/>
      <c r="T316" s="28">
        <v>30</v>
      </c>
      <c r="U316" s="28"/>
      <c r="V316" s="29">
        <f>+VLOOKUP(E316,[1]base!D:K,8,0)</f>
        <v>5.4209999999999994</v>
      </c>
      <c r="W316" s="29">
        <f t="shared" si="30"/>
        <v>162.63</v>
      </c>
      <c r="X316" s="29">
        <f t="shared" si="31"/>
        <v>8.4567599999999992</v>
      </c>
      <c r="Y316" s="29">
        <f>+VLOOKUP(E316,[1]base!D:E,2,0)</f>
        <v>13</v>
      </c>
      <c r="Z316" s="29">
        <f t="shared" si="32"/>
        <v>3</v>
      </c>
      <c r="AA316" s="29">
        <f t="shared" si="33"/>
        <v>0.20000000000000007</v>
      </c>
      <c r="AB316" s="29">
        <f>+VLOOKUP(E316,[1]base!M:N,2,0)</f>
        <v>263</v>
      </c>
      <c r="AC316" s="29">
        <f>+VLOOKUP(E316,[1]base!M:Q,5,0)</f>
        <v>812.5</v>
      </c>
      <c r="AD316" s="30">
        <f>+VLOOKUP(E316,[1]base!M:P,4,0)</f>
        <v>0.25071225071225073</v>
      </c>
      <c r="AE316" s="31">
        <f t="shared" si="34"/>
        <v>12.962678062678055</v>
      </c>
    </row>
    <row r="317" spans="1:31" x14ac:dyDescent="0.25">
      <c r="A317" s="12" t="s">
        <v>1286</v>
      </c>
      <c r="B317" s="13">
        <v>46268.660324074073</v>
      </c>
      <c r="C317" s="12" t="s">
        <v>1287</v>
      </c>
      <c r="D317" s="12" t="s">
        <v>67</v>
      </c>
      <c r="E317" s="26" t="str">
        <f t="shared" si="28"/>
        <v>FR100</v>
      </c>
      <c r="F317" s="27" t="str">
        <f t="shared" si="29"/>
        <v>NOIR</v>
      </c>
      <c r="G317" s="27">
        <f>+VLOOKUP(F317,[1]base!A:B,2,0)</f>
        <v>37</v>
      </c>
      <c r="H317" s="12">
        <v>1</v>
      </c>
      <c r="I317" s="12">
        <v>1</v>
      </c>
      <c r="J317" s="14"/>
      <c r="K317" s="14" t="s">
        <v>61</v>
      </c>
      <c r="L317" s="12" t="s">
        <v>1288</v>
      </c>
      <c r="M317" s="12" t="s">
        <v>150</v>
      </c>
      <c r="N317" s="12">
        <v>1</v>
      </c>
      <c r="O317" s="12">
        <v>1</v>
      </c>
      <c r="P317" s="12">
        <v>0</v>
      </c>
      <c r="Q317" s="16">
        <v>1</v>
      </c>
      <c r="R317" s="16">
        <v>0</v>
      </c>
      <c r="S317" s="16"/>
      <c r="T317" s="28">
        <v>1</v>
      </c>
      <c r="U317" s="28"/>
      <c r="V317" s="29">
        <f>+VLOOKUP(E317,[1]base!D:K,8,0)</f>
        <v>5.4209999999999994</v>
      </c>
      <c r="W317" s="29">
        <f t="shared" si="30"/>
        <v>5.4209999999999994</v>
      </c>
      <c r="X317" s="29">
        <f t="shared" si="31"/>
        <v>0.28189199999999998</v>
      </c>
      <c r="Y317" s="29">
        <f>+VLOOKUP(E317,[1]base!D:E,2,0)</f>
        <v>13</v>
      </c>
      <c r="Z317" s="29">
        <f t="shared" si="32"/>
        <v>1</v>
      </c>
      <c r="AA317" s="29">
        <f t="shared" si="33"/>
        <v>6.6666666666666693E-2</v>
      </c>
      <c r="AB317" s="29">
        <f>+VLOOKUP(E317,[1]base!M:N,2,0)</f>
        <v>263</v>
      </c>
      <c r="AC317" s="29">
        <f>+VLOOKUP(E317,[1]base!M:Q,5,0)</f>
        <v>812.5</v>
      </c>
      <c r="AD317" s="30">
        <f>+VLOOKUP(E317,[1]base!M:P,4,0)</f>
        <v>0.25071225071225073</v>
      </c>
      <c r="AE317" s="31">
        <f t="shared" si="34"/>
        <v>12.962678062678055</v>
      </c>
    </row>
    <row r="318" spans="1:31" x14ac:dyDescent="0.25">
      <c r="A318" s="12" t="s">
        <v>1291</v>
      </c>
      <c r="B318" s="13">
        <v>46269.280277777776</v>
      </c>
      <c r="C318" s="12" t="s">
        <v>266</v>
      </c>
      <c r="D318" s="12" t="s">
        <v>67</v>
      </c>
      <c r="E318" s="26" t="str">
        <f t="shared" si="28"/>
        <v>FR100</v>
      </c>
      <c r="F318" s="27" t="str">
        <f t="shared" si="29"/>
        <v>NOIR</v>
      </c>
      <c r="G318" s="27">
        <f>+VLOOKUP(F318,[1]base!A:B,2,0)</f>
        <v>37</v>
      </c>
      <c r="H318" s="12">
        <v>30</v>
      </c>
      <c r="I318" s="12">
        <v>30</v>
      </c>
      <c r="J318" s="14"/>
      <c r="K318" s="14" t="s">
        <v>61</v>
      </c>
      <c r="L318" s="12" t="s">
        <v>1304</v>
      </c>
      <c r="M318" s="12" t="s">
        <v>150</v>
      </c>
      <c r="N318" s="12">
        <v>30</v>
      </c>
      <c r="O318" s="12">
        <v>30</v>
      </c>
      <c r="P318" s="12">
        <v>0</v>
      </c>
      <c r="Q318" s="16">
        <v>30</v>
      </c>
      <c r="R318" s="16">
        <v>0</v>
      </c>
      <c r="S318" s="16"/>
      <c r="T318" s="28">
        <v>30</v>
      </c>
      <c r="U318" s="28"/>
      <c r="V318" s="29">
        <f>+VLOOKUP(E318,[1]base!D:K,8,0)</f>
        <v>5.4209999999999994</v>
      </c>
      <c r="W318" s="29">
        <f t="shared" si="30"/>
        <v>162.63</v>
      </c>
      <c r="X318" s="29">
        <f t="shared" si="31"/>
        <v>8.4567599999999992</v>
      </c>
      <c r="Y318" s="29">
        <f>+VLOOKUP(E318,[1]base!D:E,2,0)</f>
        <v>13</v>
      </c>
      <c r="Z318" s="29">
        <f t="shared" si="32"/>
        <v>3</v>
      </c>
      <c r="AA318" s="29">
        <f t="shared" si="33"/>
        <v>0.20000000000000007</v>
      </c>
      <c r="AB318" s="29">
        <f>+VLOOKUP(E318,[1]base!M:N,2,0)</f>
        <v>263</v>
      </c>
      <c r="AC318" s="29">
        <f>+VLOOKUP(E318,[1]base!M:Q,5,0)</f>
        <v>812.5</v>
      </c>
      <c r="AD318" s="30">
        <f>+VLOOKUP(E318,[1]base!M:P,4,0)</f>
        <v>0.25071225071225073</v>
      </c>
      <c r="AE318" s="31">
        <f t="shared" si="34"/>
        <v>12.962678062678055</v>
      </c>
    </row>
    <row r="319" spans="1:31" x14ac:dyDescent="0.25">
      <c r="A319" s="12" t="s">
        <v>1562</v>
      </c>
      <c r="B319" s="13">
        <v>46274.635497685187</v>
      </c>
      <c r="C319" s="12" t="s">
        <v>484</v>
      </c>
      <c r="D319" s="12" t="s">
        <v>67</v>
      </c>
      <c r="E319" s="26" t="str">
        <f t="shared" si="28"/>
        <v>FR100</v>
      </c>
      <c r="F319" s="27" t="str">
        <f t="shared" si="29"/>
        <v>NOIR</v>
      </c>
      <c r="G319" s="27">
        <f>+VLOOKUP(F319,[1]base!A:B,2,0)</f>
        <v>37</v>
      </c>
      <c r="H319" s="12">
        <v>50</v>
      </c>
      <c r="I319" s="12">
        <v>50</v>
      </c>
      <c r="J319" s="14"/>
      <c r="K319" s="14" t="s">
        <v>61</v>
      </c>
      <c r="L319" s="12" t="s">
        <v>1568</v>
      </c>
      <c r="M319" s="12" t="s">
        <v>150</v>
      </c>
      <c r="N319" s="12">
        <v>50</v>
      </c>
      <c r="O319" s="12">
        <v>50</v>
      </c>
      <c r="P319" s="12">
        <v>0</v>
      </c>
      <c r="Q319" s="16">
        <v>50</v>
      </c>
      <c r="R319" s="16">
        <v>0</v>
      </c>
      <c r="S319" s="16"/>
      <c r="T319" s="28">
        <v>50</v>
      </c>
      <c r="U319" s="28"/>
      <c r="V319" s="29">
        <f>+VLOOKUP(E319,[1]base!D:K,8,0)</f>
        <v>5.4209999999999994</v>
      </c>
      <c r="W319" s="29">
        <f t="shared" si="30"/>
        <v>271.04999999999995</v>
      </c>
      <c r="X319" s="29">
        <f t="shared" si="31"/>
        <v>14.094599999999996</v>
      </c>
      <c r="Y319" s="29">
        <f>+VLOOKUP(E319,[1]base!D:E,2,0)</f>
        <v>13</v>
      </c>
      <c r="Z319" s="29">
        <f t="shared" si="32"/>
        <v>4</v>
      </c>
      <c r="AA319" s="29">
        <f t="shared" si="33"/>
        <v>0.26666666666666677</v>
      </c>
      <c r="AB319" s="29">
        <f>+VLOOKUP(E319,[1]base!M:N,2,0)</f>
        <v>263</v>
      </c>
      <c r="AC319" s="29">
        <f>+VLOOKUP(E319,[1]base!M:Q,5,0)</f>
        <v>812.5</v>
      </c>
      <c r="AD319" s="30">
        <f>+VLOOKUP(E319,[1]base!M:P,4,0)</f>
        <v>0.25071225071225073</v>
      </c>
      <c r="AE319" s="31">
        <f t="shared" si="34"/>
        <v>12.962678062678055</v>
      </c>
    </row>
    <row r="320" spans="1:31" x14ac:dyDescent="0.25">
      <c r="A320" s="12" t="s">
        <v>843</v>
      </c>
      <c r="B320" s="13">
        <v>46261.381307870368</v>
      </c>
      <c r="C320" s="12" t="s">
        <v>398</v>
      </c>
      <c r="D320" s="12" t="s">
        <v>845</v>
      </c>
      <c r="E320" s="26" t="str">
        <f t="shared" si="28"/>
        <v>FR100</v>
      </c>
      <c r="F320" s="27" t="str">
        <f t="shared" si="29"/>
        <v>DARK</v>
      </c>
      <c r="G320" s="27">
        <f>+VLOOKUP(F320,[1]base!A:B,2,0)</f>
        <v>38</v>
      </c>
      <c r="H320" s="12">
        <v>10</v>
      </c>
      <c r="I320" s="12">
        <v>10</v>
      </c>
      <c r="J320" s="14"/>
      <c r="K320" s="14" t="s">
        <v>61</v>
      </c>
      <c r="L320" s="12" t="s">
        <v>852</v>
      </c>
      <c r="M320" s="12" t="s">
        <v>150</v>
      </c>
      <c r="N320" s="12">
        <v>10</v>
      </c>
      <c r="O320" s="12">
        <v>10</v>
      </c>
      <c r="P320" s="12">
        <v>0</v>
      </c>
      <c r="Q320" s="16">
        <v>10</v>
      </c>
      <c r="R320" s="16">
        <v>0</v>
      </c>
      <c r="S320" s="16"/>
      <c r="T320" s="28">
        <v>10</v>
      </c>
      <c r="U320" s="28"/>
      <c r="V320" s="29">
        <f>+VLOOKUP(E320,[1]base!D:K,8,0)</f>
        <v>5.4209999999999994</v>
      </c>
      <c r="W320" s="29">
        <f t="shared" si="30"/>
        <v>54.209999999999994</v>
      </c>
      <c r="X320" s="29">
        <f t="shared" si="31"/>
        <v>2.8189199999999994</v>
      </c>
      <c r="Y320" s="29">
        <f>+VLOOKUP(E320,[1]base!D:E,2,0)</f>
        <v>13</v>
      </c>
      <c r="Z320" s="29">
        <f t="shared" si="32"/>
        <v>1</v>
      </c>
      <c r="AA320" s="29">
        <f t="shared" si="33"/>
        <v>6.6666666666666693E-2</v>
      </c>
      <c r="AB320" s="29">
        <f>+VLOOKUP(E320,[1]base!M:N,2,0)</f>
        <v>263</v>
      </c>
      <c r="AC320" s="29">
        <f>+VLOOKUP(E320,[1]base!M:Q,5,0)</f>
        <v>812.5</v>
      </c>
      <c r="AD320" s="30">
        <f>+VLOOKUP(E320,[1]base!M:P,4,0)</f>
        <v>0.25071225071225073</v>
      </c>
      <c r="AE320" s="31">
        <f t="shared" si="34"/>
        <v>12.962678062678055</v>
      </c>
    </row>
    <row r="321" spans="1:31" x14ac:dyDescent="0.25">
      <c r="A321" s="12" t="s">
        <v>1021</v>
      </c>
      <c r="B321" s="13">
        <v>46266.424675925926</v>
      </c>
      <c r="C321" s="12" t="s">
        <v>24</v>
      </c>
      <c r="D321" s="12" t="s">
        <v>845</v>
      </c>
      <c r="E321" s="26" t="str">
        <f t="shared" si="28"/>
        <v>FR100</v>
      </c>
      <c r="F321" s="27" t="str">
        <f t="shared" si="29"/>
        <v>DARK</v>
      </c>
      <c r="G321" s="27">
        <f>+VLOOKUP(F321,[1]base!A:B,2,0)</f>
        <v>38</v>
      </c>
      <c r="H321" s="12">
        <v>4</v>
      </c>
      <c r="I321" s="12">
        <v>4</v>
      </c>
      <c r="J321" s="14"/>
      <c r="K321" s="14" t="s">
        <v>61</v>
      </c>
      <c r="L321" s="12" t="s">
        <v>1067</v>
      </c>
      <c r="M321" s="12" t="s">
        <v>150</v>
      </c>
      <c r="N321" s="12">
        <v>4</v>
      </c>
      <c r="O321" s="12">
        <v>4</v>
      </c>
      <c r="P321" s="12">
        <v>0</v>
      </c>
      <c r="Q321" s="16">
        <v>4</v>
      </c>
      <c r="R321" s="16">
        <v>0</v>
      </c>
      <c r="S321" s="16"/>
      <c r="T321" s="28">
        <v>4</v>
      </c>
      <c r="U321" s="28"/>
      <c r="V321" s="29">
        <f>+VLOOKUP(E321,[1]base!D:K,8,0)</f>
        <v>5.4209999999999994</v>
      </c>
      <c r="W321" s="29">
        <f t="shared" si="30"/>
        <v>21.683999999999997</v>
      </c>
      <c r="X321" s="29">
        <f t="shared" si="31"/>
        <v>1.1275679999999999</v>
      </c>
      <c r="Y321" s="29">
        <f>+VLOOKUP(E321,[1]base!D:E,2,0)</f>
        <v>13</v>
      </c>
      <c r="Z321" s="29">
        <f t="shared" si="32"/>
        <v>1</v>
      </c>
      <c r="AA321" s="29">
        <f t="shared" si="33"/>
        <v>6.6666666666666693E-2</v>
      </c>
      <c r="AB321" s="29">
        <f>+VLOOKUP(E321,[1]base!M:N,2,0)</f>
        <v>263</v>
      </c>
      <c r="AC321" s="29">
        <f>+VLOOKUP(E321,[1]base!M:Q,5,0)</f>
        <v>812.5</v>
      </c>
      <c r="AD321" s="30">
        <f>+VLOOKUP(E321,[1]base!M:P,4,0)</f>
        <v>0.25071225071225073</v>
      </c>
      <c r="AE321" s="31">
        <f t="shared" si="34"/>
        <v>12.962678062678055</v>
      </c>
    </row>
    <row r="322" spans="1:31" x14ac:dyDescent="0.25">
      <c r="A322" s="12" t="s">
        <v>1635</v>
      </c>
      <c r="B322" s="13">
        <v>46275.398229166669</v>
      </c>
      <c r="C322" s="12" t="s">
        <v>1636</v>
      </c>
      <c r="D322" s="12" t="s">
        <v>845</v>
      </c>
      <c r="E322" s="26" t="str">
        <f t="shared" ref="E322:E385" si="35">_xlfn.TEXTBEFORE(D322, "-", -1, 1, , D322)</f>
        <v>FR100</v>
      </c>
      <c r="F322" s="27" t="str">
        <f t="shared" ref="F322:F385" si="36">_xlfn.TEXTAFTER(D322, "-", -1, 1, , "")</f>
        <v>DARK</v>
      </c>
      <c r="G322" s="27">
        <f>+VLOOKUP(F322,[1]base!A:B,2,0)</f>
        <v>38</v>
      </c>
      <c r="H322" s="12">
        <v>8</v>
      </c>
      <c r="I322" s="12">
        <v>8</v>
      </c>
      <c r="J322" s="14"/>
      <c r="K322" s="14" t="s">
        <v>61</v>
      </c>
      <c r="L322" s="12" t="s">
        <v>1639</v>
      </c>
      <c r="M322" s="12" t="s">
        <v>150</v>
      </c>
      <c r="N322" s="12">
        <v>8</v>
      </c>
      <c r="O322" s="12">
        <v>8</v>
      </c>
      <c r="P322" s="12">
        <v>0</v>
      </c>
      <c r="Q322" s="16">
        <v>8</v>
      </c>
      <c r="R322" s="16">
        <v>0</v>
      </c>
      <c r="S322" s="16"/>
      <c r="T322" s="28">
        <v>8</v>
      </c>
      <c r="U322" s="28"/>
      <c r="V322" s="29">
        <f>+VLOOKUP(E322,[1]base!D:K,8,0)</f>
        <v>5.4209999999999994</v>
      </c>
      <c r="W322" s="29">
        <f t="shared" ref="W322:W385" si="37">(T322+U322)*V322</f>
        <v>43.367999999999995</v>
      </c>
      <c r="X322" s="29">
        <f t="shared" ref="X322:X385" si="38">+W322*0.052</f>
        <v>2.2551359999999998</v>
      </c>
      <c r="Y322" s="29">
        <f>+VLOOKUP(E322,[1]base!D:E,2,0)</f>
        <v>13</v>
      </c>
      <c r="Z322" s="29">
        <f t="shared" ref="Z322:Z385" si="39">ROUNDUP(T322/Y322,0)</f>
        <v>1</v>
      </c>
      <c r="AA322" s="29">
        <f t="shared" ref="AA322:AA385" si="40">+Z322*0.0666666666666667</f>
        <v>6.6666666666666693E-2</v>
      </c>
      <c r="AB322" s="29">
        <f>+VLOOKUP(E322,[1]base!M:N,2,0)</f>
        <v>263</v>
      </c>
      <c r="AC322" s="29">
        <f>+VLOOKUP(E322,[1]base!M:Q,5,0)</f>
        <v>812.5</v>
      </c>
      <c r="AD322" s="30">
        <f>+VLOOKUP(E322,[1]base!M:P,4,0)</f>
        <v>0.25071225071225073</v>
      </c>
      <c r="AE322" s="31">
        <f t="shared" ref="AE322:AE385" si="41">+AB322*(30%-AD322)</f>
        <v>12.962678062678055</v>
      </c>
    </row>
    <row r="323" spans="1:31" x14ac:dyDescent="0.25">
      <c r="A323" s="12"/>
      <c r="B323" s="13"/>
      <c r="C323" s="12"/>
      <c r="D323" s="12" t="s">
        <v>268</v>
      </c>
      <c r="E323" s="26" t="str">
        <f t="shared" si="35"/>
        <v>FR102</v>
      </c>
      <c r="F323" s="27" t="str">
        <f t="shared" si="36"/>
        <v>BLC</v>
      </c>
      <c r="G323" s="27">
        <f>+VLOOKUP(F323,[1]base!A:B,2,0)</f>
        <v>1</v>
      </c>
      <c r="H323" s="12">
        <v>36</v>
      </c>
      <c r="I323" s="12">
        <v>36</v>
      </c>
      <c r="J323" s="14"/>
      <c r="K323" s="14" t="s">
        <v>61</v>
      </c>
      <c r="L323" s="12" t="s">
        <v>27</v>
      </c>
      <c r="M323" s="12" t="s">
        <v>28</v>
      </c>
      <c r="N323" s="12"/>
      <c r="O323" s="12"/>
      <c r="P323" s="12"/>
      <c r="Q323" s="16">
        <v>18</v>
      </c>
      <c r="R323" s="16">
        <v>0</v>
      </c>
      <c r="S323" s="16"/>
      <c r="T323" s="33">
        <v>18</v>
      </c>
      <c r="U323" s="33"/>
      <c r="V323" s="29">
        <f>+VLOOKUP(E323,[1]base!D:K,8,0)</f>
        <v>4.3875000000000002</v>
      </c>
      <c r="W323" s="29">
        <f t="shared" si="37"/>
        <v>78.975000000000009</v>
      </c>
      <c r="X323" s="29">
        <f t="shared" si="38"/>
        <v>4.1067</v>
      </c>
      <c r="Y323" s="29">
        <f>+VLOOKUP(E323,[1]base!D:E,2,0)</f>
        <v>13</v>
      </c>
      <c r="Z323" s="29">
        <f t="shared" si="39"/>
        <v>2</v>
      </c>
      <c r="AA323" s="29">
        <f t="shared" si="40"/>
        <v>0.13333333333333339</v>
      </c>
      <c r="AB323" s="29">
        <f>+VLOOKUP(E323,[1]base!M:N,2,0)</f>
        <v>0</v>
      </c>
      <c r="AC323" s="29">
        <f>+VLOOKUP(E323,[1]base!M:Q,5,0)</f>
        <v>201.6</v>
      </c>
      <c r="AD323" s="30">
        <f>+VLOOKUP(E323,[1]base!M:P,4,0)</f>
        <v>1</v>
      </c>
      <c r="AE323" s="31">
        <f t="shared" si="41"/>
        <v>0</v>
      </c>
    </row>
    <row r="324" spans="1:31" x14ac:dyDescent="0.25">
      <c r="A324" s="12" t="s">
        <v>477</v>
      </c>
      <c r="B324" s="13">
        <v>46228.328831018516</v>
      </c>
      <c r="C324" s="12" t="s">
        <v>266</v>
      </c>
      <c r="D324" s="12" t="s">
        <v>479</v>
      </c>
      <c r="E324" s="26" t="str">
        <f t="shared" si="35"/>
        <v>FR102</v>
      </c>
      <c r="F324" s="27" t="str">
        <f t="shared" si="36"/>
        <v>ACAJOU</v>
      </c>
      <c r="G324" s="27">
        <f>+VLOOKUP(F324,[1]base!A:B,2,0)</f>
        <v>15.1</v>
      </c>
      <c r="H324" s="12">
        <v>5</v>
      </c>
      <c r="I324" s="12">
        <v>5</v>
      </c>
      <c r="J324" s="14"/>
      <c r="K324" s="14" t="s">
        <v>61</v>
      </c>
      <c r="L324" s="12" t="s">
        <v>480</v>
      </c>
      <c r="M324" s="12" t="s">
        <v>150</v>
      </c>
      <c r="N324" s="12">
        <v>5</v>
      </c>
      <c r="O324" s="12">
        <v>5</v>
      </c>
      <c r="P324" s="12">
        <v>0</v>
      </c>
      <c r="Q324" s="16">
        <v>5</v>
      </c>
      <c r="R324" s="16">
        <v>0</v>
      </c>
      <c r="S324" s="16"/>
      <c r="T324" s="28">
        <v>5</v>
      </c>
      <c r="U324" s="28"/>
      <c r="V324" s="29">
        <f>+VLOOKUP(E324,[1]base!D:K,8,0)</f>
        <v>4.3875000000000002</v>
      </c>
      <c r="W324" s="29">
        <f t="shared" si="37"/>
        <v>21.9375</v>
      </c>
      <c r="X324" s="29">
        <f t="shared" si="38"/>
        <v>1.1407499999999999</v>
      </c>
      <c r="Y324" s="29">
        <f>+VLOOKUP(E324,[1]base!D:E,2,0)</f>
        <v>13</v>
      </c>
      <c r="Z324" s="29">
        <f t="shared" si="39"/>
        <v>1</v>
      </c>
      <c r="AA324" s="29">
        <f t="shared" si="40"/>
        <v>6.6666666666666693E-2</v>
      </c>
      <c r="AB324" s="29">
        <f>+VLOOKUP(E324,[1]base!M:N,2,0)</f>
        <v>0</v>
      </c>
      <c r="AC324" s="29">
        <f>+VLOOKUP(E324,[1]base!M:Q,5,0)</f>
        <v>201.6</v>
      </c>
      <c r="AD324" s="30">
        <f>+VLOOKUP(E324,[1]base!M:P,4,0)</f>
        <v>1</v>
      </c>
      <c r="AE324" s="31">
        <f t="shared" si="41"/>
        <v>0</v>
      </c>
    </row>
    <row r="325" spans="1:31" x14ac:dyDescent="0.25">
      <c r="A325" s="12" t="s">
        <v>1082</v>
      </c>
      <c r="B325" s="13">
        <v>46266.490532407406</v>
      </c>
      <c r="C325" s="12" t="s">
        <v>505</v>
      </c>
      <c r="D325" s="12" t="s">
        <v>479</v>
      </c>
      <c r="E325" s="26" t="str">
        <f t="shared" si="35"/>
        <v>FR102</v>
      </c>
      <c r="F325" s="27" t="str">
        <f t="shared" si="36"/>
        <v>ACAJOU</v>
      </c>
      <c r="G325" s="27">
        <f>+VLOOKUP(F325,[1]base!A:B,2,0)</f>
        <v>15.1</v>
      </c>
      <c r="H325" s="12">
        <v>8</v>
      </c>
      <c r="I325" s="12">
        <v>8</v>
      </c>
      <c r="J325" s="14"/>
      <c r="K325" s="14" t="s">
        <v>61</v>
      </c>
      <c r="L325" s="12" t="s">
        <v>1092</v>
      </c>
      <c r="M325" s="12" t="s">
        <v>150</v>
      </c>
      <c r="N325" s="12">
        <v>8</v>
      </c>
      <c r="O325" s="12">
        <v>8</v>
      </c>
      <c r="P325" s="12">
        <v>0</v>
      </c>
      <c r="Q325" s="16">
        <v>12</v>
      </c>
      <c r="R325" s="16">
        <v>0</v>
      </c>
      <c r="S325" s="16"/>
      <c r="T325" s="28">
        <v>8</v>
      </c>
      <c r="U325" s="28"/>
      <c r="V325" s="29">
        <f>+VLOOKUP(E325,[1]base!D:K,8,0)</f>
        <v>4.3875000000000002</v>
      </c>
      <c r="W325" s="29">
        <f t="shared" si="37"/>
        <v>35.1</v>
      </c>
      <c r="X325" s="29">
        <f t="shared" si="38"/>
        <v>1.8251999999999999</v>
      </c>
      <c r="Y325" s="29">
        <f>+VLOOKUP(E325,[1]base!D:E,2,0)</f>
        <v>13</v>
      </c>
      <c r="Z325" s="29">
        <f t="shared" si="39"/>
        <v>1</v>
      </c>
      <c r="AA325" s="29">
        <f t="shared" si="40"/>
        <v>6.6666666666666693E-2</v>
      </c>
      <c r="AB325" s="29">
        <f>+VLOOKUP(E325,[1]base!M:N,2,0)</f>
        <v>0</v>
      </c>
      <c r="AC325" s="29">
        <f>+VLOOKUP(E325,[1]base!M:Q,5,0)</f>
        <v>201.6</v>
      </c>
      <c r="AD325" s="30">
        <f>+VLOOKUP(E325,[1]base!M:P,4,0)</f>
        <v>1</v>
      </c>
      <c r="AE325" s="31">
        <f t="shared" si="41"/>
        <v>0</v>
      </c>
    </row>
    <row r="326" spans="1:31" x14ac:dyDescent="0.25">
      <c r="A326" s="12" t="s">
        <v>471</v>
      </c>
      <c r="B326" s="13">
        <v>46228.313125000001</v>
      </c>
      <c r="C326" s="12" t="s">
        <v>266</v>
      </c>
      <c r="D326" s="12" t="s">
        <v>474</v>
      </c>
      <c r="E326" s="26" t="str">
        <f t="shared" si="35"/>
        <v>FR102</v>
      </c>
      <c r="F326" s="27" t="str">
        <f t="shared" si="36"/>
        <v>GRIS</v>
      </c>
      <c r="G326" s="27">
        <f>+VLOOKUP(F326,[1]base!A:B,2,0)</f>
        <v>22</v>
      </c>
      <c r="H326" s="12">
        <v>10</v>
      </c>
      <c r="I326" s="12">
        <v>10</v>
      </c>
      <c r="J326" s="14"/>
      <c r="K326" s="14" t="s">
        <v>61</v>
      </c>
      <c r="L326" s="12" t="s">
        <v>475</v>
      </c>
      <c r="M326" s="12" t="s">
        <v>150</v>
      </c>
      <c r="N326" s="12">
        <v>10</v>
      </c>
      <c r="O326" s="12">
        <v>10</v>
      </c>
      <c r="P326" s="12">
        <v>0</v>
      </c>
      <c r="Q326" s="16">
        <v>10</v>
      </c>
      <c r="R326" s="16">
        <v>0</v>
      </c>
      <c r="S326" s="16"/>
      <c r="T326" s="28">
        <v>10</v>
      </c>
      <c r="U326" s="28"/>
      <c r="V326" s="29">
        <f>+VLOOKUP(E326,[1]base!D:K,8,0)</f>
        <v>4.3875000000000002</v>
      </c>
      <c r="W326" s="29">
        <f t="shared" si="37"/>
        <v>43.875</v>
      </c>
      <c r="X326" s="29">
        <f t="shared" si="38"/>
        <v>2.2814999999999999</v>
      </c>
      <c r="Y326" s="29">
        <f>+VLOOKUP(E326,[1]base!D:E,2,0)</f>
        <v>13</v>
      </c>
      <c r="Z326" s="29">
        <f t="shared" si="39"/>
        <v>1</v>
      </c>
      <c r="AA326" s="29">
        <f t="shared" si="40"/>
        <v>6.6666666666666693E-2</v>
      </c>
      <c r="AB326" s="29">
        <f>+VLOOKUP(E326,[1]base!M:N,2,0)</f>
        <v>0</v>
      </c>
      <c r="AC326" s="29">
        <f>+VLOOKUP(E326,[1]base!M:Q,5,0)</f>
        <v>201.6</v>
      </c>
      <c r="AD326" s="30">
        <f>+VLOOKUP(E326,[1]base!M:P,4,0)</f>
        <v>1</v>
      </c>
      <c r="AE326" s="31">
        <f t="shared" si="41"/>
        <v>0</v>
      </c>
    </row>
    <row r="327" spans="1:31" x14ac:dyDescent="0.25">
      <c r="A327" s="12" t="s">
        <v>750</v>
      </c>
      <c r="B327" s="13">
        <v>46256.457442129627</v>
      </c>
      <c r="C327" s="12" t="s">
        <v>751</v>
      </c>
      <c r="D327" s="12" t="s">
        <v>247</v>
      </c>
      <c r="E327" s="26" t="str">
        <f t="shared" si="35"/>
        <v>FR102</v>
      </c>
      <c r="F327" s="27" t="str">
        <f t="shared" si="36"/>
        <v>NOIR</v>
      </c>
      <c r="G327" s="27">
        <f>+VLOOKUP(F327,[1]base!A:B,2,0)</f>
        <v>37</v>
      </c>
      <c r="H327" s="12">
        <v>20</v>
      </c>
      <c r="I327" s="12">
        <v>20</v>
      </c>
      <c r="J327" s="14"/>
      <c r="K327" s="14" t="s">
        <v>61</v>
      </c>
      <c r="L327" s="12" t="s">
        <v>754</v>
      </c>
      <c r="M327" s="12" t="s">
        <v>150</v>
      </c>
      <c r="N327" s="12">
        <v>20</v>
      </c>
      <c r="O327" s="12">
        <v>20</v>
      </c>
      <c r="P327" s="12">
        <v>0</v>
      </c>
      <c r="Q327" s="16">
        <v>20</v>
      </c>
      <c r="R327" s="16">
        <v>0</v>
      </c>
      <c r="S327" s="16"/>
      <c r="T327" s="28">
        <v>20</v>
      </c>
      <c r="U327" s="28"/>
      <c r="V327" s="29">
        <f>+VLOOKUP(E327,[1]base!D:K,8,0)</f>
        <v>4.3875000000000002</v>
      </c>
      <c r="W327" s="29">
        <f t="shared" si="37"/>
        <v>87.75</v>
      </c>
      <c r="X327" s="29">
        <f t="shared" si="38"/>
        <v>4.5629999999999997</v>
      </c>
      <c r="Y327" s="29">
        <f>+VLOOKUP(E327,[1]base!D:E,2,0)</f>
        <v>13</v>
      </c>
      <c r="Z327" s="29">
        <f t="shared" si="39"/>
        <v>2</v>
      </c>
      <c r="AA327" s="29">
        <f t="shared" si="40"/>
        <v>0.13333333333333339</v>
      </c>
      <c r="AB327" s="29">
        <f>+VLOOKUP(E327,[1]base!M:N,2,0)</f>
        <v>0</v>
      </c>
      <c r="AC327" s="29">
        <f>+VLOOKUP(E327,[1]base!M:Q,5,0)</f>
        <v>201.6</v>
      </c>
      <c r="AD327" s="30">
        <f>+VLOOKUP(E327,[1]base!M:P,4,0)</f>
        <v>1</v>
      </c>
      <c r="AE327" s="31">
        <f t="shared" si="41"/>
        <v>0</v>
      </c>
    </row>
    <row r="328" spans="1:31" x14ac:dyDescent="0.25">
      <c r="A328" s="12" t="s">
        <v>397</v>
      </c>
      <c r="B328" s="13">
        <v>46219.315069444441</v>
      </c>
      <c r="C328" s="12" t="s">
        <v>398</v>
      </c>
      <c r="D328" s="12" t="s">
        <v>249</v>
      </c>
      <c r="E328" s="26" t="str">
        <f t="shared" si="35"/>
        <v>FR104</v>
      </c>
      <c r="F328" s="27" t="str">
        <f t="shared" si="36"/>
        <v>NOIR</v>
      </c>
      <c r="G328" s="27">
        <f>+VLOOKUP(F328,[1]base!A:B,2,0)</f>
        <v>37</v>
      </c>
      <c r="H328" s="12">
        <v>3</v>
      </c>
      <c r="I328" s="12">
        <v>3</v>
      </c>
      <c r="J328" s="14"/>
      <c r="K328" s="14" t="s">
        <v>61</v>
      </c>
      <c r="L328" s="12" t="s">
        <v>400</v>
      </c>
      <c r="M328" s="12" t="s">
        <v>150</v>
      </c>
      <c r="N328" s="12">
        <v>3</v>
      </c>
      <c r="O328" s="12">
        <v>3</v>
      </c>
      <c r="P328" s="12">
        <v>0</v>
      </c>
      <c r="Q328" s="16">
        <v>3</v>
      </c>
      <c r="R328" s="16">
        <v>0</v>
      </c>
      <c r="S328" s="16"/>
      <c r="T328" s="28">
        <v>3</v>
      </c>
      <c r="U328" s="28"/>
      <c r="V328" s="29">
        <f>+VLOOKUP(E328,[1]base!D:K,8,0)</f>
        <v>7.1695000000000002</v>
      </c>
      <c r="W328" s="29">
        <f t="shared" si="37"/>
        <v>21.508500000000002</v>
      </c>
      <c r="X328" s="29">
        <f t="shared" si="38"/>
        <v>1.1184419999999999</v>
      </c>
      <c r="Y328" s="29">
        <f>+VLOOKUP(E328,[1]base!D:E,2,0)</f>
        <v>13</v>
      </c>
      <c r="Z328" s="29">
        <f t="shared" si="39"/>
        <v>1</v>
      </c>
      <c r="AA328" s="29">
        <f t="shared" si="40"/>
        <v>6.6666666666666693E-2</v>
      </c>
      <c r="AB328" s="29">
        <f>+VLOOKUP(E328,[1]base!M:N,2,0)</f>
        <v>3</v>
      </c>
      <c r="AC328" s="29">
        <f>+VLOOKUP(E328,[1]base!M:Q,5,0)</f>
        <v>105.625</v>
      </c>
      <c r="AD328" s="30">
        <f>+VLOOKUP(E328,[1]base!M:P,4,0)</f>
        <v>0.8125</v>
      </c>
      <c r="AE328" s="31">
        <f t="shared" si="41"/>
        <v>-1.5374999999999999</v>
      </c>
    </row>
    <row r="329" spans="1:31" x14ac:dyDescent="0.25">
      <c r="A329" s="12" t="s">
        <v>1492</v>
      </c>
      <c r="B329" s="13">
        <v>46273.61005787037</v>
      </c>
      <c r="C329" s="12" t="s">
        <v>266</v>
      </c>
      <c r="D329" s="12" t="s">
        <v>1496</v>
      </c>
      <c r="E329" s="26" t="str">
        <f t="shared" si="35"/>
        <v>FR108</v>
      </c>
      <c r="F329" s="27" t="str">
        <f t="shared" si="36"/>
        <v>GRIS</v>
      </c>
      <c r="G329" s="27">
        <f>+VLOOKUP(F329,[1]base!A:B,2,0)</f>
        <v>22</v>
      </c>
      <c r="H329" s="12">
        <v>24</v>
      </c>
      <c r="I329" s="12">
        <v>24</v>
      </c>
      <c r="J329" s="14"/>
      <c r="K329" s="14" t="s">
        <v>61</v>
      </c>
      <c r="L329" s="12" t="s">
        <v>1516</v>
      </c>
      <c r="M329" s="12" t="s">
        <v>150</v>
      </c>
      <c r="N329" s="12">
        <v>24</v>
      </c>
      <c r="O329" s="12">
        <v>24</v>
      </c>
      <c r="P329" s="12">
        <v>0</v>
      </c>
      <c r="Q329" s="16">
        <v>24</v>
      </c>
      <c r="R329" s="16">
        <v>0</v>
      </c>
      <c r="S329" s="16"/>
      <c r="T329" s="28">
        <v>24</v>
      </c>
      <c r="U329" s="28"/>
      <c r="V329" s="29">
        <f>+VLOOKUP(E329,[1]base!D:K,8,0)</f>
        <v>0.89050000000000007</v>
      </c>
      <c r="W329" s="29">
        <f t="shared" si="37"/>
        <v>21.372</v>
      </c>
      <c r="X329" s="29">
        <f t="shared" si="38"/>
        <v>1.1113439999999999</v>
      </c>
      <c r="Y329" s="29">
        <f>+VLOOKUP(E329,[1]base!D:E,2,0)</f>
        <v>20</v>
      </c>
      <c r="Z329" s="29">
        <f t="shared" si="39"/>
        <v>2</v>
      </c>
      <c r="AA329" s="29">
        <f t="shared" si="40"/>
        <v>0.13333333333333339</v>
      </c>
      <c r="AB329" s="29">
        <f>+VLOOKUP(E329,[1]base!M:N,2,0)</f>
        <v>1058</v>
      </c>
      <c r="AC329" s="29">
        <f>+VLOOKUP(E329,[1]base!M:Q,5,0)</f>
        <v>67</v>
      </c>
      <c r="AD329" s="30">
        <f>+VLOOKUP(E329,[1]base!M:P,4,0)</f>
        <v>2.6678932842686291E-2</v>
      </c>
      <c r="AE329" s="31">
        <f t="shared" si="41"/>
        <v>289.17368905243791</v>
      </c>
    </row>
    <row r="330" spans="1:31" x14ac:dyDescent="0.25">
      <c r="A330" s="12" t="s">
        <v>1523</v>
      </c>
      <c r="B330" s="13">
        <v>46274.287824074076</v>
      </c>
      <c r="C330" s="12" t="s">
        <v>258</v>
      </c>
      <c r="D330" s="12" t="s">
        <v>1526</v>
      </c>
      <c r="E330" s="26" t="str">
        <f t="shared" si="35"/>
        <v>FR110</v>
      </c>
      <c r="F330" s="27" t="str">
        <f t="shared" si="36"/>
        <v>GRIS</v>
      </c>
      <c r="G330" s="27">
        <f>+VLOOKUP(F330,[1]base!A:B,2,0)</f>
        <v>22</v>
      </c>
      <c r="H330" s="12">
        <v>30</v>
      </c>
      <c r="I330" s="12">
        <v>30</v>
      </c>
      <c r="J330" s="14"/>
      <c r="K330" s="14" t="s">
        <v>61</v>
      </c>
      <c r="L330" s="12" t="s">
        <v>1528</v>
      </c>
      <c r="M330" s="12" t="s">
        <v>150</v>
      </c>
      <c r="N330" s="12">
        <v>30</v>
      </c>
      <c r="O330" s="12">
        <v>30</v>
      </c>
      <c r="P330" s="12">
        <v>0</v>
      </c>
      <c r="Q330" s="16">
        <v>30</v>
      </c>
      <c r="R330" s="16">
        <v>0</v>
      </c>
      <c r="S330" s="16"/>
      <c r="T330" s="28">
        <v>30</v>
      </c>
      <c r="U330" s="28"/>
      <c r="V330" s="29">
        <f>+VLOOKUP(E330,[1]base!D:K,8,0)</f>
        <v>1.7030000000000001</v>
      </c>
      <c r="W330" s="29">
        <f t="shared" si="37"/>
        <v>51.09</v>
      </c>
      <c r="X330" s="29">
        <f t="shared" si="38"/>
        <v>2.6566800000000002</v>
      </c>
      <c r="Y330" s="29">
        <f>+VLOOKUP(E330,[1]base!D:E,2,0)</f>
        <v>20</v>
      </c>
      <c r="Z330" s="29">
        <f t="shared" si="39"/>
        <v>2</v>
      </c>
      <c r="AA330" s="29">
        <f t="shared" si="40"/>
        <v>0.13333333333333339</v>
      </c>
      <c r="AB330" s="29">
        <f>+VLOOKUP(E330,[1]base!M:N,2,0)</f>
        <v>142</v>
      </c>
      <c r="AC330" s="29">
        <f>+VLOOKUP(E330,[1]base!M:Q,5,0)</f>
        <v>52.125</v>
      </c>
      <c r="AD330" s="30">
        <f>+VLOOKUP(E330,[1]base!M:P,4,0)</f>
        <v>0.12883435582822086</v>
      </c>
      <c r="AE330" s="31">
        <f t="shared" si="41"/>
        <v>24.305521472392634</v>
      </c>
    </row>
    <row r="331" spans="1:31" x14ac:dyDescent="0.25">
      <c r="A331" s="12" t="s">
        <v>1230</v>
      </c>
      <c r="B331" s="13">
        <v>46268.418807870374</v>
      </c>
      <c r="C331" s="12" t="s">
        <v>345</v>
      </c>
      <c r="D331" s="12" t="s">
        <v>1231</v>
      </c>
      <c r="E331" s="26" t="str">
        <f t="shared" si="35"/>
        <v>FR110</v>
      </c>
      <c r="F331" s="27" t="str">
        <f t="shared" si="36"/>
        <v>NOIR</v>
      </c>
      <c r="G331" s="27">
        <f>+VLOOKUP(F331,[1]base!A:B,2,0)</f>
        <v>37</v>
      </c>
      <c r="H331" s="12">
        <v>10</v>
      </c>
      <c r="I331" s="12">
        <v>10</v>
      </c>
      <c r="J331" s="14"/>
      <c r="K331" s="14" t="s">
        <v>61</v>
      </c>
      <c r="L331" s="12" t="s">
        <v>1234</v>
      </c>
      <c r="M331" s="12" t="s">
        <v>150</v>
      </c>
      <c r="N331" s="12">
        <v>10</v>
      </c>
      <c r="O331" s="12">
        <v>10</v>
      </c>
      <c r="P331" s="12">
        <v>0</v>
      </c>
      <c r="Q331" s="16">
        <v>10</v>
      </c>
      <c r="R331" s="16">
        <v>0</v>
      </c>
      <c r="S331" s="16"/>
      <c r="T331" s="28">
        <v>10</v>
      </c>
      <c r="U331" s="28"/>
      <c r="V331" s="29">
        <f>+VLOOKUP(E331,[1]base!D:K,8,0)</f>
        <v>1.7030000000000001</v>
      </c>
      <c r="W331" s="29">
        <f t="shared" si="37"/>
        <v>17.03</v>
      </c>
      <c r="X331" s="29">
        <f t="shared" si="38"/>
        <v>0.88556000000000001</v>
      </c>
      <c r="Y331" s="29">
        <f>+VLOOKUP(E331,[1]base!D:E,2,0)</f>
        <v>20</v>
      </c>
      <c r="Z331" s="29">
        <f t="shared" si="39"/>
        <v>1</v>
      </c>
      <c r="AA331" s="29">
        <f t="shared" si="40"/>
        <v>6.6666666666666693E-2</v>
      </c>
      <c r="AB331" s="29">
        <f>+VLOOKUP(E331,[1]base!M:N,2,0)</f>
        <v>142</v>
      </c>
      <c r="AC331" s="29">
        <f>+VLOOKUP(E331,[1]base!M:Q,5,0)</f>
        <v>52.125</v>
      </c>
      <c r="AD331" s="30">
        <f>+VLOOKUP(E331,[1]base!M:P,4,0)</f>
        <v>0.12883435582822086</v>
      </c>
      <c r="AE331" s="31">
        <f t="shared" si="41"/>
        <v>24.305521472392634</v>
      </c>
    </row>
    <row r="332" spans="1:31" x14ac:dyDescent="0.25">
      <c r="A332" s="12" t="s">
        <v>1153</v>
      </c>
      <c r="B332" s="13">
        <v>46267.412812499999</v>
      </c>
      <c r="C332" s="12" t="s">
        <v>522</v>
      </c>
      <c r="D332" s="12" t="s">
        <v>1014</v>
      </c>
      <c r="E332" s="26" t="str">
        <f t="shared" si="35"/>
        <v>FR110</v>
      </c>
      <c r="F332" s="27" t="str">
        <f t="shared" si="36"/>
        <v>DARK</v>
      </c>
      <c r="G332" s="27">
        <f>+VLOOKUP(F332,[1]base!A:B,2,0)</f>
        <v>38</v>
      </c>
      <c r="H332" s="12">
        <v>6</v>
      </c>
      <c r="I332" s="12">
        <v>6</v>
      </c>
      <c r="J332" s="14"/>
      <c r="K332" s="14" t="s">
        <v>61</v>
      </c>
      <c r="L332" s="12" t="s">
        <v>1170</v>
      </c>
      <c r="M332" s="12" t="s">
        <v>150</v>
      </c>
      <c r="N332" s="12">
        <v>6</v>
      </c>
      <c r="O332" s="12">
        <v>6</v>
      </c>
      <c r="P332" s="12">
        <v>0</v>
      </c>
      <c r="Q332" s="16">
        <v>6</v>
      </c>
      <c r="R332" s="16">
        <v>0</v>
      </c>
      <c r="S332" s="16"/>
      <c r="T332" s="28">
        <v>6</v>
      </c>
      <c r="U332" s="28"/>
      <c r="V332" s="29">
        <f>+VLOOKUP(E332,[1]base!D:K,8,0)</f>
        <v>1.7030000000000001</v>
      </c>
      <c r="W332" s="29">
        <f t="shared" si="37"/>
        <v>10.218</v>
      </c>
      <c r="X332" s="29">
        <f t="shared" si="38"/>
        <v>0.53133599999999992</v>
      </c>
      <c r="Y332" s="29">
        <f>+VLOOKUP(E332,[1]base!D:E,2,0)</f>
        <v>20</v>
      </c>
      <c r="Z332" s="29">
        <f t="shared" si="39"/>
        <v>1</v>
      </c>
      <c r="AA332" s="29">
        <f t="shared" si="40"/>
        <v>6.6666666666666693E-2</v>
      </c>
      <c r="AB332" s="29">
        <f>+VLOOKUP(E332,[1]base!M:N,2,0)</f>
        <v>142</v>
      </c>
      <c r="AC332" s="29">
        <f>+VLOOKUP(E332,[1]base!M:Q,5,0)</f>
        <v>52.125</v>
      </c>
      <c r="AD332" s="30">
        <f>+VLOOKUP(E332,[1]base!M:P,4,0)</f>
        <v>0.12883435582822086</v>
      </c>
      <c r="AE332" s="31">
        <f t="shared" si="41"/>
        <v>24.305521472392634</v>
      </c>
    </row>
    <row r="333" spans="1:31" x14ac:dyDescent="0.25">
      <c r="A333" s="12" t="s">
        <v>580</v>
      </c>
      <c r="B333" s="13">
        <v>46241.427754629629</v>
      </c>
      <c r="C333" s="12" t="s">
        <v>581</v>
      </c>
      <c r="D333" s="12" t="s">
        <v>582</v>
      </c>
      <c r="E333" s="26" t="str">
        <f t="shared" si="35"/>
        <v>FR111</v>
      </c>
      <c r="F333" s="27" t="str">
        <f t="shared" si="36"/>
        <v>NOIR</v>
      </c>
      <c r="G333" s="27">
        <f>+VLOOKUP(F333,[1]base!A:B,2,0)</f>
        <v>37</v>
      </c>
      <c r="H333" s="12">
        <v>10</v>
      </c>
      <c r="I333" s="12">
        <v>10</v>
      </c>
      <c r="J333" s="14"/>
      <c r="K333" s="14" t="s">
        <v>26</v>
      </c>
      <c r="L333" s="12" t="s">
        <v>583</v>
      </c>
      <c r="M333" s="12" t="s">
        <v>150</v>
      </c>
      <c r="N333" s="12">
        <v>3</v>
      </c>
      <c r="O333" s="12">
        <v>3</v>
      </c>
      <c r="P333" s="12">
        <v>0</v>
      </c>
      <c r="Q333" s="16">
        <v>0</v>
      </c>
      <c r="R333" s="16">
        <v>0</v>
      </c>
      <c r="S333" s="16">
        <v>7</v>
      </c>
      <c r="T333" s="28">
        <v>3</v>
      </c>
      <c r="U333" s="28"/>
      <c r="V333" s="29">
        <f>+VLOOKUP(E333,[1]base!D:K,8,0)</f>
        <v>1.7030000000000001</v>
      </c>
      <c r="W333" s="29">
        <f t="shared" si="37"/>
        <v>5.109</v>
      </c>
      <c r="X333" s="29">
        <f t="shared" si="38"/>
        <v>0.26566799999999996</v>
      </c>
      <c r="Y333" s="29">
        <f>+VLOOKUP(E333,[1]base!D:E,2,0)</f>
        <v>20</v>
      </c>
      <c r="Z333" s="29">
        <f t="shared" si="39"/>
        <v>1</v>
      </c>
      <c r="AA333" s="29">
        <f t="shared" si="40"/>
        <v>6.6666666666666693E-2</v>
      </c>
      <c r="AB333" s="29">
        <f>+VLOOKUP(E333,[1]base!M:N,2,0)</f>
        <v>5</v>
      </c>
      <c r="AC333" s="29">
        <f>+VLOOKUP(E333,[1]base!M:Q,5,0)</f>
        <v>341.625</v>
      </c>
      <c r="AD333" s="30">
        <f>+VLOOKUP(E333,[1]base!M:P,4,0)</f>
        <v>0.92753623188405798</v>
      </c>
      <c r="AE333" s="31">
        <f t="shared" si="41"/>
        <v>-3.13768115942029</v>
      </c>
    </row>
    <row r="334" spans="1:31" x14ac:dyDescent="0.25">
      <c r="A334" s="12" t="s">
        <v>1562</v>
      </c>
      <c r="B334" s="13">
        <v>46274.635497685187</v>
      </c>
      <c r="C334" s="12" t="s">
        <v>484</v>
      </c>
      <c r="D334" s="12" t="s">
        <v>582</v>
      </c>
      <c r="E334" s="26" t="str">
        <f t="shared" si="35"/>
        <v>FR111</v>
      </c>
      <c r="F334" s="27" t="str">
        <f t="shared" si="36"/>
        <v>NOIR</v>
      </c>
      <c r="G334" s="27">
        <f>+VLOOKUP(F334,[1]base!A:B,2,0)</f>
        <v>37</v>
      </c>
      <c r="H334" s="12">
        <v>10</v>
      </c>
      <c r="I334" s="12">
        <v>10</v>
      </c>
      <c r="J334" s="14"/>
      <c r="K334" s="14" t="s">
        <v>61</v>
      </c>
      <c r="L334" s="12" t="s">
        <v>1569</v>
      </c>
      <c r="M334" s="12" t="s">
        <v>150</v>
      </c>
      <c r="N334" s="12">
        <v>10</v>
      </c>
      <c r="O334" s="12">
        <v>10</v>
      </c>
      <c r="P334" s="12">
        <v>0</v>
      </c>
      <c r="Q334" s="16">
        <v>10</v>
      </c>
      <c r="R334" s="16">
        <v>0</v>
      </c>
      <c r="S334" s="16"/>
      <c r="T334" s="28">
        <v>10</v>
      </c>
      <c r="U334" s="28"/>
      <c r="V334" s="29">
        <f>+VLOOKUP(E334,[1]base!D:K,8,0)</f>
        <v>1.7030000000000001</v>
      </c>
      <c r="W334" s="29">
        <f t="shared" si="37"/>
        <v>17.03</v>
      </c>
      <c r="X334" s="29">
        <f t="shared" si="38"/>
        <v>0.88556000000000001</v>
      </c>
      <c r="Y334" s="29">
        <f>+VLOOKUP(E334,[1]base!D:E,2,0)</f>
        <v>20</v>
      </c>
      <c r="Z334" s="29">
        <f t="shared" si="39"/>
        <v>1</v>
      </c>
      <c r="AA334" s="29">
        <f t="shared" si="40"/>
        <v>6.6666666666666693E-2</v>
      </c>
      <c r="AB334" s="29">
        <f>+VLOOKUP(E334,[1]base!M:N,2,0)</f>
        <v>5</v>
      </c>
      <c r="AC334" s="29">
        <f>+VLOOKUP(E334,[1]base!M:Q,5,0)</f>
        <v>341.625</v>
      </c>
      <c r="AD334" s="30">
        <f>+VLOOKUP(E334,[1]base!M:P,4,0)</f>
        <v>0.92753623188405798</v>
      </c>
      <c r="AE334" s="31">
        <f t="shared" si="41"/>
        <v>-3.13768115942029</v>
      </c>
    </row>
    <row r="335" spans="1:31" x14ac:dyDescent="0.25">
      <c r="A335" s="12" t="s">
        <v>1123</v>
      </c>
      <c r="B335" s="13">
        <v>46267.314710648148</v>
      </c>
      <c r="C335" s="12" t="s">
        <v>24</v>
      </c>
      <c r="D335" s="12" t="s">
        <v>1126</v>
      </c>
      <c r="E335" s="26" t="str">
        <f t="shared" si="35"/>
        <v>FR111</v>
      </c>
      <c r="F335" s="27" t="str">
        <f t="shared" si="36"/>
        <v>DARK</v>
      </c>
      <c r="G335" s="27">
        <f>+VLOOKUP(F335,[1]base!A:B,2,0)</f>
        <v>38</v>
      </c>
      <c r="H335" s="12">
        <v>10</v>
      </c>
      <c r="I335" s="12">
        <v>10</v>
      </c>
      <c r="J335" s="14"/>
      <c r="K335" s="14" t="s">
        <v>61</v>
      </c>
      <c r="L335" s="12" t="s">
        <v>1134</v>
      </c>
      <c r="M335" s="12" t="s">
        <v>150</v>
      </c>
      <c r="N335" s="12">
        <v>10</v>
      </c>
      <c r="O335" s="12">
        <v>10</v>
      </c>
      <c r="P335" s="12">
        <v>0</v>
      </c>
      <c r="Q335" s="16">
        <v>10</v>
      </c>
      <c r="R335" s="16">
        <v>1</v>
      </c>
      <c r="S335" s="16"/>
      <c r="T335" s="28">
        <v>10</v>
      </c>
      <c r="U335" s="28"/>
      <c r="V335" s="29">
        <f>+VLOOKUP(E335,[1]base!D:K,8,0)</f>
        <v>1.7030000000000001</v>
      </c>
      <c r="W335" s="29">
        <f t="shared" si="37"/>
        <v>17.03</v>
      </c>
      <c r="X335" s="29">
        <f t="shared" si="38"/>
        <v>0.88556000000000001</v>
      </c>
      <c r="Y335" s="29">
        <f>+VLOOKUP(E335,[1]base!D:E,2,0)</f>
        <v>20</v>
      </c>
      <c r="Z335" s="29">
        <f t="shared" si="39"/>
        <v>1</v>
      </c>
      <c r="AA335" s="29">
        <f t="shared" si="40"/>
        <v>6.6666666666666693E-2</v>
      </c>
      <c r="AB335" s="29">
        <f>+VLOOKUP(E335,[1]base!M:N,2,0)</f>
        <v>5</v>
      </c>
      <c r="AC335" s="29">
        <f>+VLOOKUP(E335,[1]base!M:Q,5,0)</f>
        <v>341.625</v>
      </c>
      <c r="AD335" s="30">
        <f>+VLOOKUP(E335,[1]base!M:P,4,0)</f>
        <v>0.92753623188405798</v>
      </c>
      <c r="AE335" s="31">
        <f t="shared" si="41"/>
        <v>-3.13768115942029</v>
      </c>
    </row>
    <row r="336" spans="1:31" x14ac:dyDescent="0.25">
      <c r="A336" s="12"/>
      <c r="B336" s="13"/>
      <c r="C336" s="12"/>
      <c r="D336" s="12" t="s">
        <v>401</v>
      </c>
      <c r="E336" s="26" t="str">
        <f t="shared" si="35"/>
        <v>FR112</v>
      </c>
      <c r="F336" s="27" t="str">
        <f t="shared" si="36"/>
        <v>BLC</v>
      </c>
      <c r="G336" s="27">
        <f>+VLOOKUP(F336,[1]base!A:B,2,0)</f>
        <v>1</v>
      </c>
      <c r="H336" s="12">
        <v>12</v>
      </c>
      <c r="I336" s="12">
        <v>12</v>
      </c>
      <c r="J336" s="14"/>
      <c r="K336" s="14" t="s">
        <v>61</v>
      </c>
      <c r="L336" s="12" t="s">
        <v>27</v>
      </c>
      <c r="M336" s="12" t="s">
        <v>28</v>
      </c>
      <c r="N336" s="12"/>
      <c r="O336" s="12"/>
      <c r="P336" s="12"/>
      <c r="Q336" s="16">
        <v>8</v>
      </c>
      <c r="R336" s="16">
        <v>0</v>
      </c>
      <c r="S336" s="16"/>
      <c r="T336" s="33">
        <v>7</v>
      </c>
      <c r="U336" s="33"/>
      <c r="V336" s="29">
        <f>+VLOOKUP(E336,[1]base!D:K,8,0)</f>
        <v>4.5175000000000001</v>
      </c>
      <c r="W336" s="29">
        <f t="shared" si="37"/>
        <v>31.622500000000002</v>
      </c>
      <c r="X336" s="29">
        <f t="shared" si="38"/>
        <v>1.6443700000000001</v>
      </c>
      <c r="Y336" s="29">
        <f>+VLOOKUP(E336,[1]base!D:E,2,0)</f>
        <v>14</v>
      </c>
      <c r="Z336" s="29">
        <f t="shared" si="39"/>
        <v>1</v>
      </c>
      <c r="AA336" s="29">
        <f t="shared" si="40"/>
        <v>6.6666666666666693E-2</v>
      </c>
      <c r="AB336" s="29">
        <f>+VLOOKUP(E336,[1]base!M:N,2,0)</f>
        <v>7</v>
      </c>
      <c r="AC336" s="29">
        <f>+VLOOKUP(E336,[1]base!M:Q,5,0)</f>
        <v>110.9</v>
      </c>
      <c r="AD336" s="30">
        <f>+VLOOKUP(E336,[1]base!M:P,4,0)</f>
        <v>0.70833333333333337</v>
      </c>
      <c r="AE336" s="31">
        <f t="shared" si="41"/>
        <v>-2.8583333333333338</v>
      </c>
    </row>
    <row r="337" spans="1:31" x14ac:dyDescent="0.25">
      <c r="A337" s="12" t="s">
        <v>1082</v>
      </c>
      <c r="B337" s="13">
        <v>46266.490532407406</v>
      </c>
      <c r="C337" s="12" t="s">
        <v>505</v>
      </c>
      <c r="D337" s="12" t="s">
        <v>1090</v>
      </c>
      <c r="E337" s="26" t="str">
        <f t="shared" si="35"/>
        <v>FR112</v>
      </c>
      <c r="F337" s="27" t="str">
        <f t="shared" si="36"/>
        <v>ACAJOU</v>
      </c>
      <c r="G337" s="27">
        <f>+VLOOKUP(F337,[1]base!A:B,2,0)</f>
        <v>15.1</v>
      </c>
      <c r="H337" s="12">
        <v>8</v>
      </c>
      <c r="I337" s="12">
        <v>8</v>
      </c>
      <c r="J337" s="14"/>
      <c r="K337" s="14" t="s">
        <v>61</v>
      </c>
      <c r="L337" s="12" t="s">
        <v>1093</v>
      </c>
      <c r="M337" s="12" t="s">
        <v>150</v>
      </c>
      <c r="N337" s="12">
        <v>8</v>
      </c>
      <c r="O337" s="12">
        <v>8</v>
      </c>
      <c r="P337" s="12">
        <v>0</v>
      </c>
      <c r="Q337" s="16">
        <v>24</v>
      </c>
      <c r="R337" s="16">
        <v>0</v>
      </c>
      <c r="S337" s="16"/>
      <c r="T337" s="28">
        <v>8</v>
      </c>
      <c r="U337" s="28"/>
      <c r="V337" s="29">
        <f>+VLOOKUP(E337,[1]base!D:K,8,0)</f>
        <v>4.5175000000000001</v>
      </c>
      <c r="W337" s="29">
        <f t="shared" si="37"/>
        <v>36.14</v>
      </c>
      <c r="X337" s="29">
        <f t="shared" si="38"/>
        <v>1.8792799999999998</v>
      </c>
      <c r="Y337" s="29">
        <f>+VLOOKUP(E337,[1]base!D:E,2,0)</f>
        <v>14</v>
      </c>
      <c r="Z337" s="29">
        <f t="shared" si="39"/>
        <v>1</v>
      </c>
      <c r="AA337" s="29">
        <f t="shared" si="40"/>
        <v>6.6666666666666693E-2</v>
      </c>
      <c r="AB337" s="29">
        <f>+VLOOKUP(E337,[1]base!M:N,2,0)</f>
        <v>7</v>
      </c>
      <c r="AC337" s="29">
        <f>+VLOOKUP(E337,[1]base!M:Q,5,0)</f>
        <v>110.9</v>
      </c>
      <c r="AD337" s="30">
        <f>+VLOOKUP(E337,[1]base!M:P,4,0)</f>
        <v>0.70833333333333337</v>
      </c>
      <c r="AE337" s="31">
        <f t="shared" si="41"/>
        <v>-2.8583333333333338</v>
      </c>
    </row>
    <row r="338" spans="1:31" x14ac:dyDescent="0.25">
      <c r="A338" s="12" t="s">
        <v>1242</v>
      </c>
      <c r="B338" s="13">
        <v>46268.574895833335</v>
      </c>
      <c r="C338" s="12" t="s">
        <v>368</v>
      </c>
      <c r="D338" s="12" t="s">
        <v>1090</v>
      </c>
      <c r="E338" s="26" t="str">
        <f t="shared" si="35"/>
        <v>FR112</v>
      </c>
      <c r="F338" s="27" t="str">
        <f t="shared" si="36"/>
        <v>ACAJOU</v>
      </c>
      <c r="G338" s="27">
        <f>+VLOOKUP(F338,[1]base!A:B,2,0)</f>
        <v>15.1</v>
      </c>
      <c r="H338" s="12">
        <v>4</v>
      </c>
      <c r="I338" s="12">
        <v>4</v>
      </c>
      <c r="J338" s="14"/>
      <c r="K338" s="14" t="s">
        <v>61</v>
      </c>
      <c r="L338" s="12" t="s">
        <v>1251</v>
      </c>
      <c r="M338" s="12" t="s">
        <v>150</v>
      </c>
      <c r="N338" s="12">
        <v>4</v>
      </c>
      <c r="O338" s="12">
        <v>4</v>
      </c>
      <c r="P338" s="12">
        <v>0</v>
      </c>
      <c r="Q338" s="16">
        <v>4</v>
      </c>
      <c r="R338" s="16">
        <v>0</v>
      </c>
      <c r="S338" s="16"/>
      <c r="T338" s="28">
        <v>4</v>
      </c>
      <c r="U338" s="28"/>
      <c r="V338" s="29">
        <f>+VLOOKUP(E338,[1]base!D:K,8,0)</f>
        <v>4.5175000000000001</v>
      </c>
      <c r="W338" s="29">
        <f t="shared" si="37"/>
        <v>18.07</v>
      </c>
      <c r="X338" s="29">
        <f t="shared" si="38"/>
        <v>0.93963999999999992</v>
      </c>
      <c r="Y338" s="29">
        <f>+VLOOKUP(E338,[1]base!D:E,2,0)</f>
        <v>14</v>
      </c>
      <c r="Z338" s="29">
        <f t="shared" si="39"/>
        <v>1</v>
      </c>
      <c r="AA338" s="29">
        <f t="shared" si="40"/>
        <v>6.6666666666666693E-2</v>
      </c>
      <c r="AB338" s="29">
        <f>+VLOOKUP(E338,[1]base!M:N,2,0)</f>
        <v>7</v>
      </c>
      <c r="AC338" s="29">
        <f>+VLOOKUP(E338,[1]base!M:Q,5,0)</f>
        <v>110.9</v>
      </c>
      <c r="AD338" s="30">
        <f>+VLOOKUP(E338,[1]base!M:P,4,0)</f>
        <v>0.70833333333333337</v>
      </c>
      <c r="AE338" s="31">
        <f t="shared" si="41"/>
        <v>-2.8583333333333338</v>
      </c>
    </row>
    <row r="339" spans="1:31" x14ac:dyDescent="0.25">
      <c r="A339" s="12" t="s">
        <v>1161</v>
      </c>
      <c r="B339" s="13">
        <v>46267.415729166663</v>
      </c>
      <c r="C339" s="12" t="s">
        <v>661</v>
      </c>
      <c r="D339" s="12" t="s">
        <v>1165</v>
      </c>
      <c r="E339" s="26" t="str">
        <f t="shared" si="35"/>
        <v>FR112</v>
      </c>
      <c r="F339" s="27" t="str">
        <f t="shared" si="36"/>
        <v>GRIS</v>
      </c>
      <c r="G339" s="27">
        <f>+VLOOKUP(F339,[1]base!A:B,2,0)</f>
        <v>22</v>
      </c>
      <c r="H339" s="12">
        <v>1</v>
      </c>
      <c r="I339" s="12">
        <v>1</v>
      </c>
      <c r="J339" s="14"/>
      <c r="K339" s="14" t="s">
        <v>61</v>
      </c>
      <c r="L339" s="12" t="s">
        <v>1176</v>
      </c>
      <c r="M339" s="12" t="s">
        <v>150</v>
      </c>
      <c r="N339" s="12">
        <v>1</v>
      </c>
      <c r="O339" s="12">
        <v>1</v>
      </c>
      <c r="P339" s="12">
        <v>0</v>
      </c>
      <c r="Q339" s="16">
        <v>1</v>
      </c>
      <c r="R339" s="16">
        <v>0</v>
      </c>
      <c r="S339" s="16"/>
      <c r="T339" s="28">
        <v>1</v>
      </c>
      <c r="U339" s="28"/>
      <c r="V339" s="29">
        <f>+VLOOKUP(E339,[1]base!D:K,8,0)</f>
        <v>4.5175000000000001</v>
      </c>
      <c r="W339" s="29">
        <f t="shared" si="37"/>
        <v>4.5175000000000001</v>
      </c>
      <c r="X339" s="29">
        <f t="shared" si="38"/>
        <v>0.23490999999999998</v>
      </c>
      <c r="Y339" s="29">
        <f>+VLOOKUP(E339,[1]base!D:E,2,0)</f>
        <v>14</v>
      </c>
      <c r="Z339" s="29">
        <f t="shared" si="39"/>
        <v>1</v>
      </c>
      <c r="AA339" s="29">
        <f t="shared" si="40"/>
        <v>6.6666666666666693E-2</v>
      </c>
      <c r="AB339" s="29">
        <f>+VLOOKUP(E339,[1]base!M:N,2,0)</f>
        <v>7</v>
      </c>
      <c r="AC339" s="29">
        <f>+VLOOKUP(E339,[1]base!M:Q,5,0)</f>
        <v>110.9</v>
      </c>
      <c r="AD339" s="30">
        <f>+VLOOKUP(E339,[1]base!M:P,4,0)</f>
        <v>0.70833333333333337</v>
      </c>
      <c r="AE339" s="31">
        <f t="shared" si="41"/>
        <v>-2.8583333333333338</v>
      </c>
    </row>
    <row r="340" spans="1:31" x14ac:dyDescent="0.25">
      <c r="A340" s="12" t="s">
        <v>1218</v>
      </c>
      <c r="B340" s="13">
        <v>46268.354953703703</v>
      </c>
      <c r="C340" s="12" t="s">
        <v>24</v>
      </c>
      <c r="D340" s="12" t="s">
        <v>1165</v>
      </c>
      <c r="E340" s="26" t="str">
        <f t="shared" si="35"/>
        <v>FR112</v>
      </c>
      <c r="F340" s="27" t="str">
        <f t="shared" si="36"/>
        <v>GRIS</v>
      </c>
      <c r="G340" s="27">
        <f>+VLOOKUP(F340,[1]base!A:B,2,0)</f>
        <v>22</v>
      </c>
      <c r="H340" s="12">
        <v>1</v>
      </c>
      <c r="I340" s="12">
        <v>1</v>
      </c>
      <c r="J340" s="14"/>
      <c r="K340" s="14" t="s">
        <v>61</v>
      </c>
      <c r="L340" s="12" t="s">
        <v>1224</v>
      </c>
      <c r="M340" s="12" t="s">
        <v>150</v>
      </c>
      <c r="N340" s="12">
        <v>1</v>
      </c>
      <c r="O340" s="12">
        <v>1</v>
      </c>
      <c r="P340" s="12">
        <v>0</v>
      </c>
      <c r="Q340" s="16">
        <v>1</v>
      </c>
      <c r="R340" s="16">
        <v>0</v>
      </c>
      <c r="S340" s="16"/>
      <c r="T340" s="28">
        <v>1</v>
      </c>
      <c r="U340" s="28"/>
      <c r="V340" s="29">
        <f>+VLOOKUP(E340,[1]base!D:K,8,0)</f>
        <v>4.5175000000000001</v>
      </c>
      <c r="W340" s="29">
        <f t="shared" si="37"/>
        <v>4.5175000000000001</v>
      </c>
      <c r="X340" s="29">
        <f t="shared" si="38"/>
        <v>0.23490999999999998</v>
      </c>
      <c r="Y340" s="29">
        <f>+VLOOKUP(E340,[1]base!D:E,2,0)</f>
        <v>14</v>
      </c>
      <c r="Z340" s="29">
        <f t="shared" si="39"/>
        <v>1</v>
      </c>
      <c r="AA340" s="29">
        <f t="shared" si="40"/>
        <v>6.6666666666666693E-2</v>
      </c>
      <c r="AB340" s="29">
        <f>+VLOOKUP(E340,[1]base!M:N,2,0)</f>
        <v>7</v>
      </c>
      <c r="AC340" s="29">
        <f>+VLOOKUP(E340,[1]base!M:Q,5,0)</f>
        <v>110.9</v>
      </c>
      <c r="AD340" s="30">
        <f>+VLOOKUP(E340,[1]base!M:P,4,0)</f>
        <v>0.70833333333333337</v>
      </c>
      <c r="AE340" s="31">
        <f t="shared" si="41"/>
        <v>-2.8583333333333338</v>
      </c>
    </row>
    <row r="341" spans="1:31" x14ac:dyDescent="0.25">
      <c r="A341" s="12" t="s">
        <v>732</v>
      </c>
      <c r="B341" s="13">
        <v>46256.374837962961</v>
      </c>
      <c r="C341" s="12" t="s">
        <v>258</v>
      </c>
      <c r="D341" s="12" t="s">
        <v>735</v>
      </c>
      <c r="E341" s="26" t="str">
        <f t="shared" si="35"/>
        <v>FR112</v>
      </c>
      <c r="F341" s="27" t="str">
        <f t="shared" si="36"/>
        <v>NOIR</v>
      </c>
      <c r="G341" s="27">
        <f>+VLOOKUP(F341,[1]base!A:B,2,0)</f>
        <v>37</v>
      </c>
      <c r="H341" s="12">
        <v>1</v>
      </c>
      <c r="I341" s="12">
        <v>1</v>
      </c>
      <c r="J341" s="14"/>
      <c r="K341" s="14" t="s">
        <v>61</v>
      </c>
      <c r="L341" s="12" t="s">
        <v>741</v>
      </c>
      <c r="M341" s="12" t="s">
        <v>150</v>
      </c>
      <c r="N341" s="12">
        <v>1</v>
      </c>
      <c r="O341" s="12">
        <v>1</v>
      </c>
      <c r="P341" s="12">
        <v>0</v>
      </c>
      <c r="Q341" s="16">
        <v>1</v>
      </c>
      <c r="R341" s="16">
        <v>0</v>
      </c>
      <c r="S341" s="16"/>
      <c r="T341" s="28">
        <v>1</v>
      </c>
      <c r="U341" s="28"/>
      <c r="V341" s="29">
        <f>+VLOOKUP(E341,[1]base!D:K,8,0)</f>
        <v>4.5175000000000001</v>
      </c>
      <c r="W341" s="29">
        <f t="shared" si="37"/>
        <v>4.5175000000000001</v>
      </c>
      <c r="X341" s="29">
        <f t="shared" si="38"/>
        <v>0.23490999999999998</v>
      </c>
      <c r="Y341" s="29">
        <f>+VLOOKUP(E341,[1]base!D:E,2,0)</f>
        <v>14</v>
      </c>
      <c r="Z341" s="29">
        <f t="shared" si="39"/>
        <v>1</v>
      </c>
      <c r="AA341" s="29">
        <f t="shared" si="40"/>
        <v>6.6666666666666693E-2</v>
      </c>
      <c r="AB341" s="29">
        <f>+VLOOKUP(E341,[1]base!M:N,2,0)</f>
        <v>7</v>
      </c>
      <c r="AC341" s="29">
        <f>+VLOOKUP(E341,[1]base!M:Q,5,0)</f>
        <v>110.9</v>
      </c>
      <c r="AD341" s="30">
        <f>+VLOOKUP(E341,[1]base!M:P,4,0)</f>
        <v>0.70833333333333337</v>
      </c>
      <c r="AE341" s="31">
        <f t="shared" si="41"/>
        <v>-2.8583333333333338</v>
      </c>
    </row>
    <row r="342" spans="1:31" x14ac:dyDescent="0.25">
      <c r="A342" s="12" t="s">
        <v>777</v>
      </c>
      <c r="B342" s="13">
        <v>46258.578530092593</v>
      </c>
      <c r="C342" s="12" t="s">
        <v>778</v>
      </c>
      <c r="D342" s="12" t="s">
        <v>735</v>
      </c>
      <c r="E342" s="26" t="str">
        <f t="shared" si="35"/>
        <v>FR112</v>
      </c>
      <c r="F342" s="27" t="str">
        <f t="shared" si="36"/>
        <v>NOIR</v>
      </c>
      <c r="G342" s="27">
        <f>+VLOOKUP(F342,[1]base!A:B,2,0)</f>
        <v>37</v>
      </c>
      <c r="H342" s="12">
        <v>6</v>
      </c>
      <c r="I342" s="12">
        <v>6</v>
      </c>
      <c r="J342" s="14"/>
      <c r="K342" s="14" t="s">
        <v>61</v>
      </c>
      <c r="L342" s="12" t="s">
        <v>783</v>
      </c>
      <c r="M342" s="12" t="s">
        <v>150</v>
      </c>
      <c r="N342" s="12">
        <v>6</v>
      </c>
      <c r="O342" s="12">
        <v>6</v>
      </c>
      <c r="P342" s="12">
        <v>0</v>
      </c>
      <c r="Q342" s="16">
        <v>6</v>
      </c>
      <c r="R342" s="16">
        <v>0</v>
      </c>
      <c r="S342" s="16"/>
      <c r="T342" s="28">
        <v>6</v>
      </c>
      <c r="U342" s="28"/>
      <c r="V342" s="29">
        <f>+VLOOKUP(E342,[1]base!D:K,8,0)</f>
        <v>4.5175000000000001</v>
      </c>
      <c r="W342" s="29">
        <f t="shared" si="37"/>
        <v>27.105</v>
      </c>
      <c r="X342" s="29">
        <f t="shared" si="38"/>
        <v>1.4094599999999999</v>
      </c>
      <c r="Y342" s="29">
        <f>+VLOOKUP(E342,[1]base!D:E,2,0)</f>
        <v>14</v>
      </c>
      <c r="Z342" s="29">
        <f t="shared" si="39"/>
        <v>1</v>
      </c>
      <c r="AA342" s="29">
        <f t="shared" si="40"/>
        <v>6.6666666666666693E-2</v>
      </c>
      <c r="AB342" s="29">
        <f>+VLOOKUP(E342,[1]base!M:N,2,0)</f>
        <v>7</v>
      </c>
      <c r="AC342" s="29">
        <f>+VLOOKUP(E342,[1]base!M:Q,5,0)</f>
        <v>110.9</v>
      </c>
      <c r="AD342" s="30">
        <f>+VLOOKUP(E342,[1]base!M:P,4,0)</f>
        <v>0.70833333333333337</v>
      </c>
      <c r="AE342" s="31">
        <f t="shared" si="41"/>
        <v>-2.8583333333333338</v>
      </c>
    </row>
    <row r="343" spans="1:31" x14ac:dyDescent="0.25">
      <c r="A343" s="12" t="s">
        <v>837</v>
      </c>
      <c r="B343" s="13">
        <v>46260.566678240742</v>
      </c>
      <c r="C343" s="12" t="s">
        <v>522</v>
      </c>
      <c r="D343" s="12" t="s">
        <v>735</v>
      </c>
      <c r="E343" s="26" t="str">
        <f t="shared" si="35"/>
        <v>FR112</v>
      </c>
      <c r="F343" s="27" t="str">
        <f t="shared" si="36"/>
        <v>NOIR</v>
      </c>
      <c r="G343" s="27">
        <f>+VLOOKUP(F343,[1]base!A:B,2,0)</f>
        <v>37</v>
      </c>
      <c r="H343" s="12">
        <v>8</v>
      </c>
      <c r="I343" s="12">
        <v>8</v>
      </c>
      <c r="J343" s="14"/>
      <c r="K343" s="14" t="s">
        <v>61</v>
      </c>
      <c r="L343" s="12" t="s">
        <v>841</v>
      </c>
      <c r="M343" s="12" t="s">
        <v>150</v>
      </c>
      <c r="N343" s="12">
        <v>8</v>
      </c>
      <c r="O343" s="12">
        <v>8</v>
      </c>
      <c r="P343" s="12">
        <v>0</v>
      </c>
      <c r="Q343" s="16">
        <v>8</v>
      </c>
      <c r="R343" s="16">
        <v>0</v>
      </c>
      <c r="S343" s="16"/>
      <c r="T343" s="28">
        <v>8</v>
      </c>
      <c r="U343" s="28"/>
      <c r="V343" s="29">
        <f>+VLOOKUP(E343,[1]base!D:K,8,0)</f>
        <v>4.5175000000000001</v>
      </c>
      <c r="W343" s="29">
        <f t="shared" si="37"/>
        <v>36.14</v>
      </c>
      <c r="X343" s="29">
        <f t="shared" si="38"/>
        <v>1.8792799999999998</v>
      </c>
      <c r="Y343" s="29">
        <f>+VLOOKUP(E343,[1]base!D:E,2,0)</f>
        <v>14</v>
      </c>
      <c r="Z343" s="29">
        <f t="shared" si="39"/>
        <v>1</v>
      </c>
      <c r="AA343" s="29">
        <f t="shared" si="40"/>
        <v>6.6666666666666693E-2</v>
      </c>
      <c r="AB343" s="29">
        <f>+VLOOKUP(E343,[1]base!M:N,2,0)</f>
        <v>7</v>
      </c>
      <c r="AC343" s="29">
        <f>+VLOOKUP(E343,[1]base!M:Q,5,0)</f>
        <v>110.9</v>
      </c>
      <c r="AD343" s="30">
        <f>+VLOOKUP(E343,[1]base!M:P,4,0)</f>
        <v>0.70833333333333337</v>
      </c>
      <c r="AE343" s="31">
        <f t="shared" si="41"/>
        <v>-2.8583333333333338</v>
      </c>
    </row>
    <row r="344" spans="1:31" x14ac:dyDescent="0.25">
      <c r="A344" s="12" t="s">
        <v>1230</v>
      </c>
      <c r="B344" s="13">
        <v>46268.418807870374</v>
      </c>
      <c r="C344" s="12" t="s">
        <v>345</v>
      </c>
      <c r="D344" s="12" t="s">
        <v>735</v>
      </c>
      <c r="E344" s="26" t="str">
        <f t="shared" si="35"/>
        <v>FR112</v>
      </c>
      <c r="F344" s="27" t="str">
        <f t="shared" si="36"/>
        <v>NOIR</v>
      </c>
      <c r="G344" s="27">
        <f>+VLOOKUP(F344,[1]base!A:B,2,0)</f>
        <v>37</v>
      </c>
      <c r="H344" s="12">
        <v>12</v>
      </c>
      <c r="I344" s="12">
        <v>12</v>
      </c>
      <c r="J344" s="14"/>
      <c r="K344" s="14" t="s">
        <v>61</v>
      </c>
      <c r="L344" s="12" t="s">
        <v>1236</v>
      </c>
      <c r="M344" s="12" t="s">
        <v>150</v>
      </c>
      <c r="N344" s="12">
        <v>12</v>
      </c>
      <c r="O344" s="12">
        <v>12</v>
      </c>
      <c r="P344" s="12">
        <v>0</v>
      </c>
      <c r="Q344" s="16">
        <v>12</v>
      </c>
      <c r="R344" s="16">
        <v>0</v>
      </c>
      <c r="S344" s="16"/>
      <c r="T344" s="28">
        <v>12</v>
      </c>
      <c r="U344" s="28"/>
      <c r="V344" s="29">
        <f>+VLOOKUP(E344,[1]base!D:K,8,0)</f>
        <v>4.5175000000000001</v>
      </c>
      <c r="W344" s="29">
        <f t="shared" si="37"/>
        <v>54.21</v>
      </c>
      <c r="X344" s="29">
        <f t="shared" si="38"/>
        <v>2.8189199999999999</v>
      </c>
      <c r="Y344" s="29">
        <f>+VLOOKUP(E344,[1]base!D:E,2,0)</f>
        <v>14</v>
      </c>
      <c r="Z344" s="29">
        <f t="shared" si="39"/>
        <v>1</v>
      </c>
      <c r="AA344" s="29">
        <f t="shared" si="40"/>
        <v>6.6666666666666693E-2</v>
      </c>
      <c r="AB344" s="29">
        <f>+VLOOKUP(E344,[1]base!M:N,2,0)</f>
        <v>7</v>
      </c>
      <c r="AC344" s="29">
        <f>+VLOOKUP(E344,[1]base!M:Q,5,0)</f>
        <v>110.9</v>
      </c>
      <c r="AD344" s="30">
        <f>+VLOOKUP(E344,[1]base!M:P,4,0)</f>
        <v>0.70833333333333337</v>
      </c>
      <c r="AE344" s="31">
        <f t="shared" si="41"/>
        <v>-2.8583333333333338</v>
      </c>
    </row>
    <row r="345" spans="1:31" x14ac:dyDescent="0.25">
      <c r="A345" s="12" t="s">
        <v>1263</v>
      </c>
      <c r="B345" s="13">
        <v>46268.598738425928</v>
      </c>
      <c r="C345" s="12" t="s">
        <v>522</v>
      </c>
      <c r="D345" s="12" t="s">
        <v>735</v>
      </c>
      <c r="E345" s="26" t="str">
        <f t="shared" si="35"/>
        <v>FR112</v>
      </c>
      <c r="F345" s="27" t="str">
        <f t="shared" si="36"/>
        <v>NOIR</v>
      </c>
      <c r="G345" s="27">
        <f>+VLOOKUP(F345,[1]base!A:B,2,0)</f>
        <v>37</v>
      </c>
      <c r="H345" s="12">
        <v>12</v>
      </c>
      <c r="I345" s="12">
        <v>12</v>
      </c>
      <c r="J345" s="14"/>
      <c r="K345" s="14" t="s">
        <v>61</v>
      </c>
      <c r="L345" s="12" t="s">
        <v>1278</v>
      </c>
      <c r="M345" s="12" t="s">
        <v>150</v>
      </c>
      <c r="N345" s="12">
        <v>12</v>
      </c>
      <c r="O345" s="12">
        <v>12</v>
      </c>
      <c r="P345" s="12">
        <v>0</v>
      </c>
      <c r="Q345" s="16">
        <v>12</v>
      </c>
      <c r="R345" s="16">
        <v>0</v>
      </c>
      <c r="S345" s="16"/>
      <c r="T345" s="28">
        <v>12</v>
      </c>
      <c r="U345" s="28"/>
      <c r="V345" s="29">
        <f>+VLOOKUP(E345,[1]base!D:K,8,0)</f>
        <v>4.5175000000000001</v>
      </c>
      <c r="W345" s="29">
        <f t="shared" si="37"/>
        <v>54.21</v>
      </c>
      <c r="X345" s="29">
        <f t="shared" si="38"/>
        <v>2.8189199999999999</v>
      </c>
      <c r="Y345" s="29">
        <f>+VLOOKUP(E345,[1]base!D:E,2,0)</f>
        <v>14</v>
      </c>
      <c r="Z345" s="29">
        <f t="shared" si="39"/>
        <v>1</v>
      </c>
      <c r="AA345" s="29">
        <f t="shared" si="40"/>
        <v>6.6666666666666693E-2</v>
      </c>
      <c r="AB345" s="29">
        <f>+VLOOKUP(E345,[1]base!M:N,2,0)</f>
        <v>7</v>
      </c>
      <c r="AC345" s="29">
        <f>+VLOOKUP(E345,[1]base!M:Q,5,0)</f>
        <v>110.9</v>
      </c>
      <c r="AD345" s="30">
        <f>+VLOOKUP(E345,[1]base!M:P,4,0)</f>
        <v>0.70833333333333337</v>
      </c>
      <c r="AE345" s="31">
        <f t="shared" si="41"/>
        <v>-2.8583333333333338</v>
      </c>
    </row>
    <row r="346" spans="1:31" x14ac:dyDescent="0.25">
      <c r="A346" s="12" t="s">
        <v>963</v>
      </c>
      <c r="B346" s="13">
        <v>46265.30091435185</v>
      </c>
      <c r="C346" s="12" t="s">
        <v>484</v>
      </c>
      <c r="D346" s="12" t="s">
        <v>967</v>
      </c>
      <c r="E346" s="26" t="str">
        <f t="shared" si="35"/>
        <v>FR112</v>
      </c>
      <c r="F346" s="27" t="str">
        <f t="shared" si="36"/>
        <v>DARK</v>
      </c>
      <c r="G346" s="27">
        <f>+VLOOKUP(F346,[1]base!A:B,2,0)</f>
        <v>38</v>
      </c>
      <c r="H346" s="12">
        <v>1</v>
      </c>
      <c r="I346" s="12">
        <v>1</v>
      </c>
      <c r="J346" s="14"/>
      <c r="K346" s="14" t="s">
        <v>61</v>
      </c>
      <c r="L346" s="12" t="s">
        <v>973</v>
      </c>
      <c r="M346" s="12" t="s">
        <v>150</v>
      </c>
      <c r="N346" s="12">
        <v>1</v>
      </c>
      <c r="O346" s="12">
        <v>1</v>
      </c>
      <c r="P346" s="12">
        <v>0</v>
      </c>
      <c r="Q346" s="16">
        <v>1</v>
      </c>
      <c r="R346" s="16">
        <v>0</v>
      </c>
      <c r="S346" s="16"/>
      <c r="T346" s="28">
        <v>1</v>
      </c>
      <c r="U346" s="28"/>
      <c r="V346" s="29">
        <f>+VLOOKUP(E346,[1]base!D:K,8,0)</f>
        <v>4.5175000000000001</v>
      </c>
      <c r="W346" s="29">
        <f t="shared" si="37"/>
        <v>4.5175000000000001</v>
      </c>
      <c r="X346" s="29">
        <f t="shared" si="38"/>
        <v>0.23490999999999998</v>
      </c>
      <c r="Y346" s="29">
        <f>+VLOOKUP(E346,[1]base!D:E,2,0)</f>
        <v>14</v>
      </c>
      <c r="Z346" s="29">
        <f t="shared" si="39"/>
        <v>1</v>
      </c>
      <c r="AA346" s="29">
        <f t="shared" si="40"/>
        <v>6.6666666666666693E-2</v>
      </c>
      <c r="AB346" s="29">
        <f>+VLOOKUP(E346,[1]base!M:N,2,0)</f>
        <v>7</v>
      </c>
      <c r="AC346" s="29">
        <f>+VLOOKUP(E346,[1]base!M:Q,5,0)</f>
        <v>110.9</v>
      </c>
      <c r="AD346" s="30">
        <f>+VLOOKUP(E346,[1]base!M:P,4,0)</f>
        <v>0.70833333333333337</v>
      </c>
      <c r="AE346" s="31">
        <f t="shared" si="41"/>
        <v>-2.8583333333333338</v>
      </c>
    </row>
    <row r="347" spans="1:31" x14ac:dyDescent="0.25">
      <c r="A347" s="12" t="s">
        <v>1123</v>
      </c>
      <c r="B347" s="13">
        <v>46267.314710648148</v>
      </c>
      <c r="C347" s="12" t="s">
        <v>24</v>
      </c>
      <c r="D347" s="12" t="s">
        <v>967</v>
      </c>
      <c r="E347" s="26" t="str">
        <f t="shared" si="35"/>
        <v>FR112</v>
      </c>
      <c r="F347" s="27" t="str">
        <f t="shared" si="36"/>
        <v>DARK</v>
      </c>
      <c r="G347" s="27">
        <f>+VLOOKUP(F347,[1]base!A:B,2,0)</f>
        <v>38</v>
      </c>
      <c r="H347" s="12">
        <v>3</v>
      </c>
      <c r="I347" s="12">
        <v>3</v>
      </c>
      <c r="J347" s="14"/>
      <c r="K347" s="14" t="s">
        <v>61</v>
      </c>
      <c r="L347" s="12" t="s">
        <v>1138</v>
      </c>
      <c r="M347" s="12" t="s">
        <v>150</v>
      </c>
      <c r="N347" s="12">
        <v>3</v>
      </c>
      <c r="O347" s="12">
        <v>3</v>
      </c>
      <c r="P347" s="12">
        <v>0</v>
      </c>
      <c r="Q347" s="16">
        <v>3</v>
      </c>
      <c r="R347" s="16">
        <v>0</v>
      </c>
      <c r="S347" s="16"/>
      <c r="T347" s="28">
        <v>3</v>
      </c>
      <c r="U347" s="28"/>
      <c r="V347" s="29">
        <f>+VLOOKUP(E347,[1]base!D:K,8,0)</f>
        <v>4.5175000000000001</v>
      </c>
      <c r="W347" s="29">
        <f t="shared" si="37"/>
        <v>13.5525</v>
      </c>
      <c r="X347" s="29">
        <f t="shared" si="38"/>
        <v>0.70472999999999997</v>
      </c>
      <c r="Y347" s="29">
        <f>+VLOOKUP(E347,[1]base!D:E,2,0)</f>
        <v>14</v>
      </c>
      <c r="Z347" s="29">
        <f t="shared" si="39"/>
        <v>1</v>
      </c>
      <c r="AA347" s="29">
        <f t="shared" si="40"/>
        <v>6.6666666666666693E-2</v>
      </c>
      <c r="AB347" s="29">
        <f>+VLOOKUP(E347,[1]base!M:N,2,0)</f>
        <v>7</v>
      </c>
      <c r="AC347" s="29">
        <f>+VLOOKUP(E347,[1]base!M:Q,5,0)</f>
        <v>110.9</v>
      </c>
      <c r="AD347" s="30">
        <f>+VLOOKUP(E347,[1]base!M:P,4,0)</f>
        <v>0.70833333333333337</v>
      </c>
      <c r="AE347" s="31">
        <f t="shared" si="41"/>
        <v>-2.8583333333333338</v>
      </c>
    </row>
    <row r="348" spans="1:31" x14ac:dyDescent="0.25">
      <c r="A348" s="12" t="s">
        <v>1153</v>
      </c>
      <c r="B348" s="13">
        <v>46267.412812499999</v>
      </c>
      <c r="C348" s="12" t="s">
        <v>522</v>
      </c>
      <c r="D348" s="12" t="s">
        <v>967</v>
      </c>
      <c r="E348" s="26" t="str">
        <f t="shared" si="35"/>
        <v>FR112</v>
      </c>
      <c r="F348" s="27" t="str">
        <f t="shared" si="36"/>
        <v>DARK</v>
      </c>
      <c r="G348" s="27">
        <f>+VLOOKUP(F348,[1]base!A:B,2,0)</f>
        <v>38</v>
      </c>
      <c r="H348" s="12">
        <v>1</v>
      </c>
      <c r="I348" s="12">
        <v>1</v>
      </c>
      <c r="J348" s="14"/>
      <c r="K348" s="14" t="s">
        <v>26</v>
      </c>
      <c r="L348" s="12" t="s">
        <v>1171</v>
      </c>
      <c r="M348" s="12" t="s">
        <v>150</v>
      </c>
      <c r="N348" s="12">
        <v>1</v>
      </c>
      <c r="O348" s="12">
        <v>1</v>
      </c>
      <c r="P348" s="12">
        <v>0</v>
      </c>
      <c r="Q348" s="16">
        <v>0</v>
      </c>
      <c r="R348" s="16">
        <v>0</v>
      </c>
      <c r="S348" s="16"/>
      <c r="T348" s="28">
        <v>1</v>
      </c>
      <c r="U348" s="28"/>
      <c r="V348" s="29">
        <f>+VLOOKUP(E348,[1]base!D:K,8,0)</f>
        <v>4.5175000000000001</v>
      </c>
      <c r="W348" s="29">
        <f t="shared" si="37"/>
        <v>4.5175000000000001</v>
      </c>
      <c r="X348" s="29">
        <f t="shared" si="38"/>
        <v>0.23490999999999998</v>
      </c>
      <c r="Y348" s="29">
        <f>+VLOOKUP(E348,[1]base!D:E,2,0)</f>
        <v>14</v>
      </c>
      <c r="Z348" s="29">
        <f t="shared" si="39"/>
        <v>1</v>
      </c>
      <c r="AA348" s="29">
        <f t="shared" si="40"/>
        <v>6.6666666666666693E-2</v>
      </c>
      <c r="AB348" s="29">
        <f>+VLOOKUP(E348,[1]base!M:N,2,0)</f>
        <v>7</v>
      </c>
      <c r="AC348" s="29">
        <f>+VLOOKUP(E348,[1]base!M:Q,5,0)</f>
        <v>110.9</v>
      </c>
      <c r="AD348" s="30">
        <f>+VLOOKUP(E348,[1]base!M:P,4,0)</f>
        <v>0.70833333333333337</v>
      </c>
      <c r="AE348" s="31">
        <f t="shared" si="41"/>
        <v>-2.8583333333333338</v>
      </c>
    </row>
    <row r="349" spans="1:31" x14ac:dyDescent="0.25">
      <c r="A349" s="12" t="s">
        <v>1635</v>
      </c>
      <c r="B349" s="13">
        <v>46275.398229166669</v>
      </c>
      <c r="C349" s="12" t="s">
        <v>1636</v>
      </c>
      <c r="D349" s="12" t="s">
        <v>967</v>
      </c>
      <c r="E349" s="26" t="str">
        <f t="shared" si="35"/>
        <v>FR112</v>
      </c>
      <c r="F349" s="27" t="str">
        <f t="shared" si="36"/>
        <v>DARK</v>
      </c>
      <c r="G349" s="27">
        <f>+VLOOKUP(F349,[1]base!A:B,2,0)</f>
        <v>38</v>
      </c>
      <c r="H349" s="12">
        <v>1</v>
      </c>
      <c r="I349" s="12">
        <v>1</v>
      </c>
      <c r="J349" s="14"/>
      <c r="K349" s="14" t="s">
        <v>61</v>
      </c>
      <c r="L349" s="12" t="s">
        <v>1641</v>
      </c>
      <c r="M349" s="12" t="s">
        <v>150</v>
      </c>
      <c r="N349" s="12">
        <v>1</v>
      </c>
      <c r="O349" s="12">
        <v>1</v>
      </c>
      <c r="P349" s="12">
        <v>0</v>
      </c>
      <c r="Q349" s="16">
        <v>1</v>
      </c>
      <c r="R349" s="16">
        <v>0</v>
      </c>
      <c r="S349" s="16"/>
      <c r="T349" s="28">
        <v>1</v>
      </c>
      <c r="U349" s="28"/>
      <c r="V349" s="29">
        <f>+VLOOKUP(E349,[1]base!D:K,8,0)</f>
        <v>4.5175000000000001</v>
      </c>
      <c r="W349" s="29">
        <f t="shared" si="37"/>
        <v>4.5175000000000001</v>
      </c>
      <c r="X349" s="29">
        <f t="shared" si="38"/>
        <v>0.23490999999999998</v>
      </c>
      <c r="Y349" s="29">
        <f>+VLOOKUP(E349,[1]base!D:E,2,0)</f>
        <v>14</v>
      </c>
      <c r="Z349" s="29">
        <f t="shared" si="39"/>
        <v>1</v>
      </c>
      <c r="AA349" s="29">
        <f t="shared" si="40"/>
        <v>6.6666666666666693E-2</v>
      </c>
      <c r="AB349" s="29">
        <f>+VLOOKUP(E349,[1]base!M:N,2,0)</f>
        <v>7</v>
      </c>
      <c r="AC349" s="29">
        <f>+VLOOKUP(E349,[1]base!M:Q,5,0)</f>
        <v>110.9</v>
      </c>
      <c r="AD349" s="30">
        <f>+VLOOKUP(E349,[1]base!M:P,4,0)</f>
        <v>0.70833333333333337</v>
      </c>
      <c r="AE349" s="31">
        <f t="shared" si="41"/>
        <v>-2.8583333333333338</v>
      </c>
    </row>
    <row r="350" spans="1:31" x14ac:dyDescent="0.25">
      <c r="A350" s="12" t="s">
        <v>843</v>
      </c>
      <c r="B350" s="13">
        <v>46261.381307870368</v>
      </c>
      <c r="C350" s="12" t="s">
        <v>398</v>
      </c>
      <c r="D350" s="12" t="s">
        <v>846</v>
      </c>
      <c r="E350" s="26" t="str">
        <f t="shared" si="35"/>
        <v>FR121</v>
      </c>
      <c r="F350" s="27" t="str">
        <f t="shared" si="36"/>
        <v>DARK</v>
      </c>
      <c r="G350" s="27">
        <f>+VLOOKUP(F350,[1]base!A:B,2,0)</f>
        <v>38</v>
      </c>
      <c r="H350" s="12">
        <v>2</v>
      </c>
      <c r="I350" s="12">
        <v>2</v>
      </c>
      <c r="J350" s="14"/>
      <c r="K350" s="14" t="s">
        <v>61</v>
      </c>
      <c r="L350" s="12" t="s">
        <v>853</v>
      </c>
      <c r="M350" s="12" t="s">
        <v>150</v>
      </c>
      <c r="N350" s="12">
        <v>2</v>
      </c>
      <c r="O350" s="12">
        <v>2</v>
      </c>
      <c r="P350" s="12">
        <v>0</v>
      </c>
      <c r="Q350" s="16">
        <v>2</v>
      </c>
      <c r="R350" s="16">
        <v>0</v>
      </c>
      <c r="S350" s="16"/>
      <c r="T350" s="28">
        <v>2</v>
      </c>
      <c r="U350" s="28"/>
      <c r="V350" s="29">
        <f>+VLOOKUP(E350,[1]base!D:K,8,0)</f>
        <v>11.173500000000001</v>
      </c>
      <c r="W350" s="29">
        <f t="shared" si="37"/>
        <v>22.347000000000001</v>
      </c>
      <c r="X350" s="29">
        <f t="shared" si="38"/>
        <v>1.1620440000000001</v>
      </c>
      <c r="Y350" s="29">
        <f>+VLOOKUP(E350,[1]base!D:E,2,0)</f>
        <v>9</v>
      </c>
      <c r="Z350" s="29">
        <f t="shared" si="39"/>
        <v>1</v>
      </c>
      <c r="AA350" s="29">
        <f t="shared" si="40"/>
        <v>6.6666666666666693E-2</v>
      </c>
      <c r="AB350" s="29">
        <f>+VLOOKUP(E350,[1]base!M:N,2,0)</f>
        <v>0</v>
      </c>
      <c r="AC350" s="29">
        <f>+VLOOKUP(E350,[1]base!M:Q,5,0)</f>
        <v>108.8</v>
      </c>
      <c r="AD350" s="30">
        <f>+VLOOKUP(E350,[1]base!M:P,4,0)</f>
        <v>1</v>
      </c>
      <c r="AE350" s="31">
        <f t="shared" si="41"/>
        <v>0</v>
      </c>
    </row>
    <row r="351" spans="1:31" x14ac:dyDescent="0.25">
      <c r="A351" s="12" t="s">
        <v>792</v>
      </c>
      <c r="B351" s="13">
        <v>46260.398888888885</v>
      </c>
      <c r="C351" s="12" t="s">
        <v>24</v>
      </c>
      <c r="D351" s="12" t="s">
        <v>808</v>
      </c>
      <c r="E351" s="26" t="str">
        <f t="shared" si="35"/>
        <v>FR127</v>
      </c>
      <c r="F351" s="27" t="str">
        <f t="shared" si="36"/>
        <v>GREY</v>
      </c>
      <c r="G351" s="27">
        <f>+VLOOKUP(F351,[1]base!A:B,2,0)</f>
        <v>24</v>
      </c>
      <c r="H351" s="12">
        <v>1</v>
      </c>
      <c r="I351" s="12">
        <v>1</v>
      </c>
      <c r="J351" s="14"/>
      <c r="K351" s="14" t="s">
        <v>61</v>
      </c>
      <c r="L351" s="12" t="s">
        <v>819</v>
      </c>
      <c r="M351" s="12" t="s">
        <v>150</v>
      </c>
      <c r="N351" s="12">
        <v>1</v>
      </c>
      <c r="O351" s="12">
        <v>1</v>
      </c>
      <c r="P351" s="12">
        <v>0</v>
      </c>
      <c r="Q351" s="16">
        <v>1</v>
      </c>
      <c r="R351" s="16">
        <v>0</v>
      </c>
      <c r="S351" s="16"/>
      <c r="T351" s="28">
        <v>1</v>
      </c>
      <c r="U351" s="28"/>
      <c r="V351" s="29">
        <f>+VLOOKUP(E351,[1]base!D:K,8,0)</f>
        <v>1.9955000000000001</v>
      </c>
      <c r="W351" s="29">
        <f t="shared" si="37"/>
        <v>1.9955000000000001</v>
      </c>
      <c r="X351" s="29">
        <f t="shared" si="38"/>
        <v>0.103766</v>
      </c>
      <c r="Y351" s="29">
        <f>+VLOOKUP(E351,[1]base!D:E,2,0)</f>
        <v>20</v>
      </c>
      <c r="Z351" s="29">
        <f t="shared" si="39"/>
        <v>1</v>
      </c>
      <c r="AA351" s="29">
        <f t="shared" si="40"/>
        <v>6.6666666666666693E-2</v>
      </c>
      <c r="AB351" s="29">
        <f>+VLOOKUP(E351,[1]base!M:N,2,0)</f>
        <v>17</v>
      </c>
      <c r="AC351" s="29">
        <f>+VLOOKUP(E351,[1]base!M:Q,5,0)</f>
        <v>25.571428571428573</v>
      </c>
      <c r="AD351" s="30">
        <f>+VLOOKUP(E351,[1]base!M:P,4,0)</f>
        <v>0.63829787234042556</v>
      </c>
      <c r="AE351" s="31">
        <f t="shared" si="41"/>
        <v>-5.7510638297872347</v>
      </c>
    </row>
    <row r="352" spans="1:31" x14ac:dyDescent="0.25">
      <c r="A352" s="12" t="s">
        <v>940</v>
      </c>
      <c r="B352" s="13">
        <v>46263.399872685186</v>
      </c>
      <c r="C352" s="12" t="s">
        <v>24</v>
      </c>
      <c r="D352" s="12" t="s">
        <v>731</v>
      </c>
      <c r="E352" s="26" t="str">
        <f t="shared" si="35"/>
        <v>FR127</v>
      </c>
      <c r="F352" s="27" t="str">
        <f t="shared" si="36"/>
        <v>NOIR</v>
      </c>
      <c r="G352" s="27">
        <f>+VLOOKUP(F352,[1]base!A:B,2,0)</f>
        <v>37</v>
      </c>
      <c r="H352" s="12">
        <v>1</v>
      </c>
      <c r="I352" s="12">
        <v>1</v>
      </c>
      <c r="J352" s="14"/>
      <c r="K352" s="14" t="s">
        <v>61</v>
      </c>
      <c r="L352" s="12" t="s">
        <v>949</v>
      </c>
      <c r="M352" s="12" t="s">
        <v>150</v>
      </c>
      <c r="N352" s="12">
        <v>1</v>
      </c>
      <c r="O352" s="12">
        <v>1</v>
      </c>
      <c r="P352" s="12">
        <v>0</v>
      </c>
      <c r="Q352" s="16">
        <v>1</v>
      </c>
      <c r="R352" s="16">
        <v>0</v>
      </c>
      <c r="S352" s="16"/>
      <c r="T352" s="28">
        <v>1</v>
      </c>
      <c r="U352" s="28"/>
      <c r="V352" s="29">
        <f>+VLOOKUP(E352,[1]base!D:K,8,0)</f>
        <v>1.9955000000000001</v>
      </c>
      <c r="W352" s="29">
        <f t="shared" si="37"/>
        <v>1.9955000000000001</v>
      </c>
      <c r="X352" s="29">
        <f t="shared" si="38"/>
        <v>0.103766</v>
      </c>
      <c r="Y352" s="29">
        <f>+VLOOKUP(E352,[1]base!D:E,2,0)</f>
        <v>20</v>
      </c>
      <c r="Z352" s="29">
        <f t="shared" si="39"/>
        <v>1</v>
      </c>
      <c r="AA352" s="29">
        <f t="shared" si="40"/>
        <v>6.6666666666666693E-2</v>
      </c>
      <c r="AB352" s="29">
        <f>+VLOOKUP(E352,[1]base!M:N,2,0)</f>
        <v>17</v>
      </c>
      <c r="AC352" s="29">
        <f>+VLOOKUP(E352,[1]base!M:Q,5,0)</f>
        <v>25.571428571428573</v>
      </c>
      <c r="AD352" s="30">
        <f>+VLOOKUP(E352,[1]base!M:P,4,0)</f>
        <v>0.63829787234042556</v>
      </c>
      <c r="AE352" s="31">
        <f t="shared" si="41"/>
        <v>-5.7510638297872347</v>
      </c>
    </row>
    <row r="353" spans="1:31" x14ac:dyDescent="0.25">
      <c r="A353" s="12" t="s">
        <v>1123</v>
      </c>
      <c r="B353" s="13">
        <v>46267.314710648148</v>
      </c>
      <c r="C353" s="12" t="s">
        <v>24</v>
      </c>
      <c r="D353" s="12" t="s">
        <v>1127</v>
      </c>
      <c r="E353" s="26" t="str">
        <f t="shared" si="35"/>
        <v>FR127</v>
      </c>
      <c r="F353" s="27" t="str">
        <f t="shared" si="36"/>
        <v>DARK</v>
      </c>
      <c r="G353" s="27">
        <f>+VLOOKUP(F353,[1]base!A:B,2,0)</f>
        <v>38</v>
      </c>
      <c r="H353" s="12">
        <v>2</v>
      </c>
      <c r="I353" s="12">
        <v>2</v>
      </c>
      <c r="J353" s="14"/>
      <c r="K353" s="14" t="s">
        <v>61</v>
      </c>
      <c r="L353" s="12" t="s">
        <v>1135</v>
      </c>
      <c r="M353" s="12" t="s">
        <v>150</v>
      </c>
      <c r="N353" s="12">
        <v>2</v>
      </c>
      <c r="O353" s="12">
        <v>2</v>
      </c>
      <c r="P353" s="12">
        <v>0</v>
      </c>
      <c r="Q353" s="16">
        <v>2</v>
      </c>
      <c r="R353" s="16">
        <v>0</v>
      </c>
      <c r="S353" s="16"/>
      <c r="T353" s="28">
        <v>2</v>
      </c>
      <c r="U353" s="28"/>
      <c r="V353" s="29">
        <f>+VLOOKUP(E353,[1]base!D:K,8,0)</f>
        <v>1.9955000000000001</v>
      </c>
      <c r="W353" s="29">
        <f t="shared" si="37"/>
        <v>3.9910000000000001</v>
      </c>
      <c r="X353" s="29">
        <f t="shared" si="38"/>
        <v>0.20753199999999999</v>
      </c>
      <c r="Y353" s="29">
        <f>+VLOOKUP(E353,[1]base!D:E,2,0)</f>
        <v>20</v>
      </c>
      <c r="Z353" s="29">
        <f t="shared" si="39"/>
        <v>1</v>
      </c>
      <c r="AA353" s="29">
        <f t="shared" si="40"/>
        <v>6.6666666666666693E-2</v>
      </c>
      <c r="AB353" s="29">
        <f>+VLOOKUP(E353,[1]base!M:N,2,0)</f>
        <v>17</v>
      </c>
      <c r="AC353" s="29">
        <f>+VLOOKUP(E353,[1]base!M:Q,5,0)</f>
        <v>25.571428571428573</v>
      </c>
      <c r="AD353" s="30">
        <f>+VLOOKUP(E353,[1]base!M:P,4,0)</f>
        <v>0.63829787234042556</v>
      </c>
      <c r="AE353" s="31">
        <f t="shared" si="41"/>
        <v>-5.7510638297872347</v>
      </c>
    </row>
    <row r="354" spans="1:31" x14ac:dyDescent="0.25">
      <c r="A354" s="12" t="s">
        <v>732</v>
      </c>
      <c r="B354" s="13">
        <v>46256.374837962961</v>
      </c>
      <c r="C354" s="12" t="s">
        <v>258</v>
      </c>
      <c r="D354" s="12" t="s">
        <v>733</v>
      </c>
      <c r="E354" s="26" t="str">
        <f t="shared" si="35"/>
        <v>FR133</v>
      </c>
      <c r="F354" s="27" t="str">
        <f t="shared" si="36"/>
        <v>NOIR</v>
      </c>
      <c r="G354" s="27">
        <f>+VLOOKUP(F354,[1]base!A:B,2,0)</f>
        <v>37</v>
      </c>
      <c r="H354" s="12">
        <v>3</v>
      </c>
      <c r="I354" s="12">
        <v>3</v>
      </c>
      <c r="J354" s="14"/>
      <c r="K354" s="14" t="s">
        <v>61</v>
      </c>
      <c r="L354" s="12" t="s">
        <v>739</v>
      </c>
      <c r="M354" s="12" t="s">
        <v>150</v>
      </c>
      <c r="N354" s="12">
        <v>3</v>
      </c>
      <c r="O354" s="12">
        <v>3</v>
      </c>
      <c r="P354" s="12">
        <v>0</v>
      </c>
      <c r="Q354" s="16">
        <v>3</v>
      </c>
      <c r="R354" s="16">
        <v>2</v>
      </c>
      <c r="S354" s="16"/>
      <c r="T354" s="28">
        <v>3</v>
      </c>
      <c r="U354" s="28"/>
      <c r="V354" s="29">
        <f>+VLOOKUP(E354,[1]base!D:K,8,0)</f>
        <v>1.43</v>
      </c>
      <c r="W354" s="29">
        <f t="shared" si="37"/>
        <v>4.29</v>
      </c>
      <c r="X354" s="29">
        <f t="shared" si="38"/>
        <v>0.22308</v>
      </c>
      <c r="Y354" s="29">
        <f>+VLOOKUP(E354,[1]base!D:E,2,0)</f>
        <v>20</v>
      </c>
      <c r="Z354" s="29">
        <f t="shared" si="39"/>
        <v>1</v>
      </c>
      <c r="AA354" s="29">
        <f t="shared" si="40"/>
        <v>6.6666666666666693E-2</v>
      </c>
      <c r="AB354" s="29">
        <f>+VLOOKUP(E354,[1]base!M:N,2,0)</f>
        <v>219</v>
      </c>
      <c r="AC354" s="29">
        <f>+VLOOKUP(E354,[1]base!M:Q,5,0)</f>
        <v>40.25</v>
      </c>
      <c r="AD354" s="30">
        <f>+VLOOKUP(E354,[1]base!M:P,4,0)</f>
        <v>0.27483443708609273</v>
      </c>
      <c r="AE354" s="31">
        <f t="shared" si="41"/>
        <v>5.5112582781456894</v>
      </c>
    </row>
    <row r="355" spans="1:31" x14ac:dyDescent="0.25">
      <c r="A355" s="12" t="s">
        <v>1021</v>
      </c>
      <c r="B355" s="13">
        <v>46266.424675925926</v>
      </c>
      <c r="C355" s="12" t="s">
        <v>24</v>
      </c>
      <c r="D355" s="12" t="s">
        <v>1049</v>
      </c>
      <c r="E355" s="26" t="str">
        <f t="shared" si="35"/>
        <v>FR133</v>
      </c>
      <c r="F355" s="27" t="str">
        <f t="shared" si="36"/>
        <v>DARK</v>
      </c>
      <c r="G355" s="27">
        <f>+VLOOKUP(F355,[1]base!A:B,2,0)</f>
        <v>38</v>
      </c>
      <c r="H355" s="12">
        <v>4</v>
      </c>
      <c r="I355" s="12">
        <v>4</v>
      </c>
      <c r="J355" s="14"/>
      <c r="K355" s="14" t="s">
        <v>61</v>
      </c>
      <c r="L355" s="12" t="s">
        <v>1079</v>
      </c>
      <c r="M355" s="12" t="s">
        <v>150</v>
      </c>
      <c r="N355" s="12">
        <v>4</v>
      </c>
      <c r="O355" s="12">
        <v>4</v>
      </c>
      <c r="P355" s="12">
        <v>0</v>
      </c>
      <c r="Q355" s="16">
        <v>4</v>
      </c>
      <c r="R355" s="16">
        <v>0</v>
      </c>
      <c r="S355" s="16"/>
      <c r="T355" s="28">
        <v>4</v>
      </c>
      <c r="U355" s="28"/>
      <c r="V355" s="29">
        <f>+VLOOKUP(E355,[1]base!D:K,8,0)</f>
        <v>1.43</v>
      </c>
      <c r="W355" s="29">
        <f t="shared" si="37"/>
        <v>5.72</v>
      </c>
      <c r="X355" s="29">
        <f t="shared" si="38"/>
        <v>0.29743999999999998</v>
      </c>
      <c r="Y355" s="29">
        <f>+VLOOKUP(E355,[1]base!D:E,2,0)</f>
        <v>20</v>
      </c>
      <c r="Z355" s="29">
        <f t="shared" si="39"/>
        <v>1</v>
      </c>
      <c r="AA355" s="29">
        <f t="shared" si="40"/>
        <v>6.6666666666666693E-2</v>
      </c>
      <c r="AB355" s="29">
        <f>+VLOOKUP(E355,[1]base!M:N,2,0)</f>
        <v>219</v>
      </c>
      <c r="AC355" s="29">
        <f>+VLOOKUP(E355,[1]base!M:Q,5,0)</f>
        <v>40.25</v>
      </c>
      <c r="AD355" s="30">
        <f>+VLOOKUP(E355,[1]base!M:P,4,0)</f>
        <v>0.27483443708609273</v>
      </c>
      <c r="AE355" s="31">
        <f t="shared" si="41"/>
        <v>5.5112582781456894</v>
      </c>
    </row>
    <row r="356" spans="1:31" x14ac:dyDescent="0.25">
      <c r="A356" s="12"/>
      <c r="B356" s="13"/>
      <c r="C356" s="12"/>
      <c r="D356" s="12" t="s">
        <v>453</v>
      </c>
      <c r="E356" s="26" t="str">
        <f t="shared" si="35"/>
        <v>FR135</v>
      </c>
      <c r="F356" s="27" t="str">
        <f t="shared" si="36"/>
        <v>BLC</v>
      </c>
      <c r="G356" s="27">
        <f>+VLOOKUP(F356,[1]base!A:B,2,0)</f>
        <v>1</v>
      </c>
      <c r="H356" s="12">
        <v>100</v>
      </c>
      <c r="I356" s="12">
        <v>80</v>
      </c>
      <c r="J356" s="14"/>
      <c r="K356" s="14" t="s">
        <v>61</v>
      </c>
      <c r="L356" s="12" t="s">
        <v>27</v>
      </c>
      <c r="M356" s="12" t="s">
        <v>28</v>
      </c>
      <c r="N356" s="12"/>
      <c r="O356" s="12"/>
      <c r="P356" s="12"/>
      <c r="Q356" s="16">
        <v>50</v>
      </c>
      <c r="R356" s="16">
        <v>7</v>
      </c>
      <c r="S356" s="16"/>
      <c r="T356" s="33">
        <v>12</v>
      </c>
      <c r="U356" s="33"/>
      <c r="V356" s="29">
        <f>+VLOOKUP(E356,[1]base!D:K,8,0)</f>
        <v>1.5794999999999999</v>
      </c>
      <c r="W356" s="29">
        <f t="shared" si="37"/>
        <v>18.954000000000001</v>
      </c>
      <c r="X356" s="29">
        <f t="shared" si="38"/>
        <v>0.98560800000000004</v>
      </c>
      <c r="Y356" s="29">
        <f>+VLOOKUP(E356,[1]base!D:E,2,0)</f>
        <v>20</v>
      </c>
      <c r="Z356" s="29">
        <f t="shared" si="39"/>
        <v>1</v>
      </c>
      <c r="AA356" s="29">
        <f t="shared" si="40"/>
        <v>6.6666666666666693E-2</v>
      </c>
      <c r="AB356" s="29">
        <f>+VLOOKUP(E356,[1]base!M:N,2,0)</f>
        <v>12</v>
      </c>
      <c r="AC356" s="29">
        <f>+VLOOKUP(E356,[1]base!M:Q,5,0)</f>
        <v>99</v>
      </c>
      <c r="AD356" s="30">
        <f>+VLOOKUP(E356,[1]base!M:P,4,0)</f>
        <v>0.76470588235294112</v>
      </c>
      <c r="AE356" s="31">
        <f t="shared" si="41"/>
        <v>-5.5764705882352938</v>
      </c>
    </row>
    <row r="357" spans="1:31" x14ac:dyDescent="0.25">
      <c r="A357" s="12" t="s">
        <v>1339</v>
      </c>
      <c r="B357" s="13">
        <v>46269.394733796296</v>
      </c>
      <c r="C357" s="12" t="s">
        <v>266</v>
      </c>
      <c r="D357" s="12" t="s">
        <v>1350</v>
      </c>
      <c r="E357" s="26" t="str">
        <f t="shared" si="35"/>
        <v>FR135</v>
      </c>
      <c r="F357" s="27" t="str">
        <f t="shared" si="36"/>
        <v>ACAJOU</v>
      </c>
      <c r="G357" s="27">
        <f>+VLOOKUP(F357,[1]base!A:B,2,0)</f>
        <v>15.1</v>
      </c>
      <c r="H357" s="12">
        <v>5</v>
      </c>
      <c r="I357" s="12">
        <v>5</v>
      </c>
      <c r="J357" s="14"/>
      <c r="K357" s="14" t="s">
        <v>61</v>
      </c>
      <c r="L357" s="12" t="s">
        <v>1361</v>
      </c>
      <c r="M357" s="12" t="s">
        <v>150</v>
      </c>
      <c r="N357" s="12">
        <v>5</v>
      </c>
      <c r="O357" s="12">
        <v>5</v>
      </c>
      <c r="P357" s="12">
        <v>0</v>
      </c>
      <c r="Q357" s="16">
        <v>5</v>
      </c>
      <c r="R357" s="16">
        <v>0</v>
      </c>
      <c r="S357" s="16"/>
      <c r="T357" s="28">
        <v>5</v>
      </c>
      <c r="U357" s="28"/>
      <c r="V357" s="29">
        <f>+VLOOKUP(E357,[1]base!D:K,8,0)</f>
        <v>1.5794999999999999</v>
      </c>
      <c r="W357" s="29">
        <f t="shared" si="37"/>
        <v>7.8974999999999991</v>
      </c>
      <c r="X357" s="29">
        <f t="shared" si="38"/>
        <v>0.41066999999999992</v>
      </c>
      <c r="Y357" s="29">
        <f>+VLOOKUP(E357,[1]base!D:E,2,0)</f>
        <v>20</v>
      </c>
      <c r="Z357" s="29">
        <f t="shared" si="39"/>
        <v>1</v>
      </c>
      <c r="AA357" s="29">
        <f t="shared" si="40"/>
        <v>6.6666666666666693E-2</v>
      </c>
      <c r="AB357" s="29">
        <f>+VLOOKUP(E357,[1]base!M:N,2,0)</f>
        <v>12</v>
      </c>
      <c r="AC357" s="29">
        <f>+VLOOKUP(E357,[1]base!M:Q,5,0)</f>
        <v>99</v>
      </c>
      <c r="AD357" s="30">
        <f>+VLOOKUP(E357,[1]base!M:P,4,0)</f>
        <v>0.76470588235294112</v>
      </c>
      <c r="AE357" s="31">
        <f t="shared" si="41"/>
        <v>-5.5764705882352938</v>
      </c>
    </row>
    <row r="358" spans="1:31" x14ac:dyDescent="0.25">
      <c r="A358" s="12" t="s">
        <v>1161</v>
      </c>
      <c r="B358" s="13">
        <v>46267.415729166663</v>
      </c>
      <c r="C358" s="12" t="s">
        <v>661</v>
      </c>
      <c r="D358" s="12" t="s">
        <v>1167</v>
      </c>
      <c r="E358" s="26" t="str">
        <f t="shared" si="35"/>
        <v>FR135</v>
      </c>
      <c r="F358" s="27" t="str">
        <f t="shared" si="36"/>
        <v>GRIS</v>
      </c>
      <c r="G358" s="27">
        <f>+VLOOKUP(F358,[1]base!A:B,2,0)</f>
        <v>22</v>
      </c>
      <c r="H358" s="12">
        <v>10</v>
      </c>
      <c r="I358" s="12">
        <v>10</v>
      </c>
      <c r="J358" s="14"/>
      <c r="K358" s="14" t="s">
        <v>61</v>
      </c>
      <c r="L358" s="12" t="s">
        <v>1179</v>
      </c>
      <c r="M358" s="12" t="s">
        <v>150</v>
      </c>
      <c r="N358" s="12">
        <v>10</v>
      </c>
      <c r="O358" s="12">
        <v>10</v>
      </c>
      <c r="P358" s="12">
        <v>0</v>
      </c>
      <c r="Q358" s="16">
        <v>10</v>
      </c>
      <c r="R358" s="16">
        <v>0</v>
      </c>
      <c r="S358" s="16"/>
      <c r="T358" s="28">
        <v>10</v>
      </c>
      <c r="U358" s="28"/>
      <c r="V358" s="29">
        <f>+VLOOKUP(E358,[1]base!D:K,8,0)</f>
        <v>1.5794999999999999</v>
      </c>
      <c r="W358" s="29">
        <f t="shared" si="37"/>
        <v>15.794999999999998</v>
      </c>
      <c r="X358" s="29">
        <f t="shared" si="38"/>
        <v>0.82133999999999985</v>
      </c>
      <c r="Y358" s="29">
        <f>+VLOOKUP(E358,[1]base!D:E,2,0)</f>
        <v>20</v>
      </c>
      <c r="Z358" s="29">
        <f t="shared" si="39"/>
        <v>1</v>
      </c>
      <c r="AA358" s="29">
        <f t="shared" si="40"/>
        <v>6.6666666666666693E-2</v>
      </c>
      <c r="AB358" s="29">
        <f>+VLOOKUP(E358,[1]base!M:N,2,0)</f>
        <v>12</v>
      </c>
      <c r="AC358" s="29">
        <f>+VLOOKUP(E358,[1]base!M:Q,5,0)</f>
        <v>99</v>
      </c>
      <c r="AD358" s="30">
        <f>+VLOOKUP(E358,[1]base!M:P,4,0)</f>
        <v>0.76470588235294112</v>
      </c>
      <c r="AE358" s="31">
        <f t="shared" si="41"/>
        <v>-5.5764705882352938</v>
      </c>
    </row>
    <row r="359" spans="1:31" x14ac:dyDescent="0.25">
      <c r="A359" s="12" t="s">
        <v>1162</v>
      </c>
      <c r="B359" s="13">
        <v>46267.43309027778</v>
      </c>
      <c r="C359" s="12" t="s">
        <v>627</v>
      </c>
      <c r="D359" s="12" t="s">
        <v>1168</v>
      </c>
      <c r="E359" s="26" t="str">
        <f t="shared" si="35"/>
        <v>FR135</v>
      </c>
      <c r="F359" s="27" t="str">
        <f t="shared" si="36"/>
        <v>NOIR</v>
      </c>
      <c r="G359" s="27">
        <f>+VLOOKUP(F359,[1]base!A:B,2,0)</f>
        <v>37</v>
      </c>
      <c r="H359" s="12">
        <v>20</v>
      </c>
      <c r="I359" s="12">
        <v>20</v>
      </c>
      <c r="J359" s="14"/>
      <c r="K359" s="14" t="s">
        <v>61</v>
      </c>
      <c r="L359" s="12" t="s">
        <v>1183</v>
      </c>
      <c r="M359" s="12" t="s">
        <v>150</v>
      </c>
      <c r="N359" s="12">
        <v>20</v>
      </c>
      <c r="O359" s="12">
        <v>20</v>
      </c>
      <c r="P359" s="12">
        <v>0</v>
      </c>
      <c r="Q359" s="16">
        <v>20</v>
      </c>
      <c r="R359" s="16">
        <v>0</v>
      </c>
      <c r="S359" s="16"/>
      <c r="T359" s="28">
        <v>20</v>
      </c>
      <c r="U359" s="28"/>
      <c r="V359" s="29">
        <f>+VLOOKUP(E359,[1]base!D:K,8,0)</f>
        <v>1.5794999999999999</v>
      </c>
      <c r="W359" s="29">
        <f t="shared" si="37"/>
        <v>31.589999999999996</v>
      </c>
      <c r="X359" s="29">
        <f t="shared" si="38"/>
        <v>1.6426799999999997</v>
      </c>
      <c r="Y359" s="29">
        <f>+VLOOKUP(E359,[1]base!D:E,2,0)</f>
        <v>20</v>
      </c>
      <c r="Z359" s="29">
        <f t="shared" si="39"/>
        <v>1</v>
      </c>
      <c r="AA359" s="29">
        <f t="shared" si="40"/>
        <v>6.6666666666666693E-2</v>
      </c>
      <c r="AB359" s="29">
        <f>+VLOOKUP(E359,[1]base!M:N,2,0)</f>
        <v>12</v>
      </c>
      <c r="AC359" s="29">
        <f>+VLOOKUP(E359,[1]base!M:Q,5,0)</f>
        <v>99</v>
      </c>
      <c r="AD359" s="30">
        <f>+VLOOKUP(E359,[1]base!M:P,4,0)</f>
        <v>0.76470588235294112</v>
      </c>
      <c r="AE359" s="31">
        <f t="shared" si="41"/>
        <v>-5.5764705882352938</v>
      </c>
    </row>
    <row r="360" spans="1:31" x14ac:dyDescent="0.25">
      <c r="A360" s="12" t="s">
        <v>1635</v>
      </c>
      <c r="B360" s="13">
        <v>46275.398229166669</v>
      </c>
      <c r="C360" s="12" t="s">
        <v>1636</v>
      </c>
      <c r="D360" s="12" t="s">
        <v>1637</v>
      </c>
      <c r="E360" s="26" t="str">
        <f t="shared" si="35"/>
        <v>FR135</v>
      </c>
      <c r="F360" s="27" t="str">
        <f t="shared" si="36"/>
        <v>DARK</v>
      </c>
      <c r="G360" s="27">
        <f>+VLOOKUP(F360,[1]base!A:B,2,0)</f>
        <v>38</v>
      </c>
      <c r="H360" s="12">
        <v>9</v>
      </c>
      <c r="I360" s="12">
        <v>9</v>
      </c>
      <c r="J360" s="14"/>
      <c r="K360" s="14" t="s">
        <v>61</v>
      </c>
      <c r="L360" s="12" t="s">
        <v>1643</v>
      </c>
      <c r="M360" s="12" t="s">
        <v>150</v>
      </c>
      <c r="N360" s="12">
        <v>9</v>
      </c>
      <c r="O360" s="12">
        <v>9</v>
      </c>
      <c r="P360" s="12">
        <v>0</v>
      </c>
      <c r="Q360" s="16">
        <v>9</v>
      </c>
      <c r="R360" s="16">
        <v>0</v>
      </c>
      <c r="S360" s="16"/>
      <c r="T360" s="28">
        <v>9</v>
      </c>
      <c r="U360" s="28"/>
      <c r="V360" s="29">
        <f>+VLOOKUP(E360,[1]base!D:K,8,0)</f>
        <v>1.5794999999999999</v>
      </c>
      <c r="W360" s="29">
        <f t="shared" si="37"/>
        <v>14.215499999999999</v>
      </c>
      <c r="X360" s="29">
        <f t="shared" si="38"/>
        <v>0.73920599999999992</v>
      </c>
      <c r="Y360" s="29">
        <f>+VLOOKUP(E360,[1]base!D:E,2,0)</f>
        <v>20</v>
      </c>
      <c r="Z360" s="29">
        <f t="shared" si="39"/>
        <v>1</v>
      </c>
      <c r="AA360" s="29">
        <f t="shared" si="40"/>
        <v>6.6666666666666693E-2</v>
      </c>
      <c r="AB360" s="29">
        <f>+VLOOKUP(E360,[1]base!M:N,2,0)</f>
        <v>12</v>
      </c>
      <c r="AC360" s="29">
        <f>+VLOOKUP(E360,[1]base!M:Q,5,0)</f>
        <v>99</v>
      </c>
      <c r="AD360" s="30">
        <f>+VLOOKUP(E360,[1]base!M:P,4,0)</f>
        <v>0.76470588235294112</v>
      </c>
      <c r="AE360" s="31">
        <f t="shared" si="41"/>
        <v>-5.5764705882352938</v>
      </c>
    </row>
    <row r="361" spans="1:31" x14ac:dyDescent="0.25">
      <c r="A361" s="12"/>
      <c r="B361" s="13"/>
      <c r="C361" s="12"/>
      <c r="D361" s="12" t="s">
        <v>259</v>
      </c>
      <c r="E361" s="26" t="str">
        <f t="shared" si="35"/>
        <v>FR139</v>
      </c>
      <c r="F361" s="27" t="str">
        <f t="shared" si="36"/>
        <v>BLC</v>
      </c>
      <c r="G361" s="27">
        <f>+VLOOKUP(F361,[1]base!A:B,2,0)</f>
        <v>1</v>
      </c>
      <c r="H361" s="12">
        <v>200</v>
      </c>
      <c r="I361" s="12">
        <v>160</v>
      </c>
      <c r="J361" s="14"/>
      <c r="K361" s="14" t="s">
        <v>26</v>
      </c>
      <c r="L361" s="12" t="s">
        <v>27</v>
      </c>
      <c r="M361" s="12" t="s">
        <v>28</v>
      </c>
      <c r="N361" s="12"/>
      <c r="O361" s="12"/>
      <c r="P361" s="12"/>
      <c r="Q361" s="16">
        <v>0</v>
      </c>
      <c r="R361" s="16">
        <v>4</v>
      </c>
      <c r="S361" s="16"/>
      <c r="T361" s="33">
        <v>320</v>
      </c>
      <c r="U361" s="33"/>
      <c r="V361" s="29">
        <f>+VLOOKUP(E361,[1]base!D:K,8,0)</f>
        <v>1.794</v>
      </c>
      <c r="W361" s="29">
        <f t="shared" si="37"/>
        <v>574.08000000000004</v>
      </c>
      <c r="X361" s="29">
        <f t="shared" si="38"/>
        <v>29.852160000000001</v>
      </c>
      <c r="Y361" s="29">
        <f>+VLOOKUP(E361,[1]base!D:E,2,0)</f>
        <v>20</v>
      </c>
      <c r="Z361" s="29">
        <f t="shared" si="39"/>
        <v>16</v>
      </c>
      <c r="AA361" s="29">
        <f t="shared" si="40"/>
        <v>1.0666666666666671</v>
      </c>
      <c r="AB361" s="29">
        <f>+VLOOKUP(E361,[1]base!M:N,2,0)</f>
        <v>1978</v>
      </c>
      <c r="AC361" s="29">
        <f>+VLOOKUP(E361,[1]base!M:Q,5,0)</f>
        <v>1480</v>
      </c>
      <c r="AD361" s="30">
        <f>+VLOOKUP(E361,[1]base!M:P,4,0)</f>
        <v>8.595194085027727E-2</v>
      </c>
      <c r="AE361" s="31">
        <f t="shared" si="41"/>
        <v>423.38706099815153</v>
      </c>
    </row>
    <row r="362" spans="1:31" x14ac:dyDescent="0.25">
      <c r="A362" s="12" t="s">
        <v>288</v>
      </c>
      <c r="B362" s="13">
        <v>46191.52375</v>
      </c>
      <c r="C362" s="12" t="s">
        <v>24</v>
      </c>
      <c r="D362" s="12" t="s">
        <v>293</v>
      </c>
      <c r="E362" s="26" t="str">
        <f t="shared" si="35"/>
        <v>FR139</v>
      </c>
      <c r="F362" s="27" t="str">
        <f t="shared" si="36"/>
        <v>ACAJOU</v>
      </c>
      <c r="G362" s="27">
        <f>+VLOOKUP(F362,[1]base!A:B,2,0)</f>
        <v>15.1</v>
      </c>
      <c r="H362" s="12">
        <v>50</v>
      </c>
      <c r="I362" s="12">
        <v>50</v>
      </c>
      <c r="J362" s="14"/>
      <c r="K362" s="14" t="s">
        <v>61</v>
      </c>
      <c r="L362" s="12" t="s">
        <v>294</v>
      </c>
      <c r="M362" s="12" t="s">
        <v>150</v>
      </c>
      <c r="N362" s="12">
        <v>50</v>
      </c>
      <c r="O362" s="12">
        <v>50</v>
      </c>
      <c r="P362" s="12">
        <v>0</v>
      </c>
      <c r="Q362" s="16">
        <v>50</v>
      </c>
      <c r="R362" s="16">
        <v>8</v>
      </c>
      <c r="S362" s="16"/>
      <c r="T362" s="33">
        <v>42</v>
      </c>
      <c r="U362" s="33">
        <v>8</v>
      </c>
      <c r="V362" s="29">
        <f>+VLOOKUP(E362,[1]base!D:K,8,0)</f>
        <v>1.794</v>
      </c>
      <c r="W362" s="29">
        <f t="shared" si="37"/>
        <v>89.7</v>
      </c>
      <c r="X362" s="29">
        <f t="shared" si="38"/>
        <v>4.6643999999999997</v>
      </c>
      <c r="Y362" s="29">
        <f>+VLOOKUP(E362,[1]base!D:E,2,0)</f>
        <v>20</v>
      </c>
      <c r="Z362" s="29">
        <f t="shared" si="39"/>
        <v>3</v>
      </c>
      <c r="AA362" s="29">
        <f t="shared" si="40"/>
        <v>0.20000000000000007</v>
      </c>
      <c r="AB362" s="29">
        <f>+VLOOKUP(E362,[1]base!M:N,2,0)</f>
        <v>1978</v>
      </c>
      <c r="AC362" s="29">
        <f>+VLOOKUP(E362,[1]base!M:Q,5,0)</f>
        <v>1480</v>
      </c>
      <c r="AD362" s="30">
        <f>+VLOOKUP(E362,[1]base!M:P,4,0)</f>
        <v>8.595194085027727E-2</v>
      </c>
      <c r="AE362" s="31">
        <f t="shared" si="41"/>
        <v>423.38706099815153</v>
      </c>
    </row>
    <row r="363" spans="1:31" x14ac:dyDescent="0.25">
      <c r="A363" s="12" t="s">
        <v>1492</v>
      </c>
      <c r="B363" s="13">
        <v>46273.61005787037</v>
      </c>
      <c r="C363" s="12" t="s">
        <v>266</v>
      </c>
      <c r="D363" s="12" t="s">
        <v>275</v>
      </c>
      <c r="E363" s="26" t="str">
        <f t="shared" si="35"/>
        <v>FR139</v>
      </c>
      <c r="F363" s="27" t="str">
        <f t="shared" si="36"/>
        <v>GRIS</v>
      </c>
      <c r="G363" s="27">
        <f>+VLOOKUP(F363,[1]base!A:B,2,0)</f>
        <v>22</v>
      </c>
      <c r="H363" s="12">
        <v>100</v>
      </c>
      <c r="I363" s="12">
        <v>100</v>
      </c>
      <c r="J363" s="14"/>
      <c r="K363" s="14" t="s">
        <v>61</v>
      </c>
      <c r="L363" s="12" t="s">
        <v>1512</v>
      </c>
      <c r="M363" s="12" t="s">
        <v>150</v>
      </c>
      <c r="N363" s="12">
        <v>100</v>
      </c>
      <c r="O363" s="12">
        <v>100</v>
      </c>
      <c r="P363" s="12">
        <v>0</v>
      </c>
      <c r="Q363" s="16">
        <v>100</v>
      </c>
      <c r="R363" s="16">
        <v>0</v>
      </c>
      <c r="S363" s="16"/>
      <c r="T363" s="33">
        <v>100</v>
      </c>
      <c r="U363" s="33"/>
      <c r="V363" s="29">
        <f>+VLOOKUP(E363,[1]base!D:K,8,0)</f>
        <v>1.794</v>
      </c>
      <c r="W363" s="29">
        <f t="shared" si="37"/>
        <v>179.4</v>
      </c>
      <c r="X363" s="29">
        <f t="shared" si="38"/>
        <v>9.3287999999999993</v>
      </c>
      <c r="Y363" s="29">
        <f>+VLOOKUP(E363,[1]base!D:E,2,0)</f>
        <v>20</v>
      </c>
      <c r="Z363" s="29">
        <f t="shared" si="39"/>
        <v>5</v>
      </c>
      <c r="AA363" s="29">
        <f t="shared" si="40"/>
        <v>0.33333333333333348</v>
      </c>
      <c r="AB363" s="29">
        <f>+VLOOKUP(E363,[1]base!M:N,2,0)</f>
        <v>1978</v>
      </c>
      <c r="AC363" s="29">
        <f>+VLOOKUP(E363,[1]base!M:Q,5,0)</f>
        <v>1480</v>
      </c>
      <c r="AD363" s="30">
        <f>+VLOOKUP(E363,[1]base!M:P,4,0)</f>
        <v>8.595194085027727E-2</v>
      </c>
      <c r="AE363" s="31">
        <f t="shared" si="41"/>
        <v>423.38706099815153</v>
      </c>
    </row>
    <row r="364" spans="1:31" x14ac:dyDescent="0.25">
      <c r="A364" s="12" t="s">
        <v>1549</v>
      </c>
      <c r="B364" s="13">
        <v>46274.600347222222</v>
      </c>
      <c r="C364" s="12" t="s">
        <v>465</v>
      </c>
      <c r="D364" s="12" t="s">
        <v>248</v>
      </c>
      <c r="E364" s="26" t="str">
        <f t="shared" si="35"/>
        <v>FR139</v>
      </c>
      <c r="F364" s="27" t="str">
        <f t="shared" si="36"/>
        <v>NOIR</v>
      </c>
      <c r="G364" s="27">
        <f>+VLOOKUP(F364,[1]base!A:B,2,0)</f>
        <v>37</v>
      </c>
      <c r="H364" s="12">
        <v>30</v>
      </c>
      <c r="I364" s="12">
        <v>30</v>
      </c>
      <c r="J364" s="14"/>
      <c r="K364" s="14" t="s">
        <v>61</v>
      </c>
      <c r="L364" s="12" t="s">
        <v>1555</v>
      </c>
      <c r="M364" s="12" t="s">
        <v>150</v>
      </c>
      <c r="N364" s="12">
        <v>30</v>
      </c>
      <c r="O364" s="12">
        <v>30</v>
      </c>
      <c r="P364" s="12">
        <v>0</v>
      </c>
      <c r="Q364" s="16">
        <v>30</v>
      </c>
      <c r="R364" s="16">
        <v>2</v>
      </c>
      <c r="S364" s="16"/>
      <c r="T364" s="33">
        <v>28</v>
      </c>
      <c r="U364" s="33">
        <v>2</v>
      </c>
      <c r="V364" s="29">
        <f>+VLOOKUP(E364,[1]base!D:K,8,0)</f>
        <v>1.794</v>
      </c>
      <c r="W364" s="29">
        <f t="shared" si="37"/>
        <v>53.82</v>
      </c>
      <c r="X364" s="29">
        <f t="shared" si="38"/>
        <v>2.7986399999999998</v>
      </c>
      <c r="Y364" s="29">
        <f>+VLOOKUP(E364,[1]base!D:E,2,0)</f>
        <v>20</v>
      </c>
      <c r="Z364" s="29">
        <f t="shared" si="39"/>
        <v>2</v>
      </c>
      <c r="AA364" s="29">
        <f t="shared" si="40"/>
        <v>0.13333333333333339</v>
      </c>
      <c r="AB364" s="29">
        <f>+VLOOKUP(E364,[1]base!M:N,2,0)</f>
        <v>1978</v>
      </c>
      <c r="AC364" s="29">
        <f>+VLOOKUP(E364,[1]base!M:Q,5,0)</f>
        <v>1480</v>
      </c>
      <c r="AD364" s="30">
        <f>+VLOOKUP(E364,[1]base!M:P,4,0)</f>
        <v>8.595194085027727E-2</v>
      </c>
      <c r="AE364" s="31">
        <f t="shared" si="41"/>
        <v>423.38706099815153</v>
      </c>
    </row>
    <row r="365" spans="1:31" x14ac:dyDescent="0.25">
      <c r="A365" s="12" t="s">
        <v>1562</v>
      </c>
      <c r="B365" s="13">
        <v>46274.635497685187</v>
      </c>
      <c r="C365" s="12" t="s">
        <v>484</v>
      </c>
      <c r="D365" s="12" t="s">
        <v>248</v>
      </c>
      <c r="E365" s="26" t="str">
        <f t="shared" si="35"/>
        <v>FR139</v>
      </c>
      <c r="F365" s="27" t="str">
        <f t="shared" si="36"/>
        <v>NOIR</v>
      </c>
      <c r="G365" s="27">
        <f>+VLOOKUP(F365,[1]base!A:B,2,0)</f>
        <v>37</v>
      </c>
      <c r="H365" s="12">
        <v>30</v>
      </c>
      <c r="I365" s="12">
        <v>30</v>
      </c>
      <c r="J365" s="14"/>
      <c r="K365" s="14" t="s">
        <v>61</v>
      </c>
      <c r="L365" s="12" t="s">
        <v>1567</v>
      </c>
      <c r="M365" s="12" t="s">
        <v>150</v>
      </c>
      <c r="N365" s="12">
        <v>30</v>
      </c>
      <c r="O365" s="12">
        <v>30</v>
      </c>
      <c r="P365" s="12">
        <v>0</v>
      </c>
      <c r="Q365" s="16">
        <v>30</v>
      </c>
      <c r="R365" s="16">
        <v>2</v>
      </c>
      <c r="S365" s="16"/>
      <c r="T365" s="33">
        <v>30</v>
      </c>
      <c r="U365" s="33"/>
      <c r="V365" s="29">
        <f>+VLOOKUP(E365,[1]base!D:K,8,0)</f>
        <v>1.794</v>
      </c>
      <c r="W365" s="29">
        <f t="shared" si="37"/>
        <v>53.82</v>
      </c>
      <c r="X365" s="29">
        <f t="shared" si="38"/>
        <v>2.7986399999999998</v>
      </c>
      <c r="Y365" s="29">
        <f>+VLOOKUP(E365,[1]base!D:E,2,0)</f>
        <v>20</v>
      </c>
      <c r="Z365" s="29">
        <f t="shared" si="39"/>
        <v>2</v>
      </c>
      <c r="AA365" s="29">
        <f t="shared" si="40"/>
        <v>0.13333333333333339</v>
      </c>
      <c r="AB365" s="29">
        <f>+VLOOKUP(E365,[1]base!M:N,2,0)</f>
        <v>1978</v>
      </c>
      <c r="AC365" s="29">
        <f>+VLOOKUP(E365,[1]base!M:Q,5,0)</f>
        <v>1480</v>
      </c>
      <c r="AD365" s="30">
        <f>+VLOOKUP(E365,[1]base!M:P,4,0)</f>
        <v>8.595194085027727E-2</v>
      </c>
      <c r="AE365" s="31">
        <f t="shared" si="41"/>
        <v>423.38706099815153</v>
      </c>
    </row>
    <row r="366" spans="1:31" x14ac:dyDescent="0.25">
      <c r="A366" s="12" t="s">
        <v>379</v>
      </c>
      <c r="B366" s="13">
        <v>46212.484976851854</v>
      </c>
      <c r="C366" s="12" t="s">
        <v>24</v>
      </c>
      <c r="D366" s="12" t="s">
        <v>381</v>
      </c>
      <c r="E366" s="26" t="str">
        <f t="shared" si="35"/>
        <v>FR139</v>
      </c>
      <c r="F366" s="27" t="str">
        <f t="shared" si="36"/>
        <v>DARK</v>
      </c>
      <c r="G366" s="27">
        <f>+VLOOKUP(F366,[1]base!A:B,2,0)</f>
        <v>38</v>
      </c>
      <c r="H366" s="12">
        <v>30</v>
      </c>
      <c r="I366" s="12">
        <v>30</v>
      </c>
      <c r="J366" s="14"/>
      <c r="K366" s="14" t="s">
        <v>61</v>
      </c>
      <c r="L366" s="12" t="s">
        <v>382</v>
      </c>
      <c r="M366" s="12" t="s">
        <v>150</v>
      </c>
      <c r="N366" s="12">
        <v>30</v>
      </c>
      <c r="O366" s="12">
        <v>30</v>
      </c>
      <c r="P366" s="12">
        <v>0</v>
      </c>
      <c r="Q366" s="16">
        <v>30</v>
      </c>
      <c r="R366" s="16">
        <v>0</v>
      </c>
      <c r="S366" s="16"/>
      <c r="T366" s="33">
        <v>30</v>
      </c>
      <c r="U366" s="33"/>
      <c r="V366" s="29">
        <f>+VLOOKUP(E366,[1]base!D:K,8,0)</f>
        <v>1.794</v>
      </c>
      <c r="W366" s="29">
        <f t="shared" si="37"/>
        <v>53.82</v>
      </c>
      <c r="X366" s="29">
        <f t="shared" si="38"/>
        <v>2.7986399999999998</v>
      </c>
      <c r="Y366" s="29">
        <f>+VLOOKUP(E366,[1]base!D:E,2,0)</f>
        <v>20</v>
      </c>
      <c r="Z366" s="29">
        <f t="shared" si="39"/>
        <v>2</v>
      </c>
      <c r="AA366" s="29">
        <f t="shared" si="40"/>
        <v>0.13333333333333339</v>
      </c>
      <c r="AB366" s="29">
        <f>+VLOOKUP(E366,[1]base!M:N,2,0)</f>
        <v>1978</v>
      </c>
      <c r="AC366" s="29">
        <f>+VLOOKUP(E366,[1]base!M:Q,5,0)</f>
        <v>1480</v>
      </c>
      <c r="AD366" s="30">
        <f>+VLOOKUP(E366,[1]base!M:P,4,0)</f>
        <v>8.595194085027727E-2</v>
      </c>
      <c r="AE366" s="31">
        <f t="shared" si="41"/>
        <v>423.38706099815153</v>
      </c>
    </row>
    <row r="367" spans="1:31" x14ac:dyDescent="0.25">
      <c r="A367" s="12" t="s">
        <v>1635</v>
      </c>
      <c r="B367" s="13">
        <v>46275.398229166669</v>
      </c>
      <c r="C367" s="12" t="s">
        <v>1636</v>
      </c>
      <c r="D367" s="12" t="s">
        <v>381</v>
      </c>
      <c r="E367" s="26" t="str">
        <f t="shared" si="35"/>
        <v>FR139</v>
      </c>
      <c r="F367" s="27" t="str">
        <f t="shared" si="36"/>
        <v>DARK</v>
      </c>
      <c r="G367" s="27">
        <f>+VLOOKUP(F367,[1]base!A:B,2,0)</f>
        <v>38</v>
      </c>
      <c r="H367" s="12">
        <v>2</v>
      </c>
      <c r="I367" s="12">
        <v>2</v>
      </c>
      <c r="J367" s="14"/>
      <c r="K367" s="14" t="s">
        <v>61</v>
      </c>
      <c r="L367" s="12" t="s">
        <v>1640</v>
      </c>
      <c r="M367" s="12" t="s">
        <v>150</v>
      </c>
      <c r="N367" s="12">
        <v>2</v>
      </c>
      <c r="O367" s="12">
        <v>2</v>
      </c>
      <c r="P367" s="12">
        <v>0</v>
      </c>
      <c r="Q367" s="16">
        <v>2</v>
      </c>
      <c r="R367" s="16">
        <v>0</v>
      </c>
      <c r="S367" s="16"/>
      <c r="T367" s="33">
        <v>2</v>
      </c>
      <c r="U367" s="33"/>
      <c r="V367" s="29">
        <f>+VLOOKUP(E367,[1]base!D:K,8,0)</f>
        <v>1.794</v>
      </c>
      <c r="W367" s="29">
        <f t="shared" si="37"/>
        <v>3.5880000000000001</v>
      </c>
      <c r="X367" s="29">
        <f t="shared" si="38"/>
        <v>0.18657599999999999</v>
      </c>
      <c r="Y367" s="29">
        <f>+VLOOKUP(E367,[1]base!D:E,2,0)</f>
        <v>20</v>
      </c>
      <c r="Z367" s="29">
        <f t="shared" si="39"/>
        <v>1</v>
      </c>
      <c r="AA367" s="29">
        <f t="shared" si="40"/>
        <v>6.6666666666666693E-2</v>
      </c>
      <c r="AB367" s="29">
        <f>+VLOOKUP(E367,[1]base!M:N,2,0)</f>
        <v>1978</v>
      </c>
      <c r="AC367" s="29">
        <f>+VLOOKUP(E367,[1]base!M:Q,5,0)</f>
        <v>1480</v>
      </c>
      <c r="AD367" s="30">
        <f>+VLOOKUP(E367,[1]base!M:P,4,0)</f>
        <v>8.595194085027727E-2</v>
      </c>
      <c r="AE367" s="31">
        <f t="shared" si="41"/>
        <v>423.38706099815153</v>
      </c>
    </row>
    <row r="368" spans="1:31" x14ac:dyDescent="0.25">
      <c r="A368" s="12" t="s">
        <v>1123</v>
      </c>
      <c r="B368" s="13">
        <v>46267.314710648148</v>
      </c>
      <c r="C368" s="12" t="s">
        <v>24</v>
      </c>
      <c r="D368" s="12" t="s">
        <v>1128</v>
      </c>
      <c r="E368" s="26" t="str">
        <f t="shared" si="35"/>
        <v>FR148</v>
      </c>
      <c r="F368" s="27" t="str">
        <f t="shared" si="36"/>
        <v>DARK</v>
      </c>
      <c r="G368" s="27">
        <f>+VLOOKUP(F368,[1]base!A:B,2,0)</f>
        <v>38</v>
      </c>
      <c r="H368" s="12">
        <v>1</v>
      </c>
      <c r="I368" s="12">
        <v>1</v>
      </c>
      <c r="J368" s="14"/>
      <c r="K368" s="14" t="s">
        <v>61</v>
      </c>
      <c r="L368" s="12" t="s">
        <v>1136</v>
      </c>
      <c r="M368" s="12" t="s">
        <v>150</v>
      </c>
      <c r="N368" s="12">
        <v>1</v>
      </c>
      <c r="O368" s="12">
        <v>1</v>
      </c>
      <c r="P368" s="12">
        <v>0</v>
      </c>
      <c r="Q368" s="16">
        <v>1</v>
      </c>
      <c r="R368" s="16">
        <v>0</v>
      </c>
      <c r="S368" s="16"/>
      <c r="T368" s="28">
        <v>1</v>
      </c>
      <c r="U368" s="28"/>
      <c r="V368" s="29">
        <f>+VLOOKUP(E368,[1]base!D:K,8,0)</f>
        <v>5.3754999999999997</v>
      </c>
      <c r="W368" s="29">
        <f t="shared" si="37"/>
        <v>5.3754999999999997</v>
      </c>
      <c r="X368" s="29">
        <f t="shared" si="38"/>
        <v>0.279526</v>
      </c>
      <c r="Y368" s="29">
        <f>+VLOOKUP(E368,[1]base!D:E,2,0)</f>
        <v>13</v>
      </c>
      <c r="Z368" s="29">
        <f t="shared" si="39"/>
        <v>1</v>
      </c>
      <c r="AA368" s="29">
        <f t="shared" si="40"/>
        <v>6.6666666666666693E-2</v>
      </c>
      <c r="AB368" s="29">
        <f>+VLOOKUP(E368,[1]base!M:N,2,0)</f>
        <v>2</v>
      </c>
      <c r="AC368" s="29">
        <f>+VLOOKUP(E368,[1]base!M:Q,5,0)</f>
        <v>92.285714285714292</v>
      </c>
      <c r="AD368" s="30">
        <f>+VLOOKUP(E368,[1]base!M:P,4,0)</f>
        <v>0.33333333333333331</v>
      </c>
      <c r="AE368" s="31">
        <f t="shared" si="41"/>
        <v>-6.6666666666666652E-2</v>
      </c>
    </row>
    <row r="369" spans="1:31" x14ac:dyDescent="0.25">
      <c r="A369" s="12" t="s">
        <v>1339</v>
      </c>
      <c r="B369" s="13">
        <v>46269.394733796296</v>
      </c>
      <c r="C369" s="12" t="s">
        <v>266</v>
      </c>
      <c r="D369" s="12" t="s">
        <v>1349</v>
      </c>
      <c r="E369" s="26" t="str">
        <f t="shared" si="35"/>
        <v>FR151</v>
      </c>
      <c r="F369" s="27" t="str">
        <f t="shared" si="36"/>
        <v>ACAJOU</v>
      </c>
      <c r="G369" s="27">
        <f>+VLOOKUP(F369,[1]base!A:B,2,0)</f>
        <v>15.1</v>
      </c>
      <c r="H369" s="12">
        <v>4</v>
      </c>
      <c r="I369" s="12">
        <v>4</v>
      </c>
      <c r="J369" s="14"/>
      <c r="K369" s="14" t="s">
        <v>61</v>
      </c>
      <c r="L369" s="12" t="s">
        <v>1360</v>
      </c>
      <c r="M369" s="12" t="s">
        <v>150</v>
      </c>
      <c r="N369" s="12">
        <v>4</v>
      </c>
      <c r="O369" s="12">
        <v>4</v>
      </c>
      <c r="P369" s="12">
        <v>0</v>
      </c>
      <c r="Q369" s="16">
        <v>4</v>
      </c>
      <c r="R369" s="16">
        <v>0</v>
      </c>
      <c r="S369" s="16"/>
      <c r="T369" s="28">
        <v>4</v>
      </c>
      <c r="U369" s="28"/>
      <c r="V369" s="29">
        <f>+VLOOKUP(E369,[1]base!D:K,8,0)</f>
        <v>6.3635000000000002</v>
      </c>
      <c r="W369" s="29">
        <f t="shared" si="37"/>
        <v>25.454000000000001</v>
      </c>
      <c r="X369" s="29">
        <f t="shared" si="38"/>
        <v>1.3236079999999999</v>
      </c>
      <c r="Y369" s="29">
        <f>+VLOOKUP(E369,[1]base!D:E,2,0)</f>
        <v>13</v>
      </c>
      <c r="Z369" s="29">
        <f t="shared" si="39"/>
        <v>1</v>
      </c>
      <c r="AA369" s="29">
        <f t="shared" si="40"/>
        <v>6.6666666666666693E-2</v>
      </c>
      <c r="AB369" s="29">
        <f>+VLOOKUP(E369,[1]base!M:N,2,0)</f>
        <v>11</v>
      </c>
      <c r="AC369" s="29">
        <f>+VLOOKUP(E369,[1]base!M:Q,5,0)</f>
        <v>32</v>
      </c>
      <c r="AD369" s="30">
        <f>+VLOOKUP(E369,[1]base!M:P,4,0)</f>
        <v>0.72499999999999998</v>
      </c>
      <c r="AE369" s="31">
        <f t="shared" si="41"/>
        <v>-4.6749999999999998</v>
      </c>
    </row>
    <row r="370" spans="1:31" x14ac:dyDescent="0.25">
      <c r="A370" s="12" t="s">
        <v>1230</v>
      </c>
      <c r="B370" s="13">
        <v>46268.418807870374</v>
      </c>
      <c r="C370" s="12" t="s">
        <v>345</v>
      </c>
      <c r="D370" s="12" t="s">
        <v>1232</v>
      </c>
      <c r="E370" s="26" t="str">
        <f t="shared" si="35"/>
        <v>FR151</v>
      </c>
      <c r="F370" s="27" t="str">
        <f t="shared" si="36"/>
        <v>NOIR</v>
      </c>
      <c r="G370" s="27">
        <f>+VLOOKUP(F370,[1]base!A:B,2,0)</f>
        <v>37</v>
      </c>
      <c r="H370" s="12">
        <v>20</v>
      </c>
      <c r="I370" s="12">
        <v>20</v>
      </c>
      <c r="J370" s="14"/>
      <c r="K370" s="14" t="s">
        <v>61</v>
      </c>
      <c r="L370" s="12" t="s">
        <v>1235</v>
      </c>
      <c r="M370" s="12" t="s">
        <v>150</v>
      </c>
      <c r="N370" s="12">
        <v>20</v>
      </c>
      <c r="O370" s="12">
        <v>20</v>
      </c>
      <c r="P370" s="12">
        <v>0</v>
      </c>
      <c r="Q370" s="16">
        <v>20</v>
      </c>
      <c r="R370" s="16">
        <v>0</v>
      </c>
      <c r="S370" s="16"/>
      <c r="T370" s="28">
        <v>20</v>
      </c>
      <c r="U370" s="28"/>
      <c r="V370" s="29">
        <f>+VLOOKUP(E370,[1]base!D:K,8,0)</f>
        <v>6.3635000000000002</v>
      </c>
      <c r="W370" s="29">
        <f t="shared" si="37"/>
        <v>127.27000000000001</v>
      </c>
      <c r="X370" s="29">
        <f t="shared" si="38"/>
        <v>6.6180400000000006</v>
      </c>
      <c r="Y370" s="29">
        <f>+VLOOKUP(E370,[1]base!D:E,2,0)</f>
        <v>13</v>
      </c>
      <c r="Z370" s="29">
        <f t="shared" si="39"/>
        <v>2</v>
      </c>
      <c r="AA370" s="29">
        <f t="shared" si="40"/>
        <v>0.13333333333333339</v>
      </c>
      <c r="AB370" s="29">
        <f>+VLOOKUP(E370,[1]base!M:N,2,0)</f>
        <v>11</v>
      </c>
      <c r="AC370" s="29">
        <f>+VLOOKUP(E370,[1]base!M:Q,5,0)</f>
        <v>32</v>
      </c>
      <c r="AD370" s="30">
        <f>+VLOOKUP(E370,[1]base!M:P,4,0)</f>
        <v>0.72499999999999998</v>
      </c>
      <c r="AE370" s="31">
        <f t="shared" si="41"/>
        <v>-4.6749999999999998</v>
      </c>
    </row>
    <row r="371" spans="1:31" x14ac:dyDescent="0.25">
      <c r="A371" s="12" t="s">
        <v>1339</v>
      </c>
      <c r="B371" s="13">
        <v>46269.394733796296</v>
      </c>
      <c r="C371" s="12" t="s">
        <v>266</v>
      </c>
      <c r="D371" s="12" t="s">
        <v>1351</v>
      </c>
      <c r="E371" s="26" t="str">
        <f t="shared" si="35"/>
        <v>FR155</v>
      </c>
      <c r="F371" s="27" t="str">
        <f t="shared" si="36"/>
        <v>ACAJOU</v>
      </c>
      <c r="G371" s="27">
        <f>+VLOOKUP(F371,[1]base!A:B,2,0)</f>
        <v>15.1</v>
      </c>
      <c r="H371" s="12">
        <v>1</v>
      </c>
      <c r="I371" s="12">
        <v>1</v>
      </c>
      <c r="J371" s="14"/>
      <c r="K371" s="14" t="s">
        <v>61</v>
      </c>
      <c r="L371" s="12" t="s">
        <v>1362</v>
      </c>
      <c r="M371" s="12" t="s">
        <v>150</v>
      </c>
      <c r="N371" s="12">
        <v>1</v>
      </c>
      <c r="O371" s="12">
        <v>1</v>
      </c>
      <c r="P371" s="12">
        <v>0</v>
      </c>
      <c r="Q371" s="16">
        <v>1</v>
      </c>
      <c r="R371" s="16">
        <v>0</v>
      </c>
      <c r="S371" s="16"/>
      <c r="T371" s="28">
        <v>1</v>
      </c>
      <c r="U371" s="28"/>
      <c r="V371" s="29">
        <f>+VLOOKUP(E371,[1]base!D:K,8,0)</f>
        <v>12.915500000000002</v>
      </c>
      <c r="W371" s="29">
        <f t="shared" si="37"/>
        <v>12.915500000000002</v>
      </c>
      <c r="X371" s="29">
        <f t="shared" si="38"/>
        <v>0.67160600000000004</v>
      </c>
      <c r="Y371" s="29">
        <f>+VLOOKUP(E371,[1]base!D:E,2,0)</f>
        <v>9</v>
      </c>
      <c r="Z371" s="29">
        <f t="shared" si="39"/>
        <v>1</v>
      </c>
      <c r="AA371" s="29">
        <f t="shared" si="40"/>
        <v>6.6666666666666693E-2</v>
      </c>
      <c r="AB371" s="29">
        <f>+VLOOKUP(E371,[1]base!M:N,2,0)</f>
        <v>51</v>
      </c>
      <c r="AC371" s="29">
        <f>+VLOOKUP(E371,[1]base!M:Q,5,0)</f>
        <v>8.6666666666666661</v>
      </c>
      <c r="AD371" s="30">
        <f>+VLOOKUP(E371,[1]base!M:P,4,0)</f>
        <v>0.56034482758620685</v>
      </c>
      <c r="AE371" s="31">
        <f t="shared" si="41"/>
        <v>-13.277586206896549</v>
      </c>
    </row>
    <row r="372" spans="1:31" x14ac:dyDescent="0.25">
      <c r="A372" s="12" t="s">
        <v>732</v>
      </c>
      <c r="B372" s="13">
        <v>46256.374837962961</v>
      </c>
      <c r="C372" s="12" t="s">
        <v>258</v>
      </c>
      <c r="D372" s="12" t="s">
        <v>734</v>
      </c>
      <c r="E372" s="26" t="str">
        <f t="shared" si="35"/>
        <v>FR161</v>
      </c>
      <c r="F372" s="27" t="str">
        <f t="shared" si="36"/>
        <v>NOIR</v>
      </c>
      <c r="G372" s="27">
        <f>+VLOOKUP(F372,[1]base!A:B,2,0)</f>
        <v>37</v>
      </c>
      <c r="H372" s="12">
        <v>3</v>
      </c>
      <c r="I372" s="12">
        <v>3</v>
      </c>
      <c r="J372" s="14"/>
      <c r="K372" s="14" t="s">
        <v>61</v>
      </c>
      <c r="L372" s="12" t="s">
        <v>740</v>
      </c>
      <c r="M372" s="12" t="s">
        <v>150</v>
      </c>
      <c r="N372" s="12">
        <v>3</v>
      </c>
      <c r="O372" s="12">
        <v>3</v>
      </c>
      <c r="P372" s="12">
        <v>0</v>
      </c>
      <c r="Q372" s="16">
        <v>3</v>
      </c>
      <c r="R372" s="16">
        <v>0</v>
      </c>
      <c r="S372" s="16"/>
      <c r="T372" s="28">
        <v>3</v>
      </c>
      <c r="U372" s="28"/>
      <c r="V372" s="29">
        <f>+VLOOKUP(E372,[1]base!D:K,8,0)</f>
        <v>2.1840000000000002</v>
      </c>
      <c r="W372" s="29">
        <f t="shared" si="37"/>
        <v>6.5520000000000005</v>
      </c>
      <c r="X372" s="29">
        <f t="shared" si="38"/>
        <v>0.34070400000000001</v>
      </c>
      <c r="Y372" s="29">
        <f>+VLOOKUP(E372,[1]base!D:E,2,0)</f>
        <v>14</v>
      </c>
      <c r="Z372" s="29">
        <f t="shared" si="39"/>
        <v>1</v>
      </c>
      <c r="AA372" s="29">
        <f t="shared" si="40"/>
        <v>6.6666666666666693E-2</v>
      </c>
      <c r="AB372" s="29">
        <f>+VLOOKUP(E372,[1]base!M:N,2,0)</f>
        <v>37</v>
      </c>
      <c r="AC372" s="29">
        <f>+VLOOKUP(E372,[1]base!M:Q,5,0)</f>
        <v>24.285714285714285</v>
      </c>
      <c r="AD372" s="30">
        <f>+VLOOKUP(E372,[1]base!M:P,4,0)</f>
        <v>0.56470588235294117</v>
      </c>
      <c r="AE372" s="31">
        <f t="shared" si="41"/>
        <v>-9.7941176470588243</v>
      </c>
    </row>
    <row r="373" spans="1:31" x14ac:dyDescent="0.25">
      <c r="A373" s="12" t="s">
        <v>1021</v>
      </c>
      <c r="B373" s="13">
        <v>46266.424675925926</v>
      </c>
      <c r="C373" s="12" t="s">
        <v>24</v>
      </c>
      <c r="D373" s="12" t="s">
        <v>1037</v>
      </c>
      <c r="E373" s="26" t="str">
        <f t="shared" si="35"/>
        <v>FR161</v>
      </c>
      <c r="F373" s="27" t="str">
        <f t="shared" si="36"/>
        <v>DARK</v>
      </c>
      <c r="G373" s="27">
        <f>+VLOOKUP(F373,[1]base!A:B,2,0)</f>
        <v>38</v>
      </c>
      <c r="H373" s="12">
        <v>6</v>
      </c>
      <c r="I373" s="12">
        <v>6</v>
      </c>
      <c r="J373" s="14"/>
      <c r="K373" s="14" t="s">
        <v>61</v>
      </c>
      <c r="L373" s="12" t="s">
        <v>1068</v>
      </c>
      <c r="M373" s="12" t="s">
        <v>150</v>
      </c>
      <c r="N373" s="12">
        <v>6</v>
      </c>
      <c r="O373" s="12">
        <v>6</v>
      </c>
      <c r="P373" s="12">
        <v>0</v>
      </c>
      <c r="Q373" s="16">
        <v>6</v>
      </c>
      <c r="R373" s="16">
        <v>1</v>
      </c>
      <c r="S373" s="16"/>
      <c r="T373" s="28">
        <v>5</v>
      </c>
      <c r="U373" s="28">
        <v>1</v>
      </c>
      <c r="V373" s="29">
        <f>+VLOOKUP(E373,[1]base!D:K,8,0)</f>
        <v>2.1840000000000002</v>
      </c>
      <c r="W373" s="29">
        <f t="shared" si="37"/>
        <v>13.104000000000001</v>
      </c>
      <c r="X373" s="29">
        <f t="shared" si="38"/>
        <v>0.68140800000000001</v>
      </c>
      <c r="Y373" s="29">
        <f>+VLOOKUP(E373,[1]base!D:E,2,0)</f>
        <v>14</v>
      </c>
      <c r="Z373" s="29">
        <f t="shared" si="39"/>
        <v>1</v>
      </c>
      <c r="AA373" s="29">
        <f t="shared" si="40"/>
        <v>6.6666666666666693E-2</v>
      </c>
      <c r="AB373" s="29">
        <f>+VLOOKUP(E373,[1]base!M:N,2,0)</f>
        <v>37</v>
      </c>
      <c r="AC373" s="29">
        <f>+VLOOKUP(E373,[1]base!M:Q,5,0)</f>
        <v>24.285714285714285</v>
      </c>
      <c r="AD373" s="30">
        <f>+VLOOKUP(E373,[1]base!M:P,4,0)</f>
        <v>0.56470588235294117</v>
      </c>
      <c r="AE373" s="31">
        <f t="shared" si="41"/>
        <v>-9.7941176470588243</v>
      </c>
    </row>
    <row r="374" spans="1:31" x14ac:dyDescent="0.25">
      <c r="A374" s="12" t="s">
        <v>1123</v>
      </c>
      <c r="B374" s="13">
        <v>46267.314710648148</v>
      </c>
      <c r="C374" s="12" t="s">
        <v>24</v>
      </c>
      <c r="D374" s="12" t="s">
        <v>1037</v>
      </c>
      <c r="E374" s="26" t="str">
        <f t="shared" si="35"/>
        <v>FR161</v>
      </c>
      <c r="F374" s="27" t="str">
        <f t="shared" si="36"/>
        <v>DARK</v>
      </c>
      <c r="G374" s="27">
        <f>+VLOOKUP(F374,[1]base!A:B,2,0)</f>
        <v>38</v>
      </c>
      <c r="H374" s="12">
        <v>2</v>
      </c>
      <c r="I374" s="12">
        <v>2</v>
      </c>
      <c r="J374" s="14"/>
      <c r="K374" s="14" t="s">
        <v>61</v>
      </c>
      <c r="L374" s="12" t="s">
        <v>1137</v>
      </c>
      <c r="M374" s="12" t="s">
        <v>150</v>
      </c>
      <c r="N374" s="12">
        <v>2</v>
      </c>
      <c r="O374" s="12">
        <v>2</v>
      </c>
      <c r="P374" s="12">
        <v>0</v>
      </c>
      <c r="Q374" s="16">
        <v>2</v>
      </c>
      <c r="R374" s="16">
        <v>1</v>
      </c>
      <c r="S374" s="16"/>
      <c r="T374" s="28">
        <v>2</v>
      </c>
      <c r="U374" s="28"/>
      <c r="V374" s="29">
        <f>+VLOOKUP(E374,[1]base!D:K,8,0)</f>
        <v>2.1840000000000002</v>
      </c>
      <c r="W374" s="29">
        <f t="shared" si="37"/>
        <v>4.3680000000000003</v>
      </c>
      <c r="X374" s="29">
        <f t="shared" si="38"/>
        <v>0.227136</v>
      </c>
      <c r="Y374" s="29">
        <f>+VLOOKUP(E374,[1]base!D:E,2,0)</f>
        <v>14</v>
      </c>
      <c r="Z374" s="29">
        <f t="shared" si="39"/>
        <v>1</v>
      </c>
      <c r="AA374" s="29">
        <f t="shared" si="40"/>
        <v>6.6666666666666693E-2</v>
      </c>
      <c r="AB374" s="29">
        <f>+VLOOKUP(E374,[1]base!M:N,2,0)</f>
        <v>37</v>
      </c>
      <c r="AC374" s="29">
        <f>+VLOOKUP(E374,[1]base!M:Q,5,0)</f>
        <v>24.285714285714285</v>
      </c>
      <c r="AD374" s="30">
        <f>+VLOOKUP(E374,[1]base!M:P,4,0)</f>
        <v>0.56470588235294117</v>
      </c>
      <c r="AE374" s="31">
        <f t="shared" si="41"/>
        <v>-9.7941176470588243</v>
      </c>
    </row>
    <row r="375" spans="1:31" x14ac:dyDescent="0.25">
      <c r="A375" s="12" t="s">
        <v>1339</v>
      </c>
      <c r="B375" s="13">
        <v>46269.394733796296</v>
      </c>
      <c r="C375" s="12" t="s">
        <v>266</v>
      </c>
      <c r="D375" s="12" t="s">
        <v>481</v>
      </c>
      <c r="E375" s="26" t="str">
        <f t="shared" si="35"/>
        <v>FR164</v>
      </c>
      <c r="F375" s="27" t="str">
        <f t="shared" si="36"/>
        <v>ACAJOU</v>
      </c>
      <c r="G375" s="27">
        <f>+VLOOKUP(F375,[1]base!A:B,2,0)</f>
        <v>15.1</v>
      </c>
      <c r="H375" s="12">
        <v>6</v>
      </c>
      <c r="I375" s="12">
        <v>6</v>
      </c>
      <c r="J375" s="14"/>
      <c r="K375" s="14" t="s">
        <v>61</v>
      </c>
      <c r="L375" s="12" t="s">
        <v>1364</v>
      </c>
      <c r="M375" s="12" t="s">
        <v>150</v>
      </c>
      <c r="N375" s="12">
        <v>6</v>
      </c>
      <c r="O375" s="12">
        <v>6</v>
      </c>
      <c r="P375" s="12">
        <v>0</v>
      </c>
      <c r="Q375" s="16">
        <v>6</v>
      </c>
      <c r="R375" s="16">
        <v>0</v>
      </c>
      <c r="S375" s="16"/>
      <c r="T375" s="28">
        <v>6</v>
      </c>
      <c r="U375" s="28"/>
      <c r="V375" s="29">
        <f>+VLOOKUP(E375,[1]base!D:K,8,0)</f>
        <v>3.5945000000000005</v>
      </c>
      <c r="W375" s="29">
        <f t="shared" si="37"/>
        <v>21.567000000000004</v>
      </c>
      <c r="X375" s="29">
        <f t="shared" si="38"/>
        <v>1.1214840000000001</v>
      </c>
      <c r="Y375" s="29">
        <f>+VLOOKUP(E375,[1]base!D:E,2,0)</f>
        <v>14</v>
      </c>
      <c r="Z375" s="29">
        <f t="shared" si="39"/>
        <v>1</v>
      </c>
      <c r="AA375" s="29">
        <f t="shared" si="40"/>
        <v>6.6666666666666693E-2</v>
      </c>
      <c r="AB375" s="29">
        <f>+VLOOKUP(E375,[1]base!M:N,2,0)</f>
        <v>42</v>
      </c>
      <c r="AC375" s="29">
        <f>+VLOOKUP(E375,[1]base!M:Q,5,0)</f>
        <v>26.625</v>
      </c>
      <c r="AD375" s="30">
        <f>+VLOOKUP(E375,[1]base!M:P,4,0)</f>
        <v>0.59223300970873782</v>
      </c>
      <c r="AE375" s="31">
        <f t="shared" si="41"/>
        <v>-12.273786407766989</v>
      </c>
    </row>
    <row r="376" spans="1:31" x14ac:dyDescent="0.25">
      <c r="A376" s="12" t="s">
        <v>792</v>
      </c>
      <c r="B376" s="13">
        <v>46260.398888888885</v>
      </c>
      <c r="C376" s="12" t="s">
        <v>24</v>
      </c>
      <c r="D376" s="12" t="s">
        <v>809</v>
      </c>
      <c r="E376" s="26" t="str">
        <f t="shared" si="35"/>
        <v>FR164</v>
      </c>
      <c r="F376" s="27" t="str">
        <f t="shared" si="36"/>
        <v>GREY</v>
      </c>
      <c r="G376" s="27">
        <f>+VLOOKUP(F376,[1]base!A:B,2,0)</f>
        <v>24</v>
      </c>
      <c r="H376" s="12">
        <v>1</v>
      </c>
      <c r="I376" s="12">
        <v>1</v>
      </c>
      <c r="J376" s="14"/>
      <c r="K376" s="14" t="s">
        <v>61</v>
      </c>
      <c r="L376" s="12" t="s">
        <v>820</v>
      </c>
      <c r="M376" s="12" t="s">
        <v>150</v>
      </c>
      <c r="N376" s="12">
        <v>1</v>
      </c>
      <c r="O376" s="12">
        <v>1</v>
      </c>
      <c r="P376" s="12">
        <v>0</v>
      </c>
      <c r="Q376" s="16">
        <v>1</v>
      </c>
      <c r="R376" s="16">
        <v>0</v>
      </c>
      <c r="S376" s="16"/>
      <c r="T376" s="28">
        <v>1</v>
      </c>
      <c r="U376" s="28"/>
      <c r="V376" s="29">
        <f>+VLOOKUP(E376,[1]base!D:K,8,0)</f>
        <v>3.5945000000000005</v>
      </c>
      <c r="W376" s="29">
        <f t="shared" si="37"/>
        <v>3.5945000000000005</v>
      </c>
      <c r="X376" s="29">
        <f t="shared" si="38"/>
        <v>0.18691400000000002</v>
      </c>
      <c r="Y376" s="29">
        <f>+VLOOKUP(E376,[1]base!D:E,2,0)</f>
        <v>14</v>
      </c>
      <c r="Z376" s="29">
        <f t="shared" si="39"/>
        <v>1</v>
      </c>
      <c r="AA376" s="29">
        <f t="shared" si="40"/>
        <v>6.6666666666666693E-2</v>
      </c>
      <c r="AB376" s="29">
        <f>+VLOOKUP(E376,[1]base!M:N,2,0)</f>
        <v>42</v>
      </c>
      <c r="AC376" s="29">
        <f>+VLOOKUP(E376,[1]base!M:Q,5,0)</f>
        <v>26.625</v>
      </c>
      <c r="AD376" s="30">
        <f>+VLOOKUP(E376,[1]base!M:P,4,0)</f>
        <v>0.59223300970873782</v>
      </c>
      <c r="AE376" s="31">
        <f t="shared" si="41"/>
        <v>-12.273786407766989</v>
      </c>
    </row>
    <row r="377" spans="1:31" x14ac:dyDescent="0.25">
      <c r="A377" s="12"/>
      <c r="B377" s="13"/>
      <c r="C377" s="12"/>
      <c r="D377" s="12" t="s">
        <v>454</v>
      </c>
      <c r="E377" s="26" t="str">
        <f t="shared" si="35"/>
        <v>FR166</v>
      </c>
      <c r="F377" s="27" t="str">
        <f t="shared" si="36"/>
        <v>BLC</v>
      </c>
      <c r="G377" s="27">
        <f>+VLOOKUP(F377,[1]base!A:B,2,0)</f>
        <v>1</v>
      </c>
      <c r="H377" s="12">
        <v>50</v>
      </c>
      <c r="I377" s="12">
        <v>50</v>
      </c>
      <c r="J377" s="14"/>
      <c r="K377" s="14" t="s">
        <v>61</v>
      </c>
      <c r="L377" s="12" t="s">
        <v>27</v>
      </c>
      <c r="M377" s="12" t="s">
        <v>28</v>
      </c>
      <c r="N377" s="12"/>
      <c r="O377" s="12"/>
      <c r="P377" s="12"/>
      <c r="Q377" s="16">
        <v>50</v>
      </c>
      <c r="R377" s="16">
        <v>0</v>
      </c>
      <c r="S377" s="16"/>
      <c r="T377" s="28">
        <v>60</v>
      </c>
      <c r="U377" s="28"/>
      <c r="V377" s="29">
        <f>+VLOOKUP(E377,[1]base!D:K,8,0)</f>
        <v>1.6705000000000001</v>
      </c>
      <c r="W377" s="29">
        <f t="shared" si="37"/>
        <v>100.23</v>
      </c>
      <c r="X377" s="29">
        <f t="shared" si="38"/>
        <v>5.2119600000000004</v>
      </c>
      <c r="Y377" s="29">
        <f>+VLOOKUP(E377,[1]base!D:E,2,0)</f>
        <v>20</v>
      </c>
      <c r="Z377" s="29">
        <f t="shared" si="39"/>
        <v>3</v>
      </c>
      <c r="AA377" s="29">
        <f t="shared" si="40"/>
        <v>0.20000000000000007</v>
      </c>
      <c r="AB377" s="29">
        <f>+VLOOKUP(E377,[1]base!M:N,2,0)</f>
        <v>169</v>
      </c>
      <c r="AC377" s="29">
        <f>+VLOOKUP(E377,[1]base!M:Q,5,0)</f>
        <v>435.66666666666669</v>
      </c>
      <c r="AD377" s="30">
        <f>+VLOOKUP(E377,[1]base!M:P,4,0)</f>
        <v>0.31300813008130079</v>
      </c>
      <c r="AE377" s="31">
        <f t="shared" si="41"/>
        <v>-2.1983739837398364</v>
      </c>
    </row>
    <row r="378" spans="1:31" x14ac:dyDescent="0.25">
      <c r="A378" s="12" t="s">
        <v>837</v>
      </c>
      <c r="B378" s="13">
        <v>46260.566678240742</v>
      </c>
      <c r="C378" s="12" t="s">
        <v>522</v>
      </c>
      <c r="D378" s="12" t="s">
        <v>838</v>
      </c>
      <c r="E378" s="26" t="str">
        <f t="shared" si="35"/>
        <v>FR166</v>
      </c>
      <c r="F378" s="27" t="str">
        <f t="shared" si="36"/>
        <v>NOIR</v>
      </c>
      <c r="G378" s="27">
        <f>+VLOOKUP(F378,[1]base!A:B,2,0)</f>
        <v>37</v>
      </c>
      <c r="H378" s="12">
        <v>50</v>
      </c>
      <c r="I378" s="12">
        <v>50</v>
      </c>
      <c r="J378" s="14"/>
      <c r="K378" s="14" t="s">
        <v>61</v>
      </c>
      <c r="L378" s="12" t="s">
        <v>842</v>
      </c>
      <c r="M378" s="12" t="s">
        <v>150</v>
      </c>
      <c r="N378" s="12">
        <v>50</v>
      </c>
      <c r="O378" s="12">
        <v>50</v>
      </c>
      <c r="P378" s="12">
        <v>0</v>
      </c>
      <c r="Q378" s="16">
        <v>50</v>
      </c>
      <c r="R378" s="16">
        <v>0</v>
      </c>
      <c r="S378" s="16"/>
      <c r="T378" s="28">
        <v>50</v>
      </c>
      <c r="U378" s="28"/>
      <c r="V378" s="29">
        <f>+VLOOKUP(E378,[1]base!D:K,8,0)</f>
        <v>1.6705000000000001</v>
      </c>
      <c r="W378" s="29">
        <f t="shared" si="37"/>
        <v>83.525000000000006</v>
      </c>
      <c r="X378" s="29">
        <f t="shared" si="38"/>
        <v>4.3433000000000002</v>
      </c>
      <c r="Y378" s="29">
        <f>+VLOOKUP(E378,[1]base!D:E,2,0)</f>
        <v>20</v>
      </c>
      <c r="Z378" s="29">
        <f t="shared" si="39"/>
        <v>3</v>
      </c>
      <c r="AA378" s="29">
        <f t="shared" si="40"/>
        <v>0.20000000000000007</v>
      </c>
      <c r="AB378" s="29">
        <f>+VLOOKUP(E378,[1]base!M:N,2,0)</f>
        <v>169</v>
      </c>
      <c r="AC378" s="29">
        <f>+VLOOKUP(E378,[1]base!M:Q,5,0)</f>
        <v>435.66666666666669</v>
      </c>
      <c r="AD378" s="30">
        <f>+VLOOKUP(E378,[1]base!M:P,4,0)</f>
        <v>0.31300813008130079</v>
      </c>
      <c r="AE378" s="31">
        <f t="shared" si="41"/>
        <v>-2.1983739837398364</v>
      </c>
    </row>
    <row r="379" spans="1:31" x14ac:dyDescent="0.25">
      <c r="A379" s="12" t="s">
        <v>1286</v>
      </c>
      <c r="B379" s="13">
        <v>46268.660324074073</v>
      </c>
      <c r="C379" s="12" t="s">
        <v>1287</v>
      </c>
      <c r="D379" s="12" t="s">
        <v>838</v>
      </c>
      <c r="E379" s="26" t="str">
        <f t="shared" si="35"/>
        <v>FR166</v>
      </c>
      <c r="F379" s="27" t="str">
        <f t="shared" si="36"/>
        <v>NOIR</v>
      </c>
      <c r="G379" s="27">
        <f>+VLOOKUP(F379,[1]base!A:B,2,0)</f>
        <v>37</v>
      </c>
      <c r="H379" s="12">
        <v>1</v>
      </c>
      <c r="I379" s="12">
        <v>1</v>
      </c>
      <c r="J379" s="14"/>
      <c r="K379" s="14" t="s">
        <v>61</v>
      </c>
      <c r="L379" s="12" t="s">
        <v>1289</v>
      </c>
      <c r="M379" s="12" t="s">
        <v>150</v>
      </c>
      <c r="N379" s="12">
        <v>1</v>
      </c>
      <c r="O379" s="12">
        <v>1</v>
      </c>
      <c r="P379" s="12">
        <v>0</v>
      </c>
      <c r="Q379" s="16">
        <v>1</v>
      </c>
      <c r="R379" s="16">
        <v>0</v>
      </c>
      <c r="S379" s="16"/>
      <c r="T379" s="28">
        <v>1</v>
      </c>
      <c r="U379" s="28"/>
      <c r="V379" s="29">
        <f>+VLOOKUP(E379,[1]base!D:K,8,0)</f>
        <v>1.6705000000000001</v>
      </c>
      <c r="W379" s="29">
        <f t="shared" si="37"/>
        <v>1.6705000000000001</v>
      </c>
      <c r="X379" s="29">
        <f t="shared" si="38"/>
        <v>8.6865999999999999E-2</v>
      </c>
      <c r="Y379" s="29">
        <f>+VLOOKUP(E379,[1]base!D:E,2,0)</f>
        <v>20</v>
      </c>
      <c r="Z379" s="29">
        <f t="shared" si="39"/>
        <v>1</v>
      </c>
      <c r="AA379" s="29">
        <f t="shared" si="40"/>
        <v>6.6666666666666693E-2</v>
      </c>
      <c r="AB379" s="29">
        <f>+VLOOKUP(E379,[1]base!M:N,2,0)</f>
        <v>169</v>
      </c>
      <c r="AC379" s="29">
        <f>+VLOOKUP(E379,[1]base!M:Q,5,0)</f>
        <v>435.66666666666669</v>
      </c>
      <c r="AD379" s="30">
        <f>+VLOOKUP(E379,[1]base!M:P,4,0)</f>
        <v>0.31300813008130079</v>
      </c>
      <c r="AE379" s="31">
        <f t="shared" si="41"/>
        <v>-2.1983739837398364</v>
      </c>
    </row>
    <row r="380" spans="1:31" x14ac:dyDescent="0.25">
      <c r="A380" s="12" t="s">
        <v>843</v>
      </c>
      <c r="B380" s="13">
        <v>46261.381307870368</v>
      </c>
      <c r="C380" s="12" t="s">
        <v>398</v>
      </c>
      <c r="D380" s="12" t="s">
        <v>847</v>
      </c>
      <c r="E380" s="26" t="str">
        <f t="shared" si="35"/>
        <v>FR166</v>
      </c>
      <c r="F380" s="27" t="str">
        <f t="shared" si="36"/>
        <v>DARK</v>
      </c>
      <c r="G380" s="27">
        <f>+VLOOKUP(F380,[1]base!A:B,2,0)</f>
        <v>38</v>
      </c>
      <c r="H380" s="12">
        <v>20</v>
      </c>
      <c r="I380" s="12">
        <v>20</v>
      </c>
      <c r="J380" s="14"/>
      <c r="K380" s="14" t="s">
        <v>61</v>
      </c>
      <c r="L380" s="12" t="s">
        <v>854</v>
      </c>
      <c r="M380" s="12" t="s">
        <v>150</v>
      </c>
      <c r="N380" s="12">
        <v>20</v>
      </c>
      <c r="O380" s="12">
        <v>20</v>
      </c>
      <c r="P380" s="12">
        <v>0</v>
      </c>
      <c r="Q380" s="16">
        <v>20</v>
      </c>
      <c r="R380" s="16">
        <v>0</v>
      </c>
      <c r="S380" s="16"/>
      <c r="T380" s="28">
        <v>20</v>
      </c>
      <c r="U380" s="28"/>
      <c r="V380" s="29">
        <f>+VLOOKUP(E380,[1]base!D:K,8,0)</f>
        <v>1.6705000000000001</v>
      </c>
      <c r="W380" s="29">
        <f t="shared" si="37"/>
        <v>33.410000000000004</v>
      </c>
      <c r="X380" s="29">
        <f t="shared" si="38"/>
        <v>1.7373200000000002</v>
      </c>
      <c r="Y380" s="29">
        <f>+VLOOKUP(E380,[1]base!D:E,2,0)</f>
        <v>20</v>
      </c>
      <c r="Z380" s="29">
        <f t="shared" si="39"/>
        <v>1</v>
      </c>
      <c r="AA380" s="29">
        <f t="shared" si="40"/>
        <v>6.6666666666666693E-2</v>
      </c>
      <c r="AB380" s="29">
        <f>+VLOOKUP(E380,[1]base!M:N,2,0)</f>
        <v>169</v>
      </c>
      <c r="AC380" s="29">
        <f>+VLOOKUP(E380,[1]base!M:Q,5,0)</f>
        <v>435.66666666666669</v>
      </c>
      <c r="AD380" s="30">
        <f>+VLOOKUP(E380,[1]base!M:P,4,0)</f>
        <v>0.31300813008130079</v>
      </c>
      <c r="AE380" s="31">
        <f t="shared" si="41"/>
        <v>-2.1983739837398364</v>
      </c>
    </row>
    <row r="381" spans="1:31" x14ac:dyDescent="0.25">
      <c r="A381" s="12" t="s">
        <v>1339</v>
      </c>
      <c r="B381" s="13">
        <v>46269.394733796296</v>
      </c>
      <c r="C381" s="12" t="s">
        <v>266</v>
      </c>
      <c r="D381" s="12" t="s">
        <v>1352</v>
      </c>
      <c r="E381" s="26" t="str">
        <f t="shared" si="35"/>
        <v>FR401</v>
      </c>
      <c r="F381" s="27" t="str">
        <f t="shared" si="36"/>
        <v>ACAJOU</v>
      </c>
      <c r="G381" s="27">
        <f>+VLOOKUP(F381,[1]base!A:B,2,0)</f>
        <v>15.1</v>
      </c>
      <c r="H381" s="12">
        <v>6</v>
      </c>
      <c r="I381" s="12">
        <v>6</v>
      </c>
      <c r="J381" s="14"/>
      <c r="K381" s="14" t="s">
        <v>61</v>
      </c>
      <c r="L381" s="12" t="s">
        <v>1363</v>
      </c>
      <c r="M381" s="12" t="s">
        <v>150</v>
      </c>
      <c r="N381" s="12">
        <v>6</v>
      </c>
      <c r="O381" s="12">
        <v>6</v>
      </c>
      <c r="P381" s="12">
        <v>0</v>
      </c>
      <c r="Q381" s="16">
        <v>6</v>
      </c>
      <c r="R381" s="16">
        <v>0</v>
      </c>
      <c r="S381" s="16"/>
      <c r="T381" s="28">
        <v>6</v>
      </c>
      <c r="U381" s="28"/>
      <c r="V381" s="29">
        <f>+VLOOKUP(E381,[1]base!D:K,8,0)</f>
        <v>5.8760000000000003</v>
      </c>
      <c r="W381" s="29">
        <f t="shared" si="37"/>
        <v>35.256</v>
      </c>
      <c r="X381" s="29">
        <f t="shared" si="38"/>
        <v>1.8333119999999998</v>
      </c>
      <c r="Y381" s="29">
        <f>+VLOOKUP(E381,[1]base!D:E,2,0)</f>
        <v>13</v>
      </c>
      <c r="Z381" s="29">
        <f t="shared" si="39"/>
        <v>1</v>
      </c>
      <c r="AA381" s="29">
        <f t="shared" si="40"/>
        <v>6.6666666666666693E-2</v>
      </c>
      <c r="AB381" s="29">
        <f>+VLOOKUP(E381,[1]base!M:N,2,0)</f>
        <v>553</v>
      </c>
      <c r="AC381" s="29">
        <f>+VLOOKUP(E381,[1]base!M:Q,5,0)</f>
        <v>38.75</v>
      </c>
      <c r="AD381" s="30">
        <f>+VLOOKUP(E381,[1]base!M:P,4,0)</f>
        <v>0.21112696148359486</v>
      </c>
      <c r="AE381" s="31">
        <f t="shared" si="41"/>
        <v>49.146790299572039</v>
      </c>
    </row>
    <row r="382" spans="1:31" x14ac:dyDescent="0.25">
      <c r="A382" s="12" t="s">
        <v>1291</v>
      </c>
      <c r="B382" s="13">
        <v>46269.280277777776</v>
      </c>
      <c r="C382" s="12" t="s">
        <v>266</v>
      </c>
      <c r="D382" s="12" t="s">
        <v>1294</v>
      </c>
      <c r="E382" s="26" t="str">
        <f t="shared" si="35"/>
        <v>FR401</v>
      </c>
      <c r="F382" s="27" t="str">
        <f t="shared" si="36"/>
        <v>NOIR</v>
      </c>
      <c r="G382" s="27">
        <f>+VLOOKUP(F382,[1]base!A:B,2,0)</f>
        <v>37</v>
      </c>
      <c r="H382" s="12">
        <v>8</v>
      </c>
      <c r="I382" s="12">
        <v>8</v>
      </c>
      <c r="J382" s="14"/>
      <c r="K382" s="14" t="s">
        <v>61</v>
      </c>
      <c r="L382" s="12" t="s">
        <v>1309</v>
      </c>
      <c r="M382" s="12" t="s">
        <v>150</v>
      </c>
      <c r="N382" s="12">
        <v>8</v>
      </c>
      <c r="O382" s="12">
        <v>8</v>
      </c>
      <c r="P382" s="12">
        <v>0</v>
      </c>
      <c r="Q382" s="16">
        <v>8</v>
      </c>
      <c r="R382" s="16">
        <v>1</v>
      </c>
      <c r="S382" s="16"/>
      <c r="T382" s="28">
        <v>7</v>
      </c>
      <c r="U382" s="28">
        <v>1</v>
      </c>
      <c r="V382" s="29">
        <f>+VLOOKUP(E382,[1]base!D:K,8,0)</f>
        <v>5.8760000000000003</v>
      </c>
      <c r="W382" s="29">
        <f t="shared" si="37"/>
        <v>47.008000000000003</v>
      </c>
      <c r="X382" s="29">
        <f t="shared" si="38"/>
        <v>2.4444159999999999</v>
      </c>
      <c r="Y382" s="29">
        <f>+VLOOKUP(E382,[1]base!D:E,2,0)</f>
        <v>13</v>
      </c>
      <c r="Z382" s="29">
        <f t="shared" si="39"/>
        <v>1</v>
      </c>
      <c r="AA382" s="29">
        <f t="shared" si="40"/>
        <v>6.6666666666666693E-2</v>
      </c>
      <c r="AB382" s="29">
        <f>+VLOOKUP(E382,[1]base!M:N,2,0)</f>
        <v>553</v>
      </c>
      <c r="AC382" s="29">
        <f>+VLOOKUP(E382,[1]base!M:Q,5,0)</f>
        <v>38.75</v>
      </c>
      <c r="AD382" s="30">
        <f>+VLOOKUP(E382,[1]base!M:P,4,0)</f>
        <v>0.21112696148359486</v>
      </c>
      <c r="AE382" s="31">
        <f t="shared" si="41"/>
        <v>49.146790299572039</v>
      </c>
    </row>
    <row r="383" spans="1:31" x14ac:dyDescent="0.25">
      <c r="A383" s="12"/>
      <c r="B383" s="13"/>
      <c r="C383" s="12"/>
      <c r="D383" s="12" t="s">
        <v>201</v>
      </c>
      <c r="E383" s="26" t="str">
        <f t="shared" si="35"/>
        <v>FR402</v>
      </c>
      <c r="F383" s="27" t="str">
        <f t="shared" si="36"/>
        <v>BLC</v>
      </c>
      <c r="G383" s="27">
        <f>+VLOOKUP(F383,[1]base!A:B,2,0)</f>
        <v>1</v>
      </c>
      <c r="H383" s="12">
        <v>60</v>
      </c>
      <c r="I383" s="12">
        <v>50</v>
      </c>
      <c r="J383" s="14"/>
      <c r="K383" s="14" t="s">
        <v>26</v>
      </c>
      <c r="L383" s="12" t="s">
        <v>27</v>
      </c>
      <c r="M383" s="12" t="s">
        <v>28</v>
      </c>
      <c r="N383" s="12"/>
      <c r="O383" s="12"/>
      <c r="P383" s="12"/>
      <c r="Q383" s="16">
        <v>0</v>
      </c>
      <c r="R383" s="16">
        <v>0</v>
      </c>
      <c r="S383" s="16">
        <v>9</v>
      </c>
      <c r="T383" s="28">
        <v>104</v>
      </c>
      <c r="U383" s="28"/>
      <c r="V383" s="29">
        <f>+VLOOKUP(E383,[1]base!D:K,8,0)</f>
        <v>5.7394999999999996</v>
      </c>
      <c r="W383" s="29">
        <f t="shared" si="37"/>
        <v>596.9079999999999</v>
      </c>
      <c r="X383" s="29">
        <f t="shared" si="38"/>
        <v>31.039215999999993</v>
      </c>
      <c r="Y383" s="29">
        <f>+VLOOKUP(E383,[1]base!D:E,2,0)</f>
        <v>13</v>
      </c>
      <c r="Z383" s="29">
        <f t="shared" si="39"/>
        <v>8</v>
      </c>
      <c r="AA383" s="29">
        <f t="shared" si="40"/>
        <v>0.53333333333333355</v>
      </c>
      <c r="AB383" s="29">
        <f>+VLOOKUP(E383,[1]base!M:N,2,0)</f>
        <v>135</v>
      </c>
      <c r="AC383" s="29">
        <f>+VLOOKUP(E383,[1]base!M:Q,5,0)</f>
        <v>898.4545454545455</v>
      </c>
      <c r="AD383" s="30">
        <f>+VLOOKUP(E383,[1]base!M:P,4,0)</f>
        <v>0.13461538461538461</v>
      </c>
      <c r="AE383" s="31">
        <f t="shared" si="41"/>
        <v>22.326923076923077</v>
      </c>
    </row>
    <row r="384" spans="1:31" x14ac:dyDescent="0.25">
      <c r="A384" s="12" t="s">
        <v>1242</v>
      </c>
      <c r="B384" s="13">
        <v>46268.574895833335</v>
      </c>
      <c r="C384" s="12" t="s">
        <v>368</v>
      </c>
      <c r="D384" s="12" t="s">
        <v>1245</v>
      </c>
      <c r="E384" s="26" t="str">
        <f t="shared" si="35"/>
        <v>FR402</v>
      </c>
      <c r="F384" s="27" t="str">
        <f t="shared" si="36"/>
        <v>ACAJOU</v>
      </c>
      <c r="G384" s="27">
        <f>+VLOOKUP(F384,[1]base!A:B,2,0)</f>
        <v>15.1</v>
      </c>
      <c r="H384" s="12">
        <v>8</v>
      </c>
      <c r="I384" s="12">
        <v>8</v>
      </c>
      <c r="J384" s="14"/>
      <c r="K384" s="14" t="s">
        <v>61</v>
      </c>
      <c r="L384" s="12" t="s">
        <v>1253</v>
      </c>
      <c r="M384" s="12" t="s">
        <v>150</v>
      </c>
      <c r="N384" s="12">
        <v>8</v>
      </c>
      <c r="O384" s="12">
        <v>8</v>
      </c>
      <c r="P384" s="12">
        <v>0</v>
      </c>
      <c r="Q384" s="16">
        <v>8</v>
      </c>
      <c r="R384" s="16">
        <v>7</v>
      </c>
      <c r="S384" s="16"/>
      <c r="T384" s="28">
        <v>1</v>
      </c>
      <c r="U384" s="28">
        <v>7</v>
      </c>
      <c r="V384" s="29">
        <f>+VLOOKUP(E384,[1]base!D:K,8,0)</f>
        <v>5.7394999999999996</v>
      </c>
      <c r="W384" s="29">
        <f t="shared" si="37"/>
        <v>45.915999999999997</v>
      </c>
      <c r="X384" s="29">
        <f t="shared" si="38"/>
        <v>2.3876319999999995</v>
      </c>
      <c r="Y384" s="29">
        <f>+VLOOKUP(E384,[1]base!D:E,2,0)</f>
        <v>13</v>
      </c>
      <c r="Z384" s="29">
        <f t="shared" si="39"/>
        <v>1</v>
      </c>
      <c r="AA384" s="29">
        <f t="shared" si="40"/>
        <v>6.6666666666666693E-2</v>
      </c>
      <c r="AB384" s="29">
        <f>+VLOOKUP(E384,[1]base!M:N,2,0)</f>
        <v>135</v>
      </c>
      <c r="AC384" s="29">
        <f>+VLOOKUP(E384,[1]base!M:Q,5,0)</f>
        <v>898.4545454545455</v>
      </c>
      <c r="AD384" s="30">
        <f>+VLOOKUP(E384,[1]base!M:P,4,0)</f>
        <v>0.13461538461538461</v>
      </c>
      <c r="AE384" s="31">
        <f t="shared" si="41"/>
        <v>22.326923076923077</v>
      </c>
    </row>
    <row r="385" spans="1:31" x14ac:dyDescent="0.25">
      <c r="A385" s="12" t="s">
        <v>1339</v>
      </c>
      <c r="B385" s="13">
        <v>46269.394733796296</v>
      </c>
      <c r="C385" s="12" t="s">
        <v>266</v>
      </c>
      <c r="D385" s="12" t="s">
        <v>1245</v>
      </c>
      <c r="E385" s="26" t="str">
        <f t="shared" si="35"/>
        <v>FR402</v>
      </c>
      <c r="F385" s="27" t="str">
        <f t="shared" si="36"/>
        <v>ACAJOU</v>
      </c>
      <c r="G385" s="27">
        <f>+VLOOKUP(F385,[1]base!A:B,2,0)</f>
        <v>15.1</v>
      </c>
      <c r="H385" s="12">
        <v>24</v>
      </c>
      <c r="I385" s="12">
        <v>24</v>
      </c>
      <c r="J385" s="14"/>
      <c r="K385" s="14" t="s">
        <v>61</v>
      </c>
      <c r="L385" s="12" t="s">
        <v>1369</v>
      </c>
      <c r="M385" s="12" t="s">
        <v>150</v>
      </c>
      <c r="N385" s="12">
        <v>24</v>
      </c>
      <c r="O385" s="12">
        <v>24</v>
      </c>
      <c r="P385" s="12">
        <v>0</v>
      </c>
      <c r="Q385" s="16">
        <v>24</v>
      </c>
      <c r="R385" s="16">
        <v>0</v>
      </c>
      <c r="S385" s="16"/>
      <c r="T385" s="28">
        <v>24</v>
      </c>
      <c r="U385" s="28"/>
      <c r="V385" s="29">
        <f>+VLOOKUP(E385,[1]base!D:K,8,0)</f>
        <v>5.7394999999999996</v>
      </c>
      <c r="W385" s="29">
        <f t="shared" si="37"/>
        <v>137.74799999999999</v>
      </c>
      <c r="X385" s="29">
        <f t="shared" si="38"/>
        <v>7.162895999999999</v>
      </c>
      <c r="Y385" s="29">
        <f>+VLOOKUP(E385,[1]base!D:E,2,0)</f>
        <v>13</v>
      </c>
      <c r="Z385" s="29">
        <f t="shared" si="39"/>
        <v>2</v>
      </c>
      <c r="AA385" s="29">
        <f t="shared" si="40"/>
        <v>0.13333333333333339</v>
      </c>
      <c r="AB385" s="29">
        <f>+VLOOKUP(E385,[1]base!M:N,2,0)</f>
        <v>135</v>
      </c>
      <c r="AC385" s="29">
        <f>+VLOOKUP(E385,[1]base!M:Q,5,0)</f>
        <v>898.4545454545455</v>
      </c>
      <c r="AD385" s="30">
        <f>+VLOOKUP(E385,[1]base!M:P,4,0)</f>
        <v>0.13461538461538461</v>
      </c>
      <c r="AE385" s="31">
        <f t="shared" si="41"/>
        <v>22.326923076923077</v>
      </c>
    </row>
    <row r="386" spans="1:31" x14ac:dyDescent="0.25">
      <c r="A386" s="12" t="s">
        <v>1415</v>
      </c>
      <c r="B386" s="13">
        <v>46273.296388888892</v>
      </c>
      <c r="C386" s="12" t="s">
        <v>24</v>
      </c>
      <c r="D386" s="12" t="s">
        <v>1245</v>
      </c>
      <c r="E386" s="26" t="str">
        <f t="shared" ref="E386:E449" si="42">_xlfn.TEXTBEFORE(D386, "-", -1, 1, , D386)</f>
        <v>FR402</v>
      </c>
      <c r="F386" s="27" t="str">
        <f t="shared" ref="F386:F449" si="43">_xlfn.TEXTAFTER(D386, "-", -1, 1, , "")</f>
        <v>ACAJOU</v>
      </c>
      <c r="G386" s="27">
        <f>+VLOOKUP(F386,[1]base!A:B,2,0)</f>
        <v>15.1</v>
      </c>
      <c r="H386" s="12">
        <v>80</v>
      </c>
      <c r="I386" s="12">
        <v>80</v>
      </c>
      <c r="J386" s="14"/>
      <c r="K386" s="14" t="s">
        <v>61</v>
      </c>
      <c r="L386" s="12" t="s">
        <v>1433</v>
      </c>
      <c r="M386" s="12" t="s">
        <v>150</v>
      </c>
      <c r="N386" s="12">
        <v>80</v>
      </c>
      <c r="O386" s="12">
        <v>80</v>
      </c>
      <c r="P386" s="12">
        <v>0</v>
      </c>
      <c r="Q386" s="16">
        <v>220</v>
      </c>
      <c r="R386" s="16">
        <v>7</v>
      </c>
      <c r="S386" s="16"/>
      <c r="T386" s="28">
        <v>80</v>
      </c>
      <c r="U386" s="28"/>
      <c r="V386" s="29">
        <f>+VLOOKUP(E386,[1]base!D:K,8,0)</f>
        <v>5.7394999999999996</v>
      </c>
      <c r="W386" s="29">
        <f t="shared" ref="W386:W449" si="44">(T386+U386)*V386</f>
        <v>459.15999999999997</v>
      </c>
      <c r="X386" s="29">
        <f t="shared" ref="X386:X449" si="45">+W386*0.052</f>
        <v>23.876319999999996</v>
      </c>
      <c r="Y386" s="29">
        <f>+VLOOKUP(E386,[1]base!D:E,2,0)</f>
        <v>13</v>
      </c>
      <c r="Z386" s="29">
        <f t="shared" ref="Z386:Z449" si="46">ROUNDUP(T386/Y386,0)</f>
        <v>7</v>
      </c>
      <c r="AA386" s="29">
        <f t="shared" ref="AA386:AA449" si="47">+Z386*0.0666666666666667</f>
        <v>0.46666666666666684</v>
      </c>
      <c r="AB386" s="29">
        <f>+VLOOKUP(E386,[1]base!M:N,2,0)</f>
        <v>135</v>
      </c>
      <c r="AC386" s="29">
        <f>+VLOOKUP(E386,[1]base!M:Q,5,0)</f>
        <v>898.4545454545455</v>
      </c>
      <c r="AD386" s="30">
        <f>+VLOOKUP(E386,[1]base!M:P,4,0)</f>
        <v>0.13461538461538461</v>
      </c>
      <c r="AE386" s="31">
        <f t="shared" ref="AE386:AE449" si="48">+AB386*(30%-AD386)</f>
        <v>22.326923076923077</v>
      </c>
    </row>
    <row r="387" spans="1:31" x14ac:dyDescent="0.25">
      <c r="A387" s="12" t="s">
        <v>1161</v>
      </c>
      <c r="B387" s="13">
        <v>46267.415729166663</v>
      </c>
      <c r="C387" s="12" t="s">
        <v>661</v>
      </c>
      <c r="D387" s="12" t="s">
        <v>1166</v>
      </c>
      <c r="E387" s="26" t="str">
        <f t="shared" si="42"/>
        <v>FR402</v>
      </c>
      <c r="F387" s="27" t="str">
        <f t="shared" si="43"/>
        <v>GRIS</v>
      </c>
      <c r="G387" s="27">
        <f>+VLOOKUP(F387,[1]base!A:B,2,0)</f>
        <v>22</v>
      </c>
      <c r="H387" s="12">
        <v>10</v>
      </c>
      <c r="I387" s="12">
        <v>10</v>
      </c>
      <c r="J387" s="14"/>
      <c r="K387" s="14" t="s">
        <v>61</v>
      </c>
      <c r="L387" s="12" t="s">
        <v>1177</v>
      </c>
      <c r="M387" s="12" t="s">
        <v>150</v>
      </c>
      <c r="N387" s="12">
        <v>10</v>
      </c>
      <c r="O387" s="12">
        <v>10</v>
      </c>
      <c r="P387" s="12">
        <v>0</v>
      </c>
      <c r="Q387" s="16">
        <v>10</v>
      </c>
      <c r="R387" s="16">
        <v>0</v>
      </c>
      <c r="S387" s="16"/>
      <c r="T387" s="28">
        <v>10</v>
      </c>
      <c r="U387" s="28"/>
      <c r="V387" s="29">
        <f>+VLOOKUP(E387,[1]base!D:K,8,0)</f>
        <v>5.7394999999999996</v>
      </c>
      <c r="W387" s="29">
        <f t="shared" si="44"/>
        <v>57.394999999999996</v>
      </c>
      <c r="X387" s="29">
        <f t="shared" si="45"/>
        <v>2.9845399999999995</v>
      </c>
      <c r="Y387" s="29">
        <f>+VLOOKUP(E387,[1]base!D:E,2,0)</f>
        <v>13</v>
      </c>
      <c r="Z387" s="29">
        <f t="shared" si="46"/>
        <v>1</v>
      </c>
      <c r="AA387" s="29">
        <f t="shared" si="47"/>
        <v>6.6666666666666693E-2</v>
      </c>
      <c r="AB387" s="29">
        <f>+VLOOKUP(E387,[1]base!M:N,2,0)</f>
        <v>135</v>
      </c>
      <c r="AC387" s="29">
        <f>+VLOOKUP(E387,[1]base!M:Q,5,0)</f>
        <v>898.4545454545455</v>
      </c>
      <c r="AD387" s="30">
        <f>+VLOOKUP(E387,[1]base!M:P,4,0)</f>
        <v>0.13461538461538461</v>
      </c>
      <c r="AE387" s="31">
        <f t="shared" si="48"/>
        <v>22.326923076923077</v>
      </c>
    </row>
    <row r="388" spans="1:31" x14ac:dyDescent="0.25">
      <c r="A388" s="12" t="s">
        <v>1218</v>
      </c>
      <c r="B388" s="13">
        <v>46268.354953703703</v>
      </c>
      <c r="C388" s="12" t="s">
        <v>24</v>
      </c>
      <c r="D388" s="12" t="s">
        <v>1166</v>
      </c>
      <c r="E388" s="26" t="str">
        <f t="shared" si="42"/>
        <v>FR402</v>
      </c>
      <c r="F388" s="27" t="str">
        <f t="shared" si="43"/>
        <v>GRIS</v>
      </c>
      <c r="G388" s="27">
        <f>+VLOOKUP(F388,[1]base!A:B,2,0)</f>
        <v>22</v>
      </c>
      <c r="H388" s="12">
        <v>7</v>
      </c>
      <c r="I388" s="12">
        <v>7</v>
      </c>
      <c r="J388" s="14"/>
      <c r="K388" s="14" t="s">
        <v>61</v>
      </c>
      <c r="L388" s="12" t="s">
        <v>1225</v>
      </c>
      <c r="M388" s="12" t="s">
        <v>150</v>
      </c>
      <c r="N388" s="12">
        <v>7</v>
      </c>
      <c r="O388" s="12">
        <v>7</v>
      </c>
      <c r="P388" s="12">
        <v>0</v>
      </c>
      <c r="Q388" s="16">
        <v>7</v>
      </c>
      <c r="R388" s="16">
        <v>0</v>
      </c>
      <c r="S388" s="16"/>
      <c r="T388" s="28">
        <v>7</v>
      </c>
      <c r="U388" s="28"/>
      <c r="V388" s="29">
        <f>+VLOOKUP(E388,[1]base!D:K,8,0)</f>
        <v>5.7394999999999996</v>
      </c>
      <c r="W388" s="29">
        <f t="shared" si="44"/>
        <v>40.176499999999997</v>
      </c>
      <c r="X388" s="29">
        <f t="shared" si="45"/>
        <v>2.089178</v>
      </c>
      <c r="Y388" s="29">
        <f>+VLOOKUP(E388,[1]base!D:E,2,0)</f>
        <v>13</v>
      </c>
      <c r="Z388" s="29">
        <f t="shared" si="46"/>
        <v>1</v>
      </c>
      <c r="AA388" s="29">
        <f t="shared" si="47"/>
        <v>6.6666666666666693E-2</v>
      </c>
      <c r="AB388" s="29">
        <f>+VLOOKUP(E388,[1]base!M:N,2,0)</f>
        <v>135</v>
      </c>
      <c r="AC388" s="29">
        <f>+VLOOKUP(E388,[1]base!M:Q,5,0)</f>
        <v>898.4545454545455</v>
      </c>
      <c r="AD388" s="30">
        <f>+VLOOKUP(E388,[1]base!M:P,4,0)</f>
        <v>0.13461538461538461</v>
      </c>
      <c r="AE388" s="31">
        <f t="shared" si="48"/>
        <v>22.326923076923077</v>
      </c>
    </row>
    <row r="389" spans="1:31" x14ac:dyDescent="0.25">
      <c r="A389" s="12" t="s">
        <v>1241</v>
      </c>
      <c r="B389" s="13">
        <v>46268.574664351851</v>
      </c>
      <c r="C389" s="12" t="s">
        <v>368</v>
      </c>
      <c r="D389" s="12" t="s">
        <v>1166</v>
      </c>
      <c r="E389" s="26" t="str">
        <f t="shared" si="42"/>
        <v>FR402</v>
      </c>
      <c r="F389" s="27" t="str">
        <f t="shared" si="43"/>
        <v>GRIS</v>
      </c>
      <c r="G389" s="27">
        <f>+VLOOKUP(F389,[1]base!A:B,2,0)</f>
        <v>22</v>
      </c>
      <c r="H389" s="12">
        <v>10</v>
      </c>
      <c r="I389" s="12">
        <v>10</v>
      </c>
      <c r="J389" s="14"/>
      <c r="K389" s="14" t="s">
        <v>61</v>
      </c>
      <c r="L389" s="12" t="s">
        <v>1248</v>
      </c>
      <c r="M389" s="12" t="s">
        <v>150</v>
      </c>
      <c r="N389" s="12">
        <v>10</v>
      </c>
      <c r="O389" s="12">
        <v>10</v>
      </c>
      <c r="P389" s="12">
        <v>0</v>
      </c>
      <c r="Q389" s="16">
        <v>10</v>
      </c>
      <c r="R389" s="16">
        <v>0</v>
      </c>
      <c r="S389" s="16"/>
      <c r="T389" s="28">
        <v>10</v>
      </c>
      <c r="U389" s="28"/>
      <c r="V389" s="29">
        <f>+VLOOKUP(E389,[1]base!D:K,8,0)</f>
        <v>5.7394999999999996</v>
      </c>
      <c r="W389" s="29">
        <f t="shared" si="44"/>
        <v>57.394999999999996</v>
      </c>
      <c r="X389" s="29">
        <f t="shared" si="45"/>
        <v>2.9845399999999995</v>
      </c>
      <c r="Y389" s="29">
        <f>+VLOOKUP(E389,[1]base!D:E,2,0)</f>
        <v>13</v>
      </c>
      <c r="Z389" s="29">
        <f t="shared" si="46"/>
        <v>1</v>
      </c>
      <c r="AA389" s="29">
        <f t="shared" si="47"/>
        <v>6.6666666666666693E-2</v>
      </c>
      <c r="AB389" s="29">
        <f>+VLOOKUP(E389,[1]base!M:N,2,0)</f>
        <v>135</v>
      </c>
      <c r="AC389" s="29">
        <f>+VLOOKUP(E389,[1]base!M:Q,5,0)</f>
        <v>898.4545454545455</v>
      </c>
      <c r="AD389" s="30">
        <f>+VLOOKUP(E389,[1]base!M:P,4,0)</f>
        <v>0.13461538461538461</v>
      </c>
      <c r="AE389" s="31">
        <f t="shared" si="48"/>
        <v>22.326923076923077</v>
      </c>
    </row>
    <row r="390" spans="1:31" x14ac:dyDescent="0.25">
      <c r="A390" s="12" t="s">
        <v>1415</v>
      </c>
      <c r="B390" s="13">
        <v>46273.296388888892</v>
      </c>
      <c r="C390" s="12" t="s">
        <v>24</v>
      </c>
      <c r="D390" s="12" t="s">
        <v>1166</v>
      </c>
      <c r="E390" s="26" t="str">
        <f t="shared" si="42"/>
        <v>FR402</v>
      </c>
      <c r="F390" s="27" t="str">
        <f t="shared" si="43"/>
        <v>GRIS</v>
      </c>
      <c r="G390" s="27">
        <f>+VLOOKUP(F390,[1]base!A:B,2,0)</f>
        <v>22</v>
      </c>
      <c r="H390" s="12">
        <v>80</v>
      </c>
      <c r="I390" s="12">
        <v>80</v>
      </c>
      <c r="J390" s="14"/>
      <c r="K390" s="14" t="s">
        <v>61</v>
      </c>
      <c r="L390" s="12" t="s">
        <v>1425</v>
      </c>
      <c r="M390" s="12" t="s">
        <v>150</v>
      </c>
      <c r="N390" s="12">
        <v>80</v>
      </c>
      <c r="O390" s="12">
        <v>80</v>
      </c>
      <c r="P390" s="12">
        <v>0</v>
      </c>
      <c r="Q390" s="16">
        <v>220</v>
      </c>
      <c r="R390" s="16">
        <v>0</v>
      </c>
      <c r="S390" s="16"/>
      <c r="T390" s="28">
        <v>80</v>
      </c>
      <c r="U390" s="28"/>
      <c r="V390" s="29">
        <f>+VLOOKUP(E390,[1]base!D:K,8,0)</f>
        <v>5.7394999999999996</v>
      </c>
      <c r="W390" s="29">
        <f t="shared" si="44"/>
        <v>459.15999999999997</v>
      </c>
      <c r="X390" s="29">
        <f t="shared" si="45"/>
        <v>23.876319999999996</v>
      </c>
      <c r="Y390" s="29">
        <f>+VLOOKUP(E390,[1]base!D:E,2,0)</f>
        <v>13</v>
      </c>
      <c r="Z390" s="29">
        <f t="shared" si="46"/>
        <v>7</v>
      </c>
      <c r="AA390" s="29">
        <f t="shared" si="47"/>
        <v>0.46666666666666684</v>
      </c>
      <c r="AB390" s="29">
        <f>+VLOOKUP(E390,[1]base!M:N,2,0)</f>
        <v>135</v>
      </c>
      <c r="AC390" s="29">
        <f>+VLOOKUP(E390,[1]base!M:Q,5,0)</f>
        <v>898.4545454545455</v>
      </c>
      <c r="AD390" s="30">
        <f>+VLOOKUP(E390,[1]base!M:P,4,0)</f>
        <v>0.13461538461538461</v>
      </c>
      <c r="AE390" s="31">
        <f t="shared" si="48"/>
        <v>22.326923076923077</v>
      </c>
    </row>
    <row r="391" spans="1:31" x14ac:dyDescent="0.25">
      <c r="A391" s="12" t="s">
        <v>1492</v>
      </c>
      <c r="B391" s="13">
        <v>46273.61005787037</v>
      </c>
      <c r="C391" s="12" t="s">
        <v>266</v>
      </c>
      <c r="D391" s="12" t="s">
        <v>1166</v>
      </c>
      <c r="E391" s="26" t="str">
        <f t="shared" si="42"/>
        <v>FR402</v>
      </c>
      <c r="F391" s="27" t="str">
        <f t="shared" si="43"/>
        <v>GRIS</v>
      </c>
      <c r="G391" s="27">
        <f>+VLOOKUP(F391,[1]base!A:B,2,0)</f>
        <v>22</v>
      </c>
      <c r="H391" s="12">
        <v>60</v>
      </c>
      <c r="I391" s="12">
        <v>60</v>
      </c>
      <c r="J391" s="14"/>
      <c r="K391" s="14" t="s">
        <v>61</v>
      </c>
      <c r="L391" s="12" t="s">
        <v>1513</v>
      </c>
      <c r="M391" s="12" t="s">
        <v>150</v>
      </c>
      <c r="N391" s="12">
        <v>60</v>
      </c>
      <c r="O391" s="12">
        <v>60</v>
      </c>
      <c r="P391" s="12">
        <v>0</v>
      </c>
      <c r="Q391" s="16">
        <v>60</v>
      </c>
      <c r="R391" s="16">
        <v>0</v>
      </c>
      <c r="S391" s="16"/>
      <c r="T391" s="28">
        <v>60</v>
      </c>
      <c r="U391" s="28"/>
      <c r="V391" s="29">
        <f>+VLOOKUP(E391,[1]base!D:K,8,0)</f>
        <v>5.7394999999999996</v>
      </c>
      <c r="W391" s="29">
        <f t="shared" si="44"/>
        <v>344.37</v>
      </c>
      <c r="X391" s="29">
        <f t="shared" si="45"/>
        <v>17.907239999999998</v>
      </c>
      <c r="Y391" s="29">
        <f>+VLOOKUP(E391,[1]base!D:E,2,0)</f>
        <v>13</v>
      </c>
      <c r="Z391" s="29">
        <f t="shared" si="46"/>
        <v>5</v>
      </c>
      <c r="AA391" s="29">
        <f t="shared" si="47"/>
        <v>0.33333333333333348</v>
      </c>
      <c r="AB391" s="29">
        <f>+VLOOKUP(E391,[1]base!M:N,2,0)</f>
        <v>135</v>
      </c>
      <c r="AC391" s="29">
        <f>+VLOOKUP(E391,[1]base!M:Q,5,0)</f>
        <v>898.4545454545455</v>
      </c>
      <c r="AD391" s="30">
        <f>+VLOOKUP(E391,[1]base!M:P,4,0)</f>
        <v>0.13461538461538461</v>
      </c>
      <c r="AE391" s="31">
        <f t="shared" si="48"/>
        <v>22.326923076923077</v>
      </c>
    </row>
    <row r="392" spans="1:31" x14ac:dyDescent="0.25">
      <c r="A392" s="12" t="s">
        <v>1549</v>
      </c>
      <c r="B392" s="13">
        <v>46274.600347222222</v>
      </c>
      <c r="C392" s="12" t="s">
        <v>465</v>
      </c>
      <c r="D392" s="12" t="s">
        <v>1166</v>
      </c>
      <c r="E392" s="26" t="str">
        <f t="shared" si="42"/>
        <v>FR402</v>
      </c>
      <c r="F392" s="27" t="str">
        <f t="shared" si="43"/>
        <v>GRIS</v>
      </c>
      <c r="G392" s="27">
        <f>+VLOOKUP(F392,[1]base!A:B,2,0)</f>
        <v>22</v>
      </c>
      <c r="H392" s="12">
        <v>40</v>
      </c>
      <c r="I392" s="12">
        <v>40</v>
      </c>
      <c r="J392" s="14"/>
      <c r="K392" s="14" t="s">
        <v>61</v>
      </c>
      <c r="L392" s="12" t="s">
        <v>1557</v>
      </c>
      <c r="M392" s="12" t="s">
        <v>150</v>
      </c>
      <c r="N392" s="12">
        <v>40</v>
      </c>
      <c r="O392" s="12">
        <v>40</v>
      </c>
      <c r="P392" s="12">
        <v>0</v>
      </c>
      <c r="Q392" s="16">
        <v>60</v>
      </c>
      <c r="R392" s="16">
        <v>0</v>
      </c>
      <c r="S392" s="16"/>
      <c r="T392" s="28">
        <v>40</v>
      </c>
      <c r="U392" s="28"/>
      <c r="V392" s="29">
        <f>+VLOOKUP(E392,[1]base!D:K,8,0)</f>
        <v>5.7394999999999996</v>
      </c>
      <c r="W392" s="29">
        <f t="shared" si="44"/>
        <v>229.57999999999998</v>
      </c>
      <c r="X392" s="29">
        <f t="shared" si="45"/>
        <v>11.938159999999998</v>
      </c>
      <c r="Y392" s="29">
        <f>+VLOOKUP(E392,[1]base!D:E,2,0)</f>
        <v>13</v>
      </c>
      <c r="Z392" s="29">
        <f t="shared" si="46"/>
        <v>4</v>
      </c>
      <c r="AA392" s="29">
        <f t="shared" si="47"/>
        <v>0.26666666666666677</v>
      </c>
      <c r="AB392" s="29">
        <f>+VLOOKUP(E392,[1]base!M:N,2,0)</f>
        <v>135</v>
      </c>
      <c r="AC392" s="29">
        <f>+VLOOKUP(E392,[1]base!M:Q,5,0)</f>
        <v>898.4545454545455</v>
      </c>
      <c r="AD392" s="30">
        <f>+VLOOKUP(E392,[1]base!M:P,4,0)</f>
        <v>0.13461538461538461</v>
      </c>
      <c r="AE392" s="31">
        <f t="shared" si="48"/>
        <v>22.326923076923077</v>
      </c>
    </row>
    <row r="393" spans="1:31" x14ac:dyDescent="0.25">
      <c r="A393" s="12" t="s">
        <v>1517</v>
      </c>
      <c r="B393" s="13">
        <v>46273.621770833335</v>
      </c>
      <c r="C393" s="12" t="s">
        <v>258</v>
      </c>
      <c r="D393" s="12" t="s">
        <v>1518</v>
      </c>
      <c r="E393" s="26" t="str">
        <f t="shared" si="42"/>
        <v>FR402</v>
      </c>
      <c r="F393" s="27" t="str">
        <f t="shared" si="43"/>
        <v>GRISG</v>
      </c>
      <c r="G393" s="27">
        <f>+VLOOKUP(F393,[1]base!A:B,2,0)</f>
        <v>25</v>
      </c>
      <c r="H393" s="12">
        <v>6</v>
      </c>
      <c r="I393" s="12">
        <v>6</v>
      </c>
      <c r="J393" s="14"/>
      <c r="K393" s="14" t="s">
        <v>61</v>
      </c>
      <c r="L393" s="12" t="s">
        <v>1519</v>
      </c>
      <c r="M393" s="12" t="s">
        <v>150</v>
      </c>
      <c r="N393" s="12">
        <v>6</v>
      </c>
      <c r="O393" s="12">
        <v>6</v>
      </c>
      <c r="P393" s="12">
        <v>0</v>
      </c>
      <c r="Q393" s="16">
        <v>6</v>
      </c>
      <c r="R393" s="16">
        <v>0</v>
      </c>
      <c r="S393" s="16"/>
      <c r="T393" s="28">
        <v>6</v>
      </c>
      <c r="U393" s="28"/>
      <c r="V393" s="29">
        <f>+VLOOKUP(E393,[1]base!D:K,8,0)</f>
        <v>5.7394999999999996</v>
      </c>
      <c r="W393" s="29">
        <f t="shared" si="44"/>
        <v>34.436999999999998</v>
      </c>
      <c r="X393" s="29">
        <f t="shared" si="45"/>
        <v>1.7907239999999998</v>
      </c>
      <c r="Y393" s="29">
        <f>+VLOOKUP(E393,[1]base!D:E,2,0)</f>
        <v>13</v>
      </c>
      <c r="Z393" s="29">
        <f t="shared" si="46"/>
        <v>1</v>
      </c>
      <c r="AA393" s="29">
        <f t="shared" si="47"/>
        <v>6.6666666666666693E-2</v>
      </c>
      <c r="AB393" s="29">
        <f>+VLOOKUP(E393,[1]base!M:N,2,0)</f>
        <v>135</v>
      </c>
      <c r="AC393" s="29">
        <f>+VLOOKUP(E393,[1]base!M:Q,5,0)</f>
        <v>898.4545454545455</v>
      </c>
      <c r="AD393" s="30">
        <f>+VLOOKUP(E393,[1]base!M:P,4,0)</f>
        <v>0.13461538461538461</v>
      </c>
      <c r="AE393" s="31">
        <f t="shared" si="48"/>
        <v>22.326923076923077</v>
      </c>
    </row>
    <row r="394" spans="1:31" x14ac:dyDescent="0.25">
      <c r="A394" s="12" t="s">
        <v>353</v>
      </c>
      <c r="B394" s="13">
        <v>46209.432268518518</v>
      </c>
      <c r="C394" s="12" t="s">
        <v>331</v>
      </c>
      <c r="D394" s="12" t="s">
        <v>253</v>
      </c>
      <c r="E394" s="26" t="str">
        <f t="shared" si="42"/>
        <v>FR402</v>
      </c>
      <c r="F394" s="27" t="str">
        <f t="shared" si="43"/>
        <v>NOIR</v>
      </c>
      <c r="G394" s="27">
        <f>+VLOOKUP(F394,[1]base!A:B,2,0)</f>
        <v>37</v>
      </c>
      <c r="H394" s="12">
        <v>40</v>
      </c>
      <c r="I394" s="12">
        <v>40</v>
      </c>
      <c r="J394" s="14"/>
      <c r="K394" s="14" t="s">
        <v>61</v>
      </c>
      <c r="L394" s="12" t="s">
        <v>359</v>
      </c>
      <c r="M394" s="12" t="s">
        <v>150</v>
      </c>
      <c r="N394" s="12">
        <v>40</v>
      </c>
      <c r="O394" s="12">
        <v>40</v>
      </c>
      <c r="P394" s="12">
        <v>0</v>
      </c>
      <c r="Q394" s="16">
        <v>70</v>
      </c>
      <c r="R394" s="16">
        <v>0</v>
      </c>
      <c r="S394" s="16"/>
      <c r="T394" s="28">
        <v>40</v>
      </c>
      <c r="U394" s="28"/>
      <c r="V394" s="29">
        <f>+VLOOKUP(E394,[1]base!D:K,8,0)</f>
        <v>5.7394999999999996</v>
      </c>
      <c r="W394" s="29">
        <f t="shared" si="44"/>
        <v>229.57999999999998</v>
      </c>
      <c r="X394" s="29">
        <f t="shared" si="45"/>
        <v>11.938159999999998</v>
      </c>
      <c r="Y394" s="29">
        <f>+VLOOKUP(E394,[1]base!D:E,2,0)</f>
        <v>13</v>
      </c>
      <c r="Z394" s="29">
        <f t="shared" si="46"/>
        <v>4</v>
      </c>
      <c r="AA394" s="29">
        <f t="shared" si="47"/>
        <v>0.26666666666666677</v>
      </c>
      <c r="AB394" s="29">
        <f>+VLOOKUP(E394,[1]base!M:N,2,0)</f>
        <v>135</v>
      </c>
      <c r="AC394" s="29">
        <f>+VLOOKUP(E394,[1]base!M:Q,5,0)</f>
        <v>898.4545454545455</v>
      </c>
      <c r="AD394" s="30">
        <f>+VLOOKUP(E394,[1]base!M:P,4,0)</f>
        <v>0.13461538461538461</v>
      </c>
      <c r="AE394" s="31">
        <f t="shared" si="48"/>
        <v>22.326923076923077</v>
      </c>
    </row>
    <row r="395" spans="1:31" x14ac:dyDescent="0.25">
      <c r="A395" s="12" t="s">
        <v>397</v>
      </c>
      <c r="B395" s="13">
        <v>46219.315069444441</v>
      </c>
      <c r="C395" s="12" t="s">
        <v>398</v>
      </c>
      <c r="D395" s="12" t="s">
        <v>253</v>
      </c>
      <c r="E395" s="26" t="str">
        <f t="shared" si="42"/>
        <v>FR402</v>
      </c>
      <c r="F395" s="27" t="str">
        <f t="shared" si="43"/>
        <v>NOIR</v>
      </c>
      <c r="G395" s="27">
        <f>+VLOOKUP(F395,[1]base!A:B,2,0)</f>
        <v>37</v>
      </c>
      <c r="H395" s="12">
        <v>16</v>
      </c>
      <c r="I395" s="12">
        <v>16</v>
      </c>
      <c r="J395" s="14"/>
      <c r="K395" s="14" t="s">
        <v>61</v>
      </c>
      <c r="L395" s="12" t="s">
        <v>402</v>
      </c>
      <c r="M395" s="12" t="s">
        <v>150</v>
      </c>
      <c r="N395" s="12">
        <v>16</v>
      </c>
      <c r="O395" s="12">
        <v>16</v>
      </c>
      <c r="P395" s="12">
        <v>0</v>
      </c>
      <c r="Q395" s="16">
        <v>16</v>
      </c>
      <c r="R395" s="16">
        <v>0</v>
      </c>
      <c r="S395" s="16"/>
      <c r="T395" s="28">
        <v>16</v>
      </c>
      <c r="U395" s="28"/>
      <c r="V395" s="29">
        <f>+VLOOKUP(E395,[1]base!D:K,8,0)</f>
        <v>5.7394999999999996</v>
      </c>
      <c r="W395" s="29">
        <f t="shared" si="44"/>
        <v>91.831999999999994</v>
      </c>
      <c r="X395" s="29">
        <f t="shared" si="45"/>
        <v>4.7752639999999991</v>
      </c>
      <c r="Y395" s="29">
        <f>+VLOOKUP(E395,[1]base!D:E,2,0)</f>
        <v>13</v>
      </c>
      <c r="Z395" s="29">
        <f t="shared" si="46"/>
        <v>2</v>
      </c>
      <c r="AA395" s="29">
        <f t="shared" si="47"/>
        <v>0.13333333333333339</v>
      </c>
      <c r="AB395" s="29">
        <f>+VLOOKUP(E395,[1]base!M:N,2,0)</f>
        <v>135</v>
      </c>
      <c r="AC395" s="29">
        <f>+VLOOKUP(E395,[1]base!M:Q,5,0)</f>
        <v>898.4545454545455</v>
      </c>
      <c r="AD395" s="30">
        <f>+VLOOKUP(E395,[1]base!M:P,4,0)</f>
        <v>0.13461538461538461</v>
      </c>
      <c r="AE395" s="31">
        <f t="shared" si="48"/>
        <v>22.326923076923077</v>
      </c>
    </row>
    <row r="396" spans="1:31" x14ac:dyDescent="0.25">
      <c r="A396" s="12" t="s">
        <v>408</v>
      </c>
      <c r="B396" s="13">
        <v>46220.346435185187</v>
      </c>
      <c r="C396" s="12" t="s">
        <v>258</v>
      </c>
      <c r="D396" s="12" t="s">
        <v>253</v>
      </c>
      <c r="E396" s="26" t="str">
        <f t="shared" si="42"/>
        <v>FR402</v>
      </c>
      <c r="F396" s="27" t="str">
        <f t="shared" si="43"/>
        <v>NOIR</v>
      </c>
      <c r="G396" s="27">
        <f>+VLOOKUP(F396,[1]base!A:B,2,0)</f>
        <v>37</v>
      </c>
      <c r="H396" s="12">
        <v>40</v>
      </c>
      <c r="I396" s="12">
        <v>40</v>
      </c>
      <c r="J396" s="14"/>
      <c r="K396" s="14" t="s">
        <v>61</v>
      </c>
      <c r="L396" s="12" t="s">
        <v>410</v>
      </c>
      <c r="M396" s="12" t="s">
        <v>150</v>
      </c>
      <c r="N396" s="12">
        <v>40</v>
      </c>
      <c r="O396" s="12">
        <v>40</v>
      </c>
      <c r="P396" s="12">
        <v>0</v>
      </c>
      <c r="Q396" s="16">
        <v>40</v>
      </c>
      <c r="R396" s="16">
        <v>0</v>
      </c>
      <c r="S396" s="16"/>
      <c r="T396" s="28">
        <v>40</v>
      </c>
      <c r="U396" s="28"/>
      <c r="V396" s="29">
        <f>+VLOOKUP(E396,[1]base!D:K,8,0)</f>
        <v>5.7394999999999996</v>
      </c>
      <c r="W396" s="29">
        <f t="shared" si="44"/>
        <v>229.57999999999998</v>
      </c>
      <c r="X396" s="29">
        <f t="shared" si="45"/>
        <v>11.938159999999998</v>
      </c>
      <c r="Y396" s="29">
        <f>+VLOOKUP(E396,[1]base!D:E,2,0)</f>
        <v>13</v>
      </c>
      <c r="Z396" s="29">
        <f t="shared" si="46"/>
        <v>4</v>
      </c>
      <c r="AA396" s="29">
        <f t="shared" si="47"/>
        <v>0.26666666666666677</v>
      </c>
      <c r="AB396" s="29">
        <f>+VLOOKUP(E396,[1]base!M:N,2,0)</f>
        <v>135</v>
      </c>
      <c r="AC396" s="29">
        <f>+VLOOKUP(E396,[1]base!M:Q,5,0)</f>
        <v>898.4545454545455</v>
      </c>
      <c r="AD396" s="30">
        <f>+VLOOKUP(E396,[1]base!M:P,4,0)</f>
        <v>0.13461538461538461</v>
      </c>
      <c r="AE396" s="31">
        <f t="shared" si="48"/>
        <v>22.326923076923077</v>
      </c>
    </row>
    <row r="397" spans="1:31" x14ac:dyDescent="0.25">
      <c r="A397" s="12" t="s">
        <v>940</v>
      </c>
      <c r="B397" s="13">
        <v>46263.399872685186</v>
      </c>
      <c r="C397" s="12" t="s">
        <v>24</v>
      </c>
      <c r="D397" s="12" t="s">
        <v>253</v>
      </c>
      <c r="E397" s="26" t="str">
        <f t="shared" si="42"/>
        <v>FR402</v>
      </c>
      <c r="F397" s="27" t="str">
        <f t="shared" si="43"/>
        <v>NOIR</v>
      </c>
      <c r="G397" s="27">
        <f>+VLOOKUP(F397,[1]base!A:B,2,0)</f>
        <v>37</v>
      </c>
      <c r="H397" s="12">
        <v>10</v>
      </c>
      <c r="I397" s="12">
        <v>10</v>
      </c>
      <c r="J397" s="14"/>
      <c r="K397" s="14" t="s">
        <v>61</v>
      </c>
      <c r="L397" s="12" t="s">
        <v>950</v>
      </c>
      <c r="M397" s="12" t="s">
        <v>150</v>
      </c>
      <c r="N397" s="12">
        <v>10</v>
      </c>
      <c r="O397" s="12">
        <v>10</v>
      </c>
      <c r="P397" s="12">
        <v>0</v>
      </c>
      <c r="Q397" s="16">
        <v>10</v>
      </c>
      <c r="R397" s="16">
        <v>0</v>
      </c>
      <c r="S397" s="16"/>
      <c r="T397" s="28">
        <v>10</v>
      </c>
      <c r="U397" s="28"/>
      <c r="V397" s="29">
        <f>+VLOOKUP(E397,[1]base!D:K,8,0)</f>
        <v>5.7394999999999996</v>
      </c>
      <c r="W397" s="29">
        <f t="shared" si="44"/>
        <v>57.394999999999996</v>
      </c>
      <c r="X397" s="29">
        <f t="shared" si="45"/>
        <v>2.9845399999999995</v>
      </c>
      <c r="Y397" s="29">
        <f>+VLOOKUP(E397,[1]base!D:E,2,0)</f>
        <v>13</v>
      </c>
      <c r="Z397" s="29">
        <f t="shared" si="46"/>
        <v>1</v>
      </c>
      <c r="AA397" s="29">
        <f t="shared" si="47"/>
        <v>6.6666666666666693E-2</v>
      </c>
      <c r="AB397" s="29">
        <f>+VLOOKUP(E397,[1]base!M:N,2,0)</f>
        <v>135</v>
      </c>
      <c r="AC397" s="29">
        <f>+VLOOKUP(E397,[1]base!M:Q,5,0)</f>
        <v>898.4545454545455</v>
      </c>
      <c r="AD397" s="30">
        <f>+VLOOKUP(E397,[1]base!M:P,4,0)</f>
        <v>0.13461538461538461</v>
      </c>
      <c r="AE397" s="31">
        <f t="shared" si="48"/>
        <v>22.326923076923077</v>
      </c>
    </row>
    <row r="398" spans="1:31" x14ac:dyDescent="0.25">
      <c r="A398" s="12" t="s">
        <v>1141</v>
      </c>
      <c r="B398" s="13">
        <v>46267.323657407411</v>
      </c>
      <c r="C398" s="12" t="s">
        <v>585</v>
      </c>
      <c r="D398" s="12" t="s">
        <v>253</v>
      </c>
      <c r="E398" s="26" t="str">
        <f t="shared" si="42"/>
        <v>FR402</v>
      </c>
      <c r="F398" s="27" t="str">
        <f t="shared" si="43"/>
        <v>NOIR</v>
      </c>
      <c r="G398" s="27">
        <f>+VLOOKUP(F398,[1]base!A:B,2,0)</f>
        <v>37</v>
      </c>
      <c r="H398" s="12">
        <v>80</v>
      </c>
      <c r="I398" s="12">
        <v>80</v>
      </c>
      <c r="J398" s="14"/>
      <c r="K398" s="14" t="s">
        <v>61</v>
      </c>
      <c r="L398" s="12" t="s">
        <v>1149</v>
      </c>
      <c r="M398" s="12" t="s">
        <v>150</v>
      </c>
      <c r="N398" s="12">
        <v>80</v>
      </c>
      <c r="O398" s="12">
        <v>80</v>
      </c>
      <c r="P398" s="12">
        <v>0</v>
      </c>
      <c r="Q398" s="16">
        <v>80</v>
      </c>
      <c r="R398" s="16">
        <v>0</v>
      </c>
      <c r="S398" s="16"/>
      <c r="T398" s="28">
        <v>80</v>
      </c>
      <c r="U398" s="28"/>
      <c r="V398" s="29">
        <f>+VLOOKUP(E398,[1]base!D:K,8,0)</f>
        <v>5.7394999999999996</v>
      </c>
      <c r="W398" s="29">
        <f t="shared" si="44"/>
        <v>459.15999999999997</v>
      </c>
      <c r="X398" s="29">
        <f t="shared" si="45"/>
        <v>23.876319999999996</v>
      </c>
      <c r="Y398" s="29">
        <f>+VLOOKUP(E398,[1]base!D:E,2,0)</f>
        <v>13</v>
      </c>
      <c r="Z398" s="29">
        <f t="shared" si="46"/>
        <v>7</v>
      </c>
      <c r="AA398" s="29">
        <f t="shared" si="47"/>
        <v>0.46666666666666684</v>
      </c>
      <c r="AB398" s="29">
        <f>+VLOOKUP(E398,[1]base!M:N,2,0)</f>
        <v>135</v>
      </c>
      <c r="AC398" s="29">
        <f>+VLOOKUP(E398,[1]base!M:Q,5,0)</f>
        <v>898.4545454545455</v>
      </c>
      <c r="AD398" s="30">
        <f>+VLOOKUP(E398,[1]base!M:P,4,0)</f>
        <v>0.13461538461538461</v>
      </c>
      <c r="AE398" s="31">
        <f t="shared" si="48"/>
        <v>22.326923076923077</v>
      </c>
    </row>
    <row r="399" spans="1:31" x14ac:dyDescent="0.25">
      <c r="A399" s="12" t="s">
        <v>1230</v>
      </c>
      <c r="B399" s="13">
        <v>46268.418807870374</v>
      </c>
      <c r="C399" s="12" t="s">
        <v>345</v>
      </c>
      <c r="D399" s="12" t="s">
        <v>253</v>
      </c>
      <c r="E399" s="26" t="str">
        <f t="shared" si="42"/>
        <v>FR402</v>
      </c>
      <c r="F399" s="27" t="str">
        <f t="shared" si="43"/>
        <v>NOIR</v>
      </c>
      <c r="G399" s="27">
        <f>+VLOOKUP(F399,[1]base!A:B,2,0)</f>
        <v>37</v>
      </c>
      <c r="H399" s="12">
        <v>20</v>
      </c>
      <c r="I399" s="12">
        <v>20</v>
      </c>
      <c r="J399" s="14"/>
      <c r="K399" s="14" t="s">
        <v>61</v>
      </c>
      <c r="L399" s="12" t="s">
        <v>1237</v>
      </c>
      <c r="M399" s="12" t="s">
        <v>150</v>
      </c>
      <c r="N399" s="12">
        <v>20</v>
      </c>
      <c r="O399" s="12">
        <v>20</v>
      </c>
      <c r="P399" s="12">
        <v>0</v>
      </c>
      <c r="Q399" s="16">
        <v>20</v>
      </c>
      <c r="R399" s="16">
        <v>0</v>
      </c>
      <c r="S399" s="16"/>
      <c r="T399" s="28">
        <v>20</v>
      </c>
      <c r="U399" s="28"/>
      <c r="V399" s="29">
        <f>+VLOOKUP(E399,[1]base!D:K,8,0)</f>
        <v>5.7394999999999996</v>
      </c>
      <c r="W399" s="29">
        <f t="shared" si="44"/>
        <v>114.78999999999999</v>
      </c>
      <c r="X399" s="29">
        <f t="shared" si="45"/>
        <v>5.9690799999999991</v>
      </c>
      <c r="Y399" s="29">
        <f>+VLOOKUP(E399,[1]base!D:E,2,0)</f>
        <v>13</v>
      </c>
      <c r="Z399" s="29">
        <f t="shared" si="46"/>
        <v>2</v>
      </c>
      <c r="AA399" s="29">
        <f t="shared" si="47"/>
        <v>0.13333333333333339</v>
      </c>
      <c r="AB399" s="29">
        <f>+VLOOKUP(E399,[1]base!M:N,2,0)</f>
        <v>135</v>
      </c>
      <c r="AC399" s="29">
        <f>+VLOOKUP(E399,[1]base!M:Q,5,0)</f>
        <v>898.4545454545455</v>
      </c>
      <c r="AD399" s="30">
        <f>+VLOOKUP(E399,[1]base!M:P,4,0)</f>
        <v>0.13461538461538461</v>
      </c>
      <c r="AE399" s="31">
        <f t="shared" si="48"/>
        <v>22.326923076923077</v>
      </c>
    </row>
    <row r="400" spans="1:31" x14ac:dyDescent="0.25">
      <c r="A400" s="12" t="s">
        <v>1263</v>
      </c>
      <c r="B400" s="13">
        <v>46268.598738425928</v>
      </c>
      <c r="C400" s="12" t="s">
        <v>522</v>
      </c>
      <c r="D400" s="12" t="s">
        <v>253</v>
      </c>
      <c r="E400" s="26" t="str">
        <f t="shared" si="42"/>
        <v>FR402</v>
      </c>
      <c r="F400" s="27" t="str">
        <f t="shared" si="43"/>
        <v>NOIR</v>
      </c>
      <c r="G400" s="27">
        <f>+VLOOKUP(F400,[1]base!A:B,2,0)</f>
        <v>37</v>
      </c>
      <c r="H400" s="12">
        <v>30</v>
      </c>
      <c r="I400" s="12">
        <v>30</v>
      </c>
      <c r="J400" s="14"/>
      <c r="K400" s="14" t="s">
        <v>61</v>
      </c>
      <c r="L400" s="12" t="s">
        <v>1279</v>
      </c>
      <c r="M400" s="12" t="s">
        <v>150</v>
      </c>
      <c r="N400" s="12">
        <v>30</v>
      </c>
      <c r="O400" s="12">
        <v>30</v>
      </c>
      <c r="P400" s="12">
        <v>0</v>
      </c>
      <c r="Q400" s="16">
        <v>30</v>
      </c>
      <c r="R400" s="16">
        <v>0</v>
      </c>
      <c r="S400" s="16"/>
      <c r="T400" s="28">
        <v>30</v>
      </c>
      <c r="U400" s="28"/>
      <c r="V400" s="29">
        <f>+VLOOKUP(E400,[1]base!D:K,8,0)</f>
        <v>5.7394999999999996</v>
      </c>
      <c r="W400" s="29">
        <f t="shared" si="44"/>
        <v>172.185</v>
      </c>
      <c r="X400" s="29">
        <f t="shared" si="45"/>
        <v>8.953619999999999</v>
      </c>
      <c r="Y400" s="29">
        <f>+VLOOKUP(E400,[1]base!D:E,2,0)</f>
        <v>13</v>
      </c>
      <c r="Z400" s="29">
        <f t="shared" si="46"/>
        <v>3</v>
      </c>
      <c r="AA400" s="29">
        <f t="shared" si="47"/>
        <v>0.20000000000000007</v>
      </c>
      <c r="AB400" s="29">
        <f>+VLOOKUP(E400,[1]base!M:N,2,0)</f>
        <v>135</v>
      </c>
      <c r="AC400" s="29">
        <f>+VLOOKUP(E400,[1]base!M:Q,5,0)</f>
        <v>898.4545454545455</v>
      </c>
      <c r="AD400" s="30">
        <f>+VLOOKUP(E400,[1]base!M:P,4,0)</f>
        <v>0.13461538461538461</v>
      </c>
      <c r="AE400" s="31">
        <f t="shared" si="48"/>
        <v>22.326923076923077</v>
      </c>
    </row>
    <row r="401" spans="1:31" x14ac:dyDescent="0.25">
      <c r="A401" s="12" t="s">
        <v>1286</v>
      </c>
      <c r="B401" s="13">
        <v>46268.660324074073</v>
      </c>
      <c r="C401" s="12" t="s">
        <v>1287</v>
      </c>
      <c r="D401" s="12" t="s">
        <v>253</v>
      </c>
      <c r="E401" s="26" t="str">
        <f t="shared" si="42"/>
        <v>FR402</v>
      </c>
      <c r="F401" s="27" t="str">
        <f t="shared" si="43"/>
        <v>NOIR</v>
      </c>
      <c r="G401" s="27">
        <f>+VLOOKUP(F401,[1]base!A:B,2,0)</f>
        <v>37</v>
      </c>
      <c r="H401" s="12">
        <v>1</v>
      </c>
      <c r="I401" s="12">
        <v>1</v>
      </c>
      <c r="J401" s="14"/>
      <c r="K401" s="14" t="s">
        <v>61</v>
      </c>
      <c r="L401" s="12" t="s">
        <v>1290</v>
      </c>
      <c r="M401" s="12" t="s">
        <v>150</v>
      </c>
      <c r="N401" s="12">
        <v>1</v>
      </c>
      <c r="O401" s="12">
        <v>1</v>
      </c>
      <c r="P401" s="12">
        <v>0</v>
      </c>
      <c r="Q401" s="16">
        <v>1</v>
      </c>
      <c r="R401" s="16">
        <v>0</v>
      </c>
      <c r="S401" s="16"/>
      <c r="T401" s="28">
        <v>1</v>
      </c>
      <c r="U401" s="28"/>
      <c r="V401" s="29">
        <f>+VLOOKUP(E401,[1]base!D:K,8,0)</f>
        <v>5.7394999999999996</v>
      </c>
      <c r="W401" s="29">
        <f t="shared" si="44"/>
        <v>5.7394999999999996</v>
      </c>
      <c r="X401" s="29">
        <f t="shared" si="45"/>
        <v>0.29845399999999994</v>
      </c>
      <c r="Y401" s="29">
        <f>+VLOOKUP(E401,[1]base!D:E,2,0)</f>
        <v>13</v>
      </c>
      <c r="Z401" s="29">
        <f t="shared" si="46"/>
        <v>1</v>
      </c>
      <c r="AA401" s="29">
        <f t="shared" si="47"/>
        <v>6.6666666666666693E-2</v>
      </c>
      <c r="AB401" s="29">
        <f>+VLOOKUP(E401,[1]base!M:N,2,0)</f>
        <v>135</v>
      </c>
      <c r="AC401" s="29">
        <f>+VLOOKUP(E401,[1]base!M:Q,5,0)</f>
        <v>898.4545454545455</v>
      </c>
      <c r="AD401" s="30">
        <f>+VLOOKUP(E401,[1]base!M:P,4,0)</f>
        <v>0.13461538461538461</v>
      </c>
      <c r="AE401" s="31">
        <f t="shared" si="48"/>
        <v>22.326923076923077</v>
      </c>
    </row>
    <row r="402" spans="1:31" x14ac:dyDescent="0.25">
      <c r="A402" s="12" t="s">
        <v>1291</v>
      </c>
      <c r="B402" s="13">
        <v>46269.280277777776</v>
      </c>
      <c r="C402" s="12" t="s">
        <v>266</v>
      </c>
      <c r="D402" s="12" t="s">
        <v>253</v>
      </c>
      <c r="E402" s="26" t="str">
        <f t="shared" si="42"/>
        <v>FR402</v>
      </c>
      <c r="F402" s="27" t="str">
        <f t="shared" si="43"/>
        <v>NOIR</v>
      </c>
      <c r="G402" s="27">
        <f>+VLOOKUP(F402,[1]base!A:B,2,0)</f>
        <v>37</v>
      </c>
      <c r="H402" s="12">
        <v>50</v>
      </c>
      <c r="I402" s="12">
        <v>50</v>
      </c>
      <c r="J402" s="14"/>
      <c r="K402" s="14" t="s">
        <v>61</v>
      </c>
      <c r="L402" s="12" t="s">
        <v>1305</v>
      </c>
      <c r="M402" s="12" t="s">
        <v>150</v>
      </c>
      <c r="N402" s="12">
        <v>50</v>
      </c>
      <c r="O402" s="12">
        <v>50</v>
      </c>
      <c r="P402" s="12">
        <v>0</v>
      </c>
      <c r="Q402" s="16">
        <v>50</v>
      </c>
      <c r="R402" s="16">
        <v>0</v>
      </c>
      <c r="S402" s="16"/>
      <c r="T402" s="28">
        <v>50</v>
      </c>
      <c r="U402" s="28"/>
      <c r="V402" s="29">
        <f>+VLOOKUP(E402,[1]base!D:K,8,0)</f>
        <v>5.7394999999999996</v>
      </c>
      <c r="W402" s="29">
        <f t="shared" si="44"/>
        <v>286.97499999999997</v>
      </c>
      <c r="X402" s="29">
        <f t="shared" si="45"/>
        <v>14.922699999999997</v>
      </c>
      <c r="Y402" s="29">
        <f>+VLOOKUP(E402,[1]base!D:E,2,0)</f>
        <v>13</v>
      </c>
      <c r="Z402" s="29">
        <f t="shared" si="46"/>
        <v>4</v>
      </c>
      <c r="AA402" s="29">
        <f t="shared" si="47"/>
        <v>0.26666666666666677</v>
      </c>
      <c r="AB402" s="29">
        <f>+VLOOKUP(E402,[1]base!M:N,2,0)</f>
        <v>135</v>
      </c>
      <c r="AC402" s="29">
        <f>+VLOOKUP(E402,[1]base!M:Q,5,0)</f>
        <v>898.4545454545455</v>
      </c>
      <c r="AD402" s="30">
        <f>+VLOOKUP(E402,[1]base!M:P,4,0)</f>
        <v>0.13461538461538461</v>
      </c>
      <c r="AE402" s="31">
        <f t="shared" si="48"/>
        <v>22.326923076923077</v>
      </c>
    </row>
    <row r="403" spans="1:31" x14ac:dyDescent="0.25">
      <c r="A403" s="12" t="s">
        <v>1292</v>
      </c>
      <c r="B403" s="13">
        <v>46269.281944444447</v>
      </c>
      <c r="C403" s="12" t="s">
        <v>398</v>
      </c>
      <c r="D403" s="12" t="s">
        <v>253</v>
      </c>
      <c r="E403" s="26" t="str">
        <f t="shared" si="42"/>
        <v>FR402</v>
      </c>
      <c r="F403" s="27" t="str">
        <f t="shared" si="43"/>
        <v>NOIR</v>
      </c>
      <c r="G403" s="27">
        <f>+VLOOKUP(F403,[1]base!A:B,2,0)</f>
        <v>37</v>
      </c>
      <c r="H403" s="12">
        <v>20</v>
      </c>
      <c r="I403" s="12">
        <v>20</v>
      </c>
      <c r="J403" s="14"/>
      <c r="K403" s="14" t="s">
        <v>61</v>
      </c>
      <c r="L403" s="12" t="s">
        <v>1320</v>
      </c>
      <c r="M403" s="12" t="s">
        <v>150</v>
      </c>
      <c r="N403" s="12">
        <v>20</v>
      </c>
      <c r="O403" s="12">
        <v>20</v>
      </c>
      <c r="P403" s="12">
        <v>0</v>
      </c>
      <c r="Q403" s="16">
        <v>52</v>
      </c>
      <c r="R403" s="16">
        <v>0</v>
      </c>
      <c r="S403" s="16"/>
      <c r="T403" s="28">
        <v>20</v>
      </c>
      <c r="U403" s="28"/>
      <c r="V403" s="29">
        <f>+VLOOKUP(E403,[1]base!D:K,8,0)</f>
        <v>5.7394999999999996</v>
      </c>
      <c r="W403" s="29">
        <f t="shared" si="44"/>
        <v>114.78999999999999</v>
      </c>
      <c r="X403" s="29">
        <f t="shared" si="45"/>
        <v>5.9690799999999991</v>
      </c>
      <c r="Y403" s="29">
        <f>+VLOOKUP(E403,[1]base!D:E,2,0)</f>
        <v>13</v>
      </c>
      <c r="Z403" s="29">
        <f t="shared" si="46"/>
        <v>2</v>
      </c>
      <c r="AA403" s="29">
        <f t="shared" si="47"/>
        <v>0.13333333333333339</v>
      </c>
      <c r="AB403" s="29">
        <f>+VLOOKUP(E403,[1]base!M:N,2,0)</f>
        <v>135</v>
      </c>
      <c r="AC403" s="29">
        <f>+VLOOKUP(E403,[1]base!M:Q,5,0)</f>
        <v>898.4545454545455</v>
      </c>
      <c r="AD403" s="30">
        <f>+VLOOKUP(E403,[1]base!M:P,4,0)</f>
        <v>0.13461538461538461</v>
      </c>
      <c r="AE403" s="31">
        <f t="shared" si="48"/>
        <v>22.326923076923077</v>
      </c>
    </row>
    <row r="404" spans="1:31" x14ac:dyDescent="0.25">
      <c r="A404" s="12" t="s">
        <v>1415</v>
      </c>
      <c r="B404" s="13">
        <v>46273.296388888892</v>
      </c>
      <c r="C404" s="12" t="s">
        <v>24</v>
      </c>
      <c r="D404" s="12" t="s">
        <v>253</v>
      </c>
      <c r="E404" s="26" t="str">
        <f t="shared" si="42"/>
        <v>FR402</v>
      </c>
      <c r="F404" s="27" t="str">
        <f t="shared" si="43"/>
        <v>NOIR</v>
      </c>
      <c r="G404" s="27">
        <f>+VLOOKUP(F404,[1]base!A:B,2,0)</f>
        <v>37</v>
      </c>
      <c r="H404" s="12">
        <v>60</v>
      </c>
      <c r="I404" s="12">
        <v>60</v>
      </c>
      <c r="J404" s="14"/>
      <c r="K404" s="14" t="s">
        <v>61</v>
      </c>
      <c r="L404" s="12" t="s">
        <v>1426</v>
      </c>
      <c r="M404" s="12" t="s">
        <v>150</v>
      </c>
      <c r="N404" s="12">
        <v>60</v>
      </c>
      <c r="O404" s="12">
        <v>60</v>
      </c>
      <c r="P404" s="12">
        <v>0</v>
      </c>
      <c r="Q404" s="16">
        <v>220</v>
      </c>
      <c r="R404" s="16">
        <v>0</v>
      </c>
      <c r="S404" s="16"/>
      <c r="T404" s="28">
        <v>60</v>
      </c>
      <c r="U404" s="28"/>
      <c r="V404" s="29">
        <f>+VLOOKUP(E404,[1]base!D:K,8,0)</f>
        <v>5.7394999999999996</v>
      </c>
      <c r="W404" s="29">
        <f t="shared" si="44"/>
        <v>344.37</v>
      </c>
      <c r="X404" s="29">
        <f t="shared" si="45"/>
        <v>17.907239999999998</v>
      </c>
      <c r="Y404" s="29">
        <f>+VLOOKUP(E404,[1]base!D:E,2,0)</f>
        <v>13</v>
      </c>
      <c r="Z404" s="29">
        <f t="shared" si="46"/>
        <v>5</v>
      </c>
      <c r="AA404" s="29">
        <f t="shared" si="47"/>
        <v>0.33333333333333348</v>
      </c>
      <c r="AB404" s="29">
        <f>+VLOOKUP(E404,[1]base!M:N,2,0)</f>
        <v>135</v>
      </c>
      <c r="AC404" s="29">
        <f>+VLOOKUP(E404,[1]base!M:Q,5,0)</f>
        <v>898.4545454545455</v>
      </c>
      <c r="AD404" s="30">
        <f>+VLOOKUP(E404,[1]base!M:P,4,0)</f>
        <v>0.13461538461538461</v>
      </c>
      <c r="AE404" s="31">
        <f t="shared" si="48"/>
        <v>22.326923076923077</v>
      </c>
    </row>
    <row r="405" spans="1:31" x14ac:dyDescent="0.25">
      <c r="A405" s="12" t="s">
        <v>1549</v>
      </c>
      <c r="B405" s="13">
        <v>46274.600347222222</v>
      </c>
      <c r="C405" s="12" t="s">
        <v>465</v>
      </c>
      <c r="D405" s="12" t="s">
        <v>253</v>
      </c>
      <c r="E405" s="26" t="str">
        <f t="shared" si="42"/>
        <v>FR402</v>
      </c>
      <c r="F405" s="27" t="str">
        <f t="shared" si="43"/>
        <v>NOIR</v>
      </c>
      <c r="G405" s="27">
        <f>+VLOOKUP(F405,[1]base!A:B,2,0)</f>
        <v>37</v>
      </c>
      <c r="H405" s="12">
        <v>20</v>
      </c>
      <c r="I405" s="12">
        <v>20</v>
      </c>
      <c r="J405" s="14"/>
      <c r="K405" s="14" t="s">
        <v>61</v>
      </c>
      <c r="L405" s="12" t="s">
        <v>1558</v>
      </c>
      <c r="M405" s="12" t="s">
        <v>150</v>
      </c>
      <c r="N405" s="12">
        <v>20</v>
      </c>
      <c r="O405" s="12">
        <v>20</v>
      </c>
      <c r="P405" s="12">
        <v>0</v>
      </c>
      <c r="Q405" s="16">
        <v>60</v>
      </c>
      <c r="R405" s="16">
        <v>0</v>
      </c>
      <c r="S405" s="16"/>
      <c r="T405" s="28">
        <v>20</v>
      </c>
      <c r="U405" s="28"/>
      <c r="V405" s="29">
        <f>+VLOOKUP(E405,[1]base!D:K,8,0)</f>
        <v>5.7394999999999996</v>
      </c>
      <c r="W405" s="29">
        <f t="shared" si="44"/>
        <v>114.78999999999999</v>
      </c>
      <c r="X405" s="29">
        <f t="shared" si="45"/>
        <v>5.9690799999999991</v>
      </c>
      <c r="Y405" s="29">
        <f>+VLOOKUP(E405,[1]base!D:E,2,0)</f>
        <v>13</v>
      </c>
      <c r="Z405" s="29">
        <f t="shared" si="46"/>
        <v>2</v>
      </c>
      <c r="AA405" s="29">
        <f t="shared" si="47"/>
        <v>0.13333333333333339</v>
      </c>
      <c r="AB405" s="29">
        <f>+VLOOKUP(E405,[1]base!M:N,2,0)</f>
        <v>135</v>
      </c>
      <c r="AC405" s="29">
        <f>+VLOOKUP(E405,[1]base!M:Q,5,0)</f>
        <v>898.4545454545455</v>
      </c>
      <c r="AD405" s="30">
        <f>+VLOOKUP(E405,[1]base!M:P,4,0)</f>
        <v>0.13461538461538461</v>
      </c>
      <c r="AE405" s="31">
        <f t="shared" si="48"/>
        <v>22.326923076923077</v>
      </c>
    </row>
    <row r="406" spans="1:31" x14ac:dyDescent="0.25">
      <c r="A406" s="12" t="s">
        <v>1562</v>
      </c>
      <c r="B406" s="13">
        <v>46274.635497685187</v>
      </c>
      <c r="C406" s="12" t="s">
        <v>484</v>
      </c>
      <c r="D406" s="12" t="s">
        <v>253</v>
      </c>
      <c r="E406" s="26" t="str">
        <f t="shared" si="42"/>
        <v>FR402</v>
      </c>
      <c r="F406" s="27" t="str">
        <f t="shared" si="43"/>
        <v>NOIR</v>
      </c>
      <c r="G406" s="27">
        <f>+VLOOKUP(F406,[1]base!A:B,2,0)</f>
        <v>37</v>
      </c>
      <c r="H406" s="12">
        <v>50</v>
      </c>
      <c r="I406" s="12">
        <v>50</v>
      </c>
      <c r="J406" s="14"/>
      <c r="K406" s="14" t="s">
        <v>61</v>
      </c>
      <c r="L406" s="12" t="s">
        <v>1573</v>
      </c>
      <c r="M406" s="12" t="s">
        <v>150</v>
      </c>
      <c r="N406" s="12">
        <v>50</v>
      </c>
      <c r="O406" s="12">
        <v>50</v>
      </c>
      <c r="P406" s="12">
        <v>0</v>
      </c>
      <c r="Q406" s="16">
        <v>50</v>
      </c>
      <c r="R406" s="16">
        <v>0</v>
      </c>
      <c r="S406" s="16"/>
      <c r="T406" s="28">
        <v>50</v>
      </c>
      <c r="U406" s="28"/>
      <c r="V406" s="29">
        <f>+VLOOKUP(E406,[1]base!D:K,8,0)</f>
        <v>5.7394999999999996</v>
      </c>
      <c r="W406" s="29">
        <f t="shared" si="44"/>
        <v>286.97499999999997</v>
      </c>
      <c r="X406" s="29">
        <f t="shared" si="45"/>
        <v>14.922699999999997</v>
      </c>
      <c r="Y406" s="29">
        <f>+VLOOKUP(E406,[1]base!D:E,2,0)</f>
        <v>13</v>
      </c>
      <c r="Z406" s="29">
        <f t="shared" si="46"/>
        <v>4</v>
      </c>
      <c r="AA406" s="29">
        <f t="shared" si="47"/>
        <v>0.26666666666666677</v>
      </c>
      <c r="AB406" s="29">
        <f>+VLOOKUP(E406,[1]base!M:N,2,0)</f>
        <v>135</v>
      </c>
      <c r="AC406" s="29">
        <f>+VLOOKUP(E406,[1]base!M:Q,5,0)</f>
        <v>898.4545454545455</v>
      </c>
      <c r="AD406" s="30">
        <f>+VLOOKUP(E406,[1]base!M:P,4,0)</f>
        <v>0.13461538461538461</v>
      </c>
      <c r="AE406" s="31">
        <f t="shared" si="48"/>
        <v>22.326923076923077</v>
      </c>
    </row>
    <row r="407" spans="1:31" x14ac:dyDescent="0.25">
      <c r="A407" s="12" t="s">
        <v>353</v>
      </c>
      <c r="B407" s="13">
        <v>46209.432268518518</v>
      </c>
      <c r="C407" s="12" t="s">
        <v>331</v>
      </c>
      <c r="D407" s="12" t="s">
        <v>357</v>
      </c>
      <c r="E407" s="26" t="str">
        <f t="shared" si="42"/>
        <v>FR402</v>
      </c>
      <c r="F407" s="27" t="str">
        <f t="shared" si="43"/>
        <v>DARK</v>
      </c>
      <c r="G407" s="27">
        <f>+VLOOKUP(F407,[1]base!A:B,2,0)</f>
        <v>38</v>
      </c>
      <c r="H407" s="12">
        <v>30</v>
      </c>
      <c r="I407" s="12">
        <v>30</v>
      </c>
      <c r="J407" s="14"/>
      <c r="K407" s="14" t="s">
        <v>61</v>
      </c>
      <c r="L407" s="12" t="s">
        <v>358</v>
      </c>
      <c r="M407" s="12" t="s">
        <v>150</v>
      </c>
      <c r="N407" s="12">
        <v>30</v>
      </c>
      <c r="O407" s="12">
        <v>30</v>
      </c>
      <c r="P407" s="12">
        <v>0</v>
      </c>
      <c r="Q407" s="16">
        <v>70</v>
      </c>
      <c r="R407" s="16">
        <v>0</v>
      </c>
      <c r="S407" s="16"/>
      <c r="T407" s="28">
        <v>30</v>
      </c>
      <c r="U407" s="28"/>
      <c r="V407" s="29">
        <f>+VLOOKUP(E407,[1]base!D:K,8,0)</f>
        <v>5.7394999999999996</v>
      </c>
      <c r="W407" s="29">
        <f t="shared" si="44"/>
        <v>172.185</v>
      </c>
      <c r="X407" s="29">
        <f t="shared" si="45"/>
        <v>8.953619999999999</v>
      </c>
      <c r="Y407" s="29">
        <f>+VLOOKUP(E407,[1]base!D:E,2,0)</f>
        <v>13</v>
      </c>
      <c r="Z407" s="29">
        <f t="shared" si="46"/>
        <v>3</v>
      </c>
      <c r="AA407" s="29">
        <f t="shared" si="47"/>
        <v>0.20000000000000007</v>
      </c>
      <c r="AB407" s="29">
        <f>+VLOOKUP(E407,[1]base!M:N,2,0)</f>
        <v>135</v>
      </c>
      <c r="AC407" s="29">
        <f>+VLOOKUP(E407,[1]base!M:Q,5,0)</f>
        <v>898.4545454545455</v>
      </c>
      <c r="AD407" s="30">
        <f>+VLOOKUP(E407,[1]base!M:P,4,0)</f>
        <v>0.13461538461538461</v>
      </c>
      <c r="AE407" s="31">
        <f t="shared" si="48"/>
        <v>22.326923076923077</v>
      </c>
    </row>
    <row r="408" spans="1:31" x14ac:dyDescent="0.25">
      <c r="A408" s="12" t="s">
        <v>1123</v>
      </c>
      <c r="B408" s="13">
        <v>46267.314710648148</v>
      </c>
      <c r="C408" s="12" t="s">
        <v>24</v>
      </c>
      <c r="D408" s="12" t="s">
        <v>357</v>
      </c>
      <c r="E408" s="26" t="str">
        <f t="shared" si="42"/>
        <v>FR402</v>
      </c>
      <c r="F408" s="27" t="str">
        <f t="shared" si="43"/>
        <v>DARK</v>
      </c>
      <c r="G408" s="27">
        <f>+VLOOKUP(F408,[1]base!A:B,2,0)</f>
        <v>38</v>
      </c>
      <c r="H408" s="12">
        <v>16</v>
      </c>
      <c r="I408" s="12">
        <v>16</v>
      </c>
      <c r="J408" s="14"/>
      <c r="K408" s="14" t="s">
        <v>61</v>
      </c>
      <c r="L408" s="12" t="s">
        <v>1139</v>
      </c>
      <c r="M408" s="12" t="s">
        <v>150</v>
      </c>
      <c r="N408" s="12">
        <v>16</v>
      </c>
      <c r="O408" s="12">
        <v>16</v>
      </c>
      <c r="P408" s="12">
        <v>0</v>
      </c>
      <c r="Q408" s="16">
        <v>16</v>
      </c>
      <c r="R408" s="16">
        <v>0</v>
      </c>
      <c r="S408" s="16"/>
      <c r="T408" s="28">
        <v>16</v>
      </c>
      <c r="U408" s="28"/>
      <c r="V408" s="29">
        <f>+VLOOKUP(E408,[1]base!D:K,8,0)</f>
        <v>5.7394999999999996</v>
      </c>
      <c r="W408" s="29">
        <f t="shared" si="44"/>
        <v>91.831999999999994</v>
      </c>
      <c r="X408" s="29">
        <f t="shared" si="45"/>
        <v>4.7752639999999991</v>
      </c>
      <c r="Y408" s="29">
        <f>+VLOOKUP(E408,[1]base!D:E,2,0)</f>
        <v>13</v>
      </c>
      <c r="Z408" s="29">
        <f t="shared" si="46"/>
        <v>2</v>
      </c>
      <c r="AA408" s="29">
        <f t="shared" si="47"/>
        <v>0.13333333333333339</v>
      </c>
      <c r="AB408" s="29">
        <f>+VLOOKUP(E408,[1]base!M:N,2,0)</f>
        <v>135</v>
      </c>
      <c r="AC408" s="29">
        <f>+VLOOKUP(E408,[1]base!M:Q,5,0)</f>
        <v>898.4545454545455</v>
      </c>
      <c r="AD408" s="30">
        <f>+VLOOKUP(E408,[1]base!M:P,4,0)</f>
        <v>0.13461538461538461</v>
      </c>
      <c r="AE408" s="31">
        <f t="shared" si="48"/>
        <v>22.326923076923077</v>
      </c>
    </row>
    <row r="409" spans="1:31" x14ac:dyDescent="0.25">
      <c r="A409" s="12" t="s">
        <v>1153</v>
      </c>
      <c r="B409" s="13">
        <v>46267.412812499999</v>
      </c>
      <c r="C409" s="12" t="s">
        <v>522</v>
      </c>
      <c r="D409" s="12" t="s">
        <v>357</v>
      </c>
      <c r="E409" s="26" t="str">
        <f t="shared" si="42"/>
        <v>FR402</v>
      </c>
      <c r="F409" s="27" t="str">
        <f t="shared" si="43"/>
        <v>DARK</v>
      </c>
      <c r="G409" s="27">
        <f>+VLOOKUP(F409,[1]base!A:B,2,0)</f>
        <v>38</v>
      </c>
      <c r="H409" s="12">
        <v>5</v>
      </c>
      <c r="I409" s="12">
        <v>5</v>
      </c>
      <c r="J409" s="14"/>
      <c r="K409" s="14" t="s">
        <v>61</v>
      </c>
      <c r="L409" s="12" t="s">
        <v>1172</v>
      </c>
      <c r="M409" s="12" t="s">
        <v>150</v>
      </c>
      <c r="N409" s="12">
        <v>5</v>
      </c>
      <c r="O409" s="12">
        <v>5</v>
      </c>
      <c r="P409" s="12">
        <v>0</v>
      </c>
      <c r="Q409" s="16">
        <v>5</v>
      </c>
      <c r="R409" s="16">
        <v>0</v>
      </c>
      <c r="S409" s="16"/>
      <c r="T409" s="28">
        <v>5</v>
      </c>
      <c r="U409" s="28"/>
      <c r="V409" s="29">
        <f>+VLOOKUP(E409,[1]base!D:K,8,0)</f>
        <v>5.7394999999999996</v>
      </c>
      <c r="W409" s="29">
        <f t="shared" si="44"/>
        <v>28.697499999999998</v>
      </c>
      <c r="X409" s="29">
        <f t="shared" si="45"/>
        <v>1.4922699999999998</v>
      </c>
      <c r="Y409" s="29">
        <f>+VLOOKUP(E409,[1]base!D:E,2,0)</f>
        <v>13</v>
      </c>
      <c r="Z409" s="29">
        <f t="shared" si="46"/>
        <v>1</v>
      </c>
      <c r="AA409" s="29">
        <f t="shared" si="47"/>
        <v>6.6666666666666693E-2</v>
      </c>
      <c r="AB409" s="29">
        <f>+VLOOKUP(E409,[1]base!M:N,2,0)</f>
        <v>135</v>
      </c>
      <c r="AC409" s="29">
        <f>+VLOOKUP(E409,[1]base!M:Q,5,0)</f>
        <v>898.4545454545455</v>
      </c>
      <c r="AD409" s="30">
        <f>+VLOOKUP(E409,[1]base!M:P,4,0)</f>
        <v>0.13461538461538461</v>
      </c>
      <c r="AE409" s="31">
        <f t="shared" si="48"/>
        <v>22.326923076923077</v>
      </c>
    </row>
    <row r="410" spans="1:31" x14ac:dyDescent="0.25">
      <c r="A410" s="12" t="s">
        <v>1337</v>
      </c>
      <c r="B410" s="13">
        <v>46269.368587962963</v>
      </c>
      <c r="C410" s="12" t="s">
        <v>522</v>
      </c>
      <c r="D410" s="12" t="s">
        <v>357</v>
      </c>
      <c r="E410" s="26" t="str">
        <f t="shared" si="42"/>
        <v>FR402</v>
      </c>
      <c r="F410" s="27" t="str">
        <f t="shared" si="43"/>
        <v>DARK</v>
      </c>
      <c r="G410" s="27">
        <f>+VLOOKUP(F410,[1]base!A:B,2,0)</f>
        <v>38</v>
      </c>
      <c r="H410" s="12">
        <v>10</v>
      </c>
      <c r="I410" s="12">
        <v>10</v>
      </c>
      <c r="J410" s="14"/>
      <c r="K410" s="14" t="s">
        <v>61</v>
      </c>
      <c r="L410" s="12" t="s">
        <v>1338</v>
      </c>
      <c r="M410" s="12" t="s">
        <v>150</v>
      </c>
      <c r="N410" s="12">
        <v>10</v>
      </c>
      <c r="O410" s="12">
        <v>10</v>
      </c>
      <c r="P410" s="12">
        <v>0</v>
      </c>
      <c r="Q410" s="16">
        <v>10</v>
      </c>
      <c r="R410" s="16">
        <v>0</v>
      </c>
      <c r="S410" s="16"/>
      <c r="T410" s="28">
        <v>10</v>
      </c>
      <c r="U410" s="28"/>
      <c r="V410" s="29">
        <f>+VLOOKUP(E410,[1]base!D:K,8,0)</f>
        <v>5.7394999999999996</v>
      </c>
      <c r="W410" s="29">
        <f t="shared" si="44"/>
        <v>57.394999999999996</v>
      </c>
      <c r="X410" s="29">
        <f t="shared" si="45"/>
        <v>2.9845399999999995</v>
      </c>
      <c r="Y410" s="29">
        <f>+VLOOKUP(E410,[1]base!D:E,2,0)</f>
        <v>13</v>
      </c>
      <c r="Z410" s="29">
        <f t="shared" si="46"/>
        <v>1</v>
      </c>
      <c r="AA410" s="29">
        <f t="shared" si="47"/>
        <v>6.6666666666666693E-2</v>
      </c>
      <c r="AB410" s="29">
        <f>+VLOOKUP(E410,[1]base!M:N,2,0)</f>
        <v>135</v>
      </c>
      <c r="AC410" s="29">
        <f>+VLOOKUP(E410,[1]base!M:Q,5,0)</f>
        <v>898.4545454545455</v>
      </c>
      <c r="AD410" s="30">
        <f>+VLOOKUP(E410,[1]base!M:P,4,0)</f>
        <v>0.13461538461538461</v>
      </c>
      <c r="AE410" s="31">
        <f t="shared" si="48"/>
        <v>22.326923076923077</v>
      </c>
    </row>
    <row r="411" spans="1:31" x14ac:dyDescent="0.25">
      <c r="A411" s="12" t="s">
        <v>1635</v>
      </c>
      <c r="B411" s="13">
        <v>46275.398229166669</v>
      </c>
      <c r="C411" s="12" t="s">
        <v>1636</v>
      </c>
      <c r="D411" s="12" t="s">
        <v>357</v>
      </c>
      <c r="E411" s="26" t="str">
        <f t="shared" si="42"/>
        <v>FR402</v>
      </c>
      <c r="F411" s="27" t="str">
        <f t="shared" si="43"/>
        <v>DARK</v>
      </c>
      <c r="G411" s="27">
        <f>+VLOOKUP(F411,[1]base!A:B,2,0)</f>
        <v>38</v>
      </c>
      <c r="H411" s="12">
        <v>8</v>
      </c>
      <c r="I411" s="12">
        <v>8</v>
      </c>
      <c r="J411" s="14"/>
      <c r="K411" s="14" t="s">
        <v>61</v>
      </c>
      <c r="L411" s="12" t="s">
        <v>1642</v>
      </c>
      <c r="M411" s="12" t="s">
        <v>150</v>
      </c>
      <c r="N411" s="12">
        <v>8</v>
      </c>
      <c r="O411" s="12">
        <v>8</v>
      </c>
      <c r="P411" s="12">
        <v>0</v>
      </c>
      <c r="Q411" s="16">
        <v>8</v>
      </c>
      <c r="R411" s="16">
        <v>0</v>
      </c>
      <c r="S411" s="16"/>
      <c r="T411" s="28">
        <v>8</v>
      </c>
      <c r="U411" s="28"/>
      <c r="V411" s="29">
        <f>+VLOOKUP(E411,[1]base!D:K,8,0)</f>
        <v>5.7394999999999996</v>
      </c>
      <c r="W411" s="29">
        <f t="shared" si="44"/>
        <v>45.915999999999997</v>
      </c>
      <c r="X411" s="29">
        <f t="shared" si="45"/>
        <v>2.3876319999999995</v>
      </c>
      <c r="Y411" s="29">
        <f>+VLOOKUP(E411,[1]base!D:E,2,0)</f>
        <v>13</v>
      </c>
      <c r="Z411" s="29">
        <f t="shared" si="46"/>
        <v>1</v>
      </c>
      <c r="AA411" s="29">
        <f t="shared" si="47"/>
        <v>6.6666666666666693E-2</v>
      </c>
      <c r="AB411" s="29">
        <f>+VLOOKUP(E411,[1]base!M:N,2,0)</f>
        <v>135</v>
      </c>
      <c r="AC411" s="29">
        <f>+VLOOKUP(E411,[1]base!M:Q,5,0)</f>
        <v>898.4545454545455</v>
      </c>
      <c r="AD411" s="30">
        <f>+VLOOKUP(E411,[1]base!M:P,4,0)</f>
        <v>0.13461538461538461</v>
      </c>
      <c r="AE411" s="31">
        <f t="shared" si="48"/>
        <v>22.326923076923077</v>
      </c>
    </row>
    <row r="412" spans="1:31" x14ac:dyDescent="0.25">
      <c r="A412" s="12" t="s">
        <v>732</v>
      </c>
      <c r="B412" s="13">
        <v>46256.374837962961</v>
      </c>
      <c r="C412" s="12" t="s">
        <v>258</v>
      </c>
      <c r="D412" s="12" t="s">
        <v>736</v>
      </c>
      <c r="E412" s="26" t="str">
        <f t="shared" si="42"/>
        <v>FR403</v>
      </c>
      <c r="F412" s="27" t="str">
        <f t="shared" si="43"/>
        <v>NOIR</v>
      </c>
      <c r="G412" s="27">
        <f>+VLOOKUP(F412,[1]base!A:B,2,0)</f>
        <v>37</v>
      </c>
      <c r="H412" s="12">
        <v>20</v>
      </c>
      <c r="I412" s="12">
        <v>20</v>
      </c>
      <c r="J412" s="14"/>
      <c r="K412" s="14" t="s">
        <v>61</v>
      </c>
      <c r="L412" s="12" t="s">
        <v>742</v>
      </c>
      <c r="M412" s="12" t="s">
        <v>150</v>
      </c>
      <c r="N412" s="12">
        <v>20</v>
      </c>
      <c r="O412" s="12">
        <v>20</v>
      </c>
      <c r="P412" s="12">
        <v>0</v>
      </c>
      <c r="Q412" s="16">
        <v>20</v>
      </c>
      <c r="R412" s="16">
        <v>0</v>
      </c>
      <c r="S412" s="16"/>
      <c r="T412" s="28">
        <v>20</v>
      </c>
      <c r="U412" s="28"/>
      <c r="V412" s="29">
        <f>+VLOOKUP(E412,[1]base!D:K,8,0)</f>
        <v>7.2474999999999996</v>
      </c>
      <c r="W412" s="29">
        <f t="shared" si="44"/>
        <v>144.94999999999999</v>
      </c>
      <c r="X412" s="29">
        <f t="shared" si="45"/>
        <v>7.537399999999999</v>
      </c>
      <c r="Y412" s="29">
        <f>+VLOOKUP(E412,[1]base!D:E,2,0)</f>
        <v>13</v>
      </c>
      <c r="Z412" s="29">
        <f t="shared" si="46"/>
        <v>2</v>
      </c>
      <c r="AA412" s="29">
        <f t="shared" si="47"/>
        <v>0.13333333333333339</v>
      </c>
      <c r="AB412" s="29">
        <f>+VLOOKUP(E412,[1]base!M:N,2,0)</f>
        <v>314</v>
      </c>
      <c r="AC412" s="29">
        <f>+VLOOKUP(E412,[1]base!M:Q,5,0)</f>
        <v>34.875</v>
      </c>
      <c r="AD412" s="30">
        <f>+VLOOKUP(E412,[1]base!M:P,4,0)</f>
        <v>0.24519230769230768</v>
      </c>
      <c r="AE412" s="31">
        <f t="shared" si="48"/>
        <v>17.209615384615386</v>
      </c>
    </row>
    <row r="413" spans="1:31" x14ac:dyDescent="0.25">
      <c r="A413" s="12"/>
      <c r="B413" s="13"/>
      <c r="C413" s="12"/>
      <c r="D413" s="12" t="s">
        <v>443</v>
      </c>
      <c r="E413" s="26" t="str">
        <f t="shared" si="42"/>
        <v>FR404</v>
      </c>
      <c r="F413" s="27" t="str">
        <f t="shared" si="43"/>
        <v>BLC</v>
      </c>
      <c r="G413" s="27">
        <f>+VLOOKUP(F413,[1]base!A:B,2,0)</f>
        <v>1</v>
      </c>
      <c r="H413" s="12">
        <v>48</v>
      </c>
      <c r="I413" s="12">
        <v>48</v>
      </c>
      <c r="J413" s="14"/>
      <c r="K413" s="14" t="s">
        <v>61</v>
      </c>
      <c r="L413" s="12" t="s">
        <v>27</v>
      </c>
      <c r="M413" s="12" t="s">
        <v>28</v>
      </c>
      <c r="N413" s="12"/>
      <c r="O413" s="12"/>
      <c r="P413" s="12"/>
      <c r="Q413" s="16">
        <v>36</v>
      </c>
      <c r="R413" s="16">
        <v>0</v>
      </c>
      <c r="S413" s="16">
        <v>38</v>
      </c>
      <c r="T413" s="28">
        <v>260</v>
      </c>
      <c r="U413" s="28"/>
      <c r="V413" s="29">
        <f>+VLOOKUP(E413,[1]base!D:K,8,0)</f>
        <v>5.9670000000000005</v>
      </c>
      <c r="W413" s="29">
        <f t="shared" si="44"/>
        <v>1551.42</v>
      </c>
      <c r="X413" s="29">
        <f t="shared" si="45"/>
        <v>80.673839999999998</v>
      </c>
      <c r="Y413" s="29">
        <f>+VLOOKUP(E413,[1]base!D:E,2,0)</f>
        <v>13</v>
      </c>
      <c r="Z413" s="29">
        <f t="shared" si="46"/>
        <v>20</v>
      </c>
      <c r="AA413" s="29">
        <f t="shared" si="47"/>
        <v>1.3333333333333339</v>
      </c>
      <c r="AB413" s="29">
        <f>+VLOOKUP(E413,[1]base!M:N,2,0)</f>
        <v>1934</v>
      </c>
      <c r="AC413" s="29">
        <f>+VLOOKUP(E413,[1]base!M:Q,5,0)</f>
        <v>578.90909090909088</v>
      </c>
      <c r="AD413" s="30">
        <f>+VLOOKUP(E413,[1]base!M:P,4,0)</f>
        <v>8.1235154394299292E-2</v>
      </c>
      <c r="AE413" s="31">
        <f t="shared" si="48"/>
        <v>423.09121140142514</v>
      </c>
    </row>
    <row r="414" spans="1:31" x14ac:dyDescent="0.25">
      <c r="A414" s="12" t="s">
        <v>1082</v>
      </c>
      <c r="B414" s="13">
        <v>46266.490532407406</v>
      </c>
      <c r="C414" s="12" t="s">
        <v>505</v>
      </c>
      <c r="D414" s="12" t="s">
        <v>1091</v>
      </c>
      <c r="E414" s="26" t="str">
        <f t="shared" si="42"/>
        <v>FR404</v>
      </c>
      <c r="F414" s="27" t="str">
        <f t="shared" si="43"/>
        <v>ACAJOU</v>
      </c>
      <c r="G414" s="27">
        <f>+VLOOKUP(F414,[1]base!A:B,2,0)</f>
        <v>15.1</v>
      </c>
      <c r="H414" s="12">
        <v>16</v>
      </c>
      <c r="I414" s="12">
        <v>16</v>
      </c>
      <c r="J414" s="14"/>
      <c r="K414" s="14" t="s">
        <v>61</v>
      </c>
      <c r="L414" s="12" t="s">
        <v>1094</v>
      </c>
      <c r="M414" s="12" t="s">
        <v>150</v>
      </c>
      <c r="N414" s="12">
        <v>16</v>
      </c>
      <c r="O414" s="12">
        <v>16</v>
      </c>
      <c r="P414" s="12">
        <v>0</v>
      </c>
      <c r="Q414" s="16">
        <v>16</v>
      </c>
      <c r="R414" s="16">
        <v>1</v>
      </c>
      <c r="S414" s="16"/>
      <c r="T414" s="28">
        <v>15</v>
      </c>
      <c r="U414" s="28">
        <v>1</v>
      </c>
      <c r="V414" s="29">
        <f>+VLOOKUP(E414,[1]base!D:K,8,0)</f>
        <v>5.9670000000000005</v>
      </c>
      <c r="W414" s="29">
        <f t="shared" si="44"/>
        <v>95.472000000000008</v>
      </c>
      <c r="X414" s="29">
        <f t="shared" si="45"/>
        <v>4.9645440000000001</v>
      </c>
      <c r="Y414" s="29">
        <f>+VLOOKUP(E414,[1]base!D:E,2,0)</f>
        <v>13</v>
      </c>
      <c r="Z414" s="29">
        <f t="shared" si="46"/>
        <v>2</v>
      </c>
      <c r="AA414" s="29">
        <f t="shared" si="47"/>
        <v>0.13333333333333339</v>
      </c>
      <c r="AB414" s="29">
        <f>+VLOOKUP(E414,[1]base!M:N,2,0)</f>
        <v>1934</v>
      </c>
      <c r="AC414" s="29">
        <f>+VLOOKUP(E414,[1]base!M:Q,5,0)</f>
        <v>578.90909090909088</v>
      </c>
      <c r="AD414" s="30">
        <f>+VLOOKUP(E414,[1]base!M:P,4,0)</f>
        <v>8.1235154394299292E-2</v>
      </c>
      <c r="AE414" s="31">
        <f t="shared" si="48"/>
        <v>423.09121140142514</v>
      </c>
    </row>
    <row r="415" spans="1:31" x14ac:dyDescent="0.25">
      <c r="A415" s="12" t="s">
        <v>1242</v>
      </c>
      <c r="B415" s="13">
        <v>46268.574895833335</v>
      </c>
      <c r="C415" s="12" t="s">
        <v>368</v>
      </c>
      <c r="D415" s="12" t="s">
        <v>1091</v>
      </c>
      <c r="E415" s="26" t="str">
        <f t="shared" si="42"/>
        <v>FR404</v>
      </c>
      <c r="F415" s="27" t="str">
        <f t="shared" si="43"/>
        <v>ACAJOU</v>
      </c>
      <c r="G415" s="27">
        <f>+VLOOKUP(F415,[1]base!A:B,2,0)</f>
        <v>15.1</v>
      </c>
      <c r="H415" s="12">
        <v>8</v>
      </c>
      <c r="I415" s="12">
        <v>8</v>
      </c>
      <c r="J415" s="14"/>
      <c r="K415" s="14" t="s">
        <v>61</v>
      </c>
      <c r="L415" s="12" t="s">
        <v>1252</v>
      </c>
      <c r="M415" s="12" t="s">
        <v>150</v>
      </c>
      <c r="N415" s="12">
        <v>8</v>
      </c>
      <c r="O415" s="12">
        <v>8</v>
      </c>
      <c r="P415" s="12">
        <v>0</v>
      </c>
      <c r="Q415" s="16">
        <v>8</v>
      </c>
      <c r="R415" s="16">
        <v>1</v>
      </c>
      <c r="S415" s="16"/>
      <c r="T415" s="28">
        <v>8</v>
      </c>
      <c r="U415" s="28"/>
      <c r="V415" s="29">
        <f>+VLOOKUP(E415,[1]base!D:K,8,0)</f>
        <v>5.9670000000000005</v>
      </c>
      <c r="W415" s="29">
        <f t="shared" si="44"/>
        <v>47.736000000000004</v>
      </c>
      <c r="X415" s="29">
        <f t="shared" si="45"/>
        <v>2.482272</v>
      </c>
      <c r="Y415" s="29">
        <f>+VLOOKUP(E415,[1]base!D:E,2,0)</f>
        <v>13</v>
      </c>
      <c r="Z415" s="29">
        <f t="shared" si="46"/>
        <v>1</v>
      </c>
      <c r="AA415" s="29">
        <f t="shared" si="47"/>
        <v>6.6666666666666693E-2</v>
      </c>
      <c r="AB415" s="29">
        <f>+VLOOKUP(E415,[1]base!M:N,2,0)</f>
        <v>1934</v>
      </c>
      <c r="AC415" s="29">
        <f>+VLOOKUP(E415,[1]base!M:Q,5,0)</f>
        <v>578.90909090909088</v>
      </c>
      <c r="AD415" s="30">
        <f>+VLOOKUP(E415,[1]base!M:P,4,0)</f>
        <v>8.1235154394299292E-2</v>
      </c>
      <c r="AE415" s="31">
        <f t="shared" si="48"/>
        <v>423.09121140142514</v>
      </c>
    </row>
    <row r="416" spans="1:31" x14ac:dyDescent="0.25">
      <c r="A416" s="12" t="s">
        <v>1339</v>
      </c>
      <c r="B416" s="13">
        <v>46269.394733796296</v>
      </c>
      <c r="C416" s="12" t="s">
        <v>266</v>
      </c>
      <c r="D416" s="12" t="s">
        <v>1091</v>
      </c>
      <c r="E416" s="26" t="str">
        <f t="shared" si="42"/>
        <v>FR404</v>
      </c>
      <c r="F416" s="27" t="str">
        <f t="shared" si="43"/>
        <v>ACAJOU</v>
      </c>
      <c r="G416" s="27">
        <f>+VLOOKUP(F416,[1]base!A:B,2,0)</f>
        <v>15.1</v>
      </c>
      <c r="H416" s="12">
        <v>8</v>
      </c>
      <c r="I416" s="12">
        <v>8</v>
      </c>
      <c r="J416" s="14"/>
      <c r="K416" s="14" t="s">
        <v>61</v>
      </c>
      <c r="L416" s="12" t="s">
        <v>1365</v>
      </c>
      <c r="M416" s="12" t="s">
        <v>150</v>
      </c>
      <c r="N416" s="12">
        <v>8</v>
      </c>
      <c r="O416" s="12">
        <v>8</v>
      </c>
      <c r="P416" s="12">
        <v>0</v>
      </c>
      <c r="Q416" s="16">
        <v>8</v>
      </c>
      <c r="R416" s="16">
        <v>0</v>
      </c>
      <c r="S416" s="16"/>
      <c r="T416" s="28">
        <v>8</v>
      </c>
      <c r="U416" s="28"/>
      <c r="V416" s="29">
        <f>+VLOOKUP(E416,[1]base!D:K,8,0)</f>
        <v>5.9670000000000005</v>
      </c>
      <c r="W416" s="29">
        <f t="shared" si="44"/>
        <v>47.736000000000004</v>
      </c>
      <c r="X416" s="29">
        <f t="shared" si="45"/>
        <v>2.482272</v>
      </c>
      <c r="Y416" s="29">
        <f>+VLOOKUP(E416,[1]base!D:E,2,0)</f>
        <v>13</v>
      </c>
      <c r="Z416" s="29">
        <f t="shared" si="46"/>
        <v>1</v>
      </c>
      <c r="AA416" s="29">
        <f t="shared" si="47"/>
        <v>6.6666666666666693E-2</v>
      </c>
      <c r="AB416" s="29">
        <f>+VLOOKUP(E416,[1]base!M:N,2,0)</f>
        <v>1934</v>
      </c>
      <c r="AC416" s="29">
        <f>+VLOOKUP(E416,[1]base!M:Q,5,0)</f>
        <v>578.90909090909088</v>
      </c>
      <c r="AD416" s="30">
        <f>+VLOOKUP(E416,[1]base!M:P,4,0)</f>
        <v>8.1235154394299292E-2</v>
      </c>
      <c r="AE416" s="31">
        <f t="shared" si="48"/>
        <v>423.09121140142514</v>
      </c>
    </row>
    <row r="417" spans="1:31" x14ac:dyDescent="0.25">
      <c r="A417" s="12" t="s">
        <v>1218</v>
      </c>
      <c r="B417" s="13">
        <v>46268.354953703703</v>
      </c>
      <c r="C417" s="12" t="s">
        <v>24</v>
      </c>
      <c r="D417" s="12" t="s">
        <v>1219</v>
      </c>
      <c r="E417" s="26" t="str">
        <f t="shared" si="42"/>
        <v>FR404</v>
      </c>
      <c r="F417" s="27" t="str">
        <f t="shared" si="43"/>
        <v>GRIS</v>
      </c>
      <c r="G417" s="27">
        <f>+VLOOKUP(F417,[1]base!A:B,2,0)</f>
        <v>22</v>
      </c>
      <c r="H417" s="12">
        <v>4</v>
      </c>
      <c r="I417" s="12">
        <v>4</v>
      </c>
      <c r="J417" s="14"/>
      <c r="K417" s="14" t="s">
        <v>61</v>
      </c>
      <c r="L417" s="12" t="s">
        <v>1226</v>
      </c>
      <c r="M417" s="12" t="s">
        <v>150</v>
      </c>
      <c r="N417" s="12">
        <v>4</v>
      </c>
      <c r="O417" s="12">
        <v>4</v>
      </c>
      <c r="P417" s="12">
        <v>0</v>
      </c>
      <c r="Q417" s="16">
        <v>4</v>
      </c>
      <c r="R417" s="16">
        <v>0</v>
      </c>
      <c r="S417" s="16"/>
      <c r="T417" s="28">
        <v>4</v>
      </c>
      <c r="U417" s="28"/>
      <c r="V417" s="29">
        <f>+VLOOKUP(E417,[1]base!D:K,8,0)</f>
        <v>5.9670000000000005</v>
      </c>
      <c r="W417" s="29">
        <f t="shared" si="44"/>
        <v>23.868000000000002</v>
      </c>
      <c r="X417" s="29">
        <f t="shared" si="45"/>
        <v>1.241136</v>
      </c>
      <c r="Y417" s="29">
        <f>+VLOOKUP(E417,[1]base!D:E,2,0)</f>
        <v>13</v>
      </c>
      <c r="Z417" s="29">
        <f t="shared" si="46"/>
        <v>1</v>
      </c>
      <c r="AA417" s="29">
        <f t="shared" si="47"/>
        <v>6.6666666666666693E-2</v>
      </c>
      <c r="AB417" s="29">
        <f>+VLOOKUP(E417,[1]base!M:N,2,0)</f>
        <v>1934</v>
      </c>
      <c r="AC417" s="29">
        <f>+VLOOKUP(E417,[1]base!M:Q,5,0)</f>
        <v>578.90909090909088</v>
      </c>
      <c r="AD417" s="30">
        <f>+VLOOKUP(E417,[1]base!M:P,4,0)</f>
        <v>8.1235154394299292E-2</v>
      </c>
      <c r="AE417" s="31">
        <f t="shared" si="48"/>
        <v>423.09121140142514</v>
      </c>
    </row>
    <row r="418" spans="1:31" x14ac:dyDescent="0.25">
      <c r="A418" s="12" t="s">
        <v>1241</v>
      </c>
      <c r="B418" s="13">
        <v>46268.574664351851</v>
      </c>
      <c r="C418" s="12" t="s">
        <v>368</v>
      </c>
      <c r="D418" s="12" t="s">
        <v>1219</v>
      </c>
      <c r="E418" s="26" t="str">
        <f t="shared" si="42"/>
        <v>FR404</v>
      </c>
      <c r="F418" s="27" t="str">
        <f t="shared" si="43"/>
        <v>GRIS</v>
      </c>
      <c r="G418" s="27">
        <f>+VLOOKUP(F418,[1]base!A:B,2,0)</f>
        <v>22</v>
      </c>
      <c r="H418" s="12">
        <v>14</v>
      </c>
      <c r="I418" s="12">
        <v>14</v>
      </c>
      <c r="J418" s="14"/>
      <c r="K418" s="14" t="s">
        <v>61</v>
      </c>
      <c r="L418" s="12" t="s">
        <v>1249</v>
      </c>
      <c r="M418" s="12" t="s">
        <v>150</v>
      </c>
      <c r="N418" s="12">
        <v>14</v>
      </c>
      <c r="O418" s="12">
        <v>14</v>
      </c>
      <c r="P418" s="12">
        <v>0</v>
      </c>
      <c r="Q418" s="16">
        <v>14</v>
      </c>
      <c r="R418" s="16">
        <v>0</v>
      </c>
      <c r="S418" s="16"/>
      <c r="T418" s="28">
        <v>14</v>
      </c>
      <c r="U418" s="28"/>
      <c r="V418" s="29">
        <f>+VLOOKUP(E418,[1]base!D:K,8,0)</f>
        <v>5.9670000000000005</v>
      </c>
      <c r="W418" s="29">
        <f t="shared" si="44"/>
        <v>83.538000000000011</v>
      </c>
      <c r="X418" s="29">
        <f t="shared" si="45"/>
        <v>4.3439760000000005</v>
      </c>
      <c r="Y418" s="29">
        <f>+VLOOKUP(E418,[1]base!D:E,2,0)</f>
        <v>13</v>
      </c>
      <c r="Z418" s="29">
        <f t="shared" si="46"/>
        <v>2</v>
      </c>
      <c r="AA418" s="29">
        <f t="shared" si="47"/>
        <v>0.13333333333333339</v>
      </c>
      <c r="AB418" s="29">
        <f>+VLOOKUP(E418,[1]base!M:N,2,0)</f>
        <v>1934</v>
      </c>
      <c r="AC418" s="29">
        <f>+VLOOKUP(E418,[1]base!M:Q,5,0)</f>
        <v>578.90909090909088</v>
      </c>
      <c r="AD418" s="30">
        <f>+VLOOKUP(E418,[1]base!M:P,4,0)</f>
        <v>8.1235154394299292E-2</v>
      </c>
      <c r="AE418" s="31">
        <f t="shared" si="48"/>
        <v>423.09121140142514</v>
      </c>
    </row>
    <row r="419" spans="1:31" x14ac:dyDescent="0.25">
      <c r="A419" s="12" t="s">
        <v>698</v>
      </c>
      <c r="B419" s="13">
        <v>46254.525277777779</v>
      </c>
      <c r="C419" s="12" t="s">
        <v>511</v>
      </c>
      <c r="D419" s="12" t="s">
        <v>703</v>
      </c>
      <c r="E419" s="26" t="str">
        <f t="shared" si="42"/>
        <v>FR404</v>
      </c>
      <c r="F419" s="27" t="str">
        <f t="shared" si="43"/>
        <v>NOIR</v>
      </c>
      <c r="G419" s="27">
        <f>+VLOOKUP(F419,[1]base!A:B,2,0)</f>
        <v>37</v>
      </c>
      <c r="H419" s="12">
        <v>20</v>
      </c>
      <c r="I419" s="12">
        <v>20</v>
      </c>
      <c r="J419" s="14"/>
      <c r="K419" s="14" t="s">
        <v>61</v>
      </c>
      <c r="L419" s="12" t="s">
        <v>705</v>
      </c>
      <c r="M419" s="12" t="s">
        <v>150</v>
      </c>
      <c r="N419" s="12">
        <v>20</v>
      </c>
      <c r="O419" s="12">
        <v>20</v>
      </c>
      <c r="P419" s="12">
        <v>0</v>
      </c>
      <c r="Q419" s="16">
        <v>20</v>
      </c>
      <c r="R419" s="16">
        <v>0</v>
      </c>
      <c r="S419" s="16"/>
      <c r="T419" s="28">
        <v>20</v>
      </c>
      <c r="U419" s="28"/>
      <c r="V419" s="29">
        <f>+VLOOKUP(E419,[1]base!D:K,8,0)</f>
        <v>5.9670000000000005</v>
      </c>
      <c r="W419" s="29">
        <f t="shared" si="44"/>
        <v>119.34</v>
      </c>
      <c r="X419" s="29">
        <f t="shared" si="45"/>
        <v>6.2056800000000001</v>
      </c>
      <c r="Y419" s="29">
        <f>+VLOOKUP(E419,[1]base!D:E,2,0)</f>
        <v>13</v>
      </c>
      <c r="Z419" s="29">
        <f t="shared" si="46"/>
        <v>2</v>
      </c>
      <c r="AA419" s="29">
        <f t="shared" si="47"/>
        <v>0.13333333333333339</v>
      </c>
      <c r="AB419" s="29">
        <f>+VLOOKUP(E419,[1]base!M:N,2,0)</f>
        <v>1934</v>
      </c>
      <c r="AC419" s="29">
        <f>+VLOOKUP(E419,[1]base!M:Q,5,0)</f>
        <v>578.90909090909088</v>
      </c>
      <c r="AD419" s="30">
        <f>+VLOOKUP(E419,[1]base!M:P,4,0)</f>
        <v>8.1235154394299292E-2</v>
      </c>
      <c r="AE419" s="31">
        <f t="shared" si="48"/>
        <v>423.09121140142514</v>
      </c>
    </row>
    <row r="420" spans="1:31" x14ac:dyDescent="0.25">
      <c r="A420" s="12" t="s">
        <v>732</v>
      </c>
      <c r="B420" s="13">
        <v>46256.374837962961</v>
      </c>
      <c r="C420" s="12" t="s">
        <v>258</v>
      </c>
      <c r="D420" s="12" t="s">
        <v>703</v>
      </c>
      <c r="E420" s="26" t="str">
        <f t="shared" si="42"/>
        <v>FR404</v>
      </c>
      <c r="F420" s="27" t="str">
        <f t="shared" si="43"/>
        <v>NOIR</v>
      </c>
      <c r="G420" s="27">
        <f>+VLOOKUP(F420,[1]base!A:B,2,0)</f>
        <v>37</v>
      </c>
      <c r="H420" s="12">
        <v>9</v>
      </c>
      <c r="I420" s="12">
        <v>9</v>
      </c>
      <c r="J420" s="14"/>
      <c r="K420" s="14" t="s">
        <v>61</v>
      </c>
      <c r="L420" s="12" t="s">
        <v>743</v>
      </c>
      <c r="M420" s="12" t="s">
        <v>150</v>
      </c>
      <c r="N420" s="12">
        <v>9</v>
      </c>
      <c r="O420" s="12">
        <v>9</v>
      </c>
      <c r="P420" s="12">
        <v>0</v>
      </c>
      <c r="Q420" s="16">
        <v>9</v>
      </c>
      <c r="R420" s="16">
        <v>0</v>
      </c>
      <c r="S420" s="16"/>
      <c r="T420" s="28">
        <v>9</v>
      </c>
      <c r="U420" s="28"/>
      <c r="V420" s="29">
        <f>+VLOOKUP(E420,[1]base!D:K,8,0)</f>
        <v>5.9670000000000005</v>
      </c>
      <c r="W420" s="29">
        <f t="shared" si="44"/>
        <v>53.703000000000003</v>
      </c>
      <c r="X420" s="29">
        <f t="shared" si="45"/>
        <v>2.7925559999999998</v>
      </c>
      <c r="Y420" s="29">
        <f>+VLOOKUP(E420,[1]base!D:E,2,0)</f>
        <v>13</v>
      </c>
      <c r="Z420" s="29">
        <f t="shared" si="46"/>
        <v>1</v>
      </c>
      <c r="AA420" s="29">
        <f t="shared" si="47"/>
        <v>6.6666666666666693E-2</v>
      </c>
      <c r="AB420" s="29">
        <f>+VLOOKUP(E420,[1]base!M:N,2,0)</f>
        <v>1934</v>
      </c>
      <c r="AC420" s="29">
        <f>+VLOOKUP(E420,[1]base!M:Q,5,0)</f>
        <v>578.90909090909088</v>
      </c>
      <c r="AD420" s="30">
        <f>+VLOOKUP(E420,[1]base!M:P,4,0)</f>
        <v>8.1235154394299292E-2</v>
      </c>
      <c r="AE420" s="31">
        <f t="shared" si="48"/>
        <v>423.09121140142514</v>
      </c>
    </row>
    <row r="421" spans="1:31" x14ac:dyDescent="0.25">
      <c r="A421" s="12" t="s">
        <v>772</v>
      </c>
      <c r="B421" s="13">
        <v>46258.508391203701</v>
      </c>
      <c r="C421" s="12" t="s">
        <v>773</v>
      </c>
      <c r="D421" s="12" t="s">
        <v>703</v>
      </c>
      <c r="E421" s="26" t="str">
        <f t="shared" si="42"/>
        <v>FR404</v>
      </c>
      <c r="F421" s="27" t="str">
        <f t="shared" si="43"/>
        <v>NOIR</v>
      </c>
      <c r="G421" s="27">
        <f>+VLOOKUP(F421,[1]base!A:B,2,0)</f>
        <v>37</v>
      </c>
      <c r="H421" s="12">
        <v>4</v>
      </c>
      <c r="I421" s="12">
        <v>4</v>
      </c>
      <c r="J421" s="14"/>
      <c r="K421" s="14" t="s">
        <v>61</v>
      </c>
      <c r="L421" s="12" t="s">
        <v>776</v>
      </c>
      <c r="M421" s="12" t="s">
        <v>150</v>
      </c>
      <c r="N421" s="12">
        <v>4</v>
      </c>
      <c r="O421" s="12">
        <v>4</v>
      </c>
      <c r="P421" s="12">
        <v>0</v>
      </c>
      <c r="Q421" s="16">
        <v>4</v>
      </c>
      <c r="R421" s="16">
        <v>0</v>
      </c>
      <c r="S421" s="16"/>
      <c r="T421" s="28">
        <v>4</v>
      </c>
      <c r="U421" s="28"/>
      <c r="V421" s="29">
        <f>+VLOOKUP(E421,[1]base!D:K,8,0)</f>
        <v>5.9670000000000005</v>
      </c>
      <c r="W421" s="29">
        <f t="shared" si="44"/>
        <v>23.868000000000002</v>
      </c>
      <c r="X421" s="29">
        <f t="shared" si="45"/>
        <v>1.241136</v>
      </c>
      <c r="Y421" s="29">
        <f>+VLOOKUP(E421,[1]base!D:E,2,0)</f>
        <v>13</v>
      </c>
      <c r="Z421" s="29">
        <f t="shared" si="46"/>
        <v>1</v>
      </c>
      <c r="AA421" s="29">
        <f t="shared" si="47"/>
        <v>6.6666666666666693E-2</v>
      </c>
      <c r="AB421" s="29">
        <f>+VLOOKUP(E421,[1]base!M:N,2,0)</f>
        <v>1934</v>
      </c>
      <c r="AC421" s="29">
        <f>+VLOOKUP(E421,[1]base!M:Q,5,0)</f>
        <v>578.90909090909088</v>
      </c>
      <c r="AD421" s="30">
        <f>+VLOOKUP(E421,[1]base!M:P,4,0)</f>
        <v>8.1235154394299292E-2</v>
      </c>
      <c r="AE421" s="31">
        <f t="shared" si="48"/>
        <v>423.09121140142514</v>
      </c>
    </row>
    <row r="422" spans="1:31" x14ac:dyDescent="0.25">
      <c r="A422" s="12" t="s">
        <v>940</v>
      </c>
      <c r="B422" s="13">
        <v>46263.399872685186</v>
      </c>
      <c r="C422" s="12" t="s">
        <v>24</v>
      </c>
      <c r="D422" s="12" t="s">
        <v>703</v>
      </c>
      <c r="E422" s="26" t="str">
        <f t="shared" si="42"/>
        <v>FR404</v>
      </c>
      <c r="F422" s="27" t="str">
        <f t="shared" si="43"/>
        <v>NOIR</v>
      </c>
      <c r="G422" s="27">
        <f>+VLOOKUP(F422,[1]base!A:B,2,0)</f>
        <v>37</v>
      </c>
      <c r="H422" s="12">
        <v>6</v>
      </c>
      <c r="I422" s="12">
        <v>6</v>
      </c>
      <c r="J422" s="14"/>
      <c r="K422" s="14" t="s">
        <v>61</v>
      </c>
      <c r="L422" s="12" t="s">
        <v>951</v>
      </c>
      <c r="M422" s="12" t="s">
        <v>150</v>
      </c>
      <c r="N422" s="12">
        <v>6</v>
      </c>
      <c r="O422" s="12">
        <v>6</v>
      </c>
      <c r="P422" s="12">
        <v>0</v>
      </c>
      <c r="Q422" s="16">
        <v>6</v>
      </c>
      <c r="R422" s="16">
        <v>0</v>
      </c>
      <c r="S422" s="16"/>
      <c r="T422" s="28">
        <v>6</v>
      </c>
      <c r="U422" s="28"/>
      <c r="V422" s="29">
        <f>+VLOOKUP(E422,[1]base!D:K,8,0)</f>
        <v>5.9670000000000005</v>
      </c>
      <c r="W422" s="29">
        <f t="shared" si="44"/>
        <v>35.802000000000007</v>
      </c>
      <c r="X422" s="29">
        <f t="shared" si="45"/>
        <v>1.8617040000000002</v>
      </c>
      <c r="Y422" s="29">
        <f>+VLOOKUP(E422,[1]base!D:E,2,0)</f>
        <v>13</v>
      </c>
      <c r="Z422" s="29">
        <f t="shared" si="46"/>
        <v>1</v>
      </c>
      <c r="AA422" s="29">
        <f t="shared" si="47"/>
        <v>6.6666666666666693E-2</v>
      </c>
      <c r="AB422" s="29">
        <f>+VLOOKUP(E422,[1]base!M:N,2,0)</f>
        <v>1934</v>
      </c>
      <c r="AC422" s="29">
        <f>+VLOOKUP(E422,[1]base!M:Q,5,0)</f>
        <v>578.90909090909088</v>
      </c>
      <c r="AD422" s="30">
        <f>+VLOOKUP(E422,[1]base!M:P,4,0)</f>
        <v>8.1235154394299292E-2</v>
      </c>
      <c r="AE422" s="31">
        <f t="shared" si="48"/>
        <v>423.09121140142514</v>
      </c>
    </row>
    <row r="423" spans="1:31" x14ac:dyDescent="0.25">
      <c r="A423" s="12" t="s">
        <v>1141</v>
      </c>
      <c r="B423" s="13">
        <v>46267.323657407411</v>
      </c>
      <c r="C423" s="12" t="s">
        <v>585</v>
      </c>
      <c r="D423" s="12" t="s">
        <v>703</v>
      </c>
      <c r="E423" s="26" t="str">
        <f t="shared" si="42"/>
        <v>FR404</v>
      </c>
      <c r="F423" s="27" t="str">
        <f t="shared" si="43"/>
        <v>NOIR</v>
      </c>
      <c r="G423" s="27">
        <f>+VLOOKUP(F423,[1]base!A:B,2,0)</f>
        <v>37</v>
      </c>
      <c r="H423" s="12">
        <v>80</v>
      </c>
      <c r="I423" s="12">
        <v>80</v>
      </c>
      <c r="J423" s="14"/>
      <c r="K423" s="14" t="s">
        <v>61</v>
      </c>
      <c r="L423" s="12" t="s">
        <v>1150</v>
      </c>
      <c r="M423" s="12" t="s">
        <v>150</v>
      </c>
      <c r="N423" s="12">
        <v>80</v>
      </c>
      <c r="O423" s="12">
        <v>80</v>
      </c>
      <c r="P423" s="12">
        <v>0</v>
      </c>
      <c r="Q423" s="16">
        <v>80</v>
      </c>
      <c r="R423" s="16">
        <v>0</v>
      </c>
      <c r="S423" s="16"/>
      <c r="T423" s="28">
        <v>80</v>
      </c>
      <c r="U423" s="28"/>
      <c r="V423" s="29">
        <f>+VLOOKUP(E423,[1]base!D:K,8,0)</f>
        <v>5.9670000000000005</v>
      </c>
      <c r="W423" s="29">
        <f t="shared" si="44"/>
        <v>477.36</v>
      </c>
      <c r="X423" s="29">
        <f t="shared" si="45"/>
        <v>24.82272</v>
      </c>
      <c r="Y423" s="29">
        <f>+VLOOKUP(E423,[1]base!D:E,2,0)</f>
        <v>13</v>
      </c>
      <c r="Z423" s="29">
        <f t="shared" si="46"/>
        <v>7</v>
      </c>
      <c r="AA423" s="29">
        <f t="shared" si="47"/>
        <v>0.46666666666666684</v>
      </c>
      <c r="AB423" s="29">
        <f>+VLOOKUP(E423,[1]base!M:N,2,0)</f>
        <v>1934</v>
      </c>
      <c r="AC423" s="29">
        <f>+VLOOKUP(E423,[1]base!M:Q,5,0)</f>
        <v>578.90909090909088</v>
      </c>
      <c r="AD423" s="30">
        <f>+VLOOKUP(E423,[1]base!M:P,4,0)</f>
        <v>8.1235154394299292E-2</v>
      </c>
      <c r="AE423" s="31">
        <f t="shared" si="48"/>
        <v>423.09121140142514</v>
      </c>
    </row>
    <row r="424" spans="1:31" x14ac:dyDescent="0.25">
      <c r="A424" s="12" t="s">
        <v>1230</v>
      </c>
      <c r="B424" s="13">
        <v>46268.418807870374</v>
      </c>
      <c r="C424" s="12" t="s">
        <v>345</v>
      </c>
      <c r="D424" s="12" t="s">
        <v>703</v>
      </c>
      <c r="E424" s="26" t="str">
        <f t="shared" si="42"/>
        <v>FR404</v>
      </c>
      <c r="F424" s="27" t="str">
        <f t="shared" si="43"/>
        <v>NOIR</v>
      </c>
      <c r="G424" s="27">
        <f>+VLOOKUP(F424,[1]base!A:B,2,0)</f>
        <v>37</v>
      </c>
      <c r="H424" s="12">
        <v>12</v>
      </c>
      <c r="I424" s="12">
        <v>12</v>
      </c>
      <c r="J424" s="14"/>
      <c r="K424" s="14" t="s">
        <v>61</v>
      </c>
      <c r="L424" s="12" t="s">
        <v>1238</v>
      </c>
      <c r="M424" s="12" t="s">
        <v>150</v>
      </c>
      <c r="N424" s="12">
        <v>12</v>
      </c>
      <c r="O424" s="12">
        <v>12</v>
      </c>
      <c r="P424" s="12">
        <v>0</v>
      </c>
      <c r="Q424" s="16">
        <v>12</v>
      </c>
      <c r="R424" s="16">
        <v>0</v>
      </c>
      <c r="S424" s="16"/>
      <c r="T424" s="28">
        <v>12</v>
      </c>
      <c r="U424" s="28"/>
      <c r="V424" s="29">
        <f>+VLOOKUP(E424,[1]base!D:K,8,0)</f>
        <v>5.9670000000000005</v>
      </c>
      <c r="W424" s="29">
        <f t="shared" si="44"/>
        <v>71.604000000000013</v>
      </c>
      <c r="X424" s="29">
        <f t="shared" si="45"/>
        <v>3.7234080000000005</v>
      </c>
      <c r="Y424" s="29">
        <f>+VLOOKUP(E424,[1]base!D:E,2,0)</f>
        <v>13</v>
      </c>
      <c r="Z424" s="29">
        <f t="shared" si="46"/>
        <v>1</v>
      </c>
      <c r="AA424" s="29">
        <f t="shared" si="47"/>
        <v>6.6666666666666693E-2</v>
      </c>
      <c r="AB424" s="29">
        <f>+VLOOKUP(E424,[1]base!M:N,2,0)</f>
        <v>1934</v>
      </c>
      <c r="AC424" s="29">
        <f>+VLOOKUP(E424,[1]base!M:Q,5,0)</f>
        <v>578.90909090909088</v>
      </c>
      <c r="AD424" s="30">
        <f>+VLOOKUP(E424,[1]base!M:P,4,0)</f>
        <v>8.1235154394299292E-2</v>
      </c>
      <c r="AE424" s="31">
        <f t="shared" si="48"/>
        <v>423.09121140142514</v>
      </c>
    </row>
    <row r="425" spans="1:31" x14ac:dyDescent="0.25">
      <c r="A425" s="12" t="s">
        <v>1263</v>
      </c>
      <c r="B425" s="13">
        <v>46268.598738425928</v>
      </c>
      <c r="C425" s="12" t="s">
        <v>522</v>
      </c>
      <c r="D425" s="12" t="s">
        <v>703</v>
      </c>
      <c r="E425" s="26" t="str">
        <f t="shared" si="42"/>
        <v>FR404</v>
      </c>
      <c r="F425" s="27" t="str">
        <f t="shared" si="43"/>
        <v>NOIR</v>
      </c>
      <c r="G425" s="27">
        <f>+VLOOKUP(F425,[1]base!A:B,2,0)</f>
        <v>37</v>
      </c>
      <c r="H425" s="12">
        <v>30</v>
      </c>
      <c r="I425" s="12">
        <v>30</v>
      </c>
      <c r="J425" s="14"/>
      <c r="K425" s="14" t="s">
        <v>61</v>
      </c>
      <c r="L425" s="12" t="s">
        <v>1280</v>
      </c>
      <c r="M425" s="12" t="s">
        <v>150</v>
      </c>
      <c r="N425" s="12">
        <v>30</v>
      </c>
      <c r="O425" s="12">
        <v>30</v>
      </c>
      <c r="P425" s="12">
        <v>0</v>
      </c>
      <c r="Q425" s="16">
        <v>30</v>
      </c>
      <c r="R425" s="16">
        <v>0</v>
      </c>
      <c r="S425" s="16"/>
      <c r="T425" s="28">
        <v>30</v>
      </c>
      <c r="U425" s="28"/>
      <c r="V425" s="29">
        <f>+VLOOKUP(E425,[1]base!D:K,8,0)</f>
        <v>5.9670000000000005</v>
      </c>
      <c r="W425" s="29">
        <f t="shared" si="44"/>
        <v>179.01000000000002</v>
      </c>
      <c r="X425" s="29">
        <f t="shared" si="45"/>
        <v>9.3085200000000015</v>
      </c>
      <c r="Y425" s="29">
        <f>+VLOOKUP(E425,[1]base!D:E,2,0)</f>
        <v>13</v>
      </c>
      <c r="Z425" s="29">
        <f t="shared" si="46"/>
        <v>3</v>
      </c>
      <c r="AA425" s="29">
        <f t="shared" si="47"/>
        <v>0.20000000000000007</v>
      </c>
      <c r="AB425" s="29">
        <f>+VLOOKUP(E425,[1]base!M:N,2,0)</f>
        <v>1934</v>
      </c>
      <c r="AC425" s="29">
        <f>+VLOOKUP(E425,[1]base!M:Q,5,0)</f>
        <v>578.90909090909088</v>
      </c>
      <c r="AD425" s="30">
        <f>+VLOOKUP(E425,[1]base!M:P,4,0)</f>
        <v>8.1235154394299292E-2</v>
      </c>
      <c r="AE425" s="31">
        <f t="shared" si="48"/>
        <v>423.09121140142514</v>
      </c>
    </row>
    <row r="426" spans="1:31" x14ac:dyDescent="0.25">
      <c r="A426" s="12" t="s">
        <v>963</v>
      </c>
      <c r="B426" s="13">
        <v>46265.30091435185</v>
      </c>
      <c r="C426" s="12" t="s">
        <v>484</v>
      </c>
      <c r="D426" s="12" t="s">
        <v>968</v>
      </c>
      <c r="E426" s="26" t="str">
        <f t="shared" si="42"/>
        <v>FR404</v>
      </c>
      <c r="F426" s="27" t="str">
        <f t="shared" si="43"/>
        <v>DARK</v>
      </c>
      <c r="G426" s="27">
        <f>+VLOOKUP(F426,[1]base!A:B,2,0)</f>
        <v>38</v>
      </c>
      <c r="H426" s="12">
        <v>2</v>
      </c>
      <c r="I426" s="12">
        <v>2</v>
      </c>
      <c r="J426" s="14"/>
      <c r="K426" s="14" t="s">
        <v>61</v>
      </c>
      <c r="L426" s="12" t="s">
        <v>974</v>
      </c>
      <c r="M426" s="12" t="s">
        <v>150</v>
      </c>
      <c r="N426" s="12">
        <v>2</v>
      </c>
      <c r="O426" s="12">
        <v>2</v>
      </c>
      <c r="P426" s="12">
        <v>0</v>
      </c>
      <c r="Q426" s="16">
        <v>2</v>
      </c>
      <c r="R426" s="16">
        <v>0</v>
      </c>
      <c r="S426" s="16"/>
      <c r="T426" s="28">
        <v>2</v>
      </c>
      <c r="U426" s="28"/>
      <c r="V426" s="29">
        <f>+VLOOKUP(E426,[1]base!D:K,8,0)</f>
        <v>5.9670000000000005</v>
      </c>
      <c r="W426" s="29">
        <f t="shared" si="44"/>
        <v>11.934000000000001</v>
      </c>
      <c r="X426" s="29">
        <f t="shared" si="45"/>
        <v>0.62056800000000001</v>
      </c>
      <c r="Y426" s="29">
        <f>+VLOOKUP(E426,[1]base!D:E,2,0)</f>
        <v>13</v>
      </c>
      <c r="Z426" s="29">
        <f t="shared" si="46"/>
        <v>1</v>
      </c>
      <c r="AA426" s="29">
        <f t="shared" si="47"/>
        <v>6.6666666666666693E-2</v>
      </c>
      <c r="AB426" s="29">
        <f>+VLOOKUP(E426,[1]base!M:N,2,0)</f>
        <v>1934</v>
      </c>
      <c r="AC426" s="29">
        <f>+VLOOKUP(E426,[1]base!M:Q,5,0)</f>
        <v>578.90909090909088</v>
      </c>
      <c r="AD426" s="30">
        <f>+VLOOKUP(E426,[1]base!M:P,4,0)</f>
        <v>8.1235154394299292E-2</v>
      </c>
      <c r="AE426" s="31">
        <f t="shared" si="48"/>
        <v>423.09121140142514</v>
      </c>
    </row>
    <row r="427" spans="1:31" x14ac:dyDescent="0.25">
      <c r="A427" s="12" t="s">
        <v>1153</v>
      </c>
      <c r="B427" s="13">
        <v>46267.412812499999</v>
      </c>
      <c r="C427" s="12" t="s">
        <v>522</v>
      </c>
      <c r="D427" s="12" t="s">
        <v>968</v>
      </c>
      <c r="E427" s="26" t="str">
        <f t="shared" si="42"/>
        <v>FR404</v>
      </c>
      <c r="F427" s="27" t="str">
        <f t="shared" si="43"/>
        <v>DARK</v>
      </c>
      <c r="G427" s="27">
        <f>+VLOOKUP(F427,[1]base!A:B,2,0)</f>
        <v>38</v>
      </c>
      <c r="H427" s="12">
        <v>2</v>
      </c>
      <c r="I427" s="12">
        <v>2</v>
      </c>
      <c r="J427" s="14"/>
      <c r="K427" s="14" t="s">
        <v>61</v>
      </c>
      <c r="L427" s="12" t="s">
        <v>1173</v>
      </c>
      <c r="M427" s="12" t="s">
        <v>150</v>
      </c>
      <c r="N427" s="12">
        <v>2</v>
      </c>
      <c r="O427" s="12">
        <v>2</v>
      </c>
      <c r="P427" s="12">
        <v>0</v>
      </c>
      <c r="Q427" s="16">
        <v>2</v>
      </c>
      <c r="R427" s="16">
        <v>0</v>
      </c>
      <c r="S427" s="16"/>
      <c r="T427" s="28">
        <v>2</v>
      </c>
      <c r="U427" s="28"/>
      <c r="V427" s="29">
        <f>+VLOOKUP(E427,[1]base!D:K,8,0)</f>
        <v>5.9670000000000005</v>
      </c>
      <c r="W427" s="29">
        <f t="shared" si="44"/>
        <v>11.934000000000001</v>
      </c>
      <c r="X427" s="29">
        <f t="shared" si="45"/>
        <v>0.62056800000000001</v>
      </c>
      <c r="Y427" s="29">
        <f>+VLOOKUP(E427,[1]base!D:E,2,0)</f>
        <v>13</v>
      </c>
      <c r="Z427" s="29">
        <f t="shared" si="46"/>
        <v>1</v>
      </c>
      <c r="AA427" s="29">
        <f t="shared" si="47"/>
        <v>6.6666666666666693E-2</v>
      </c>
      <c r="AB427" s="29">
        <f>+VLOOKUP(E427,[1]base!M:N,2,0)</f>
        <v>1934</v>
      </c>
      <c r="AC427" s="29">
        <f>+VLOOKUP(E427,[1]base!M:Q,5,0)</f>
        <v>578.90909090909088</v>
      </c>
      <c r="AD427" s="30">
        <f>+VLOOKUP(E427,[1]base!M:P,4,0)</f>
        <v>8.1235154394299292E-2</v>
      </c>
      <c r="AE427" s="31">
        <f t="shared" si="48"/>
        <v>423.09121140142514</v>
      </c>
    </row>
    <row r="428" spans="1:31" x14ac:dyDescent="0.25">
      <c r="A428" s="12" t="s">
        <v>888</v>
      </c>
      <c r="B428" s="13">
        <v>46261.508750000001</v>
      </c>
      <c r="C428" s="12" t="s">
        <v>502</v>
      </c>
      <c r="D428" s="12" t="s">
        <v>906</v>
      </c>
      <c r="E428" s="26" t="str">
        <f t="shared" si="42"/>
        <v>FSQ100</v>
      </c>
      <c r="F428" s="27" t="str">
        <f t="shared" si="43"/>
        <v>BLC</v>
      </c>
      <c r="G428" s="27">
        <f>+VLOOKUP(F428,[1]base!A:B,2,0)</f>
        <v>1</v>
      </c>
      <c r="H428" s="12">
        <v>10</v>
      </c>
      <c r="I428" s="12">
        <v>10</v>
      </c>
      <c r="J428" s="14"/>
      <c r="K428" s="14" t="s">
        <v>61</v>
      </c>
      <c r="L428" s="12" t="s">
        <v>911</v>
      </c>
      <c r="M428" s="12" t="s">
        <v>150</v>
      </c>
      <c r="N428" s="12">
        <v>10</v>
      </c>
      <c r="O428" s="12">
        <v>10</v>
      </c>
      <c r="P428" s="12">
        <v>0</v>
      </c>
      <c r="Q428" s="16">
        <v>10</v>
      </c>
      <c r="R428" s="16">
        <v>5</v>
      </c>
      <c r="S428" s="16"/>
      <c r="T428" s="28">
        <v>5</v>
      </c>
      <c r="U428" s="28">
        <v>5</v>
      </c>
      <c r="V428" s="29">
        <f>+VLOOKUP(E428,[1]base!D:K,8,0)</f>
        <v>4.992</v>
      </c>
      <c r="W428" s="29">
        <f t="shared" si="44"/>
        <v>49.92</v>
      </c>
      <c r="X428" s="29">
        <f t="shared" si="45"/>
        <v>2.5958399999999999</v>
      </c>
      <c r="Y428" s="29">
        <f>+VLOOKUP(E428,[1]base!D:E,2,0)</f>
        <v>13</v>
      </c>
      <c r="Z428" s="29">
        <f t="shared" si="46"/>
        <v>1</v>
      </c>
      <c r="AA428" s="29">
        <f t="shared" si="47"/>
        <v>6.6666666666666693E-2</v>
      </c>
      <c r="AB428" s="29">
        <f>+VLOOKUP(E428,[1]base!M:N,2,0)</f>
        <v>590</v>
      </c>
      <c r="AC428" s="29">
        <f>+VLOOKUP(E428,[1]base!M:Q,5,0)</f>
        <v>85.333333333333329</v>
      </c>
      <c r="AD428" s="30">
        <f>+VLOOKUP(E428,[1]base!M:P,4,0)</f>
        <v>3.2786885245901641E-2</v>
      </c>
      <c r="AE428" s="31">
        <f t="shared" si="48"/>
        <v>157.65573770491804</v>
      </c>
    </row>
    <row r="429" spans="1:31" x14ac:dyDescent="0.25">
      <c r="A429" s="12" t="s">
        <v>1570</v>
      </c>
      <c r="B429" s="13">
        <v>46274.654050925928</v>
      </c>
      <c r="C429" s="12" t="s">
        <v>24</v>
      </c>
      <c r="D429" s="12" t="s">
        <v>1582</v>
      </c>
      <c r="E429" s="26" t="str">
        <f t="shared" si="42"/>
        <v>FSQ100</v>
      </c>
      <c r="F429" s="27" t="str">
        <f t="shared" si="43"/>
        <v>CHPG</v>
      </c>
      <c r="G429" s="27">
        <f>+VLOOKUP(F429,[1]base!A:B,2,0)</f>
        <v>11</v>
      </c>
      <c r="H429" s="12">
        <v>4</v>
      </c>
      <c r="I429" s="12">
        <v>4</v>
      </c>
      <c r="J429" s="14"/>
      <c r="K429" s="14" t="s">
        <v>61</v>
      </c>
      <c r="L429" s="12" t="s">
        <v>1591</v>
      </c>
      <c r="M429" s="12" t="s">
        <v>150</v>
      </c>
      <c r="N429" s="12">
        <v>4</v>
      </c>
      <c r="O429" s="12">
        <v>4</v>
      </c>
      <c r="P429" s="12">
        <v>0</v>
      </c>
      <c r="Q429" s="16">
        <v>4</v>
      </c>
      <c r="R429" s="16">
        <v>0</v>
      </c>
      <c r="S429" s="16"/>
      <c r="T429" s="28">
        <v>4</v>
      </c>
      <c r="U429" s="28"/>
      <c r="V429" s="29">
        <f>+VLOOKUP(E429,[1]base!D:K,8,0)</f>
        <v>4.992</v>
      </c>
      <c r="W429" s="29">
        <f t="shared" si="44"/>
        <v>19.968</v>
      </c>
      <c r="X429" s="29">
        <f t="shared" si="45"/>
        <v>1.0383359999999999</v>
      </c>
      <c r="Y429" s="29">
        <f>+VLOOKUP(E429,[1]base!D:E,2,0)</f>
        <v>13</v>
      </c>
      <c r="Z429" s="29">
        <f t="shared" si="46"/>
        <v>1</v>
      </c>
      <c r="AA429" s="29">
        <f t="shared" si="47"/>
        <v>6.6666666666666693E-2</v>
      </c>
      <c r="AB429" s="29">
        <f>+VLOOKUP(E429,[1]base!M:N,2,0)</f>
        <v>590</v>
      </c>
      <c r="AC429" s="29">
        <f>+VLOOKUP(E429,[1]base!M:Q,5,0)</f>
        <v>85.333333333333329</v>
      </c>
      <c r="AD429" s="30">
        <f>+VLOOKUP(E429,[1]base!M:P,4,0)</f>
        <v>3.2786885245901641E-2</v>
      </c>
      <c r="AE429" s="31">
        <f t="shared" si="48"/>
        <v>157.65573770491804</v>
      </c>
    </row>
    <row r="430" spans="1:31" x14ac:dyDescent="0.25">
      <c r="A430" s="12" t="s">
        <v>744</v>
      </c>
      <c r="B430" s="13">
        <v>46256.424629629626</v>
      </c>
      <c r="C430" s="12" t="s">
        <v>258</v>
      </c>
      <c r="D430" s="12" t="s">
        <v>122</v>
      </c>
      <c r="E430" s="26" t="str">
        <f t="shared" si="42"/>
        <v>FSQ100</v>
      </c>
      <c r="F430" s="27" t="str">
        <f t="shared" si="43"/>
        <v>NOIR</v>
      </c>
      <c r="G430" s="27">
        <f>+VLOOKUP(F430,[1]base!A:B,2,0)</f>
        <v>37</v>
      </c>
      <c r="H430" s="12">
        <v>10</v>
      </c>
      <c r="I430" s="12">
        <v>10</v>
      </c>
      <c r="J430" s="14"/>
      <c r="K430" s="14" t="s">
        <v>61</v>
      </c>
      <c r="L430" s="12" t="s">
        <v>748</v>
      </c>
      <c r="M430" s="12" t="s">
        <v>150</v>
      </c>
      <c r="N430" s="12">
        <v>10</v>
      </c>
      <c r="O430" s="12">
        <v>10</v>
      </c>
      <c r="P430" s="12">
        <v>0</v>
      </c>
      <c r="Q430" s="16">
        <v>10</v>
      </c>
      <c r="R430" s="16">
        <v>0</v>
      </c>
      <c r="S430" s="16"/>
      <c r="T430" s="28">
        <v>10</v>
      </c>
      <c r="U430" s="28"/>
      <c r="V430" s="29">
        <f>+VLOOKUP(E430,[1]base!D:K,8,0)</f>
        <v>4.992</v>
      </c>
      <c r="W430" s="29">
        <f t="shared" si="44"/>
        <v>49.92</v>
      </c>
      <c r="X430" s="29">
        <f t="shared" si="45"/>
        <v>2.5958399999999999</v>
      </c>
      <c r="Y430" s="29">
        <f>+VLOOKUP(E430,[1]base!D:E,2,0)</f>
        <v>13</v>
      </c>
      <c r="Z430" s="29">
        <f t="shared" si="46"/>
        <v>1</v>
      </c>
      <c r="AA430" s="29">
        <f t="shared" si="47"/>
        <v>6.6666666666666693E-2</v>
      </c>
      <c r="AB430" s="29">
        <f>+VLOOKUP(E430,[1]base!M:N,2,0)</f>
        <v>590</v>
      </c>
      <c r="AC430" s="29">
        <f>+VLOOKUP(E430,[1]base!M:Q,5,0)</f>
        <v>85.333333333333329</v>
      </c>
      <c r="AD430" s="30">
        <f>+VLOOKUP(E430,[1]base!M:P,4,0)</f>
        <v>3.2786885245901641E-2</v>
      </c>
      <c r="AE430" s="31">
        <f t="shared" si="48"/>
        <v>157.65573770491804</v>
      </c>
    </row>
    <row r="431" spans="1:31" x14ac:dyDescent="0.25">
      <c r="A431" s="12" t="s">
        <v>1404</v>
      </c>
      <c r="B431" s="13">
        <v>46272.553136574075</v>
      </c>
      <c r="C431" s="12" t="s">
        <v>24</v>
      </c>
      <c r="D431" s="12" t="s">
        <v>122</v>
      </c>
      <c r="E431" s="26" t="str">
        <f t="shared" si="42"/>
        <v>FSQ100</v>
      </c>
      <c r="F431" s="27" t="str">
        <f t="shared" si="43"/>
        <v>NOIR</v>
      </c>
      <c r="G431" s="27">
        <f>+VLOOKUP(F431,[1]base!A:B,2,0)</f>
        <v>37</v>
      </c>
      <c r="H431" s="12">
        <v>7</v>
      </c>
      <c r="I431" s="12">
        <v>7</v>
      </c>
      <c r="J431" s="14"/>
      <c r="K431" s="14" t="s">
        <v>61</v>
      </c>
      <c r="L431" s="12" t="s">
        <v>1410</v>
      </c>
      <c r="M431" s="12" t="s">
        <v>150</v>
      </c>
      <c r="N431" s="12">
        <v>7</v>
      </c>
      <c r="O431" s="12">
        <v>7</v>
      </c>
      <c r="P431" s="12">
        <v>0</v>
      </c>
      <c r="Q431" s="16">
        <v>7</v>
      </c>
      <c r="R431" s="16">
        <v>0</v>
      </c>
      <c r="S431" s="16"/>
      <c r="T431" s="28">
        <v>7</v>
      </c>
      <c r="U431" s="28"/>
      <c r="V431" s="29">
        <f>+VLOOKUP(E431,[1]base!D:K,8,0)</f>
        <v>4.992</v>
      </c>
      <c r="W431" s="29">
        <f t="shared" si="44"/>
        <v>34.944000000000003</v>
      </c>
      <c r="X431" s="29">
        <f t="shared" si="45"/>
        <v>1.817088</v>
      </c>
      <c r="Y431" s="29">
        <f>+VLOOKUP(E431,[1]base!D:E,2,0)</f>
        <v>13</v>
      </c>
      <c r="Z431" s="29">
        <f t="shared" si="46"/>
        <v>1</v>
      </c>
      <c r="AA431" s="29">
        <f t="shared" si="47"/>
        <v>6.6666666666666693E-2</v>
      </c>
      <c r="AB431" s="29">
        <f>+VLOOKUP(E431,[1]base!M:N,2,0)</f>
        <v>590</v>
      </c>
      <c r="AC431" s="29">
        <f>+VLOOKUP(E431,[1]base!M:Q,5,0)</f>
        <v>85.333333333333329</v>
      </c>
      <c r="AD431" s="30">
        <f>+VLOOKUP(E431,[1]base!M:P,4,0)</f>
        <v>3.2786885245901641E-2</v>
      </c>
      <c r="AE431" s="31">
        <f t="shared" si="48"/>
        <v>157.65573770491804</v>
      </c>
    </row>
    <row r="432" spans="1:31" x14ac:dyDescent="0.25">
      <c r="A432" s="12" t="s">
        <v>792</v>
      </c>
      <c r="B432" s="13">
        <v>46260.398888888885</v>
      </c>
      <c r="C432" s="12" t="s">
        <v>24</v>
      </c>
      <c r="D432" s="12" t="s">
        <v>810</v>
      </c>
      <c r="E432" s="26" t="str">
        <f t="shared" si="42"/>
        <v>FSQ102</v>
      </c>
      <c r="F432" s="27" t="str">
        <f t="shared" si="43"/>
        <v>GREY</v>
      </c>
      <c r="G432" s="27">
        <f>+VLOOKUP(F432,[1]base!A:B,2,0)</f>
        <v>24</v>
      </c>
      <c r="H432" s="12">
        <v>3</v>
      </c>
      <c r="I432" s="12">
        <v>3</v>
      </c>
      <c r="J432" s="14"/>
      <c r="K432" s="14" t="s">
        <v>61</v>
      </c>
      <c r="L432" s="12" t="s">
        <v>821</v>
      </c>
      <c r="M432" s="12" t="s">
        <v>150</v>
      </c>
      <c r="N432" s="12">
        <v>3</v>
      </c>
      <c r="O432" s="12">
        <v>3</v>
      </c>
      <c r="P432" s="12">
        <v>0</v>
      </c>
      <c r="Q432" s="16">
        <v>3</v>
      </c>
      <c r="R432" s="16">
        <v>0</v>
      </c>
      <c r="S432" s="16"/>
      <c r="T432" s="28">
        <v>3</v>
      </c>
      <c r="U432" s="28"/>
      <c r="V432" s="29">
        <f>+VLOOKUP(E432,[1]base!D:K,8,0)</f>
        <v>4.3029999999999999</v>
      </c>
      <c r="W432" s="29">
        <f t="shared" si="44"/>
        <v>12.908999999999999</v>
      </c>
      <c r="X432" s="29">
        <f t="shared" si="45"/>
        <v>0.67126799999999986</v>
      </c>
      <c r="Y432" s="29">
        <f>+VLOOKUP(E432,[1]base!D:E,2,0)</f>
        <v>13</v>
      </c>
      <c r="Z432" s="29">
        <f t="shared" si="46"/>
        <v>1</v>
      </c>
      <c r="AA432" s="29">
        <f t="shared" si="47"/>
        <v>6.6666666666666693E-2</v>
      </c>
      <c r="AB432" s="29">
        <f>+VLOOKUP(E432,[1]base!M:N,2,0)</f>
        <v>659</v>
      </c>
      <c r="AC432" s="29">
        <f>+VLOOKUP(E432,[1]base!M:Q,5,0)</f>
        <v>13.857142857142858</v>
      </c>
      <c r="AD432" s="30">
        <f>+VLOOKUP(E432,[1]base!M:P,4,0)</f>
        <v>0.11305518169582772</v>
      </c>
      <c r="AE432" s="31">
        <f t="shared" si="48"/>
        <v>123.19663526244952</v>
      </c>
    </row>
    <row r="433" spans="1:31" x14ac:dyDescent="0.25">
      <c r="A433" s="12" t="s">
        <v>792</v>
      </c>
      <c r="B433" s="13">
        <v>46260.398888888885</v>
      </c>
      <c r="C433" s="12" t="s">
        <v>24</v>
      </c>
      <c r="D433" s="12" t="s">
        <v>813</v>
      </c>
      <c r="E433" s="26" t="str">
        <f t="shared" si="42"/>
        <v>FSQ104</v>
      </c>
      <c r="F433" s="27" t="str">
        <f t="shared" si="43"/>
        <v>GREY</v>
      </c>
      <c r="G433" s="27">
        <f>+VLOOKUP(F433,[1]base!A:B,2,0)</f>
        <v>24</v>
      </c>
      <c r="H433" s="12">
        <v>1</v>
      </c>
      <c r="I433" s="12">
        <v>1</v>
      </c>
      <c r="J433" s="14"/>
      <c r="K433" s="14" t="s">
        <v>61</v>
      </c>
      <c r="L433" s="12" t="s">
        <v>824</v>
      </c>
      <c r="M433" s="12" t="s">
        <v>150</v>
      </c>
      <c r="N433" s="12">
        <v>1</v>
      </c>
      <c r="O433" s="12">
        <v>1</v>
      </c>
      <c r="P433" s="12">
        <v>0</v>
      </c>
      <c r="Q433" s="16">
        <v>1</v>
      </c>
      <c r="R433" s="16">
        <v>1</v>
      </c>
      <c r="S433" s="16"/>
      <c r="T433" s="28">
        <v>0</v>
      </c>
      <c r="U433" s="28">
        <v>1</v>
      </c>
      <c r="V433" s="29">
        <f>+VLOOKUP(E433,[1]base!D:K,8,0)</f>
        <v>7.0394999999999994</v>
      </c>
      <c r="W433" s="29">
        <f t="shared" si="44"/>
        <v>7.0394999999999994</v>
      </c>
      <c r="X433" s="29">
        <f t="shared" si="45"/>
        <v>0.36605399999999993</v>
      </c>
      <c r="Y433" s="29">
        <f>+VLOOKUP(E433,[1]base!D:E,2,0)</f>
        <v>13</v>
      </c>
      <c r="Z433" s="29">
        <f t="shared" si="46"/>
        <v>0</v>
      </c>
      <c r="AA433" s="29">
        <f t="shared" si="47"/>
        <v>0</v>
      </c>
      <c r="AB433" s="29">
        <f>+VLOOKUP(E433,[1]base!M:N,2,0)</f>
        <v>435</v>
      </c>
      <c r="AC433" s="29">
        <f>+VLOOKUP(E433,[1]base!M:Q,5,0)</f>
        <v>13</v>
      </c>
      <c r="AD433" s="30">
        <f>+VLOOKUP(E433,[1]base!M:P,4,0)</f>
        <v>4.5766590389016018E-3</v>
      </c>
      <c r="AE433" s="31">
        <f t="shared" si="48"/>
        <v>128.50915331807781</v>
      </c>
    </row>
    <row r="434" spans="1:31" x14ac:dyDescent="0.25">
      <c r="A434" s="12" t="s">
        <v>1021</v>
      </c>
      <c r="B434" s="13">
        <v>46266.424675925926</v>
      </c>
      <c r="C434" s="12" t="s">
        <v>24</v>
      </c>
      <c r="D434" s="12" t="s">
        <v>1038</v>
      </c>
      <c r="E434" s="26" t="str">
        <f t="shared" si="42"/>
        <v>FSQ104</v>
      </c>
      <c r="F434" s="27" t="str">
        <f t="shared" si="43"/>
        <v>DARK</v>
      </c>
      <c r="G434" s="27">
        <f>+VLOOKUP(F434,[1]base!A:B,2,0)</f>
        <v>38</v>
      </c>
      <c r="H434" s="12">
        <v>1</v>
      </c>
      <c r="I434" s="12">
        <v>1</v>
      </c>
      <c r="J434" s="14"/>
      <c r="K434" s="14" t="s">
        <v>61</v>
      </c>
      <c r="L434" s="12" t="s">
        <v>1069</v>
      </c>
      <c r="M434" s="12" t="s">
        <v>150</v>
      </c>
      <c r="N434" s="12">
        <v>1</v>
      </c>
      <c r="O434" s="12">
        <v>1</v>
      </c>
      <c r="P434" s="12">
        <v>0</v>
      </c>
      <c r="Q434" s="16">
        <v>1</v>
      </c>
      <c r="R434" s="16">
        <v>0</v>
      </c>
      <c r="S434" s="16"/>
      <c r="T434" s="28">
        <v>1</v>
      </c>
      <c r="U434" s="28"/>
      <c r="V434" s="29">
        <f>+VLOOKUP(E434,[1]base!D:K,8,0)</f>
        <v>7.0394999999999994</v>
      </c>
      <c r="W434" s="29">
        <f t="shared" si="44"/>
        <v>7.0394999999999994</v>
      </c>
      <c r="X434" s="29">
        <f t="shared" si="45"/>
        <v>0.36605399999999993</v>
      </c>
      <c r="Y434" s="29">
        <f>+VLOOKUP(E434,[1]base!D:E,2,0)</f>
        <v>13</v>
      </c>
      <c r="Z434" s="29">
        <f t="shared" si="46"/>
        <v>1</v>
      </c>
      <c r="AA434" s="29">
        <f t="shared" si="47"/>
        <v>6.6666666666666693E-2</v>
      </c>
      <c r="AB434" s="29">
        <f>+VLOOKUP(E434,[1]base!M:N,2,0)</f>
        <v>435</v>
      </c>
      <c r="AC434" s="29">
        <f>+VLOOKUP(E434,[1]base!M:Q,5,0)</f>
        <v>13</v>
      </c>
      <c r="AD434" s="30">
        <f>+VLOOKUP(E434,[1]base!M:P,4,0)</f>
        <v>4.5766590389016018E-3</v>
      </c>
      <c r="AE434" s="31">
        <f t="shared" si="48"/>
        <v>128.50915331807781</v>
      </c>
    </row>
    <row r="435" spans="1:31" x14ac:dyDescent="0.25">
      <c r="A435" s="12" t="s">
        <v>888</v>
      </c>
      <c r="B435" s="13">
        <v>46261.508750000001</v>
      </c>
      <c r="C435" s="12" t="s">
        <v>502</v>
      </c>
      <c r="D435" s="12" t="s">
        <v>894</v>
      </c>
      <c r="E435" s="26" t="str">
        <f t="shared" si="42"/>
        <v>FSQ110</v>
      </c>
      <c r="F435" s="27" t="str">
        <f t="shared" si="43"/>
        <v>BLC</v>
      </c>
      <c r="G435" s="27">
        <f>+VLOOKUP(F435,[1]base!A:B,2,0)</f>
        <v>1</v>
      </c>
      <c r="H435" s="12">
        <v>4</v>
      </c>
      <c r="I435" s="12">
        <v>4</v>
      </c>
      <c r="J435" s="14"/>
      <c r="K435" s="14" t="s">
        <v>61</v>
      </c>
      <c r="L435" s="12" t="s">
        <v>900</v>
      </c>
      <c r="M435" s="12" t="s">
        <v>150</v>
      </c>
      <c r="N435" s="12">
        <v>4</v>
      </c>
      <c r="O435" s="12">
        <v>4</v>
      </c>
      <c r="P435" s="12">
        <v>0</v>
      </c>
      <c r="Q435" s="16">
        <v>4</v>
      </c>
      <c r="R435" s="16">
        <v>2</v>
      </c>
      <c r="S435" s="16"/>
      <c r="T435" s="28">
        <v>2</v>
      </c>
      <c r="U435" s="28">
        <v>2</v>
      </c>
      <c r="V435" s="29">
        <f>+VLOOKUP(E435,[1]base!D:K,8,0)</f>
        <v>1.8784999999999998</v>
      </c>
      <c r="W435" s="29">
        <f t="shared" si="44"/>
        <v>7.5139999999999993</v>
      </c>
      <c r="X435" s="29">
        <f t="shared" si="45"/>
        <v>0.39072799999999996</v>
      </c>
      <c r="Y435" s="29">
        <f>+VLOOKUP(E435,[1]base!D:E,2,0)</f>
        <v>20</v>
      </c>
      <c r="Z435" s="29">
        <f t="shared" si="46"/>
        <v>1</v>
      </c>
      <c r="AA435" s="29">
        <f t="shared" si="47"/>
        <v>6.6666666666666693E-2</v>
      </c>
      <c r="AB435" s="29">
        <f>+VLOOKUP(E435,[1]base!M:N,2,0)</f>
        <v>1063</v>
      </c>
      <c r="AC435" s="29">
        <f>+VLOOKUP(E435,[1]base!M:Q,5,0)</f>
        <v>41</v>
      </c>
      <c r="AD435" s="30">
        <f>+VLOOKUP(E435,[1]base!M:P,4,0)</f>
        <v>4.6816479400749065E-3</v>
      </c>
      <c r="AE435" s="31">
        <f t="shared" si="48"/>
        <v>313.92340823970034</v>
      </c>
    </row>
    <row r="436" spans="1:31" x14ac:dyDescent="0.25">
      <c r="A436" s="12" t="s">
        <v>888</v>
      </c>
      <c r="B436" s="13">
        <v>46261.508750000001</v>
      </c>
      <c r="C436" s="12" t="s">
        <v>502</v>
      </c>
      <c r="D436" s="12" t="s">
        <v>895</v>
      </c>
      <c r="E436" s="26" t="str">
        <f t="shared" si="42"/>
        <v>FSQ111</v>
      </c>
      <c r="F436" s="27" t="str">
        <f t="shared" si="43"/>
        <v>BLC</v>
      </c>
      <c r="G436" s="27">
        <f>+VLOOKUP(F436,[1]base!A:B,2,0)</f>
        <v>1</v>
      </c>
      <c r="H436" s="12">
        <v>10</v>
      </c>
      <c r="I436" s="12">
        <v>10</v>
      </c>
      <c r="J436" s="14"/>
      <c r="K436" s="14" t="s">
        <v>61</v>
      </c>
      <c r="L436" s="12" t="s">
        <v>901</v>
      </c>
      <c r="M436" s="12" t="s">
        <v>150</v>
      </c>
      <c r="N436" s="12">
        <v>10</v>
      </c>
      <c r="O436" s="12">
        <v>10</v>
      </c>
      <c r="P436" s="12">
        <v>0</v>
      </c>
      <c r="Q436" s="16">
        <v>10</v>
      </c>
      <c r="R436" s="16">
        <v>4</v>
      </c>
      <c r="S436" s="16"/>
      <c r="T436" s="28">
        <v>6</v>
      </c>
      <c r="U436" s="28">
        <v>4</v>
      </c>
      <c r="V436" s="29">
        <f>+VLOOKUP(E436,[1]base!D:K,8,0)</f>
        <v>1.8459999999999999</v>
      </c>
      <c r="W436" s="29">
        <f t="shared" si="44"/>
        <v>18.459999999999997</v>
      </c>
      <c r="X436" s="29">
        <f t="shared" si="45"/>
        <v>0.95991999999999977</v>
      </c>
      <c r="Y436" s="29">
        <f>+VLOOKUP(E436,[1]base!D:E,2,0)</f>
        <v>20</v>
      </c>
      <c r="Z436" s="29">
        <f t="shared" si="46"/>
        <v>1</v>
      </c>
      <c r="AA436" s="29">
        <f t="shared" si="47"/>
        <v>6.6666666666666693E-2</v>
      </c>
      <c r="AB436" s="29">
        <f>+VLOOKUP(E436,[1]base!M:N,2,0)</f>
        <v>983</v>
      </c>
      <c r="AC436" s="29">
        <f>+VLOOKUP(E436,[1]base!M:Q,5,0)</f>
        <v>103.33333333333333</v>
      </c>
      <c r="AD436" s="30">
        <f>+VLOOKUP(E436,[1]base!M:P,4,0)</f>
        <v>3.0425963488843813E-3</v>
      </c>
      <c r="AE436" s="31">
        <f t="shared" si="48"/>
        <v>291.90912778904664</v>
      </c>
    </row>
    <row r="437" spans="1:31" x14ac:dyDescent="0.25">
      <c r="A437" s="12" t="s">
        <v>1570</v>
      </c>
      <c r="B437" s="13">
        <v>46274.654050925928</v>
      </c>
      <c r="C437" s="12" t="s">
        <v>24</v>
      </c>
      <c r="D437" s="12" t="s">
        <v>1583</v>
      </c>
      <c r="E437" s="26" t="str">
        <f t="shared" si="42"/>
        <v>FSQ111</v>
      </c>
      <c r="F437" s="27" t="str">
        <f t="shared" si="43"/>
        <v>CHPG</v>
      </c>
      <c r="G437" s="27">
        <f>+VLOOKUP(F437,[1]base!A:B,2,0)</f>
        <v>11</v>
      </c>
      <c r="H437" s="12">
        <v>4</v>
      </c>
      <c r="I437" s="12">
        <v>4</v>
      </c>
      <c r="J437" s="14"/>
      <c r="K437" s="14" t="s">
        <v>61</v>
      </c>
      <c r="L437" s="12" t="s">
        <v>1592</v>
      </c>
      <c r="M437" s="12" t="s">
        <v>150</v>
      </c>
      <c r="N437" s="12">
        <v>4</v>
      </c>
      <c r="O437" s="12">
        <v>4</v>
      </c>
      <c r="P437" s="12">
        <v>0</v>
      </c>
      <c r="Q437" s="16">
        <v>4</v>
      </c>
      <c r="R437" s="16">
        <v>0</v>
      </c>
      <c r="S437" s="16"/>
      <c r="T437" s="28">
        <v>4</v>
      </c>
      <c r="U437" s="28"/>
      <c r="V437" s="29">
        <f>+VLOOKUP(E437,[1]base!D:K,8,0)</f>
        <v>1.8459999999999999</v>
      </c>
      <c r="W437" s="29">
        <f t="shared" si="44"/>
        <v>7.3839999999999995</v>
      </c>
      <c r="X437" s="29">
        <f t="shared" si="45"/>
        <v>0.38396799999999998</v>
      </c>
      <c r="Y437" s="29">
        <f>+VLOOKUP(E437,[1]base!D:E,2,0)</f>
        <v>20</v>
      </c>
      <c r="Z437" s="29">
        <f t="shared" si="46"/>
        <v>1</v>
      </c>
      <c r="AA437" s="29">
        <f t="shared" si="47"/>
        <v>6.6666666666666693E-2</v>
      </c>
      <c r="AB437" s="29">
        <f>+VLOOKUP(E437,[1]base!M:N,2,0)</f>
        <v>983</v>
      </c>
      <c r="AC437" s="29">
        <f>+VLOOKUP(E437,[1]base!M:Q,5,0)</f>
        <v>103.33333333333333</v>
      </c>
      <c r="AD437" s="30">
        <f>+VLOOKUP(E437,[1]base!M:P,4,0)</f>
        <v>3.0425963488843813E-3</v>
      </c>
      <c r="AE437" s="31">
        <f t="shared" si="48"/>
        <v>291.90912778904664</v>
      </c>
    </row>
    <row r="438" spans="1:31" x14ac:dyDescent="0.25">
      <c r="A438" s="12" t="s">
        <v>744</v>
      </c>
      <c r="B438" s="13">
        <v>46256.424629629626</v>
      </c>
      <c r="C438" s="12" t="s">
        <v>258</v>
      </c>
      <c r="D438" s="12" t="s">
        <v>123</v>
      </c>
      <c r="E438" s="26" t="str">
        <f t="shared" si="42"/>
        <v>FSQ111</v>
      </c>
      <c r="F438" s="27" t="str">
        <f t="shared" si="43"/>
        <v>NOIR</v>
      </c>
      <c r="G438" s="27">
        <f>+VLOOKUP(F438,[1]base!A:B,2,0)</f>
        <v>37</v>
      </c>
      <c r="H438" s="12">
        <v>30</v>
      </c>
      <c r="I438" s="12">
        <v>30</v>
      </c>
      <c r="J438" s="14"/>
      <c r="K438" s="14" t="s">
        <v>61</v>
      </c>
      <c r="L438" s="12" t="s">
        <v>749</v>
      </c>
      <c r="M438" s="12" t="s">
        <v>150</v>
      </c>
      <c r="N438" s="12">
        <v>30</v>
      </c>
      <c r="O438" s="12">
        <v>30</v>
      </c>
      <c r="P438" s="12">
        <v>0</v>
      </c>
      <c r="Q438" s="16">
        <v>30</v>
      </c>
      <c r="R438" s="16">
        <v>0</v>
      </c>
      <c r="S438" s="16"/>
      <c r="T438" s="28">
        <v>30</v>
      </c>
      <c r="U438" s="28"/>
      <c r="V438" s="29">
        <f>+VLOOKUP(E438,[1]base!D:K,8,0)</f>
        <v>1.8459999999999999</v>
      </c>
      <c r="W438" s="29">
        <f t="shared" si="44"/>
        <v>55.379999999999995</v>
      </c>
      <c r="X438" s="29">
        <f t="shared" si="45"/>
        <v>2.8797599999999997</v>
      </c>
      <c r="Y438" s="29">
        <f>+VLOOKUP(E438,[1]base!D:E,2,0)</f>
        <v>20</v>
      </c>
      <c r="Z438" s="29">
        <f t="shared" si="46"/>
        <v>2</v>
      </c>
      <c r="AA438" s="29">
        <f t="shared" si="47"/>
        <v>0.13333333333333339</v>
      </c>
      <c r="AB438" s="29">
        <f>+VLOOKUP(E438,[1]base!M:N,2,0)</f>
        <v>983</v>
      </c>
      <c r="AC438" s="29">
        <f>+VLOOKUP(E438,[1]base!M:Q,5,0)</f>
        <v>103.33333333333333</v>
      </c>
      <c r="AD438" s="30">
        <f>+VLOOKUP(E438,[1]base!M:P,4,0)</f>
        <v>3.0425963488843813E-3</v>
      </c>
      <c r="AE438" s="31">
        <f t="shared" si="48"/>
        <v>291.90912778904664</v>
      </c>
    </row>
    <row r="439" spans="1:31" x14ac:dyDescent="0.25">
      <c r="A439" s="12" t="s">
        <v>1021</v>
      </c>
      <c r="B439" s="13">
        <v>46266.424675925926</v>
      </c>
      <c r="C439" s="12" t="s">
        <v>24</v>
      </c>
      <c r="D439" s="12" t="s">
        <v>1043</v>
      </c>
      <c r="E439" s="26" t="str">
        <f t="shared" si="42"/>
        <v>FSQ111</v>
      </c>
      <c r="F439" s="27" t="str">
        <f t="shared" si="43"/>
        <v>DARK</v>
      </c>
      <c r="G439" s="27">
        <f>+VLOOKUP(F439,[1]base!A:B,2,0)</f>
        <v>38</v>
      </c>
      <c r="H439" s="12">
        <v>33</v>
      </c>
      <c r="I439" s="12">
        <v>33</v>
      </c>
      <c r="J439" s="14"/>
      <c r="K439" s="14" t="s">
        <v>61</v>
      </c>
      <c r="L439" s="12" t="s">
        <v>1073</v>
      </c>
      <c r="M439" s="12" t="s">
        <v>150</v>
      </c>
      <c r="N439" s="12">
        <v>33</v>
      </c>
      <c r="O439" s="12">
        <v>33</v>
      </c>
      <c r="P439" s="12">
        <v>0</v>
      </c>
      <c r="Q439" s="16">
        <v>33</v>
      </c>
      <c r="R439" s="16">
        <v>0</v>
      </c>
      <c r="S439" s="16"/>
      <c r="T439" s="28">
        <v>33</v>
      </c>
      <c r="U439" s="28"/>
      <c r="V439" s="29">
        <f>+VLOOKUP(E439,[1]base!D:K,8,0)</f>
        <v>1.8459999999999999</v>
      </c>
      <c r="W439" s="29">
        <f t="shared" si="44"/>
        <v>60.917999999999992</v>
      </c>
      <c r="X439" s="29">
        <f t="shared" si="45"/>
        <v>3.1677359999999997</v>
      </c>
      <c r="Y439" s="29">
        <f>+VLOOKUP(E439,[1]base!D:E,2,0)</f>
        <v>20</v>
      </c>
      <c r="Z439" s="29">
        <f t="shared" si="46"/>
        <v>2</v>
      </c>
      <c r="AA439" s="29">
        <f t="shared" si="47"/>
        <v>0.13333333333333339</v>
      </c>
      <c r="AB439" s="29">
        <f>+VLOOKUP(E439,[1]base!M:N,2,0)</f>
        <v>983</v>
      </c>
      <c r="AC439" s="29">
        <f>+VLOOKUP(E439,[1]base!M:Q,5,0)</f>
        <v>103.33333333333333</v>
      </c>
      <c r="AD439" s="30">
        <f>+VLOOKUP(E439,[1]base!M:P,4,0)</f>
        <v>3.0425963488843813E-3</v>
      </c>
      <c r="AE439" s="31">
        <f t="shared" si="48"/>
        <v>291.90912778904664</v>
      </c>
    </row>
    <row r="440" spans="1:31" x14ac:dyDescent="0.25">
      <c r="A440" s="12" t="s">
        <v>693</v>
      </c>
      <c r="B440" s="13">
        <v>46254.370798611111</v>
      </c>
      <c r="C440" s="12" t="s">
        <v>24</v>
      </c>
      <c r="D440" s="12" t="s">
        <v>694</v>
      </c>
      <c r="E440" s="26" t="str">
        <f t="shared" si="42"/>
        <v>FSQ112</v>
      </c>
      <c r="F440" s="27" t="str">
        <f t="shared" si="43"/>
        <v>BLC</v>
      </c>
      <c r="G440" s="27">
        <f>+VLOOKUP(F440,[1]base!A:B,2,0)</f>
        <v>1</v>
      </c>
      <c r="H440" s="12">
        <v>3</v>
      </c>
      <c r="I440" s="12">
        <v>3</v>
      </c>
      <c r="J440" s="14"/>
      <c r="K440" s="14" t="s">
        <v>61</v>
      </c>
      <c r="L440" s="12" t="s">
        <v>696</v>
      </c>
      <c r="M440" s="12" t="s">
        <v>150</v>
      </c>
      <c r="N440" s="12">
        <v>3</v>
      </c>
      <c r="O440" s="12">
        <v>3</v>
      </c>
      <c r="P440" s="12">
        <v>0</v>
      </c>
      <c r="Q440" s="16">
        <v>3</v>
      </c>
      <c r="R440" s="16">
        <v>0</v>
      </c>
      <c r="S440" s="16"/>
      <c r="T440" s="28">
        <v>3</v>
      </c>
      <c r="U440" s="28"/>
      <c r="V440" s="29">
        <f>+VLOOKUP(E440,[1]base!D:K,8,0)</f>
        <v>5.1870000000000003</v>
      </c>
      <c r="W440" s="29">
        <f t="shared" si="44"/>
        <v>15.561</v>
      </c>
      <c r="X440" s="29">
        <f t="shared" si="45"/>
        <v>0.809172</v>
      </c>
      <c r="Y440" s="29">
        <f>+VLOOKUP(E440,[1]base!D:E,2,0)</f>
        <v>12</v>
      </c>
      <c r="Z440" s="29">
        <f t="shared" si="46"/>
        <v>1</v>
      </c>
      <c r="AA440" s="29">
        <f t="shared" si="47"/>
        <v>6.6666666666666693E-2</v>
      </c>
      <c r="AB440" s="29">
        <f>+VLOOKUP(E440,[1]base!M:N,2,0)</f>
        <v>171</v>
      </c>
      <c r="AC440" s="29">
        <f>+VLOOKUP(E440,[1]base!M:Q,5,0)</f>
        <v>27.714285714285715</v>
      </c>
      <c r="AD440" s="30">
        <f>+VLOOKUP(E440,[1]base!M:P,4,0)</f>
        <v>1.7241379310344827E-2</v>
      </c>
      <c r="AE440" s="31">
        <f t="shared" si="48"/>
        <v>48.351724137931036</v>
      </c>
    </row>
    <row r="441" spans="1:31" x14ac:dyDescent="0.25">
      <c r="A441" s="12" t="s">
        <v>888</v>
      </c>
      <c r="B441" s="13">
        <v>46261.508750000001</v>
      </c>
      <c r="C441" s="12" t="s">
        <v>502</v>
      </c>
      <c r="D441" s="12" t="s">
        <v>694</v>
      </c>
      <c r="E441" s="26" t="str">
        <f t="shared" si="42"/>
        <v>FSQ112</v>
      </c>
      <c r="F441" s="27" t="str">
        <f t="shared" si="43"/>
        <v>BLC</v>
      </c>
      <c r="G441" s="27">
        <f>+VLOOKUP(F441,[1]base!A:B,2,0)</f>
        <v>1</v>
      </c>
      <c r="H441" s="12">
        <v>4</v>
      </c>
      <c r="I441" s="12">
        <v>4</v>
      </c>
      <c r="J441" s="14"/>
      <c r="K441" s="14" t="s">
        <v>61</v>
      </c>
      <c r="L441" s="12" t="s">
        <v>902</v>
      </c>
      <c r="M441" s="12" t="s">
        <v>150</v>
      </c>
      <c r="N441" s="12">
        <v>4</v>
      </c>
      <c r="O441" s="12">
        <v>4</v>
      </c>
      <c r="P441" s="12">
        <v>0</v>
      </c>
      <c r="Q441" s="16">
        <v>4</v>
      </c>
      <c r="R441" s="16">
        <v>0</v>
      </c>
      <c r="S441" s="16"/>
      <c r="T441" s="28">
        <v>4</v>
      </c>
      <c r="U441" s="28"/>
      <c r="V441" s="29">
        <f>+VLOOKUP(E441,[1]base!D:K,8,0)</f>
        <v>5.1870000000000003</v>
      </c>
      <c r="W441" s="29">
        <f t="shared" si="44"/>
        <v>20.748000000000001</v>
      </c>
      <c r="X441" s="29">
        <f t="shared" si="45"/>
        <v>1.0788960000000001</v>
      </c>
      <c r="Y441" s="29">
        <f>+VLOOKUP(E441,[1]base!D:E,2,0)</f>
        <v>12</v>
      </c>
      <c r="Z441" s="29">
        <f t="shared" si="46"/>
        <v>1</v>
      </c>
      <c r="AA441" s="29">
        <f t="shared" si="47"/>
        <v>6.6666666666666693E-2</v>
      </c>
      <c r="AB441" s="29">
        <f>+VLOOKUP(E441,[1]base!M:N,2,0)</f>
        <v>171</v>
      </c>
      <c r="AC441" s="29">
        <f>+VLOOKUP(E441,[1]base!M:Q,5,0)</f>
        <v>27.714285714285715</v>
      </c>
      <c r="AD441" s="30">
        <f>+VLOOKUP(E441,[1]base!M:P,4,0)</f>
        <v>1.7241379310344827E-2</v>
      </c>
      <c r="AE441" s="31">
        <f t="shared" si="48"/>
        <v>48.351724137931036</v>
      </c>
    </row>
    <row r="442" spans="1:31" x14ac:dyDescent="0.25">
      <c r="A442" s="12" t="s">
        <v>1570</v>
      </c>
      <c r="B442" s="13">
        <v>46274.654050925928</v>
      </c>
      <c r="C442" s="12" t="s">
        <v>24</v>
      </c>
      <c r="D442" s="12" t="s">
        <v>1581</v>
      </c>
      <c r="E442" s="26" t="str">
        <f t="shared" si="42"/>
        <v>FSQ112</v>
      </c>
      <c r="F442" s="27" t="str">
        <f t="shared" si="43"/>
        <v>CHPG</v>
      </c>
      <c r="G442" s="27">
        <f>+VLOOKUP(F442,[1]base!A:B,2,0)</f>
        <v>11</v>
      </c>
      <c r="H442" s="12">
        <v>1</v>
      </c>
      <c r="I442" s="12">
        <v>1</v>
      </c>
      <c r="J442" s="14"/>
      <c r="K442" s="14" t="s">
        <v>61</v>
      </c>
      <c r="L442" s="12" t="s">
        <v>1590</v>
      </c>
      <c r="M442" s="12" t="s">
        <v>150</v>
      </c>
      <c r="N442" s="12">
        <v>1</v>
      </c>
      <c r="O442" s="12">
        <v>1</v>
      </c>
      <c r="P442" s="12">
        <v>0</v>
      </c>
      <c r="Q442" s="16">
        <v>1</v>
      </c>
      <c r="R442" s="16">
        <v>0</v>
      </c>
      <c r="S442" s="16"/>
      <c r="T442" s="28">
        <v>1</v>
      </c>
      <c r="U442" s="28"/>
      <c r="V442" s="29">
        <f>+VLOOKUP(E442,[1]base!D:K,8,0)</f>
        <v>5.1870000000000003</v>
      </c>
      <c r="W442" s="29">
        <f t="shared" si="44"/>
        <v>5.1870000000000003</v>
      </c>
      <c r="X442" s="29">
        <f t="shared" si="45"/>
        <v>0.26972400000000002</v>
      </c>
      <c r="Y442" s="29">
        <f>+VLOOKUP(E442,[1]base!D:E,2,0)</f>
        <v>12</v>
      </c>
      <c r="Z442" s="29">
        <f t="shared" si="46"/>
        <v>1</v>
      </c>
      <c r="AA442" s="29">
        <f t="shared" si="47"/>
        <v>6.6666666666666693E-2</v>
      </c>
      <c r="AB442" s="29">
        <f>+VLOOKUP(E442,[1]base!M:N,2,0)</f>
        <v>171</v>
      </c>
      <c r="AC442" s="29">
        <f>+VLOOKUP(E442,[1]base!M:Q,5,0)</f>
        <v>27.714285714285715</v>
      </c>
      <c r="AD442" s="30">
        <f>+VLOOKUP(E442,[1]base!M:P,4,0)</f>
        <v>1.7241379310344827E-2</v>
      </c>
      <c r="AE442" s="31">
        <f t="shared" si="48"/>
        <v>48.351724137931036</v>
      </c>
    </row>
    <row r="443" spans="1:31" x14ac:dyDescent="0.25">
      <c r="A443" s="12" t="s">
        <v>792</v>
      </c>
      <c r="B443" s="13">
        <v>46260.398888888885</v>
      </c>
      <c r="C443" s="12" t="s">
        <v>24</v>
      </c>
      <c r="D443" s="12" t="s">
        <v>814</v>
      </c>
      <c r="E443" s="26" t="str">
        <f t="shared" si="42"/>
        <v>FSQ112</v>
      </c>
      <c r="F443" s="27" t="str">
        <f t="shared" si="43"/>
        <v>GREY</v>
      </c>
      <c r="G443" s="27">
        <f>+VLOOKUP(F443,[1]base!A:B,2,0)</f>
        <v>24</v>
      </c>
      <c r="H443" s="12">
        <v>1</v>
      </c>
      <c r="I443" s="12">
        <v>1</v>
      </c>
      <c r="J443" s="14"/>
      <c r="K443" s="14" t="s">
        <v>61</v>
      </c>
      <c r="L443" s="12" t="s">
        <v>825</v>
      </c>
      <c r="M443" s="12" t="s">
        <v>150</v>
      </c>
      <c r="N443" s="12">
        <v>1</v>
      </c>
      <c r="O443" s="12">
        <v>1</v>
      </c>
      <c r="P443" s="12">
        <v>0</v>
      </c>
      <c r="Q443" s="16">
        <v>1</v>
      </c>
      <c r="R443" s="16">
        <v>0</v>
      </c>
      <c r="S443" s="16"/>
      <c r="T443" s="28">
        <v>1</v>
      </c>
      <c r="U443" s="28"/>
      <c r="V443" s="29">
        <f>+VLOOKUP(E443,[1]base!D:K,8,0)</f>
        <v>5.1870000000000003</v>
      </c>
      <c r="W443" s="29">
        <f t="shared" si="44"/>
        <v>5.1870000000000003</v>
      </c>
      <c r="X443" s="29">
        <f t="shared" si="45"/>
        <v>0.26972400000000002</v>
      </c>
      <c r="Y443" s="29">
        <f>+VLOOKUP(E443,[1]base!D:E,2,0)</f>
        <v>12</v>
      </c>
      <c r="Z443" s="29">
        <f t="shared" si="46"/>
        <v>1</v>
      </c>
      <c r="AA443" s="29">
        <f t="shared" si="47"/>
        <v>6.6666666666666693E-2</v>
      </c>
      <c r="AB443" s="29">
        <f>+VLOOKUP(E443,[1]base!M:N,2,0)</f>
        <v>171</v>
      </c>
      <c r="AC443" s="29">
        <f>+VLOOKUP(E443,[1]base!M:Q,5,0)</f>
        <v>27.714285714285715</v>
      </c>
      <c r="AD443" s="30">
        <f>+VLOOKUP(E443,[1]base!M:P,4,0)</f>
        <v>1.7241379310344827E-2</v>
      </c>
      <c r="AE443" s="31">
        <f t="shared" si="48"/>
        <v>48.351724137931036</v>
      </c>
    </row>
    <row r="444" spans="1:31" x14ac:dyDescent="0.25">
      <c r="A444" s="12" t="s">
        <v>1322</v>
      </c>
      <c r="B444" s="13">
        <v>46269.305231481485</v>
      </c>
      <c r="C444" s="12" t="s">
        <v>24</v>
      </c>
      <c r="D444" s="12" t="s">
        <v>1330</v>
      </c>
      <c r="E444" s="26" t="str">
        <f t="shared" si="42"/>
        <v>FSQ112</v>
      </c>
      <c r="F444" s="27" t="str">
        <f t="shared" si="43"/>
        <v>NOIR</v>
      </c>
      <c r="G444" s="27">
        <f>+VLOOKUP(F444,[1]base!A:B,2,0)</f>
        <v>37</v>
      </c>
      <c r="H444" s="12">
        <v>1</v>
      </c>
      <c r="I444" s="12">
        <v>1</v>
      </c>
      <c r="J444" s="14"/>
      <c r="K444" s="14" t="s">
        <v>61</v>
      </c>
      <c r="L444" s="12" t="s">
        <v>1331</v>
      </c>
      <c r="M444" s="12" t="s">
        <v>150</v>
      </c>
      <c r="N444" s="12">
        <v>1</v>
      </c>
      <c r="O444" s="12">
        <v>1</v>
      </c>
      <c r="P444" s="12">
        <v>0</v>
      </c>
      <c r="Q444" s="16">
        <v>1</v>
      </c>
      <c r="R444" s="16">
        <v>0</v>
      </c>
      <c r="S444" s="16"/>
      <c r="T444" s="28">
        <v>1</v>
      </c>
      <c r="U444" s="28"/>
      <c r="V444" s="29">
        <f>+VLOOKUP(E444,[1]base!D:K,8,0)</f>
        <v>5.1870000000000003</v>
      </c>
      <c r="W444" s="29">
        <f t="shared" si="44"/>
        <v>5.1870000000000003</v>
      </c>
      <c r="X444" s="29">
        <f t="shared" si="45"/>
        <v>0.26972400000000002</v>
      </c>
      <c r="Y444" s="29">
        <f>+VLOOKUP(E444,[1]base!D:E,2,0)</f>
        <v>12</v>
      </c>
      <c r="Z444" s="29">
        <f t="shared" si="46"/>
        <v>1</v>
      </c>
      <c r="AA444" s="29">
        <f t="shared" si="47"/>
        <v>6.6666666666666693E-2</v>
      </c>
      <c r="AB444" s="29">
        <f>+VLOOKUP(E444,[1]base!M:N,2,0)</f>
        <v>171</v>
      </c>
      <c r="AC444" s="29">
        <f>+VLOOKUP(E444,[1]base!M:Q,5,0)</f>
        <v>27.714285714285715</v>
      </c>
      <c r="AD444" s="30">
        <f>+VLOOKUP(E444,[1]base!M:P,4,0)</f>
        <v>1.7241379310344827E-2</v>
      </c>
      <c r="AE444" s="31">
        <f t="shared" si="48"/>
        <v>48.351724137931036</v>
      </c>
    </row>
    <row r="445" spans="1:31" x14ac:dyDescent="0.25">
      <c r="A445" s="12" t="s">
        <v>1404</v>
      </c>
      <c r="B445" s="13">
        <v>46272.553136574075</v>
      </c>
      <c r="C445" s="12" t="s">
        <v>24</v>
      </c>
      <c r="D445" s="12" t="s">
        <v>1330</v>
      </c>
      <c r="E445" s="26" t="str">
        <f t="shared" si="42"/>
        <v>FSQ112</v>
      </c>
      <c r="F445" s="27" t="str">
        <f t="shared" si="43"/>
        <v>NOIR</v>
      </c>
      <c r="G445" s="27">
        <f>+VLOOKUP(F445,[1]base!A:B,2,0)</f>
        <v>37</v>
      </c>
      <c r="H445" s="12">
        <v>1</v>
      </c>
      <c r="I445" s="12">
        <v>1</v>
      </c>
      <c r="J445" s="14"/>
      <c r="K445" s="14" t="s">
        <v>61</v>
      </c>
      <c r="L445" s="12" t="s">
        <v>1412</v>
      </c>
      <c r="M445" s="12" t="s">
        <v>150</v>
      </c>
      <c r="N445" s="12">
        <v>1</v>
      </c>
      <c r="O445" s="12">
        <v>1</v>
      </c>
      <c r="P445" s="12">
        <v>0</v>
      </c>
      <c r="Q445" s="16">
        <v>1</v>
      </c>
      <c r="R445" s="16">
        <v>0</v>
      </c>
      <c r="S445" s="16"/>
      <c r="T445" s="28">
        <v>1</v>
      </c>
      <c r="U445" s="28"/>
      <c r="V445" s="29">
        <f>+VLOOKUP(E445,[1]base!D:K,8,0)</f>
        <v>5.1870000000000003</v>
      </c>
      <c r="W445" s="29">
        <f t="shared" si="44"/>
        <v>5.1870000000000003</v>
      </c>
      <c r="X445" s="29">
        <f t="shared" si="45"/>
        <v>0.26972400000000002</v>
      </c>
      <c r="Y445" s="29">
        <f>+VLOOKUP(E445,[1]base!D:E,2,0)</f>
        <v>12</v>
      </c>
      <c r="Z445" s="29">
        <f t="shared" si="46"/>
        <v>1</v>
      </c>
      <c r="AA445" s="29">
        <f t="shared" si="47"/>
        <v>6.6666666666666693E-2</v>
      </c>
      <c r="AB445" s="29">
        <f>+VLOOKUP(E445,[1]base!M:N,2,0)</f>
        <v>171</v>
      </c>
      <c r="AC445" s="29">
        <f>+VLOOKUP(E445,[1]base!M:Q,5,0)</f>
        <v>27.714285714285715</v>
      </c>
      <c r="AD445" s="30">
        <f>+VLOOKUP(E445,[1]base!M:P,4,0)</f>
        <v>1.7241379310344827E-2</v>
      </c>
      <c r="AE445" s="31">
        <f t="shared" si="48"/>
        <v>48.351724137931036</v>
      </c>
    </row>
    <row r="446" spans="1:31" x14ac:dyDescent="0.25">
      <c r="A446" s="12" t="s">
        <v>1021</v>
      </c>
      <c r="B446" s="13">
        <v>46266.424675925926</v>
      </c>
      <c r="C446" s="12" t="s">
        <v>24</v>
      </c>
      <c r="D446" s="12" t="s">
        <v>1039</v>
      </c>
      <c r="E446" s="26" t="str">
        <f t="shared" si="42"/>
        <v>FSQ112</v>
      </c>
      <c r="F446" s="27" t="str">
        <f t="shared" si="43"/>
        <v>DARK</v>
      </c>
      <c r="G446" s="27">
        <f>+VLOOKUP(F446,[1]base!A:B,2,0)</f>
        <v>38</v>
      </c>
      <c r="H446" s="12">
        <v>3</v>
      </c>
      <c r="I446" s="12">
        <v>3</v>
      </c>
      <c r="J446" s="14"/>
      <c r="K446" s="14" t="s">
        <v>61</v>
      </c>
      <c r="L446" s="12" t="s">
        <v>1070</v>
      </c>
      <c r="M446" s="12" t="s">
        <v>150</v>
      </c>
      <c r="N446" s="12">
        <v>3</v>
      </c>
      <c r="O446" s="12">
        <v>3</v>
      </c>
      <c r="P446" s="12">
        <v>0</v>
      </c>
      <c r="Q446" s="16">
        <v>3</v>
      </c>
      <c r="R446" s="16">
        <v>0</v>
      </c>
      <c r="S446" s="16"/>
      <c r="T446" s="28">
        <v>3</v>
      </c>
      <c r="U446" s="28"/>
      <c r="V446" s="29">
        <f>+VLOOKUP(E446,[1]base!D:K,8,0)</f>
        <v>5.1870000000000003</v>
      </c>
      <c r="W446" s="29">
        <f t="shared" si="44"/>
        <v>15.561</v>
      </c>
      <c r="X446" s="29">
        <f t="shared" si="45"/>
        <v>0.809172</v>
      </c>
      <c r="Y446" s="29">
        <f>+VLOOKUP(E446,[1]base!D:E,2,0)</f>
        <v>12</v>
      </c>
      <c r="Z446" s="29">
        <f t="shared" si="46"/>
        <v>1</v>
      </c>
      <c r="AA446" s="29">
        <f t="shared" si="47"/>
        <v>6.6666666666666693E-2</v>
      </c>
      <c r="AB446" s="29">
        <f>+VLOOKUP(E446,[1]base!M:N,2,0)</f>
        <v>171</v>
      </c>
      <c r="AC446" s="29">
        <f>+VLOOKUP(E446,[1]base!M:Q,5,0)</f>
        <v>27.714285714285715</v>
      </c>
      <c r="AD446" s="30">
        <f>+VLOOKUP(E446,[1]base!M:P,4,0)</f>
        <v>1.7241379310344827E-2</v>
      </c>
      <c r="AE446" s="31">
        <f t="shared" si="48"/>
        <v>48.351724137931036</v>
      </c>
    </row>
    <row r="447" spans="1:31" x14ac:dyDescent="0.25">
      <c r="A447" s="12" t="s">
        <v>792</v>
      </c>
      <c r="B447" s="13">
        <v>46260.398888888885</v>
      </c>
      <c r="C447" s="12" t="s">
        <v>24</v>
      </c>
      <c r="D447" s="12" t="s">
        <v>811</v>
      </c>
      <c r="E447" s="26" t="str">
        <f t="shared" si="42"/>
        <v>FSQ121</v>
      </c>
      <c r="F447" s="27" t="str">
        <f t="shared" si="43"/>
        <v>GREY</v>
      </c>
      <c r="G447" s="27">
        <f>+VLOOKUP(F447,[1]base!A:B,2,0)</f>
        <v>24</v>
      </c>
      <c r="H447" s="12">
        <v>2</v>
      </c>
      <c r="I447" s="12">
        <v>2</v>
      </c>
      <c r="J447" s="14"/>
      <c r="K447" s="14" t="s">
        <v>61</v>
      </c>
      <c r="L447" s="12" t="s">
        <v>822</v>
      </c>
      <c r="M447" s="12" t="s">
        <v>150</v>
      </c>
      <c r="N447" s="12">
        <v>2</v>
      </c>
      <c r="O447" s="12">
        <v>2</v>
      </c>
      <c r="P447" s="12">
        <v>0</v>
      </c>
      <c r="Q447" s="16">
        <v>2</v>
      </c>
      <c r="R447" s="16">
        <v>0</v>
      </c>
      <c r="S447" s="16"/>
      <c r="T447" s="28">
        <v>2</v>
      </c>
      <c r="U447" s="28"/>
      <c r="V447" s="29">
        <f>+VLOOKUP(E447,[1]base!D:K,8,0)</f>
        <v>9.0545000000000009</v>
      </c>
      <c r="W447" s="29">
        <f t="shared" si="44"/>
        <v>18.109000000000002</v>
      </c>
      <c r="X447" s="29">
        <f t="shared" si="45"/>
        <v>0.94166800000000006</v>
      </c>
      <c r="Y447" s="29">
        <f>+VLOOKUP(E447,[1]base!D:E,2,0)</f>
        <v>9</v>
      </c>
      <c r="Z447" s="29">
        <f t="shared" si="46"/>
        <v>1</v>
      </c>
      <c r="AA447" s="29">
        <f t="shared" si="47"/>
        <v>6.6666666666666693E-2</v>
      </c>
      <c r="AB447" s="29">
        <f>+VLOOKUP(E447,[1]base!M:N,2,0)</f>
        <v>110</v>
      </c>
      <c r="AC447" s="29">
        <f>+VLOOKUP(E447,[1]base!M:Q,5,0)</f>
        <v>22.888888888888889</v>
      </c>
      <c r="AD447" s="30">
        <f>+VLOOKUP(E447,[1]base!M:P,4,0)</f>
        <v>1.7857142857142856E-2</v>
      </c>
      <c r="AE447" s="31">
        <f t="shared" si="48"/>
        <v>31.035714285714285</v>
      </c>
    </row>
    <row r="448" spans="1:31" x14ac:dyDescent="0.25">
      <c r="A448" s="12" t="s">
        <v>1021</v>
      </c>
      <c r="B448" s="13">
        <v>46266.424675925926</v>
      </c>
      <c r="C448" s="12" t="s">
        <v>24</v>
      </c>
      <c r="D448" s="12" t="s">
        <v>1040</v>
      </c>
      <c r="E448" s="26" t="str">
        <f t="shared" si="42"/>
        <v>FSQ121</v>
      </c>
      <c r="F448" s="27" t="str">
        <f t="shared" si="43"/>
        <v>DARK</v>
      </c>
      <c r="G448" s="27">
        <f>+VLOOKUP(F448,[1]base!A:B,2,0)</f>
        <v>38</v>
      </c>
      <c r="H448" s="12">
        <v>3</v>
      </c>
      <c r="I448" s="12">
        <v>3</v>
      </c>
      <c r="J448" s="14"/>
      <c r="K448" s="14" t="s">
        <v>61</v>
      </c>
      <c r="L448" s="12" t="s">
        <v>1071</v>
      </c>
      <c r="M448" s="12" t="s">
        <v>150</v>
      </c>
      <c r="N448" s="12">
        <v>3</v>
      </c>
      <c r="O448" s="12">
        <v>3</v>
      </c>
      <c r="P448" s="12">
        <v>0</v>
      </c>
      <c r="Q448" s="16">
        <v>3</v>
      </c>
      <c r="R448" s="16">
        <v>2</v>
      </c>
      <c r="S448" s="16"/>
      <c r="T448" s="28">
        <v>3</v>
      </c>
      <c r="U448" s="28"/>
      <c r="V448" s="29">
        <f>+VLOOKUP(E448,[1]base!D:K,8,0)</f>
        <v>9.0545000000000009</v>
      </c>
      <c r="W448" s="29">
        <f t="shared" si="44"/>
        <v>27.163500000000003</v>
      </c>
      <c r="X448" s="29">
        <f t="shared" si="45"/>
        <v>1.4125020000000001</v>
      </c>
      <c r="Y448" s="29">
        <f>+VLOOKUP(E448,[1]base!D:E,2,0)</f>
        <v>9</v>
      </c>
      <c r="Z448" s="29">
        <f t="shared" si="46"/>
        <v>1</v>
      </c>
      <c r="AA448" s="29">
        <f t="shared" si="47"/>
        <v>6.6666666666666693E-2</v>
      </c>
      <c r="AB448" s="29">
        <f>+VLOOKUP(E448,[1]base!M:N,2,0)</f>
        <v>110</v>
      </c>
      <c r="AC448" s="29">
        <f>+VLOOKUP(E448,[1]base!M:Q,5,0)</f>
        <v>22.888888888888889</v>
      </c>
      <c r="AD448" s="30">
        <f>+VLOOKUP(E448,[1]base!M:P,4,0)</f>
        <v>1.7857142857142856E-2</v>
      </c>
      <c r="AE448" s="31">
        <f t="shared" si="48"/>
        <v>31.035714285714285</v>
      </c>
    </row>
    <row r="449" spans="1:31" x14ac:dyDescent="0.25">
      <c r="A449" s="12" t="s">
        <v>888</v>
      </c>
      <c r="B449" s="13">
        <v>46261.508750000001</v>
      </c>
      <c r="C449" s="12" t="s">
        <v>502</v>
      </c>
      <c r="D449" s="12" t="s">
        <v>905</v>
      </c>
      <c r="E449" s="26" t="str">
        <f t="shared" si="42"/>
        <v>FSQ122</v>
      </c>
      <c r="F449" s="27" t="str">
        <f t="shared" si="43"/>
        <v>BLC</v>
      </c>
      <c r="G449" s="27">
        <f>+VLOOKUP(F449,[1]base!A:B,2,0)</f>
        <v>1</v>
      </c>
      <c r="H449" s="12">
        <v>4</v>
      </c>
      <c r="I449" s="12">
        <v>4</v>
      </c>
      <c r="J449" s="14"/>
      <c r="K449" s="14" t="s">
        <v>61</v>
      </c>
      <c r="L449" s="12" t="s">
        <v>909</v>
      </c>
      <c r="M449" s="12" t="s">
        <v>150</v>
      </c>
      <c r="N449" s="12">
        <v>4</v>
      </c>
      <c r="O449" s="12">
        <v>4</v>
      </c>
      <c r="P449" s="12">
        <v>0</v>
      </c>
      <c r="Q449" s="16">
        <v>4</v>
      </c>
      <c r="R449" s="16">
        <v>0</v>
      </c>
      <c r="S449" s="16"/>
      <c r="T449" s="28">
        <v>4</v>
      </c>
      <c r="U449" s="28"/>
      <c r="V449" s="29">
        <f>+VLOOKUP(E449,[1]base!D:K,8,0)</f>
        <v>1.9564999999999999</v>
      </c>
      <c r="W449" s="29">
        <f t="shared" si="44"/>
        <v>7.8259999999999996</v>
      </c>
      <c r="X449" s="29">
        <f t="shared" si="45"/>
        <v>0.40695199999999998</v>
      </c>
      <c r="Y449" s="29">
        <f>+VLOOKUP(E449,[1]base!D:E,2,0)</f>
        <v>20</v>
      </c>
      <c r="Z449" s="29">
        <f t="shared" si="46"/>
        <v>1</v>
      </c>
      <c r="AA449" s="29">
        <f t="shared" si="47"/>
        <v>6.6666666666666693E-2</v>
      </c>
      <c r="AB449" s="29">
        <f>+VLOOKUP(E449,[1]base!M:N,2,0)</f>
        <v>30</v>
      </c>
      <c r="AC449" s="29">
        <f>+VLOOKUP(E449,[1]base!M:Q,5,0)</f>
        <v>23.375</v>
      </c>
      <c r="AD449" s="30">
        <f>+VLOOKUP(E449,[1]base!M:P,4,0)</f>
        <v>0</v>
      </c>
      <c r="AE449" s="31">
        <f t="shared" si="48"/>
        <v>9</v>
      </c>
    </row>
    <row r="450" spans="1:31" x14ac:dyDescent="0.25">
      <c r="A450" s="12" t="s">
        <v>1021</v>
      </c>
      <c r="B450" s="13">
        <v>46266.424675925926</v>
      </c>
      <c r="C450" s="12" t="s">
        <v>24</v>
      </c>
      <c r="D450" s="12" t="s">
        <v>1044</v>
      </c>
      <c r="E450" s="26" t="str">
        <f t="shared" ref="E450:E513" si="49">_xlfn.TEXTBEFORE(D450, "-", -1, 1, , D450)</f>
        <v>FSQ122</v>
      </c>
      <c r="F450" s="27" t="str">
        <f t="shared" ref="F450:F513" si="50">_xlfn.TEXTAFTER(D450, "-", -1, 1, , "")</f>
        <v>DARK</v>
      </c>
      <c r="G450" s="27">
        <f>+VLOOKUP(F450,[1]base!A:B,2,0)</f>
        <v>38</v>
      </c>
      <c r="H450" s="12">
        <v>3</v>
      </c>
      <c r="I450" s="12">
        <v>3</v>
      </c>
      <c r="J450" s="14"/>
      <c r="K450" s="14" t="s">
        <v>61</v>
      </c>
      <c r="L450" s="12" t="s">
        <v>1075</v>
      </c>
      <c r="M450" s="12" t="s">
        <v>150</v>
      </c>
      <c r="N450" s="12">
        <v>3</v>
      </c>
      <c r="O450" s="12">
        <v>3</v>
      </c>
      <c r="P450" s="12">
        <v>0</v>
      </c>
      <c r="Q450" s="16">
        <v>3</v>
      </c>
      <c r="R450" s="16">
        <v>0</v>
      </c>
      <c r="S450" s="16"/>
      <c r="T450" s="28">
        <v>3</v>
      </c>
      <c r="U450" s="28"/>
      <c r="V450" s="29">
        <f>+VLOOKUP(E450,[1]base!D:K,8,0)</f>
        <v>1.9564999999999999</v>
      </c>
      <c r="W450" s="29">
        <f t="shared" ref="W450:W513" si="51">(T450+U450)*V450</f>
        <v>5.8694999999999995</v>
      </c>
      <c r="X450" s="29">
        <f t="shared" ref="X450:X513" si="52">+W450*0.052</f>
        <v>0.30521399999999999</v>
      </c>
      <c r="Y450" s="29">
        <f>+VLOOKUP(E450,[1]base!D:E,2,0)</f>
        <v>20</v>
      </c>
      <c r="Z450" s="29">
        <f t="shared" ref="Z450:Z513" si="53">ROUNDUP(T450/Y450,0)</f>
        <v>1</v>
      </c>
      <c r="AA450" s="29">
        <f t="shared" ref="AA450:AA513" si="54">+Z450*0.0666666666666667</f>
        <v>6.6666666666666693E-2</v>
      </c>
      <c r="AB450" s="29">
        <f>+VLOOKUP(E450,[1]base!M:N,2,0)</f>
        <v>30</v>
      </c>
      <c r="AC450" s="29">
        <f>+VLOOKUP(E450,[1]base!M:Q,5,0)</f>
        <v>23.375</v>
      </c>
      <c r="AD450" s="30">
        <f>+VLOOKUP(E450,[1]base!M:P,4,0)</f>
        <v>0</v>
      </c>
      <c r="AE450" s="31">
        <f t="shared" ref="AE450:AE513" si="55">+AB450*(30%-AD450)</f>
        <v>9</v>
      </c>
    </row>
    <row r="451" spans="1:31" x14ac:dyDescent="0.25">
      <c r="A451" s="12" t="s">
        <v>855</v>
      </c>
      <c r="B451" s="13">
        <v>46261.431909722225</v>
      </c>
      <c r="C451" s="12" t="s">
        <v>856</v>
      </c>
      <c r="D451" s="12" t="s">
        <v>867</v>
      </c>
      <c r="E451" s="26" t="str">
        <f t="shared" si="49"/>
        <v>FSQ131</v>
      </c>
      <c r="F451" s="27" t="str">
        <f t="shared" si="50"/>
        <v>ACAJOU</v>
      </c>
      <c r="G451" s="27">
        <f>+VLOOKUP(F451,[1]base!A:B,2,0)</f>
        <v>15.1</v>
      </c>
      <c r="H451" s="12">
        <v>16</v>
      </c>
      <c r="I451" s="12">
        <v>16</v>
      </c>
      <c r="J451" s="14"/>
      <c r="K451" s="14" t="s">
        <v>61</v>
      </c>
      <c r="L451" s="12" t="s">
        <v>868</v>
      </c>
      <c r="M451" s="12" t="s">
        <v>150</v>
      </c>
      <c r="N451" s="12">
        <v>16</v>
      </c>
      <c r="O451" s="12">
        <v>16</v>
      </c>
      <c r="P451" s="12">
        <v>0</v>
      </c>
      <c r="Q451" s="16">
        <v>16</v>
      </c>
      <c r="R451" s="16">
        <v>0</v>
      </c>
      <c r="S451" s="16"/>
      <c r="T451" s="28">
        <v>16</v>
      </c>
      <c r="U451" s="28"/>
      <c r="V451" s="29">
        <f>+VLOOKUP(E451,[1]base!D:K,8,0)</f>
        <v>5.2844999999999995</v>
      </c>
      <c r="W451" s="29">
        <f t="shared" si="51"/>
        <v>84.551999999999992</v>
      </c>
      <c r="X451" s="29">
        <f t="shared" si="52"/>
        <v>4.3967039999999997</v>
      </c>
      <c r="Y451" s="29">
        <f>+VLOOKUP(E451,[1]base!D:E,2,0)</f>
        <v>9</v>
      </c>
      <c r="Z451" s="29">
        <f t="shared" si="53"/>
        <v>2</v>
      </c>
      <c r="AA451" s="29">
        <f t="shared" si="54"/>
        <v>0.13333333333333339</v>
      </c>
      <c r="AB451" s="29">
        <f>+VLOOKUP(E451,[1]base!M:N,2,0)</f>
        <v>143</v>
      </c>
      <c r="AC451" s="29">
        <f>+VLOOKUP(E451,[1]base!M:Q,5,0)</f>
        <v>64.599999999999994</v>
      </c>
      <c r="AD451" s="30">
        <f>+VLOOKUP(E451,[1]base!M:P,4,0)</f>
        <v>0.11180124223602485</v>
      </c>
      <c r="AE451" s="31">
        <f t="shared" si="55"/>
        <v>26.912422360248446</v>
      </c>
    </row>
    <row r="452" spans="1:31" x14ac:dyDescent="0.25">
      <c r="A452" s="12" t="s">
        <v>888</v>
      </c>
      <c r="B452" s="13">
        <v>46261.508750000001</v>
      </c>
      <c r="C452" s="12" t="s">
        <v>502</v>
      </c>
      <c r="D452" s="12" t="s">
        <v>904</v>
      </c>
      <c r="E452" s="26" t="str">
        <f t="shared" si="49"/>
        <v>FSQ139</v>
      </c>
      <c r="F452" s="27" t="str">
        <f t="shared" si="50"/>
        <v>BLC</v>
      </c>
      <c r="G452" s="27">
        <f>+VLOOKUP(F452,[1]base!A:B,2,0)</f>
        <v>1</v>
      </c>
      <c r="H452" s="12">
        <v>10</v>
      </c>
      <c r="I452" s="12">
        <v>10</v>
      </c>
      <c r="J452" s="14"/>
      <c r="K452" s="14" t="s">
        <v>61</v>
      </c>
      <c r="L452" s="12" t="s">
        <v>908</v>
      </c>
      <c r="M452" s="12" t="s">
        <v>150</v>
      </c>
      <c r="N452" s="12">
        <v>10</v>
      </c>
      <c r="O452" s="12">
        <v>10</v>
      </c>
      <c r="P452" s="12">
        <v>0</v>
      </c>
      <c r="Q452" s="16">
        <v>10</v>
      </c>
      <c r="R452" s="16">
        <v>1</v>
      </c>
      <c r="S452" s="16"/>
      <c r="T452" s="28">
        <v>9</v>
      </c>
      <c r="U452" s="28">
        <v>1</v>
      </c>
      <c r="V452" s="29">
        <f>+VLOOKUP(E452,[1]base!D:K,8,0)</f>
        <v>2.0019999999999998</v>
      </c>
      <c r="W452" s="29">
        <f t="shared" si="51"/>
        <v>20.019999999999996</v>
      </c>
      <c r="X452" s="29">
        <f t="shared" si="52"/>
        <v>1.0410399999999997</v>
      </c>
      <c r="Y452" s="29">
        <f>+VLOOKUP(E452,[1]base!D:E,2,0)</f>
        <v>20</v>
      </c>
      <c r="Z452" s="29">
        <f t="shared" si="53"/>
        <v>1</v>
      </c>
      <c r="AA452" s="29">
        <f t="shared" si="54"/>
        <v>6.6666666666666693E-2</v>
      </c>
      <c r="AB452" s="29">
        <f>+VLOOKUP(E452,[1]base!M:N,2,0)</f>
        <v>2359</v>
      </c>
      <c r="AC452" s="29">
        <f>+VLOOKUP(E452,[1]base!M:Q,5,0)</f>
        <v>157.22222222222223</v>
      </c>
      <c r="AD452" s="30">
        <f>+VLOOKUP(E452,[1]base!M:P,4,0)</f>
        <v>3.8006756756756759E-3</v>
      </c>
      <c r="AE452" s="31">
        <f t="shared" si="55"/>
        <v>698.73420608108108</v>
      </c>
    </row>
    <row r="453" spans="1:31" x14ac:dyDescent="0.25">
      <c r="A453" s="12" t="s">
        <v>792</v>
      </c>
      <c r="B453" s="13">
        <v>46260.398888888885</v>
      </c>
      <c r="C453" s="12" t="s">
        <v>24</v>
      </c>
      <c r="D453" s="12" t="s">
        <v>812</v>
      </c>
      <c r="E453" s="26" t="str">
        <f t="shared" si="49"/>
        <v>FSQ139</v>
      </c>
      <c r="F453" s="27" t="str">
        <f t="shared" si="50"/>
        <v>GREY</v>
      </c>
      <c r="G453" s="27">
        <f>+VLOOKUP(F453,[1]base!A:B,2,0)</f>
        <v>24</v>
      </c>
      <c r="H453" s="12">
        <v>23</v>
      </c>
      <c r="I453" s="12">
        <v>23</v>
      </c>
      <c r="J453" s="14"/>
      <c r="K453" s="14" t="s">
        <v>61</v>
      </c>
      <c r="L453" s="12" t="s">
        <v>823</v>
      </c>
      <c r="M453" s="12" t="s">
        <v>150</v>
      </c>
      <c r="N453" s="12">
        <v>23</v>
      </c>
      <c r="O453" s="12">
        <v>23</v>
      </c>
      <c r="P453" s="12">
        <v>0</v>
      </c>
      <c r="Q453" s="16">
        <v>23</v>
      </c>
      <c r="R453" s="16">
        <v>0</v>
      </c>
      <c r="S453" s="16"/>
      <c r="T453" s="28">
        <v>23</v>
      </c>
      <c r="U453" s="28"/>
      <c r="V453" s="29">
        <f>+VLOOKUP(E453,[1]base!D:K,8,0)</f>
        <v>2.0019999999999998</v>
      </c>
      <c r="W453" s="29">
        <f t="shared" si="51"/>
        <v>46.045999999999992</v>
      </c>
      <c r="X453" s="29">
        <f t="shared" si="52"/>
        <v>2.3943919999999994</v>
      </c>
      <c r="Y453" s="29">
        <f>+VLOOKUP(E453,[1]base!D:E,2,0)</f>
        <v>20</v>
      </c>
      <c r="Z453" s="29">
        <f t="shared" si="53"/>
        <v>2</v>
      </c>
      <c r="AA453" s="29">
        <f t="shared" si="54"/>
        <v>0.13333333333333339</v>
      </c>
      <c r="AB453" s="29">
        <f>+VLOOKUP(E453,[1]base!M:N,2,0)</f>
        <v>2359</v>
      </c>
      <c r="AC453" s="29">
        <f>+VLOOKUP(E453,[1]base!M:Q,5,0)</f>
        <v>157.22222222222223</v>
      </c>
      <c r="AD453" s="30">
        <f>+VLOOKUP(E453,[1]base!M:P,4,0)</f>
        <v>3.8006756756756759E-3</v>
      </c>
      <c r="AE453" s="31">
        <f t="shared" si="55"/>
        <v>698.73420608108108</v>
      </c>
    </row>
    <row r="454" spans="1:31" x14ac:dyDescent="0.25">
      <c r="A454" s="12" t="s">
        <v>831</v>
      </c>
      <c r="B454" s="13">
        <v>46260.417627314811</v>
      </c>
      <c r="C454" s="12" t="s">
        <v>832</v>
      </c>
      <c r="D454" s="12" t="s">
        <v>833</v>
      </c>
      <c r="E454" s="26" t="str">
        <f t="shared" si="49"/>
        <v>FSQ139</v>
      </c>
      <c r="F454" s="27" t="str">
        <f t="shared" si="50"/>
        <v>DARK</v>
      </c>
      <c r="G454" s="27">
        <f>+VLOOKUP(F454,[1]base!A:B,2,0)</f>
        <v>38</v>
      </c>
      <c r="H454" s="12">
        <v>4</v>
      </c>
      <c r="I454" s="12">
        <v>4</v>
      </c>
      <c r="J454" s="14"/>
      <c r="K454" s="14" t="s">
        <v>61</v>
      </c>
      <c r="L454" s="12" t="s">
        <v>835</v>
      </c>
      <c r="M454" s="12" t="s">
        <v>150</v>
      </c>
      <c r="N454" s="12">
        <v>4</v>
      </c>
      <c r="O454" s="12">
        <v>4</v>
      </c>
      <c r="P454" s="12">
        <v>0</v>
      </c>
      <c r="Q454" s="16">
        <v>4</v>
      </c>
      <c r="R454" s="16">
        <v>0</v>
      </c>
      <c r="S454" s="16"/>
      <c r="T454" s="28">
        <v>4</v>
      </c>
      <c r="U454" s="28"/>
      <c r="V454" s="29">
        <f>+VLOOKUP(E454,[1]base!D:K,8,0)</f>
        <v>2.0019999999999998</v>
      </c>
      <c r="W454" s="29">
        <f t="shared" si="51"/>
        <v>8.0079999999999991</v>
      </c>
      <c r="X454" s="29">
        <f t="shared" si="52"/>
        <v>0.41641599999999995</v>
      </c>
      <c r="Y454" s="29">
        <f>+VLOOKUP(E454,[1]base!D:E,2,0)</f>
        <v>20</v>
      </c>
      <c r="Z454" s="29">
        <f t="shared" si="53"/>
        <v>1</v>
      </c>
      <c r="AA454" s="29">
        <f t="shared" si="54"/>
        <v>6.6666666666666693E-2</v>
      </c>
      <c r="AB454" s="29">
        <f>+VLOOKUP(E454,[1]base!M:N,2,0)</f>
        <v>2359</v>
      </c>
      <c r="AC454" s="29">
        <f>+VLOOKUP(E454,[1]base!M:Q,5,0)</f>
        <v>157.22222222222223</v>
      </c>
      <c r="AD454" s="30">
        <f>+VLOOKUP(E454,[1]base!M:P,4,0)</f>
        <v>3.8006756756756759E-3</v>
      </c>
      <c r="AE454" s="31">
        <f t="shared" si="55"/>
        <v>698.73420608108108</v>
      </c>
    </row>
    <row r="455" spans="1:31" x14ac:dyDescent="0.25">
      <c r="A455" s="12" t="s">
        <v>1021</v>
      </c>
      <c r="B455" s="13">
        <v>46266.424675925926</v>
      </c>
      <c r="C455" s="12" t="s">
        <v>24</v>
      </c>
      <c r="D455" s="12" t="s">
        <v>833</v>
      </c>
      <c r="E455" s="26" t="str">
        <f t="shared" si="49"/>
        <v>FSQ139</v>
      </c>
      <c r="F455" s="27" t="str">
        <f t="shared" si="50"/>
        <v>DARK</v>
      </c>
      <c r="G455" s="27">
        <f>+VLOOKUP(F455,[1]base!A:B,2,0)</f>
        <v>38</v>
      </c>
      <c r="H455" s="12">
        <v>8</v>
      </c>
      <c r="I455" s="12">
        <v>8</v>
      </c>
      <c r="J455" s="14"/>
      <c r="K455" s="14" t="s">
        <v>61</v>
      </c>
      <c r="L455" s="12" t="s">
        <v>1074</v>
      </c>
      <c r="M455" s="12" t="s">
        <v>150</v>
      </c>
      <c r="N455" s="12">
        <v>8</v>
      </c>
      <c r="O455" s="12">
        <v>8</v>
      </c>
      <c r="P455" s="12">
        <v>0</v>
      </c>
      <c r="Q455" s="16">
        <v>8</v>
      </c>
      <c r="R455" s="16">
        <v>0</v>
      </c>
      <c r="S455" s="16"/>
      <c r="T455" s="28">
        <v>8</v>
      </c>
      <c r="U455" s="28"/>
      <c r="V455" s="29">
        <f>+VLOOKUP(E455,[1]base!D:K,8,0)</f>
        <v>2.0019999999999998</v>
      </c>
      <c r="W455" s="29">
        <f t="shared" si="51"/>
        <v>16.015999999999998</v>
      </c>
      <c r="X455" s="29">
        <f t="shared" si="52"/>
        <v>0.83283199999999991</v>
      </c>
      <c r="Y455" s="29">
        <f>+VLOOKUP(E455,[1]base!D:E,2,0)</f>
        <v>20</v>
      </c>
      <c r="Z455" s="29">
        <f t="shared" si="53"/>
        <v>1</v>
      </c>
      <c r="AA455" s="29">
        <f t="shared" si="54"/>
        <v>6.6666666666666693E-2</v>
      </c>
      <c r="AB455" s="29">
        <f>+VLOOKUP(E455,[1]base!M:N,2,0)</f>
        <v>2359</v>
      </c>
      <c r="AC455" s="29">
        <f>+VLOOKUP(E455,[1]base!M:Q,5,0)</f>
        <v>157.22222222222223</v>
      </c>
      <c r="AD455" s="30">
        <f>+VLOOKUP(E455,[1]base!M:P,4,0)</f>
        <v>3.8006756756756759E-3</v>
      </c>
      <c r="AE455" s="31">
        <f t="shared" si="55"/>
        <v>698.73420608108108</v>
      </c>
    </row>
    <row r="456" spans="1:31" x14ac:dyDescent="0.25">
      <c r="A456" s="12" t="s">
        <v>888</v>
      </c>
      <c r="B456" s="13">
        <v>46261.508750000001</v>
      </c>
      <c r="C456" s="12" t="s">
        <v>502</v>
      </c>
      <c r="D456" s="12" t="s">
        <v>896</v>
      </c>
      <c r="E456" s="26" t="str">
        <f t="shared" si="49"/>
        <v>FSQ150</v>
      </c>
      <c r="F456" s="27" t="str">
        <f t="shared" si="50"/>
        <v>BLC</v>
      </c>
      <c r="G456" s="27">
        <f>+VLOOKUP(F456,[1]base!A:B,2,0)</f>
        <v>1</v>
      </c>
      <c r="H456" s="12">
        <v>2</v>
      </c>
      <c r="I456" s="12">
        <v>2</v>
      </c>
      <c r="J456" s="14"/>
      <c r="K456" s="14" t="s">
        <v>61</v>
      </c>
      <c r="L456" s="12" t="s">
        <v>903</v>
      </c>
      <c r="M456" s="12" t="s">
        <v>150</v>
      </c>
      <c r="N456" s="12">
        <v>2</v>
      </c>
      <c r="O456" s="12">
        <v>2</v>
      </c>
      <c r="P456" s="12">
        <v>0</v>
      </c>
      <c r="Q456" s="16">
        <v>2</v>
      </c>
      <c r="R456" s="16">
        <v>2</v>
      </c>
      <c r="S456" s="16"/>
      <c r="T456" s="28">
        <v>0</v>
      </c>
      <c r="U456" s="28">
        <v>2</v>
      </c>
      <c r="V456" s="29">
        <f>+VLOOKUP(E456,[1]base!D:K,8,0)</f>
        <v>5.9735000000000005</v>
      </c>
      <c r="W456" s="29">
        <f t="shared" si="51"/>
        <v>11.947000000000001</v>
      </c>
      <c r="X456" s="29">
        <f t="shared" si="52"/>
        <v>0.62124400000000002</v>
      </c>
      <c r="Y456" s="29">
        <f>+VLOOKUP(E456,[1]base!D:E,2,0)</f>
        <v>13</v>
      </c>
      <c r="Z456" s="29">
        <f t="shared" si="53"/>
        <v>0</v>
      </c>
      <c r="AA456" s="29">
        <f t="shared" si="54"/>
        <v>0</v>
      </c>
      <c r="AB456" s="29">
        <f>+VLOOKUP(E456,[1]base!M:N,2,0)</f>
        <v>779</v>
      </c>
      <c r="AC456" s="29">
        <f>+VLOOKUP(E456,[1]base!M:Q,5,0)</f>
        <v>16.666666666666668</v>
      </c>
      <c r="AD456" s="30">
        <f>+VLOOKUP(E456,[1]base!M:P,4,0)</f>
        <v>0.13732004429678848</v>
      </c>
      <c r="AE456" s="31">
        <f t="shared" si="55"/>
        <v>126.72768549280177</v>
      </c>
    </row>
    <row r="457" spans="1:31" x14ac:dyDescent="0.25">
      <c r="A457" s="12" t="s">
        <v>1186</v>
      </c>
      <c r="B457" s="13">
        <v>46267.531759259262</v>
      </c>
      <c r="C457" s="12" t="s">
        <v>258</v>
      </c>
      <c r="D457" s="12" t="s">
        <v>1188</v>
      </c>
      <c r="E457" s="26" t="str">
        <f t="shared" si="49"/>
        <v>FSQ150</v>
      </c>
      <c r="F457" s="27" t="str">
        <f t="shared" si="50"/>
        <v>DARK</v>
      </c>
      <c r="G457" s="27">
        <f>+VLOOKUP(F457,[1]base!A:B,2,0)</f>
        <v>38</v>
      </c>
      <c r="H457" s="12">
        <v>3</v>
      </c>
      <c r="I457" s="12">
        <v>3</v>
      </c>
      <c r="J457" s="14"/>
      <c r="K457" s="14" t="s">
        <v>61</v>
      </c>
      <c r="L457" s="12" t="s">
        <v>1192</v>
      </c>
      <c r="M457" s="12" t="s">
        <v>150</v>
      </c>
      <c r="N457" s="12">
        <v>3</v>
      </c>
      <c r="O457" s="12">
        <v>3</v>
      </c>
      <c r="P457" s="12">
        <v>0</v>
      </c>
      <c r="Q457" s="16">
        <v>3</v>
      </c>
      <c r="R457" s="16">
        <v>4</v>
      </c>
      <c r="S457" s="16"/>
      <c r="T457" s="28">
        <v>0</v>
      </c>
      <c r="U457" s="28">
        <v>3</v>
      </c>
      <c r="V457" s="29">
        <f>+VLOOKUP(E457,[1]base!D:K,8,0)</f>
        <v>5.9735000000000005</v>
      </c>
      <c r="W457" s="29">
        <f t="shared" si="51"/>
        <v>17.920500000000001</v>
      </c>
      <c r="X457" s="29">
        <f t="shared" si="52"/>
        <v>0.93186599999999997</v>
      </c>
      <c r="Y457" s="29">
        <f>+VLOOKUP(E457,[1]base!D:E,2,0)</f>
        <v>13</v>
      </c>
      <c r="Z457" s="29">
        <f t="shared" si="53"/>
        <v>0</v>
      </c>
      <c r="AA457" s="29">
        <f t="shared" si="54"/>
        <v>0</v>
      </c>
      <c r="AB457" s="29">
        <f>+VLOOKUP(E457,[1]base!M:N,2,0)</f>
        <v>779</v>
      </c>
      <c r="AC457" s="29">
        <f>+VLOOKUP(E457,[1]base!M:Q,5,0)</f>
        <v>16.666666666666668</v>
      </c>
      <c r="AD457" s="30">
        <f>+VLOOKUP(E457,[1]base!M:P,4,0)</f>
        <v>0.13732004429678848</v>
      </c>
      <c r="AE457" s="31">
        <f t="shared" si="55"/>
        <v>126.72768549280177</v>
      </c>
    </row>
    <row r="458" spans="1:31" x14ac:dyDescent="0.25">
      <c r="A458" s="12" t="s">
        <v>1570</v>
      </c>
      <c r="B458" s="13">
        <v>46274.654050925928</v>
      </c>
      <c r="C458" s="12" t="s">
        <v>24</v>
      </c>
      <c r="D458" s="12" t="s">
        <v>1584</v>
      </c>
      <c r="E458" s="26" t="str">
        <f t="shared" si="49"/>
        <v>FSQ401</v>
      </c>
      <c r="F458" s="27" t="str">
        <f t="shared" si="50"/>
        <v>CHPG</v>
      </c>
      <c r="G458" s="27">
        <f>+VLOOKUP(F458,[1]base!A:B,2,0)</f>
        <v>11</v>
      </c>
      <c r="H458" s="12">
        <v>5</v>
      </c>
      <c r="I458" s="12">
        <v>5</v>
      </c>
      <c r="J458" s="14"/>
      <c r="K458" s="14" t="s">
        <v>61</v>
      </c>
      <c r="L458" s="12" t="s">
        <v>1593</v>
      </c>
      <c r="M458" s="12" t="s">
        <v>150</v>
      </c>
      <c r="N458" s="12">
        <v>5</v>
      </c>
      <c r="O458" s="12">
        <v>5</v>
      </c>
      <c r="P458" s="12">
        <v>0</v>
      </c>
      <c r="Q458" s="16">
        <v>5</v>
      </c>
      <c r="R458" s="16">
        <v>0</v>
      </c>
      <c r="S458" s="16"/>
      <c r="T458" s="28">
        <v>5</v>
      </c>
      <c r="U458" s="28"/>
      <c r="V458" s="29">
        <f>+VLOOKUP(E458,[1]base!D:K,8,0)</f>
        <v>5.6355000000000004</v>
      </c>
      <c r="W458" s="29">
        <f t="shared" si="51"/>
        <v>28.177500000000002</v>
      </c>
      <c r="X458" s="29">
        <f t="shared" si="52"/>
        <v>1.46523</v>
      </c>
      <c r="Y458" s="29">
        <f>+VLOOKUP(E458,[1]base!D:E,2,0)</f>
        <v>13</v>
      </c>
      <c r="Z458" s="29">
        <f t="shared" si="53"/>
        <v>1</v>
      </c>
      <c r="AA458" s="29">
        <f t="shared" si="54"/>
        <v>6.6666666666666693E-2</v>
      </c>
      <c r="AB458" s="29">
        <f>+VLOOKUP(E458,[1]base!M:N,2,0)</f>
        <v>717</v>
      </c>
      <c r="AC458" s="29">
        <f>+VLOOKUP(E458,[1]base!M:Q,5,0)</f>
        <v>104.18181818181819</v>
      </c>
      <c r="AD458" s="30">
        <f>+VLOOKUP(E458,[1]base!M:P,4,0)</f>
        <v>2.7816411682892906E-3</v>
      </c>
      <c r="AE458" s="31">
        <f t="shared" si="55"/>
        <v>213.10556328233659</v>
      </c>
    </row>
    <row r="459" spans="1:31" x14ac:dyDescent="0.25">
      <c r="A459" s="12" t="s">
        <v>792</v>
      </c>
      <c r="B459" s="13">
        <v>46260.398888888885</v>
      </c>
      <c r="C459" s="12" t="s">
        <v>24</v>
      </c>
      <c r="D459" s="12" t="s">
        <v>816</v>
      </c>
      <c r="E459" s="26" t="str">
        <f t="shared" si="49"/>
        <v>FSQ401</v>
      </c>
      <c r="F459" s="27" t="str">
        <f t="shared" si="50"/>
        <v>GREY</v>
      </c>
      <c r="G459" s="27">
        <f>+VLOOKUP(F459,[1]base!A:B,2,0)</f>
        <v>24</v>
      </c>
      <c r="H459" s="12">
        <v>8</v>
      </c>
      <c r="I459" s="12">
        <v>8</v>
      </c>
      <c r="J459" s="14"/>
      <c r="K459" s="14" t="s">
        <v>61</v>
      </c>
      <c r="L459" s="12" t="s">
        <v>827</v>
      </c>
      <c r="M459" s="12" t="s">
        <v>150</v>
      </c>
      <c r="N459" s="12">
        <v>8</v>
      </c>
      <c r="O459" s="12">
        <v>8</v>
      </c>
      <c r="P459" s="12">
        <v>0</v>
      </c>
      <c r="Q459" s="16">
        <v>8</v>
      </c>
      <c r="R459" s="16">
        <v>0</v>
      </c>
      <c r="S459" s="16"/>
      <c r="T459" s="28">
        <v>8</v>
      </c>
      <c r="U459" s="28"/>
      <c r="V459" s="29">
        <f>+VLOOKUP(E459,[1]base!D:K,8,0)</f>
        <v>5.6355000000000004</v>
      </c>
      <c r="W459" s="29">
        <f t="shared" si="51"/>
        <v>45.084000000000003</v>
      </c>
      <c r="X459" s="29">
        <f t="shared" si="52"/>
        <v>2.3443680000000002</v>
      </c>
      <c r="Y459" s="29">
        <f>+VLOOKUP(E459,[1]base!D:E,2,0)</f>
        <v>13</v>
      </c>
      <c r="Z459" s="29">
        <f t="shared" si="53"/>
        <v>1</v>
      </c>
      <c r="AA459" s="29">
        <f t="shared" si="54"/>
        <v>6.6666666666666693E-2</v>
      </c>
      <c r="AB459" s="29">
        <f>+VLOOKUP(E459,[1]base!M:N,2,0)</f>
        <v>717</v>
      </c>
      <c r="AC459" s="29">
        <f>+VLOOKUP(E459,[1]base!M:Q,5,0)</f>
        <v>104.18181818181819</v>
      </c>
      <c r="AD459" s="30">
        <f>+VLOOKUP(E459,[1]base!M:P,4,0)</f>
        <v>2.7816411682892906E-3</v>
      </c>
      <c r="AE459" s="31">
        <f t="shared" si="55"/>
        <v>213.10556328233659</v>
      </c>
    </row>
    <row r="460" spans="1:31" x14ac:dyDescent="0.25">
      <c r="A460" s="12" t="s">
        <v>784</v>
      </c>
      <c r="B460" s="13">
        <v>46259.434999999998</v>
      </c>
      <c r="C460" s="12" t="s">
        <v>785</v>
      </c>
      <c r="D460" s="12" t="s">
        <v>125</v>
      </c>
      <c r="E460" s="26" t="str">
        <f t="shared" si="49"/>
        <v>FSQ401</v>
      </c>
      <c r="F460" s="27" t="str">
        <f t="shared" si="50"/>
        <v>NOIR</v>
      </c>
      <c r="G460" s="27">
        <f>+VLOOKUP(F460,[1]base!A:B,2,0)</f>
        <v>37</v>
      </c>
      <c r="H460" s="12">
        <v>6</v>
      </c>
      <c r="I460" s="12">
        <v>6</v>
      </c>
      <c r="J460" s="14"/>
      <c r="K460" s="14" t="s">
        <v>61</v>
      </c>
      <c r="L460" s="12" t="s">
        <v>791</v>
      </c>
      <c r="M460" s="12" t="s">
        <v>150</v>
      </c>
      <c r="N460" s="12">
        <v>6</v>
      </c>
      <c r="O460" s="12">
        <v>6</v>
      </c>
      <c r="P460" s="12">
        <v>0</v>
      </c>
      <c r="Q460" s="16">
        <v>6</v>
      </c>
      <c r="R460" s="16">
        <v>0</v>
      </c>
      <c r="S460" s="16"/>
      <c r="T460" s="28">
        <v>6</v>
      </c>
      <c r="U460" s="28"/>
      <c r="V460" s="29">
        <f>+VLOOKUP(E460,[1]base!D:K,8,0)</f>
        <v>5.6355000000000004</v>
      </c>
      <c r="W460" s="29">
        <f t="shared" si="51"/>
        <v>33.813000000000002</v>
      </c>
      <c r="X460" s="29">
        <f t="shared" si="52"/>
        <v>1.758276</v>
      </c>
      <c r="Y460" s="29">
        <f>+VLOOKUP(E460,[1]base!D:E,2,0)</f>
        <v>13</v>
      </c>
      <c r="Z460" s="29">
        <f t="shared" si="53"/>
        <v>1</v>
      </c>
      <c r="AA460" s="29">
        <f t="shared" si="54"/>
        <v>6.6666666666666693E-2</v>
      </c>
      <c r="AB460" s="29">
        <f>+VLOOKUP(E460,[1]base!M:N,2,0)</f>
        <v>717</v>
      </c>
      <c r="AC460" s="29">
        <f>+VLOOKUP(E460,[1]base!M:Q,5,0)</f>
        <v>104.18181818181819</v>
      </c>
      <c r="AD460" s="30">
        <f>+VLOOKUP(E460,[1]base!M:P,4,0)</f>
        <v>2.7816411682892906E-3</v>
      </c>
      <c r="AE460" s="31">
        <f t="shared" si="55"/>
        <v>213.10556328233659</v>
      </c>
    </row>
    <row r="461" spans="1:31" x14ac:dyDescent="0.25">
      <c r="A461" s="12" t="s">
        <v>1021</v>
      </c>
      <c r="B461" s="13">
        <v>46266.424675925926</v>
      </c>
      <c r="C461" s="12" t="s">
        <v>24</v>
      </c>
      <c r="D461" s="12" t="s">
        <v>1041</v>
      </c>
      <c r="E461" s="26" t="str">
        <f t="shared" si="49"/>
        <v>FSQ401</v>
      </c>
      <c r="F461" s="27" t="str">
        <f t="shared" si="50"/>
        <v>DARK</v>
      </c>
      <c r="G461" s="27">
        <f>+VLOOKUP(F461,[1]base!A:B,2,0)</f>
        <v>38</v>
      </c>
      <c r="H461" s="12">
        <v>18</v>
      </c>
      <c r="I461" s="12">
        <v>18</v>
      </c>
      <c r="J461" s="14"/>
      <c r="K461" s="14" t="s">
        <v>61</v>
      </c>
      <c r="L461" s="12" t="s">
        <v>1072</v>
      </c>
      <c r="M461" s="12" t="s">
        <v>150</v>
      </c>
      <c r="N461" s="12">
        <v>18</v>
      </c>
      <c r="O461" s="12">
        <v>18</v>
      </c>
      <c r="P461" s="12">
        <v>0</v>
      </c>
      <c r="Q461" s="16">
        <v>18</v>
      </c>
      <c r="R461" s="16">
        <v>0</v>
      </c>
      <c r="S461" s="16"/>
      <c r="T461" s="28">
        <v>18</v>
      </c>
      <c r="U461" s="28"/>
      <c r="V461" s="29">
        <f>+VLOOKUP(E461,[1]base!D:K,8,0)</f>
        <v>5.6355000000000004</v>
      </c>
      <c r="W461" s="29">
        <f t="shared" si="51"/>
        <v>101.43900000000001</v>
      </c>
      <c r="X461" s="29">
        <f t="shared" si="52"/>
        <v>5.2748280000000003</v>
      </c>
      <c r="Y461" s="29">
        <f>+VLOOKUP(E461,[1]base!D:E,2,0)</f>
        <v>13</v>
      </c>
      <c r="Z461" s="29">
        <f t="shared" si="53"/>
        <v>2</v>
      </c>
      <c r="AA461" s="29">
        <f t="shared" si="54"/>
        <v>0.13333333333333339</v>
      </c>
      <c r="AB461" s="29">
        <f>+VLOOKUP(E461,[1]base!M:N,2,0)</f>
        <v>717</v>
      </c>
      <c r="AC461" s="29">
        <f>+VLOOKUP(E461,[1]base!M:Q,5,0)</f>
        <v>104.18181818181819</v>
      </c>
      <c r="AD461" s="30">
        <f>+VLOOKUP(E461,[1]base!M:P,4,0)</f>
        <v>2.7816411682892906E-3</v>
      </c>
      <c r="AE461" s="31">
        <f t="shared" si="55"/>
        <v>213.10556328233659</v>
      </c>
    </row>
    <row r="462" spans="1:31" x14ac:dyDescent="0.25">
      <c r="A462" s="12" t="s">
        <v>1186</v>
      </c>
      <c r="B462" s="13">
        <v>46267.531759259262</v>
      </c>
      <c r="C462" s="12" t="s">
        <v>258</v>
      </c>
      <c r="D462" s="12" t="s">
        <v>1041</v>
      </c>
      <c r="E462" s="26" t="str">
        <f t="shared" si="49"/>
        <v>FSQ401</v>
      </c>
      <c r="F462" s="27" t="str">
        <f t="shared" si="50"/>
        <v>DARK</v>
      </c>
      <c r="G462" s="27">
        <f>+VLOOKUP(F462,[1]base!A:B,2,0)</f>
        <v>38</v>
      </c>
      <c r="H462" s="12">
        <v>8</v>
      </c>
      <c r="I462" s="12">
        <v>8</v>
      </c>
      <c r="J462" s="14"/>
      <c r="K462" s="14" t="s">
        <v>61</v>
      </c>
      <c r="L462" s="12" t="s">
        <v>1191</v>
      </c>
      <c r="M462" s="12" t="s">
        <v>150</v>
      </c>
      <c r="N462" s="12">
        <v>8</v>
      </c>
      <c r="O462" s="12">
        <v>8</v>
      </c>
      <c r="P462" s="12">
        <v>0</v>
      </c>
      <c r="Q462" s="16">
        <v>8</v>
      </c>
      <c r="R462" s="16">
        <v>0</v>
      </c>
      <c r="S462" s="16"/>
      <c r="T462" s="28">
        <v>8</v>
      </c>
      <c r="U462" s="28"/>
      <c r="V462" s="29">
        <f>+VLOOKUP(E462,[1]base!D:K,8,0)</f>
        <v>5.6355000000000004</v>
      </c>
      <c r="W462" s="29">
        <f t="shared" si="51"/>
        <v>45.084000000000003</v>
      </c>
      <c r="X462" s="29">
        <f t="shared" si="52"/>
        <v>2.3443680000000002</v>
      </c>
      <c r="Y462" s="29">
        <f>+VLOOKUP(E462,[1]base!D:E,2,0)</f>
        <v>13</v>
      </c>
      <c r="Z462" s="29">
        <f t="shared" si="53"/>
        <v>1</v>
      </c>
      <c r="AA462" s="29">
        <f t="shared" si="54"/>
        <v>6.6666666666666693E-2</v>
      </c>
      <c r="AB462" s="29">
        <f>+VLOOKUP(E462,[1]base!M:N,2,0)</f>
        <v>717</v>
      </c>
      <c r="AC462" s="29">
        <f>+VLOOKUP(E462,[1]base!M:Q,5,0)</f>
        <v>104.18181818181819</v>
      </c>
      <c r="AD462" s="30">
        <f>+VLOOKUP(E462,[1]base!M:P,4,0)</f>
        <v>2.7816411682892906E-3</v>
      </c>
      <c r="AE462" s="31">
        <f t="shared" si="55"/>
        <v>213.10556328233659</v>
      </c>
    </row>
    <row r="463" spans="1:31" x14ac:dyDescent="0.25">
      <c r="A463" s="12" t="s">
        <v>693</v>
      </c>
      <c r="B463" s="13">
        <v>46254.370798611111</v>
      </c>
      <c r="C463" s="12" t="s">
        <v>24</v>
      </c>
      <c r="D463" s="12" t="s">
        <v>695</v>
      </c>
      <c r="E463" s="26" t="str">
        <f t="shared" si="49"/>
        <v>FSQ403</v>
      </c>
      <c r="F463" s="27" t="str">
        <f t="shared" si="50"/>
        <v>BLC</v>
      </c>
      <c r="G463" s="27">
        <f>+VLOOKUP(F463,[1]base!A:B,2,0)</f>
        <v>1</v>
      </c>
      <c r="H463" s="12">
        <v>2</v>
      </c>
      <c r="I463" s="12">
        <v>2</v>
      </c>
      <c r="J463" s="14"/>
      <c r="K463" s="14" t="s">
        <v>61</v>
      </c>
      <c r="L463" s="12" t="s">
        <v>697</v>
      </c>
      <c r="M463" s="12" t="s">
        <v>150</v>
      </c>
      <c r="N463" s="12">
        <v>2</v>
      </c>
      <c r="O463" s="12">
        <v>2</v>
      </c>
      <c r="P463" s="12">
        <v>0</v>
      </c>
      <c r="Q463" s="16">
        <v>2</v>
      </c>
      <c r="R463" s="16">
        <v>0</v>
      </c>
      <c r="S463" s="16"/>
      <c r="T463" s="28">
        <v>2</v>
      </c>
      <c r="U463" s="28"/>
      <c r="V463" s="29">
        <f>+VLOOKUP(E463,[1]base!D:K,8,0)</f>
        <v>7.1110000000000007</v>
      </c>
      <c r="W463" s="29">
        <f t="shared" si="51"/>
        <v>14.222000000000001</v>
      </c>
      <c r="X463" s="29">
        <f t="shared" si="52"/>
        <v>0.73954399999999998</v>
      </c>
      <c r="Y463" s="29">
        <f>+VLOOKUP(E463,[1]base!D:E,2,0)</f>
        <v>13</v>
      </c>
      <c r="Z463" s="29">
        <f t="shared" si="53"/>
        <v>1</v>
      </c>
      <c r="AA463" s="29">
        <f t="shared" si="54"/>
        <v>6.6666666666666693E-2</v>
      </c>
      <c r="AB463" s="29">
        <f>+VLOOKUP(E463,[1]base!M:N,2,0)</f>
        <v>281</v>
      </c>
      <c r="AC463" s="29">
        <f>+VLOOKUP(E463,[1]base!M:Q,5,0)</f>
        <v>95.666666666666671</v>
      </c>
      <c r="AD463" s="30">
        <f>+VLOOKUP(E463,[1]base!M:P,4,0)</f>
        <v>5.7046979865771813E-2</v>
      </c>
      <c r="AE463" s="31">
        <f t="shared" si="55"/>
        <v>68.269798657718113</v>
      </c>
    </row>
    <row r="464" spans="1:31" x14ac:dyDescent="0.25">
      <c r="A464" s="12" t="s">
        <v>888</v>
      </c>
      <c r="B464" s="13">
        <v>46261.508750000001</v>
      </c>
      <c r="C464" s="12" t="s">
        <v>502</v>
      </c>
      <c r="D464" s="12" t="s">
        <v>695</v>
      </c>
      <c r="E464" s="26" t="str">
        <f t="shared" si="49"/>
        <v>FSQ403</v>
      </c>
      <c r="F464" s="27" t="str">
        <f t="shared" si="50"/>
        <v>BLC</v>
      </c>
      <c r="G464" s="27">
        <f>+VLOOKUP(F464,[1]base!A:B,2,0)</f>
        <v>1</v>
      </c>
      <c r="H464" s="12">
        <v>4</v>
      </c>
      <c r="I464" s="12">
        <v>4</v>
      </c>
      <c r="J464" s="14"/>
      <c r="K464" s="14" t="s">
        <v>61</v>
      </c>
      <c r="L464" s="12" t="s">
        <v>910</v>
      </c>
      <c r="M464" s="12" t="s">
        <v>150</v>
      </c>
      <c r="N464" s="12">
        <v>4</v>
      </c>
      <c r="O464" s="12">
        <v>4</v>
      </c>
      <c r="P464" s="12">
        <v>0</v>
      </c>
      <c r="Q464" s="16">
        <v>4</v>
      </c>
      <c r="R464" s="16">
        <v>0</v>
      </c>
      <c r="S464" s="16"/>
      <c r="T464" s="28">
        <v>4</v>
      </c>
      <c r="U464" s="28"/>
      <c r="V464" s="29">
        <f>+VLOOKUP(E464,[1]base!D:K,8,0)</f>
        <v>7.1110000000000007</v>
      </c>
      <c r="W464" s="29">
        <f t="shared" si="51"/>
        <v>28.444000000000003</v>
      </c>
      <c r="X464" s="29">
        <f t="shared" si="52"/>
        <v>1.479088</v>
      </c>
      <c r="Y464" s="29">
        <f>+VLOOKUP(E464,[1]base!D:E,2,0)</f>
        <v>13</v>
      </c>
      <c r="Z464" s="29">
        <f t="shared" si="53"/>
        <v>1</v>
      </c>
      <c r="AA464" s="29">
        <f t="shared" si="54"/>
        <v>6.6666666666666693E-2</v>
      </c>
      <c r="AB464" s="29">
        <f>+VLOOKUP(E464,[1]base!M:N,2,0)</f>
        <v>281</v>
      </c>
      <c r="AC464" s="29">
        <f>+VLOOKUP(E464,[1]base!M:Q,5,0)</f>
        <v>95.666666666666671</v>
      </c>
      <c r="AD464" s="30">
        <f>+VLOOKUP(E464,[1]base!M:P,4,0)</f>
        <v>5.7046979865771813E-2</v>
      </c>
      <c r="AE464" s="31">
        <f t="shared" si="55"/>
        <v>68.269798657718113</v>
      </c>
    </row>
    <row r="465" spans="1:31" x14ac:dyDescent="0.25">
      <c r="A465" s="12" t="s">
        <v>792</v>
      </c>
      <c r="B465" s="13">
        <v>46260.398888888885</v>
      </c>
      <c r="C465" s="12" t="s">
        <v>24</v>
      </c>
      <c r="D465" s="12" t="s">
        <v>817</v>
      </c>
      <c r="E465" s="26" t="str">
        <f t="shared" si="49"/>
        <v>FSQ403</v>
      </c>
      <c r="F465" s="27" t="str">
        <f t="shared" si="50"/>
        <v>GREY</v>
      </c>
      <c r="G465" s="27">
        <f>+VLOOKUP(F465,[1]base!A:B,2,0)</f>
        <v>24</v>
      </c>
      <c r="H465" s="12">
        <v>10</v>
      </c>
      <c r="I465" s="12">
        <v>10</v>
      </c>
      <c r="J465" s="14"/>
      <c r="K465" s="14" t="s">
        <v>61</v>
      </c>
      <c r="L465" s="12" t="s">
        <v>828</v>
      </c>
      <c r="M465" s="12" t="s">
        <v>150</v>
      </c>
      <c r="N465" s="12">
        <v>10</v>
      </c>
      <c r="O465" s="12">
        <v>10</v>
      </c>
      <c r="P465" s="12">
        <v>0</v>
      </c>
      <c r="Q465" s="16">
        <v>10</v>
      </c>
      <c r="R465" s="16">
        <v>0</v>
      </c>
      <c r="S465" s="16"/>
      <c r="T465" s="28">
        <v>10</v>
      </c>
      <c r="U465" s="28"/>
      <c r="V465" s="29">
        <f>+VLOOKUP(E465,[1]base!D:K,8,0)</f>
        <v>7.1110000000000007</v>
      </c>
      <c r="W465" s="29">
        <f t="shared" si="51"/>
        <v>71.110000000000014</v>
      </c>
      <c r="X465" s="29">
        <f t="shared" si="52"/>
        <v>3.6977200000000003</v>
      </c>
      <c r="Y465" s="29">
        <f>+VLOOKUP(E465,[1]base!D:E,2,0)</f>
        <v>13</v>
      </c>
      <c r="Z465" s="29">
        <f t="shared" si="53"/>
        <v>1</v>
      </c>
      <c r="AA465" s="29">
        <f t="shared" si="54"/>
        <v>6.6666666666666693E-2</v>
      </c>
      <c r="AB465" s="29">
        <f>+VLOOKUP(E465,[1]base!M:N,2,0)</f>
        <v>281</v>
      </c>
      <c r="AC465" s="29">
        <f>+VLOOKUP(E465,[1]base!M:Q,5,0)</f>
        <v>95.666666666666671</v>
      </c>
      <c r="AD465" s="30">
        <f>+VLOOKUP(E465,[1]base!M:P,4,0)</f>
        <v>5.7046979865771813E-2</v>
      </c>
      <c r="AE465" s="31">
        <f t="shared" si="55"/>
        <v>68.269798657718113</v>
      </c>
    </row>
    <row r="466" spans="1:31" x14ac:dyDescent="0.25">
      <c r="A466" s="12" t="s">
        <v>1404</v>
      </c>
      <c r="B466" s="13">
        <v>46272.553136574075</v>
      </c>
      <c r="C466" s="12" t="s">
        <v>24</v>
      </c>
      <c r="D466" s="12" t="s">
        <v>1406</v>
      </c>
      <c r="E466" s="26" t="str">
        <f t="shared" si="49"/>
        <v>FSQ403</v>
      </c>
      <c r="F466" s="27" t="str">
        <f t="shared" si="50"/>
        <v>NOIR</v>
      </c>
      <c r="G466" s="27">
        <f>+VLOOKUP(F466,[1]base!A:B,2,0)</f>
        <v>37</v>
      </c>
      <c r="H466" s="12">
        <v>8</v>
      </c>
      <c r="I466" s="12">
        <v>8</v>
      </c>
      <c r="J466" s="14"/>
      <c r="K466" s="14" t="s">
        <v>61</v>
      </c>
      <c r="L466" s="12" t="s">
        <v>1411</v>
      </c>
      <c r="M466" s="12" t="s">
        <v>150</v>
      </c>
      <c r="N466" s="12">
        <v>8</v>
      </c>
      <c r="O466" s="12">
        <v>8</v>
      </c>
      <c r="P466" s="12">
        <v>0</v>
      </c>
      <c r="Q466" s="16">
        <v>8</v>
      </c>
      <c r="R466" s="16">
        <v>0</v>
      </c>
      <c r="S466" s="16"/>
      <c r="T466" s="28">
        <v>8</v>
      </c>
      <c r="U466" s="28"/>
      <c r="V466" s="29">
        <f>+VLOOKUP(E466,[1]base!D:K,8,0)</f>
        <v>7.1110000000000007</v>
      </c>
      <c r="W466" s="29">
        <f t="shared" si="51"/>
        <v>56.888000000000005</v>
      </c>
      <c r="X466" s="29">
        <f t="shared" si="52"/>
        <v>2.9581759999999999</v>
      </c>
      <c r="Y466" s="29">
        <f>+VLOOKUP(E466,[1]base!D:E,2,0)</f>
        <v>13</v>
      </c>
      <c r="Z466" s="29">
        <f t="shared" si="53"/>
        <v>1</v>
      </c>
      <c r="AA466" s="29">
        <f t="shared" si="54"/>
        <v>6.6666666666666693E-2</v>
      </c>
      <c r="AB466" s="29">
        <f>+VLOOKUP(E466,[1]base!M:N,2,0)</f>
        <v>281</v>
      </c>
      <c r="AC466" s="29">
        <f>+VLOOKUP(E466,[1]base!M:Q,5,0)</f>
        <v>95.666666666666671</v>
      </c>
      <c r="AD466" s="30">
        <f>+VLOOKUP(E466,[1]base!M:P,4,0)</f>
        <v>5.7046979865771813E-2</v>
      </c>
      <c r="AE466" s="31">
        <f t="shared" si="55"/>
        <v>68.269798657718113</v>
      </c>
    </row>
    <row r="467" spans="1:31" x14ac:dyDescent="0.25">
      <c r="A467" s="12" t="s">
        <v>831</v>
      </c>
      <c r="B467" s="13">
        <v>46260.417627314811</v>
      </c>
      <c r="C467" s="12" t="s">
        <v>832</v>
      </c>
      <c r="D467" s="12" t="s">
        <v>834</v>
      </c>
      <c r="E467" s="26" t="str">
        <f t="shared" si="49"/>
        <v>FSQ403</v>
      </c>
      <c r="F467" s="27" t="str">
        <f t="shared" si="50"/>
        <v>DARK</v>
      </c>
      <c r="G467" s="27">
        <f>+VLOOKUP(F467,[1]base!A:B,2,0)</f>
        <v>38</v>
      </c>
      <c r="H467" s="12">
        <v>2</v>
      </c>
      <c r="I467" s="12">
        <v>1</v>
      </c>
      <c r="J467" s="14"/>
      <c r="K467" s="14" t="s">
        <v>61</v>
      </c>
      <c r="L467" s="12" t="s">
        <v>836</v>
      </c>
      <c r="M467" s="12" t="s">
        <v>150</v>
      </c>
      <c r="N467" s="12">
        <v>1</v>
      </c>
      <c r="O467" s="12">
        <v>1</v>
      </c>
      <c r="P467" s="12">
        <v>0</v>
      </c>
      <c r="Q467" s="16">
        <v>2</v>
      </c>
      <c r="R467" s="16">
        <v>0</v>
      </c>
      <c r="S467" s="16"/>
      <c r="T467" s="28">
        <v>1</v>
      </c>
      <c r="U467" s="28"/>
      <c r="V467" s="29">
        <f>+VLOOKUP(E467,[1]base!D:K,8,0)</f>
        <v>7.1110000000000007</v>
      </c>
      <c r="W467" s="29">
        <f t="shared" si="51"/>
        <v>7.1110000000000007</v>
      </c>
      <c r="X467" s="29">
        <f t="shared" si="52"/>
        <v>0.36977199999999999</v>
      </c>
      <c r="Y467" s="29">
        <f>+VLOOKUP(E467,[1]base!D:E,2,0)</f>
        <v>13</v>
      </c>
      <c r="Z467" s="29">
        <f t="shared" si="53"/>
        <v>1</v>
      </c>
      <c r="AA467" s="29">
        <f t="shared" si="54"/>
        <v>6.6666666666666693E-2</v>
      </c>
      <c r="AB467" s="29">
        <f>+VLOOKUP(E467,[1]base!M:N,2,0)</f>
        <v>281</v>
      </c>
      <c r="AC467" s="29">
        <f>+VLOOKUP(E467,[1]base!M:Q,5,0)</f>
        <v>95.666666666666671</v>
      </c>
      <c r="AD467" s="30">
        <f>+VLOOKUP(E467,[1]base!M:P,4,0)</f>
        <v>5.7046979865771813E-2</v>
      </c>
      <c r="AE467" s="31">
        <f t="shared" si="55"/>
        <v>68.269798657718113</v>
      </c>
    </row>
    <row r="468" spans="1:31" x14ac:dyDescent="0.25">
      <c r="A468" s="12" t="s">
        <v>1021</v>
      </c>
      <c r="B468" s="13">
        <v>46266.424675925926</v>
      </c>
      <c r="C468" s="12" t="s">
        <v>24</v>
      </c>
      <c r="D468" s="12" t="s">
        <v>834</v>
      </c>
      <c r="E468" s="26" t="str">
        <f t="shared" si="49"/>
        <v>FSQ403</v>
      </c>
      <c r="F468" s="27" t="str">
        <f t="shared" si="50"/>
        <v>DARK</v>
      </c>
      <c r="G468" s="27">
        <f>+VLOOKUP(F468,[1]base!A:B,2,0)</f>
        <v>38</v>
      </c>
      <c r="H468" s="12">
        <v>16</v>
      </c>
      <c r="I468" s="12">
        <v>16</v>
      </c>
      <c r="J468" s="14"/>
      <c r="K468" s="14" t="s">
        <v>61</v>
      </c>
      <c r="L468" s="12" t="s">
        <v>1080</v>
      </c>
      <c r="M468" s="12" t="s">
        <v>150</v>
      </c>
      <c r="N468" s="12">
        <v>16</v>
      </c>
      <c r="O468" s="12">
        <v>16</v>
      </c>
      <c r="P468" s="12">
        <v>0</v>
      </c>
      <c r="Q468" s="16">
        <v>16</v>
      </c>
      <c r="R468" s="16">
        <v>0</v>
      </c>
      <c r="S468" s="16"/>
      <c r="T468" s="28">
        <v>16</v>
      </c>
      <c r="U468" s="28"/>
      <c r="V468" s="29">
        <f>+VLOOKUP(E468,[1]base!D:K,8,0)</f>
        <v>7.1110000000000007</v>
      </c>
      <c r="W468" s="29">
        <f t="shared" si="51"/>
        <v>113.77600000000001</v>
      </c>
      <c r="X468" s="29">
        <f t="shared" si="52"/>
        <v>5.9163519999999998</v>
      </c>
      <c r="Y468" s="29">
        <f>+VLOOKUP(E468,[1]base!D:E,2,0)</f>
        <v>13</v>
      </c>
      <c r="Z468" s="29">
        <f t="shared" si="53"/>
        <v>2</v>
      </c>
      <c r="AA468" s="29">
        <f t="shared" si="54"/>
        <v>0.13333333333333339</v>
      </c>
      <c r="AB468" s="29">
        <f>+VLOOKUP(E468,[1]base!M:N,2,0)</f>
        <v>281</v>
      </c>
      <c r="AC468" s="29">
        <f>+VLOOKUP(E468,[1]base!M:Q,5,0)</f>
        <v>95.666666666666671</v>
      </c>
      <c r="AD468" s="30">
        <f>+VLOOKUP(E468,[1]base!M:P,4,0)</f>
        <v>5.7046979865771813E-2</v>
      </c>
      <c r="AE468" s="31">
        <f t="shared" si="55"/>
        <v>68.269798657718113</v>
      </c>
    </row>
    <row r="469" spans="1:31" x14ac:dyDescent="0.25">
      <c r="A469" s="12" t="s">
        <v>888</v>
      </c>
      <c r="B469" s="13">
        <v>46261.508750000001</v>
      </c>
      <c r="C469" s="12" t="s">
        <v>502</v>
      </c>
      <c r="D469" s="12" t="s">
        <v>907</v>
      </c>
      <c r="E469" s="26" t="str">
        <f t="shared" si="49"/>
        <v>FSQ406</v>
      </c>
      <c r="F469" s="27" t="str">
        <f t="shared" si="50"/>
        <v>BLC</v>
      </c>
      <c r="G469" s="27">
        <f>+VLOOKUP(F469,[1]base!A:B,2,0)</f>
        <v>1</v>
      </c>
      <c r="H469" s="12">
        <v>8</v>
      </c>
      <c r="I469" s="12">
        <v>8</v>
      </c>
      <c r="J469" s="14"/>
      <c r="K469" s="14" t="s">
        <v>61</v>
      </c>
      <c r="L469" s="12" t="s">
        <v>912</v>
      </c>
      <c r="M469" s="12" t="s">
        <v>150</v>
      </c>
      <c r="N469" s="12">
        <v>8</v>
      </c>
      <c r="O469" s="12">
        <v>8</v>
      </c>
      <c r="P469" s="12">
        <v>0</v>
      </c>
      <c r="Q469" s="16">
        <v>8</v>
      </c>
      <c r="R469" s="16">
        <v>0</v>
      </c>
      <c r="S469" s="16"/>
      <c r="T469" s="28">
        <v>8</v>
      </c>
      <c r="U469" s="28"/>
      <c r="V469" s="29">
        <f>+VLOOKUP(E469,[1]base!D:K,8,0)</f>
        <v>5.46</v>
      </c>
      <c r="W469" s="29">
        <f t="shared" si="51"/>
        <v>43.68</v>
      </c>
      <c r="X469" s="29">
        <f t="shared" si="52"/>
        <v>2.27136</v>
      </c>
      <c r="Y469" s="29">
        <f>+VLOOKUP(E469,[1]base!D:E,2,0)</f>
        <v>13</v>
      </c>
      <c r="Z469" s="29">
        <f t="shared" si="53"/>
        <v>1</v>
      </c>
      <c r="AA469" s="29">
        <f t="shared" si="54"/>
        <v>6.6666666666666693E-2</v>
      </c>
      <c r="AB469" s="29">
        <f>+VLOOKUP(E469,[1]base!M:N,2,0)</f>
        <v>25</v>
      </c>
      <c r="AC469" s="29">
        <f>+VLOOKUP(E469,[1]base!M:Q,5,0)</f>
        <v>4</v>
      </c>
      <c r="AD469" s="30">
        <f>+VLOOKUP(E469,[1]base!M:P,4,0)</f>
        <v>0</v>
      </c>
      <c r="AE469" s="31">
        <f t="shared" si="55"/>
        <v>7.5</v>
      </c>
    </row>
    <row r="470" spans="1:31" x14ac:dyDescent="0.25">
      <c r="A470" s="12" t="s">
        <v>1322</v>
      </c>
      <c r="B470" s="13">
        <v>46269.305231481485</v>
      </c>
      <c r="C470" s="12" t="s">
        <v>24</v>
      </c>
      <c r="D470" s="12" t="s">
        <v>1323</v>
      </c>
      <c r="E470" s="26" t="str">
        <f t="shared" si="49"/>
        <v>FSQ406</v>
      </c>
      <c r="F470" s="27" t="str">
        <f t="shared" si="50"/>
        <v>NOIR</v>
      </c>
      <c r="G470" s="27">
        <f>+VLOOKUP(F470,[1]base!A:B,2,0)</f>
        <v>37</v>
      </c>
      <c r="H470" s="12">
        <v>6</v>
      </c>
      <c r="I470" s="12">
        <v>6</v>
      </c>
      <c r="J470" s="14"/>
      <c r="K470" s="14" t="s">
        <v>61</v>
      </c>
      <c r="L470" s="12" t="s">
        <v>1327</v>
      </c>
      <c r="M470" s="12" t="s">
        <v>150</v>
      </c>
      <c r="N470" s="12">
        <v>6</v>
      </c>
      <c r="O470" s="12">
        <v>6</v>
      </c>
      <c r="P470" s="12">
        <v>0</v>
      </c>
      <c r="Q470" s="16">
        <v>6</v>
      </c>
      <c r="R470" s="16">
        <v>0</v>
      </c>
      <c r="S470" s="16"/>
      <c r="T470" s="28">
        <v>6</v>
      </c>
      <c r="U470" s="28"/>
      <c r="V470" s="29">
        <f>+VLOOKUP(E470,[1]base!D:K,8,0)</f>
        <v>5.46</v>
      </c>
      <c r="W470" s="29">
        <f t="shared" si="51"/>
        <v>32.76</v>
      </c>
      <c r="X470" s="29">
        <f t="shared" si="52"/>
        <v>1.7035199999999999</v>
      </c>
      <c r="Y470" s="29">
        <f>+VLOOKUP(E470,[1]base!D:E,2,0)</f>
        <v>13</v>
      </c>
      <c r="Z470" s="29">
        <f t="shared" si="53"/>
        <v>1</v>
      </c>
      <c r="AA470" s="29">
        <f t="shared" si="54"/>
        <v>6.6666666666666693E-2</v>
      </c>
      <c r="AB470" s="29">
        <f>+VLOOKUP(E470,[1]base!M:N,2,0)</f>
        <v>25</v>
      </c>
      <c r="AC470" s="29">
        <f>+VLOOKUP(E470,[1]base!M:Q,5,0)</f>
        <v>4</v>
      </c>
      <c r="AD470" s="30">
        <f>+VLOOKUP(E470,[1]base!M:P,4,0)</f>
        <v>0</v>
      </c>
      <c r="AE470" s="31">
        <f t="shared" si="55"/>
        <v>7.5</v>
      </c>
    </row>
    <row r="471" spans="1:31" x14ac:dyDescent="0.25">
      <c r="A471" s="12" t="s">
        <v>1021</v>
      </c>
      <c r="B471" s="13">
        <v>46266.424675925926</v>
      </c>
      <c r="C471" s="12" t="s">
        <v>24</v>
      </c>
      <c r="D471" s="12" t="s">
        <v>1045</v>
      </c>
      <c r="E471" s="26" t="str">
        <f t="shared" si="49"/>
        <v>FSQ521</v>
      </c>
      <c r="F471" s="27" t="str">
        <f t="shared" si="50"/>
        <v>DARK</v>
      </c>
      <c r="G471" s="27">
        <f>+VLOOKUP(F471,[1]base!A:B,2,0)</f>
        <v>38</v>
      </c>
      <c r="H471" s="12">
        <v>14</v>
      </c>
      <c r="I471" s="12">
        <v>14</v>
      </c>
      <c r="J471" s="14"/>
      <c r="K471" s="14" t="s">
        <v>61</v>
      </c>
      <c r="L471" s="12" t="s">
        <v>1076</v>
      </c>
      <c r="M471" s="12" t="s">
        <v>150</v>
      </c>
      <c r="N471" s="12">
        <v>14</v>
      </c>
      <c r="O471" s="12">
        <v>14</v>
      </c>
      <c r="P471" s="12">
        <v>0</v>
      </c>
      <c r="Q471" s="16">
        <v>14</v>
      </c>
      <c r="R471" s="16">
        <v>2</v>
      </c>
      <c r="S471" s="16"/>
      <c r="T471" s="28">
        <v>12</v>
      </c>
      <c r="U471" s="28">
        <v>2</v>
      </c>
      <c r="V471" s="29">
        <f>+VLOOKUP(E471,[1]base!D:K,8,0)</f>
        <v>5.6289999999999996</v>
      </c>
      <c r="W471" s="29">
        <f t="shared" si="51"/>
        <v>78.805999999999997</v>
      </c>
      <c r="X471" s="29">
        <f t="shared" si="52"/>
        <v>4.097912</v>
      </c>
      <c r="Y471" s="29">
        <f>+VLOOKUP(E471,[1]base!D:E,2,0)</f>
        <v>12</v>
      </c>
      <c r="Z471" s="29">
        <f t="shared" si="53"/>
        <v>1</v>
      </c>
      <c r="AA471" s="29">
        <f t="shared" si="54"/>
        <v>6.6666666666666693E-2</v>
      </c>
      <c r="AB471" s="29">
        <f>+VLOOKUP(E471,[1]base!M:N,2,0)</f>
        <v>308</v>
      </c>
      <c r="AC471" s="29">
        <f>+VLOOKUP(E471,[1]base!M:Q,5,0)</f>
        <v>0</v>
      </c>
      <c r="AD471" s="30">
        <f>+VLOOKUP(E471,[1]base!M:P,4,0)</f>
        <v>1.282051282051282E-2</v>
      </c>
      <c r="AE471" s="31">
        <f t="shared" si="55"/>
        <v>88.45128205128205</v>
      </c>
    </row>
    <row r="472" spans="1:31" x14ac:dyDescent="0.25">
      <c r="A472" s="12" t="s">
        <v>1021</v>
      </c>
      <c r="B472" s="13">
        <v>46266.424675925926</v>
      </c>
      <c r="C472" s="12" t="s">
        <v>24</v>
      </c>
      <c r="D472" s="12" t="s">
        <v>1051</v>
      </c>
      <c r="E472" s="26" t="str">
        <f t="shared" si="49"/>
        <v>FSQ530</v>
      </c>
      <c r="F472" s="27" t="str">
        <f t="shared" si="50"/>
        <v>DARK</v>
      </c>
      <c r="G472" s="27">
        <f>+VLOOKUP(F472,[1]base!A:B,2,0)</f>
        <v>38</v>
      </c>
      <c r="H472" s="12">
        <v>14</v>
      </c>
      <c r="I472" s="12">
        <v>14</v>
      </c>
      <c r="J472" s="14"/>
      <c r="K472" s="14" t="s">
        <v>61</v>
      </c>
      <c r="L472" s="12" t="s">
        <v>1081</v>
      </c>
      <c r="M472" s="12" t="s">
        <v>150</v>
      </c>
      <c r="N472" s="12">
        <v>14</v>
      </c>
      <c r="O472" s="12">
        <v>14</v>
      </c>
      <c r="P472" s="12">
        <v>0</v>
      </c>
      <c r="Q472" s="16">
        <v>14</v>
      </c>
      <c r="R472" s="16">
        <v>0</v>
      </c>
      <c r="S472" s="16"/>
      <c r="T472" s="28">
        <v>14</v>
      </c>
      <c r="U472" s="28"/>
      <c r="V472" s="29">
        <f>+VLOOKUP(E472,[1]base!D:K,8,0)</f>
        <v>3</v>
      </c>
      <c r="W472" s="29">
        <f t="shared" si="51"/>
        <v>42</v>
      </c>
      <c r="X472" s="29">
        <f t="shared" si="52"/>
        <v>2.1839999999999997</v>
      </c>
      <c r="Y472" s="29">
        <f>+VLOOKUP(E472,[1]base!D:E,2,0)</f>
        <v>14</v>
      </c>
      <c r="Z472" s="29">
        <f t="shared" si="53"/>
        <v>1</v>
      </c>
      <c r="AA472" s="29">
        <f t="shared" si="54"/>
        <v>6.6666666666666693E-2</v>
      </c>
      <c r="AB472" s="29">
        <f>+VLOOKUP(E472,[1]base!M:N,2,0)</f>
        <v>244</v>
      </c>
      <c r="AC472" s="29">
        <f>+VLOOKUP(E472,[1]base!M:Q,5,0)</f>
        <v>0</v>
      </c>
      <c r="AD472" s="30">
        <f>+VLOOKUP(E472,[1]base!M:P,4,0)</f>
        <v>4.6875E-2</v>
      </c>
      <c r="AE472" s="31">
        <f t="shared" si="55"/>
        <v>61.762499999999996</v>
      </c>
    </row>
    <row r="473" spans="1:31" x14ac:dyDescent="0.25">
      <c r="A473" s="12" t="s">
        <v>792</v>
      </c>
      <c r="B473" s="13">
        <v>46260.398888888885</v>
      </c>
      <c r="C473" s="12" t="s">
        <v>24</v>
      </c>
      <c r="D473" s="12" t="s">
        <v>829</v>
      </c>
      <c r="E473" s="26" t="str">
        <f t="shared" si="49"/>
        <v>FSQ534</v>
      </c>
      <c r="F473" s="27" t="str">
        <f t="shared" si="50"/>
        <v>GREY</v>
      </c>
      <c r="G473" s="27">
        <f>+VLOOKUP(F473,[1]base!A:B,2,0)</f>
        <v>24</v>
      </c>
      <c r="H473" s="12">
        <v>17</v>
      </c>
      <c r="I473" s="12">
        <v>17</v>
      </c>
      <c r="J473" s="14"/>
      <c r="K473" s="14" t="s">
        <v>61</v>
      </c>
      <c r="L473" s="12" t="s">
        <v>830</v>
      </c>
      <c r="M473" s="12" t="s">
        <v>150</v>
      </c>
      <c r="N473" s="12">
        <v>17</v>
      </c>
      <c r="O473" s="12">
        <v>17</v>
      </c>
      <c r="P473" s="12">
        <v>0</v>
      </c>
      <c r="Q473" s="16">
        <v>17</v>
      </c>
      <c r="R473" s="16">
        <v>0</v>
      </c>
      <c r="S473" s="16"/>
      <c r="T473" s="28">
        <v>17</v>
      </c>
      <c r="U473" s="28"/>
      <c r="V473" s="29">
        <f>+VLOOKUP(E473,[1]base!D:K,8,0)</f>
        <v>2.0219999999999998</v>
      </c>
      <c r="W473" s="29">
        <f t="shared" si="51"/>
        <v>34.373999999999995</v>
      </c>
      <c r="X473" s="29">
        <f t="shared" si="52"/>
        <v>1.7874479999999997</v>
      </c>
      <c r="Y473" s="29">
        <f>+VLOOKUP(E473,[1]base!D:E,2,0)</f>
        <v>20</v>
      </c>
      <c r="Z473" s="29">
        <f t="shared" si="53"/>
        <v>1</v>
      </c>
      <c r="AA473" s="29">
        <f t="shared" si="54"/>
        <v>6.6666666666666693E-2</v>
      </c>
      <c r="AB473" s="29">
        <f>+VLOOKUP(E473,[1]base!M:N,2,0)</f>
        <v>473</v>
      </c>
      <c r="AC473" s="29">
        <f>+VLOOKUP(E473,[1]base!M:Q,5,0)</f>
        <v>0</v>
      </c>
      <c r="AD473" s="30">
        <f>+VLOOKUP(E473,[1]base!M:P,4,0)</f>
        <v>0</v>
      </c>
      <c r="AE473" s="31">
        <f t="shared" si="55"/>
        <v>141.9</v>
      </c>
    </row>
    <row r="474" spans="1:31" x14ac:dyDescent="0.25">
      <c r="A474" s="12" t="s">
        <v>1322</v>
      </c>
      <c r="B474" s="13">
        <v>46269.305231481485</v>
      </c>
      <c r="C474" s="12" t="s">
        <v>24</v>
      </c>
      <c r="D474" s="12" t="s">
        <v>1324</v>
      </c>
      <c r="E474" s="26" t="str">
        <f t="shared" si="49"/>
        <v>FSQ534</v>
      </c>
      <c r="F474" s="27" t="str">
        <f t="shared" si="50"/>
        <v>NOIR</v>
      </c>
      <c r="G474" s="27">
        <f>+VLOOKUP(F474,[1]base!A:B,2,0)</f>
        <v>37</v>
      </c>
      <c r="H474" s="12">
        <v>5</v>
      </c>
      <c r="I474" s="12">
        <v>5</v>
      </c>
      <c r="J474" s="14"/>
      <c r="K474" s="14" t="s">
        <v>61</v>
      </c>
      <c r="L474" s="12" t="s">
        <v>1328</v>
      </c>
      <c r="M474" s="12" t="s">
        <v>150</v>
      </c>
      <c r="N474" s="12">
        <v>5</v>
      </c>
      <c r="O474" s="12">
        <v>5</v>
      </c>
      <c r="P474" s="12">
        <v>0</v>
      </c>
      <c r="Q474" s="16">
        <v>5</v>
      </c>
      <c r="R474" s="16">
        <v>0</v>
      </c>
      <c r="S474" s="16"/>
      <c r="T474" s="28">
        <v>5</v>
      </c>
      <c r="U474" s="28"/>
      <c r="V474" s="29">
        <f>+VLOOKUP(E474,[1]base!D:K,8,0)</f>
        <v>2.0219999999999998</v>
      </c>
      <c r="W474" s="29">
        <f t="shared" si="51"/>
        <v>10.11</v>
      </c>
      <c r="X474" s="29">
        <f t="shared" si="52"/>
        <v>0.52571999999999997</v>
      </c>
      <c r="Y474" s="29">
        <f>+VLOOKUP(E474,[1]base!D:E,2,0)</f>
        <v>20</v>
      </c>
      <c r="Z474" s="29">
        <f t="shared" si="53"/>
        <v>1</v>
      </c>
      <c r="AA474" s="29">
        <f t="shared" si="54"/>
        <v>6.6666666666666693E-2</v>
      </c>
      <c r="AB474" s="29">
        <f>+VLOOKUP(E474,[1]base!M:N,2,0)</f>
        <v>473</v>
      </c>
      <c r="AC474" s="29">
        <f>+VLOOKUP(E474,[1]base!M:Q,5,0)</f>
        <v>0</v>
      </c>
      <c r="AD474" s="30">
        <f>+VLOOKUP(E474,[1]base!M:P,4,0)</f>
        <v>0</v>
      </c>
      <c r="AE474" s="31">
        <f t="shared" si="55"/>
        <v>141.9</v>
      </c>
    </row>
    <row r="475" spans="1:31" x14ac:dyDescent="0.25">
      <c r="A475" s="12" t="s">
        <v>792</v>
      </c>
      <c r="B475" s="13">
        <v>46260.398888888885</v>
      </c>
      <c r="C475" s="12" t="s">
        <v>24</v>
      </c>
      <c r="D475" s="12" t="s">
        <v>815</v>
      </c>
      <c r="E475" s="26" t="str">
        <f t="shared" si="49"/>
        <v>FSQ535</v>
      </c>
      <c r="F475" s="27" t="str">
        <f t="shared" si="50"/>
        <v>GREY</v>
      </c>
      <c r="G475" s="27">
        <f>+VLOOKUP(F475,[1]base!A:B,2,0)</f>
        <v>24</v>
      </c>
      <c r="H475" s="12">
        <v>17</v>
      </c>
      <c r="I475" s="12">
        <v>17</v>
      </c>
      <c r="J475" s="14"/>
      <c r="K475" s="14" t="s">
        <v>61</v>
      </c>
      <c r="L475" s="12" t="s">
        <v>826</v>
      </c>
      <c r="M475" s="12" t="s">
        <v>150</v>
      </c>
      <c r="N475" s="12">
        <v>17</v>
      </c>
      <c r="O475" s="12">
        <v>17</v>
      </c>
      <c r="P475" s="12">
        <v>0</v>
      </c>
      <c r="Q475" s="16">
        <v>17</v>
      </c>
      <c r="R475" s="16">
        <v>0</v>
      </c>
      <c r="S475" s="16"/>
      <c r="T475" s="28">
        <v>17</v>
      </c>
      <c r="U475" s="28"/>
      <c r="V475" s="29">
        <f>+VLOOKUP(E475,[1]base!D:K,8,0)</f>
        <v>4.5694999999999997</v>
      </c>
      <c r="W475" s="29">
        <f t="shared" si="51"/>
        <v>77.6815</v>
      </c>
      <c r="X475" s="29">
        <f t="shared" si="52"/>
        <v>4.0394379999999996</v>
      </c>
      <c r="Y475" s="29">
        <f>+VLOOKUP(E475,[1]base!D:E,2,0)</f>
        <v>14</v>
      </c>
      <c r="Z475" s="29">
        <f t="shared" si="53"/>
        <v>2</v>
      </c>
      <c r="AA475" s="29">
        <f t="shared" si="54"/>
        <v>0.13333333333333339</v>
      </c>
      <c r="AB475" s="29">
        <f>+VLOOKUP(E475,[1]base!M:N,2,0)</f>
        <v>124</v>
      </c>
      <c r="AC475" s="29">
        <f>+VLOOKUP(E475,[1]base!M:Q,5,0)</f>
        <v>0</v>
      </c>
      <c r="AD475" s="30">
        <f>+VLOOKUP(E475,[1]base!M:P,4,0)</f>
        <v>0</v>
      </c>
      <c r="AE475" s="31">
        <f t="shared" si="55"/>
        <v>37.199999999999996</v>
      </c>
    </row>
    <row r="476" spans="1:31" x14ac:dyDescent="0.25">
      <c r="A476" s="12" t="s">
        <v>1322</v>
      </c>
      <c r="B476" s="13">
        <v>46269.305231481485</v>
      </c>
      <c r="C476" s="12" t="s">
        <v>24</v>
      </c>
      <c r="D476" s="12" t="s">
        <v>1325</v>
      </c>
      <c r="E476" s="26" t="str">
        <f t="shared" si="49"/>
        <v>FSQ535</v>
      </c>
      <c r="F476" s="27" t="str">
        <f t="shared" si="50"/>
        <v>NOIR</v>
      </c>
      <c r="G476" s="27">
        <f>+VLOOKUP(F476,[1]base!A:B,2,0)</f>
        <v>37</v>
      </c>
      <c r="H476" s="12">
        <v>5</v>
      </c>
      <c r="I476" s="12">
        <v>5</v>
      </c>
      <c r="J476" s="14"/>
      <c r="K476" s="14" t="s">
        <v>61</v>
      </c>
      <c r="L476" s="12" t="s">
        <v>1329</v>
      </c>
      <c r="M476" s="12" t="s">
        <v>150</v>
      </c>
      <c r="N476" s="12">
        <v>5</v>
      </c>
      <c r="O476" s="12">
        <v>5</v>
      </c>
      <c r="P476" s="12">
        <v>0</v>
      </c>
      <c r="Q476" s="16">
        <v>5</v>
      </c>
      <c r="R476" s="16">
        <v>0</v>
      </c>
      <c r="S476" s="16"/>
      <c r="T476" s="28">
        <v>5</v>
      </c>
      <c r="U476" s="28"/>
      <c r="V476" s="29">
        <f>+VLOOKUP(E476,[1]base!D:K,8,0)</f>
        <v>4.5694999999999997</v>
      </c>
      <c r="W476" s="29">
        <f t="shared" si="51"/>
        <v>22.847499999999997</v>
      </c>
      <c r="X476" s="29">
        <f t="shared" si="52"/>
        <v>1.1880699999999997</v>
      </c>
      <c r="Y476" s="29">
        <f>+VLOOKUP(E476,[1]base!D:E,2,0)</f>
        <v>14</v>
      </c>
      <c r="Z476" s="29">
        <f t="shared" si="53"/>
        <v>1</v>
      </c>
      <c r="AA476" s="29">
        <f t="shared" si="54"/>
        <v>6.6666666666666693E-2</v>
      </c>
      <c r="AB476" s="29">
        <f>+VLOOKUP(E476,[1]base!M:N,2,0)</f>
        <v>124</v>
      </c>
      <c r="AC476" s="29">
        <f>+VLOOKUP(E476,[1]base!M:Q,5,0)</f>
        <v>0</v>
      </c>
      <c r="AD476" s="30">
        <f>+VLOOKUP(E476,[1]base!M:P,4,0)</f>
        <v>0</v>
      </c>
      <c r="AE476" s="31">
        <f t="shared" si="55"/>
        <v>37.199999999999996</v>
      </c>
    </row>
    <row r="477" spans="1:31" x14ac:dyDescent="0.25">
      <c r="A477" s="12" t="s">
        <v>316</v>
      </c>
      <c r="B477" s="13">
        <v>46195.506979166668</v>
      </c>
      <c r="C477" s="12" t="s">
        <v>24</v>
      </c>
      <c r="D477" s="12" t="s">
        <v>320</v>
      </c>
      <c r="E477" s="26" t="str">
        <f t="shared" si="49"/>
        <v>GL11060/248</v>
      </c>
      <c r="F477" s="27" t="str">
        <f t="shared" si="50"/>
        <v>BLC</v>
      </c>
      <c r="G477" s="27">
        <f>+VLOOKUP(F477,[1]base!A:B,2,0)</f>
        <v>1</v>
      </c>
      <c r="H477" s="12">
        <v>70</v>
      </c>
      <c r="I477" s="12">
        <v>70</v>
      </c>
      <c r="J477" s="14"/>
      <c r="K477" s="14" t="s">
        <v>26</v>
      </c>
      <c r="L477" s="12" t="s">
        <v>27</v>
      </c>
      <c r="M477" s="12" t="s">
        <v>28</v>
      </c>
      <c r="N477" s="12"/>
      <c r="O477" s="12"/>
      <c r="P477" s="12"/>
      <c r="Q477" s="16">
        <v>0</v>
      </c>
      <c r="R477" s="16">
        <v>1</v>
      </c>
      <c r="S477" s="16"/>
      <c r="T477" s="28">
        <v>2000</v>
      </c>
      <c r="U477" s="28"/>
      <c r="V477" s="29">
        <f>+VLOOKUP(E477,[1]base!D:K,8,0)</f>
        <v>2.4634999999999998</v>
      </c>
      <c r="W477" s="29">
        <f t="shared" si="51"/>
        <v>4927</v>
      </c>
      <c r="X477" s="29">
        <f t="shared" si="52"/>
        <v>256.20400000000001</v>
      </c>
      <c r="Y477" s="29">
        <f>+VLOOKUP(E477,[1]base!D:E,2,0)</f>
        <v>20</v>
      </c>
      <c r="Z477" s="29">
        <f t="shared" si="53"/>
        <v>100</v>
      </c>
      <c r="AA477" s="29">
        <f t="shared" si="54"/>
        <v>6.6666666666666696</v>
      </c>
      <c r="AB477" s="29">
        <f>+VLOOKUP(E477,[1]base!M:N,2,0)</f>
        <v>10587</v>
      </c>
      <c r="AC477" s="29">
        <f>+VLOOKUP(E477,[1]base!M:Q,5,0)</f>
        <v>2112.7272727272725</v>
      </c>
      <c r="AD477" s="30">
        <f>+VLOOKUP(E477,[1]base!M:P,4,0)</f>
        <v>1.4154018064996741E-2</v>
      </c>
      <c r="AE477" s="31">
        <f t="shared" si="55"/>
        <v>3026.2514107458796</v>
      </c>
    </row>
    <row r="478" spans="1:31" x14ac:dyDescent="0.25">
      <c r="A478" s="12" t="s">
        <v>1570</v>
      </c>
      <c r="B478" s="13">
        <v>46274.654050925928</v>
      </c>
      <c r="C478" s="12" t="s">
        <v>24</v>
      </c>
      <c r="D478" s="12" t="s">
        <v>1585</v>
      </c>
      <c r="E478" s="26" t="str">
        <f t="shared" si="49"/>
        <v>GL11060/248</v>
      </c>
      <c r="F478" s="27" t="str">
        <f t="shared" si="50"/>
        <v>CHPG</v>
      </c>
      <c r="G478" s="27">
        <f>+VLOOKUP(F478,[1]base!A:B,2,0)</f>
        <v>11</v>
      </c>
      <c r="H478" s="12">
        <v>4</v>
      </c>
      <c r="I478" s="12">
        <v>4</v>
      </c>
      <c r="J478" s="14"/>
      <c r="K478" s="14" t="s">
        <v>61</v>
      </c>
      <c r="L478" s="12" t="s">
        <v>1594</v>
      </c>
      <c r="M478" s="12" t="s">
        <v>150</v>
      </c>
      <c r="N478" s="12">
        <v>4</v>
      </c>
      <c r="O478" s="12">
        <v>4</v>
      </c>
      <c r="P478" s="12">
        <v>0</v>
      </c>
      <c r="Q478" s="16">
        <v>4</v>
      </c>
      <c r="R478" s="16">
        <v>0</v>
      </c>
      <c r="S478" s="16"/>
      <c r="T478" s="28">
        <v>4</v>
      </c>
      <c r="U478" s="28"/>
      <c r="V478" s="29">
        <f>+VLOOKUP(E478,[1]base!D:K,8,0)</f>
        <v>2.4634999999999998</v>
      </c>
      <c r="W478" s="29">
        <f t="shared" si="51"/>
        <v>9.8539999999999992</v>
      </c>
      <c r="X478" s="29">
        <f t="shared" si="52"/>
        <v>0.51240799999999997</v>
      </c>
      <c r="Y478" s="29">
        <f>+VLOOKUP(E478,[1]base!D:E,2,0)</f>
        <v>20</v>
      </c>
      <c r="Z478" s="29">
        <f t="shared" si="53"/>
        <v>1</v>
      </c>
      <c r="AA478" s="29">
        <f t="shared" si="54"/>
        <v>6.6666666666666693E-2</v>
      </c>
      <c r="AB478" s="29">
        <f>+VLOOKUP(E478,[1]base!M:N,2,0)</f>
        <v>10587</v>
      </c>
      <c r="AC478" s="29">
        <f>+VLOOKUP(E478,[1]base!M:Q,5,0)</f>
        <v>2112.7272727272725</v>
      </c>
      <c r="AD478" s="30">
        <f>+VLOOKUP(E478,[1]base!M:P,4,0)</f>
        <v>1.4154018064996741E-2</v>
      </c>
      <c r="AE478" s="31">
        <f t="shared" si="55"/>
        <v>3026.2514107458796</v>
      </c>
    </row>
    <row r="479" spans="1:31" x14ac:dyDescent="0.25">
      <c r="A479" s="12" t="s">
        <v>1490</v>
      </c>
      <c r="B479" s="13">
        <v>46273.595729166664</v>
      </c>
      <c r="C479" s="12" t="s">
        <v>24</v>
      </c>
      <c r="D479" s="12" t="s">
        <v>1430</v>
      </c>
      <c r="E479" s="26" t="str">
        <f t="shared" si="49"/>
        <v>GL11060/248</v>
      </c>
      <c r="F479" s="27" t="str">
        <f t="shared" si="50"/>
        <v>ACAJOU</v>
      </c>
      <c r="G479" s="27">
        <f>+VLOOKUP(F479,[1]base!A:B,2,0)</f>
        <v>15.1</v>
      </c>
      <c r="H479" s="12">
        <v>100</v>
      </c>
      <c r="I479" s="12">
        <v>100</v>
      </c>
      <c r="J479" s="14"/>
      <c r="K479" s="14" t="s">
        <v>61</v>
      </c>
      <c r="L479" s="12" t="s">
        <v>1499</v>
      </c>
      <c r="M479" s="12" t="s">
        <v>150</v>
      </c>
      <c r="N479" s="12">
        <v>100</v>
      </c>
      <c r="O479" s="12">
        <v>100</v>
      </c>
      <c r="P479" s="12">
        <v>0</v>
      </c>
      <c r="Q479" s="16">
        <v>300</v>
      </c>
      <c r="R479" s="16">
        <v>120</v>
      </c>
      <c r="S479" s="16"/>
      <c r="T479" s="28">
        <v>30</v>
      </c>
      <c r="U479" s="28"/>
      <c r="V479" s="29">
        <f>+VLOOKUP(E479,[1]base!D:K,8,0)</f>
        <v>2.4634999999999998</v>
      </c>
      <c r="W479" s="29">
        <f t="shared" si="51"/>
        <v>73.905000000000001</v>
      </c>
      <c r="X479" s="29">
        <f t="shared" si="52"/>
        <v>3.8430599999999999</v>
      </c>
      <c r="Y479" s="29">
        <f>+VLOOKUP(E479,[1]base!D:E,2,0)</f>
        <v>20</v>
      </c>
      <c r="Z479" s="29">
        <f t="shared" si="53"/>
        <v>2</v>
      </c>
      <c r="AA479" s="29">
        <f t="shared" si="54"/>
        <v>0.13333333333333339</v>
      </c>
      <c r="AB479" s="29">
        <f>+VLOOKUP(E479,[1]base!M:N,2,0)</f>
        <v>10587</v>
      </c>
      <c r="AC479" s="29">
        <f>+VLOOKUP(E479,[1]base!M:Q,5,0)</f>
        <v>2112.7272727272725</v>
      </c>
      <c r="AD479" s="30">
        <f>+VLOOKUP(E479,[1]base!M:P,4,0)</f>
        <v>1.4154018064996741E-2</v>
      </c>
      <c r="AE479" s="31">
        <f t="shared" si="55"/>
        <v>3026.2514107458796</v>
      </c>
    </row>
    <row r="480" spans="1:31" x14ac:dyDescent="0.25">
      <c r="A480" s="12" t="s">
        <v>547</v>
      </c>
      <c r="B480" s="13">
        <v>46240.550856481481</v>
      </c>
      <c r="C480" s="12" t="s">
        <v>548</v>
      </c>
      <c r="D480" s="12" t="s">
        <v>567</v>
      </c>
      <c r="E480" s="26" t="str">
        <f t="shared" si="49"/>
        <v>GL11060/248</v>
      </c>
      <c r="F480" s="27" t="str">
        <f t="shared" si="50"/>
        <v>GRIS</v>
      </c>
      <c r="G480" s="27">
        <f>+VLOOKUP(F480,[1]base!A:B,2,0)</f>
        <v>22</v>
      </c>
      <c r="H480" s="12">
        <v>50</v>
      </c>
      <c r="I480" s="12">
        <v>50</v>
      </c>
      <c r="J480" s="14"/>
      <c r="K480" s="14" t="s">
        <v>61</v>
      </c>
      <c r="L480" s="12" t="s">
        <v>570</v>
      </c>
      <c r="M480" s="12" t="s">
        <v>150</v>
      </c>
      <c r="N480" s="12">
        <v>50</v>
      </c>
      <c r="O480" s="12">
        <v>50</v>
      </c>
      <c r="P480" s="12">
        <v>0</v>
      </c>
      <c r="Q480" s="16">
        <v>80</v>
      </c>
      <c r="R480" s="16">
        <v>0</v>
      </c>
      <c r="S480" s="16"/>
      <c r="T480" s="28">
        <v>50</v>
      </c>
      <c r="U480" s="28"/>
      <c r="V480" s="29">
        <f>+VLOOKUP(E480,[1]base!D:K,8,0)</f>
        <v>2.4634999999999998</v>
      </c>
      <c r="W480" s="29">
        <f t="shared" si="51"/>
        <v>123.17499999999998</v>
      </c>
      <c r="X480" s="29">
        <f t="shared" si="52"/>
        <v>6.4050999999999991</v>
      </c>
      <c r="Y480" s="29">
        <f>+VLOOKUP(E480,[1]base!D:E,2,0)</f>
        <v>20</v>
      </c>
      <c r="Z480" s="29">
        <f t="shared" si="53"/>
        <v>3</v>
      </c>
      <c r="AA480" s="29">
        <f t="shared" si="54"/>
        <v>0.20000000000000007</v>
      </c>
      <c r="AB480" s="29">
        <f>+VLOOKUP(E480,[1]base!M:N,2,0)</f>
        <v>10587</v>
      </c>
      <c r="AC480" s="29">
        <f>+VLOOKUP(E480,[1]base!M:Q,5,0)</f>
        <v>2112.7272727272725</v>
      </c>
      <c r="AD480" s="30">
        <f>+VLOOKUP(E480,[1]base!M:P,4,0)</f>
        <v>1.4154018064996741E-2</v>
      </c>
      <c r="AE480" s="31">
        <f t="shared" si="55"/>
        <v>3026.2514107458796</v>
      </c>
    </row>
    <row r="481" spans="1:31" x14ac:dyDescent="0.25">
      <c r="A481" s="12" t="s">
        <v>983</v>
      </c>
      <c r="B481" s="13">
        <v>46265.499872685185</v>
      </c>
      <c r="C481" s="12" t="s">
        <v>986</v>
      </c>
      <c r="D481" s="12" t="s">
        <v>567</v>
      </c>
      <c r="E481" s="26" t="str">
        <f t="shared" si="49"/>
        <v>GL11060/248</v>
      </c>
      <c r="F481" s="27" t="str">
        <f t="shared" si="50"/>
        <v>GRIS</v>
      </c>
      <c r="G481" s="27">
        <f>+VLOOKUP(F481,[1]base!A:B,2,0)</f>
        <v>22</v>
      </c>
      <c r="H481" s="12">
        <v>30</v>
      </c>
      <c r="I481" s="12">
        <v>30</v>
      </c>
      <c r="J481" s="14"/>
      <c r="K481" s="14" t="s">
        <v>61</v>
      </c>
      <c r="L481" s="12" t="s">
        <v>994</v>
      </c>
      <c r="M481" s="12" t="s">
        <v>150</v>
      </c>
      <c r="N481" s="12">
        <v>30</v>
      </c>
      <c r="O481" s="12">
        <v>30</v>
      </c>
      <c r="P481" s="12">
        <v>0</v>
      </c>
      <c r="Q481" s="16">
        <v>30</v>
      </c>
      <c r="R481" s="16">
        <v>0</v>
      </c>
      <c r="S481" s="16"/>
      <c r="T481" s="28">
        <v>30</v>
      </c>
      <c r="U481" s="28"/>
      <c r="V481" s="29">
        <f>+VLOOKUP(E481,[1]base!D:K,8,0)</f>
        <v>2.4634999999999998</v>
      </c>
      <c r="W481" s="29">
        <f t="shared" si="51"/>
        <v>73.905000000000001</v>
      </c>
      <c r="X481" s="29">
        <f t="shared" si="52"/>
        <v>3.8430599999999999</v>
      </c>
      <c r="Y481" s="29">
        <f>+VLOOKUP(E481,[1]base!D:E,2,0)</f>
        <v>20</v>
      </c>
      <c r="Z481" s="29">
        <f t="shared" si="53"/>
        <v>2</v>
      </c>
      <c r="AA481" s="29">
        <f t="shared" si="54"/>
        <v>0.13333333333333339</v>
      </c>
      <c r="AB481" s="29">
        <f>+VLOOKUP(E481,[1]base!M:N,2,0)</f>
        <v>10587</v>
      </c>
      <c r="AC481" s="29">
        <f>+VLOOKUP(E481,[1]base!M:Q,5,0)</f>
        <v>2112.7272727272725</v>
      </c>
      <c r="AD481" s="30">
        <f>+VLOOKUP(E481,[1]base!M:P,4,0)</f>
        <v>1.4154018064996741E-2</v>
      </c>
      <c r="AE481" s="31">
        <f t="shared" si="55"/>
        <v>3026.2514107458796</v>
      </c>
    </row>
    <row r="482" spans="1:31" x14ac:dyDescent="0.25">
      <c r="A482" s="12" t="s">
        <v>1161</v>
      </c>
      <c r="B482" s="13">
        <v>46267.415729166663</v>
      </c>
      <c r="C482" s="12" t="s">
        <v>661</v>
      </c>
      <c r="D482" s="12" t="s">
        <v>567</v>
      </c>
      <c r="E482" s="26" t="str">
        <f t="shared" si="49"/>
        <v>GL11060/248</v>
      </c>
      <c r="F482" s="27" t="str">
        <f t="shared" si="50"/>
        <v>GRIS</v>
      </c>
      <c r="G482" s="27">
        <f>+VLOOKUP(F482,[1]base!A:B,2,0)</f>
        <v>22</v>
      </c>
      <c r="H482" s="12">
        <v>20</v>
      </c>
      <c r="I482" s="12">
        <v>20</v>
      </c>
      <c r="J482" s="14"/>
      <c r="K482" s="14" t="s">
        <v>61</v>
      </c>
      <c r="L482" s="12" t="s">
        <v>1178</v>
      </c>
      <c r="M482" s="12" t="s">
        <v>150</v>
      </c>
      <c r="N482" s="12">
        <v>20</v>
      </c>
      <c r="O482" s="12">
        <v>20</v>
      </c>
      <c r="P482" s="12">
        <v>0</v>
      </c>
      <c r="Q482" s="16">
        <v>20</v>
      </c>
      <c r="R482" s="16">
        <v>0</v>
      </c>
      <c r="S482" s="16"/>
      <c r="T482" s="28">
        <v>20</v>
      </c>
      <c r="U482" s="28"/>
      <c r="V482" s="29">
        <f>+VLOOKUP(E482,[1]base!D:K,8,0)</f>
        <v>2.4634999999999998</v>
      </c>
      <c r="W482" s="29">
        <f t="shared" si="51"/>
        <v>49.269999999999996</v>
      </c>
      <c r="X482" s="29">
        <f t="shared" si="52"/>
        <v>2.5620399999999997</v>
      </c>
      <c r="Y482" s="29">
        <f>+VLOOKUP(E482,[1]base!D:E,2,0)</f>
        <v>20</v>
      </c>
      <c r="Z482" s="29">
        <f t="shared" si="53"/>
        <v>1</v>
      </c>
      <c r="AA482" s="29">
        <f t="shared" si="54"/>
        <v>6.6666666666666693E-2</v>
      </c>
      <c r="AB482" s="29">
        <f>+VLOOKUP(E482,[1]base!M:N,2,0)</f>
        <v>10587</v>
      </c>
      <c r="AC482" s="29">
        <f>+VLOOKUP(E482,[1]base!M:Q,5,0)</f>
        <v>2112.7272727272725</v>
      </c>
      <c r="AD482" s="30">
        <f>+VLOOKUP(E482,[1]base!M:P,4,0)</f>
        <v>1.4154018064996741E-2</v>
      </c>
      <c r="AE482" s="31">
        <f t="shared" si="55"/>
        <v>3026.2514107458796</v>
      </c>
    </row>
    <row r="483" spans="1:31" x14ac:dyDescent="0.25">
      <c r="A483" s="12" t="s">
        <v>1415</v>
      </c>
      <c r="B483" s="13">
        <v>46273.296388888892</v>
      </c>
      <c r="C483" s="12" t="s">
        <v>24</v>
      </c>
      <c r="D483" s="12" t="s">
        <v>567</v>
      </c>
      <c r="E483" s="26" t="str">
        <f t="shared" si="49"/>
        <v>GL11060/248</v>
      </c>
      <c r="F483" s="27" t="str">
        <f t="shared" si="50"/>
        <v>GRIS</v>
      </c>
      <c r="G483" s="27">
        <f>+VLOOKUP(F483,[1]base!A:B,2,0)</f>
        <v>22</v>
      </c>
      <c r="H483" s="12">
        <v>50</v>
      </c>
      <c r="I483" s="12">
        <v>50</v>
      </c>
      <c r="J483" s="14"/>
      <c r="K483" s="14" t="s">
        <v>61</v>
      </c>
      <c r="L483" s="12" t="s">
        <v>1428</v>
      </c>
      <c r="M483" s="12" t="s">
        <v>150</v>
      </c>
      <c r="N483" s="12">
        <v>50</v>
      </c>
      <c r="O483" s="12">
        <v>50</v>
      </c>
      <c r="P483" s="12">
        <v>0</v>
      </c>
      <c r="Q483" s="16">
        <v>150</v>
      </c>
      <c r="R483" s="16">
        <v>0</v>
      </c>
      <c r="S483" s="16"/>
      <c r="T483" s="28">
        <v>50</v>
      </c>
      <c r="U483" s="28"/>
      <c r="V483" s="29">
        <f>+VLOOKUP(E483,[1]base!D:K,8,0)</f>
        <v>2.4634999999999998</v>
      </c>
      <c r="W483" s="29">
        <f t="shared" si="51"/>
        <v>123.17499999999998</v>
      </c>
      <c r="X483" s="29">
        <f t="shared" si="52"/>
        <v>6.4050999999999991</v>
      </c>
      <c r="Y483" s="29">
        <f>+VLOOKUP(E483,[1]base!D:E,2,0)</f>
        <v>20</v>
      </c>
      <c r="Z483" s="29">
        <f t="shared" si="53"/>
        <v>3</v>
      </c>
      <c r="AA483" s="29">
        <f t="shared" si="54"/>
        <v>0.20000000000000007</v>
      </c>
      <c r="AB483" s="29">
        <f>+VLOOKUP(E483,[1]base!M:N,2,0)</f>
        <v>10587</v>
      </c>
      <c r="AC483" s="29">
        <f>+VLOOKUP(E483,[1]base!M:Q,5,0)</f>
        <v>2112.7272727272725</v>
      </c>
      <c r="AD483" s="30">
        <f>+VLOOKUP(E483,[1]base!M:P,4,0)</f>
        <v>1.4154018064996741E-2</v>
      </c>
      <c r="AE483" s="31">
        <f t="shared" si="55"/>
        <v>3026.2514107458796</v>
      </c>
    </row>
    <row r="484" spans="1:31" x14ac:dyDescent="0.25">
      <c r="A484" s="12" t="s">
        <v>1490</v>
      </c>
      <c r="B484" s="13">
        <v>46273.595729166664</v>
      </c>
      <c r="C484" s="12" t="s">
        <v>24</v>
      </c>
      <c r="D484" s="12" t="s">
        <v>567</v>
      </c>
      <c r="E484" s="26" t="str">
        <f t="shared" si="49"/>
        <v>GL11060/248</v>
      </c>
      <c r="F484" s="27" t="str">
        <f t="shared" si="50"/>
        <v>GRIS</v>
      </c>
      <c r="G484" s="27">
        <f>+VLOOKUP(F484,[1]base!A:B,2,0)</f>
        <v>22</v>
      </c>
      <c r="H484" s="12">
        <v>100</v>
      </c>
      <c r="I484" s="12">
        <v>100</v>
      </c>
      <c r="J484" s="14"/>
      <c r="K484" s="14" t="s">
        <v>61</v>
      </c>
      <c r="L484" s="12" t="s">
        <v>1498</v>
      </c>
      <c r="M484" s="12" t="s">
        <v>150</v>
      </c>
      <c r="N484" s="12">
        <v>100</v>
      </c>
      <c r="O484" s="12">
        <v>100</v>
      </c>
      <c r="P484" s="12">
        <v>0</v>
      </c>
      <c r="Q484" s="16">
        <v>300</v>
      </c>
      <c r="R484" s="16">
        <v>0</v>
      </c>
      <c r="S484" s="16"/>
      <c r="T484" s="28">
        <v>100</v>
      </c>
      <c r="U484" s="28"/>
      <c r="V484" s="29">
        <f>+VLOOKUP(E484,[1]base!D:K,8,0)</f>
        <v>2.4634999999999998</v>
      </c>
      <c r="W484" s="29">
        <f t="shared" si="51"/>
        <v>246.34999999999997</v>
      </c>
      <c r="X484" s="29">
        <f t="shared" si="52"/>
        <v>12.810199999999998</v>
      </c>
      <c r="Y484" s="29">
        <f>+VLOOKUP(E484,[1]base!D:E,2,0)</f>
        <v>20</v>
      </c>
      <c r="Z484" s="29">
        <f t="shared" si="53"/>
        <v>5</v>
      </c>
      <c r="AA484" s="29">
        <f t="shared" si="54"/>
        <v>0.33333333333333348</v>
      </c>
      <c r="AB484" s="29">
        <f>+VLOOKUP(E484,[1]base!M:N,2,0)</f>
        <v>10587</v>
      </c>
      <c r="AC484" s="29">
        <f>+VLOOKUP(E484,[1]base!M:Q,5,0)</f>
        <v>2112.7272727272725</v>
      </c>
      <c r="AD484" s="30">
        <f>+VLOOKUP(E484,[1]base!M:P,4,0)</f>
        <v>1.4154018064996741E-2</v>
      </c>
      <c r="AE484" s="31">
        <f t="shared" si="55"/>
        <v>3026.2514107458796</v>
      </c>
    </row>
    <row r="485" spans="1:31" x14ac:dyDescent="0.25">
      <c r="A485" s="12" t="s">
        <v>1600</v>
      </c>
      <c r="B485" s="13">
        <v>46275.377118055556</v>
      </c>
      <c r="C485" s="12" t="s">
        <v>24</v>
      </c>
      <c r="D485" s="12" t="s">
        <v>1608</v>
      </c>
      <c r="E485" s="26" t="str">
        <f t="shared" si="49"/>
        <v>GL11060/248</v>
      </c>
      <c r="F485" s="27" t="str">
        <f t="shared" si="50"/>
        <v>GRISG</v>
      </c>
      <c r="G485" s="27">
        <f>+VLOOKUP(F485,[1]base!A:B,2,0)</f>
        <v>25</v>
      </c>
      <c r="H485" s="12">
        <v>1</v>
      </c>
      <c r="I485" s="12">
        <v>1</v>
      </c>
      <c r="J485" s="14"/>
      <c r="K485" s="14" t="s">
        <v>61</v>
      </c>
      <c r="L485" s="12" t="s">
        <v>1622</v>
      </c>
      <c r="M485" s="12" t="s">
        <v>150</v>
      </c>
      <c r="N485" s="12">
        <v>1</v>
      </c>
      <c r="O485" s="12">
        <v>1</v>
      </c>
      <c r="P485" s="12">
        <v>0</v>
      </c>
      <c r="Q485" s="16">
        <v>1</v>
      </c>
      <c r="R485" s="16">
        <v>4</v>
      </c>
      <c r="S485" s="16"/>
      <c r="T485" s="28">
        <v>0</v>
      </c>
      <c r="U485" s="28">
        <v>1</v>
      </c>
      <c r="V485" s="29">
        <f>+VLOOKUP(E485,[1]base!D:K,8,0)</f>
        <v>2.4634999999999998</v>
      </c>
      <c r="W485" s="29">
        <f t="shared" si="51"/>
        <v>2.4634999999999998</v>
      </c>
      <c r="X485" s="29">
        <f t="shared" si="52"/>
        <v>0.12810199999999999</v>
      </c>
      <c r="Y485" s="29">
        <f>+VLOOKUP(E485,[1]base!D:E,2,0)</f>
        <v>20</v>
      </c>
      <c r="Z485" s="29">
        <f t="shared" si="53"/>
        <v>0</v>
      </c>
      <c r="AA485" s="29">
        <f t="shared" si="54"/>
        <v>0</v>
      </c>
      <c r="AB485" s="29">
        <f>+VLOOKUP(E485,[1]base!M:N,2,0)</f>
        <v>10587</v>
      </c>
      <c r="AC485" s="29">
        <f>+VLOOKUP(E485,[1]base!M:Q,5,0)</f>
        <v>2112.7272727272725</v>
      </c>
      <c r="AD485" s="30">
        <f>+VLOOKUP(E485,[1]base!M:P,4,0)</f>
        <v>1.4154018064996741E-2</v>
      </c>
      <c r="AE485" s="31">
        <f t="shared" si="55"/>
        <v>3026.2514107458796</v>
      </c>
    </row>
    <row r="486" spans="1:31" x14ac:dyDescent="0.25">
      <c r="A486" s="12" t="s">
        <v>547</v>
      </c>
      <c r="B486" s="13">
        <v>46240.550856481481</v>
      </c>
      <c r="C486" s="12" t="s">
        <v>548</v>
      </c>
      <c r="D486" s="12" t="s">
        <v>566</v>
      </c>
      <c r="E486" s="26" t="str">
        <f t="shared" si="49"/>
        <v>GL11060/248</v>
      </c>
      <c r="F486" s="27" t="str">
        <f t="shared" si="50"/>
        <v>NOIR</v>
      </c>
      <c r="G486" s="27">
        <f>+VLOOKUP(F486,[1]base!A:B,2,0)</f>
        <v>37</v>
      </c>
      <c r="H486" s="12">
        <v>30</v>
      </c>
      <c r="I486" s="12">
        <v>30</v>
      </c>
      <c r="J486" s="14"/>
      <c r="K486" s="14" t="s">
        <v>61</v>
      </c>
      <c r="L486" s="12" t="s">
        <v>569</v>
      </c>
      <c r="M486" s="12" t="s">
        <v>150</v>
      </c>
      <c r="N486" s="12">
        <v>30</v>
      </c>
      <c r="O486" s="12">
        <v>30</v>
      </c>
      <c r="P486" s="12">
        <v>0</v>
      </c>
      <c r="Q486" s="16">
        <v>80</v>
      </c>
      <c r="R486" s="16">
        <v>0</v>
      </c>
      <c r="S486" s="16"/>
      <c r="T486" s="28">
        <v>30</v>
      </c>
      <c r="U486" s="28"/>
      <c r="V486" s="29">
        <f>+VLOOKUP(E486,[1]base!D:K,8,0)</f>
        <v>2.4634999999999998</v>
      </c>
      <c r="W486" s="29">
        <f t="shared" si="51"/>
        <v>73.905000000000001</v>
      </c>
      <c r="X486" s="29">
        <f t="shared" si="52"/>
        <v>3.8430599999999999</v>
      </c>
      <c r="Y486" s="29">
        <f>+VLOOKUP(E486,[1]base!D:E,2,0)</f>
        <v>20</v>
      </c>
      <c r="Z486" s="29">
        <f t="shared" si="53"/>
        <v>2</v>
      </c>
      <c r="AA486" s="29">
        <f t="shared" si="54"/>
        <v>0.13333333333333339</v>
      </c>
      <c r="AB486" s="29">
        <f>+VLOOKUP(E486,[1]base!M:N,2,0)</f>
        <v>10587</v>
      </c>
      <c r="AC486" s="29">
        <f>+VLOOKUP(E486,[1]base!M:Q,5,0)</f>
        <v>2112.7272727272725</v>
      </c>
      <c r="AD486" s="30">
        <f>+VLOOKUP(E486,[1]base!M:P,4,0)</f>
        <v>1.4154018064996741E-2</v>
      </c>
      <c r="AE486" s="31">
        <f t="shared" si="55"/>
        <v>3026.2514107458796</v>
      </c>
    </row>
    <row r="487" spans="1:31" x14ac:dyDescent="0.25">
      <c r="A487" s="12" t="s">
        <v>1415</v>
      </c>
      <c r="B487" s="13">
        <v>46273.296388888892</v>
      </c>
      <c r="C487" s="12" t="s">
        <v>24</v>
      </c>
      <c r="D487" s="12" t="s">
        <v>566</v>
      </c>
      <c r="E487" s="26" t="str">
        <f t="shared" si="49"/>
        <v>GL11060/248</v>
      </c>
      <c r="F487" s="27" t="str">
        <f t="shared" si="50"/>
        <v>NOIR</v>
      </c>
      <c r="G487" s="27">
        <f>+VLOOKUP(F487,[1]base!A:B,2,0)</f>
        <v>37</v>
      </c>
      <c r="H487" s="12">
        <v>50</v>
      </c>
      <c r="I487" s="12">
        <v>50</v>
      </c>
      <c r="J487" s="14"/>
      <c r="K487" s="14" t="s">
        <v>61</v>
      </c>
      <c r="L487" s="12" t="s">
        <v>1427</v>
      </c>
      <c r="M487" s="12" t="s">
        <v>150</v>
      </c>
      <c r="N487" s="12">
        <v>50</v>
      </c>
      <c r="O487" s="12">
        <v>50</v>
      </c>
      <c r="P487" s="12">
        <v>0</v>
      </c>
      <c r="Q487" s="16">
        <v>150</v>
      </c>
      <c r="R487" s="16">
        <v>0</v>
      </c>
      <c r="S487" s="16"/>
      <c r="T487" s="28">
        <v>50</v>
      </c>
      <c r="U487" s="28"/>
      <c r="V487" s="29">
        <f>+VLOOKUP(E487,[1]base!D:K,8,0)</f>
        <v>2.4634999999999998</v>
      </c>
      <c r="W487" s="29">
        <f t="shared" si="51"/>
        <v>123.17499999999998</v>
      </c>
      <c r="X487" s="29">
        <f t="shared" si="52"/>
        <v>6.4050999999999991</v>
      </c>
      <c r="Y487" s="29">
        <f>+VLOOKUP(E487,[1]base!D:E,2,0)</f>
        <v>20</v>
      </c>
      <c r="Z487" s="29">
        <f t="shared" si="53"/>
        <v>3</v>
      </c>
      <c r="AA487" s="29">
        <f t="shared" si="54"/>
        <v>0.20000000000000007</v>
      </c>
      <c r="AB487" s="29">
        <f>+VLOOKUP(E487,[1]base!M:N,2,0)</f>
        <v>10587</v>
      </c>
      <c r="AC487" s="29">
        <f>+VLOOKUP(E487,[1]base!M:Q,5,0)</f>
        <v>2112.7272727272725</v>
      </c>
      <c r="AD487" s="30">
        <f>+VLOOKUP(E487,[1]base!M:P,4,0)</f>
        <v>1.4154018064996741E-2</v>
      </c>
      <c r="AE487" s="31">
        <f t="shared" si="55"/>
        <v>3026.2514107458796</v>
      </c>
    </row>
    <row r="488" spans="1:31" x14ac:dyDescent="0.25">
      <c r="A488" s="12" t="s">
        <v>1490</v>
      </c>
      <c r="B488" s="13">
        <v>46273.595729166664</v>
      </c>
      <c r="C488" s="12" t="s">
        <v>24</v>
      </c>
      <c r="D488" s="12" t="s">
        <v>566</v>
      </c>
      <c r="E488" s="26" t="str">
        <f t="shared" si="49"/>
        <v>GL11060/248</v>
      </c>
      <c r="F488" s="27" t="str">
        <f t="shared" si="50"/>
        <v>NOIR</v>
      </c>
      <c r="G488" s="27">
        <f>+VLOOKUP(F488,[1]base!A:B,2,0)</f>
        <v>37</v>
      </c>
      <c r="H488" s="12">
        <v>100</v>
      </c>
      <c r="I488" s="12">
        <v>100</v>
      </c>
      <c r="J488" s="14"/>
      <c r="K488" s="14" t="s">
        <v>61</v>
      </c>
      <c r="L488" s="12" t="s">
        <v>1497</v>
      </c>
      <c r="M488" s="12" t="s">
        <v>150</v>
      </c>
      <c r="N488" s="12">
        <v>100</v>
      </c>
      <c r="O488" s="12">
        <v>100</v>
      </c>
      <c r="P488" s="12">
        <v>0</v>
      </c>
      <c r="Q488" s="16">
        <v>300</v>
      </c>
      <c r="R488" s="16">
        <v>0</v>
      </c>
      <c r="S488" s="16"/>
      <c r="T488" s="28">
        <v>100</v>
      </c>
      <c r="U488" s="28"/>
      <c r="V488" s="29">
        <f>+VLOOKUP(E488,[1]base!D:K,8,0)</f>
        <v>2.4634999999999998</v>
      </c>
      <c r="W488" s="29">
        <f t="shared" si="51"/>
        <v>246.34999999999997</v>
      </c>
      <c r="X488" s="29">
        <f t="shared" si="52"/>
        <v>12.810199999999998</v>
      </c>
      <c r="Y488" s="29">
        <f>+VLOOKUP(E488,[1]base!D:E,2,0)</f>
        <v>20</v>
      </c>
      <c r="Z488" s="29">
        <f t="shared" si="53"/>
        <v>5</v>
      </c>
      <c r="AA488" s="29">
        <f t="shared" si="54"/>
        <v>0.33333333333333348</v>
      </c>
      <c r="AB488" s="29">
        <f>+VLOOKUP(E488,[1]base!M:N,2,0)</f>
        <v>10587</v>
      </c>
      <c r="AC488" s="29">
        <f>+VLOOKUP(E488,[1]base!M:Q,5,0)</f>
        <v>2112.7272727272725</v>
      </c>
      <c r="AD488" s="30">
        <f>+VLOOKUP(E488,[1]base!M:P,4,0)</f>
        <v>1.4154018064996741E-2</v>
      </c>
      <c r="AE488" s="31">
        <f t="shared" si="55"/>
        <v>3026.2514107458796</v>
      </c>
    </row>
    <row r="489" spans="1:31" x14ac:dyDescent="0.25">
      <c r="A489" s="12" t="s">
        <v>1435</v>
      </c>
      <c r="B489" s="13">
        <v>46273.406053240738</v>
      </c>
      <c r="C489" s="12" t="s">
        <v>258</v>
      </c>
      <c r="D489" s="12" t="s">
        <v>657</v>
      </c>
      <c r="E489" s="26" t="str">
        <f t="shared" si="49"/>
        <v>GL180</v>
      </c>
      <c r="F489" s="27" t="str">
        <f t="shared" si="50"/>
        <v>BLC</v>
      </c>
      <c r="G489" s="27">
        <f>+VLOOKUP(F489,[1]base!A:B,2,0)</f>
        <v>1</v>
      </c>
      <c r="H489" s="12">
        <v>60</v>
      </c>
      <c r="I489" s="12">
        <v>60</v>
      </c>
      <c r="J489" s="14"/>
      <c r="K489" s="14" t="s">
        <v>61</v>
      </c>
      <c r="L489" s="12" t="s">
        <v>1442</v>
      </c>
      <c r="M489" s="12" t="s">
        <v>150</v>
      </c>
      <c r="N489" s="12">
        <v>60</v>
      </c>
      <c r="O489" s="12">
        <v>60</v>
      </c>
      <c r="P489" s="12">
        <v>0</v>
      </c>
      <c r="Q489" s="16">
        <v>60</v>
      </c>
      <c r="R489" s="16">
        <v>0</v>
      </c>
      <c r="S489" s="16"/>
      <c r="T489" s="28">
        <v>120</v>
      </c>
      <c r="U489" s="28"/>
      <c r="V489" s="29">
        <f>+VLOOKUP(E489,[1]base!D:K,8,0)</f>
        <v>1.69</v>
      </c>
      <c r="W489" s="29">
        <f t="shared" si="51"/>
        <v>202.79999999999998</v>
      </c>
      <c r="X489" s="29">
        <f t="shared" si="52"/>
        <v>10.545599999999999</v>
      </c>
      <c r="Y489" s="29">
        <f>+VLOOKUP(E489,[1]base!D:E,2,0)</f>
        <v>20</v>
      </c>
      <c r="Z489" s="29">
        <f t="shared" si="53"/>
        <v>6</v>
      </c>
      <c r="AA489" s="29">
        <f t="shared" si="54"/>
        <v>0.40000000000000013</v>
      </c>
      <c r="AB489" s="29">
        <f>+VLOOKUP(E489,[1]base!M:N,2,0)</f>
        <v>727</v>
      </c>
      <c r="AC489" s="29">
        <f>+VLOOKUP(E489,[1]base!M:Q,5,0)</f>
        <v>257.71428571428572</v>
      </c>
      <c r="AD489" s="30">
        <f>+VLOOKUP(E489,[1]base!M:P,4,0)</f>
        <v>5.4719562243502051E-3</v>
      </c>
      <c r="AE489" s="31">
        <f t="shared" si="55"/>
        <v>214.12188782489739</v>
      </c>
    </row>
    <row r="490" spans="1:31" x14ac:dyDescent="0.25">
      <c r="A490" s="12" t="s">
        <v>1415</v>
      </c>
      <c r="B490" s="13">
        <v>46273.296388888892</v>
      </c>
      <c r="C490" s="12" t="s">
        <v>24</v>
      </c>
      <c r="D490" s="12" t="s">
        <v>1429</v>
      </c>
      <c r="E490" s="26" t="str">
        <f t="shared" si="49"/>
        <v>GLIS180</v>
      </c>
      <c r="F490" s="27" t="str">
        <f t="shared" si="50"/>
        <v>BLC</v>
      </c>
      <c r="G490" s="27">
        <f>+VLOOKUP(F490,[1]base!A:B,2,0)</f>
        <v>1</v>
      </c>
      <c r="H490" s="12">
        <v>78</v>
      </c>
      <c r="I490" s="12">
        <v>39</v>
      </c>
      <c r="J490" s="14"/>
      <c r="K490" s="14" t="s">
        <v>26</v>
      </c>
      <c r="L490" s="12" t="s">
        <v>27</v>
      </c>
      <c r="M490" s="12" t="s">
        <v>28</v>
      </c>
      <c r="N490" s="12"/>
      <c r="O490" s="12"/>
      <c r="P490" s="12"/>
      <c r="Q490" s="16">
        <v>0</v>
      </c>
      <c r="R490" s="16">
        <v>0</v>
      </c>
      <c r="S490" s="16"/>
      <c r="T490" s="28">
        <v>39</v>
      </c>
      <c r="U490" s="28"/>
      <c r="V490" s="29" t="e">
        <f>+VLOOKUP(E490,[1]base!D:K,8,0)</f>
        <v>#N/A</v>
      </c>
      <c r="W490" s="29" t="e">
        <f t="shared" si="51"/>
        <v>#N/A</v>
      </c>
      <c r="X490" s="29" t="e">
        <f t="shared" si="52"/>
        <v>#N/A</v>
      </c>
      <c r="Y490" s="29" t="e">
        <f>+VLOOKUP(E490,[1]base!D:E,2,0)</f>
        <v>#N/A</v>
      </c>
      <c r="Z490" s="29" t="e">
        <f t="shared" si="53"/>
        <v>#N/A</v>
      </c>
      <c r="AA490" s="29" t="e">
        <f t="shared" si="54"/>
        <v>#N/A</v>
      </c>
      <c r="AB490" s="29" t="e">
        <f>+VLOOKUP(E490,[1]base!M:N,2,0)</f>
        <v>#N/A</v>
      </c>
      <c r="AC490" s="29" t="e">
        <f>+VLOOKUP(E490,[1]base!M:Q,5,0)</f>
        <v>#N/A</v>
      </c>
      <c r="AD490" s="30" t="e">
        <f>+VLOOKUP(E490,[1]base!M:P,4,0)</f>
        <v>#N/A</v>
      </c>
      <c r="AE490" s="31" t="e">
        <f t="shared" si="55"/>
        <v>#N/A</v>
      </c>
    </row>
    <row r="491" spans="1:31" x14ac:dyDescent="0.25">
      <c r="A491" s="12" t="s">
        <v>709</v>
      </c>
      <c r="B491" s="13">
        <v>46255.317893518521</v>
      </c>
      <c r="C491" s="12" t="s">
        <v>69</v>
      </c>
      <c r="D491" s="12" t="s">
        <v>710</v>
      </c>
      <c r="E491" s="26" t="str">
        <f t="shared" si="49"/>
        <v>GLLMDP-100</v>
      </c>
      <c r="F491" s="27" t="str">
        <f t="shared" si="50"/>
        <v>BLC</v>
      </c>
      <c r="G491" s="27">
        <f>+VLOOKUP(F491,[1]base!A:B,2,0)</f>
        <v>1</v>
      </c>
      <c r="H491" s="12">
        <v>1</v>
      </c>
      <c r="I491" s="12">
        <v>1</v>
      </c>
      <c r="J491" s="14"/>
      <c r="K491" s="14" t="s">
        <v>26</v>
      </c>
      <c r="L491" s="12" t="s">
        <v>713</v>
      </c>
      <c r="M491" s="12" t="s">
        <v>150</v>
      </c>
      <c r="N491" s="12">
        <v>1</v>
      </c>
      <c r="O491" s="12">
        <v>1</v>
      </c>
      <c r="P491" s="12">
        <v>0</v>
      </c>
      <c r="Q491" s="16">
        <v>0</v>
      </c>
      <c r="R491" s="16">
        <v>0</v>
      </c>
      <c r="S491" s="16"/>
      <c r="T491" s="28">
        <v>1</v>
      </c>
      <c r="U491" s="28"/>
      <c r="V491" s="29" t="e">
        <f>+VLOOKUP(E491,[1]base!D:K,8,0)</f>
        <v>#N/A</v>
      </c>
      <c r="W491" s="29" t="e">
        <f t="shared" si="51"/>
        <v>#N/A</v>
      </c>
      <c r="X491" s="29" t="e">
        <f t="shared" si="52"/>
        <v>#N/A</v>
      </c>
      <c r="Y491" s="29" t="e">
        <f>+VLOOKUP(E491,[1]base!D:E,2,0)</f>
        <v>#N/A</v>
      </c>
      <c r="Z491" s="29" t="e">
        <f t="shared" si="53"/>
        <v>#N/A</v>
      </c>
      <c r="AA491" s="29" t="e">
        <f t="shared" si="54"/>
        <v>#N/A</v>
      </c>
      <c r="AB491" s="29" t="e">
        <f>+VLOOKUP(E491,[1]base!M:N,2,0)</f>
        <v>#N/A</v>
      </c>
      <c r="AC491" s="29" t="e">
        <f>+VLOOKUP(E491,[1]base!M:Q,5,0)</f>
        <v>#N/A</v>
      </c>
      <c r="AD491" s="30" t="e">
        <f>+VLOOKUP(E491,[1]base!M:P,4,0)</f>
        <v>#N/A</v>
      </c>
      <c r="AE491" s="31" t="e">
        <f t="shared" si="55"/>
        <v>#N/A</v>
      </c>
    </row>
    <row r="492" spans="1:31" x14ac:dyDescent="0.25">
      <c r="A492" s="12" t="s">
        <v>622</v>
      </c>
      <c r="B492" s="13">
        <v>46247.387997685182</v>
      </c>
      <c r="C492" s="12" t="s">
        <v>331</v>
      </c>
      <c r="D492" s="12" t="s">
        <v>623</v>
      </c>
      <c r="E492" s="26" t="str">
        <f t="shared" si="49"/>
        <v>GL-MB</v>
      </c>
      <c r="F492" s="27" t="str">
        <f t="shared" si="50"/>
        <v>BLC</v>
      </c>
      <c r="G492" s="27">
        <f>+VLOOKUP(F492,[1]base!A:B,2,0)</f>
        <v>1</v>
      </c>
      <c r="H492" s="12">
        <v>30</v>
      </c>
      <c r="I492" s="12">
        <v>30</v>
      </c>
      <c r="J492" s="14"/>
      <c r="K492" s="14" t="s">
        <v>61</v>
      </c>
      <c r="L492" s="12" t="s">
        <v>624</v>
      </c>
      <c r="M492" s="12" t="s">
        <v>150</v>
      </c>
      <c r="N492" s="12">
        <v>30</v>
      </c>
      <c r="O492" s="12">
        <v>30</v>
      </c>
      <c r="P492" s="12">
        <v>0</v>
      </c>
      <c r="Q492" s="16">
        <v>30</v>
      </c>
      <c r="R492" s="16">
        <v>0</v>
      </c>
      <c r="S492" s="16"/>
      <c r="T492" s="28">
        <v>50</v>
      </c>
      <c r="U492" s="28"/>
      <c r="V492" s="29">
        <f>+VLOOKUP(E492,[1]base!D:K,8,0)</f>
        <v>3.6919999999999997</v>
      </c>
      <c r="W492" s="29">
        <f t="shared" si="51"/>
        <v>184.6</v>
      </c>
      <c r="X492" s="29">
        <f t="shared" si="52"/>
        <v>9.5991999999999997</v>
      </c>
      <c r="Y492" s="29">
        <f>+VLOOKUP(E492,[1]base!D:E,2,0)</f>
        <v>12</v>
      </c>
      <c r="Z492" s="29">
        <f t="shared" si="53"/>
        <v>5</v>
      </c>
      <c r="AA492" s="29">
        <f t="shared" si="54"/>
        <v>0.33333333333333348</v>
      </c>
      <c r="AB492" s="29">
        <f>+VLOOKUP(E492,[1]base!M:N,2,0)</f>
        <v>20</v>
      </c>
      <c r="AC492" s="29">
        <f>+VLOOKUP(E492,[1]base!M:Q,5,0)</f>
        <v>33.6</v>
      </c>
      <c r="AD492" s="30">
        <f>+VLOOKUP(E492,[1]base!M:P,4,0)</f>
        <v>4.7619047619047616E-2</v>
      </c>
      <c r="AE492" s="31">
        <f t="shared" si="55"/>
        <v>5.0476190476190474</v>
      </c>
    </row>
    <row r="493" spans="1:31" x14ac:dyDescent="0.25">
      <c r="A493" s="12" t="s">
        <v>85</v>
      </c>
      <c r="B493" s="13">
        <v>46113.311643518522</v>
      </c>
      <c r="C493" s="12" t="s">
        <v>24</v>
      </c>
      <c r="D493" s="12" t="s">
        <v>130</v>
      </c>
      <c r="E493" s="26" t="str">
        <f t="shared" si="49"/>
        <v>LM-757</v>
      </c>
      <c r="F493" s="27" t="str">
        <f t="shared" si="50"/>
        <v>BLC</v>
      </c>
      <c r="G493" s="27">
        <f>+VLOOKUP(F493,[1]base!A:B,2,0)</f>
        <v>1</v>
      </c>
      <c r="H493" s="12">
        <v>69</v>
      </c>
      <c r="I493" s="12">
        <v>69</v>
      </c>
      <c r="J493" s="14"/>
      <c r="K493" s="14" t="s">
        <v>61</v>
      </c>
      <c r="L493" s="12" t="s">
        <v>27</v>
      </c>
      <c r="M493" s="12" t="s">
        <v>28</v>
      </c>
      <c r="N493" s="12"/>
      <c r="O493" s="12"/>
      <c r="P493" s="12"/>
      <c r="Q493" s="16">
        <v>69</v>
      </c>
      <c r="R493" s="16">
        <v>6</v>
      </c>
      <c r="S493" s="16"/>
      <c r="T493" s="28">
        <v>3400</v>
      </c>
      <c r="U493" s="28"/>
      <c r="V493" s="29">
        <f>+VLOOKUP(E493,[1]base!D:K,8,0)</f>
        <v>2.7559999999999998</v>
      </c>
      <c r="W493" s="29">
        <f t="shared" si="51"/>
        <v>9370.4</v>
      </c>
      <c r="X493" s="29">
        <f t="shared" si="52"/>
        <v>487.26079999999996</v>
      </c>
      <c r="Y493" s="29">
        <f>+VLOOKUP(E493,[1]base!D:E,2,0)</f>
        <v>17</v>
      </c>
      <c r="Z493" s="29">
        <f t="shared" si="53"/>
        <v>200</v>
      </c>
      <c r="AA493" s="29">
        <f t="shared" si="54"/>
        <v>13.333333333333339</v>
      </c>
      <c r="AB493" s="29">
        <f>+VLOOKUP(E493,[1]base!M:N,2,0)</f>
        <v>16498</v>
      </c>
      <c r="AC493" s="29">
        <f>+VLOOKUP(E493,[1]base!M:Q,5,0)</f>
        <v>13391.545454545454</v>
      </c>
      <c r="AD493" s="30">
        <f>+VLOOKUP(E493,[1]base!M:P,4,0)</f>
        <v>4.4978292329956586E-2</v>
      </c>
      <c r="AE493" s="31">
        <f t="shared" si="55"/>
        <v>4207.3481331403764</v>
      </c>
    </row>
    <row r="494" spans="1:31" x14ac:dyDescent="0.25">
      <c r="A494" s="12" t="s">
        <v>1570</v>
      </c>
      <c r="B494" s="13">
        <v>46274.654050925928</v>
      </c>
      <c r="C494" s="12" t="s">
        <v>24</v>
      </c>
      <c r="D494" s="12" t="s">
        <v>1607</v>
      </c>
      <c r="E494" s="26" t="str">
        <f t="shared" si="49"/>
        <v>LM-757</v>
      </c>
      <c r="F494" s="27" t="str">
        <f t="shared" si="50"/>
        <v>CHPG</v>
      </c>
      <c r="G494" s="27">
        <f>+VLOOKUP(F494,[1]base!A:B,2,0)</f>
        <v>11</v>
      </c>
      <c r="H494" s="12">
        <v>55</v>
      </c>
      <c r="I494" s="12">
        <v>55</v>
      </c>
      <c r="J494" s="14"/>
      <c r="K494" s="14" t="s">
        <v>61</v>
      </c>
      <c r="L494" s="12" t="s">
        <v>1621</v>
      </c>
      <c r="M494" s="12" t="s">
        <v>150</v>
      </c>
      <c r="N494" s="12">
        <v>55</v>
      </c>
      <c r="O494" s="12">
        <v>55</v>
      </c>
      <c r="P494" s="12">
        <v>0</v>
      </c>
      <c r="Q494" s="16">
        <v>55</v>
      </c>
      <c r="R494" s="16">
        <v>0</v>
      </c>
      <c r="S494" s="16"/>
      <c r="T494" s="28">
        <v>55</v>
      </c>
      <c r="U494" s="28"/>
      <c r="V494" s="29">
        <f>+VLOOKUP(E494,[1]base!D:K,8,0)</f>
        <v>2.7559999999999998</v>
      </c>
      <c r="W494" s="29">
        <f t="shared" si="51"/>
        <v>151.57999999999998</v>
      </c>
      <c r="X494" s="29">
        <f t="shared" si="52"/>
        <v>7.8821599999999989</v>
      </c>
      <c r="Y494" s="29">
        <f>+VLOOKUP(E494,[1]base!D:E,2,0)</f>
        <v>17</v>
      </c>
      <c r="Z494" s="29">
        <f t="shared" si="53"/>
        <v>4</v>
      </c>
      <c r="AA494" s="29">
        <f t="shared" si="54"/>
        <v>0.26666666666666677</v>
      </c>
      <c r="AB494" s="29">
        <f>+VLOOKUP(E494,[1]base!M:N,2,0)</f>
        <v>16498</v>
      </c>
      <c r="AC494" s="29">
        <f>+VLOOKUP(E494,[1]base!M:Q,5,0)</f>
        <v>13391.545454545454</v>
      </c>
      <c r="AD494" s="30">
        <f>+VLOOKUP(E494,[1]base!M:P,4,0)</f>
        <v>4.4978292329956586E-2</v>
      </c>
      <c r="AE494" s="31">
        <f t="shared" si="55"/>
        <v>4207.3481331403764</v>
      </c>
    </row>
    <row r="495" spans="1:31" x14ac:dyDescent="0.25">
      <c r="A495" s="12" t="s">
        <v>1339</v>
      </c>
      <c r="B495" s="13">
        <v>46269.394733796296</v>
      </c>
      <c r="C495" s="12" t="s">
        <v>266</v>
      </c>
      <c r="D495" s="12" t="s">
        <v>1354</v>
      </c>
      <c r="E495" s="26" t="str">
        <f t="shared" si="49"/>
        <v>LM-757</v>
      </c>
      <c r="F495" s="27" t="str">
        <f t="shared" si="50"/>
        <v>ACAJOU</v>
      </c>
      <c r="G495" s="27">
        <f>+VLOOKUP(F495,[1]base!A:B,2,0)</f>
        <v>15.1</v>
      </c>
      <c r="H495" s="12">
        <v>100</v>
      </c>
      <c r="I495" s="12">
        <v>100</v>
      </c>
      <c r="J495" s="14"/>
      <c r="K495" s="14" t="s">
        <v>61</v>
      </c>
      <c r="L495" s="12" t="s">
        <v>1367</v>
      </c>
      <c r="M495" s="12" t="s">
        <v>150</v>
      </c>
      <c r="N495" s="12">
        <v>100</v>
      </c>
      <c r="O495" s="12">
        <v>100</v>
      </c>
      <c r="P495" s="12">
        <v>0</v>
      </c>
      <c r="Q495" s="16">
        <v>100</v>
      </c>
      <c r="R495" s="16">
        <v>0</v>
      </c>
      <c r="S495" s="16"/>
      <c r="T495" s="28">
        <v>100</v>
      </c>
      <c r="U495" s="28"/>
      <c r="V495" s="29">
        <f>+VLOOKUP(E495,[1]base!D:K,8,0)</f>
        <v>2.7559999999999998</v>
      </c>
      <c r="W495" s="29">
        <f t="shared" si="51"/>
        <v>275.59999999999997</v>
      </c>
      <c r="X495" s="29">
        <f t="shared" si="52"/>
        <v>14.331199999999997</v>
      </c>
      <c r="Y495" s="29">
        <f>+VLOOKUP(E495,[1]base!D:E,2,0)</f>
        <v>17</v>
      </c>
      <c r="Z495" s="29">
        <f t="shared" si="53"/>
        <v>6</v>
      </c>
      <c r="AA495" s="29">
        <f t="shared" si="54"/>
        <v>0.40000000000000013</v>
      </c>
      <c r="AB495" s="29">
        <f>+VLOOKUP(E495,[1]base!M:N,2,0)</f>
        <v>16498</v>
      </c>
      <c r="AC495" s="29">
        <f>+VLOOKUP(E495,[1]base!M:Q,5,0)</f>
        <v>13391.545454545454</v>
      </c>
      <c r="AD495" s="30">
        <f>+VLOOKUP(E495,[1]base!M:P,4,0)</f>
        <v>4.4978292329956586E-2</v>
      </c>
      <c r="AE495" s="31">
        <f t="shared" si="55"/>
        <v>4207.3481331403764</v>
      </c>
    </row>
    <row r="496" spans="1:31" x14ac:dyDescent="0.25">
      <c r="A496" s="12" t="s">
        <v>1491</v>
      </c>
      <c r="B496" s="13">
        <v>46273.608587962961</v>
      </c>
      <c r="C496" s="12" t="s">
        <v>502</v>
      </c>
      <c r="D496" s="12" t="s">
        <v>1493</v>
      </c>
      <c r="E496" s="26" t="str">
        <f t="shared" si="49"/>
        <v>LM-757</v>
      </c>
      <c r="F496" s="27" t="str">
        <f t="shared" si="50"/>
        <v>GREY</v>
      </c>
      <c r="G496" s="27">
        <f>+VLOOKUP(F496,[1]base!A:B,2,0)</f>
        <v>24</v>
      </c>
      <c r="H496" s="12">
        <v>47</v>
      </c>
      <c r="I496" s="12">
        <v>47</v>
      </c>
      <c r="J496" s="14"/>
      <c r="K496" s="14" t="s">
        <v>61</v>
      </c>
      <c r="L496" s="12" t="s">
        <v>1500</v>
      </c>
      <c r="M496" s="12" t="s">
        <v>150</v>
      </c>
      <c r="N496" s="12">
        <v>47</v>
      </c>
      <c r="O496" s="12">
        <v>47</v>
      </c>
      <c r="P496" s="12">
        <v>0</v>
      </c>
      <c r="Q496" s="16">
        <v>47</v>
      </c>
      <c r="R496" s="16">
        <v>0</v>
      </c>
      <c r="S496" s="16"/>
      <c r="T496" s="28">
        <v>47</v>
      </c>
      <c r="U496" s="28"/>
      <c r="V496" s="29">
        <f>+VLOOKUP(E496,[1]base!D:K,8,0)</f>
        <v>2.7559999999999998</v>
      </c>
      <c r="W496" s="29">
        <f t="shared" si="51"/>
        <v>129.53199999999998</v>
      </c>
      <c r="X496" s="29">
        <f t="shared" si="52"/>
        <v>6.735663999999999</v>
      </c>
      <c r="Y496" s="29">
        <f>+VLOOKUP(E496,[1]base!D:E,2,0)</f>
        <v>17</v>
      </c>
      <c r="Z496" s="29">
        <f t="shared" si="53"/>
        <v>3</v>
      </c>
      <c r="AA496" s="29">
        <f t="shared" si="54"/>
        <v>0.20000000000000007</v>
      </c>
      <c r="AB496" s="29">
        <f>+VLOOKUP(E496,[1]base!M:N,2,0)</f>
        <v>16498</v>
      </c>
      <c r="AC496" s="29">
        <f>+VLOOKUP(E496,[1]base!M:Q,5,0)</f>
        <v>13391.545454545454</v>
      </c>
      <c r="AD496" s="30">
        <f>+VLOOKUP(E496,[1]base!M:P,4,0)</f>
        <v>4.4978292329956586E-2</v>
      </c>
      <c r="AE496" s="31">
        <f t="shared" si="55"/>
        <v>4207.3481331403764</v>
      </c>
    </row>
    <row r="497" spans="1:31" x14ac:dyDescent="0.25">
      <c r="A497" s="12" t="s">
        <v>1115</v>
      </c>
      <c r="B497" s="13">
        <v>46267.292060185187</v>
      </c>
      <c r="C497" s="12" t="s">
        <v>198</v>
      </c>
      <c r="D497" s="12" t="s">
        <v>1116</v>
      </c>
      <c r="E497" s="26" t="str">
        <f t="shared" si="49"/>
        <v>LM-757</v>
      </c>
      <c r="F497" s="27" t="str">
        <f t="shared" si="50"/>
        <v>GRISG</v>
      </c>
      <c r="G497" s="27">
        <f>+VLOOKUP(F497,[1]base!A:B,2,0)</f>
        <v>25</v>
      </c>
      <c r="H497" s="12">
        <v>10</v>
      </c>
      <c r="I497" s="12">
        <v>10</v>
      </c>
      <c r="J497" s="14"/>
      <c r="K497" s="14" t="s">
        <v>61</v>
      </c>
      <c r="L497" s="12" t="s">
        <v>1118</v>
      </c>
      <c r="M497" s="12" t="s">
        <v>150</v>
      </c>
      <c r="N497" s="12">
        <v>10</v>
      </c>
      <c r="O497" s="12">
        <v>10</v>
      </c>
      <c r="P497" s="12">
        <v>0</v>
      </c>
      <c r="Q497" s="16">
        <v>10</v>
      </c>
      <c r="R497" s="16">
        <v>0</v>
      </c>
      <c r="S497" s="16"/>
      <c r="T497" s="28">
        <v>10</v>
      </c>
      <c r="U497" s="28"/>
      <c r="V497" s="29">
        <f>+VLOOKUP(E497,[1]base!D:K,8,0)</f>
        <v>2.7559999999999998</v>
      </c>
      <c r="W497" s="29">
        <f t="shared" si="51"/>
        <v>27.56</v>
      </c>
      <c r="X497" s="29">
        <f t="shared" si="52"/>
        <v>1.4331199999999999</v>
      </c>
      <c r="Y497" s="29">
        <f>+VLOOKUP(E497,[1]base!D:E,2,0)</f>
        <v>17</v>
      </c>
      <c r="Z497" s="29">
        <f t="shared" si="53"/>
        <v>1</v>
      </c>
      <c r="AA497" s="29">
        <f t="shared" si="54"/>
        <v>6.6666666666666693E-2</v>
      </c>
      <c r="AB497" s="29">
        <f>+VLOOKUP(E497,[1]base!M:N,2,0)</f>
        <v>16498</v>
      </c>
      <c r="AC497" s="29">
        <f>+VLOOKUP(E497,[1]base!M:Q,5,0)</f>
        <v>13391.545454545454</v>
      </c>
      <c r="AD497" s="30">
        <f>+VLOOKUP(E497,[1]base!M:P,4,0)</f>
        <v>4.4978292329956586E-2</v>
      </c>
      <c r="AE497" s="31">
        <f t="shared" si="55"/>
        <v>4207.3481331403764</v>
      </c>
    </row>
    <row r="498" spans="1:31" x14ac:dyDescent="0.25">
      <c r="A498" s="12" t="s">
        <v>1600</v>
      </c>
      <c r="B498" s="13">
        <v>46275.377118055556</v>
      </c>
      <c r="C498" s="12" t="s">
        <v>24</v>
      </c>
      <c r="D498" s="12" t="s">
        <v>1116</v>
      </c>
      <c r="E498" s="26" t="str">
        <f t="shared" si="49"/>
        <v>LM-757</v>
      </c>
      <c r="F498" s="27" t="str">
        <f t="shared" si="50"/>
        <v>GRISG</v>
      </c>
      <c r="G498" s="27">
        <f>+VLOOKUP(F498,[1]base!A:B,2,0)</f>
        <v>25</v>
      </c>
      <c r="H498" s="12">
        <v>67</v>
      </c>
      <c r="I498" s="12">
        <v>67</v>
      </c>
      <c r="J498" s="14"/>
      <c r="K498" s="14" t="s">
        <v>61</v>
      </c>
      <c r="L498" s="12" t="s">
        <v>1623</v>
      </c>
      <c r="M498" s="12" t="s">
        <v>150</v>
      </c>
      <c r="N498" s="12">
        <v>67</v>
      </c>
      <c r="O498" s="12">
        <v>67</v>
      </c>
      <c r="P498" s="12">
        <v>0</v>
      </c>
      <c r="Q498" s="16">
        <v>67</v>
      </c>
      <c r="R498" s="16">
        <v>0</v>
      </c>
      <c r="S498" s="16"/>
      <c r="T498" s="28">
        <v>67</v>
      </c>
      <c r="U498" s="28"/>
      <c r="V498" s="29">
        <f>+VLOOKUP(E498,[1]base!D:K,8,0)</f>
        <v>2.7559999999999998</v>
      </c>
      <c r="W498" s="29">
        <f t="shared" si="51"/>
        <v>184.65199999999999</v>
      </c>
      <c r="X498" s="29">
        <f t="shared" si="52"/>
        <v>9.6019039999999993</v>
      </c>
      <c r="Y498" s="29">
        <f>+VLOOKUP(E498,[1]base!D:E,2,0)</f>
        <v>17</v>
      </c>
      <c r="Z498" s="29">
        <f t="shared" si="53"/>
        <v>4</v>
      </c>
      <c r="AA498" s="29">
        <f t="shared" si="54"/>
        <v>0.26666666666666677</v>
      </c>
      <c r="AB498" s="29">
        <f>+VLOOKUP(E498,[1]base!M:N,2,0)</f>
        <v>16498</v>
      </c>
      <c r="AC498" s="29">
        <f>+VLOOKUP(E498,[1]base!M:Q,5,0)</f>
        <v>13391.545454545454</v>
      </c>
      <c r="AD498" s="30">
        <f>+VLOOKUP(E498,[1]base!M:P,4,0)</f>
        <v>4.4978292329956586E-2</v>
      </c>
      <c r="AE498" s="31">
        <f t="shared" si="55"/>
        <v>4207.3481331403764</v>
      </c>
    </row>
    <row r="499" spans="1:31" x14ac:dyDescent="0.25">
      <c r="A499" s="12" t="s">
        <v>1016</v>
      </c>
      <c r="B499" s="13">
        <v>46266.406585648147</v>
      </c>
      <c r="C499" s="12" t="s">
        <v>599</v>
      </c>
      <c r="D499" s="12" t="s">
        <v>1022</v>
      </c>
      <c r="E499" s="26" t="str">
        <f t="shared" si="49"/>
        <v>LM-757</v>
      </c>
      <c r="F499" s="27" t="str">
        <f t="shared" si="50"/>
        <v>NOIR</v>
      </c>
      <c r="G499" s="27">
        <f>+VLOOKUP(F499,[1]base!A:B,2,0)</f>
        <v>37</v>
      </c>
      <c r="H499" s="12">
        <v>100</v>
      </c>
      <c r="I499" s="12">
        <v>100</v>
      </c>
      <c r="J499" s="14"/>
      <c r="K499" s="14" t="s">
        <v>61</v>
      </c>
      <c r="L499" s="12" t="s">
        <v>1054</v>
      </c>
      <c r="M499" s="12" t="s">
        <v>150</v>
      </c>
      <c r="N499" s="12">
        <v>100</v>
      </c>
      <c r="O499" s="12">
        <v>100</v>
      </c>
      <c r="P499" s="12">
        <v>0</v>
      </c>
      <c r="Q499" s="16">
        <v>100</v>
      </c>
      <c r="R499" s="16">
        <v>3</v>
      </c>
      <c r="S499" s="16"/>
      <c r="T499" s="28">
        <v>97</v>
      </c>
      <c r="U499" s="28">
        <v>3</v>
      </c>
      <c r="V499" s="29">
        <f>+VLOOKUP(E499,[1]base!D:K,8,0)</f>
        <v>2.7559999999999998</v>
      </c>
      <c r="W499" s="29">
        <f t="shared" si="51"/>
        <v>275.59999999999997</v>
      </c>
      <c r="X499" s="29">
        <f t="shared" si="52"/>
        <v>14.331199999999997</v>
      </c>
      <c r="Y499" s="29">
        <f>+VLOOKUP(E499,[1]base!D:E,2,0)</f>
        <v>17</v>
      </c>
      <c r="Z499" s="29">
        <f t="shared" si="53"/>
        <v>6</v>
      </c>
      <c r="AA499" s="29">
        <f t="shared" si="54"/>
        <v>0.40000000000000013</v>
      </c>
      <c r="AB499" s="29">
        <f>+VLOOKUP(E499,[1]base!M:N,2,0)</f>
        <v>16498</v>
      </c>
      <c r="AC499" s="29">
        <f>+VLOOKUP(E499,[1]base!M:Q,5,0)</f>
        <v>13391.545454545454</v>
      </c>
      <c r="AD499" s="30">
        <f>+VLOOKUP(E499,[1]base!M:P,4,0)</f>
        <v>4.4978292329956586E-2</v>
      </c>
      <c r="AE499" s="31">
        <f t="shared" si="55"/>
        <v>4207.3481331403764</v>
      </c>
    </row>
    <row r="500" spans="1:31" x14ac:dyDescent="0.25">
      <c r="A500" s="12" t="s">
        <v>1187</v>
      </c>
      <c r="B500" s="13">
        <v>46267.547002314815</v>
      </c>
      <c r="C500" s="12" t="s">
        <v>627</v>
      </c>
      <c r="D500" s="12" t="s">
        <v>1022</v>
      </c>
      <c r="E500" s="26" t="str">
        <f t="shared" si="49"/>
        <v>LM-757</v>
      </c>
      <c r="F500" s="27" t="str">
        <f t="shared" si="50"/>
        <v>NOIR</v>
      </c>
      <c r="G500" s="27">
        <f>+VLOOKUP(F500,[1]base!A:B,2,0)</f>
        <v>37</v>
      </c>
      <c r="H500" s="12">
        <v>60</v>
      </c>
      <c r="I500" s="12">
        <v>30</v>
      </c>
      <c r="J500" s="14"/>
      <c r="K500" s="14" t="s">
        <v>61</v>
      </c>
      <c r="L500" s="12" t="s">
        <v>1195</v>
      </c>
      <c r="M500" s="12" t="s">
        <v>150</v>
      </c>
      <c r="N500" s="12">
        <v>30</v>
      </c>
      <c r="O500" s="12">
        <v>30</v>
      </c>
      <c r="P500" s="12">
        <v>0</v>
      </c>
      <c r="Q500" s="16">
        <v>30</v>
      </c>
      <c r="R500" s="16">
        <v>3</v>
      </c>
      <c r="S500" s="16"/>
      <c r="T500" s="28">
        <v>30</v>
      </c>
      <c r="U500" s="28"/>
      <c r="V500" s="29">
        <f>+VLOOKUP(E500,[1]base!D:K,8,0)</f>
        <v>2.7559999999999998</v>
      </c>
      <c r="W500" s="29">
        <f t="shared" si="51"/>
        <v>82.679999999999993</v>
      </c>
      <c r="X500" s="29">
        <f t="shared" si="52"/>
        <v>4.2993599999999992</v>
      </c>
      <c r="Y500" s="29">
        <f>+VLOOKUP(E500,[1]base!D:E,2,0)</f>
        <v>17</v>
      </c>
      <c r="Z500" s="29">
        <f t="shared" si="53"/>
        <v>2</v>
      </c>
      <c r="AA500" s="29">
        <f t="shared" si="54"/>
        <v>0.13333333333333339</v>
      </c>
      <c r="AB500" s="29">
        <f>+VLOOKUP(E500,[1]base!M:N,2,0)</f>
        <v>16498</v>
      </c>
      <c r="AC500" s="29">
        <f>+VLOOKUP(E500,[1]base!M:Q,5,0)</f>
        <v>13391.545454545454</v>
      </c>
      <c r="AD500" s="30">
        <f>+VLOOKUP(E500,[1]base!M:P,4,0)</f>
        <v>4.4978292329956586E-2</v>
      </c>
      <c r="AE500" s="31">
        <f t="shared" si="55"/>
        <v>4207.3481331403764</v>
      </c>
    </row>
    <row r="501" spans="1:31" x14ac:dyDescent="0.25">
      <c r="A501" s="12" t="s">
        <v>1291</v>
      </c>
      <c r="B501" s="13">
        <v>46269.280277777776</v>
      </c>
      <c r="C501" s="12" t="s">
        <v>266</v>
      </c>
      <c r="D501" s="12" t="s">
        <v>1022</v>
      </c>
      <c r="E501" s="26" t="str">
        <f t="shared" si="49"/>
        <v>LM-757</v>
      </c>
      <c r="F501" s="27" t="str">
        <f t="shared" si="50"/>
        <v>NOIR</v>
      </c>
      <c r="G501" s="27">
        <f>+VLOOKUP(F501,[1]base!A:B,2,0)</f>
        <v>37</v>
      </c>
      <c r="H501" s="12">
        <v>100</v>
      </c>
      <c r="I501" s="12">
        <v>100</v>
      </c>
      <c r="J501" s="14"/>
      <c r="K501" s="14" t="s">
        <v>61</v>
      </c>
      <c r="L501" s="12" t="s">
        <v>1306</v>
      </c>
      <c r="M501" s="12" t="s">
        <v>150</v>
      </c>
      <c r="N501" s="12">
        <v>100</v>
      </c>
      <c r="O501" s="12">
        <v>100</v>
      </c>
      <c r="P501" s="12">
        <v>0</v>
      </c>
      <c r="Q501" s="16">
        <v>100</v>
      </c>
      <c r="R501" s="16">
        <v>3</v>
      </c>
      <c r="S501" s="16"/>
      <c r="T501" s="28">
        <v>100</v>
      </c>
      <c r="U501" s="28"/>
      <c r="V501" s="29">
        <f>+VLOOKUP(E501,[1]base!D:K,8,0)</f>
        <v>2.7559999999999998</v>
      </c>
      <c r="W501" s="29">
        <f t="shared" si="51"/>
        <v>275.59999999999997</v>
      </c>
      <c r="X501" s="29">
        <f t="shared" si="52"/>
        <v>14.331199999999997</v>
      </c>
      <c r="Y501" s="29">
        <f>+VLOOKUP(E501,[1]base!D:E,2,0)</f>
        <v>17</v>
      </c>
      <c r="Z501" s="29">
        <f t="shared" si="53"/>
        <v>6</v>
      </c>
      <c r="AA501" s="29">
        <f t="shared" si="54"/>
        <v>0.40000000000000013</v>
      </c>
      <c r="AB501" s="29">
        <f>+VLOOKUP(E501,[1]base!M:N,2,0)</f>
        <v>16498</v>
      </c>
      <c r="AC501" s="29">
        <f>+VLOOKUP(E501,[1]base!M:Q,5,0)</f>
        <v>13391.545454545454</v>
      </c>
      <c r="AD501" s="30">
        <f>+VLOOKUP(E501,[1]base!M:P,4,0)</f>
        <v>4.4978292329956586E-2</v>
      </c>
      <c r="AE501" s="31">
        <f t="shared" si="55"/>
        <v>4207.3481331403764</v>
      </c>
    </row>
    <row r="502" spans="1:31" x14ac:dyDescent="0.25">
      <c r="A502" s="12" t="s">
        <v>709</v>
      </c>
      <c r="B502" s="13">
        <v>46255.317893518521</v>
      </c>
      <c r="C502" s="12" t="s">
        <v>69</v>
      </c>
      <c r="D502" s="12" t="s">
        <v>712</v>
      </c>
      <c r="E502" s="26" t="str">
        <f t="shared" si="49"/>
        <v>LMDP-100</v>
      </c>
      <c r="F502" s="27" t="str">
        <f t="shared" si="50"/>
        <v>BLC</v>
      </c>
      <c r="G502" s="27">
        <f>+VLOOKUP(F502,[1]base!A:B,2,0)</f>
        <v>1</v>
      </c>
      <c r="H502" s="12">
        <v>27</v>
      </c>
      <c r="I502" s="12">
        <v>27</v>
      </c>
      <c r="J502" s="14"/>
      <c r="K502" s="14" t="s">
        <v>61</v>
      </c>
      <c r="L502" s="12" t="s">
        <v>715</v>
      </c>
      <c r="M502" s="12" t="s">
        <v>150</v>
      </c>
      <c r="N502" s="12">
        <v>27</v>
      </c>
      <c r="O502" s="12">
        <v>27</v>
      </c>
      <c r="P502" s="12">
        <v>0</v>
      </c>
      <c r="Q502" s="16">
        <v>27</v>
      </c>
      <c r="R502" s="16">
        <v>0</v>
      </c>
      <c r="S502" s="16"/>
      <c r="T502" s="28">
        <v>87</v>
      </c>
      <c r="U502" s="28"/>
      <c r="V502" s="29">
        <f>+VLOOKUP(E502,[1]base!D:K,8,0)</f>
        <v>7.02</v>
      </c>
      <c r="W502" s="29">
        <f t="shared" si="51"/>
        <v>610.74</v>
      </c>
      <c r="X502" s="29">
        <f t="shared" si="52"/>
        <v>31.758479999999999</v>
      </c>
      <c r="Y502" s="29">
        <f>+VLOOKUP(E502,[1]base!D:E,2,0)</f>
        <v>14</v>
      </c>
      <c r="Z502" s="29">
        <f t="shared" si="53"/>
        <v>7</v>
      </c>
      <c r="AA502" s="29">
        <f t="shared" si="54"/>
        <v>0.46666666666666684</v>
      </c>
      <c r="AB502" s="29">
        <f>+VLOOKUP(E502,[1]base!M:N,2,0)</f>
        <v>87</v>
      </c>
      <c r="AC502" s="29">
        <f>+VLOOKUP(E502,[1]base!M:Q,5,0)</f>
        <v>0</v>
      </c>
      <c r="AD502" s="30">
        <f>+VLOOKUP(E502,[1]base!M:P,4,0)</f>
        <v>1.1363636363636364E-2</v>
      </c>
      <c r="AE502" s="31">
        <f t="shared" si="55"/>
        <v>25.111363636363635</v>
      </c>
    </row>
    <row r="503" spans="1:31" x14ac:dyDescent="0.25">
      <c r="A503" s="12" t="s">
        <v>709</v>
      </c>
      <c r="B503" s="13">
        <v>46255.317893518521</v>
      </c>
      <c r="C503" s="12" t="s">
        <v>69</v>
      </c>
      <c r="D503" s="12" t="s">
        <v>711</v>
      </c>
      <c r="E503" s="26" t="str">
        <f t="shared" si="49"/>
        <v>LMDPF-100</v>
      </c>
      <c r="F503" s="27" t="str">
        <f t="shared" si="50"/>
        <v>BLC</v>
      </c>
      <c r="G503" s="27">
        <f>+VLOOKUP(F503,[1]base!A:B,2,0)</f>
        <v>1</v>
      </c>
      <c r="H503" s="12">
        <v>1</v>
      </c>
      <c r="I503" s="12">
        <v>1</v>
      </c>
      <c r="J503" s="14"/>
      <c r="K503" s="14" t="s">
        <v>61</v>
      </c>
      <c r="L503" s="12" t="s">
        <v>714</v>
      </c>
      <c r="M503" s="12" t="s">
        <v>150</v>
      </c>
      <c r="N503" s="12">
        <v>1</v>
      </c>
      <c r="O503" s="12">
        <v>1</v>
      </c>
      <c r="P503" s="12">
        <v>0</v>
      </c>
      <c r="Q503" s="16">
        <v>1</v>
      </c>
      <c r="R503" s="16">
        <v>0</v>
      </c>
      <c r="S503" s="16"/>
      <c r="T503" s="28">
        <v>40</v>
      </c>
      <c r="U503" s="28"/>
      <c r="V503" s="29">
        <f>+VLOOKUP(E503,[1]base!D:K,8,0)</f>
        <v>1.8460000000000001</v>
      </c>
      <c r="W503" s="29">
        <f t="shared" si="51"/>
        <v>73.84</v>
      </c>
      <c r="X503" s="29">
        <f t="shared" si="52"/>
        <v>3.83968</v>
      </c>
      <c r="Y503" s="29">
        <f>+VLOOKUP(E503,[1]base!D:E,2,0)</f>
        <v>20</v>
      </c>
      <c r="Z503" s="29">
        <f t="shared" si="53"/>
        <v>2</v>
      </c>
      <c r="AA503" s="29">
        <f t="shared" si="54"/>
        <v>0.13333333333333339</v>
      </c>
      <c r="AB503" s="29">
        <f>+VLOOKUP(E503,[1]base!M:N,2,0)</f>
        <v>232</v>
      </c>
      <c r="AC503" s="29">
        <f>+VLOOKUP(E503,[1]base!M:Q,5,0)</f>
        <v>0</v>
      </c>
      <c r="AD503" s="30">
        <f>+VLOOKUP(E503,[1]base!M:P,4,0)</f>
        <v>0</v>
      </c>
      <c r="AE503" s="31">
        <f t="shared" si="55"/>
        <v>69.599999999999994</v>
      </c>
    </row>
    <row r="504" spans="1:31" x14ac:dyDescent="0.25">
      <c r="A504" s="12" t="s">
        <v>547</v>
      </c>
      <c r="B504" s="13">
        <v>46240.550856481481</v>
      </c>
      <c r="C504" s="12" t="s">
        <v>548</v>
      </c>
      <c r="D504" s="12" t="s">
        <v>573</v>
      </c>
      <c r="E504" s="26" t="str">
        <f t="shared" si="49"/>
        <v>LM-F/6</v>
      </c>
      <c r="F504" s="27" t="str">
        <f t="shared" si="50"/>
        <v>BLC</v>
      </c>
      <c r="G504" s="27">
        <f>+VLOOKUP(F504,[1]base!A:B,2,0)</f>
        <v>1</v>
      </c>
      <c r="H504" s="12">
        <v>50</v>
      </c>
      <c r="I504" s="12">
        <v>50</v>
      </c>
      <c r="J504" s="14"/>
      <c r="K504" s="14" t="s">
        <v>61</v>
      </c>
      <c r="L504" s="12" t="s">
        <v>574</v>
      </c>
      <c r="M504" s="12" t="s">
        <v>150</v>
      </c>
      <c r="N504" s="12">
        <v>50</v>
      </c>
      <c r="O504" s="12">
        <v>50</v>
      </c>
      <c r="P504" s="12">
        <v>0</v>
      </c>
      <c r="Q504" s="16">
        <v>130</v>
      </c>
      <c r="R504" s="16">
        <v>4</v>
      </c>
      <c r="S504" s="16"/>
      <c r="T504" s="28">
        <v>340</v>
      </c>
      <c r="U504" s="28"/>
      <c r="V504" s="29">
        <f>+VLOOKUP(E504,[1]base!D:K,8,0)</f>
        <v>2.8405</v>
      </c>
      <c r="W504" s="29">
        <f t="shared" si="51"/>
        <v>965.77</v>
      </c>
      <c r="X504" s="29">
        <f t="shared" si="52"/>
        <v>50.220039999999997</v>
      </c>
      <c r="Y504" s="29">
        <f>+VLOOKUP(E504,[1]base!D:E,2,0)</f>
        <v>17</v>
      </c>
      <c r="Z504" s="29">
        <f t="shared" si="53"/>
        <v>20</v>
      </c>
      <c r="AA504" s="29">
        <f t="shared" si="54"/>
        <v>1.3333333333333339</v>
      </c>
      <c r="AB504" s="29">
        <f>+VLOOKUP(E504,[1]base!M:N,2,0)</f>
        <v>2860</v>
      </c>
      <c r="AC504" s="29">
        <f>+VLOOKUP(E504,[1]base!M:Q,5,0)</f>
        <v>1927.6</v>
      </c>
      <c r="AD504" s="30">
        <f>+VLOOKUP(E504,[1]base!M:P,4,0)</f>
        <v>-5.2857142857142856</v>
      </c>
      <c r="AE504" s="31">
        <f t="shared" si="55"/>
        <v>15975.142857142857</v>
      </c>
    </row>
    <row r="505" spans="1:31" x14ac:dyDescent="0.25">
      <c r="A505" s="12" t="s">
        <v>1570</v>
      </c>
      <c r="B505" s="13">
        <v>46274.654050925928</v>
      </c>
      <c r="C505" s="12" t="s">
        <v>24</v>
      </c>
      <c r="D505" s="12" t="s">
        <v>1595</v>
      </c>
      <c r="E505" s="26" t="str">
        <f t="shared" si="49"/>
        <v>LM-F/6</v>
      </c>
      <c r="F505" s="27" t="str">
        <f t="shared" si="50"/>
        <v>CHPG</v>
      </c>
      <c r="G505" s="27">
        <f>+VLOOKUP(F505,[1]base!A:B,2,0)</f>
        <v>11</v>
      </c>
      <c r="H505" s="12">
        <v>2</v>
      </c>
      <c r="I505" s="12">
        <v>2</v>
      </c>
      <c r="J505" s="14"/>
      <c r="K505" s="14" t="s">
        <v>61</v>
      </c>
      <c r="L505" s="12" t="s">
        <v>1597</v>
      </c>
      <c r="M505" s="12" t="s">
        <v>150</v>
      </c>
      <c r="N505" s="12">
        <v>2</v>
      </c>
      <c r="O505" s="12">
        <v>2</v>
      </c>
      <c r="P505" s="12">
        <v>0</v>
      </c>
      <c r="Q505" s="16">
        <v>2</v>
      </c>
      <c r="R505" s="16">
        <v>0</v>
      </c>
      <c r="S505" s="16"/>
      <c r="T505" s="28">
        <v>2</v>
      </c>
      <c r="U505" s="28"/>
      <c r="V505" s="29">
        <f>+VLOOKUP(E505,[1]base!D:K,8,0)</f>
        <v>2.8405</v>
      </c>
      <c r="W505" s="29">
        <f t="shared" si="51"/>
        <v>5.681</v>
      </c>
      <c r="X505" s="29">
        <f t="shared" si="52"/>
        <v>0.29541200000000001</v>
      </c>
      <c r="Y505" s="29">
        <f>+VLOOKUP(E505,[1]base!D:E,2,0)</f>
        <v>17</v>
      </c>
      <c r="Z505" s="29">
        <f t="shared" si="53"/>
        <v>1</v>
      </c>
      <c r="AA505" s="29">
        <f t="shared" si="54"/>
        <v>6.6666666666666693E-2</v>
      </c>
      <c r="AB505" s="29">
        <f>+VLOOKUP(E505,[1]base!M:N,2,0)</f>
        <v>2860</v>
      </c>
      <c r="AC505" s="29">
        <f>+VLOOKUP(E505,[1]base!M:Q,5,0)</f>
        <v>1927.6</v>
      </c>
      <c r="AD505" s="30">
        <f>+VLOOKUP(E505,[1]base!M:P,4,0)</f>
        <v>-5.2857142857142856</v>
      </c>
      <c r="AE505" s="31">
        <f t="shared" si="55"/>
        <v>15975.142857142857</v>
      </c>
    </row>
    <row r="506" spans="1:31" x14ac:dyDescent="0.25">
      <c r="A506" s="12" t="s">
        <v>1415</v>
      </c>
      <c r="B506" s="13">
        <v>46273.296388888892</v>
      </c>
      <c r="C506" s="12" t="s">
        <v>24</v>
      </c>
      <c r="D506" s="12" t="s">
        <v>1399</v>
      </c>
      <c r="E506" s="26" t="str">
        <f t="shared" si="49"/>
        <v>LM-F/6</v>
      </c>
      <c r="F506" s="27" t="str">
        <f t="shared" si="50"/>
        <v>ACAJOU</v>
      </c>
      <c r="G506" s="27">
        <f>+VLOOKUP(F506,[1]base!A:B,2,0)</f>
        <v>15.1</v>
      </c>
      <c r="H506" s="12">
        <v>40</v>
      </c>
      <c r="I506" s="12">
        <v>40</v>
      </c>
      <c r="J506" s="14"/>
      <c r="K506" s="14" t="s">
        <v>61</v>
      </c>
      <c r="L506" s="12" t="s">
        <v>1432</v>
      </c>
      <c r="M506" s="12" t="s">
        <v>150</v>
      </c>
      <c r="N506" s="12">
        <v>40</v>
      </c>
      <c r="O506" s="12">
        <v>40</v>
      </c>
      <c r="P506" s="12">
        <v>0</v>
      </c>
      <c r="Q506" s="16">
        <v>40</v>
      </c>
      <c r="R506" s="16">
        <v>0</v>
      </c>
      <c r="S506" s="16"/>
      <c r="T506" s="28">
        <v>40</v>
      </c>
      <c r="U506" s="28"/>
      <c r="V506" s="29">
        <f>+VLOOKUP(E506,[1]base!D:K,8,0)</f>
        <v>2.8405</v>
      </c>
      <c r="W506" s="29">
        <f t="shared" si="51"/>
        <v>113.62</v>
      </c>
      <c r="X506" s="29">
        <f t="shared" si="52"/>
        <v>5.9082400000000002</v>
      </c>
      <c r="Y506" s="29">
        <f>+VLOOKUP(E506,[1]base!D:E,2,0)</f>
        <v>17</v>
      </c>
      <c r="Z506" s="29">
        <f t="shared" si="53"/>
        <v>3</v>
      </c>
      <c r="AA506" s="29">
        <f t="shared" si="54"/>
        <v>0.20000000000000007</v>
      </c>
      <c r="AB506" s="29">
        <f>+VLOOKUP(E506,[1]base!M:N,2,0)</f>
        <v>2860</v>
      </c>
      <c r="AC506" s="29">
        <f>+VLOOKUP(E506,[1]base!M:Q,5,0)</f>
        <v>1927.6</v>
      </c>
      <c r="AD506" s="30">
        <f>+VLOOKUP(E506,[1]base!M:P,4,0)</f>
        <v>-5.2857142857142856</v>
      </c>
      <c r="AE506" s="31">
        <f t="shared" si="55"/>
        <v>15975.142857142857</v>
      </c>
    </row>
    <row r="507" spans="1:31" x14ac:dyDescent="0.25">
      <c r="A507" s="12" t="s">
        <v>547</v>
      </c>
      <c r="B507" s="13">
        <v>46240.550856481481</v>
      </c>
      <c r="C507" s="12" t="s">
        <v>548</v>
      </c>
      <c r="D507" s="12" t="s">
        <v>457</v>
      </c>
      <c r="E507" s="26" t="str">
        <f t="shared" si="49"/>
        <v>LM-F/6</v>
      </c>
      <c r="F507" s="27" t="str">
        <f t="shared" si="50"/>
        <v>GRIS</v>
      </c>
      <c r="G507" s="27">
        <f>+VLOOKUP(F507,[1]base!A:B,2,0)</f>
        <v>22</v>
      </c>
      <c r="H507" s="12">
        <v>50</v>
      </c>
      <c r="I507" s="12">
        <v>50</v>
      </c>
      <c r="J507" s="14"/>
      <c r="K507" s="14" t="s">
        <v>61</v>
      </c>
      <c r="L507" s="12" t="s">
        <v>575</v>
      </c>
      <c r="M507" s="12" t="s">
        <v>150</v>
      </c>
      <c r="N507" s="12">
        <v>50</v>
      </c>
      <c r="O507" s="12">
        <v>50</v>
      </c>
      <c r="P507" s="12">
        <v>0</v>
      </c>
      <c r="Q507" s="16">
        <v>130</v>
      </c>
      <c r="R507" s="16">
        <v>0</v>
      </c>
      <c r="S507" s="16"/>
      <c r="T507" s="28">
        <v>50</v>
      </c>
      <c r="U507" s="28"/>
      <c r="V507" s="29">
        <f>+VLOOKUP(E507,[1]base!D:K,8,0)</f>
        <v>2.8405</v>
      </c>
      <c r="W507" s="29">
        <f t="shared" si="51"/>
        <v>142.02500000000001</v>
      </c>
      <c r="X507" s="29">
        <f t="shared" si="52"/>
        <v>7.3853</v>
      </c>
      <c r="Y507" s="29">
        <f>+VLOOKUP(E507,[1]base!D:E,2,0)</f>
        <v>17</v>
      </c>
      <c r="Z507" s="29">
        <f t="shared" si="53"/>
        <v>3</v>
      </c>
      <c r="AA507" s="29">
        <f t="shared" si="54"/>
        <v>0.20000000000000007</v>
      </c>
      <c r="AB507" s="29">
        <f>+VLOOKUP(E507,[1]base!M:N,2,0)</f>
        <v>2860</v>
      </c>
      <c r="AC507" s="29">
        <f>+VLOOKUP(E507,[1]base!M:Q,5,0)</f>
        <v>1927.6</v>
      </c>
      <c r="AD507" s="30">
        <f>+VLOOKUP(E507,[1]base!M:P,4,0)</f>
        <v>-5.2857142857142856</v>
      </c>
      <c r="AE507" s="31">
        <f t="shared" si="55"/>
        <v>15975.142857142857</v>
      </c>
    </row>
    <row r="508" spans="1:31" x14ac:dyDescent="0.25">
      <c r="A508" s="12" t="s">
        <v>983</v>
      </c>
      <c r="B508" s="13">
        <v>46265.499872685185</v>
      </c>
      <c r="C508" s="12" t="s">
        <v>986</v>
      </c>
      <c r="D508" s="12" t="s">
        <v>457</v>
      </c>
      <c r="E508" s="26" t="str">
        <f t="shared" si="49"/>
        <v>LM-F/6</v>
      </c>
      <c r="F508" s="27" t="str">
        <f t="shared" si="50"/>
        <v>GRIS</v>
      </c>
      <c r="G508" s="27">
        <f>+VLOOKUP(F508,[1]base!A:B,2,0)</f>
        <v>22</v>
      </c>
      <c r="H508" s="12">
        <v>20</v>
      </c>
      <c r="I508" s="12">
        <v>20</v>
      </c>
      <c r="J508" s="14"/>
      <c r="K508" s="14" t="s">
        <v>61</v>
      </c>
      <c r="L508" s="12" t="s">
        <v>996</v>
      </c>
      <c r="M508" s="12" t="s">
        <v>150</v>
      </c>
      <c r="N508" s="12">
        <v>20</v>
      </c>
      <c r="O508" s="12">
        <v>20</v>
      </c>
      <c r="P508" s="12">
        <v>0</v>
      </c>
      <c r="Q508" s="16">
        <v>20</v>
      </c>
      <c r="R508" s="16">
        <v>0</v>
      </c>
      <c r="S508" s="16"/>
      <c r="T508" s="28">
        <v>20</v>
      </c>
      <c r="U508" s="28"/>
      <c r="V508" s="29">
        <f>+VLOOKUP(E508,[1]base!D:K,8,0)</f>
        <v>2.8405</v>
      </c>
      <c r="W508" s="29">
        <f t="shared" si="51"/>
        <v>56.81</v>
      </c>
      <c r="X508" s="29">
        <f t="shared" si="52"/>
        <v>2.9541200000000001</v>
      </c>
      <c r="Y508" s="29">
        <f>+VLOOKUP(E508,[1]base!D:E,2,0)</f>
        <v>17</v>
      </c>
      <c r="Z508" s="29">
        <f t="shared" si="53"/>
        <v>2</v>
      </c>
      <c r="AA508" s="29">
        <f t="shared" si="54"/>
        <v>0.13333333333333339</v>
      </c>
      <c r="AB508" s="29">
        <f>+VLOOKUP(E508,[1]base!M:N,2,0)</f>
        <v>2860</v>
      </c>
      <c r="AC508" s="29">
        <f>+VLOOKUP(E508,[1]base!M:Q,5,0)</f>
        <v>1927.6</v>
      </c>
      <c r="AD508" s="30">
        <f>+VLOOKUP(E508,[1]base!M:P,4,0)</f>
        <v>-5.2857142857142856</v>
      </c>
      <c r="AE508" s="31">
        <f t="shared" si="55"/>
        <v>15975.142857142857</v>
      </c>
    </row>
    <row r="509" spans="1:31" x14ac:dyDescent="0.25">
      <c r="A509" s="12" t="s">
        <v>1491</v>
      </c>
      <c r="B509" s="13">
        <v>46273.608587962961</v>
      </c>
      <c r="C509" s="12" t="s">
        <v>502</v>
      </c>
      <c r="D509" s="12" t="s">
        <v>1494</v>
      </c>
      <c r="E509" s="26" t="str">
        <f t="shared" si="49"/>
        <v>LM-F/6</v>
      </c>
      <c r="F509" s="27" t="str">
        <f t="shared" si="50"/>
        <v>GREY</v>
      </c>
      <c r="G509" s="27">
        <f>+VLOOKUP(F509,[1]base!A:B,2,0)</f>
        <v>24</v>
      </c>
      <c r="H509" s="12">
        <v>2</v>
      </c>
      <c r="I509" s="12">
        <v>2</v>
      </c>
      <c r="J509" s="14"/>
      <c r="K509" s="14" t="s">
        <v>61</v>
      </c>
      <c r="L509" s="12" t="s">
        <v>1501</v>
      </c>
      <c r="M509" s="12" t="s">
        <v>150</v>
      </c>
      <c r="N509" s="12">
        <v>2</v>
      </c>
      <c r="O509" s="12">
        <v>2</v>
      </c>
      <c r="P509" s="12">
        <v>0</v>
      </c>
      <c r="Q509" s="16">
        <v>2</v>
      </c>
      <c r="R509" s="16">
        <v>0</v>
      </c>
      <c r="S509" s="16"/>
      <c r="T509" s="28">
        <v>2</v>
      </c>
      <c r="U509" s="28"/>
      <c r="V509" s="29">
        <f>+VLOOKUP(E509,[1]base!D:K,8,0)</f>
        <v>2.8405</v>
      </c>
      <c r="W509" s="29">
        <f t="shared" si="51"/>
        <v>5.681</v>
      </c>
      <c r="X509" s="29">
        <f t="shared" si="52"/>
        <v>0.29541200000000001</v>
      </c>
      <c r="Y509" s="29">
        <f>+VLOOKUP(E509,[1]base!D:E,2,0)</f>
        <v>17</v>
      </c>
      <c r="Z509" s="29">
        <f t="shared" si="53"/>
        <v>1</v>
      </c>
      <c r="AA509" s="29">
        <f t="shared" si="54"/>
        <v>6.6666666666666693E-2</v>
      </c>
      <c r="AB509" s="29">
        <f>+VLOOKUP(E509,[1]base!M:N,2,0)</f>
        <v>2860</v>
      </c>
      <c r="AC509" s="29">
        <f>+VLOOKUP(E509,[1]base!M:Q,5,0)</f>
        <v>1927.6</v>
      </c>
      <c r="AD509" s="30">
        <f>+VLOOKUP(E509,[1]base!M:P,4,0)</f>
        <v>-5.2857142857142856</v>
      </c>
      <c r="AE509" s="31">
        <f t="shared" si="55"/>
        <v>15975.142857142857</v>
      </c>
    </row>
    <row r="510" spans="1:31" x14ac:dyDescent="0.25">
      <c r="A510" s="12" t="s">
        <v>1115</v>
      </c>
      <c r="B510" s="13">
        <v>46267.292060185187</v>
      </c>
      <c r="C510" s="12" t="s">
        <v>198</v>
      </c>
      <c r="D510" s="12" t="s">
        <v>1117</v>
      </c>
      <c r="E510" s="26" t="str">
        <f t="shared" si="49"/>
        <v>LM-F/6</v>
      </c>
      <c r="F510" s="27" t="str">
        <f t="shared" si="50"/>
        <v>GRISG</v>
      </c>
      <c r="G510" s="27">
        <f>+VLOOKUP(F510,[1]base!A:B,2,0)</f>
        <v>25</v>
      </c>
      <c r="H510" s="12">
        <v>1</v>
      </c>
      <c r="I510" s="12">
        <v>1</v>
      </c>
      <c r="J510" s="14"/>
      <c r="K510" s="14" t="s">
        <v>61</v>
      </c>
      <c r="L510" s="12" t="s">
        <v>1119</v>
      </c>
      <c r="M510" s="12" t="s">
        <v>150</v>
      </c>
      <c r="N510" s="12">
        <v>1</v>
      </c>
      <c r="O510" s="12">
        <v>1</v>
      </c>
      <c r="P510" s="12">
        <v>0</v>
      </c>
      <c r="Q510" s="16">
        <v>1</v>
      </c>
      <c r="R510" s="16">
        <v>0</v>
      </c>
      <c r="S510" s="16"/>
      <c r="T510" s="28">
        <v>1</v>
      </c>
      <c r="U510" s="28"/>
      <c r="V510" s="29">
        <f>+VLOOKUP(E510,[1]base!D:K,8,0)</f>
        <v>2.8405</v>
      </c>
      <c r="W510" s="29">
        <f t="shared" si="51"/>
        <v>2.8405</v>
      </c>
      <c r="X510" s="29">
        <f t="shared" si="52"/>
        <v>0.147706</v>
      </c>
      <c r="Y510" s="29">
        <f>+VLOOKUP(E510,[1]base!D:E,2,0)</f>
        <v>17</v>
      </c>
      <c r="Z510" s="29">
        <f t="shared" si="53"/>
        <v>1</v>
      </c>
      <c r="AA510" s="29">
        <f t="shared" si="54"/>
        <v>6.6666666666666693E-2</v>
      </c>
      <c r="AB510" s="29">
        <f>+VLOOKUP(E510,[1]base!M:N,2,0)</f>
        <v>2860</v>
      </c>
      <c r="AC510" s="29">
        <f>+VLOOKUP(E510,[1]base!M:Q,5,0)</f>
        <v>1927.6</v>
      </c>
      <c r="AD510" s="30">
        <f>+VLOOKUP(E510,[1]base!M:P,4,0)</f>
        <v>-5.2857142857142856</v>
      </c>
      <c r="AE510" s="31">
        <f t="shared" si="55"/>
        <v>15975.142857142857</v>
      </c>
    </row>
    <row r="511" spans="1:31" x14ac:dyDescent="0.25">
      <c r="A511" s="12" t="s">
        <v>1600</v>
      </c>
      <c r="B511" s="13">
        <v>46275.377118055556</v>
      </c>
      <c r="C511" s="12" t="s">
        <v>24</v>
      </c>
      <c r="D511" s="12" t="s">
        <v>1117</v>
      </c>
      <c r="E511" s="26" t="str">
        <f t="shared" si="49"/>
        <v>LM-F/6</v>
      </c>
      <c r="F511" s="27" t="str">
        <f t="shared" si="50"/>
        <v>GRISG</v>
      </c>
      <c r="G511" s="27">
        <f>+VLOOKUP(F511,[1]base!A:B,2,0)</f>
        <v>25</v>
      </c>
      <c r="H511" s="12">
        <v>4</v>
      </c>
      <c r="I511" s="12">
        <v>4</v>
      </c>
      <c r="J511" s="14"/>
      <c r="K511" s="14" t="s">
        <v>61</v>
      </c>
      <c r="L511" s="12" t="s">
        <v>1624</v>
      </c>
      <c r="M511" s="12" t="s">
        <v>150</v>
      </c>
      <c r="N511" s="12">
        <v>4</v>
      </c>
      <c r="O511" s="12">
        <v>4</v>
      </c>
      <c r="P511" s="12">
        <v>0</v>
      </c>
      <c r="Q511" s="16">
        <v>4</v>
      </c>
      <c r="R511" s="16">
        <v>0</v>
      </c>
      <c r="S511" s="16"/>
      <c r="T511" s="28">
        <v>4</v>
      </c>
      <c r="U511" s="28"/>
      <c r="V511" s="29">
        <f>+VLOOKUP(E511,[1]base!D:K,8,0)</f>
        <v>2.8405</v>
      </c>
      <c r="W511" s="29">
        <f t="shared" si="51"/>
        <v>11.362</v>
      </c>
      <c r="X511" s="29">
        <f t="shared" si="52"/>
        <v>0.59082400000000002</v>
      </c>
      <c r="Y511" s="29">
        <f>+VLOOKUP(E511,[1]base!D:E,2,0)</f>
        <v>17</v>
      </c>
      <c r="Z511" s="29">
        <f t="shared" si="53"/>
        <v>1</v>
      </c>
      <c r="AA511" s="29">
        <f t="shared" si="54"/>
        <v>6.6666666666666693E-2</v>
      </c>
      <c r="AB511" s="29">
        <f>+VLOOKUP(E511,[1]base!M:N,2,0)</f>
        <v>2860</v>
      </c>
      <c r="AC511" s="29">
        <f>+VLOOKUP(E511,[1]base!M:Q,5,0)</f>
        <v>1927.6</v>
      </c>
      <c r="AD511" s="30">
        <f>+VLOOKUP(E511,[1]base!M:P,4,0)</f>
        <v>-5.2857142857142856</v>
      </c>
      <c r="AE511" s="31">
        <f t="shared" si="55"/>
        <v>15975.142857142857</v>
      </c>
    </row>
    <row r="512" spans="1:31" x14ac:dyDescent="0.25">
      <c r="A512" s="12" t="s">
        <v>547</v>
      </c>
      <c r="B512" s="13">
        <v>46240.550856481481</v>
      </c>
      <c r="C512" s="12" t="s">
        <v>548</v>
      </c>
      <c r="D512" s="12" t="s">
        <v>568</v>
      </c>
      <c r="E512" s="26" t="str">
        <f t="shared" si="49"/>
        <v>LM-F/6</v>
      </c>
      <c r="F512" s="27" t="str">
        <f t="shared" si="50"/>
        <v>NOIR</v>
      </c>
      <c r="G512" s="27">
        <f>+VLOOKUP(F512,[1]base!A:B,2,0)</f>
        <v>37</v>
      </c>
      <c r="H512" s="12">
        <v>30</v>
      </c>
      <c r="I512" s="12">
        <v>30</v>
      </c>
      <c r="J512" s="14"/>
      <c r="K512" s="14" t="s">
        <v>61</v>
      </c>
      <c r="L512" s="12" t="s">
        <v>571</v>
      </c>
      <c r="M512" s="12" t="s">
        <v>150</v>
      </c>
      <c r="N512" s="12">
        <v>30</v>
      </c>
      <c r="O512" s="12">
        <v>30</v>
      </c>
      <c r="P512" s="12">
        <v>0</v>
      </c>
      <c r="Q512" s="16">
        <v>130</v>
      </c>
      <c r="R512" s="16">
        <v>0</v>
      </c>
      <c r="S512" s="16"/>
      <c r="T512" s="28">
        <v>30</v>
      </c>
      <c r="U512" s="28"/>
      <c r="V512" s="29">
        <f>+VLOOKUP(E512,[1]base!D:K,8,0)</f>
        <v>2.8405</v>
      </c>
      <c r="W512" s="29">
        <f t="shared" si="51"/>
        <v>85.215000000000003</v>
      </c>
      <c r="X512" s="29">
        <f t="shared" si="52"/>
        <v>4.4311800000000003</v>
      </c>
      <c r="Y512" s="29">
        <f>+VLOOKUP(E512,[1]base!D:E,2,0)</f>
        <v>17</v>
      </c>
      <c r="Z512" s="29">
        <f t="shared" si="53"/>
        <v>2</v>
      </c>
      <c r="AA512" s="29">
        <f t="shared" si="54"/>
        <v>0.13333333333333339</v>
      </c>
      <c r="AB512" s="29">
        <f>+VLOOKUP(E512,[1]base!M:N,2,0)</f>
        <v>2860</v>
      </c>
      <c r="AC512" s="29">
        <f>+VLOOKUP(E512,[1]base!M:Q,5,0)</f>
        <v>1927.6</v>
      </c>
      <c r="AD512" s="30">
        <f>+VLOOKUP(E512,[1]base!M:P,4,0)</f>
        <v>-5.2857142857142856</v>
      </c>
      <c r="AE512" s="31">
        <f t="shared" si="55"/>
        <v>15975.142857142857</v>
      </c>
    </row>
    <row r="513" spans="1:31" x14ac:dyDescent="0.25">
      <c r="A513" s="12" t="s">
        <v>1187</v>
      </c>
      <c r="B513" s="13">
        <v>46267.547002314815</v>
      </c>
      <c r="C513" s="12" t="s">
        <v>627</v>
      </c>
      <c r="D513" s="12" t="s">
        <v>568</v>
      </c>
      <c r="E513" s="26" t="str">
        <f t="shared" si="49"/>
        <v>LM-F/6</v>
      </c>
      <c r="F513" s="27" t="str">
        <f t="shared" si="50"/>
        <v>NOIR</v>
      </c>
      <c r="G513" s="27">
        <f>+VLOOKUP(F513,[1]base!A:B,2,0)</f>
        <v>37</v>
      </c>
      <c r="H513" s="12">
        <v>2</v>
      </c>
      <c r="I513" s="12">
        <v>2</v>
      </c>
      <c r="J513" s="14"/>
      <c r="K513" s="14" t="s">
        <v>61</v>
      </c>
      <c r="L513" s="12" t="s">
        <v>1194</v>
      </c>
      <c r="M513" s="12" t="s">
        <v>150</v>
      </c>
      <c r="N513" s="12">
        <v>2</v>
      </c>
      <c r="O513" s="12">
        <v>2</v>
      </c>
      <c r="P513" s="12">
        <v>0</v>
      </c>
      <c r="Q513" s="16">
        <v>2</v>
      </c>
      <c r="R513" s="16">
        <v>0</v>
      </c>
      <c r="S513" s="16"/>
      <c r="T513" s="28">
        <v>2</v>
      </c>
      <c r="U513" s="28"/>
      <c r="V513" s="29">
        <f>+VLOOKUP(E513,[1]base!D:K,8,0)</f>
        <v>2.8405</v>
      </c>
      <c r="W513" s="29">
        <f t="shared" si="51"/>
        <v>5.681</v>
      </c>
      <c r="X513" s="29">
        <f t="shared" si="52"/>
        <v>0.29541200000000001</v>
      </c>
      <c r="Y513" s="29">
        <f>+VLOOKUP(E513,[1]base!D:E,2,0)</f>
        <v>17</v>
      </c>
      <c r="Z513" s="29">
        <f t="shared" si="53"/>
        <v>1</v>
      </c>
      <c r="AA513" s="29">
        <f t="shared" si="54"/>
        <v>6.6666666666666693E-2</v>
      </c>
      <c r="AB513" s="29">
        <f>+VLOOKUP(E513,[1]base!M:N,2,0)</f>
        <v>2860</v>
      </c>
      <c r="AC513" s="29">
        <f>+VLOOKUP(E513,[1]base!M:Q,5,0)</f>
        <v>1927.6</v>
      </c>
      <c r="AD513" s="30">
        <f>+VLOOKUP(E513,[1]base!M:P,4,0)</f>
        <v>-5.2857142857142856</v>
      </c>
      <c r="AE513" s="31">
        <f t="shared" si="55"/>
        <v>15975.142857142857</v>
      </c>
    </row>
    <row r="514" spans="1:31" x14ac:dyDescent="0.25">
      <c r="A514" s="12" t="s">
        <v>1095</v>
      </c>
      <c r="B514" s="13">
        <v>46266.555497685185</v>
      </c>
      <c r="C514" s="12" t="s">
        <v>24</v>
      </c>
      <c r="D514" s="12" t="s">
        <v>1096</v>
      </c>
      <c r="E514" s="26" t="str">
        <f t="shared" ref="E514:E545" si="56">_xlfn.TEXTBEFORE(D514, "-", -1, 1, , D514)</f>
        <v>LM-F45</v>
      </c>
      <c r="F514" s="27" t="str">
        <f t="shared" ref="F514:F545" si="57">_xlfn.TEXTAFTER(D514, "-", -1, 1, , "")</f>
        <v>BLC</v>
      </c>
      <c r="G514" s="27">
        <f>+VLOOKUP(F514,[1]base!A:B,2,0)</f>
        <v>1</v>
      </c>
      <c r="H514" s="12">
        <v>20</v>
      </c>
      <c r="I514" s="12">
        <v>20</v>
      </c>
      <c r="J514" s="14"/>
      <c r="K514" s="14" t="s">
        <v>61</v>
      </c>
      <c r="L514" s="12" t="s">
        <v>1097</v>
      </c>
      <c r="M514" s="12" t="s">
        <v>150</v>
      </c>
      <c r="N514" s="12">
        <v>20</v>
      </c>
      <c r="O514" s="12">
        <v>20</v>
      </c>
      <c r="P514" s="12">
        <v>0</v>
      </c>
      <c r="Q514" s="16">
        <v>20</v>
      </c>
      <c r="R514" s="16">
        <v>0</v>
      </c>
      <c r="S514" s="16"/>
      <c r="T514" s="28">
        <v>400</v>
      </c>
      <c r="U514" s="28"/>
      <c r="V514" s="29">
        <f>+VLOOKUP(E514,[1]base!D:K,8,0)</f>
        <v>2.19</v>
      </c>
      <c r="W514" s="29">
        <f t="shared" ref="W514:W545" si="58">(T514+U514)*V514</f>
        <v>876</v>
      </c>
      <c r="X514" s="29">
        <f t="shared" ref="X514:X545" si="59">+W514*0.052</f>
        <v>45.552</v>
      </c>
      <c r="Y514" s="29">
        <f>+VLOOKUP(E514,[1]base!D:E,2,0)</f>
        <v>20</v>
      </c>
      <c r="Z514" s="29">
        <f t="shared" ref="Z514:Z545" si="60">ROUNDUP(T514/Y514,0)</f>
        <v>20</v>
      </c>
      <c r="AA514" s="29">
        <f t="shared" ref="AA514:AA545" si="61">+Z514*0.0666666666666667</f>
        <v>1.3333333333333339</v>
      </c>
      <c r="AB514" s="29">
        <f>+VLOOKUP(E514,[1]base!M:N,2,0)</f>
        <v>13985</v>
      </c>
      <c r="AC514" s="29">
        <f>+VLOOKUP(E514,[1]base!M:Q,5,0)</f>
        <v>292.46153846153845</v>
      </c>
      <c r="AD514" s="30">
        <f>+VLOOKUP(E514,[1]base!M:P,4,0)</f>
        <v>8.3670141104729492E-3</v>
      </c>
      <c r="AE514" s="31">
        <f t="shared" ref="AE514:AE545" si="62">+AB514*(30%-AD514)</f>
        <v>4078.4873076650351</v>
      </c>
    </row>
    <row r="515" spans="1:31" x14ac:dyDescent="0.25">
      <c r="A515" s="12" t="s">
        <v>85</v>
      </c>
      <c r="B515" s="13">
        <v>46113.311643518522</v>
      </c>
      <c r="C515" s="12" t="s">
        <v>24</v>
      </c>
      <c r="D515" s="12" t="s">
        <v>134</v>
      </c>
      <c r="E515" s="26" t="str">
        <f t="shared" si="56"/>
        <v>LM-S758</v>
      </c>
      <c r="F515" s="27" t="str">
        <f t="shared" si="57"/>
        <v>BLC</v>
      </c>
      <c r="G515" s="27">
        <f>+VLOOKUP(F515,[1]base!A:B,2,0)</f>
        <v>1</v>
      </c>
      <c r="H515" s="12">
        <v>23</v>
      </c>
      <c r="I515" s="12">
        <v>23</v>
      </c>
      <c r="J515" s="14"/>
      <c r="K515" s="14" t="s">
        <v>61</v>
      </c>
      <c r="L515" s="12" t="s">
        <v>27</v>
      </c>
      <c r="M515" s="12" t="s">
        <v>28</v>
      </c>
      <c r="N515" s="12"/>
      <c r="O515" s="12"/>
      <c r="P515" s="12"/>
      <c r="Q515" s="16">
        <v>23</v>
      </c>
      <c r="R515" s="16">
        <v>6</v>
      </c>
      <c r="S515" s="16">
        <v>8</v>
      </c>
      <c r="T515" s="28">
        <v>200</v>
      </c>
      <c r="U515" s="28"/>
      <c r="V515" s="29">
        <f>+VLOOKUP(E515,[1]base!D:K,8,0)</f>
        <v>1.3259999999999998</v>
      </c>
      <c r="W515" s="29">
        <f t="shared" si="58"/>
        <v>265.2</v>
      </c>
      <c r="X515" s="29">
        <f t="shared" si="59"/>
        <v>13.790399999999998</v>
      </c>
      <c r="Y515" s="29">
        <f>+VLOOKUP(E515,[1]base!D:E,2,0)</f>
        <v>20</v>
      </c>
      <c r="Z515" s="29">
        <f t="shared" si="60"/>
        <v>10</v>
      </c>
      <c r="AA515" s="29">
        <f t="shared" si="61"/>
        <v>0.66666666666666696</v>
      </c>
      <c r="AB515" s="29">
        <f>+VLOOKUP(E515,[1]base!M:N,2,0)</f>
        <v>415</v>
      </c>
      <c r="AC515" s="29">
        <f>+VLOOKUP(E515,[1]base!M:Q,5,0)</f>
        <v>1750.6</v>
      </c>
      <c r="AD515" s="30">
        <f>+VLOOKUP(E515,[1]base!M:P,4,0)</f>
        <v>0.15306122448979592</v>
      </c>
      <c r="AE515" s="31">
        <f t="shared" si="62"/>
        <v>60.979591836734684</v>
      </c>
    </row>
    <row r="516" spans="1:31" x14ac:dyDescent="0.25">
      <c r="A516" s="12" t="s">
        <v>1570</v>
      </c>
      <c r="B516" s="13">
        <v>46274.654050925928</v>
      </c>
      <c r="C516" s="12" t="s">
        <v>24</v>
      </c>
      <c r="D516" s="12" t="s">
        <v>1604</v>
      </c>
      <c r="E516" s="26" t="str">
        <f t="shared" si="56"/>
        <v>LM-S758</v>
      </c>
      <c r="F516" s="27" t="str">
        <f t="shared" si="57"/>
        <v>CHPG</v>
      </c>
      <c r="G516" s="27">
        <f>+VLOOKUP(F516,[1]base!A:B,2,0)</f>
        <v>11</v>
      </c>
      <c r="H516" s="12">
        <v>19</v>
      </c>
      <c r="I516" s="12">
        <v>19</v>
      </c>
      <c r="J516" s="14"/>
      <c r="K516" s="14" t="s">
        <v>61</v>
      </c>
      <c r="L516" s="12" t="s">
        <v>1618</v>
      </c>
      <c r="M516" s="12" t="s">
        <v>150</v>
      </c>
      <c r="N516" s="12">
        <v>19</v>
      </c>
      <c r="O516" s="12">
        <v>19</v>
      </c>
      <c r="P516" s="12">
        <v>0</v>
      </c>
      <c r="Q516" s="16">
        <v>19</v>
      </c>
      <c r="R516" s="16">
        <v>1</v>
      </c>
      <c r="S516" s="16"/>
      <c r="T516" s="28">
        <v>18</v>
      </c>
      <c r="U516" s="28">
        <v>1</v>
      </c>
      <c r="V516" s="29">
        <f>+VLOOKUP(E516,[1]base!D:K,8,0)</f>
        <v>1.3259999999999998</v>
      </c>
      <c r="W516" s="29">
        <f t="shared" si="58"/>
        <v>25.193999999999996</v>
      </c>
      <c r="X516" s="29">
        <f t="shared" si="59"/>
        <v>1.3100879999999997</v>
      </c>
      <c r="Y516" s="29">
        <f>+VLOOKUP(E516,[1]base!D:E,2,0)</f>
        <v>20</v>
      </c>
      <c r="Z516" s="29">
        <f t="shared" si="60"/>
        <v>1</v>
      </c>
      <c r="AA516" s="29">
        <f t="shared" si="61"/>
        <v>6.6666666666666693E-2</v>
      </c>
      <c r="AB516" s="29">
        <f>+VLOOKUP(E516,[1]base!M:N,2,0)</f>
        <v>415</v>
      </c>
      <c r="AC516" s="29">
        <f>+VLOOKUP(E516,[1]base!M:Q,5,0)</f>
        <v>1750.6</v>
      </c>
      <c r="AD516" s="30">
        <f>+VLOOKUP(E516,[1]base!M:P,4,0)</f>
        <v>0.15306122448979592</v>
      </c>
      <c r="AE516" s="31">
        <f t="shared" si="62"/>
        <v>60.979591836734684</v>
      </c>
    </row>
    <row r="517" spans="1:31" x14ac:dyDescent="0.25">
      <c r="A517" s="12" t="s">
        <v>1339</v>
      </c>
      <c r="B517" s="13">
        <v>46269.394733796296</v>
      </c>
      <c r="C517" s="12" t="s">
        <v>266</v>
      </c>
      <c r="D517" s="12" t="s">
        <v>1355</v>
      </c>
      <c r="E517" s="26" t="str">
        <f t="shared" si="56"/>
        <v>LM-S758</v>
      </c>
      <c r="F517" s="27" t="str">
        <f t="shared" si="57"/>
        <v>ACAJOU</v>
      </c>
      <c r="G517" s="27">
        <f>+VLOOKUP(F517,[1]base!A:B,2,0)</f>
        <v>15.1</v>
      </c>
      <c r="H517" s="12">
        <v>30</v>
      </c>
      <c r="I517" s="12">
        <v>30</v>
      </c>
      <c r="J517" s="14"/>
      <c r="K517" s="14" t="s">
        <v>61</v>
      </c>
      <c r="L517" s="12" t="s">
        <v>1368</v>
      </c>
      <c r="M517" s="12" t="s">
        <v>150</v>
      </c>
      <c r="N517" s="12">
        <v>30</v>
      </c>
      <c r="O517" s="12">
        <v>30</v>
      </c>
      <c r="P517" s="12">
        <v>0</v>
      </c>
      <c r="Q517" s="16">
        <v>30</v>
      </c>
      <c r="R517" s="16">
        <v>0</v>
      </c>
      <c r="S517" s="16"/>
      <c r="T517" s="28">
        <v>30</v>
      </c>
      <c r="U517" s="28"/>
      <c r="V517" s="29">
        <f>+VLOOKUP(E517,[1]base!D:K,8,0)</f>
        <v>1.3259999999999998</v>
      </c>
      <c r="W517" s="29">
        <f t="shared" si="58"/>
        <v>39.779999999999994</v>
      </c>
      <c r="X517" s="29">
        <f t="shared" si="59"/>
        <v>2.0685599999999997</v>
      </c>
      <c r="Y517" s="29">
        <f>+VLOOKUP(E517,[1]base!D:E,2,0)</f>
        <v>20</v>
      </c>
      <c r="Z517" s="29">
        <f t="shared" si="60"/>
        <v>2</v>
      </c>
      <c r="AA517" s="29">
        <f t="shared" si="61"/>
        <v>0.13333333333333339</v>
      </c>
      <c r="AB517" s="29">
        <f>+VLOOKUP(E517,[1]base!M:N,2,0)</f>
        <v>415</v>
      </c>
      <c r="AC517" s="29">
        <f>+VLOOKUP(E517,[1]base!M:Q,5,0)</f>
        <v>1750.6</v>
      </c>
      <c r="AD517" s="30">
        <f>+VLOOKUP(E517,[1]base!M:P,4,0)</f>
        <v>0.15306122448979592</v>
      </c>
      <c r="AE517" s="31">
        <f t="shared" si="62"/>
        <v>60.979591836734684</v>
      </c>
    </row>
    <row r="518" spans="1:31" x14ac:dyDescent="0.25">
      <c r="A518" s="12" t="s">
        <v>1600</v>
      </c>
      <c r="B518" s="13">
        <v>46275.377118055556</v>
      </c>
      <c r="C518" s="12" t="s">
        <v>24</v>
      </c>
      <c r="D518" s="12" t="s">
        <v>1609</v>
      </c>
      <c r="E518" s="26" t="str">
        <f t="shared" si="56"/>
        <v>LM-S758</v>
      </c>
      <c r="F518" s="27" t="str">
        <f t="shared" si="57"/>
        <v>GRISG</v>
      </c>
      <c r="G518" s="27">
        <f>+VLOOKUP(F518,[1]base!A:B,2,0)</f>
        <v>25</v>
      </c>
      <c r="H518" s="12">
        <v>21</v>
      </c>
      <c r="I518" s="12">
        <v>21</v>
      </c>
      <c r="J518" s="14"/>
      <c r="K518" s="14" t="s">
        <v>61</v>
      </c>
      <c r="L518" s="12" t="s">
        <v>1625</v>
      </c>
      <c r="M518" s="12" t="s">
        <v>150</v>
      </c>
      <c r="N518" s="12">
        <v>21</v>
      </c>
      <c r="O518" s="12">
        <v>21</v>
      </c>
      <c r="P518" s="12">
        <v>0</v>
      </c>
      <c r="Q518" s="16">
        <v>21</v>
      </c>
      <c r="R518" s="16">
        <v>1</v>
      </c>
      <c r="S518" s="16"/>
      <c r="T518" s="28">
        <v>20</v>
      </c>
      <c r="U518" s="28">
        <v>1</v>
      </c>
      <c r="V518" s="29">
        <f>+VLOOKUP(E518,[1]base!D:K,8,0)</f>
        <v>1.3259999999999998</v>
      </c>
      <c r="W518" s="29">
        <f t="shared" si="58"/>
        <v>27.845999999999997</v>
      </c>
      <c r="X518" s="29">
        <f t="shared" si="59"/>
        <v>1.4479919999999997</v>
      </c>
      <c r="Y518" s="29">
        <f>+VLOOKUP(E518,[1]base!D:E,2,0)</f>
        <v>20</v>
      </c>
      <c r="Z518" s="29">
        <f t="shared" si="60"/>
        <v>1</v>
      </c>
      <c r="AA518" s="29">
        <f t="shared" si="61"/>
        <v>6.6666666666666693E-2</v>
      </c>
      <c r="AB518" s="29">
        <f>+VLOOKUP(E518,[1]base!M:N,2,0)</f>
        <v>415</v>
      </c>
      <c r="AC518" s="29">
        <f>+VLOOKUP(E518,[1]base!M:Q,5,0)</f>
        <v>1750.6</v>
      </c>
      <c r="AD518" s="30">
        <f>+VLOOKUP(E518,[1]base!M:P,4,0)</f>
        <v>0.15306122448979592</v>
      </c>
      <c r="AE518" s="31">
        <f t="shared" si="62"/>
        <v>60.979591836734684</v>
      </c>
    </row>
    <row r="519" spans="1:31" x14ac:dyDescent="0.25">
      <c r="A519" s="12" t="s">
        <v>1016</v>
      </c>
      <c r="B519" s="13">
        <v>46266.406585648147</v>
      </c>
      <c r="C519" s="12" t="s">
        <v>599</v>
      </c>
      <c r="D519" s="12" t="s">
        <v>1023</v>
      </c>
      <c r="E519" s="26" t="str">
        <f t="shared" si="56"/>
        <v>LM-S758</v>
      </c>
      <c r="F519" s="27" t="str">
        <f t="shared" si="57"/>
        <v>NOIR</v>
      </c>
      <c r="G519" s="27">
        <f>+VLOOKUP(F519,[1]base!A:B,2,0)</f>
        <v>37</v>
      </c>
      <c r="H519" s="12">
        <v>30</v>
      </c>
      <c r="I519" s="12">
        <v>30</v>
      </c>
      <c r="J519" s="14"/>
      <c r="K519" s="14" t="s">
        <v>61</v>
      </c>
      <c r="L519" s="12" t="s">
        <v>1055</v>
      </c>
      <c r="M519" s="12" t="s">
        <v>150</v>
      </c>
      <c r="N519" s="12">
        <v>30</v>
      </c>
      <c r="O519" s="12">
        <v>30</v>
      </c>
      <c r="P519" s="12">
        <v>0</v>
      </c>
      <c r="Q519" s="16">
        <v>30</v>
      </c>
      <c r="R519" s="16">
        <v>6</v>
      </c>
      <c r="S519" s="16"/>
      <c r="T519" s="28">
        <v>24</v>
      </c>
      <c r="U519" s="28">
        <v>6</v>
      </c>
      <c r="V519" s="29">
        <f>+VLOOKUP(E519,[1]base!D:K,8,0)</f>
        <v>1.3259999999999998</v>
      </c>
      <c r="W519" s="29">
        <f t="shared" si="58"/>
        <v>39.779999999999994</v>
      </c>
      <c r="X519" s="29">
        <f t="shared" si="59"/>
        <v>2.0685599999999997</v>
      </c>
      <c r="Y519" s="29">
        <f>+VLOOKUP(E519,[1]base!D:E,2,0)</f>
        <v>20</v>
      </c>
      <c r="Z519" s="29">
        <f t="shared" si="60"/>
        <v>2</v>
      </c>
      <c r="AA519" s="29">
        <f t="shared" si="61"/>
        <v>0.13333333333333339</v>
      </c>
      <c r="AB519" s="29">
        <f>+VLOOKUP(E519,[1]base!M:N,2,0)</f>
        <v>415</v>
      </c>
      <c r="AC519" s="29">
        <f>+VLOOKUP(E519,[1]base!M:Q,5,0)</f>
        <v>1750.6</v>
      </c>
      <c r="AD519" s="30">
        <f>+VLOOKUP(E519,[1]base!M:P,4,0)</f>
        <v>0.15306122448979592</v>
      </c>
      <c r="AE519" s="31">
        <f t="shared" si="62"/>
        <v>60.979591836734684</v>
      </c>
    </row>
    <row r="520" spans="1:31" x14ac:dyDescent="0.25">
      <c r="A520" s="12" t="s">
        <v>1187</v>
      </c>
      <c r="B520" s="13">
        <v>46267.547002314815</v>
      </c>
      <c r="C520" s="12" t="s">
        <v>627</v>
      </c>
      <c r="D520" s="12" t="s">
        <v>1023</v>
      </c>
      <c r="E520" s="26" t="str">
        <f t="shared" si="56"/>
        <v>LM-S758</v>
      </c>
      <c r="F520" s="27" t="str">
        <f t="shared" si="57"/>
        <v>NOIR</v>
      </c>
      <c r="G520" s="27">
        <f>+VLOOKUP(F520,[1]base!A:B,2,0)</f>
        <v>37</v>
      </c>
      <c r="H520" s="12">
        <v>7</v>
      </c>
      <c r="I520" s="12">
        <v>7</v>
      </c>
      <c r="J520" s="14"/>
      <c r="K520" s="14" t="s">
        <v>61</v>
      </c>
      <c r="L520" s="12" t="s">
        <v>1196</v>
      </c>
      <c r="M520" s="12" t="s">
        <v>150</v>
      </c>
      <c r="N520" s="12">
        <v>7</v>
      </c>
      <c r="O520" s="12">
        <v>7</v>
      </c>
      <c r="P520" s="12">
        <v>0</v>
      </c>
      <c r="Q520" s="16">
        <v>7</v>
      </c>
      <c r="R520" s="16">
        <v>6</v>
      </c>
      <c r="S520" s="16"/>
      <c r="T520" s="28">
        <v>7</v>
      </c>
      <c r="U520" s="28"/>
      <c r="V520" s="29">
        <f>+VLOOKUP(E520,[1]base!D:K,8,0)</f>
        <v>1.3259999999999998</v>
      </c>
      <c r="W520" s="29">
        <f t="shared" si="58"/>
        <v>9.2819999999999983</v>
      </c>
      <c r="X520" s="29">
        <f t="shared" si="59"/>
        <v>0.48266399999999987</v>
      </c>
      <c r="Y520" s="29">
        <f>+VLOOKUP(E520,[1]base!D:E,2,0)</f>
        <v>20</v>
      </c>
      <c r="Z520" s="29">
        <f t="shared" si="60"/>
        <v>1</v>
      </c>
      <c r="AA520" s="29">
        <f t="shared" si="61"/>
        <v>6.6666666666666693E-2</v>
      </c>
      <c r="AB520" s="29">
        <f>+VLOOKUP(E520,[1]base!M:N,2,0)</f>
        <v>415</v>
      </c>
      <c r="AC520" s="29">
        <f>+VLOOKUP(E520,[1]base!M:Q,5,0)</f>
        <v>1750.6</v>
      </c>
      <c r="AD520" s="30">
        <f>+VLOOKUP(E520,[1]base!M:P,4,0)</f>
        <v>0.15306122448979592</v>
      </c>
      <c r="AE520" s="31">
        <f t="shared" si="62"/>
        <v>60.979591836734684</v>
      </c>
    </row>
    <row r="521" spans="1:31" x14ac:dyDescent="0.25">
      <c r="A521" s="12" t="s">
        <v>1291</v>
      </c>
      <c r="B521" s="13">
        <v>46269.280277777776</v>
      </c>
      <c r="C521" s="12" t="s">
        <v>266</v>
      </c>
      <c r="D521" s="12" t="s">
        <v>1023</v>
      </c>
      <c r="E521" s="26" t="str">
        <f t="shared" si="56"/>
        <v>LM-S758</v>
      </c>
      <c r="F521" s="27" t="str">
        <f t="shared" si="57"/>
        <v>NOIR</v>
      </c>
      <c r="G521" s="27">
        <f>+VLOOKUP(F521,[1]base!A:B,2,0)</f>
        <v>37</v>
      </c>
      <c r="H521" s="12">
        <v>40</v>
      </c>
      <c r="I521" s="12">
        <v>40</v>
      </c>
      <c r="J521" s="14"/>
      <c r="K521" s="14" t="s">
        <v>61</v>
      </c>
      <c r="L521" s="12" t="s">
        <v>1307</v>
      </c>
      <c r="M521" s="12" t="s">
        <v>150</v>
      </c>
      <c r="N521" s="12">
        <v>40</v>
      </c>
      <c r="O521" s="12">
        <v>40</v>
      </c>
      <c r="P521" s="12">
        <v>0</v>
      </c>
      <c r="Q521" s="16">
        <v>40</v>
      </c>
      <c r="R521" s="16">
        <v>6</v>
      </c>
      <c r="S521" s="16"/>
      <c r="T521" s="28">
        <v>40</v>
      </c>
      <c r="U521" s="28"/>
      <c r="V521" s="29">
        <f>+VLOOKUP(E521,[1]base!D:K,8,0)</f>
        <v>1.3259999999999998</v>
      </c>
      <c r="W521" s="29">
        <f t="shared" si="58"/>
        <v>53.039999999999992</v>
      </c>
      <c r="X521" s="29">
        <f t="shared" si="59"/>
        <v>2.7580799999999996</v>
      </c>
      <c r="Y521" s="29">
        <f>+VLOOKUP(E521,[1]base!D:E,2,0)</f>
        <v>20</v>
      </c>
      <c r="Z521" s="29">
        <f t="shared" si="60"/>
        <v>2</v>
      </c>
      <c r="AA521" s="29">
        <f t="shared" si="61"/>
        <v>0.13333333333333339</v>
      </c>
      <c r="AB521" s="29">
        <f>+VLOOKUP(E521,[1]base!M:N,2,0)</f>
        <v>415</v>
      </c>
      <c r="AC521" s="29">
        <f>+VLOOKUP(E521,[1]base!M:Q,5,0)</f>
        <v>1750.6</v>
      </c>
      <c r="AD521" s="30">
        <f>+VLOOKUP(E521,[1]base!M:P,4,0)</f>
        <v>0.15306122448979592</v>
      </c>
      <c r="AE521" s="31">
        <f t="shared" si="62"/>
        <v>60.979591836734684</v>
      </c>
    </row>
    <row r="522" spans="1:31" x14ac:dyDescent="0.25">
      <c r="A522" s="12" t="s">
        <v>514</v>
      </c>
      <c r="B522" s="13">
        <v>46234.303749999999</v>
      </c>
      <c r="C522" s="12" t="s">
        <v>24</v>
      </c>
      <c r="D522" s="12" t="s">
        <v>515</v>
      </c>
      <c r="E522" s="26" t="str">
        <f t="shared" si="56"/>
        <v>MR002</v>
      </c>
      <c r="F522" s="27" t="str">
        <f t="shared" si="57"/>
        <v>BLC</v>
      </c>
      <c r="G522" s="27">
        <f>+VLOOKUP(F522,[1]base!A:B,2,0)</f>
        <v>1</v>
      </c>
      <c r="H522" s="12">
        <v>5</v>
      </c>
      <c r="I522" s="12">
        <v>5</v>
      </c>
      <c r="J522" s="14"/>
      <c r="K522" s="14" t="s">
        <v>61</v>
      </c>
      <c r="L522" s="12" t="s">
        <v>516</v>
      </c>
      <c r="M522" s="12" t="s">
        <v>150</v>
      </c>
      <c r="N522" s="12">
        <v>5</v>
      </c>
      <c r="O522" s="12">
        <v>5</v>
      </c>
      <c r="P522" s="12">
        <v>0</v>
      </c>
      <c r="Q522" s="16">
        <v>27</v>
      </c>
      <c r="R522" s="16">
        <v>0</v>
      </c>
      <c r="S522" s="16"/>
      <c r="T522" s="28">
        <v>5</v>
      </c>
      <c r="U522" s="28"/>
      <c r="V522" s="29">
        <f>+VLOOKUP(E522,[1]base!D:K,8,0)</f>
        <v>11.934000000000001</v>
      </c>
      <c r="W522" s="29">
        <f t="shared" si="58"/>
        <v>59.67</v>
      </c>
      <c r="X522" s="29">
        <f t="shared" si="59"/>
        <v>3.10284</v>
      </c>
      <c r="Y522" s="29">
        <f>+VLOOKUP(E522,[1]base!D:E,2,0)</f>
        <v>9</v>
      </c>
      <c r="Z522" s="29">
        <f t="shared" si="60"/>
        <v>1</v>
      </c>
      <c r="AA522" s="29">
        <f t="shared" si="61"/>
        <v>6.6666666666666693E-2</v>
      </c>
      <c r="AB522" s="29">
        <f>+VLOOKUP(E522,[1]base!M:N,2,0)</f>
        <v>1456</v>
      </c>
      <c r="AC522" s="29">
        <f>+VLOOKUP(E522,[1]base!M:Q,5,0)</f>
        <v>947.8</v>
      </c>
      <c r="AD522" s="30">
        <f>+VLOOKUP(E522,[1]base!M:P,4,0)</f>
        <v>0.6996699669966997</v>
      </c>
      <c r="AE522" s="31">
        <f t="shared" si="62"/>
        <v>-581.91947194719478</v>
      </c>
    </row>
    <row r="523" spans="1:31" x14ac:dyDescent="0.25">
      <c r="A523" s="12" t="s">
        <v>1227</v>
      </c>
      <c r="B523" s="13">
        <v>46268.399537037039</v>
      </c>
      <c r="C523" s="12" t="s">
        <v>24</v>
      </c>
      <c r="D523" s="12" t="s">
        <v>84</v>
      </c>
      <c r="E523" s="26" t="str">
        <f t="shared" si="56"/>
        <v>MR002</v>
      </c>
      <c r="F523" s="27" t="str">
        <f t="shared" si="57"/>
        <v>NOIR</v>
      </c>
      <c r="G523" s="27">
        <f>+VLOOKUP(F523,[1]base!A:B,2,0)</f>
        <v>37</v>
      </c>
      <c r="H523" s="12">
        <v>7</v>
      </c>
      <c r="I523" s="12">
        <v>7</v>
      </c>
      <c r="J523" s="14"/>
      <c r="K523" s="14" t="s">
        <v>61</v>
      </c>
      <c r="L523" s="12" t="s">
        <v>1228</v>
      </c>
      <c r="M523" s="12" t="s">
        <v>150</v>
      </c>
      <c r="N523" s="12">
        <v>7</v>
      </c>
      <c r="O523" s="12">
        <v>7</v>
      </c>
      <c r="P523" s="12">
        <v>0</v>
      </c>
      <c r="Q523" s="16">
        <v>7</v>
      </c>
      <c r="R523" s="16">
        <v>0</v>
      </c>
      <c r="S523" s="16"/>
      <c r="T523" s="28">
        <v>7</v>
      </c>
      <c r="U523" s="28"/>
      <c r="V523" s="29">
        <f>+VLOOKUP(E523,[1]base!D:K,8,0)</f>
        <v>11.934000000000001</v>
      </c>
      <c r="W523" s="29">
        <f t="shared" si="58"/>
        <v>83.538000000000011</v>
      </c>
      <c r="X523" s="29">
        <f t="shared" si="59"/>
        <v>4.3439760000000005</v>
      </c>
      <c r="Y523" s="29">
        <f>+VLOOKUP(E523,[1]base!D:E,2,0)</f>
        <v>9</v>
      </c>
      <c r="Z523" s="29">
        <f t="shared" si="60"/>
        <v>1</v>
      </c>
      <c r="AA523" s="29">
        <f t="shared" si="61"/>
        <v>6.6666666666666693E-2</v>
      </c>
      <c r="AB523" s="29">
        <f>+VLOOKUP(E523,[1]base!M:N,2,0)</f>
        <v>1456</v>
      </c>
      <c r="AC523" s="29">
        <f>+VLOOKUP(E523,[1]base!M:Q,5,0)</f>
        <v>947.8</v>
      </c>
      <c r="AD523" s="30">
        <f>+VLOOKUP(E523,[1]base!M:P,4,0)</f>
        <v>0.6996699669966997</v>
      </c>
      <c r="AE523" s="31">
        <f t="shared" si="62"/>
        <v>-581.91947194719478</v>
      </c>
    </row>
    <row r="524" spans="1:31" x14ac:dyDescent="0.25">
      <c r="A524" s="12" t="s">
        <v>1021</v>
      </c>
      <c r="B524" s="13">
        <v>46266.424675925926</v>
      </c>
      <c r="C524" s="12" t="s">
        <v>24</v>
      </c>
      <c r="D524" s="12" t="s">
        <v>1046</v>
      </c>
      <c r="E524" s="26" t="str">
        <f t="shared" si="56"/>
        <v>MR002</v>
      </c>
      <c r="F524" s="27" t="str">
        <f t="shared" si="57"/>
        <v>DARK</v>
      </c>
      <c r="G524" s="27">
        <f>+VLOOKUP(F524,[1]base!A:B,2,0)</f>
        <v>38</v>
      </c>
      <c r="H524" s="12">
        <v>5</v>
      </c>
      <c r="I524" s="12">
        <v>5</v>
      </c>
      <c r="J524" s="14"/>
      <c r="K524" s="14" t="s">
        <v>61</v>
      </c>
      <c r="L524" s="12" t="s">
        <v>1077</v>
      </c>
      <c r="M524" s="12" t="s">
        <v>150</v>
      </c>
      <c r="N524" s="12">
        <v>5</v>
      </c>
      <c r="O524" s="12">
        <v>5</v>
      </c>
      <c r="P524" s="12">
        <v>0</v>
      </c>
      <c r="Q524" s="16">
        <v>5</v>
      </c>
      <c r="R524" s="16">
        <v>0</v>
      </c>
      <c r="S524" s="16"/>
      <c r="T524" s="28">
        <v>5</v>
      </c>
      <c r="U524" s="28"/>
      <c r="V524" s="29">
        <f>+VLOOKUP(E524,[1]base!D:K,8,0)</f>
        <v>11.934000000000001</v>
      </c>
      <c r="W524" s="29">
        <f t="shared" si="58"/>
        <v>59.67</v>
      </c>
      <c r="X524" s="29">
        <f t="shared" si="59"/>
        <v>3.10284</v>
      </c>
      <c r="Y524" s="29">
        <f>+VLOOKUP(E524,[1]base!D:E,2,0)</f>
        <v>9</v>
      </c>
      <c r="Z524" s="29">
        <f t="shared" si="60"/>
        <v>1</v>
      </c>
      <c r="AA524" s="29">
        <f t="shared" si="61"/>
        <v>6.6666666666666693E-2</v>
      </c>
      <c r="AB524" s="29">
        <f>+VLOOKUP(E524,[1]base!M:N,2,0)</f>
        <v>1456</v>
      </c>
      <c r="AC524" s="29">
        <f>+VLOOKUP(E524,[1]base!M:Q,5,0)</f>
        <v>947.8</v>
      </c>
      <c r="AD524" s="30">
        <f>+VLOOKUP(E524,[1]base!M:P,4,0)</f>
        <v>0.6996699669966997</v>
      </c>
      <c r="AE524" s="31">
        <f t="shared" si="62"/>
        <v>-581.91947194719478</v>
      </c>
    </row>
    <row r="525" spans="1:31" x14ac:dyDescent="0.25">
      <c r="A525" s="12" t="s">
        <v>1098</v>
      </c>
      <c r="B525" s="13">
        <v>46266.575185185182</v>
      </c>
      <c r="C525" s="12" t="s">
        <v>24</v>
      </c>
      <c r="D525" s="12" t="s">
        <v>1100</v>
      </c>
      <c r="E525" s="26" t="str">
        <f t="shared" si="56"/>
        <v>OK4716</v>
      </c>
      <c r="F525" s="27" t="str">
        <f t="shared" si="57"/>
        <v>DARK</v>
      </c>
      <c r="G525" s="27">
        <f>+VLOOKUP(F525,[1]base!A:B,2,0)</f>
        <v>38</v>
      </c>
      <c r="H525" s="12">
        <v>2</v>
      </c>
      <c r="I525" s="12">
        <v>2</v>
      </c>
      <c r="J525" s="14"/>
      <c r="K525" s="14" t="s">
        <v>26</v>
      </c>
      <c r="L525" s="12" t="s">
        <v>1102</v>
      </c>
      <c r="M525" s="12" t="s">
        <v>150</v>
      </c>
      <c r="N525" s="12">
        <v>2</v>
      </c>
      <c r="O525" s="12">
        <v>2</v>
      </c>
      <c r="P525" s="12">
        <v>0</v>
      </c>
      <c r="Q525" s="16">
        <v>0</v>
      </c>
      <c r="R525" s="16">
        <v>0</v>
      </c>
      <c r="S525" s="16"/>
      <c r="T525" s="28">
        <v>2</v>
      </c>
      <c r="U525" s="28"/>
      <c r="V525" s="29">
        <f>+VLOOKUP(E525,[1]base!D:K,8,0)</f>
        <v>1.8460000000000001</v>
      </c>
      <c r="W525" s="29">
        <f t="shared" si="58"/>
        <v>3.6920000000000002</v>
      </c>
      <c r="X525" s="29">
        <f t="shared" si="59"/>
        <v>0.19198399999999999</v>
      </c>
      <c r="Y525" s="29">
        <f>+VLOOKUP(E525,[1]base!D:E,2,0)</f>
        <v>20</v>
      </c>
      <c r="Z525" s="29">
        <f t="shared" si="60"/>
        <v>1</v>
      </c>
      <c r="AA525" s="29">
        <f t="shared" si="61"/>
        <v>6.6666666666666693E-2</v>
      </c>
      <c r="AB525" s="29">
        <f>+VLOOKUP(E525,[1]base!M:N,2,0)</f>
        <v>1194</v>
      </c>
      <c r="AC525" s="29">
        <f>+VLOOKUP(E525,[1]base!M:Q,5,0)</f>
        <v>0</v>
      </c>
      <c r="AD525" s="30">
        <f>+VLOOKUP(E525,[1]base!M:P,4,0)</f>
        <v>-1193</v>
      </c>
      <c r="AE525" s="31">
        <f t="shared" si="62"/>
        <v>1424800.2</v>
      </c>
    </row>
    <row r="526" spans="1:31" x14ac:dyDescent="0.25">
      <c r="A526" s="12" t="s">
        <v>609</v>
      </c>
      <c r="B526" s="13">
        <v>46246.552789351852</v>
      </c>
      <c r="C526" s="12" t="s">
        <v>24</v>
      </c>
      <c r="D526" s="12" t="s">
        <v>611</v>
      </c>
      <c r="E526" s="26" t="str">
        <f t="shared" si="56"/>
        <v>P013</v>
      </c>
      <c r="F526" s="27" t="str">
        <f t="shared" si="57"/>
        <v>NOIR</v>
      </c>
      <c r="G526" s="27">
        <f>+VLOOKUP(F526,[1]base!A:B,2,0)</f>
        <v>37</v>
      </c>
      <c r="H526" s="12">
        <v>22</v>
      </c>
      <c r="I526" s="12">
        <v>22</v>
      </c>
      <c r="J526" s="14"/>
      <c r="K526" s="14" t="s">
        <v>61</v>
      </c>
      <c r="L526" s="12" t="s">
        <v>614</v>
      </c>
      <c r="M526" s="12" t="s">
        <v>150</v>
      </c>
      <c r="N526" s="12">
        <v>22</v>
      </c>
      <c r="O526" s="12">
        <v>22</v>
      </c>
      <c r="P526" s="12">
        <v>0</v>
      </c>
      <c r="Q526" s="16">
        <v>22</v>
      </c>
      <c r="R526" s="16">
        <v>0</v>
      </c>
      <c r="S526" s="16"/>
      <c r="T526" s="28">
        <v>22</v>
      </c>
      <c r="U526" s="28"/>
      <c r="V526" s="29">
        <f>+VLOOKUP(E526,[1]base!D:K,8,0)</f>
        <v>1.1040000000000001</v>
      </c>
      <c r="W526" s="29">
        <f t="shared" si="58"/>
        <v>24.288000000000004</v>
      </c>
      <c r="X526" s="29">
        <f t="shared" si="59"/>
        <v>1.2629760000000001</v>
      </c>
      <c r="Y526" s="29">
        <f>+VLOOKUP(E526,[1]base!D:E,2,0)</f>
        <v>20</v>
      </c>
      <c r="Z526" s="29">
        <f t="shared" si="60"/>
        <v>2</v>
      </c>
      <c r="AA526" s="29">
        <f t="shared" si="61"/>
        <v>0.13333333333333339</v>
      </c>
      <c r="AB526" s="29">
        <f>+VLOOKUP(E526,[1]base!M:N,2,0)</f>
        <v>630</v>
      </c>
      <c r="AC526" s="29">
        <f>+VLOOKUP(E526,[1]base!M:Q,5,0)</f>
        <v>0</v>
      </c>
      <c r="AD526" s="30">
        <f>+VLOOKUP(E526,[1]base!M:P,4,0)</f>
        <v>0</v>
      </c>
      <c r="AE526" s="31">
        <f t="shared" si="62"/>
        <v>189</v>
      </c>
    </row>
    <row r="527" spans="1:31" x14ac:dyDescent="0.25">
      <c r="A527" s="12" t="s">
        <v>609</v>
      </c>
      <c r="B527" s="13">
        <v>46246.552789351852</v>
      </c>
      <c r="C527" s="12" t="s">
        <v>24</v>
      </c>
      <c r="D527" s="12" t="s">
        <v>610</v>
      </c>
      <c r="E527" s="26" t="str">
        <f t="shared" si="56"/>
        <v>P014</v>
      </c>
      <c r="F527" s="27" t="str">
        <f t="shared" si="57"/>
        <v>NOIR</v>
      </c>
      <c r="G527" s="27">
        <f>+VLOOKUP(F527,[1]base!A:B,2,0)</f>
        <v>37</v>
      </c>
      <c r="H527" s="12">
        <v>9</v>
      </c>
      <c r="I527" s="12">
        <v>9</v>
      </c>
      <c r="J527" s="14"/>
      <c r="K527" s="14" t="s">
        <v>26</v>
      </c>
      <c r="L527" s="12" t="s">
        <v>613</v>
      </c>
      <c r="M527" s="12" t="s">
        <v>150</v>
      </c>
      <c r="N527" s="12">
        <v>9</v>
      </c>
      <c r="O527" s="12">
        <v>9</v>
      </c>
      <c r="P527" s="12">
        <v>0</v>
      </c>
      <c r="Q527" s="16">
        <v>0</v>
      </c>
      <c r="R527" s="16">
        <v>0</v>
      </c>
      <c r="S527" s="16"/>
      <c r="T527" s="28">
        <v>9</v>
      </c>
      <c r="U527" s="28"/>
      <c r="V527" s="29" t="e">
        <f>+VLOOKUP(E527,[1]base!D:K,8,0)</f>
        <v>#N/A</v>
      </c>
      <c r="W527" s="29" t="e">
        <f t="shared" si="58"/>
        <v>#N/A</v>
      </c>
      <c r="X527" s="29" t="e">
        <f t="shared" si="59"/>
        <v>#N/A</v>
      </c>
      <c r="Y527" s="29" t="e">
        <f>+VLOOKUP(E527,[1]base!D:E,2,0)</f>
        <v>#N/A</v>
      </c>
      <c r="Z527" s="29" t="e">
        <f t="shared" si="60"/>
        <v>#N/A</v>
      </c>
      <c r="AA527" s="29" t="e">
        <f t="shared" si="61"/>
        <v>#N/A</v>
      </c>
      <c r="AB527" s="29" t="e">
        <f>+VLOOKUP(E527,[1]base!M:N,2,0)</f>
        <v>#N/A</v>
      </c>
      <c r="AC527" s="29" t="e">
        <f>+VLOOKUP(E527,[1]base!M:Q,5,0)</f>
        <v>#N/A</v>
      </c>
      <c r="AD527" s="30" t="e">
        <f>+VLOOKUP(E527,[1]base!M:P,4,0)</f>
        <v>#N/A</v>
      </c>
      <c r="AE527" s="31" t="e">
        <f t="shared" si="62"/>
        <v>#N/A</v>
      </c>
    </row>
    <row r="528" spans="1:31" x14ac:dyDescent="0.25">
      <c r="A528" s="12" t="s">
        <v>640</v>
      </c>
      <c r="B528" s="13">
        <v>46248.337627314817</v>
      </c>
      <c r="C528" s="12" t="s">
        <v>502</v>
      </c>
      <c r="D528" s="12" t="s">
        <v>642</v>
      </c>
      <c r="E528" s="26" t="str">
        <f t="shared" si="56"/>
        <v>P031</v>
      </c>
      <c r="F528" s="27" t="str">
        <f t="shared" si="57"/>
        <v>ACAJOU</v>
      </c>
      <c r="G528" s="27">
        <f>+VLOOKUP(F528,[1]base!A:B,2,0)</f>
        <v>15.1</v>
      </c>
      <c r="H528" s="12">
        <v>5</v>
      </c>
      <c r="I528" s="12">
        <v>5</v>
      </c>
      <c r="J528" s="14"/>
      <c r="K528" s="14" t="s">
        <v>61</v>
      </c>
      <c r="L528" s="12" t="s">
        <v>643</v>
      </c>
      <c r="M528" s="12" t="s">
        <v>150</v>
      </c>
      <c r="N528" s="12">
        <v>5</v>
      </c>
      <c r="O528" s="12">
        <v>5</v>
      </c>
      <c r="P528" s="12">
        <v>0</v>
      </c>
      <c r="Q528" s="16">
        <v>15</v>
      </c>
      <c r="R528" s="16">
        <v>0</v>
      </c>
      <c r="S528" s="16"/>
      <c r="T528" s="28">
        <v>5</v>
      </c>
      <c r="U528" s="28"/>
      <c r="V528" s="29">
        <f>+VLOOKUP(E528,[1]base!D:K,8,0)</f>
        <v>3.1654999999999998</v>
      </c>
      <c r="W528" s="29">
        <f t="shared" si="58"/>
        <v>15.827499999999999</v>
      </c>
      <c r="X528" s="29">
        <f t="shared" si="59"/>
        <v>0.82302999999999993</v>
      </c>
      <c r="Y528" s="29">
        <f>+VLOOKUP(E528,[1]base!D:E,2,0)</f>
        <v>14</v>
      </c>
      <c r="Z528" s="29">
        <f t="shared" si="60"/>
        <v>1</v>
      </c>
      <c r="AA528" s="29">
        <f t="shared" si="61"/>
        <v>6.6666666666666693E-2</v>
      </c>
      <c r="AB528" s="29">
        <f>+VLOOKUP(E528,[1]base!M:N,2,0)</f>
        <v>231</v>
      </c>
      <c r="AC528" s="29">
        <f>+VLOOKUP(E528,[1]base!M:Q,5,0)</f>
        <v>252.875</v>
      </c>
      <c r="AD528" s="30">
        <f>+VLOOKUP(E528,[1]base!M:P,4,0)</f>
        <v>0.53427419354838712</v>
      </c>
      <c r="AE528" s="31">
        <f t="shared" si="62"/>
        <v>-54.117338709677426</v>
      </c>
    </row>
    <row r="529" spans="1:31" x14ac:dyDescent="0.25">
      <c r="A529" s="12" t="s">
        <v>1570</v>
      </c>
      <c r="B529" s="13">
        <v>46274.654050925928</v>
      </c>
      <c r="C529" s="12" t="s">
        <v>24</v>
      </c>
      <c r="D529" s="12" t="s">
        <v>1605</v>
      </c>
      <c r="E529" s="26" t="str">
        <f t="shared" si="56"/>
        <v>PCN40-45</v>
      </c>
      <c r="F529" s="27" t="str">
        <f t="shared" si="57"/>
        <v>CHPG</v>
      </c>
      <c r="G529" s="27">
        <f>+VLOOKUP(F529,[1]base!A:B,2,0)</f>
        <v>11</v>
      </c>
      <c r="H529" s="12">
        <v>16</v>
      </c>
      <c r="I529" s="12">
        <v>16</v>
      </c>
      <c r="J529" s="14"/>
      <c r="K529" s="14" t="s">
        <v>26</v>
      </c>
      <c r="L529" s="12" t="s">
        <v>1619</v>
      </c>
      <c r="M529" s="12" t="s">
        <v>150</v>
      </c>
      <c r="N529" s="12">
        <v>16</v>
      </c>
      <c r="O529" s="12">
        <v>16</v>
      </c>
      <c r="P529" s="12">
        <v>0</v>
      </c>
      <c r="Q529" s="16">
        <v>0</v>
      </c>
      <c r="R529" s="16">
        <v>0</v>
      </c>
      <c r="S529" s="16"/>
      <c r="T529" s="28">
        <v>16</v>
      </c>
      <c r="U529" s="28"/>
      <c r="V529" s="29">
        <f>+VLOOKUP(E529,[1]base!D:K,8,0)</f>
        <v>0.5</v>
      </c>
      <c r="W529" s="29">
        <f t="shared" si="58"/>
        <v>8</v>
      </c>
      <c r="X529" s="29">
        <f t="shared" si="59"/>
        <v>0.41599999999999998</v>
      </c>
      <c r="Y529" s="29">
        <f>+VLOOKUP(E529,[1]base!D:E,2,0)</f>
        <v>800</v>
      </c>
      <c r="Z529" s="29">
        <f t="shared" si="60"/>
        <v>1</v>
      </c>
      <c r="AA529" s="29">
        <f t="shared" si="61"/>
        <v>6.6666666666666693E-2</v>
      </c>
      <c r="AB529" s="29" t="e">
        <f>+VLOOKUP(E529,[1]base!M:N,2,0)</f>
        <v>#N/A</v>
      </c>
      <c r="AC529" s="29" t="e">
        <f>+VLOOKUP(E529,[1]base!M:Q,5,0)</f>
        <v>#N/A</v>
      </c>
      <c r="AD529" s="30" t="e">
        <f>+VLOOKUP(E529,[1]base!M:P,4,0)</f>
        <v>#N/A</v>
      </c>
      <c r="AE529" s="31" t="e">
        <f t="shared" si="62"/>
        <v>#N/A</v>
      </c>
    </row>
    <row r="530" spans="1:31" x14ac:dyDescent="0.25">
      <c r="A530" s="12" t="s">
        <v>855</v>
      </c>
      <c r="B530" s="13">
        <v>46261.431909722225</v>
      </c>
      <c r="C530" s="12" t="s">
        <v>856</v>
      </c>
      <c r="D530" s="12" t="s">
        <v>869</v>
      </c>
      <c r="E530" s="26" t="str">
        <f t="shared" si="56"/>
        <v>PL102</v>
      </c>
      <c r="F530" s="27" t="str">
        <f t="shared" si="57"/>
        <v>ACAJOU</v>
      </c>
      <c r="G530" s="27">
        <f>+VLOOKUP(F530,[1]base!A:B,2,0)</f>
        <v>15.1</v>
      </c>
      <c r="H530" s="12">
        <v>2</v>
      </c>
      <c r="I530" s="12">
        <v>2</v>
      </c>
      <c r="J530" s="14"/>
      <c r="K530" s="14" t="s">
        <v>61</v>
      </c>
      <c r="L530" s="12" t="s">
        <v>872</v>
      </c>
      <c r="M530" s="12" t="s">
        <v>150</v>
      </c>
      <c r="N530" s="12">
        <v>2</v>
      </c>
      <c r="O530" s="12">
        <v>2</v>
      </c>
      <c r="P530" s="12">
        <v>0</v>
      </c>
      <c r="Q530" s="16">
        <v>2</v>
      </c>
      <c r="R530" s="16">
        <v>0</v>
      </c>
      <c r="S530" s="16"/>
      <c r="T530" s="28">
        <v>2</v>
      </c>
      <c r="U530" s="28"/>
      <c r="V530" s="29">
        <f>+VLOOKUP(E530,[1]base!D:K,8,0)</f>
        <v>1.04</v>
      </c>
      <c r="W530" s="29">
        <f t="shared" si="58"/>
        <v>2.08</v>
      </c>
      <c r="X530" s="29">
        <f t="shared" si="59"/>
        <v>0.10815999999999999</v>
      </c>
      <c r="Y530" s="29">
        <f>+VLOOKUP(E530,[1]base!D:E,2,0)</f>
        <v>20</v>
      </c>
      <c r="Z530" s="29">
        <f t="shared" si="60"/>
        <v>1</v>
      </c>
      <c r="AA530" s="29">
        <f t="shared" si="61"/>
        <v>6.6666666666666693E-2</v>
      </c>
      <c r="AB530" s="29">
        <f>+VLOOKUP(E530,[1]base!M:N,2,0)</f>
        <v>185</v>
      </c>
      <c r="AC530" s="29">
        <f>+VLOOKUP(E530,[1]base!M:Q,5,0)</f>
        <v>0</v>
      </c>
      <c r="AD530" s="30">
        <f>+VLOOKUP(E530,[1]base!M:P,4,0)</f>
        <v>1.06951871657754E-2</v>
      </c>
      <c r="AE530" s="31">
        <f t="shared" si="62"/>
        <v>53.521390374331553</v>
      </c>
    </row>
    <row r="531" spans="1:31" x14ac:dyDescent="0.25">
      <c r="A531" s="12" t="s">
        <v>855</v>
      </c>
      <c r="B531" s="13">
        <v>46261.431909722225</v>
      </c>
      <c r="C531" s="12" t="s">
        <v>856</v>
      </c>
      <c r="D531" s="12" t="s">
        <v>881</v>
      </c>
      <c r="E531" s="26" t="str">
        <f t="shared" si="56"/>
        <v>PL103</v>
      </c>
      <c r="F531" s="27" t="str">
        <f t="shared" si="57"/>
        <v>ACAJOU</v>
      </c>
      <c r="G531" s="27">
        <f>+VLOOKUP(F531,[1]base!A:B,2,0)</f>
        <v>15.1</v>
      </c>
      <c r="H531" s="12">
        <v>2</v>
      </c>
      <c r="I531" s="12">
        <v>2</v>
      </c>
      <c r="J531" s="14"/>
      <c r="K531" s="14" t="s">
        <v>61</v>
      </c>
      <c r="L531" s="12" t="s">
        <v>884</v>
      </c>
      <c r="M531" s="12" t="s">
        <v>150</v>
      </c>
      <c r="N531" s="12">
        <v>2</v>
      </c>
      <c r="O531" s="12">
        <v>2</v>
      </c>
      <c r="P531" s="12">
        <v>0</v>
      </c>
      <c r="Q531" s="16">
        <v>6</v>
      </c>
      <c r="R531" s="16">
        <v>0</v>
      </c>
      <c r="S531" s="16"/>
      <c r="T531" s="28">
        <v>2</v>
      </c>
      <c r="U531" s="28"/>
      <c r="V531" s="29">
        <f>+VLOOKUP(E531,[1]base!D:K,8,0)</f>
        <v>0.66600000000000004</v>
      </c>
      <c r="W531" s="29">
        <f t="shared" si="58"/>
        <v>1.3320000000000001</v>
      </c>
      <c r="X531" s="29">
        <f t="shared" si="59"/>
        <v>6.9264000000000006E-2</v>
      </c>
      <c r="Y531" s="29">
        <f>+VLOOKUP(E531,[1]base!D:E,2,0)</f>
        <v>20</v>
      </c>
      <c r="Z531" s="29">
        <f t="shared" si="60"/>
        <v>1</v>
      </c>
      <c r="AA531" s="29">
        <f t="shared" si="61"/>
        <v>6.6666666666666693E-2</v>
      </c>
      <c r="AB531" s="29">
        <f>+VLOOKUP(E531,[1]base!M:N,2,0)</f>
        <v>1386</v>
      </c>
      <c r="AC531" s="29">
        <f>+VLOOKUP(E531,[1]base!M:Q,5,0)</f>
        <v>0</v>
      </c>
      <c r="AD531" s="30">
        <f>+VLOOKUP(E531,[1]base!M:P,4,0)</f>
        <v>8.5836909871244635E-3</v>
      </c>
      <c r="AE531" s="31">
        <f t="shared" si="62"/>
        <v>403.90300429184549</v>
      </c>
    </row>
    <row r="532" spans="1:31" x14ac:dyDescent="0.25">
      <c r="A532" s="12" t="s">
        <v>855</v>
      </c>
      <c r="B532" s="13">
        <v>46261.431909722225</v>
      </c>
      <c r="C532" s="12" t="s">
        <v>856</v>
      </c>
      <c r="D532" s="12" t="s">
        <v>881</v>
      </c>
      <c r="E532" s="26" t="str">
        <f t="shared" si="56"/>
        <v>PL103</v>
      </c>
      <c r="F532" s="27" t="str">
        <f t="shared" si="57"/>
        <v>ACAJOU</v>
      </c>
      <c r="G532" s="27">
        <f>+VLOOKUP(F532,[1]base!A:B,2,0)</f>
        <v>15.1</v>
      </c>
      <c r="H532" s="12">
        <v>4</v>
      </c>
      <c r="I532" s="12">
        <v>4</v>
      </c>
      <c r="J532" s="14"/>
      <c r="K532" s="14" t="s">
        <v>61</v>
      </c>
      <c r="L532" s="12" t="s">
        <v>885</v>
      </c>
      <c r="M532" s="12" t="s">
        <v>150</v>
      </c>
      <c r="N532" s="12">
        <v>4</v>
      </c>
      <c r="O532" s="12">
        <v>4</v>
      </c>
      <c r="P532" s="12">
        <v>0</v>
      </c>
      <c r="Q532" s="16">
        <v>6</v>
      </c>
      <c r="R532" s="16">
        <v>0</v>
      </c>
      <c r="S532" s="16"/>
      <c r="T532" s="28">
        <v>4</v>
      </c>
      <c r="U532" s="28"/>
      <c r="V532" s="29">
        <f>+VLOOKUP(E532,[1]base!D:K,8,0)</f>
        <v>0.66600000000000004</v>
      </c>
      <c r="W532" s="29">
        <f t="shared" si="58"/>
        <v>2.6640000000000001</v>
      </c>
      <c r="X532" s="29">
        <f t="shared" si="59"/>
        <v>0.13852800000000001</v>
      </c>
      <c r="Y532" s="29">
        <f>+VLOOKUP(E532,[1]base!D:E,2,0)</f>
        <v>20</v>
      </c>
      <c r="Z532" s="29">
        <f t="shared" si="60"/>
        <v>1</v>
      </c>
      <c r="AA532" s="29">
        <f t="shared" si="61"/>
        <v>6.6666666666666693E-2</v>
      </c>
      <c r="AB532" s="29">
        <f>+VLOOKUP(E532,[1]base!M:N,2,0)</f>
        <v>1386</v>
      </c>
      <c r="AC532" s="29">
        <f>+VLOOKUP(E532,[1]base!M:Q,5,0)</f>
        <v>0</v>
      </c>
      <c r="AD532" s="30">
        <f>+VLOOKUP(E532,[1]base!M:P,4,0)</f>
        <v>8.5836909871244635E-3</v>
      </c>
      <c r="AE532" s="31">
        <f t="shared" si="62"/>
        <v>403.90300429184549</v>
      </c>
    </row>
    <row r="533" spans="1:31" x14ac:dyDescent="0.25">
      <c r="A533" s="12" t="s">
        <v>855</v>
      </c>
      <c r="B533" s="13">
        <v>46261.431909722225</v>
      </c>
      <c r="C533" s="12" t="s">
        <v>856</v>
      </c>
      <c r="D533" s="12" t="s">
        <v>882</v>
      </c>
      <c r="E533" s="26" t="str">
        <f t="shared" si="56"/>
        <v>PL105</v>
      </c>
      <c r="F533" s="27" t="str">
        <f t="shared" si="57"/>
        <v>ACAJOU</v>
      </c>
      <c r="G533" s="27">
        <f>+VLOOKUP(F533,[1]base!A:B,2,0)</f>
        <v>15.1</v>
      </c>
      <c r="H533" s="12">
        <v>2</v>
      </c>
      <c r="I533" s="12">
        <v>2</v>
      </c>
      <c r="J533" s="14"/>
      <c r="K533" s="14" t="s">
        <v>61</v>
      </c>
      <c r="L533" s="12" t="s">
        <v>886</v>
      </c>
      <c r="M533" s="12" t="s">
        <v>150</v>
      </c>
      <c r="N533" s="12">
        <v>2</v>
      </c>
      <c r="O533" s="12">
        <v>2</v>
      </c>
      <c r="P533" s="12">
        <v>0</v>
      </c>
      <c r="Q533" s="16">
        <v>2</v>
      </c>
      <c r="R533" s="16">
        <v>0</v>
      </c>
      <c r="S533" s="16"/>
      <c r="T533" s="28">
        <v>2</v>
      </c>
      <c r="U533" s="28"/>
      <c r="V533" s="29">
        <f>+VLOOKUP(E533,[1]base!D:K,8,0)</f>
        <v>2.298</v>
      </c>
      <c r="W533" s="29">
        <f t="shared" si="58"/>
        <v>4.5960000000000001</v>
      </c>
      <c r="X533" s="29">
        <f t="shared" si="59"/>
        <v>0.23899199999999998</v>
      </c>
      <c r="Y533" s="29">
        <f>+VLOOKUP(E533,[1]base!D:E,2,0)</f>
        <v>20</v>
      </c>
      <c r="Z533" s="29">
        <f t="shared" si="60"/>
        <v>1</v>
      </c>
      <c r="AA533" s="29">
        <f t="shared" si="61"/>
        <v>6.6666666666666693E-2</v>
      </c>
      <c r="AB533" s="29">
        <f>+VLOOKUP(E533,[1]base!M:N,2,0)</f>
        <v>665</v>
      </c>
      <c r="AC533" s="29">
        <f>+VLOOKUP(E533,[1]base!M:Q,5,0)</f>
        <v>0</v>
      </c>
      <c r="AD533" s="30" t="e">
        <f>+VLOOKUP(E533,[1]base!M:P,4,0)</f>
        <v>#DIV/0!</v>
      </c>
      <c r="AE533" s="31" t="e">
        <f t="shared" si="62"/>
        <v>#DIV/0!</v>
      </c>
    </row>
    <row r="534" spans="1:31" x14ac:dyDescent="0.25">
      <c r="A534" s="12" t="s">
        <v>855</v>
      </c>
      <c r="B534" s="13">
        <v>46261.431909722225</v>
      </c>
      <c r="C534" s="12" t="s">
        <v>856</v>
      </c>
      <c r="D534" s="12" t="s">
        <v>875</v>
      </c>
      <c r="E534" s="26" t="str">
        <f t="shared" si="56"/>
        <v>PL108</v>
      </c>
      <c r="F534" s="27" t="str">
        <f t="shared" si="57"/>
        <v>ACAJOU</v>
      </c>
      <c r="G534" s="27">
        <f>+VLOOKUP(F534,[1]base!A:B,2,0)</f>
        <v>15.1</v>
      </c>
      <c r="H534" s="12">
        <v>2</v>
      </c>
      <c r="I534" s="12">
        <v>2</v>
      </c>
      <c r="J534" s="14"/>
      <c r="K534" s="14" t="s">
        <v>61</v>
      </c>
      <c r="L534" s="12" t="s">
        <v>878</v>
      </c>
      <c r="M534" s="12" t="s">
        <v>150</v>
      </c>
      <c r="N534" s="12">
        <v>2</v>
      </c>
      <c r="O534" s="12">
        <v>2</v>
      </c>
      <c r="P534" s="12">
        <v>0</v>
      </c>
      <c r="Q534" s="16">
        <v>2</v>
      </c>
      <c r="R534" s="16">
        <v>0</v>
      </c>
      <c r="S534" s="16"/>
      <c r="T534" s="28">
        <v>2</v>
      </c>
      <c r="U534" s="28"/>
      <c r="V534" s="29">
        <f>+VLOOKUP(E534,[1]base!D:K,8,0)</f>
        <v>10.824</v>
      </c>
      <c r="W534" s="29">
        <f t="shared" si="58"/>
        <v>21.648</v>
      </c>
      <c r="X534" s="29">
        <f t="shared" si="59"/>
        <v>1.125696</v>
      </c>
      <c r="Y534" s="29">
        <f>+VLOOKUP(E534,[1]base!D:E,2,0)</f>
        <v>10</v>
      </c>
      <c r="Z534" s="29">
        <f t="shared" si="60"/>
        <v>1</v>
      </c>
      <c r="AA534" s="29">
        <f t="shared" si="61"/>
        <v>6.6666666666666693E-2</v>
      </c>
      <c r="AB534" s="29">
        <f>+VLOOKUP(E534,[1]base!M:N,2,0)</f>
        <v>622</v>
      </c>
      <c r="AC534" s="29">
        <f>+VLOOKUP(E534,[1]base!M:Q,5,0)</f>
        <v>0</v>
      </c>
      <c r="AD534" s="30">
        <f>+VLOOKUP(E534,[1]base!M:P,4,0)</f>
        <v>0</v>
      </c>
      <c r="AE534" s="31">
        <f t="shared" si="62"/>
        <v>186.6</v>
      </c>
    </row>
    <row r="535" spans="1:31" x14ac:dyDescent="0.25">
      <c r="A535" s="12" t="s">
        <v>855</v>
      </c>
      <c r="B535" s="13">
        <v>46261.431909722225</v>
      </c>
      <c r="C535" s="12" t="s">
        <v>856</v>
      </c>
      <c r="D535" s="12" t="s">
        <v>883</v>
      </c>
      <c r="E535" s="26" t="str">
        <f t="shared" si="56"/>
        <v>PL109</v>
      </c>
      <c r="F535" s="27" t="str">
        <f t="shared" si="57"/>
        <v>ACAJOU</v>
      </c>
      <c r="G535" s="27">
        <f>+VLOOKUP(F535,[1]base!A:B,2,0)</f>
        <v>15.1</v>
      </c>
      <c r="H535" s="12">
        <v>2</v>
      </c>
      <c r="I535" s="12">
        <v>2</v>
      </c>
      <c r="J535" s="14"/>
      <c r="K535" s="14" t="s">
        <v>61</v>
      </c>
      <c r="L535" s="12" t="s">
        <v>887</v>
      </c>
      <c r="M535" s="12" t="s">
        <v>150</v>
      </c>
      <c r="N535" s="12">
        <v>2</v>
      </c>
      <c r="O535" s="12">
        <v>2</v>
      </c>
      <c r="P535" s="12">
        <v>0</v>
      </c>
      <c r="Q535" s="16">
        <v>2</v>
      </c>
      <c r="R535" s="16">
        <v>0</v>
      </c>
      <c r="S535" s="16"/>
      <c r="T535" s="28">
        <v>2</v>
      </c>
      <c r="U535" s="28"/>
      <c r="V535" s="29">
        <f>+VLOOKUP(E535,[1]base!D:K,8,0)</f>
        <v>2.286</v>
      </c>
      <c r="W535" s="29">
        <f t="shared" si="58"/>
        <v>4.5720000000000001</v>
      </c>
      <c r="X535" s="29">
        <f t="shared" si="59"/>
        <v>0.23774399999999998</v>
      </c>
      <c r="Y535" s="29">
        <f>+VLOOKUP(E535,[1]base!D:E,2,0)</f>
        <v>20</v>
      </c>
      <c r="Z535" s="29">
        <f t="shared" si="60"/>
        <v>1</v>
      </c>
      <c r="AA535" s="29">
        <f t="shared" si="61"/>
        <v>6.6666666666666693E-2</v>
      </c>
      <c r="AB535" s="29">
        <f>+VLOOKUP(E535,[1]base!M:N,2,0)</f>
        <v>526</v>
      </c>
      <c r="AC535" s="29">
        <f>+VLOOKUP(E535,[1]base!M:Q,5,0)</f>
        <v>0</v>
      </c>
      <c r="AD535" s="30">
        <f>+VLOOKUP(E535,[1]base!M:P,4,0)</f>
        <v>0</v>
      </c>
      <c r="AE535" s="31">
        <f t="shared" si="62"/>
        <v>157.79999999999998</v>
      </c>
    </row>
    <row r="536" spans="1:31" x14ac:dyDescent="0.25">
      <c r="A536" s="12" t="s">
        <v>855</v>
      </c>
      <c r="B536" s="13">
        <v>46261.431909722225</v>
      </c>
      <c r="C536" s="12" t="s">
        <v>856</v>
      </c>
      <c r="D536" s="12" t="s">
        <v>871</v>
      </c>
      <c r="E536" s="26" t="str">
        <f t="shared" si="56"/>
        <v>PL110</v>
      </c>
      <c r="F536" s="27" t="str">
        <f t="shared" si="57"/>
        <v>ACAJOU</v>
      </c>
      <c r="G536" s="27">
        <f>+VLOOKUP(F536,[1]base!A:B,2,0)</f>
        <v>15.1</v>
      </c>
      <c r="H536" s="12">
        <v>2</v>
      </c>
      <c r="I536" s="12">
        <v>2</v>
      </c>
      <c r="J536" s="14"/>
      <c r="K536" s="14" t="s">
        <v>61</v>
      </c>
      <c r="L536" s="12" t="s">
        <v>874</v>
      </c>
      <c r="M536" s="12" t="s">
        <v>150</v>
      </c>
      <c r="N536" s="12">
        <v>2</v>
      </c>
      <c r="O536" s="12">
        <v>2</v>
      </c>
      <c r="P536" s="12">
        <v>0</v>
      </c>
      <c r="Q536" s="16">
        <v>2</v>
      </c>
      <c r="R536" s="16">
        <v>0</v>
      </c>
      <c r="S536" s="16"/>
      <c r="T536" s="28">
        <v>2</v>
      </c>
      <c r="U536" s="28"/>
      <c r="V536" s="29">
        <f>+VLOOKUP(E536,[1]base!D:K,8,0)</f>
        <v>6.3</v>
      </c>
      <c r="W536" s="29">
        <f t="shared" si="58"/>
        <v>12.6</v>
      </c>
      <c r="X536" s="29">
        <f t="shared" si="59"/>
        <v>0.6552</v>
      </c>
      <c r="Y536" s="29">
        <f>+VLOOKUP(E536,[1]base!D:E,2,0)</f>
        <v>14</v>
      </c>
      <c r="Z536" s="29">
        <f t="shared" si="60"/>
        <v>1</v>
      </c>
      <c r="AA536" s="29">
        <f t="shared" si="61"/>
        <v>6.6666666666666693E-2</v>
      </c>
      <c r="AB536" s="29">
        <f>+VLOOKUP(E536,[1]base!M:N,2,0)</f>
        <v>486</v>
      </c>
      <c r="AC536" s="29">
        <f>+VLOOKUP(E536,[1]base!M:Q,5,0)</f>
        <v>0</v>
      </c>
      <c r="AD536" s="30">
        <f>+VLOOKUP(E536,[1]base!M:P,4,0)</f>
        <v>0</v>
      </c>
      <c r="AE536" s="31">
        <f t="shared" si="62"/>
        <v>145.79999999999998</v>
      </c>
    </row>
    <row r="537" spans="1:31" x14ac:dyDescent="0.25">
      <c r="A537" s="12" t="s">
        <v>855</v>
      </c>
      <c r="B537" s="13">
        <v>46261.431909722225</v>
      </c>
      <c r="C537" s="12" t="s">
        <v>856</v>
      </c>
      <c r="D537" s="12" t="s">
        <v>876</v>
      </c>
      <c r="E537" s="26" t="str">
        <f t="shared" si="56"/>
        <v>PL111</v>
      </c>
      <c r="F537" s="27" t="str">
        <f t="shared" si="57"/>
        <v>ACAJOU</v>
      </c>
      <c r="G537" s="27">
        <f>+VLOOKUP(F537,[1]base!A:B,2,0)</f>
        <v>15.1</v>
      </c>
      <c r="H537" s="12">
        <v>1</v>
      </c>
      <c r="I537" s="12">
        <v>1</v>
      </c>
      <c r="J537" s="14"/>
      <c r="K537" s="14" t="s">
        <v>61</v>
      </c>
      <c r="L537" s="12" t="s">
        <v>879</v>
      </c>
      <c r="M537" s="12" t="s">
        <v>150</v>
      </c>
      <c r="N537" s="12">
        <v>1</v>
      </c>
      <c r="O537" s="12">
        <v>1</v>
      </c>
      <c r="P537" s="12">
        <v>0</v>
      </c>
      <c r="Q537" s="16">
        <v>1</v>
      </c>
      <c r="R537" s="16">
        <v>0</v>
      </c>
      <c r="S537" s="16"/>
      <c r="T537" s="28">
        <v>1</v>
      </c>
      <c r="U537" s="28"/>
      <c r="V537" s="29">
        <f>+VLOOKUP(E537,[1]base!D:K,8,0)</f>
        <v>5.8019999999999996</v>
      </c>
      <c r="W537" s="29">
        <f t="shared" si="58"/>
        <v>5.8019999999999996</v>
      </c>
      <c r="X537" s="29">
        <f t="shared" si="59"/>
        <v>0.30170399999999997</v>
      </c>
      <c r="Y537" s="29">
        <f>+VLOOKUP(E537,[1]base!D:E,2,0)</f>
        <v>14</v>
      </c>
      <c r="Z537" s="29">
        <f t="shared" si="60"/>
        <v>1</v>
      </c>
      <c r="AA537" s="29">
        <f t="shared" si="61"/>
        <v>6.6666666666666693E-2</v>
      </c>
      <c r="AB537" s="29">
        <f>+VLOOKUP(E537,[1]base!M:N,2,0)</f>
        <v>217</v>
      </c>
      <c r="AC537" s="29">
        <f>+VLOOKUP(E537,[1]base!M:Q,5,0)</f>
        <v>0</v>
      </c>
      <c r="AD537" s="30">
        <f>+VLOOKUP(E537,[1]base!M:P,4,0)</f>
        <v>0</v>
      </c>
      <c r="AE537" s="31">
        <f t="shared" si="62"/>
        <v>65.099999999999994</v>
      </c>
    </row>
    <row r="538" spans="1:31" x14ac:dyDescent="0.25">
      <c r="A538" s="12" t="s">
        <v>855</v>
      </c>
      <c r="B538" s="13">
        <v>46261.431909722225</v>
      </c>
      <c r="C538" s="12" t="s">
        <v>856</v>
      </c>
      <c r="D538" s="12" t="s">
        <v>870</v>
      </c>
      <c r="E538" s="26" t="str">
        <f t="shared" si="56"/>
        <v>PL112</v>
      </c>
      <c r="F538" s="27" t="str">
        <f t="shared" si="57"/>
        <v>ACAJOU</v>
      </c>
      <c r="G538" s="27">
        <f>+VLOOKUP(F538,[1]base!A:B,2,0)</f>
        <v>15.1</v>
      </c>
      <c r="H538" s="12">
        <v>1</v>
      </c>
      <c r="I538" s="12">
        <v>1</v>
      </c>
      <c r="J538" s="14"/>
      <c r="K538" s="14" t="s">
        <v>61</v>
      </c>
      <c r="L538" s="12" t="s">
        <v>873</v>
      </c>
      <c r="M538" s="12" t="s">
        <v>150</v>
      </c>
      <c r="N538" s="12">
        <v>1</v>
      </c>
      <c r="O538" s="12">
        <v>1</v>
      </c>
      <c r="P538" s="12">
        <v>0</v>
      </c>
      <c r="Q538" s="16">
        <v>1</v>
      </c>
      <c r="R538" s="16">
        <v>0</v>
      </c>
      <c r="S538" s="16"/>
      <c r="T538" s="28">
        <v>1</v>
      </c>
      <c r="U538" s="28"/>
      <c r="V538" s="29">
        <f>+VLOOKUP(E538,[1]base!D:K,8,0)</f>
        <v>7.6950000000000003</v>
      </c>
      <c r="W538" s="29">
        <f t="shared" si="58"/>
        <v>7.6950000000000003</v>
      </c>
      <c r="X538" s="29">
        <f t="shared" si="59"/>
        <v>0.40014</v>
      </c>
      <c r="Y538" s="29">
        <f>+VLOOKUP(E538,[1]base!D:E,2,0)</f>
        <v>13</v>
      </c>
      <c r="Z538" s="29">
        <f t="shared" si="60"/>
        <v>1</v>
      </c>
      <c r="AA538" s="29">
        <f t="shared" si="61"/>
        <v>6.6666666666666693E-2</v>
      </c>
      <c r="AB538" s="29">
        <f>+VLOOKUP(E538,[1]base!M:N,2,0)</f>
        <v>234</v>
      </c>
      <c r="AC538" s="29">
        <f>+VLOOKUP(E538,[1]base!M:Q,5,0)</f>
        <v>0</v>
      </c>
      <c r="AD538" s="30">
        <f>+VLOOKUP(E538,[1]base!M:P,4,0)</f>
        <v>4.2553191489361703E-3</v>
      </c>
      <c r="AE538" s="31">
        <f t="shared" si="62"/>
        <v>69.204255319148928</v>
      </c>
    </row>
    <row r="539" spans="1:31" x14ac:dyDescent="0.25">
      <c r="A539" s="12" t="s">
        <v>855</v>
      </c>
      <c r="B539" s="13">
        <v>46261.431909722225</v>
      </c>
      <c r="C539" s="12" t="s">
        <v>856</v>
      </c>
      <c r="D539" s="12" t="s">
        <v>877</v>
      </c>
      <c r="E539" s="26" t="str">
        <f t="shared" si="56"/>
        <v>PL114</v>
      </c>
      <c r="F539" s="27" t="str">
        <f t="shared" si="57"/>
        <v>ACAJOU</v>
      </c>
      <c r="G539" s="27">
        <f>+VLOOKUP(F539,[1]base!A:B,2,0)</f>
        <v>15.1</v>
      </c>
      <c r="H539" s="12">
        <v>1</v>
      </c>
      <c r="I539" s="12">
        <v>1</v>
      </c>
      <c r="J539" s="14"/>
      <c r="K539" s="14" t="s">
        <v>61</v>
      </c>
      <c r="L539" s="12" t="s">
        <v>880</v>
      </c>
      <c r="M539" s="12" t="s">
        <v>150</v>
      </c>
      <c r="N539" s="12">
        <v>1</v>
      </c>
      <c r="O539" s="12">
        <v>1</v>
      </c>
      <c r="P539" s="12">
        <v>0</v>
      </c>
      <c r="Q539" s="16">
        <v>1</v>
      </c>
      <c r="R539" s="16">
        <v>0</v>
      </c>
      <c r="S539" s="16"/>
      <c r="T539" s="28">
        <v>1</v>
      </c>
      <c r="U539" s="28"/>
      <c r="V539" s="29">
        <f>+VLOOKUP(E539,[1]base!D:K,8,0)</f>
        <v>1.5</v>
      </c>
      <c r="W539" s="29">
        <f t="shared" si="58"/>
        <v>1.5</v>
      </c>
      <c r="X539" s="29">
        <f t="shared" si="59"/>
        <v>7.8E-2</v>
      </c>
      <c r="Y539" s="29">
        <f>+VLOOKUP(E539,[1]base!D:E,2,0)</f>
        <v>20</v>
      </c>
      <c r="Z539" s="29">
        <f t="shared" si="60"/>
        <v>1</v>
      </c>
      <c r="AA539" s="29">
        <f t="shared" si="61"/>
        <v>6.6666666666666693E-2</v>
      </c>
      <c r="AB539" s="29">
        <f>+VLOOKUP(E539,[1]base!M:N,2,0)</f>
        <v>274</v>
      </c>
      <c r="AC539" s="29">
        <f>+VLOOKUP(E539,[1]base!M:Q,5,0)</f>
        <v>0</v>
      </c>
      <c r="AD539" s="30">
        <f>+VLOOKUP(E539,[1]base!M:P,4,0)</f>
        <v>0</v>
      </c>
      <c r="AE539" s="31">
        <f t="shared" si="62"/>
        <v>82.2</v>
      </c>
    </row>
    <row r="540" spans="1:31" x14ac:dyDescent="0.25">
      <c r="A540" s="12" t="s">
        <v>1098</v>
      </c>
      <c r="B540" s="13">
        <v>46266.575185185182</v>
      </c>
      <c r="C540" s="12" t="s">
        <v>24</v>
      </c>
      <c r="D540" s="12" t="s">
        <v>1103</v>
      </c>
      <c r="E540" s="26" t="str">
        <f t="shared" si="56"/>
        <v>Pr6303</v>
      </c>
      <c r="F540" s="27" t="str">
        <f t="shared" si="57"/>
        <v>DARK</v>
      </c>
      <c r="G540" s="27">
        <f>+VLOOKUP(F540,[1]base!A:B,2,0)</f>
        <v>38</v>
      </c>
      <c r="H540" s="12">
        <v>2</v>
      </c>
      <c r="I540" s="12">
        <v>2</v>
      </c>
      <c r="J540" s="14"/>
      <c r="K540" s="14" t="s">
        <v>26</v>
      </c>
      <c r="L540" s="12" t="s">
        <v>1106</v>
      </c>
      <c r="M540" s="12" t="s">
        <v>150</v>
      </c>
      <c r="N540" s="12">
        <v>2</v>
      </c>
      <c r="O540" s="12">
        <v>2</v>
      </c>
      <c r="P540" s="12">
        <v>0</v>
      </c>
      <c r="Q540" s="16">
        <v>0</v>
      </c>
      <c r="R540" s="16">
        <v>0</v>
      </c>
      <c r="S540" s="16"/>
      <c r="T540" s="28">
        <v>2</v>
      </c>
      <c r="U540" s="28"/>
      <c r="V540" s="29">
        <f>+VLOOKUP(E540,[1]base!D:K,8,0)</f>
        <v>15</v>
      </c>
      <c r="W540" s="29">
        <f t="shared" si="58"/>
        <v>30</v>
      </c>
      <c r="X540" s="29">
        <f t="shared" si="59"/>
        <v>1.5599999999999998</v>
      </c>
      <c r="Y540" s="29">
        <f>+VLOOKUP(E540,[1]base!D:E,2,0)</f>
        <v>6</v>
      </c>
      <c r="Z540" s="29">
        <f t="shared" si="60"/>
        <v>1</v>
      </c>
      <c r="AA540" s="29">
        <f t="shared" si="61"/>
        <v>6.6666666666666693E-2</v>
      </c>
      <c r="AB540" s="29">
        <f>+VLOOKUP(E540,[1]base!M:N,2,0)</f>
        <v>0</v>
      </c>
      <c r="AC540" s="29">
        <f>+VLOOKUP(E540,[1]base!M:Q,5,0)</f>
        <v>0</v>
      </c>
      <c r="AD540" s="30">
        <f>+VLOOKUP(E540,[1]base!M:P,4,0)</f>
        <v>1</v>
      </c>
      <c r="AE540" s="31">
        <f t="shared" si="62"/>
        <v>0</v>
      </c>
    </row>
    <row r="541" spans="1:31" x14ac:dyDescent="0.25">
      <c r="A541" s="12" t="s">
        <v>1098</v>
      </c>
      <c r="B541" s="13">
        <v>46266.575185185182</v>
      </c>
      <c r="C541" s="12" t="s">
        <v>24</v>
      </c>
      <c r="D541" s="12" t="s">
        <v>1109</v>
      </c>
      <c r="E541" s="26" t="str">
        <f t="shared" si="56"/>
        <v>Pr6304</v>
      </c>
      <c r="F541" s="27" t="str">
        <f t="shared" si="57"/>
        <v>DARK</v>
      </c>
      <c r="G541" s="27">
        <f>+VLOOKUP(F541,[1]base!A:B,2,0)</f>
        <v>38</v>
      </c>
      <c r="H541" s="12">
        <v>1</v>
      </c>
      <c r="I541" s="12">
        <v>1</v>
      </c>
      <c r="J541" s="14"/>
      <c r="K541" s="14" t="s">
        <v>26</v>
      </c>
      <c r="L541" s="12" t="s">
        <v>1111</v>
      </c>
      <c r="M541" s="12" t="s">
        <v>150</v>
      </c>
      <c r="N541" s="12">
        <v>1</v>
      </c>
      <c r="O541" s="12">
        <v>1</v>
      </c>
      <c r="P541" s="12">
        <v>0</v>
      </c>
      <c r="Q541" s="16">
        <v>0</v>
      </c>
      <c r="R541" s="16">
        <v>1</v>
      </c>
      <c r="S541" s="16"/>
      <c r="T541" s="28">
        <v>0</v>
      </c>
      <c r="U541" s="28">
        <v>1</v>
      </c>
      <c r="V541" s="29">
        <f>+VLOOKUP(E541,[1]base!D:K,8,0)</f>
        <v>8.6579999999999995</v>
      </c>
      <c r="W541" s="29">
        <f t="shared" si="58"/>
        <v>8.6579999999999995</v>
      </c>
      <c r="X541" s="29">
        <f t="shared" si="59"/>
        <v>0.45021599999999995</v>
      </c>
      <c r="Y541" s="29">
        <f>+VLOOKUP(E541,[1]base!D:E,2,0)</f>
        <v>10</v>
      </c>
      <c r="Z541" s="29">
        <f t="shared" si="60"/>
        <v>0</v>
      </c>
      <c r="AA541" s="29">
        <f t="shared" si="61"/>
        <v>0</v>
      </c>
      <c r="AB541" s="29">
        <f>+VLOOKUP(E541,[1]base!M:N,2,0)</f>
        <v>0</v>
      </c>
      <c r="AC541" s="29">
        <f>+VLOOKUP(E541,[1]base!M:Q,5,0)</f>
        <v>0</v>
      </c>
      <c r="AD541" s="30">
        <f>+VLOOKUP(E541,[1]base!M:P,4,0)</f>
        <v>1</v>
      </c>
      <c r="AE541" s="31">
        <f t="shared" si="62"/>
        <v>0</v>
      </c>
    </row>
    <row r="542" spans="1:31" x14ac:dyDescent="0.25">
      <c r="A542" s="12" t="s">
        <v>1098</v>
      </c>
      <c r="B542" s="13">
        <v>46266.575185185182</v>
      </c>
      <c r="C542" s="12" t="s">
        <v>24</v>
      </c>
      <c r="D542" s="12" t="s">
        <v>1105</v>
      </c>
      <c r="E542" s="26" t="str">
        <f t="shared" si="56"/>
        <v>Pr6305</v>
      </c>
      <c r="F542" s="27" t="str">
        <f t="shared" si="57"/>
        <v>DARK</v>
      </c>
      <c r="G542" s="27">
        <f>+VLOOKUP(F542,[1]base!A:B,2,0)</f>
        <v>38</v>
      </c>
      <c r="H542" s="12">
        <v>1</v>
      </c>
      <c r="I542" s="12">
        <v>1</v>
      </c>
      <c r="J542" s="14"/>
      <c r="K542" s="14" t="s">
        <v>26</v>
      </c>
      <c r="L542" s="12" t="s">
        <v>1108</v>
      </c>
      <c r="M542" s="12" t="s">
        <v>150</v>
      </c>
      <c r="N542" s="12">
        <v>1</v>
      </c>
      <c r="O542" s="12">
        <v>1</v>
      </c>
      <c r="P542" s="12">
        <v>0</v>
      </c>
      <c r="Q542" s="16">
        <v>0</v>
      </c>
      <c r="R542" s="16">
        <v>0</v>
      </c>
      <c r="S542" s="16"/>
      <c r="T542" s="28">
        <v>1</v>
      </c>
      <c r="U542" s="28"/>
      <c r="V542" s="29">
        <f>+VLOOKUP(E542,[1]base!D:K,8,0)</f>
        <v>7.9820000000000002</v>
      </c>
      <c r="W542" s="29">
        <f t="shared" si="58"/>
        <v>7.9820000000000002</v>
      </c>
      <c r="X542" s="29">
        <f t="shared" si="59"/>
        <v>0.41506399999999999</v>
      </c>
      <c r="Y542" s="29">
        <f>+VLOOKUP(E542,[1]base!D:E,2,0)</f>
        <v>12</v>
      </c>
      <c r="Z542" s="29">
        <f t="shared" si="60"/>
        <v>1</v>
      </c>
      <c r="AA542" s="29">
        <f t="shared" si="61"/>
        <v>6.6666666666666693E-2</v>
      </c>
      <c r="AB542" s="29">
        <f>+VLOOKUP(E542,[1]base!M:N,2,0)</f>
        <v>0</v>
      </c>
      <c r="AC542" s="29">
        <f>+VLOOKUP(E542,[1]base!M:Q,5,0)</f>
        <v>0</v>
      </c>
      <c r="AD542" s="30">
        <f>+VLOOKUP(E542,[1]base!M:P,4,0)</f>
        <v>1</v>
      </c>
      <c r="AE542" s="31">
        <f t="shared" si="62"/>
        <v>0</v>
      </c>
    </row>
    <row r="543" spans="1:31" x14ac:dyDescent="0.25">
      <c r="A543" s="12" t="s">
        <v>1098</v>
      </c>
      <c r="B543" s="13">
        <v>46266.575185185182</v>
      </c>
      <c r="C543" s="12" t="s">
        <v>24</v>
      </c>
      <c r="D543" s="12" t="s">
        <v>1104</v>
      </c>
      <c r="E543" s="26" t="str">
        <f t="shared" si="56"/>
        <v>Pr6308</v>
      </c>
      <c r="F543" s="27" t="str">
        <f t="shared" si="57"/>
        <v>DARK</v>
      </c>
      <c r="G543" s="27">
        <f>+VLOOKUP(F543,[1]base!A:B,2,0)</f>
        <v>38</v>
      </c>
      <c r="H543" s="12">
        <v>2</v>
      </c>
      <c r="I543" s="12">
        <v>2</v>
      </c>
      <c r="J543" s="14"/>
      <c r="K543" s="14" t="s">
        <v>26</v>
      </c>
      <c r="L543" s="12" t="s">
        <v>1107</v>
      </c>
      <c r="M543" s="12" t="s">
        <v>150</v>
      </c>
      <c r="N543" s="12">
        <v>2</v>
      </c>
      <c r="O543" s="12">
        <v>2</v>
      </c>
      <c r="P543" s="12">
        <v>0</v>
      </c>
      <c r="Q543" s="16">
        <v>0</v>
      </c>
      <c r="R543" s="16">
        <v>0</v>
      </c>
      <c r="S543" s="16"/>
      <c r="T543" s="28">
        <v>2</v>
      </c>
      <c r="U543" s="28"/>
      <c r="V543" s="29">
        <f>+VLOOKUP(E543,[1]base!D:K,8,0)</f>
        <v>15.009</v>
      </c>
      <c r="W543" s="29">
        <f t="shared" si="58"/>
        <v>30.018000000000001</v>
      </c>
      <c r="X543" s="29">
        <f t="shared" si="59"/>
        <v>1.5609359999999999</v>
      </c>
      <c r="Y543" s="29">
        <f>+VLOOKUP(E543,[1]base!D:E,2,0)</f>
        <v>6</v>
      </c>
      <c r="Z543" s="29">
        <f t="shared" si="60"/>
        <v>1</v>
      </c>
      <c r="AA543" s="29">
        <f t="shared" si="61"/>
        <v>6.6666666666666693E-2</v>
      </c>
      <c r="AB543" s="29">
        <f>+VLOOKUP(E543,[1]base!M:N,2,0)</f>
        <v>0</v>
      </c>
      <c r="AC543" s="29">
        <f>+VLOOKUP(E543,[1]base!M:Q,5,0)</f>
        <v>0</v>
      </c>
      <c r="AD543" s="30">
        <f>+VLOOKUP(E543,[1]base!M:P,4,0)</f>
        <v>1</v>
      </c>
      <c r="AE543" s="31">
        <f t="shared" si="62"/>
        <v>0</v>
      </c>
    </row>
    <row r="544" spans="1:31" x14ac:dyDescent="0.25">
      <c r="A544" s="12" t="s">
        <v>1098</v>
      </c>
      <c r="B544" s="13">
        <v>46266.575185185182</v>
      </c>
      <c r="C544" s="12" t="s">
        <v>24</v>
      </c>
      <c r="D544" s="12" t="s">
        <v>1110</v>
      </c>
      <c r="E544" s="26" t="str">
        <f t="shared" si="56"/>
        <v>Pr6310</v>
      </c>
      <c r="F544" s="27" t="str">
        <f t="shared" si="57"/>
        <v>DARK</v>
      </c>
      <c r="G544" s="27">
        <f>+VLOOKUP(F544,[1]base!A:B,2,0)</f>
        <v>38</v>
      </c>
      <c r="H544" s="12">
        <v>2</v>
      </c>
      <c r="I544" s="12">
        <v>2</v>
      </c>
      <c r="J544" s="14"/>
      <c r="K544" s="14" t="s">
        <v>26</v>
      </c>
      <c r="L544" s="12" t="s">
        <v>1112</v>
      </c>
      <c r="M544" s="12" t="s">
        <v>150</v>
      </c>
      <c r="N544" s="12">
        <v>2</v>
      </c>
      <c r="O544" s="12">
        <v>2</v>
      </c>
      <c r="P544" s="12">
        <v>0</v>
      </c>
      <c r="Q544" s="16">
        <v>0</v>
      </c>
      <c r="R544" s="16">
        <v>0</v>
      </c>
      <c r="S544" s="16"/>
      <c r="T544" s="28">
        <v>2</v>
      </c>
      <c r="U544" s="28"/>
      <c r="V544" s="29">
        <f>+VLOOKUP(E544,[1]base!D:K,8,0)</f>
        <v>2.262</v>
      </c>
      <c r="W544" s="29">
        <f t="shared" si="58"/>
        <v>4.524</v>
      </c>
      <c r="X544" s="29">
        <f t="shared" si="59"/>
        <v>0.23524799999999998</v>
      </c>
      <c r="Y544" s="29">
        <f>+VLOOKUP(E544,[1]base!D:E,2,0)</f>
        <v>20</v>
      </c>
      <c r="Z544" s="29">
        <f t="shared" si="60"/>
        <v>1</v>
      </c>
      <c r="AA544" s="29">
        <f t="shared" si="61"/>
        <v>6.6666666666666693E-2</v>
      </c>
      <c r="AB544" s="29">
        <f>+VLOOKUP(E544,[1]base!M:N,2,0)</f>
        <v>66</v>
      </c>
      <c r="AC544" s="29">
        <f>+VLOOKUP(E544,[1]base!M:Q,5,0)</f>
        <v>0</v>
      </c>
      <c r="AD544" s="30">
        <f>+VLOOKUP(E544,[1]base!M:P,4,0)</f>
        <v>0</v>
      </c>
      <c r="AE544" s="31">
        <f t="shared" si="62"/>
        <v>19.8</v>
      </c>
    </row>
    <row r="545" spans="1:31" x14ac:dyDescent="0.25">
      <c r="A545" s="12" t="s">
        <v>609</v>
      </c>
      <c r="B545" s="13">
        <v>46246.552789351852</v>
      </c>
      <c r="C545" s="12" t="s">
        <v>24</v>
      </c>
      <c r="D545" s="12" t="s">
        <v>612</v>
      </c>
      <c r="E545" s="26" t="str">
        <f t="shared" si="56"/>
        <v>T054-12</v>
      </c>
      <c r="F545" s="27" t="str">
        <f t="shared" si="57"/>
        <v>NOIR</v>
      </c>
      <c r="G545" s="27">
        <f>+VLOOKUP(F545,[1]base!A:B,2,0)</f>
        <v>37</v>
      </c>
      <c r="H545" s="12">
        <v>120</v>
      </c>
      <c r="I545" s="12">
        <v>120</v>
      </c>
      <c r="J545" s="14"/>
      <c r="K545" s="14" t="s">
        <v>26</v>
      </c>
      <c r="L545" s="12" t="s">
        <v>615</v>
      </c>
      <c r="M545" s="12" t="s">
        <v>150</v>
      </c>
      <c r="N545" s="12">
        <v>120</v>
      </c>
      <c r="O545" s="12">
        <v>120</v>
      </c>
      <c r="P545" s="12">
        <v>0</v>
      </c>
      <c r="Q545" s="16">
        <v>0</v>
      </c>
      <c r="R545" s="16">
        <v>0</v>
      </c>
      <c r="S545" s="16"/>
      <c r="T545" s="28">
        <v>120</v>
      </c>
      <c r="U545" s="28"/>
      <c r="V545" s="29">
        <f>+VLOOKUP(E545,[1]base!D:K,8,0)</f>
        <v>1.4999999999999999E-2</v>
      </c>
      <c r="W545" s="29">
        <f t="shared" si="58"/>
        <v>1.7999999999999998</v>
      </c>
      <c r="X545" s="29">
        <f t="shared" si="59"/>
        <v>9.3599999999999989E-2</v>
      </c>
      <c r="Y545" s="29">
        <f>+VLOOKUP(E545,[1]base!D:E,2,0)</f>
        <v>800</v>
      </c>
      <c r="Z545" s="29">
        <f t="shared" si="60"/>
        <v>1</v>
      </c>
      <c r="AA545" s="29">
        <f t="shared" si="61"/>
        <v>6.6666666666666693E-2</v>
      </c>
      <c r="AB545" s="29" t="e">
        <f>+VLOOKUP(E545,[1]base!M:N,2,0)</f>
        <v>#N/A</v>
      </c>
      <c r="AC545" s="29" t="e">
        <f>+VLOOKUP(E545,[1]base!M:Q,5,0)</f>
        <v>#N/A</v>
      </c>
      <c r="AD545" s="30" t="e">
        <f>+VLOOKUP(E545,[1]base!M:P,4,0)</f>
        <v>#N/A</v>
      </c>
      <c r="AE545" s="31" t="e">
        <f t="shared" si="62"/>
        <v>#N/A</v>
      </c>
    </row>
    <row r="864085" spans="25:25" x14ac:dyDescent="0.25">
      <c r="Y864085" s="25" t="s">
        <v>1666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39DF5-F12D-463B-B461-63C9246BDCDA}">
  <dimension ref="A1:AE864092"/>
  <sheetViews>
    <sheetView topLeftCell="A164" workbookViewId="0">
      <selection activeCell="J24" sqref="J24"/>
    </sheetView>
  </sheetViews>
  <sheetFormatPr baseColWidth="10" defaultColWidth="9.140625" defaultRowHeight="15" x14ac:dyDescent="0.25"/>
  <cols>
    <col min="1" max="1" width="12.28515625" style="39" customWidth="1"/>
    <col min="2" max="2" width="18.85546875" style="40" customWidth="1"/>
    <col min="3" max="3" width="33.140625" customWidth="1"/>
    <col min="4" max="4" width="24.85546875" customWidth="1"/>
    <col min="5" max="5" width="16.28515625" style="41" bestFit="1" customWidth="1"/>
    <col min="6" max="6" width="9.7109375" style="25" bestFit="1" customWidth="1"/>
    <col min="7" max="7" width="5.5703125" style="25" bestFit="1" customWidth="1"/>
    <col min="8" max="8" width="13.140625" style="25" customWidth="1"/>
    <col min="9" max="9" width="10.85546875" style="25" customWidth="1"/>
    <col min="10" max="10" width="13" style="25" customWidth="1"/>
    <col min="11" max="11" width="6.140625" style="25" customWidth="1"/>
    <col min="12" max="12" width="13" style="25" customWidth="1"/>
    <col min="13" max="13" width="11.5703125" style="25" customWidth="1"/>
    <col min="14" max="14" width="8.28515625" style="25" bestFit="1" customWidth="1"/>
    <col min="15" max="15" width="8.140625" style="25" bestFit="1" customWidth="1"/>
    <col min="16" max="16" width="7.28515625" style="25" customWidth="1"/>
    <col min="17" max="17" width="6" style="25" customWidth="1"/>
    <col min="18" max="18" width="9.28515625" style="25" customWidth="1"/>
    <col min="19" max="19" width="8.7109375" style="25" bestFit="1" customWidth="1"/>
    <col min="20" max="20" width="11.7109375" style="42" customWidth="1"/>
    <col min="21" max="21" width="9" style="42" customWidth="1"/>
    <col min="22" max="22" width="8.140625" style="25" bestFit="1" customWidth="1"/>
    <col min="23" max="23" width="8.7109375" style="25" customWidth="1"/>
    <col min="24" max="24" width="9.28515625" style="25" bestFit="1" customWidth="1"/>
    <col min="25" max="25" width="7.42578125" style="25" bestFit="1" customWidth="1"/>
    <col min="26" max="26" width="10.42578125" style="25" customWidth="1"/>
    <col min="27" max="27" width="10.42578125" style="25" bestFit="1" customWidth="1"/>
    <col min="28" max="28" width="7.140625" style="25" customWidth="1"/>
    <col min="29" max="29" width="8.140625" style="25" bestFit="1" customWidth="1"/>
    <col min="30" max="30" width="9.7109375" style="43" bestFit="1" customWidth="1"/>
    <col min="31" max="31" width="8.85546875" style="44" bestFit="1" customWidth="1"/>
    <col min="32" max="16384" width="9.140625" style="25"/>
  </cols>
  <sheetData>
    <row r="1" spans="1:31" ht="38.25" x14ac:dyDescent="0.2">
      <c r="A1" s="3" t="s">
        <v>1644</v>
      </c>
      <c r="B1" s="18" t="s">
        <v>3</v>
      </c>
      <c r="C1" s="3" t="s">
        <v>1645</v>
      </c>
      <c r="D1" s="5" t="s">
        <v>5</v>
      </c>
      <c r="E1" s="19" t="s">
        <v>1646</v>
      </c>
      <c r="F1" s="19" t="s">
        <v>1647</v>
      </c>
      <c r="G1" s="19" t="s">
        <v>1648</v>
      </c>
      <c r="H1" s="4" t="s">
        <v>1649</v>
      </c>
      <c r="I1" s="4" t="s">
        <v>1650</v>
      </c>
      <c r="J1" s="6" t="s">
        <v>8</v>
      </c>
      <c r="K1" s="20" t="s">
        <v>1651</v>
      </c>
      <c r="L1" s="19" t="s">
        <v>1652</v>
      </c>
      <c r="M1" s="19" t="s">
        <v>1653</v>
      </c>
      <c r="N1" s="19" t="s">
        <v>1654</v>
      </c>
      <c r="O1" s="19" t="s">
        <v>14</v>
      </c>
      <c r="P1" s="19" t="s">
        <v>15</v>
      </c>
      <c r="Q1" s="21" t="s">
        <v>16</v>
      </c>
      <c r="R1" s="21" t="s">
        <v>17</v>
      </c>
      <c r="S1" s="21" t="s">
        <v>18</v>
      </c>
      <c r="T1" s="22" t="s">
        <v>1655</v>
      </c>
      <c r="U1" s="22" t="s">
        <v>1656</v>
      </c>
      <c r="V1" s="21" t="s">
        <v>1657</v>
      </c>
      <c r="W1" s="21" t="s">
        <v>1658</v>
      </c>
      <c r="X1" s="21" t="s">
        <v>1659</v>
      </c>
      <c r="Y1" s="21" t="s">
        <v>1660</v>
      </c>
      <c r="Z1" s="21" t="s">
        <v>1661</v>
      </c>
      <c r="AA1" s="21" t="s">
        <v>1662</v>
      </c>
      <c r="AB1" s="21" t="s">
        <v>1663</v>
      </c>
      <c r="AC1" s="21" t="s">
        <v>1664</v>
      </c>
      <c r="AD1" s="23" t="s">
        <v>1665</v>
      </c>
      <c r="AE1" s="24"/>
    </row>
    <row r="2" spans="1:31" s="32" customFormat="1" x14ac:dyDescent="0.25">
      <c r="A2" s="12"/>
      <c r="B2" s="13"/>
      <c r="C2" s="12"/>
      <c r="D2" s="12" t="s">
        <v>158</v>
      </c>
      <c r="E2" s="26" t="str">
        <f t="shared" ref="E2:E33" si="0">_xlfn.TEXTBEFORE(D2, "-", -1, 1, , D2)</f>
        <v>CO103</v>
      </c>
      <c r="F2" s="27" t="str">
        <f t="shared" ref="F2:F33" si="1">_xlfn.TEXTAFTER(D2, "-", -1, 1, , "")</f>
        <v>BLC</v>
      </c>
      <c r="G2" s="27">
        <f>+VLOOKUP(F2,[1]base!A:B,2,0)</f>
        <v>1</v>
      </c>
      <c r="H2" s="12"/>
      <c r="I2" s="12"/>
      <c r="J2" s="14"/>
      <c r="K2" s="14"/>
      <c r="L2" s="12"/>
      <c r="M2" s="12"/>
      <c r="N2" s="12"/>
      <c r="O2" s="12"/>
      <c r="P2" s="12"/>
      <c r="Q2" s="16">
        <v>0</v>
      </c>
      <c r="R2" s="16">
        <v>0</v>
      </c>
      <c r="S2" s="16"/>
      <c r="T2" s="28">
        <v>180</v>
      </c>
      <c r="U2" s="28"/>
      <c r="V2" s="29">
        <f>+VLOOKUP(E2,[1]base!D:K,8,0)</f>
        <v>7.293000000000001</v>
      </c>
      <c r="W2" s="29">
        <f t="shared" ref="W2:W33" si="2">(T2+U2)*V2</f>
        <v>1312.7400000000002</v>
      </c>
      <c r="X2" s="29">
        <f t="shared" ref="X2:X33" si="3">+W2*0.052</f>
        <v>68.262480000000011</v>
      </c>
      <c r="Y2" s="29">
        <f>+VLOOKUP(E2,[1]base!D:E,2,0)</f>
        <v>12</v>
      </c>
      <c r="Z2" s="29">
        <f t="shared" ref="Z2:Z33" si="4">ROUNDUP(T2/Y2,0)</f>
        <v>15</v>
      </c>
      <c r="AA2" s="29">
        <f t="shared" ref="AA2:AA33" si="5">+Z2*0.0666666666666667</f>
        <v>1.0000000000000004</v>
      </c>
      <c r="AB2" s="29">
        <f>+VLOOKUP(E2,[1]base!M:N,2,0)</f>
        <v>949</v>
      </c>
      <c r="AC2" s="29">
        <f>+VLOOKUP(E2,[1]base!M:Q,5,0)</f>
        <v>593.63636363636363</v>
      </c>
      <c r="AD2" s="30">
        <f>+VLOOKUP(E2,[1]base!M:P,4,0)</f>
        <v>9.962049335863378E-2</v>
      </c>
      <c r="AE2" s="31">
        <f t="shared" ref="AE2:AE33" si="6">+AB2*(30%-AD2)</f>
        <v>190.16015180265654</v>
      </c>
    </row>
    <row r="3" spans="1:31" s="32" customFormat="1" x14ac:dyDescent="0.25">
      <c r="A3" s="12"/>
      <c r="B3" s="13"/>
      <c r="C3" s="12"/>
      <c r="D3" s="12" t="s">
        <v>157</v>
      </c>
      <c r="E3" s="26" t="str">
        <f t="shared" si="0"/>
        <v>CO104</v>
      </c>
      <c r="F3" s="27" t="str">
        <f t="shared" si="1"/>
        <v>BLC</v>
      </c>
      <c r="G3" s="27">
        <f>+VLOOKUP(F3,[1]base!A:B,2,0)</f>
        <v>1</v>
      </c>
      <c r="H3" s="12"/>
      <c r="I3" s="12"/>
      <c r="J3" s="14"/>
      <c r="K3" s="14"/>
      <c r="L3" s="12"/>
      <c r="M3" s="12"/>
      <c r="N3" s="12"/>
      <c r="O3" s="12"/>
      <c r="P3" s="12"/>
      <c r="Q3" s="16">
        <v>15</v>
      </c>
      <c r="R3" s="16">
        <v>0</v>
      </c>
      <c r="S3" s="16"/>
      <c r="T3" s="28">
        <v>117</v>
      </c>
      <c r="U3" s="28"/>
      <c r="V3" s="29">
        <f>+VLOOKUP(E3,[1]base!D:K,8,0)</f>
        <v>4.7059999999999995</v>
      </c>
      <c r="W3" s="29">
        <f t="shared" si="2"/>
        <v>550.60199999999998</v>
      </c>
      <c r="X3" s="29">
        <f t="shared" si="3"/>
        <v>28.631303999999997</v>
      </c>
      <c r="Y3" s="29">
        <f>+VLOOKUP(E3,[1]base!D:E,2,0)</f>
        <v>13</v>
      </c>
      <c r="Z3" s="29">
        <f t="shared" si="4"/>
        <v>9</v>
      </c>
      <c r="AA3" s="29">
        <f t="shared" si="5"/>
        <v>0.6000000000000002</v>
      </c>
      <c r="AB3" s="29">
        <f>+VLOOKUP(E3,[1]base!M:N,2,0)</f>
        <v>406</v>
      </c>
      <c r="AC3" s="29">
        <f>+VLOOKUP(E3,[1]base!M:Q,5,0)</f>
        <v>344.5</v>
      </c>
      <c r="AD3" s="30">
        <f>+VLOOKUP(E3,[1]base!M:P,4,0)</f>
        <v>4.9019607843137254E-3</v>
      </c>
      <c r="AE3" s="31">
        <f t="shared" si="6"/>
        <v>119.80980392156863</v>
      </c>
    </row>
    <row r="4" spans="1:31" s="32" customFormat="1" x14ac:dyDescent="0.25">
      <c r="A4" s="12"/>
      <c r="B4" s="13"/>
      <c r="C4" s="12"/>
      <c r="D4" s="12" t="s">
        <v>159</v>
      </c>
      <c r="E4" s="26" t="str">
        <f t="shared" si="0"/>
        <v>CO106</v>
      </c>
      <c r="F4" s="27" t="str">
        <f t="shared" si="1"/>
        <v>BLC</v>
      </c>
      <c r="G4" s="27">
        <f>+VLOOKUP(F4,[1]base!A:B,2,0)</f>
        <v>1</v>
      </c>
      <c r="H4" s="12"/>
      <c r="I4" s="12"/>
      <c r="J4" s="14"/>
      <c r="K4" s="14"/>
      <c r="L4" s="12"/>
      <c r="M4" s="12"/>
      <c r="N4" s="12"/>
      <c r="O4" s="12"/>
      <c r="P4" s="12"/>
      <c r="Q4" s="16">
        <v>0</v>
      </c>
      <c r="R4" s="16">
        <v>0</v>
      </c>
      <c r="S4" s="16"/>
      <c r="T4" s="28">
        <v>60</v>
      </c>
      <c r="U4" s="28"/>
      <c r="V4" s="29">
        <f>+VLOOKUP(E4,[1]base!D:K,8,0)</f>
        <v>4.3029999999999999</v>
      </c>
      <c r="W4" s="29">
        <f t="shared" si="2"/>
        <v>258.18</v>
      </c>
      <c r="X4" s="29">
        <f t="shared" si="3"/>
        <v>13.42536</v>
      </c>
      <c r="Y4" s="29">
        <f>+VLOOKUP(E4,[1]base!D:E,2,0)</f>
        <v>15</v>
      </c>
      <c r="Z4" s="29">
        <f t="shared" si="4"/>
        <v>4</v>
      </c>
      <c r="AA4" s="29">
        <f t="shared" si="5"/>
        <v>0.26666666666666677</v>
      </c>
      <c r="AB4" s="29">
        <f>+VLOOKUP(E4,[1]base!M:N,2,0)</f>
        <v>125</v>
      </c>
      <c r="AC4" s="29">
        <f>+VLOOKUP(E4,[1]base!M:Q,5,0)</f>
        <v>453.90909090909093</v>
      </c>
      <c r="AD4" s="30">
        <f>+VLOOKUP(E4,[1]base!M:P,4,0)</f>
        <v>9.420289855072464E-2</v>
      </c>
      <c r="AE4" s="31">
        <f t="shared" si="6"/>
        <v>25.724637681159418</v>
      </c>
    </row>
    <row r="5" spans="1:31" s="32" customFormat="1" x14ac:dyDescent="0.25">
      <c r="A5" s="12"/>
      <c r="B5" s="13"/>
      <c r="C5" s="12"/>
      <c r="D5" s="12" t="s">
        <v>160</v>
      </c>
      <c r="E5" s="26" t="str">
        <f t="shared" si="0"/>
        <v>CO114</v>
      </c>
      <c r="F5" s="27" t="str">
        <f t="shared" si="1"/>
        <v>BLC</v>
      </c>
      <c r="G5" s="27">
        <f>+VLOOKUP(F5,[1]base!A:B,2,0)</f>
        <v>1</v>
      </c>
      <c r="H5" s="12"/>
      <c r="I5" s="12"/>
      <c r="J5" s="14"/>
      <c r="K5" s="14"/>
      <c r="L5" s="12"/>
      <c r="M5" s="12"/>
      <c r="N5" s="12"/>
      <c r="O5" s="12"/>
      <c r="P5" s="12"/>
      <c r="Q5" s="16">
        <v>0</v>
      </c>
      <c r="R5" s="16">
        <v>0</v>
      </c>
      <c r="S5" s="16">
        <v>81</v>
      </c>
      <c r="T5" s="28">
        <v>250</v>
      </c>
      <c r="U5" s="28"/>
      <c r="V5" s="29">
        <f>+VLOOKUP(E5,[1]base!D:K,8,0)</f>
        <v>0.90350000000000008</v>
      </c>
      <c r="W5" s="29">
        <f t="shared" si="2"/>
        <v>225.87500000000003</v>
      </c>
      <c r="X5" s="29">
        <f t="shared" si="3"/>
        <v>11.745500000000002</v>
      </c>
      <c r="Y5" s="29">
        <f>+VLOOKUP(E5,[1]base!D:E,2,0)</f>
        <v>20</v>
      </c>
      <c r="Z5" s="29">
        <f t="shared" si="4"/>
        <v>13</v>
      </c>
      <c r="AA5" s="29">
        <f t="shared" si="5"/>
        <v>0.86666666666666703</v>
      </c>
      <c r="AB5" s="29">
        <f>+VLOOKUP(E5,[1]base!M:N,2,0)</f>
        <v>2067</v>
      </c>
      <c r="AC5" s="29">
        <f>+VLOOKUP(E5,[1]base!M:Q,5,0)</f>
        <v>2162.818181818182</v>
      </c>
      <c r="AD5" s="30">
        <f>+VLOOKUP(E5,[1]base!M:P,4,0)</f>
        <v>0.13982521847690388</v>
      </c>
      <c r="AE5" s="31">
        <f t="shared" si="6"/>
        <v>331.08127340823967</v>
      </c>
    </row>
    <row r="6" spans="1:31" s="32" customFormat="1" x14ac:dyDescent="0.25">
      <c r="A6" s="12"/>
      <c r="B6" s="13"/>
      <c r="C6" s="12"/>
      <c r="D6" s="12" t="s">
        <v>600</v>
      </c>
      <c r="E6" s="26" t="str">
        <f t="shared" si="0"/>
        <v>CSQ102</v>
      </c>
      <c r="F6" s="27" t="str">
        <f t="shared" si="1"/>
        <v>BLC</v>
      </c>
      <c r="G6" s="27">
        <f>+VLOOKUP(F6,[1]base!A:B,2,0)</f>
        <v>1</v>
      </c>
      <c r="H6" s="12"/>
      <c r="I6" s="12"/>
      <c r="J6" s="14"/>
      <c r="K6" s="14" t="s">
        <v>61</v>
      </c>
      <c r="L6" s="12"/>
      <c r="M6" s="12"/>
      <c r="N6" s="12"/>
      <c r="O6" s="12"/>
      <c r="P6" s="12"/>
      <c r="Q6" s="16">
        <v>110</v>
      </c>
      <c r="R6" s="16">
        <v>1</v>
      </c>
      <c r="S6" s="16"/>
      <c r="T6" s="28">
        <v>60</v>
      </c>
      <c r="U6" s="28"/>
      <c r="V6" s="29">
        <f>+VLOOKUP(E6,[1]base!D:K,8,0)</f>
        <v>6.5064999999999991</v>
      </c>
      <c r="W6" s="29">
        <f t="shared" si="2"/>
        <v>390.38999999999993</v>
      </c>
      <c r="X6" s="29">
        <f t="shared" si="3"/>
        <v>20.300279999999994</v>
      </c>
      <c r="Y6" s="29">
        <f>+VLOOKUP(E6,[1]base!D:E,2,0)</f>
        <v>12</v>
      </c>
      <c r="Z6" s="29">
        <f t="shared" si="4"/>
        <v>5</v>
      </c>
      <c r="AA6" s="29">
        <f t="shared" si="5"/>
        <v>0.33333333333333348</v>
      </c>
      <c r="AB6" s="29">
        <f>+VLOOKUP(E6,[1]base!M:N,2,0)</f>
        <v>24</v>
      </c>
      <c r="AC6" s="29">
        <f>+VLOOKUP(E6,[1]base!M:Q,5,0)</f>
        <v>266.66666666666669</v>
      </c>
      <c r="AD6" s="30">
        <f>+VLOOKUP(E6,[1]base!M:P,4,0)</f>
        <v>0.04</v>
      </c>
      <c r="AE6" s="31">
        <f t="shared" si="6"/>
        <v>6.24</v>
      </c>
    </row>
    <row r="7" spans="1:31" s="32" customFormat="1" x14ac:dyDescent="0.25">
      <c r="A7" s="12"/>
      <c r="B7" s="13"/>
      <c r="C7" s="12"/>
      <c r="D7" s="12" t="s">
        <v>600</v>
      </c>
      <c r="E7" s="26" t="str">
        <f t="shared" si="0"/>
        <v>CSQ102</v>
      </c>
      <c r="F7" s="27" t="str">
        <f t="shared" si="1"/>
        <v>BLC</v>
      </c>
      <c r="G7" s="27">
        <f>+VLOOKUP(F7,[1]base!A:B,2,0)</f>
        <v>1</v>
      </c>
      <c r="H7" s="12"/>
      <c r="I7" s="12"/>
      <c r="J7" s="14"/>
      <c r="K7" s="14" t="s">
        <v>61</v>
      </c>
      <c r="L7" s="12"/>
      <c r="M7" s="12"/>
      <c r="N7" s="12"/>
      <c r="O7" s="12"/>
      <c r="P7" s="12"/>
      <c r="Q7" s="16">
        <v>15</v>
      </c>
      <c r="R7" s="16">
        <v>1</v>
      </c>
      <c r="S7" s="16"/>
      <c r="T7" s="28">
        <v>15</v>
      </c>
      <c r="U7" s="28"/>
      <c r="V7" s="29">
        <f>+VLOOKUP(E7,[1]base!D:K,8,0)</f>
        <v>6.5064999999999991</v>
      </c>
      <c r="W7" s="29">
        <f t="shared" si="2"/>
        <v>97.597499999999982</v>
      </c>
      <c r="X7" s="29">
        <f t="shared" si="3"/>
        <v>5.0750699999999984</v>
      </c>
      <c r="Y7" s="29">
        <f>+VLOOKUP(E7,[1]base!D:E,2,0)</f>
        <v>12</v>
      </c>
      <c r="Z7" s="29">
        <f t="shared" si="4"/>
        <v>2</v>
      </c>
      <c r="AA7" s="29">
        <f t="shared" si="5"/>
        <v>0.13333333333333339</v>
      </c>
      <c r="AB7" s="29">
        <f>+VLOOKUP(E7,[1]base!M:N,2,0)</f>
        <v>24</v>
      </c>
      <c r="AC7" s="29">
        <f>+VLOOKUP(E7,[1]base!M:Q,5,0)</f>
        <v>266.66666666666669</v>
      </c>
      <c r="AD7" s="30">
        <f>+VLOOKUP(E7,[1]base!M:P,4,0)</f>
        <v>0.04</v>
      </c>
      <c r="AE7" s="31">
        <f t="shared" si="6"/>
        <v>6.24</v>
      </c>
    </row>
    <row r="8" spans="1:31" s="32" customFormat="1" x14ac:dyDescent="0.25">
      <c r="A8" s="12"/>
      <c r="B8" s="13"/>
      <c r="C8" s="12"/>
      <c r="D8" s="12" t="s">
        <v>600</v>
      </c>
      <c r="E8" s="26" t="str">
        <f t="shared" si="0"/>
        <v>CSQ102</v>
      </c>
      <c r="F8" s="27" t="str">
        <f t="shared" si="1"/>
        <v>BLC</v>
      </c>
      <c r="G8" s="27">
        <f>+VLOOKUP(F8,[1]base!A:B,2,0)</f>
        <v>1</v>
      </c>
      <c r="H8" s="12"/>
      <c r="I8" s="12"/>
      <c r="J8" s="14"/>
      <c r="K8" s="14" t="s">
        <v>61</v>
      </c>
      <c r="L8" s="12"/>
      <c r="M8" s="12"/>
      <c r="N8" s="12"/>
      <c r="O8" s="12"/>
      <c r="P8" s="12"/>
      <c r="Q8" s="16">
        <v>2</v>
      </c>
      <c r="R8" s="16">
        <v>1</v>
      </c>
      <c r="S8" s="16"/>
      <c r="T8" s="28">
        <v>1</v>
      </c>
      <c r="U8" s="28">
        <v>1</v>
      </c>
      <c r="V8" s="29">
        <f>+VLOOKUP(E8,[1]base!D:K,8,0)</f>
        <v>6.5064999999999991</v>
      </c>
      <c r="W8" s="29">
        <f t="shared" si="2"/>
        <v>13.012999999999998</v>
      </c>
      <c r="X8" s="29">
        <f t="shared" si="3"/>
        <v>0.67667599999999983</v>
      </c>
      <c r="Y8" s="29">
        <f>+VLOOKUP(E8,[1]base!D:E,2,0)</f>
        <v>12</v>
      </c>
      <c r="Z8" s="29">
        <f t="shared" si="4"/>
        <v>1</v>
      </c>
      <c r="AA8" s="29">
        <f t="shared" si="5"/>
        <v>6.6666666666666693E-2</v>
      </c>
      <c r="AB8" s="29">
        <f>+VLOOKUP(E8,[1]base!M:N,2,0)</f>
        <v>24</v>
      </c>
      <c r="AC8" s="29">
        <f>+VLOOKUP(E8,[1]base!M:Q,5,0)</f>
        <v>266.66666666666669</v>
      </c>
      <c r="AD8" s="30">
        <f>+VLOOKUP(E8,[1]base!M:P,4,0)</f>
        <v>0.04</v>
      </c>
      <c r="AE8" s="31">
        <f t="shared" si="6"/>
        <v>6.24</v>
      </c>
    </row>
    <row r="9" spans="1:31" s="32" customFormat="1" x14ac:dyDescent="0.25">
      <c r="A9" s="12"/>
      <c r="B9" s="13"/>
      <c r="C9" s="12"/>
      <c r="D9" s="12" t="s">
        <v>600</v>
      </c>
      <c r="E9" s="26" t="str">
        <f t="shared" si="0"/>
        <v>CSQ102</v>
      </c>
      <c r="F9" s="27" t="str">
        <f t="shared" si="1"/>
        <v>BLC</v>
      </c>
      <c r="G9" s="27">
        <f>+VLOOKUP(F9,[1]base!A:B,2,0)</f>
        <v>1</v>
      </c>
      <c r="H9" s="12"/>
      <c r="I9" s="12"/>
      <c r="J9" s="14"/>
      <c r="K9" s="14" t="s">
        <v>61</v>
      </c>
      <c r="L9" s="12"/>
      <c r="M9" s="12"/>
      <c r="N9" s="12"/>
      <c r="O9" s="12"/>
      <c r="P9" s="12"/>
      <c r="Q9" s="16">
        <v>50</v>
      </c>
      <c r="R9" s="16">
        <v>1</v>
      </c>
      <c r="S9" s="16"/>
      <c r="T9" s="28">
        <v>50</v>
      </c>
      <c r="U9" s="28"/>
      <c r="V9" s="29">
        <f>+VLOOKUP(E9,[1]base!D:K,8,0)</f>
        <v>6.5064999999999991</v>
      </c>
      <c r="W9" s="29">
        <f t="shared" si="2"/>
        <v>325.32499999999993</v>
      </c>
      <c r="X9" s="29">
        <f t="shared" si="3"/>
        <v>16.916899999999995</v>
      </c>
      <c r="Y9" s="29">
        <f>+VLOOKUP(E9,[1]base!D:E,2,0)</f>
        <v>12</v>
      </c>
      <c r="Z9" s="29">
        <f t="shared" si="4"/>
        <v>5</v>
      </c>
      <c r="AA9" s="29">
        <f t="shared" si="5"/>
        <v>0.33333333333333348</v>
      </c>
      <c r="AB9" s="29">
        <f>+VLOOKUP(E9,[1]base!M:N,2,0)</f>
        <v>24</v>
      </c>
      <c r="AC9" s="29">
        <f>+VLOOKUP(E9,[1]base!M:Q,5,0)</f>
        <v>266.66666666666669</v>
      </c>
      <c r="AD9" s="30">
        <f>+VLOOKUP(E9,[1]base!M:P,4,0)</f>
        <v>0.04</v>
      </c>
      <c r="AE9" s="31">
        <f t="shared" si="6"/>
        <v>6.24</v>
      </c>
    </row>
    <row r="10" spans="1:31" s="32" customFormat="1" x14ac:dyDescent="0.25">
      <c r="A10" s="12"/>
      <c r="B10" s="13"/>
      <c r="C10" s="12"/>
      <c r="D10" s="12" t="s">
        <v>633</v>
      </c>
      <c r="E10" s="26" t="str">
        <f t="shared" si="0"/>
        <v>CSQ104</v>
      </c>
      <c r="F10" s="27" t="str">
        <f t="shared" si="1"/>
        <v>BLC</v>
      </c>
      <c r="G10" s="27">
        <f>+VLOOKUP(F10,[1]base!A:B,2,0)</f>
        <v>1</v>
      </c>
      <c r="H10" s="12"/>
      <c r="I10" s="12"/>
      <c r="J10" s="14"/>
      <c r="K10" s="14" t="s">
        <v>61</v>
      </c>
      <c r="L10" s="12"/>
      <c r="M10" s="12"/>
      <c r="N10" s="12"/>
      <c r="O10" s="12"/>
      <c r="P10" s="12"/>
      <c r="Q10" s="16">
        <v>30</v>
      </c>
      <c r="R10" s="16">
        <v>0</v>
      </c>
      <c r="S10" s="16"/>
      <c r="T10" s="28">
        <v>30</v>
      </c>
      <c r="U10" s="28"/>
      <c r="V10" s="29">
        <f>+VLOOKUP(E10,[1]base!D:K,8,0)</f>
        <v>4.7774999999999999</v>
      </c>
      <c r="W10" s="29">
        <f t="shared" si="2"/>
        <v>143.32499999999999</v>
      </c>
      <c r="X10" s="29">
        <f t="shared" si="3"/>
        <v>7.4528999999999987</v>
      </c>
      <c r="Y10" s="29">
        <f>+VLOOKUP(E10,[1]base!D:E,2,0)</f>
        <v>13</v>
      </c>
      <c r="Z10" s="29">
        <f t="shared" si="4"/>
        <v>3</v>
      </c>
      <c r="AA10" s="29">
        <f t="shared" si="5"/>
        <v>0.20000000000000007</v>
      </c>
      <c r="AB10" s="29">
        <f>+VLOOKUP(E10,[1]base!M:N,2,0)</f>
        <v>218</v>
      </c>
      <c r="AC10" s="29">
        <f>+VLOOKUP(E10,[1]base!M:Q,5,0)</f>
        <v>230.63636363636363</v>
      </c>
      <c r="AD10" s="30">
        <f>+VLOOKUP(E10,[1]base!M:P,4,0)</f>
        <v>1.3574660633484163E-2</v>
      </c>
      <c r="AE10" s="31">
        <f t="shared" si="6"/>
        <v>62.440723981900447</v>
      </c>
    </row>
    <row r="11" spans="1:31" s="32" customFormat="1" x14ac:dyDescent="0.25">
      <c r="A11" s="12"/>
      <c r="B11" s="13"/>
      <c r="C11" s="12"/>
      <c r="D11" s="12" t="s">
        <v>633</v>
      </c>
      <c r="E11" s="26" t="str">
        <f t="shared" si="0"/>
        <v>CSQ104</v>
      </c>
      <c r="F11" s="27" t="str">
        <f t="shared" si="1"/>
        <v>BLC</v>
      </c>
      <c r="G11" s="27">
        <f>+VLOOKUP(F11,[1]base!A:B,2,0)</f>
        <v>1</v>
      </c>
      <c r="H11" s="12"/>
      <c r="I11" s="12"/>
      <c r="J11" s="14"/>
      <c r="K11" s="14" t="s">
        <v>61</v>
      </c>
      <c r="L11" s="12"/>
      <c r="M11" s="12"/>
      <c r="N11" s="12"/>
      <c r="O11" s="12"/>
      <c r="P11" s="12"/>
      <c r="Q11" s="16">
        <v>12</v>
      </c>
      <c r="R11" s="16">
        <v>0</v>
      </c>
      <c r="S11" s="16"/>
      <c r="T11" s="28">
        <v>12</v>
      </c>
      <c r="U11" s="28"/>
      <c r="V11" s="29">
        <f>+VLOOKUP(E11,[1]base!D:K,8,0)</f>
        <v>4.7774999999999999</v>
      </c>
      <c r="W11" s="29">
        <f t="shared" si="2"/>
        <v>57.33</v>
      </c>
      <c r="X11" s="29">
        <f t="shared" si="3"/>
        <v>2.9811599999999996</v>
      </c>
      <c r="Y11" s="29">
        <f>+VLOOKUP(E11,[1]base!D:E,2,0)</f>
        <v>13</v>
      </c>
      <c r="Z11" s="29">
        <f t="shared" si="4"/>
        <v>1</v>
      </c>
      <c r="AA11" s="29">
        <f t="shared" si="5"/>
        <v>6.6666666666666693E-2</v>
      </c>
      <c r="AB11" s="29">
        <f>+VLOOKUP(E11,[1]base!M:N,2,0)</f>
        <v>218</v>
      </c>
      <c r="AC11" s="29">
        <f>+VLOOKUP(E11,[1]base!M:Q,5,0)</f>
        <v>230.63636363636363</v>
      </c>
      <c r="AD11" s="30">
        <f>+VLOOKUP(E11,[1]base!M:P,4,0)</f>
        <v>1.3574660633484163E-2</v>
      </c>
      <c r="AE11" s="31">
        <f t="shared" si="6"/>
        <v>62.440723981900447</v>
      </c>
    </row>
    <row r="12" spans="1:31" s="32" customFormat="1" x14ac:dyDescent="0.25">
      <c r="A12" s="12"/>
      <c r="B12" s="13"/>
      <c r="C12" s="12"/>
      <c r="D12" s="12" t="s">
        <v>634</v>
      </c>
      <c r="E12" s="26" t="str">
        <f t="shared" si="0"/>
        <v>CSQ105</v>
      </c>
      <c r="F12" s="27" t="str">
        <f t="shared" si="1"/>
        <v>blc</v>
      </c>
      <c r="G12" s="27">
        <f>+VLOOKUP(F12,[1]base!A:B,2,0)</f>
        <v>1</v>
      </c>
      <c r="H12" s="12"/>
      <c r="I12" s="12"/>
      <c r="J12" s="14"/>
      <c r="K12" s="14" t="s">
        <v>61</v>
      </c>
      <c r="L12" s="12"/>
      <c r="M12" s="12"/>
      <c r="N12" s="12"/>
      <c r="O12" s="12"/>
      <c r="P12" s="12"/>
      <c r="Q12" s="16">
        <v>30</v>
      </c>
      <c r="R12" s="16">
        <v>0</v>
      </c>
      <c r="S12" s="16"/>
      <c r="T12" s="28">
        <v>30</v>
      </c>
      <c r="U12" s="28"/>
      <c r="V12" s="29">
        <f>+VLOOKUP(E12,[1]base!D:K,8,0)</f>
        <v>3.6659999999999995</v>
      </c>
      <c r="W12" s="29">
        <f t="shared" si="2"/>
        <v>109.97999999999999</v>
      </c>
      <c r="X12" s="29">
        <f t="shared" si="3"/>
        <v>5.7189599999999992</v>
      </c>
      <c r="Y12" s="29">
        <f>+VLOOKUP(E12,[1]base!D:E,2,0)</f>
        <v>13</v>
      </c>
      <c r="Z12" s="29">
        <f t="shared" si="4"/>
        <v>3</v>
      </c>
      <c r="AA12" s="29">
        <f t="shared" si="5"/>
        <v>0.20000000000000007</v>
      </c>
      <c r="AB12" s="29">
        <f>+VLOOKUP(E12,[1]base!M:N,2,0)</f>
        <v>397</v>
      </c>
      <c r="AC12" s="29">
        <f>+VLOOKUP(E12,[1]base!M:Q,5,0)</f>
        <v>233</v>
      </c>
      <c r="AD12" s="30">
        <f>+VLOOKUP(E12,[1]base!M:P,4,0)</f>
        <v>0</v>
      </c>
      <c r="AE12" s="31">
        <f t="shared" si="6"/>
        <v>119.1</v>
      </c>
    </row>
    <row r="13" spans="1:31" s="32" customFormat="1" x14ac:dyDescent="0.25">
      <c r="A13" s="12"/>
      <c r="B13" s="13"/>
      <c r="C13" s="12"/>
      <c r="D13" s="12" t="s">
        <v>634</v>
      </c>
      <c r="E13" s="26" t="str">
        <f t="shared" si="0"/>
        <v>CSQ105</v>
      </c>
      <c r="F13" s="27" t="str">
        <f t="shared" si="1"/>
        <v>blc</v>
      </c>
      <c r="G13" s="27">
        <f>+VLOOKUP(F13,[1]base!A:B,2,0)</f>
        <v>1</v>
      </c>
      <c r="H13" s="12"/>
      <c r="I13" s="12"/>
      <c r="J13" s="14"/>
      <c r="K13" s="14" t="s">
        <v>61</v>
      </c>
      <c r="L13" s="12"/>
      <c r="M13" s="12"/>
      <c r="N13" s="12"/>
      <c r="O13" s="12"/>
      <c r="P13" s="12"/>
      <c r="Q13" s="16">
        <v>12</v>
      </c>
      <c r="R13" s="16">
        <v>0</v>
      </c>
      <c r="S13" s="16"/>
      <c r="T13" s="28">
        <v>12</v>
      </c>
      <c r="U13" s="28"/>
      <c r="V13" s="29">
        <f>+VLOOKUP(E13,[1]base!D:K,8,0)</f>
        <v>3.6659999999999995</v>
      </c>
      <c r="W13" s="29">
        <f t="shared" si="2"/>
        <v>43.99199999999999</v>
      </c>
      <c r="X13" s="29">
        <f t="shared" si="3"/>
        <v>2.2875839999999994</v>
      </c>
      <c r="Y13" s="29">
        <f>+VLOOKUP(E13,[1]base!D:E,2,0)</f>
        <v>13</v>
      </c>
      <c r="Z13" s="29">
        <f t="shared" si="4"/>
        <v>1</v>
      </c>
      <c r="AA13" s="29">
        <f t="shared" si="5"/>
        <v>6.6666666666666693E-2</v>
      </c>
      <c r="AB13" s="29">
        <f>+VLOOKUP(E13,[1]base!M:N,2,0)</f>
        <v>397</v>
      </c>
      <c r="AC13" s="29">
        <f>+VLOOKUP(E13,[1]base!M:Q,5,0)</f>
        <v>233</v>
      </c>
      <c r="AD13" s="30">
        <f>+VLOOKUP(E13,[1]base!M:P,4,0)</f>
        <v>0</v>
      </c>
      <c r="AE13" s="31">
        <f t="shared" si="6"/>
        <v>119.1</v>
      </c>
    </row>
    <row r="14" spans="1:31" s="32" customFormat="1" x14ac:dyDescent="0.25">
      <c r="A14" s="12"/>
      <c r="B14" s="13"/>
      <c r="C14" s="12"/>
      <c r="D14" s="12" t="s">
        <v>161</v>
      </c>
      <c r="E14" s="26" t="str">
        <f t="shared" si="0"/>
        <v>CSQ107</v>
      </c>
      <c r="F14" s="27" t="str">
        <f t="shared" si="1"/>
        <v>BLC</v>
      </c>
      <c r="G14" s="27">
        <f>+VLOOKUP(F14,[1]base!A:B,2,0)</f>
        <v>1</v>
      </c>
      <c r="H14" s="12"/>
      <c r="I14" s="12"/>
      <c r="J14" s="14"/>
      <c r="K14" s="14" t="s">
        <v>61</v>
      </c>
      <c r="L14" s="12"/>
      <c r="M14" s="12"/>
      <c r="N14" s="12"/>
      <c r="O14" s="12"/>
      <c r="P14" s="12"/>
      <c r="Q14" s="16">
        <v>40</v>
      </c>
      <c r="R14" s="16">
        <v>7</v>
      </c>
      <c r="S14" s="16"/>
      <c r="T14" s="28">
        <v>13</v>
      </c>
      <c r="U14" s="28"/>
      <c r="V14" s="29">
        <f>+VLOOKUP(E14,[1]base!D:K,8,0)</f>
        <v>7.2280000000000006</v>
      </c>
      <c r="W14" s="29">
        <f t="shared" si="2"/>
        <v>93.964000000000013</v>
      </c>
      <c r="X14" s="29">
        <f t="shared" si="3"/>
        <v>4.8861280000000002</v>
      </c>
      <c r="Y14" s="29">
        <f>+VLOOKUP(E14,[1]base!D:E,2,0)</f>
        <v>13</v>
      </c>
      <c r="Z14" s="29">
        <f t="shared" si="4"/>
        <v>1</v>
      </c>
      <c r="AA14" s="29">
        <f t="shared" si="5"/>
        <v>6.6666666666666693E-2</v>
      </c>
      <c r="AB14" s="29">
        <f>+VLOOKUP(E14,[1]base!M:N,2,0)</f>
        <v>0</v>
      </c>
      <c r="AC14" s="29">
        <f>+VLOOKUP(E14,[1]base!M:Q,5,0)</f>
        <v>88.111111111111114</v>
      </c>
      <c r="AD14" s="30">
        <f>+VLOOKUP(E14,[1]base!M:P,4,0)</f>
        <v>1</v>
      </c>
      <c r="AE14" s="31">
        <f t="shared" si="6"/>
        <v>0</v>
      </c>
    </row>
    <row r="15" spans="1:31" x14ac:dyDescent="0.25">
      <c r="A15" s="12"/>
      <c r="B15" s="13"/>
      <c r="C15" s="12"/>
      <c r="D15" s="12" t="s">
        <v>602</v>
      </c>
      <c r="E15" s="26" t="str">
        <f t="shared" si="0"/>
        <v>CSQ108</v>
      </c>
      <c r="F15" s="27" t="str">
        <f t="shared" si="1"/>
        <v>BLC</v>
      </c>
      <c r="G15" s="27">
        <f>+VLOOKUP(F15,[1]base!A:B,2,0)</f>
        <v>1</v>
      </c>
      <c r="H15" s="12"/>
      <c r="I15" s="12"/>
      <c r="J15" s="14"/>
      <c r="K15" s="14" t="s">
        <v>61</v>
      </c>
      <c r="L15" s="12"/>
      <c r="M15" s="12"/>
      <c r="N15" s="12"/>
      <c r="O15" s="12"/>
      <c r="P15" s="12"/>
      <c r="Q15" s="16">
        <v>20</v>
      </c>
      <c r="R15" s="16">
        <v>0</v>
      </c>
      <c r="S15" s="16"/>
      <c r="T15" s="28">
        <v>20</v>
      </c>
      <c r="U15" s="28"/>
      <c r="V15" s="29">
        <f>+VLOOKUP(E15,[1]base!D:K,8,0)</f>
        <v>6.6364999999999998</v>
      </c>
      <c r="W15" s="29">
        <f t="shared" si="2"/>
        <v>132.72999999999999</v>
      </c>
      <c r="X15" s="29">
        <f t="shared" si="3"/>
        <v>6.901959999999999</v>
      </c>
      <c r="Y15" s="29">
        <f>+VLOOKUP(E15,[1]base!D:E,2,0)</f>
        <v>13</v>
      </c>
      <c r="Z15" s="29">
        <f t="shared" si="4"/>
        <v>2</v>
      </c>
      <c r="AA15" s="29">
        <f t="shared" si="5"/>
        <v>0.13333333333333339</v>
      </c>
      <c r="AB15" s="29">
        <f>+VLOOKUP(E15,[1]base!M:N,2,0)</f>
        <v>173</v>
      </c>
      <c r="AC15" s="29">
        <f>+VLOOKUP(E15,[1]base!M:Q,5,0)</f>
        <v>46.111111111111114</v>
      </c>
      <c r="AD15" s="30">
        <f>+VLOOKUP(E15,[1]base!M:P,4,0)</f>
        <v>0</v>
      </c>
      <c r="AE15" s="31">
        <f t="shared" si="6"/>
        <v>51.9</v>
      </c>
    </row>
    <row r="16" spans="1:31" s="32" customFormat="1" x14ac:dyDescent="0.25">
      <c r="A16" s="12"/>
      <c r="B16" s="13"/>
      <c r="C16" s="12"/>
      <c r="D16" s="12" t="s">
        <v>602</v>
      </c>
      <c r="E16" s="26" t="str">
        <f t="shared" si="0"/>
        <v>CSQ108</v>
      </c>
      <c r="F16" s="27" t="str">
        <f t="shared" si="1"/>
        <v>BLC</v>
      </c>
      <c r="G16" s="27">
        <f>+VLOOKUP(F16,[1]base!A:B,2,0)</f>
        <v>1</v>
      </c>
      <c r="H16" s="12"/>
      <c r="I16" s="12"/>
      <c r="J16" s="14"/>
      <c r="K16" s="14" t="s">
        <v>61</v>
      </c>
      <c r="L16" s="12"/>
      <c r="M16" s="12"/>
      <c r="N16" s="12"/>
      <c r="O16" s="12"/>
      <c r="P16" s="12"/>
      <c r="Q16" s="16">
        <v>4</v>
      </c>
      <c r="R16" s="16">
        <v>0</v>
      </c>
      <c r="S16" s="16"/>
      <c r="T16" s="28">
        <v>4</v>
      </c>
      <c r="U16" s="28"/>
      <c r="V16" s="29">
        <f>+VLOOKUP(E16,[1]base!D:K,8,0)</f>
        <v>6.6364999999999998</v>
      </c>
      <c r="W16" s="29">
        <f t="shared" si="2"/>
        <v>26.545999999999999</v>
      </c>
      <c r="X16" s="29">
        <f t="shared" si="3"/>
        <v>1.3803919999999998</v>
      </c>
      <c r="Y16" s="29">
        <f>+VLOOKUP(E16,[1]base!D:E,2,0)</f>
        <v>13</v>
      </c>
      <c r="Z16" s="29">
        <f t="shared" si="4"/>
        <v>1</v>
      </c>
      <c r="AA16" s="29">
        <f t="shared" si="5"/>
        <v>6.6666666666666693E-2</v>
      </c>
      <c r="AB16" s="29">
        <f>+VLOOKUP(E16,[1]base!M:N,2,0)</f>
        <v>173</v>
      </c>
      <c r="AC16" s="29">
        <f>+VLOOKUP(E16,[1]base!M:Q,5,0)</f>
        <v>46.111111111111114</v>
      </c>
      <c r="AD16" s="30">
        <f>+VLOOKUP(E16,[1]base!M:P,4,0)</f>
        <v>0</v>
      </c>
      <c r="AE16" s="31">
        <f t="shared" si="6"/>
        <v>51.9</v>
      </c>
    </row>
    <row r="17" spans="1:31" s="32" customFormat="1" x14ac:dyDescent="0.25">
      <c r="A17" s="12"/>
      <c r="B17" s="13"/>
      <c r="C17" s="12"/>
      <c r="D17" s="12" t="s">
        <v>635</v>
      </c>
      <c r="E17" s="26" t="str">
        <f t="shared" si="0"/>
        <v>CSQ114</v>
      </c>
      <c r="F17" s="27" t="str">
        <f t="shared" si="1"/>
        <v>BLC</v>
      </c>
      <c r="G17" s="27">
        <f>+VLOOKUP(F17,[1]base!A:B,2,0)</f>
        <v>1</v>
      </c>
      <c r="H17" s="12"/>
      <c r="I17" s="12"/>
      <c r="J17" s="14"/>
      <c r="K17" s="14" t="s">
        <v>61</v>
      </c>
      <c r="L17" s="12"/>
      <c r="M17" s="12"/>
      <c r="N17" s="12"/>
      <c r="O17" s="12"/>
      <c r="P17" s="12"/>
      <c r="Q17" s="16">
        <v>50</v>
      </c>
      <c r="R17" s="16">
        <v>25</v>
      </c>
      <c r="S17" s="16"/>
      <c r="T17" s="28">
        <v>25</v>
      </c>
      <c r="U17" s="28"/>
      <c r="V17" s="29">
        <f>+VLOOKUP(E17,[1]base!D:K,8,0)</f>
        <v>0.91000000000000014</v>
      </c>
      <c r="W17" s="29">
        <f t="shared" si="2"/>
        <v>22.750000000000004</v>
      </c>
      <c r="X17" s="29">
        <f t="shared" si="3"/>
        <v>1.1830000000000001</v>
      </c>
      <c r="Y17" s="29">
        <f>+VLOOKUP(E17,[1]base!D:E,2,0)</f>
        <v>20</v>
      </c>
      <c r="Z17" s="29">
        <f t="shared" si="4"/>
        <v>2</v>
      </c>
      <c r="AA17" s="29">
        <f t="shared" si="5"/>
        <v>0.13333333333333339</v>
      </c>
      <c r="AB17" s="29">
        <f>+VLOOKUP(E17,[1]base!M:N,2,0)</f>
        <v>639</v>
      </c>
      <c r="AC17" s="29">
        <f>+VLOOKUP(E17,[1]base!M:Q,5,0)</f>
        <v>351.33333333333331</v>
      </c>
      <c r="AD17" s="30">
        <f>+VLOOKUP(E17,[1]base!M:P,4,0)</f>
        <v>4.1979010494752625E-2</v>
      </c>
      <c r="AE17" s="31">
        <f t="shared" si="6"/>
        <v>164.87541229385309</v>
      </c>
    </row>
    <row r="18" spans="1:31" s="32" customFormat="1" x14ac:dyDescent="0.25">
      <c r="A18" s="12"/>
      <c r="B18" s="13"/>
      <c r="C18" s="12"/>
      <c r="D18" s="12" t="s">
        <v>603</v>
      </c>
      <c r="E18" s="26" t="str">
        <f t="shared" si="0"/>
        <v>CSQ126</v>
      </c>
      <c r="F18" s="27" t="str">
        <f t="shared" si="1"/>
        <v>BLC</v>
      </c>
      <c r="G18" s="27">
        <f>+VLOOKUP(F18,[1]base!A:B,2,0)</f>
        <v>1</v>
      </c>
      <c r="H18" s="12"/>
      <c r="I18" s="12"/>
      <c r="J18" s="14"/>
      <c r="K18" s="14" t="s">
        <v>61</v>
      </c>
      <c r="L18" s="12"/>
      <c r="M18" s="12"/>
      <c r="N18" s="12"/>
      <c r="O18" s="12"/>
      <c r="P18" s="12"/>
      <c r="Q18" s="16">
        <v>30</v>
      </c>
      <c r="R18" s="16">
        <v>4</v>
      </c>
      <c r="S18" s="16"/>
      <c r="T18" s="28">
        <v>26</v>
      </c>
      <c r="U18" s="28"/>
      <c r="V18" s="29">
        <f>+VLOOKUP(E18,[1]base!D:K,8,0)</f>
        <v>1.5859999999999999</v>
      </c>
      <c r="W18" s="29">
        <f t="shared" si="2"/>
        <v>41.235999999999997</v>
      </c>
      <c r="X18" s="29">
        <f t="shared" si="3"/>
        <v>2.144272</v>
      </c>
      <c r="Y18" s="29">
        <f>+VLOOKUP(E18,[1]base!D:E,2,0)</f>
        <v>20</v>
      </c>
      <c r="Z18" s="29">
        <f t="shared" si="4"/>
        <v>2</v>
      </c>
      <c r="AA18" s="29">
        <f t="shared" si="5"/>
        <v>0.13333333333333339</v>
      </c>
      <c r="AB18" s="29">
        <f>+VLOOKUP(E18,[1]base!M:N,2,0)</f>
        <v>51</v>
      </c>
      <c r="AC18" s="29">
        <f>+VLOOKUP(E18,[1]base!M:Q,5,0)</f>
        <v>29.666666666666668</v>
      </c>
      <c r="AD18" s="30">
        <f>+VLOOKUP(E18,[1]base!M:P,4,0)</f>
        <v>7.2727272727272724E-2</v>
      </c>
      <c r="AE18" s="31">
        <f t="shared" si="6"/>
        <v>11.59090909090909</v>
      </c>
    </row>
    <row r="19" spans="1:31" s="32" customFormat="1" x14ac:dyDescent="0.25">
      <c r="A19" s="12"/>
      <c r="B19" s="13"/>
      <c r="C19" s="12"/>
      <c r="D19" s="12" t="s">
        <v>892</v>
      </c>
      <c r="E19" s="26" t="str">
        <f t="shared" si="0"/>
        <v>CSQ210</v>
      </c>
      <c r="F19" s="27" t="str">
        <f t="shared" si="1"/>
        <v>BLC</v>
      </c>
      <c r="G19" s="27">
        <f>+VLOOKUP(F19,[1]base!A:B,2,0)</f>
        <v>1</v>
      </c>
      <c r="H19" s="12"/>
      <c r="I19" s="12"/>
      <c r="J19" s="14"/>
      <c r="K19" s="14" t="s">
        <v>61</v>
      </c>
      <c r="L19" s="12"/>
      <c r="M19" s="12"/>
      <c r="N19" s="12"/>
      <c r="O19" s="12"/>
      <c r="P19" s="12"/>
      <c r="Q19" s="16">
        <v>4</v>
      </c>
      <c r="R19" s="16">
        <v>0</v>
      </c>
      <c r="S19" s="16"/>
      <c r="T19" s="28">
        <v>4</v>
      </c>
      <c r="U19" s="28"/>
      <c r="V19" s="29">
        <f>+VLOOKUP(E19,[1]base!D:K,8,0)</f>
        <v>8.4109999999999996</v>
      </c>
      <c r="W19" s="29">
        <f t="shared" si="2"/>
        <v>33.643999999999998</v>
      </c>
      <c r="X19" s="29">
        <f t="shared" si="3"/>
        <v>1.7494879999999999</v>
      </c>
      <c r="Y19" s="29">
        <f>+VLOOKUP(E19,[1]base!D:E,2,0)</f>
        <v>12</v>
      </c>
      <c r="Z19" s="29">
        <f t="shared" si="4"/>
        <v>1</v>
      </c>
      <c r="AA19" s="29">
        <f t="shared" si="5"/>
        <v>6.6666666666666693E-2</v>
      </c>
      <c r="AB19" s="29">
        <f>+VLOOKUP(E19,[1]base!M:N,2,0)</f>
        <v>442</v>
      </c>
      <c r="AC19" s="29">
        <f>+VLOOKUP(E19,[1]base!M:Q,5,0)</f>
        <v>19</v>
      </c>
      <c r="AD19" s="30">
        <f>+VLOOKUP(E19,[1]base!M:P,4,0)</f>
        <v>2.257336343115124E-3</v>
      </c>
      <c r="AE19" s="31">
        <f t="shared" si="6"/>
        <v>131.60225733634309</v>
      </c>
    </row>
    <row r="20" spans="1:31" s="32" customFormat="1" x14ac:dyDescent="0.25">
      <c r="A20" s="12"/>
      <c r="B20" s="13"/>
      <c r="C20" s="12"/>
      <c r="D20" s="12" t="s">
        <v>893</v>
      </c>
      <c r="E20" s="26" t="str">
        <f t="shared" si="0"/>
        <v>CSQ305</v>
      </c>
      <c r="F20" s="27" t="str">
        <f t="shared" si="1"/>
        <v>BLC</v>
      </c>
      <c r="G20" s="27">
        <f>+VLOOKUP(F20,[1]base!A:B,2,0)</f>
        <v>1</v>
      </c>
      <c r="H20" s="12"/>
      <c r="I20" s="12"/>
      <c r="J20" s="14"/>
      <c r="K20" s="14" t="s">
        <v>61</v>
      </c>
      <c r="L20" s="12"/>
      <c r="M20" s="12"/>
      <c r="N20" s="12"/>
      <c r="O20" s="12"/>
      <c r="P20" s="12"/>
      <c r="Q20" s="16">
        <v>8</v>
      </c>
      <c r="R20" s="16">
        <v>0</v>
      </c>
      <c r="S20" s="16"/>
      <c r="T20" s="28">
        <v>8</v>
      </c>
      <c r="U20" s="28"/>
      <c r="V20" s="29">
        <f>+VLOOKUP(E20,[1]base!D:K,8,0)</f>
        <v>1.56</v>
      </c>
      <c r="W20" s="29">
        <f t="shared" si="2"/>
        <v>12.48</v>
      </c>
      <c r="X20" s="29">
        <f t="shared" si="3"/>
        <v>0.64895999999999998</v>
      </c>
      <c r="Y20" s="29">
        <f>+VLOOKUP(E20,[1]base!D:E,2,0)</f>
        <v>20</v>
      </c>
      <c r="Z20" s="29">
        <f t="shared" si="4"/>
        <v>1</v>
      </c>
      <c r="AA20" s="29">
        <f t="shared" si="5"/>
        <v>6.6666666666666693E-2</v>
      </c>
      <c r="AB20" s="29">
        <f>+VLOOKUP(E20,[1]base!M:N,2,0)</f>
        <v>707</v>
      </c>
      <c r="AC20" s="29">
        <f>+VLOOKUP(E20,[1]base!M:Q,5,0)</f>
        <v>174.77777777777777</v>
      </c>
      <c r="AD20" s="30">
        <f>+VLOOKUP(E20,[1]base!M:P,4,0)</f>
        <v>9.8039215686274508E-3</v>
      </c>
      <c r="AE20" s="31">
        <f t="shared" si="6"/>
        <v>205.16862745098038</v>
      </c>
    </row>
    <row r="21" spans="1:31" s="32" customFormat="1" x14ac:dyDescent="0.25">
      <c r="A21" s="12"/>
      <c r="B21" s="13"/>
      <c r="C21" s="12"/>
      <c r="D21" s="12" t="s">
        <v>933</v>
      </c>
      <c r="E21" s="26" t="str">
        <f t="shared" si="0"/>
        <v>EC22104</v>
      </c>
      <c r="F21" s="27" t="str">
        <f t="shared" si="1"/>
        <v>BLC</v>
      </c>
      <c r="G21" s="27">
        <f>+VLOOKUP(F21,[1]base!A:B,2,0)</f>
        <v>1</v>
      </c>
      <c r="H21" s="12"/>
      <c r="I21" s="12"/>
      <c r="J21" s="14"/>
      <c r="K21" s="14" t="s">
        <v>61</v>
      </c>
      <c r="L21" s="12"/>
      <c r="M21" s="12"/>
      <c r="N21" s="12"/>
      <c r="O21" s="12"/>
      <c r="P21" s="12"/>
      <c r="Q21" s="16">
        <v>60</v>
      </c>
      <c r="R21" s="16">
        <v>0</v>
      </c>
      <c r="S21" s="16"/>
      <c r="T21" s="28">
        <v>80</v>
      </c>
      <c r="U21" s="28"/>
      <c r="V21" s="29">
        <f>+VLOOKUP(E21,[1]base!D:K,8,0)</f>
        <v>4.6669999999999998</v>
      </c>
      <c r="W21" s="29">
        <f t="shared" si="2"/>
        <v>373.36</v>
      </c>
      <c r="X21" s="29">
        <f t="shared" si="3"/>
        <v>19.414719999999999</v>
      </c>
      <c r="Y21" s="29">
        <v>10</v>
      </c>
      <c r="Z21" s="29">
        <f t="shared" si="4"/>
        <v>8</v>
      </c>
      <c r="AA21" s="29">
        <f t="shared" si="5"/>
        <v>0.53333333333333355</v>
      </c>
      <c r="AB21" s="29">
        <f>+VLOOKUP(E21,[1]base!M:N,2,0)</f>
        <v>276</v>
      </c>
      <c r="AC21" s="29">
        <f>+VLOOKUP(E21,[1]base!M:Q,5,0)</f>
        <v>109.6</v>
      </c>
      <c r="AD21" s="30">
        <f>+VLOOKUP(E21,[1]base!M:P,4,0)</f>
        <v>0.24175824175824176</v>
      </c>
      <c r="AE21" s="31">
        <f t="shared" si="6"/>
        <v>16.074725274725271</v>
      </c>
    </row>
    <row r="22" spans="1:31" s="32" customFormat="1" x14ac:dyDescent="0.25">
      <c r="A22" s="12"/>
      <c r="B22" s="13"/>
      <c r="C22" s="12"/>
      <c r="D22" s="12" t="s">
        <v>70</v>
      </c>
      <c r="E22" s="26" t="str">
        <f t="shared" si="0"/>
        <v>EC40100</v>
      </c>
      <c r="F22" s="27" t="str">
        <f t="shared" si="1"/>
        <v>BLC</v>
      </c>
      <c r="G22" s="27">
        <f>+VLOOKUP(F22,[1]base!A:B,2,0)</f>
        <v>1</v>
      </c>
      <c r="H22" s="12"/>
      <c r="I22" s="12"/>
      <c r="J22" s="14"/>
      <c r="K22" s="14" t="s">
        <v>26</v>
      </c>
      <c r="L22" s="12"/>
      <c r="M22" s="12"/>
      <c r="N22" s="12"/>
      <c r="O22" s="12"/>
      <c r="P22" s="12"/>
      <c r="Q22" s="16">
        <v>0</v>
      </c>
      <c r="R22" s="16">
        <v>0</v>
      </c>
      <c r="S22" s="16"/>
      <c r="T22" s="33">
        <v>260</v>
      </c>
      <c r="U22" s="33"/>
      <c r="V22" s="29">
        <f>+VLOOKUP(E22,[1]base!D:K,8,0)</f>
        <v>4.1340000000000003</v>
      </c>
      <c r="W22" s="29">
        <f t="shared" si="2"/>
        <v>1074.8400000000001</v>
      </c>
      <c r="X22" s="29">
        <f t="shared" si="3"/>
        <v>55.891680000000008</v>
      </c>
      <c r="Y22" s="29">
        <f>+VLOOKUP(E22,[1]base!D:E,2,0)</f>
        <v>13</v>
      </c>
      <c r="Z22" s="29">
        <f t="shared" si="4"/>
        <v>20</v>
      </c>
      <c r="AA22" s="29">
        <f t="shared" si="5"/>
        <v>1.3333333333333339</v>
      </c>
      <c r="AB22" s="29">
        <f>+VLOOKUP(E22,[1]base!M:N,2,0)</f>
        <v>442</v>
      </c>
      <c r="AC22" s="29">
        <f>+VLOOKUP(E22,[1]base!M:Q,5,0)</f>
        <v>2247.5454545454545</v>
      </c>
      <c r="AD22" s="30">
        <f>+VLOOKUP(E22,[1]base!M:P,4,0)</f>
        <v>9.9796334012219962E-2</v>
      </c>
      <c r="AE22" s="31">
        <f t="shared" si="6"/>
        <v>88.49002036659877</v>
      </c>
    </row>
    <row r="23" spans="1:31" s="32" customFormat="1" x14ac:dyDescent="0.25">
      <c r="A23" s="12"/>
      <c r="B23" s="13"/>
      <c r="C23" s="12"/>
      <c r="D23" s="12" t="s">
        <v>261</v>
      </c>
      <c r="E23" s="26" t="str">
        <f t="shared" si="0"/>
        <v>EC40102</v>
      </c>
      <c r="F23" s="27" t="str">
        <f t="shared" si="1"/>
        <v>BLC</v>
      </c>
      <c r="G23" s="27">
        <f>+VLOOKUP(F23,[1]base!A:B,2,0)</f>
        <v>1</v>
      </c>
      <c r="H23" s="12"/>
      <c r="I23" s="12"/>
      <c r="J23" s="14"/>
      <c r="K23" s="14" t="s">
        <v>26</v>
      </c>
      <c r="L23" s="12"/>
      <c r="M23" s="12"/>
      <c r="N23" s="12"/>
      <c r="O23" s="12"/>
      <c r="P23" s="12"/>
      <c r="Q23" s="16"/>
      <c r="R23" s="16"/>
      <c r="S23" s="16"/>
      <c r="T23" s="33">
        <v>6</v>
      </c>
      <c r="U23" s="33"/>
      <c r="V23" s="29">
        <f>+VLOOKUP(E23,[1]base!D:K,8,0)</f>
        <v>3.2825000000000002</v>
      </c>
      <c r="W23" s="29">
        <f t="shared" si="2"/>
        <v>19.695</v>
      </c>
      <c r="X23" s="29">
        <f t="shared" si="3"/>
        <v>1.0241400000000001</v>
      </c>
      <c r="Y23" s="29">
        <f>+VLOOKUP(E23,[1]base!D:E,2,0)</f>
        <v>13</v>
      </c>
      <c r="Z23" s="29">
        <f t="shared" si="4"/>
        <v>1</v>
      </c>
      <c r="AA23" s="29">
        <f t="shared" si="5"/>
        <v>6.6666666666666693E-2</v>
      </c>
      <c r="AB23" s="29">
        <f>+VLOOKUP(E23,[1]base!M:N,2,0)</f>
        <v>6</v>
      </c>
      <c r="AC23" s="29">
        <f>+VLOOKUP(E23,[1]base!M:Q,5,0)</f>
        <v>824.22222222222217</v>
      </c>
      <c r="AD23" s="30">
        <f>+VLOOKUP(E23,[1]base!M:P,4,0)</f>
        <v>0.45454545454545453</v>
      </c>
      <c r="AE23" s="31">
        <f t="shared" si="6"/>
        <v>-0.92727272727272725</v>
      </c>
    </row>
    <row r="24" spans="1:31" s="32" customFormat="1" x14ac:dyDescent="0.25">
      <c r="A24" s="12"/>
      <c r="B24" s="13"/>
      <c r="C24" s="12"/>
      <c r="D24" s="12" t="s">
        <v>373</v>
      </c>
      <c r="E24" s="26" t="str">
        <f t="shared" si="0"/>
        <v>EC40104</v>
      </c>
      <c r="F24" s="27" t="str">
        <f t="shared" si="1"/>
        <v>BLC</v>
      </c>
      <c r="G24" s="27">
        <f>+VLOOKUP(F24,[1]base!A:B,2,0)</f>
        <v>1</v>
      </c>
      <c r="H24" s="12"/>
      <c r="I24" s="12"/>
      <c r="J24" s="14"/>
      <c r="K24" s="14" t="s">
        <v>61</v>
      </c>
      <c r="L24" s="12"/>
      <c r="M24" s="12"/>
      <c r="N24" s="12"/>
      <c r="O24" s="12"/>
      <c r="P24" s="12"/>
      <c r="Q24" s="16">
        <v>25</v>
      </c>
      <c r="R24" s="16">
        <v>2</v>
      </c>
      <c r="S24" s="16"/>
      <c r="T24" s="33">
        <v>26</v>
      </c>
      <c r="U24" s="33"/>
      <c r="V24" s="29">
        <f>+VLOOKUP(E24,[1]base!D:K,8,0)</f>
        <v>5.7004999999999999</v>
      </c>
      <c r="W24" s="29">
        <f t="shared" si="2"/>
        <v>148.21299999999999</v>
      </c>
      <c r="X24" s="29">
        <f t="shared" si="3"/>
        <v>7.7070759999999989</v>
      </c>
      <c r="Y24" s="29">
        <f>+VLOOKUP(E24,[1]base!D:E,2,0)</f>
        <v>13</v>
      </c>
      <c r="Z24" s="29">
        <f t="shared" si="4"/>
        <v>2</v>
      </c>
      <c r="AA24" s="29">
        <f t="shared" si="5"/>
        <v>0.13333333333333339</v>
      </c>
      <c r="AB24" s="29">
        <f>+VLOOKUP(E24,[1]base!M:N,2,0)</f>
        <v>57</v>
      </c>
      <c r="AC24" s="29">
        <f>+VLOOKUP(E24,[1]base!M:Q,5,0)</f>
        <v>150.71428571428572</v>
      </c>
      <c r="AD24" s="30">
        <f>+VLOOKUP(E24,[1]base!M:P,4,0)</f>
        <v>3.3898305084745763E-2</v>
      </c>
      <c r="AE24" s="31">
        <f t="shared" si="6"/>
        <v>15.167796610169489</v>
      </c>
    </row>
    <row r="25" spans="1:31" s="32" customFormat="1" x14ac:dyDescent="0.25">
      <c r="A25" s="12"/>
      <c r="B25" s="13"/>
      <c r="C25" s="12"/>
      <c r="D25" s="12" t="s">
        <v>354</v>
      </c>
      <c r="E25" s="26" t="str">
        <f t="shared" si="0"/>
        <v>EC40112</v>
      </c>
      <c r="F25" s="27" t="str">
        <f t="shared" si="1"/>
        <v>BLC</v>
      </c>
      <c r="G25" s="27">
        <f>+VLOOKUP(F25,[1]base!A:B,2,0)</f>
        <v>1</v>
      </c>
      <c r="H25" s="12"/>
      <c r="I25" s="12"/>
      <c r="J25" s="14">
        <v>-1</v>
      </c>
      <c r="K25" s="14" t="s">
        <v>26</v>
      </c>
      <c r="L25" s="12"/>
      <c r="M25" s="12"/>
      <c r="N25" s="12"/>
      <c r="O25" s="12"/>
      <c r="P25" s="12"/>
      <c r="Q25" s="16">
        <v>0</v>
      </c>
      <c r="R25" s="16">
        <v>0</v>
      </c>
      <c r="S25" s="16"/>
      <c r="T25" s="33">
        <v>16</v>
      </c>
      <c r="U25" s="33"/>
      <c r="V25" s="29">
        <f>+VLOOKUP(E25,[1]base!D:K,8,0)</f>
        <v>4.16</v>
      </c>
      <c r="W25" s="29">
        <f t="shared" si="2"/>
        <v>66.56</v>
      </c>
      <c r="X25" s="29">
        <f t="shared" si="3"/>
        <v>3.4611199999999998</v>
      </c>
      <c r="Y25" s="29">
        <f>+VLOOKUP(E25,[1]base!D:E,2,0)</f>
        <v>14</v>
      </c>
      <c r="Z25" s="29">
        <f t="shared" si="4"/>
        <v>2</v>
      </c>
      <c r="AA25" s="29">
        <f t="shared" si="5"/>
        <v>0.13333333333333339</v>
      </c>
      <c r="AB25" s="29">
        <f>+VLOOKUP(E25,[1]base!M:N,2,0)</f>
        <v>19</v>
      </c>
      <c r="AC25" s="29">
        <f>+VLOOKUP(E25,[1]base!M:Q,5,0)</f>
        <v>268.39999999999998</v>
      </c>
      <c r="AD25" s="30">
        <f>+VLOOKUP(E25,[1]base!M:P,4,0)</f>
        <v>0.32142857142857145</v>
      </c>
      <c r="AE25" s="31">
        <f t="shared" si="6"/>
        <v>-0.40714285714285781</v>
      </c>
    </row>
    <row r="26" spans="1:31" s="32" customFormat="1" x14ac:dyDescent="0.25">
      <c r="A26" s="12"/>
      <c r="B26" s="13"/>
      <c r="C26" s="12"/>
      <c r="D26" s="12" t="s">
        <v>374</v>
      </c>
      <c r="E26" s="26" t="str">
        <f t="shared" si="0"/>
        <v>EC40121</v>
      </c>
      <c r="F26" s="27" t="str">
        <f t="shared" si="1"/>
        <v>BLC</v>
      </c>
      <c r="G26" s="27">
        <f>+VLOOKUP(F26,[1]base!A:B,2,0)</f>
        <v>1</v>
      </c>
      <c r="H26" s="12"/>
      <c r="I26" s="12"/>
      <c r="J26" s="14"/>
      <c r="K26" s="14" t="s">
        <v>26</v>
      </c>
      <c r="L26" s="12"/>
      <c r="M26" s="12"/>
      <c r="N26" s="12"/>
      <c r="O26" s="12"/>
      <c r="P26" s="12"/>
      <c r="Q26" s="16">
        <v>0</v>
      </c>
      <c r="R26" s="16">
        <v>0</v>
      </c>
      <c r="S26" s="16"/>
      <c r="T26" s="33">
        <v>27</v>
      </c>
      <c r="U26" s="33"/>
      <c r="V26" s="29">
        <f>+VLOOKUP(E26,[1]base!D:K,8,0)</f>
        <v>8.7554999999999996</v>
      </c>
      <c r="W26" s="29">
        <f t="shared" si="2"/>
        <v>236.39849999999998</v>
      </c>
      <c r="X26" s="29">
        <f t="shared" si="3"/>
        <v>12.292721999999999</v>
      </c>
      <c r="Y26" s="29">
        <f>+VLOOKUP(E26,[1]base!D:E,2,0)</f>
        <v>9</v>
      </c>
      <c r="Z26" s="29">
        <f t="shared" si="4"/>
        <v>3</v>
      </c>
      <c r="AA26" s="29">
        <f t="shared" si="5"/>
        <v>0.20000000000000007</v>
      </c>
      <c r="AB26" s="29">
        <f>+VLOOKUP(E26,[1]base!M:N,2,0)</f>
        <v>91</v>
      </c>
      <c r="AC26" s="29">
        <f>+VLOOKUP(E26,[1]base!M:Q,5,0)</f>
        <v>272.25</v>
      </c>
      <c r="AD26" s="30">
        <f>+VLOOKUP(E26,[1]base!M:P,4,0)</f>
        <v>0</v>
      </c>
      <c r="AE26" s="31">
        <f t="shared" si="6"/>
        <v>27.3</v>
      </c>
    </row>
    <row r="27" spans="1:31" s="32" customFormat="1" x14ac:dyDescent="0.25">
      <c r="A27" s="12"/>
      <c r="B27" s="13"/>
      <c r="C27" s="12"/>
      <c r="D27" s="12" t="s">
        <v>324</v>
      </c>
      <c r="E27" s="26" t="str">
        <f t="shared" si="0"/>
        <v>EC40148</v>
      </c>
      <c r="F27" s="27" t="str">
        <f t="shared" si="1"/>
        <v>BLC</v>
      </c>
      <c r="G27" s="27">
        <f>+VLOOKUP(F27,[1]base!A:B,2,0)</f>
        <v>1</v>
      </c>
      <c r="H27" s="12"/>
      <c r="I27" s="12"/>
      <c r="J27" s="14"/>
      <c r="K27" s="14" t="s">
        <v>61</v>
      </c>
      <c r="L27" s="12"/>
      <c r="M27" s="12"/>
      <c r="N27" s="12"/>
      <c r="O27" s="12"/>
      <c r="P27" s="12"/>
      <c r="Q27" s="16">
        <v>30</v>
      </c>
      <c r="R27" s="16">
        <v>4</v>
      </c>
      <c r="S27" s="16"/>
      <c r="T27" s="33">
        <v>39</v>
      </c>
      <c r="U27" s="33"/>
      <c r="V27" s="29">
        <f>+VLOOKUP(E27,[1]base!D:K,8,0)</f>
        <v>4.1989999999999998</v>
      </c>
      <c r="W27" s="29">
        <f t="shared" si="2"/>
        <v>163.761</v>
      </c>
      <c r="X27" s="29">
        <f t="shared" si="3"/>
        <v>8.5155719999999988</v>
      </c>
      <c r="Y27" s="29">
        <f>+VLOOKUP(E27,[1]base!D:E,2,0)</f>
        <v>13</v>
      </c>
      <c r="Z27" s="29">
        <f t="shared" si="4"/>
        <v>3</v>
      </c>
      <c r="AA27" s="29">
        <f t="shared" si="5"/>
        <v>0.20000000000000007</v>
      </c>
      <c r="AB27" s="29">
        <f>+VLOOKUP(E27,[1]base!M:N,2,0)</f>
        <v>180</v>
      </c>
      <c r="AC27" s="29">
        <f>+VLOOKUP(E27,[1]base!M:Q,5,0)</f>
        <v>317.5</v>
      </c>
      <c r="AD27" s="30">
        <f>+VLOOKUP(E27,[1]base!M:P,4,0)</f>
        <v>0.10891089108910891</v>
      </c>
      <c r="AE27" s="31">
        <f t="shared" si="6"/>
        <v>34.396039603960396</v>
      </c>
    </row>
    <row r="28" spans="1:31" s="32" customFormat="1" x14ac:dyDescent="0.25">
      <c r="A28" s="12"/>
      <c r="B28" s="13"/>
      <c r="C28" s="12"/>
      <c r="D28" s="12" t="s">
        <v>617</v>
      </c>
      <c r="E28" s="26" t="str">
        <f t="shared" si="0"/>
        <v>EC40154</v>
      </c>
      <c r="F28" s="27" t="str">
        <f t="shared" si="1"/>
        <v>BLC</v>
      </c>
      <c r="G28" s="27">
        <f>+VLOOKUP(F28,[1]base!A:B,2,0)</f>
        <v>1</v>
      </c>
      <c r="H28" s="12"/>
      <c r="I28" s="12"/>
      <c r="J28" s="14"/>
      <c r="K28" s="14" t="s">
        <v>26</v>
      </c>
      <c r="L28" s="12"/>
      <c r="M28" s="12"/>
      <c r="N28" s="12"/>
      <c r="O28" s="12"/>
      <c r="P28" s="12"/>
      <c r="Q28" s="16">
        <v>0</v>
      </c>
      <c r="R28" s="16">
        <v>0</v>
      </c>
      <c r="S28" s="16"/>
      <c r="T28" s="33">
        <v>90</v>
      </c>
      <c r="U28" s="33"/>
      <c r="V28" s="29">
        <f>+VLOOKUP(E28,[1]base!D:K,8,0)</f>
        <v>8.7100000000000009</v>
      </c>
      <c r="W28" s="29">
        <f t="shared" si="2"/>
        <v>783.90000000000009</v>
      </c>
      <c r="X28" s="29">
        <f t="shared" si="3"/>
        <v>40.762800000000006</v>
      </c>
      <c r="Y28" s="29">
        <f>+VLOOKUP(E28,[1]base!D:E,2,0)</f>
        <v>9</v>
      </c>
      <c r="Z28" s="29">
        <f t="shared" si="4"/>
        <v>10</v>
      </c>
      <c r="AA28" s="29">
        <f t="shared" si="5"/>
        <v>0.66666666666666696</v>
      </c>
      <c r="AB28" s="29">
        <f>+VLOOKUP(E28,[1]base!M:N,2,0)</f>
        <v>287</v>
      </c>
      <c r="AC28" s="29">
        <f>+VLOOKUP(E28,[1]base!M:Q,5,0)</f>
        <v>102.83333333333333</v>
      </c>
      <c r="AD28" s="30">
        <f>+VLOOKUP(E28,[1]base!M:P,4,0)</f>
        <v>1.3745704467353952E-2</v>
      </c>
      <c r="AE28" s="31">
        <f t="shared" si="6"/>
        <v>82.15498281786941</v>
      </c>
    </row>
    <row r="29" spans="1:31" s="32" customFormat="1" x14ac:dyDescent="0.25">
      <c r="A29" s="12"/>
      <c r="B29" s="13"/>
      <c r="C29" s="12"/>
      <c r="D29" s="12" t="s">
        <v>71</v>
      </c>
      <c r="E29" s="26" t="str">
        <f t="shared" si="0"/>
        <v>EC40166</v>
      </c>
      <c r="F29" s="27" t="str">
        <f t="shared" si="1"/>
        <v>BLC</v>
      </c>
      <c r="G29" s="27">
        <f>+VLOOKUP(F29,[1]base!A:B,2,0)</f>
        <v>1</v>
      </c>
      <c r="H29" s="12"/>
      <c r="I29" s="12"/>
      <c r="J29" s="14">
        <v>-50</v>
      </c>
      <c r="K29" s="14" t="s">
        <v>26</v>
      </c>
      <c r="L29" s="12"/>
      <c r="M29" s="12"/>
      <c r="N29" s="12"/>
      <c r="O29" s="12"/>
      <c r="P29" s="12"/>
      <c r="Q29" s="16">
        <v>0</v>
      </c>
      <c r="R29" s="16">
        <v>0</v>
      </c>
      <c r="S29" s="16"/>
      <c r="T29" s="33">
        <v>120</v>
      </c>
      <c r="U29" s="33"/>
      <c r="V29" s="29">
        <f>+VLOOKUP(E29,[1]base!D:K,8,0)</f>
        <v>1.482</v>
      </c>
      <c r="W29" s="29">
        <f t="shared" si="2"/>
        <v>177.84</v>
      </c>
      <c r="X29" s="29">
        <f t="shared" si="3"/>
        <v>9.247679999999999</v>
      </c>
      <c r="Y29" s="29">
        <f>+VLOOKUP(E29,[1]base!D:E,2,0)</f>
        <v>20</v>
      </c>
      <c r="Z29" s="29">
        <f t="shared" si="4"/>
        <v>6</v>
      </c>
      <c r="AA29" s="29">
        <f t="shared" si="5"/>
        <v>0.40000000000000013</v>
      </c>
      <c r="AB29" s="29">
        <f>+VLOOKUP(E29,[1]base!M:N,2,0)</f>
        <v>245</v>
      </c>
      <c r="AC29" s="29">
        <f>+VLOOKUP(E29,[1]base!M:Q,5,0)</f>
        <v>2305.5454545454545</v>
      </c>
      <c r="AD29" s="30">
        <f>+VLOOKUP(E29,[1]base!M:P,4,0)</f>
        <v>2.7777777777777776E-2</v>
      </c>
      <c r="AE29" s="31">
        <f t="shared" si="6"/>
        <v>66.694444444444443</v>
      </c>
    </row>
    <row r="30" spans="1:31" s="32" customFormat="1" x14ac:dyDescent="0.25">
      <c r="A30" s="12"/>
      <c r="B30" s="13"/>
      <c r="C30" s="12"/>
      <c r="D30" s="12" t="s">
        <v>525</v>
      </c>
      <c r="E30" s="26" t="str">
        <f t="shared" si="0"/>
        <v>EC40402</v>
      </c>
      <c r="F30" s="27" t="str">
        <f t="shared" si="1"/>
        <v>BLC</v>
      </c>
      <c r="G30" s="27">
        <f>+VLOOKUP(F30,[1]base!A:B,2,0)</f>
        <v>1</v>
      </c>
      <c r="H30" s="12"/>
      <c r="I30" s="12"/>
      <c r="J30" s="14"/>
      <c r="K30" s="14" t="s">
        <v>26</v>
      </c>
      <c r="L30" s="12"/>
      <c r="M30" s="12"/>
      <c r="N30" s="12"/>
      <c r="O30" s="12"/>
      <c r="P30" s="12"/>
      <c r="Q30" s="16">
        <v>0</v>
      </c>
      <c r="R30" s="16">
        <v>0</v>
      </c>
      <c r="S30" s="16"/>
      <c r="T30" s="33">
        <v>520</v>
      </c>
      <c r="U30" s="33"/>
      <c r="V30" s="29">
        <f>+VLOOKUP(E30,[1]base!D:K,8,0)</f>
        <v>4.2250000000000005</v>
      </c>
      <c r="W30" s="29">
        <f t="shared" si="2"/>
        <v>2197.0000000000005</v>
      </c>
      <c r="X30" s="29">
        <f t="shared" si="3"/>
        <v>114.24400000000001</v>
      </c>
      <c r="Y30" s="29">
        <f>+VLOOKUP(E30,[1]base!D:E,2,0)</f>
        <v>13</v>
      </c>
      <c r="Z30" s="29">
        <f t="shared" si="4"/>
        <v>40</v>
      </c>
      <c r="AA30" s="29">
        <f t="shared" si="5"/>
        <v>2.6666666666666679</v>
      </c>
      <c r="AB30" s="29">
        <f>+VLOOKUP(E30,[1]base!M:N,2,0)</f>
        <v>2283</v>
      </c>
      <c r="AC30" s="29">
        <f>+VLOOKUP(E30,[1]base!M:Q,5,0)</f>
        <v>1635.090909090909</v>
      </c>
      <c r="AD30" s="30">
        <f>+VLOOKUP(E30,[1]base!M:P,4,0)</f>
        <v>8.4603047313552532E-2</v>
      </c>
      <c r="AE30" s="31">
        <f t="shared" si="6"/>
        <v>491.75124298315956</v>
      </c>
    </row>
    <row r="31" spans="1:31" s="32" customFormat="1" x14ac:dyDescent="0.25">
      <c r="A31" s="12"/>
      <c r="B31" s="13"/>
      <c r="C31" s="12"/>
      <c r="D31" s="12" t="s">
        <v>924</v>
      </c>
      <c r="E31" s="26" t="str">
        <f t="shared" si="0"/>
        <v>EC40404</v>
      </c>
      <c r="F31" s="27" t="str">
        <f t="shared" si="1"/>
        <v>BLC</v>
      </c>
      <c r="G31" s="27">
        <f>+VLOOKUP(F31,[1]base!A:B,2,0)</f>
        <v>1</v>
      </c>
      <c r="H31" s="12"/>
      <c r="I31" s="12"/>
      <c r="J31" s="14"/>
      <c r="K31" s="14" t="s">
        <v>26</v>
      </c>
      <c r="L31" s="12"/>
      <c r="M31" s="12"/>
      <c r="N31" s="12"/>
      <c r="O31" s="12"/>
      <c r="P31" s="12"/>
      <c r="Q31" s="16">
        <v>0</v>
      </c>
      <c r="R31" s="16">
        <v>0</v>
      </c>
      <c r="S31" s="16"/>
      <c r="T31" s="33">
        <v>390</v>
      </c>
      <c r="U31" s="33"/>
      <c r="V31" s="29">
        <f>+VLOOKUP(E31,[1]base!D:K,8,0)</f>
        <v>4.8879999999999999</v>
      </c>
      <c r="W31" s="29">
        <f t="shared" si="2"/>
        <v>1906.32</v>
      </c>
      <c r="X31" s="29">
        <f t="shared" si="3"/>
        <v>99.12863999999999</v>
      </c>
      <c r="Y31" s="29">
        <f>+VLOOKUP(E31,[1]base!D:E,2,0)</f>
        <v>13</v>
      </c>
      <c r="Z31" s="29">
        <f t="shared" si="4"/>
        <v>30</v>
      </c>
      <c r="AA31" s="29">
        <f t="shared" si="5"/>
        <v>2.0000000000000009</v>
      </c>
      <c r="AB31" s="29">
        <f>+VLOOKUP(E31,[1]base!M:N,2,0)</f>
        <v>2357</v>
      </c>
      <c r="AC31" s="29">
        <f>+VLOOKUP(E31,[1]base!M:Q,5,0)</f>
        <v>1288.0999999999999</v>
      </c>
      <c r="AD31" s="30">
        <f>+VLOOKUP(E31,[1]base!M:P,4,0)</f>
        <v>5.112721417069243E-2</v>
      </c>
      <c r="AE31" s="31">
        <f t="shared" si="6"/>
        <v>586.59315619967788</v>
      </c>
    </row>
    <row r="32" spans="1:31" s="32" customFormat="1" x14ac:dyDescent="0.25">
      <c r="A32" s="12"/>
      <c r="B32" s="13"/>
      <c r="C32" s="12"/>
      <c r="D32" s="12" t="s">
        <v>325</v>
      </c>
      <c r="E32" s="26" t="str">
        <f t="shared" si="0"/>
        <v>EC67102</v>
      </c>
      <c r="F32" s="27" t="str">
        <f t="shared" si="1"/>
        <v>BLC</v>
      </c>
      <c r="G32" s="27">
        <f>+VLOOKUP(F32,[1]base!A:B,2,0)</f>
        <v>1</v>
      </c>
      <c r="H32" s="12"/>
      <c r="I32" s="12"/>
      <c r="J32" s="14"/>
      <c r="K32" s="14" t="s">
        <v>61</v>
      </c>
      <c r="L32" s="12"/>
      <c r="M32" s="12"/>
      <c r="N32" s="12"/>
      <c r="O32" s="12"/>
      <c r="P32" s="12"/>
      <c r="Q32" s="16">
        <v>40</v>
      </c>
      <c r="R32" s="16">
        <v>4</v>
      </c>
      <c r="S32" s="16"/>
      <c r="T32" s="33">
        <v>9</v>
      </c>
      <c r="U32" s="33">
        <v>0</v>
      </c>
      <c r="V32" s="29">
        <f>+VLOOKUP(E32,[1]base!D:K,8,0)</f>
        <v>5.6355000000000004</v>
      </c>
      <c r="W32" s="29">
        <f t="shared" si="2"/>
        <v>50.719500000000004</v>
      </c>
      <c r="X32" s="29">
        <f t="shared" si="3"/>
        <v>2.6374140000000001</v>
      </c>
      <c r="Y32" s="29">
        <f>+VLOOKUP(E32,[1]base!D:E,2,0)</f>
        <v>12</v>
      </c>
      <c r="Z32" s="29">
        <f t="shared" si="4"/>
        <v>1</v>
      </c>
      <c r="AA32" s="29">
        <f t="shared" si="5"/>
        <v>6.6666666666666693E-2</v>
      </c>
      <c r="AB32" s="29">
        <f>+VLOOKUP(E32,[1]base!M:N,2,0)</f>
        <v>9</v>
      </c>
      <c r="AC32" s="29">
        <f>+VLOOKUP(E32,[1]base!M:Q,5,0)</f>
        <v>159.33333333333334</v>
      </c>
      <c r="AD32" s="30">
        <f>+VLOOKUP(E32,[1]base!M:P,4,0)</f>
        <v>0.99268292682926829</v>
      </c>
      <c r="AE32" s="31">
        <f t="shared" si="6"/>
        <v>-6.234146341463414</v>
      </c>
    </row>
    <row r="33" spans="1:31" s="32" customFormat="1" x14ac:dyDescent="0.25">
      <c r="A33" s="12"/>
      <c r="B33" s="13"/>
      <c r="C33" s="12"/>
      <c r="D33" s="12" t="s">
        <v>1333</v>
      </c>
      <c r="E33" s="26" t="str">
        <f t="shared" si="0"/>
        <v>EC67103</v>
      </c>
      <c r="F33" s="27" t="str">
        <f t="shared" si="1"/>
        <v>BLC</v>
      </c>
      <c r="G33" s="27">
        <f>+VLOOKUP(F33,[1]base!A:B,2,0)</f>
        <v>1</v>
      </c>
      <c r="H33" s="12"/>
      <c r="I33" s="12"/>
      <c r="J33" s="14"/>
      <c r="K33" s="14" t="s">
        <v>26</v>
      </c>
      <c r="L33" s="12"/>
      <c r="M33" s="12"/>
      <c r="N33" s="12"/>
      <c r="O33" s="12"/>
      <c r="P33" s="12"/>
      <c r="Q33" s="16">
        <v>0</v>
      </c>
      <c r="R33" s="16">
        <v>0</v>
      </c>
      <c r="S33" s="16">
        <v>29</v>
      </c>
      <c r="T33" s="33">
        <v>60</v>
      </c>
      <c r="U33" s="33">
        <v>0</v>
      </c>
      <c r="V33" s="29">
        <f>+VLOOKUP(E33,[1]base!D:K,8,0)</f>
        <v>6.0449999999999999</v>
      </c>
      <c r="W33" s="29">
        <f t="shared" si="2"/>
        <v>362.7</v>
      </c>
      <c r="X33" s="29">
        <f t="shared" si="3"/>
        <v>18.860399999999998</v>
      </c>
      <c r="Y33" s="29">
        <f>+VLOOKUP(E33,[1]base!D:E,2,0)</f>
        <v>12</v>
      </c>
      <c r="Z33" s="29">
        <f t="shared" si="4"/>
        <v>5</v>
      </c>
      <c r="AA33" s="29">
        <f t="shared" si="5"/>
        <v>0.33333333333333348</v>
      </c>
      <c r="AB33" s="29">
        <f>+VLOOKUP(E33,[1]base!M:N,2,0)</f>
        <v>683</v>
      </c>
      <c r="AC33" s="29">
        <f>+VLOOKUP(E33,[1]base!M:Q,5,0)</f>
        <v>720.75</v>
      </c>
      <c r="AD33" s="30">
        <f>+VLOOKUP(E33,[1]base!M:P,4,0)</f>
        <v>8.3221476510067116E-2</v>
      </c>
      <c r="AE33" s="31">
        <f t="shared" si="6"/>
        <v>148.05973154362414</v>
      </c>
    </row>
    <row r="34" spans="1:31" s="32" customFormat="1" x14ac:dyDescent="0.25">
      <c r="A34" s="12"/>
      <c r="B34" s="13"/>
      <c r="C34" s="12"/>
      <c r="D34" s="12" t="s">
        <v>1335</v>
      </c>
      <c r="E34" s="26" t="str">
        <f t="shared" ref="E34:E65" si="7">_xlfn.TEXTBEFORE(D34, "-", -1, 1, , D34)</f>
        <v>EC67104</v>
      </c>
      <c r="F34" s="27" t="str">
        <f t="shared" ref="F34:F65" si="8">_xlfn.TEXTAFTER(D34, "-", -1, 1, , "")</f>
        <v>BLC</v>
      </c>
      <c r="G34" s="27">
        <f>+VLOOKUP(F34,[1]base!A:B,2,0)</f>
        <v>1</v>
      </c>
      <c r="H34" s="12"/>
      <c r="I34" s="12"/>
      <c r="J34" s="14"/>
      <c r="K34" s="14" t="s">
        <v>26</v>
      </c>
      <c r="L34" s="12"/>
      <c r="M34" s="12"/>
      <c r="N34" s="12"/>
      <c r="O34" s="12"/>
      <c r="P34" s="12"/>
      <c r="Q34" s="16">
        <v>0</v>
      </c>
      <c r="R34" s="16">
        <v>0</v>
      </c>
      <c r="S34" s="16"/>
      <c r="T34" s="33">
        <v>260</v>
      </c>
      <c r="U34" s="33"/>
      <c r="V34" s="29">
        <f>+VLOOKUP(E34,[1]base!D:K,8,0)</f>
        <v>3.8739999999999997</v>
      </c>
      <c r="W34" s="29">
        <f t="shared" ref="W34:W65" si="9">(T34+U34)*V34</f>
        <v>1007.2399999999999</v>
      </c>
      <c r="X34" s="29">
        <f t="shared" ref="X34:X65" si="10">+W34*0.052</f>
        <v>52.376479999999994</v>
      </c>
      <c r="Y34" s="29">
        <f>+VLOOKUP(E34,[1]base!D:E,2,0)</f>
        <v>13</v>
      </c>
      <c r="Z34" s="29">
        <f t="shared" ref="Z34:Z65" si="11">ROUNDUP(T34/Y34,0)</f>
        <v>20</v>
      </c>
      <c r="AA34" s="29">
        <f t="shared" ref="AA34:AA65" si="12">+Z34*0.0666666666666667</f>
        <v>1.3333333333333339</v>
      </c>
      <c r="AB34" s="29">
        <f>+VLOOKUP(E34,[1]base!M:N,2,0)</f>
        <v>1227</v>
      </c>
      <c r="AC34" s="29">
        <f>+VLOOKUP(E34,[1]base!M:Q,5,0)</f>
        <v>409.875</v>
      </c>
      <c r="AD34" s="30">
        <f>+VLOOKUP(E34,[1]base!M:P,4,0)</f>
        <v>2.3089171974522291E-2</v>
      </c>
      <c r="AE34" s="31">
        <f t="shared" ref="AE34:AE65" si="13">+AB34*(30%-AD34)</f>
        <v>339.76958598726111</v>
      </c>
    </row>
    <row r="35" spans="1:31" s="32" customFormat="1" x14ac:dyDescent="0.25">
      <c r="A35" s="12"/>
      <c r="B35" s="13"/>
      <c r="C35" s="12"/>
      <c r="D35" s="12" t="s">
        <v>283</v>
      </c>
      <c r="E35" s="26" t="str">
        <f t="shared" si="7"/>
        <v>FR100</v>
      </c>
      <c r="F35" s="27" t="str">
        <f t="shared" si="8"/>
        <v>BLC</v>
      </c>
      <c r="G35" s="27">
        <f>+VLOOKUP(F35,[1]base!A:B,2,0)</f>
        <v>1</v>
      </c>
      <c r="H35" s="12"/>
      <c r="I35" s="12"/>
      <c r="J35" s="14"/>
      <c r="K35" s="14" t="s">
        <v>26</v>
      </c>
      <c r="L35" s="12"/>
      <c r="M35" s="12"/>
      <c r="N35" s="12"/>
      <c r="O35" s="12"/>
      <c r="P35" s="12"/>
      <c r="Q35" s="16">
        <v>0</v>
      </c>
      <c r="R35" s="16">
        <v>0</v>
      </c>
      <c r="S35" s="16"/>
      <c r="T35" s="33">
        <v>169</v>
      </c>
      <c r="U35" s="33"/>
      <c r="V35" s="29">
        <f>+VLOOKUP(E35,[1]base!D:K,8,0)</f>
        <v>5.4209999999999994</v>
      </c>
      <c r="W35" s="29">
        <f t="shared" si="9"/>
        <v>916.14899999999989</v>
      </c>
      <c r="X35" s="29">
        <f t="shared" si="10"/>
        <v>47.63974799999999</v>
      </c>
      <c r="Y35" s="29">
        <f>+VLOOKUP(E35,[1]base!D:E,2,0)</f>
        <v>13</v>
      </c>
      <c r="Z35" s="29">
        <f t="shared" si="11"/>
        <v>13</v>
      </c>
      <c r="AA35" s="29">
        <f t="shared" si="12"/>
        <v>0.86666666666666703</v>
      </c>
      <c r="AB35" s="29">
        <f>+VLOOKUP(E35,[1]base!M:N,2,0)</f>
        <v>263</v>
      </c>
      <c r="AC35" s="29">
        <f>+VLOOKUP(E35,[1]base!M:Q,5,0)</f>
        <v>812.5</v>
      </c>
      <c r="AD35" s="30">
        <f>+VLOOKUP(E35,[1]base!M:P,4,0)</f>
        <v>0.25071225071225073</v>
      </c>
      <c r="AE35" s="31">
        <f t="shared" si="13"/>
        <v>12.962678062678055</v>
      </c>
    </row>
    <row r="36" spans="1:31" s="32" customFormat="1" x14ac:dyDescent="0.25">
      <c r="A36" s="12"/>
      <c r="B36" s="13"/>
      <c r="C36" s="12"/>
      <c r="D36" s="12" t="s">
        <v>268</v>
      </c>
      <c r="E36" s="26" t="str">
        <f t="shared" si="7"/>
        <v>FR102</v>
      </c>
      <c r="F36" s="27" t="str">
        <f t="shared" si="8"/>
        <v>BLC</v>
      </c>
      <c r="G36" s="27">
        <f>+VLOOKUP(F36,[1]base!A:B,2,0)</f>
        <v>1</v>
      </c>
      <c r="H36" s="12"/>
      <c r="I36" s="12"/>
      <c r="J36" s="14"/>
      <c r="K36" s="14" t="s">
        <v>61</v>
      </c>
      <c r="L36" s="12"/>
      <c r="M36" s="12"/>
      <c r="N36" s="12"/>
      <c r="O36" s="12"/>
      <c r="P36" s="12"/>
      <c r="Q36" s="16">
        <v>18</v>
      </c>
      <c r="R36" s="16">
        <v>0</v>
      </c>
      <c r="S36" s="16"/>
      <c r="T36" s="33">
        <v>18</v>
      </c>
      <c r="U36" s="33"/>
      <c r="V36" s="29">
        <f>+VLOOKUP(E36,[1]base!D:K,8,0)</f>
        <v>4.3875000000000002</v>
      </c>
      <c r="W36" s="29">
        <f t="shared" si="9"/>
        <v>78.975000000000009</v>
      </c>
      <c r="X36" s="29">
        <f t="shared" si="10"/>
        <v>4.1067</v>
      </c>
      <c r="Y36" s="29">
        <f>+VLOOKUP(E36,[1]base!D:E,2,0)</f>
        <v>13</v>
      </c>
      <c r="Z36" s="29">
        <f t="shared" si="11"/>
        <v>2</v>
      </c>
      <c r="AA36" s="29">
        <f t="shared" si="12"/>
        <v>0.13333333333333339</v>
      </c>
      <c r="AB36" s="29">
        <f>+VLOOKUP(E36,[1]base!M:N,2,0)</f>
        <v>0</v>
      </c>
      <c r="AC36" s="29">
        <f>+VLOOKUP(E36,[1]base!M:Q,5,0)</f>
        <v>201.6</v>
      </c>
      <c r="AD36" s="30">
        <f>+VLOOKUP(E36,[1]base!M:P,4,0)</f>
        <v>1</v>
      </c>
      <c r="AE36" s="31">
        <f t="shared" si="13"/>
        <v>0</v>
      </c>
    </row>
    <row r="37" spans="1:31" s="32" customFormat="1" x14ac:dyDescent="0.25">
      <c r="A37" s="12"/>
      <c r="B37" s="13"/>
      <c r="C37" s="12"/>
      <c r="D37" s="12" t="s">
        <v>401</v>
      </c>
      <c r="E37" s="26" t="str">
        <f t="shared" si="7"/>
        <v>FR112</v>
      </c>
      <c r="F37" s="27" t="str">
        <f t="shared" si="8"/>
        <v>BLC</v>
      </c>
      <c r="G37" s="27">
        <f>+VLOOKUP(F37,[1]base!A:B,2,0)</f>
        <v>1</v>
      </c>
      <c r="H37" s="12"/>
      <c r="I37" s="12"/>
      <c r="J37" s="14"/>
      <c r="K37" s="14" t="s">
        <v>61</v>
      </c>
      <c r="L37" s="12"/>
      <c r="M37" s="12"/>
      <c r="N37" s="12"/>
      <c r="O37" s="12"/>
      <c r="P37" s="12"/>
      <c r="Q37" s="16">
        <v>8</v>
      </c>
      <c r="R37" s="16">
        <v>0</v>
      </c>
      <c r="S37" s="16"/>
      <c r="T37" s="33">
        <v>7</v>
      </c>
      <c r="U37" s="33"/>
      <c r="V37" s="29">
        <f>+VLOOKUP(E37,[1]base!D:K,8,0)</f>
        <v>4.5175000000000001</v>
      </c>
      <c r="W37" s="29">
        <f t="shared" si="9"/>
        <v>31.622500000000002</v>
      </c>
      <c r="X37" s="29">
        <f t="shared" si="10"/>
        <v>1.6443700000000001</v>
      </c>
      <c r="Y37" s="29">
        <f>+VLOOKUP(E37,[1]base!D:E,2,0)</f>
        <v>14</v>
      </c>
      <c r="Z37" s="29">
        <f t="shared" si="11"/>
        <v>1</v>
      </c>
      <c r="AA37" s="29">
        <f t="shared" si="12"/>
        <v>6.6666666666666693E-2</v>
      </c>
      <c r="AB37" s="29">
        <f>+VLOOKUP(E37,[1]base!M:N,2,0)</f>
        <v>7</v>
      </c>
      <c r="AC37" s="29">
        <f>+VLOOKUP(E37,[1]base!M:Q,5,0)</f>
        <v>110.9</v>
      </c>
      <c r="AD37" s="30">
        <f>+VLOOKUP(E37,[1]base!M:P,4,0)</f>
        <v>0.70833333333333337</v>
      </c>
      <c r="AE37" s="31">
        <f t="shared" si="13"/>
        <v>-2.8583333333333338</v>
      </c>
    </row>
    <row r="38" spans="1:31" s="32" customFormat="1" x14ac:dyDescent="0.25">
      <c r="A38" s="12"/>
      <c r="B38" s="13"/>
      <c r="C38" s="12"/>
      <c r="D38" s="12" t="s">
        <v>453</v>
      </c>
      <c r="E38" s="26" t="str">
        <f t="shared" si="7"/>
        <v>FR135</v>
      </c>
      <c r="F38" s="27" t="str">
        <f t="shared" si="8"/>
        <v>BLC</v>
      </c>
      <c r="G38" s="27">
        <f>+VLOOKUP(F38,[1]base!A:B,2,0)</f>
        <v>1</v>
      </c>
      <c r="H38" s="12"/>
      <c r="I38" s="12"/>
      <c r="J38" s="14"/>
      <c r="K38" s="14" t="s">
        <v>61</v>
      </c>
      <c r="L38" s="12"/>
      <c r="M38" s="12"/>
      <c r="N38" s="12"/>
      <c r="O38" s="12"/>
      <c r="P38" s="12"/>
      <c r="Q38" s="16">
        <v>50</v>
      </c>
      <c r="R38" s="16">
        <v>7</v>
      </c>
      <c r="S38" s="16"/>
      <c r="T38" s="33">
        <v>12</v>
      </c>
      <c r="U38" s="33"/>
      <c r="V38" s="29">
        <f>+VLOOKUP(E38,[1]base!D:K,8,0)</f>
        <v>1.5794999999999999</v>
      </c>
      <c r="W38" s="29">
        <f t="shared" si="9"/>
        <v>18.954000000000001</v>
      </c>
      <c r="X38" s="29">
        <f t="shared" si="10"/>
        <v>0.98560800000000004</v>
      </c>
      <c r="Y38" s="29">
        <f>+VLOOKUP(E38,[1]base!D:E,2,0)</f>
        <v>20</v>
      </c>
      <c r="Z38" s="29">
        <f t="shared" si="11"/>
        <v>1</v>
      </c>
      <c r="AA38" s="29">
        <f t="shared" si="12"/>
        <v>6.6666666666666693E-2</v>
      </c>
      <c r="AB38" s="29">
        <f>+VLOOKUP(E38,[1]base!M:N,2,0)</f>
        <v>12</v>
      </c>
      <c r="AC38" s="29">
        <f>+VLOOKUP(E38,[1]base!M:Q,5,0)</f>
        <v>99</v>
      </c>
      <c r="AD38" s="30">
        <f>+VLOOKUP(E38,[1]base!M:P,4,0)</f>
        <v>0.76470588235294112</v>
      </c>
      <c r="AE38" s="31">
        <f t="shared" si="13"/>
        <v>-5.5764705882352938</v>
      </c>
    </row>
    <row r="39" spans="1:31" s="32" customFormat="1" x14ac:dyDescent="0.25">
      <c r="A39" s="12"/>
      <c r="B39" s="13"/>
      <c r="C39" s="12"/>
      <c r="D39" s="12" t="s">
        <v>259</v>
      </c>
      <c r="E39" s="26" t="str">
        <f t="shared" si="7"/>
        <v>FR139</v>
      </c>
      <c r="F39" s="27" t="str">
        <f t="shared" si="8"/>
        <v>BLC</v>
      </c>
      <c r="G39" s="27">
        <f>+VLOOKUP(F39,[1]base!A:B,2,0)</f>
        <v>1</v>
      </c>
      <c r="H39" s="12"/>
      <c r="I39" s="12"/>
      <c r="J39" s="14"/>
      <c r="K39" s="14" t="s">
        <v>26</v>
      </c>
      <c r="L39" s="12"/>
      <c r="M39" s="12"/>
      <c r="N39" s="12"/>
      <c r="O39" s="12"/>
      <c r="P39" s="12"/>
      <c r="Q39" s="16">
        <v>0</v>
      </c>
      <c r="R39" s="16">
        <v>4</v>
      </c>
      <c r="S39" s="16"/>
      <c r="T39" s="33">
        <v>320</v>
      </c>
      <c r="U39" s="33"/>
      <c r="V39" s="29">
        <f>+VLOOKUP(E39,[1]base!D:K,8,0)</f>
        <v>1.794</v>
      </c>
      <c r="W39" s="29">
        <f t="shared" si="9"/>
        <v>574.08000000000004</v>
      </c>
      <c r="X39" s="29">
        <f t="shared" si="10"/>
        <v>29.852160000000001</v>
      </c>
      <c r="Y39" s="29">
        <f>+VLOOKUP(E39,[1]base!D:E,2,0)</f>
        <v>20</v>
      </c>
      <c r="Z39" s="29">
        <f t="shared" si="11"/>
        <v>16</v>
      </c>
      <c r="AA39" s="29">
        <f t="shared" si="12"/>
        <v>1.0666666666666671</v>
      </c>
      <c r="AB39" s="29">
        <f>+VLOOKUP(E39,[1]base!M:N,2,0)</f>
        <v>1978</v>
      </c>
      <c r="AC39" s="29">
        <f>+VLOOKUP(E39,[1]base!M:Q,5,0)</f>
        <v>1480</v>
      </c>
      <c r="AD39" s="30">
        <f>+VLOOKUP(E39,[1]base!M:P,4,0)</f>
        <v>8.595194085027727E-2</v>
      </c>
      <c r="AE39" s="31">
        <f t="shared" si="13"/>
        <v>423.38706099815153</v>
      </c>
    </row>
    <row r="40" spans="1:31" s="32" customFormat="1" x14ac:dyDescent="0.25">
      <c r="A40" s="12"/>
      <c r="B40" s="13"/>
      <c r="C40" s="12"/>
      <c r="D40" s="12" t="s">
        <v>454</v>
      </c>
      <c r="E40" s="26" t="str">
        <f t="shared" si="7"/>
        <v>FR166</v>
      </c>
      <c r="F40" s="27" t="str">
        <f t="shared" si="8"/>
        <v>BLC</v>
      </c>
      <c r="G40" s="27">
        <f>+VLOOKUP(F40,[1]base!A:B,2,0)</f>
        <v>1</v>
      </c>
      <c r="H40" s="12"/>
      <c r="I40" s="12"/>
      <c r="J40" s="14"/>
      <c r="K40" s="14" t="s">
        <v>61</v>
      </c>
      <c r="L40" s="12"/>
      <c r="M40" s="12"/>
      <c r="N40" s="12"/>
      <c r="O40" s="12"/>
      <c r="P40" s="12"/>
      <c r="Q40" s="16">
        <v>50</v>
      </c>
      <c r="R40" s="16">
        <v>0</v>
      </c>
      <c r="S40" s="16"/>
      <c r="T40" s="28">
        <v>60</v>
      </c>
      <c r="U40" s="28"/>
      <c r="V40" s="29">
        <f>+VLOOKUP(E40,[1]base!D:K,8,0)</f>
        <v>1.6705000000000001</v>
      </c>
      <c r="W40" s="29">
        <f t="shared" si="9"/>
        <v>100.23</v>
      </c>
      <c r="X40" s="29">
        <f t="shared" si="10"/>
        <v>5.2119600000000004</v>
      </c>
      <c r="Y40" s="29">
        <f>+VLOOKUP(E40,[1]base!D:E,2,0)</f>
        <v>20</v>
      </c>
      <c r="Z40" s="29">
        <f t="shared" si="11"/>
        <v>3</v>
      </c>
      <c r="AA40" s="29">
        <f t="shared" si="12"/>
        <v>0.20000000000000007</v>
      </c>
      <c r="AB40" s="29">
        <f>+VLOOKUP(E40,[1]base!M:N,2,0)</f>
        <v>169</v>
      </c>
      <c r="AC40" s="29">
        <f>+VLOOKUP(E40,[1]base!M:Q,5,0)</f>
        <v>435.66666666666669</v>
      </c>
      <c r="AD40" s="30">
        <f>+VLOOKUP(E40,[1]base!M:P,4,0)</f>
        <v>0.31300813008130079</v>
      </c>
      <c r="AE40" s="31">
        <f t="shared" si="13"/>
        <v>-2.1983739837398364</v>
      </c>
    </row>
    <row r="41" spans="1:31" s="32" customFormat="1" x14ac:dyDescent="0.25">
      <c r="A41" s="12"/>
      <c r="B41" s="13"/>
      <c r="C41" s="12"/>
      <c r="D41" s="12" t="s">
        <v>201</v>
      </c>
      <c r="E41" s="26" t="str">
        <f t="shared" si="7"/>
        <v>FR402</v>
      </c>
      <c r="F41" s="27" t="str">
        <f t="shared" si="8"/>
        <v>BLC</v>
      </c>
      <c r="G41" s="27">
        <f>+VLOOKUP(F41,[1]base!A:B,2,0)</f>
        <v>1</v>
      </c>
      <c r="H41" s="12"/>
      <c r="I41" s="12"/>
      <c r="J41" s="14"/>
      <c r="K41" s="14" t="s">
        <v>26</v>
      </c>
      <c r="L41" s="12"/>
      <c r="M41" s="12"/>
      <c r="N41" s="12"/>
      <c r="O41" s="12"/>
      <c r="P41" s="12"/>
      <c r="Q41" s="16">
        <v>0</v>
      </c>
      <c r="R41" s="16">
        <v>0</v>
      </c>
      <c r="S41" s="16">
        <v>9</v>
      </c>
      <c r="T41" s="28">
        <v>104</v>
      </c>
      <c r="U41" s="28"/>
      <c r="V41" s="29">
        <f>+VLOOKUP(E41,[1]base!D:K,8,0)</f>
        <v>5.7394999999999996</v>
      </c>
      <c r="W41" s="29">
        <f t="shared" si="9"/>
        <v>596.9079999999999</v>
      </c>
      <c r="X41" s="29">
        <f t="shared" si="10"/>
        <v>31.039215999999993</v>
      </c>
      <c r="Y41" s="29">
        <f>+VLOOKUP(E41,[1]base!D:E,2,0)</f>
        <v>13</v>
      </c>
      <c r="Z41" s="29">
        <f t="shared" si="11"/>
        <v>8</v>
      </c>
      <c r="AA41" s="29">
        <f t="shared" si="12"/>
        <v>0.53333333333333355</v>
      </c>
      <c r="AB41" s="29">
        <f>+VLOOKUP(E41,[1]base!M:N,2,0)</f>
        <v>135</v>
      </c>
      <c r="AC41" s="29">
        <f>+VLOOKUP(E41,[1]base!M:Q,5,0)</f>
        <v>898.4545454545455</v>
      </c>
      <c r="AD41" s="30">
        <f>+VLOOKUP(E41,[1]base!M:P,4,0)</f>
        <v>0.13461538461538461</v>
      </c>
      <c r="AE41" s="31">
        <f t="shared" si="13"/>
        <v>22.326923076923077</v>
      </c>
    </row>
    <row r="42" spans="1:31" s="32" customFormat="1" x14ac:dyDescent="0.25">
      <c r="A42" s="12"/>
      <c r="B42" s="13"/>
      <c r="C42" s="12"/>
      <c r="D42" s="12" t="s">
        <v>443</v>
      </c>
      <c r="E42" s="26" t="str">
        <f t="shared" si="7"/>
        <v>FR404</v>
      </c>
      <c r="F42" s="27" t="str">
        <f t="shared" si="8"/>
        <v>BLC</v>
      </c>
      <c r="G42" s="27">
        <f>+VLOOKUP(F42,[1]base!A:B,2,0)</f>
        <v>1</v>
      </c>
      <c r="H42" s="12"/>
      <c r="I42" s="12"/>
      <c r="J42" s="14"/>
      <c r="K42" s="14" t="s">
        <v>61</v>
      </c>
      <c r="L42" s="12"/>
      <c r="M42" s="12"/>
      <c r="N42" s="12"/>
      <c r="O42" s="12"/>
      <c r="P42" s="12"/>
      <c r="Q42" s="16">
        <v>36</v>
      </c>
      <c r="R42" s="16">
        <v>0</v>
      </c>
      <c r="S42" s="16">
        <v>38</v>
      </c>
      <c r="T42" s="28">
        <v>260</v>
      </c>
      <c r="U42" s="28"/>
      <c r="V42" s="29">
        <f>+VLOOKUP(E42,[1]base!D:K,8,0)</f>
        <v>5.9670000000000005</v>
      </c>
      <c r="W42" s="29">
        <f t="shared" si="9"/>
        <v>1551.42</v>
      </c>
      <c r="X42" s="29">
        <f t="shared" si="10"/>
        <v>80.673839999999998</v>
      </c>
      <c r="Y42" s="29">
        <f>+VLOOKUP(E42,[1]base!D:E,2,0)</f>
        <v>13</v>
      </c>
      <c r="Z42" s="29">
        <f t="shared" si="11"/>
        <v>20</v>
      </c>
      <c r="AA42" s="29">
        <f t="shared" si="12"/>
        <v>1.3333333333333339</v>
      </c>
      <c r="AB42" s="29">
        <f>+VLOOKUP(E42,[1]base!M:N,2,0)</f>
        <v>1934</v>
      </c>
      <c r="AC42" s="29">
        <f>+VLOOKUP(E42,[1]base!M:Q,5,0)</f>
        <v>578.90909090909088</v>
      </c>
      <c r="AD42" s="30">
        <f>+VLOOKUP(E42,[1]base!M:P,4,0)</f>
        <v>8.1235154394299292E-2</v>
      </c>
      <c r="AE42" s="31">
        <f t="shared" si="13"/>
        <v>423.09121140142514</v>
      </c>
    </row>
    <row r="43" spans="1:31" s="32" customFormat="1" x14ac:dyDescent="0.25">
      <c r="A43" s="12"/>
      <c r="B43" s="13"/>
      <c r="C43" s="12"/>
      <c r="D43" s="12" t="s">
        <v>906</v>
      </c>
      <c r="E43" s="26" t="str">
        <f t="shared" si="7"/>
        <v>FSQ100</v>
      </c>
      <c r="F43" s="27" t="str">
        <f t="shared" si="8"/>
        <v>BLC</v>
      </c>
      <c r="G43" s="27">
        <f>+VLOOKUP(F43,[1]base!A:B,2,0)</f>
        <v>1</v>
      </c>
      <c r="H43" s="12"/>
      <c r="I43" s="12"/>
      <c r="J43" s="14"/>
      <c r="K43" s="14" t="s">
        <v>61</v>
      </c>
      <c r="L43" s="12"/>
      <c r="M43" s="12"/>
      <c r="N43" s="12"/>
      <c r="O43" s="12"/>
      <c r="P43" s="12"/>
      <c r="Q43" s="16">
        <v>10</v>
      </c>
      <c r="R43" s="16">
        <v>5</v>
      </c>
      <c r="S43" s="16"/>
      <c r="T43" s="28">
        <v>5</v>
      </c>
      <c r="U43" s="28">
        <v>5</v>
      </c>
      <c r="V43" s="29">
        <f>+VLOOKUP(E43,[1]base!D:K,8,0)</f>
        <v>4.992</v>
      </c>
      <c r="W43" s="29">
        <f t="shared" si="9"/>
        <v>49.92</v>
      </c>
      <c r="X43" s="29">
        <f t="shared" si="10"/>
        <v>2.5958399999999999</v>
      </c>
      <c r="Y43" s="29">
        <f>+VLOOKUP(E43,[1]base!D:E,2,0)</f>
        <v>13</v>
      </c>
      <c r="Z43" s="29">
        <f t="shared" si="11"/>
        <v>1</v>
      </c>
      <c r="AA43" s="29">
        <f t="shared" si="12"/>
        <v>6.6666666666666693E-2</v>
      </c>
      <c r="AB43" s="29">
        <f>+VLOOKUP(E43,[1]base!M:N,2,0)</f>
        <v>590</v>
      </c>
      <c r="AC43" s="29">
        <f>+VLOOKUP(E43,[1]base!M:Q,5,0)</f>
        <v>85.333333333333329</v>
      </c>
      <c r="AD43" s="30">
        <f>+VLOOKUP(E43,[1]base!M:P,4,0)</f>
        <v>3.2786885245901641E-2</v>
      </c>
      <c r="AE43" s="31">
        <f t="shared" si="13"/>
        <v>157.65573770491804</v>
      </c>
    </row>
    <row r="44" spans="1:31" s="32" customFormat="1" x14ac:dyDescent="0.25">
      <c r="A44" s="12"/>
      <c r="B44" s="13"/>
      <c r="C44" s="12"/>
      <c r="D44" s="12" t="s">
        <v>894</v>
      </c>
      <c r="E44" s="26" t="str">
        <f t="shared" si="7"/>
        <v>FSQ110</v>
      </c>
      <c r="F44" s="27" t="str">
        <f t="shared" si="8"/>
        <v>BLC</v>
      </c>
      <c r="G44" s="27">
        <f>+VLOOKUP(F44,[1]base!A:B,2,0)</f>
        <v>1</v>
      </c>
      <c r="H44" s="12"/>
      <c r="I44" s="12"/>
      <c r="J44" s="14"/>
      <c r="K44" s="14" t="s">
        <v>61</v>
      </c>
      <c r="L44" s="12"/>
      <c r="M44" s="12"/>
      <c r="N44" s="12"/>
      <c r="O44" s="12"/>
      <c r="P44" s="12"/>
      <c r="Q44" s="16">
        <v>4</v>
      </c>
      <c r="R44" s="16">
        <v>2</v>
      </c>
      <c r="S44" s="16"/>
      <c r="T44" s="28">
        <v>2</v>
      </c>
      <c r="U44" s="28">
        <v>2</v>
      </c>
      <c r="V44" s="29">
        <f>+VLOOKUP(E44,[1]base!D:K,8,0)</f>
        <v>1.8784999999999998</v>
      </c>
      <c r="W44" s="29">
        <f t="shared" si="9"/>
        <v>7.5139999999999993</v>
      </c>
      <c r="X44" s="29">
        <f t="shared" si="10"/>
        <v>0.39072799999999996</v>
      </c>
      <c r="Y44" s="29">
        <f>+VLOOKUP(E44,[1]base!D:E,2,0)</f>
        <v>20</v>
      </c>
      <c r="Z44" s="29">
        <f t="shared" si="11"/>
        <v>1</v>
      </c>
      <c r="AA44" s="29">
        <f t="shared" si="12"/>
        <v>6.6666666666666693E-2</v>
      </c>
      <c r="AB44" s="29">
        <f>+VLOOKUP(E44,[1]base!M:N,2,0)</f>
        <v>1063</v>
      </c>
      <c r="AC44" s="29">
        <f>+VLOOKUP(E44,[1]base!M:Q,5,0)</f>
        <v>41</v>
      </c>
      <c r="AD44" s="30">
        <f>+VLOOKUP(E44,[1]base!M:P,4,0)</f>
        <v>4.6816479400749065E-3</v>
      </c>
      <c r="AE44" s="31">
        <f t="shared" si="13"/>
        <v>313.92340823970034</v>
      </c>
    </row>
    <row r="45" spans="1:31" s="32" customFormat="1" x14ac:dyDescent="0.25">
      <c r="A45" s="12"/>
      <c r="B45" s="13"/>
      <c r="C45" s="12"/>
      <c r="D45" s="12" t="s">
        <v>895</v>
      </c>
      <c r="E45" s="26" t="str">
        <f t="shared" si="7"/>
        <v>FSQ111</v>
      </c>
      <c r="F45" s="27" t="str">
        <f t="shared" si="8"/>
        <v>BLC</v>
      </c>
      <c r="G45" s="27">
        <f>+VLOOKUP(F45,[1]base!A:B,2,0)</f>
        <v>1</v>
      </c>
      <c r="H45" s="12"/>
      <c r="I45" s="12"/>
      <c r="J45" s="14"/>
      <c r="K45" s="14" t="s">
        <v>61</v>
      </c>
      <c r="L45" s="12"/>
      <c r="M45" s="12"/>
      <c r="N45" s="12"/>
      <c r="O45" s="12"/>
      <c r="P45" s="12"/>
      <c r="Q45" s="16">
        <v>10</v>
      </c>
      <c r="R45" s="16">
        <v>4</v>
      </c>
      <c r="S45" s="16"/>
      <c r="T45" s="28">
        <v>6</v>
      </c>
      <c r="U45" s="28">
        <v>4</v>
      </c>
      <c r="V45" s="29">
        <f>+VLOOKUP(E45,[1]base!D:K,8,0)</f>
        <v>1.8459999999999999</v>
      </c>
      <c r="W45" s="29">
        <f t="shared" si="9"/>
        <v>18.459999999999997</v>
      </c>
      <c r="X45" s="29">
        <f t="shared" si="10"/>
        <v>0.95991999999999977</v>
      </c>
      <c r="Y45" s="29">
        <f>+VLOOKUP(E45,[1]base!D:E,2,0)</f>
        <v>20</v>
      </c>
      <c r="Z45" s="29">
        <f t="shared" si="11"/>
        <v>1</v>
      </c>
      <c r="AA45" s="29">
        <f t="shared" si="12"/>
        <v>6.6666666666666693E-2</v>
      </c>
      <c r="AB45" s="29">
        <f>+VLOOKUP(E45,[1]base!M:N,2,0)</f>
        <v>983</v>
      </c>
      <c r="AC45" s="29">
        <f>+VLOOKUP(E45,[1]base!M:Q,5,0)</f>
        <v>103.33333333333333</v>
      </c>
      <c r="AD45" s="30">
        <f>+VLOOKUP(E45,[1]base!M:P,4,0)</f>
        <v>3.0425963488843813E-3</v>
      </c>
      <c r="AE45" s="31">
        <f t="shared" si="13"/>
        <v>291.90912778904664</v>
      </c>
    </row>
    <row r="46" spans="1:31" s="32" customFormat="1" x14ac:dyDescent="0.25">
      <c r="A46" s="12"/>
      <c r="B46" s="13"/>
      <c r="C46" s="12"/>
      <c r="D46" s="12" t="s">
        <v>694</v>
      </c>
      <c r="E46" s="26" t="str">
        <f t="shared" si="7"/>
        <v>FSQ112</v>
      </c>
      <c r="F46" s="27" t="str">
        <f t="shared" si="8"/>
        <v>BLC</v>
      </c>
      <c r="G46" s="27">
        <f>+VLOOKUP(F46,[1]base!A:B,2,0)</f>
        <v>1</v>
      </c>
      <c r="H46" s="12"/>
      <c r="I46" s="12"/>
      <c r="J46" s="14"/>
      <c r="K46" s="14" t="s">
        <v>61</v>
      </c>
      <c r="L46" s="12"/>
      <c r="M46" s="12"/>
      <c r="N46" s="12"/>
      <c r="O46" s="12"/>
      <c r="P46" s="12"/>
      <c r="Q46" s="16">
        <v>3</v>
      </c>
      <c r="R46" s="16">
        <v>0</v>
      </c>
      <c r="S46" s="16"/>
      <c r="T46" s="28">
        <v>3</v>
      </c>
      <c r="U46" s="28"/>
      <c r="V46" s="29">
        <f>+VLOOKUP(E46,[1]base!D:K,8,0)</f>
        <v>5.1870000000000003</v>
      </c>
      <c r="W46" s="29">
        <f t="shared" si="9"/>
        <v>15.561</v>
      </c>
      <c r="X46" s="29">
        <f t="shared" si="10"/>
        <v>0.809172</v>
      </c>
      <c r="Y46" s="29">
        <f>+VLOOKUP(E46,[1]base!D:E,2,0)</f>
        <v>12</v>
      </c>
      <c r="Z46" s="29">
        <f t="shared" si="11"/>
        <v>1</v>
      </c>
      <c r="AA46" s="29">
        <f t="shared" si="12"/>
        <v>6.6666666666666693E-2</v>
      </c>
      <c r="AB46" s="29">
        <f>+VLOOKUP(E46,[1]base!M:N,2,0)</f>
        <v>171</v>
      </c>
      <c r="AC46" s="29">
        <f>+VLOOKUP(E46,[1]base!M:Q,5,0)</f>
        <v>27.714285714285715</v>
      </c>
      <c r="AD46" s="30">
        <f>+VLOOKUP(E46,[1]base!M:P,4,0)</f>
        <v>1.7241379310344827E-2</v>
      </c>
      <c r="AE46" s="31">
        <f t="shared" si="13"/>
        <v>48.351724137931036</v>
      </c>
    </row>
    <row r="47" spans="1:31" s="32" customFormat="1" x14ac:dyDescent="0.25">
      <c r="A47" s="12"/>
      <c r="B47" s="13"/>
      <c r="C47" s="12"/>
      <c r="D47" s="12" t="s">
        <v>694</v>
      </c>
      <c r="E47" s="26" t="str">
        <f t="shared" si="7"/>
        <v>FSQ112</v>
      </c>
      <c r="F47" s="27" t="str">
        <f t="shared" si="8"/>
        <v>BLC</v>
      </c>
      <c r="G47" s="27">
        <f>+VLOOKUP(F47,[1]base!A:B,2,0)</f>
        <v>1</v>
      </c>
      <c r="H47" s="12"/>
      <c r="I47" s="12"/>
      <c r="J47" s="14"/>
      <c r="K47" s="14" t="s">
        <v>61</v>
      </c>
      <c r="L47" s="12"/>
      <c r="M47" s="12"/>
      <c r="N47" s="12"/>
      <c r="O47" s="12"/>
      <c r="P47" s="12"/>
      <c r="Q47" s="16">
        <v>4</v>
      </c>
      <c r="R47" s="16">
        <v>0</v>
      </c>
      <c r="S47" s="16"/>
      <c r="T47" s="28">
        <v>4</v>
      </c>
      <c r="U47" s="28"/>
      <c r="V47" s="29">
        <f>+VLOOKUP(E47,[1]base!D:K,8,0)</f>
        <v>5.1870000000000003</v>
      </c>
      <c r="W47" s="29">
        <f t="shared" si="9"/>
        <v>20.748000000000001</v>
      </c>
      <c r="X47" s="29">
        <f t="shared" si="10"/>
        <v>1.0788960000000001</v>
      </c>
      <c r="Y47" s="29">
        <f>+VLOOKUP(E47,[1]base!D:E,2,0)</f>
        <v>12</v>
      </c>
      <c r="Z47" s="29">
        <f t="shared" si="11"/>
        <v>1</v>
      </c>
      <c r="AA47" s="29">
        <f t="shared" si="12"/>
        <v>6.6666666666666693E-2</v>
      </c>
      <c r="AB47" s="29">
        <f>+VLOOKUP(E47,[1]base!M:N,2,0)</f>
        <v>171</v>
      </c>
      <c r="AC47" s="29">
        <f>+VLOOKUP(E47,[1]base!M:Q,5,0)</f>
        <v>27.714285714285715</v>
      </c>
      <c r="AD47" s="30">
        <f>+VLOOKUP(E47,[1]base!M:P,4,0)</f>
        <v>1.7241379310344827E-2</v>
      </c>
      <c r="AE47" s="31">
        <f t="shared" si="13"/>
        <v>48.351724137931036</v>
      </c>
    </row>
    <row r="48" spans="1:31" x14ac:dyDescent="0.25">
      <c r="A48" s="12"/>
      <c r="B48" s="13"/>
      <c r="C48" s="12"/>
      <c r="D48" s="12" t="s">
        <v>905</v>
      </c>
      <c r="E48" s="26" t="str">
        <f t="shared" si="7"/>
        <v>FSQ122</v>
      </c>
      <c r="F48" s="27" t="str">
        <f t="shared" si="8"/>
        <v>BLC</v>
      </c>
      <c r="G48" s="27">
        <f>+VLOOKUP(F48,[1]base!A:B,2,0)</f>
        <v>1</v>
      </c>
      <c r="H48" s="12"/>
      <c r="I48" s="12"/>
      <c r="J48" s="14"/>
      <c r="K48" s="14" t="s">
        <v>61</v>
      </c>
      <c r="L48" s="12"/>
      <c r="M48" s="12"/>
      <c r="N48" s="12"/>
      <c r="O48" s="12"/>
      <c r="P48" s="12"/>
      <c r="Q48" s="16">
        <v>4</v>
      </c>
      <c r="R48" s="16">
        <v>0</v>
      </c>
      <c r="S48" s="16"/>
      <c r="T48" s="28">
        <v>4</v>
      </c>
      <c r="U48" s="28"/>
      <c r="V48" s="29">
        <f>+VLOOKUP(E48,[1]base!D:K,8,0)</f>
        <v>1.9564999999999999</v>
      </c>
      <c r="W48" s="29">
        <f t="shared" si="9"/>
        <v>7.8259999999999996</v>
      </c>
      <c r="X48" s="29">
        <f t="shared" si="10"/>
        <v>0.40695199999999998</v>
      </c>
      <c r="Y48" s="29">
        <f>+VLOOKUP(E48,[1]base!D:E,2,0)</f>
        <v>20</v>
      </c>
      <c r="Z48" s="29">
        <f t="shared" si="11"/>
        <v>1</v>
      </c>
      <c r="AA48" s="29">
        <f t="shared" si="12"/>
        <v>6.6666666666666693E-2</v>
      </c>
      <c r="AB48" s="29">
        <f>+VLOOKUP(E48,[1]base!M:N,2,0)</f>
        <v>30</v>
      </c>
      <c r="AC48" s="29">
        <f>+VLOOKUP(E48,[1]base!M:Q,5,0)</f>
        <v>23.375</v>
      </c>
      <c r="AD48" s="30">
        <f>+VLOOKUP(E48,[1]base!M:P,4,0)</f>
        <v>0</v>
      </c>
      <c r="AE48" s="31">
        <f t="shared" si="13"/>
        <v>9</v>
      </c>
    </row>
    <row r="49" spans="1:31" x14ac:dyDescent="0.25">
      <c r="A49" s="12"/>
      <c r="B49" s="13"/>
      <c r="C49" s="12"/>
      <c r="D49" s="12" t="s">
        <v>904</v>
      </c>
      <c r="E49" s="26" t="str">
        <f t="shared" si="7"/>
        <v>FSQ139</v>
      </c>
      <c r="F49" s="27" t="str">
        <f t="shared" si="8"/>
        <v>BLC</v>
      </c>
      <c r="G49" s="27">
        <f>+VLOOKUP(F49,[1]base!A:B,2,0)</f>
        <v>1</v>
      </c>
      <c r="H49" s="12"/>
      <c r="I49" s="12"/>
      <c r="J49" s="14"/>
      <c r="K49" s="14" t="s">
        <v>61</v>
      </c>
      <c r="L49" s="12"/>
      <c r="M49" s="12"/>
      <c r="N49" s="12"/>
      <c r="O49" s="12"/>
      <c r="P49" s="12"/>
      <c r="Q49" s="16">
        <v>10</v>
      </c>
      <c r="R49" s="16">
        <v>1</v>
      </c>
      <c r="S49" s="16"/>
      <c r="T49" s="28">
        <v>9</v>
      </c>
      <c r="U49" s="28">
        <v>1</v>
      </c>
      <c r="V49" s="29">
        <f>+VLOOKUP(E49,[1]base!D:K,8,0)</f>
        <v>2.0019999999999998</v>
      </c>
      <c r="W49" s="29">
        <f t="shared" si="9"/>
        <v>20.019999999999996</v>
      </c>
      <c r="X49" s="29">
        <f t="shared" si="10"/>
        <v>1.0410399999999997</v>
      </c>
      <c r="Y49" s="29">
        <f>+VLOOKUP(E49,[1]base!D:E,2,0)</f>
        <v>20</v>
      </c>
      <c r="Z49" s="29">
        <f t="shared" si="11"/>
        <v>1</v>
      </c>
      <c r="AA49" s="29">
        <f t="shared" si="12"/>
        <v>6.6666666666666693E-2</v>
      </c>
      <c r="AB49" s="29">
        <f>+VLOOKUP(E49,[1]base!M:N,2,0)</f>
        <v>2359</v>
      </c>
      <c r="AC49" s="29">
        <f>+VLOOKUP(E49,[1]base!M:Q,5,0)</f>
        <v>157.22222222222223</v>
      </c>
      <c r="AD49" s="30">
        <f>+VLOOKUP(E49,[1]base!M:P,4,0)</f>
        <v>3.8006756756756759E-3</v>
      </c>
      <c r="AE49" s="31">
        <f t="shared" si="13"/>
        <v>698.73420608108108</v>
      </c>
    </row>
    <row r="50" spans="1:31" x14ac:dyDescent="0.25">
      <c r="A50" s="12"/>
      <c r="B50" s="13"/>
      <c r="C50" s="12"/>
      <c r="D50" s="12" t="s">
        <v>896</v>
      </c>
      <c r="E50" s="26" t="str">
        <f t="shared" si="7"/>
        <v>FSQ150</v>
      </c>
      <c r="F50" s="27" t="str">
        <f t="shared" si="8"/>
        <v>BLC</v>
      </c>
      <c r="G50" s="27">
        <f>+VLOOKUP(F50,[1]base!A:B,2,0)</f>
        <v>1</v>
      </c>
      <c r="H50" s="12"/>
      <c r="I50" s="12"/>
      <c r="J50" s="14"/>
      <c r="K50" s="14" t="s">
        <v>61</v>
      </c>
      <c r="L50" s="12"/>
      <c r="M50" s="12"/>
      <c r="N50" s="12"/>
      <c r="O50" s="12"/>
      <c r="P50" s="12"/>
      <c r="Q50" s="16">
        <v>2</v>
      </c>
      <c r="R50" s="16">
        <v>2</v>
      </c>
      <c r="S50" s="16"/>
      <c r="T50" s="28">
        <v>0</v>
      </c>
      <c r="U50" s="28">
        <v>2</v>
      </c>
      <c r="V50" s="29">
        <f>+VLOOKUP(E50,[1]base!D:K,8,0)</f>
        <v>5.9735000000000005</v>
      </c>
      <c r="W50" s="29">
        <f t="shared" si="9"/>
        <v>11.947000000000001</v>
      </c>
      <c r="X50" s="29">
        <f t="shared" si="10"/>
        <v>0.62124400000000002</v>
      </c>
      <c r="Y50" s="29">
        <f>+VLOOKUP(E50,[1]base!D:E,2,0)</f>
        <v>13</v>
      </c>
      <c r="Z50" s="29">
        <f t="shared" si="11"/>
        <v>0</v>
      </c>
      <c r="AA50" s="29">
        <f t="shared" si="12"/>
        <v>0</v>
      </c>
      <c r="AB50" s="29">
        <f>+VLOOKUP(E50,[1]base!M:N,2,0)</f>
        <v>779</v>
      </c>
      <c r="AC50" s="29">
        <f>+VLOOKUP(E50,[1]base!M:Q,5,0)</f>
        <v>16.666666666666668</v>
      </c>
      <c r="AD50" s="30">
        <f>+VLOOKUP(E50,[1]base!M:P,4,0)</f>
        <v>0.13732004429678848</v>
      </c>
      <c r="AE50" s="31">
        <f t="shared" si="13"/>
        <v>126.72768549280177</v>
      </c>
    </row>
    <row r="51" spans="1:31" s="32" customFormat="1" x14ac:dyDescent="0.25">
      <c r="A51" s="12"/>
      <c r="B51" s="13"/>
      <c r="C51" s="12"/>
      <c r="D51" s="12" t="s">
        <v>695</v>
      </c>
      <c r="E51" s="26" t="str">
        <f t="shared" si="7"/>
        <v>FSQ403</v>
      </c>
      <c r="F51" s="27" t="str">
        <f t="shared" si="8"/>
        <v>BLC</v>
      </c>
      <c r="G51" s="27">
        <f>+VLOOKUP(F51,[1]base!A:B,2,0)</f>
        <v>1</v>
      </c>
      <c r="H51" s="12"/>
      <c r="I51" s="12"/>
      <c r="J51" s="14"/>
      <c r="K51" s="14" t="s">
        <v>61</v>
      </c>
      <c r="L51" s="12"/>
      <c r="M51" s="12"/>
      <c r="N51" s="12"/>
      <c r="O51" s="12"/>
      <c r="P51" s="12"/>
      <c r="Q51" s="16">
        <v>2</v>
      </c>
      <c r="R51" s="16">
        <v>0</v>
      </c>
      <c r="S51" s="16"/>
      <c r="T51" s="28">
        <v>2</v>
      </c>
      <c r="U51" s="28"/>
      <c r="V51" s="29">
        <f>+VLOOKUP(E51,[1]base!D:K,8,0)</f>
        <v>7.1110000000000007</v>
      </c>
      <c r="W51" s="29">
        <f t="shared" si="9"/>
        <v>14.222000000000001</v>
      </c>
      <c r="X51" s="29">
        <f t="shared" si="10"/>
        <v>0.73954399999999998</v>
      </c>
      <c r="Y51" s="29">
        <f>+VLOOKUP(E51,[1]base!D:E,2,0)</f>
        <v>13</v>
      </c>
      <c r="Z51" s="29">
        <f t="shared" si="11"/>
        <v>1</v>
      </c>
      <c r="AA51" s="29">
        <f t="shared" si="12"/>
        <v>6.6666666666666693E-2</v>
      </c>
      <c r="AB51" s="29">
        <f>+VLOOKUP(E51,[1]base!M:N,2,0)</f>
        <v>281</v>
      </c>
      <c r="AC51" s="29">
        <f>+VLOOKUP(E51,[1]base!M:Q,5,0)</f>
        <v>95.666666666666671</v>
      </c>
      <c r="AD51" s="30">
        <f>+VLOOKUP(E51,[1]base!M:P,4,0)</f>
        <v>5.7046979865771813E-2</v>
      </c>
      <c r="AE51" s="31">
        <f t="shared" si="13"/>
        <v>68.269798657718113</v>
      </c>
    </row>
    <row r="52" spans="1:31" s="32" customFormat="1" x14ac:dyDescent="0.25">
      <c r="A52" s="12"/>
      <c r="B52" s="13"/>
      <c r="C52" s="12"/>
      <c r="D52" s="12" t="s">
        <v>695</v>
      </c>
      <c r="E52" s="26" t="str">
        <f t="shared" si="7"/>
        <v>FSQ403</v>
      </c>
      <c r="F52" s="27" t="str">
        <f t="shared" si="8"/>
        <v>BLC</v>
      </c>
      <c r="G52" s="27">
        <f>+VLOOKUP(F52,[1]base!A:B,2,0)</f>
        <v>1</v>
      </c>
      <c r="H52" s="12"/>
      <c r="I52" s="12"/>
      <c r="J52" s="14"/>
      <c r="K52" s="14" t="s">
        <v>61</v>
      </c>
      <c r="L52" s="12"/>
      <c r="M52" s="12"/>
      <c r="N52" s="12"/>
      <c r="O52" s="12"/>
      <c r="P52" s="12"/>
      <c r="Q52" s="16">
        <v>4</v>
      </c>
      <c r="R52" s="16">
        <v>0</v>
      </c>
      <c r="S52" s="16"/>
      <c r="T52" s="28">
        <v>4</v>
      </c>
      <c r="U52" s="28"/>
      <c r="V52" s="29">
        <f>+VLOOKUP(E52,[1]base!D:K,8,0)</f>
        <v>7.1110000000000007</v>
      </c>
      <c r="W52" s="29">
        <f t="shared" si="9"/>
        <v>28.444000000000003</v>
      </c>
      <c r="X52" s="29">
        <f t="shared" si="10"/>
        <v>1.479088</v>
      </c>
      <c r="Y52" s="29">
        <f>+VLOOKUP(E52,[1]base!D:E,2,0)</f>
        <v>13</v>
      </c>
      <c r="Z52" s="29">
        <f t="shared" si="11"/>
        <v>1</v>
      </c>
      <c r="AA52" s="29">
        <f t="shared" si="12"/>
        <v>6.6666666666666693E-2</v>
      </c>
      <c r="AB52" s="29">
        <f>+VLOOKUP(E52,[1]base!M:N,2,0)</f>
        <v>281</v>
      </c>
      <c r="AC52" s="29">
        <f>+VLOOKUP(E52,[1]base!M:Q,5,0)</f>
        <v>95.666666666666671</v>
      </c>
      <c r="AD52" s="30">
        <f>+VLOOKUP(E52,[1]base!M:P,4,0)</f>
        <v>5.7046979865771813E-2</v>
      </c>
      <c r="AE52" s="31">
        <f t="shared" si="13"/>
        <v>68.269798657718113</v>
      </c>
    </row>
    <row r="53" spans="1:31" s="32" customFormat="1" x14ac:dyDescent="0.25">
      <c r="A53" s="12"/>
      <c r="B53" s="13"/>
      <c r="C53" s="12"/>
      <c r="D53" s="12" t="s">
        <v>907</v>
      </c>
      <c r="E53" s="26" t="str">
        <f t="shared" si="7"/>
        <v>FSQ406</v>
      </c>
      <c r="F53" s="27" t="str">
        <f t="shared" si="8"/>
        <v>BLC</v>
      </c>
      <c r="G53" s="27">
        <f>+VLOOKUP(F53,[1]base!A:B,2,0)</f>
        <v>1</v>
      </c>
      <c r="H53" s="12"/>
      <c r="I53" s="12"/>
      <c r="J53" s="14"/>
      <c r="K53" s="14" t="s">
        <v>61</v>
      </c>
      <c r="L53" s="12"/>
      <c r="M53" s="12"/>
      <c r="N53" s="12"/>
      <c r="O53" s="12"/>
      <c r="P53" s="12"/>
      <c r="Q53" s="16">
        <v>8</v>
      </c>
      <c r="R53" s="16">
        <v>0</v>
      </c>
      <c r="S53" s="16"/>
      <c r="T53" s="28">
        <v>8</v>
      </c>
      <c r="U53" s="28"/>
      <c r="V53" s="29">
        <f>+VLOOKUP(E53,[1]base!D:K,8,0)</f>
        <v>5.46</v>
      </c>
      <c r="W53" s="29">
        <f t="shared" si="9"/>
        <v>43.68</v>
      </c>
      <c r="X53" s="29">
        <f t="shared" si="10"/>
        <v>2.27136</v>
      </c>
      <c r="Y53" s="29">
        <f>+VLOOKUP(E53,[1]base!D:E,2,0)</f>
        <v>13</v>
      </c>
      <c r="Z53" s="29">
        <f t="shared" si="11"/>
        <v>1</v>
      </c>
      <c r="AA53" s="29">
        <f t="shared" si="12"/>
        <v>6.6666666666666693E-2</v>
      </c>
      <c r="AB53" s="29">
        <f>+VLOOKUP(E53,[1]base!M:N,2,0)</f>
        <v>25</v>
      </c>
      <c r="AC53" s="29">
        <f>+VLOOKUP(E53,[1]base!M:Q,5,0)</f>
        <v>4</v>
      </c>
      <c r="AD53" s="30">
        <f>+VLOOKUP(E53,[1]base!M:P,4,0)</f>
        <v>0</v>
      </c>
      <c r="AE53" s="31">
        <f t="shared" si="13"/>
        <v>7.5</v>
      </c>
    </row>
    <row r="54" spans="1:31" s="32" customFormat="1" x14ac:dyDescent="0.25">
      <c r="A54" s="12"/>
      <c r="B54" s="13"/>
      <c r="C54" s="12"/>
      <c r="D54" s="12" t="s">
        <v>320</v>
      </c>
      <c r="E54" s="26" t="str">
        <f t="shared" si="7"/>
        <v>GL11060/248</v>
      </c>
      <c r="F54" s="27" t="str">
        <f t="shared" si="8"/>
        <v>BLC</v>
      </c>
      <c r="G54" s="27">
        <f>+VLOOKUP(F54,[1]base!A:B,2,0)</f>
        <v>1</v>
      </c>
      <c r="H54" s="12"/>
      <c r="I54" s="12"/>
      <c r="J54" s="14"/>
      <c r="K54" s="14" t="s">
        <v>26</v>
      </c>
      <c r="L54" s="12"/>
      <c r="M54" s="12"/>
      <c r="N54" s="12"/>
      <c r="O54" s="12"/>
      <c r="P54" s="12"/>
      <c r="Q54" s="16">
        <v>0</v>
      </c>
      <c r="R54" s="16">
        <v>1</v>
      </c>
      <c r="S54" s="16"/>
      <c r="T54" s="28">
        <v>2000</v>
      </c>
      <c r="U54" s="28"/>
      <c r="V54" s="29">
        <f>+VLOOKUP(E54,[1]base!D:K,8,0)</f>
        <v>2.4634999999999998</v>
      </c>
      <c r="W54" s="29">
        <f t="shared" si="9"/>
        <v>4927</v>
      </c>
      <c r="X54" s="29">
        <f t="shared" si="10"/>
        <v>256.20400000000001</v>
      </c>
      <c r="Y54" s="29">
        <f>+VLOOKUP(E54,[1]base!D:E,2,0)</f>
        <v>20</v>
      </c>
      <c r="Z54" s="29">
        <f t="shared" si="11"/>
        <v>100</v>
      </c>
      <c r="AA54" s="29">
        <f t="shared" si="12"/>
        <v>6.6666666666666696</v>
      </c>
      <c r="AB54" s="29">
        <f>+VLOOKUP(E54,[1]base!M:N,2,0)</f>
        <v>10587</v>
      </c>
      <c r="AC54" s="29">
        <f>+VLOOKUP(E54,[1]base!M:Q,5,0)</f>
        <v>2112.7272727272725</v>
      </c>
      <c r="AD54" s="30">
        <f>+VLOOKUP(E54,[1]base!M:P,4,0)</f>
        <v>1.4154018064996741E-2</v>
      </c>
      <c r="AE54" s="31">
        <f t="shared" si="13"/>
        <v>3026.2514107458796</v>
      </c>
    </row>
    <row r="55" spans="1:31" s="32" customFormat="1" x14ac:dyDescent="0.25">
      <c r="A55" s="12"/>
      <c r="B55" s="13"/>
      <c r="C55" s="12"/>
      <c r="D55" s="12" t="s">
        <v>657</v>
      </c>
      <c r="E55" s="26" t="str">
        <f t="shared" si="7"/>
        <v>GL180</v>
      </c>
      <c r="F55" s="27" t="str">
        <f t="shared" si="8"/>
        <v>BLC</v>
      </c>
      <c r="G55" s="27">
        <f>+VLOOKUP(F55,[1]base!A:B,2,0)</f>
        <v>1</v>
      </c>
      <c r="H55" s="12"/>
      <c r="I55" s="12"/>
      <c r="J55" s="14"/>
      <c r="K55" s="14" t="s">
        <v>61</v>
      </c>
      <c r="L55" s="12"/>
      <c r="M55" s="12"/>
      <c r="N55" s="12"/>
      <c r="O55" s="12"/>
      <c r="P55" s="12"/>
      <c r="Q55" s="16">
        <v>60</v>
      </c>
      <c r="R55" s="16">
        <v>0</v>
      </c>
      <c r="S55" s="16"/>
      <c r="T55" s="28">
        <v>120</v>
      </c>
      <c r="U55" s="28"/>
      <c r="V55" s="29">
        <f>+VLOOKUP(E55,[1]base!D:K,8,0)</f>
        <v>1.69</v>
      </c>
      <c r="W55" s="29">
        <f t="shared" si="9"/>
        <v>202.79999999999998</v>
      </c>
      <c r="X55" s="29">
        <f t="shared" si="10"/>
        <v>10.545599999999999</v>
      </c>
      <c r="Y55" s="29">
        <f>+VLOOKUP(E55,[1]base!D:E,2,0)</f>
        <v>20</v>
      </c>
      <c r="Z55" s="29">
        <f t="shared" si="11"/>
        <v>6</v>
      </c>
      <c r="AA55" s="29">
        <f t="shared" si="12"/>
        <v>0.40000000000000013</v>
      </c>
      <c r="AB55" s="29">
        <f>+VLOOKUP(E55,[1]base!M:N,2,0)</f>
        <v>727</v>
      </c>
      <c r="AC55" s="29">
        <f>+VLOOKUP(E55,[1]base!M:Q,5,0)</f>
        <v>257.71428571428572</v>
      </c>
      <c r="AD55" s="30">
        <f>+VLOOKUP(E55,[1]base!M:P,4,0)</f>
        <v>5.4719562243502051E-3</v>
      </c>
      <c r="AE55" s="31">
        <f t="shared" si="13"/>
        <v>214.12188782489739</v>
      </c>
    </row>
    <row r="56" spans="1:31" s="32" customFormat="1" x14ac:dyDescent="0.25">
      <c r="A56" s="12"/>
      <c r="B56" s="13"/>
      <c r="C56" s="12"/>
      <c r="D56" s="12" t="s">
        <v>1429</v>
      </c>
      <c r="E56" s="26" t="str">
        <f t="shared" si="7"/>
        <v>GLIS180</v>
      </c>
      <c r="F56" s="27" t="str">
        <f t="shared" si="8"/>
        <v>BLC</v>
      </c>
      <c r="G56" s="27">
        <f>+VLOOKUP(F56,[1]base!A:B,2,0)</f>
        <v>1</v>
      </c>
      <c r="H56" s="12"/>
      <c r="I56" s="12"/>
      <c r="J56" s="14"/>
      <c r="K56" s="14" t="s">
        <v>26</v>
      </c>
      <c r="L56" s="12"/>
      <c r="M56" s="12"/>
      <c r="N56" s="12"/>
      <c r="O56" s="12"/>
      <c r="P56" s="12"/>
      <c r="Q56" s="16">
        <v>0</v>
      </c>
      <c r="R56" s="16">
        <v>0</v>
      </c>
      <c r="S56" s="16"/>
      <c r="T56" s="28">
        <v>39</v>
      </c>
      <c r="U56" s="28"/>
      <c r="V56" s="29" t="e">
        <f>+VLOOKUP(E56,[1]base!D:K,8,0)</f>
        <v>#N/A</v>
      </c>
      <c r="W56" s="29" t="e">
        <f t="shared" si="9"/>
        <v>#N/A</v>
      </c>
      <c r="X56" s="29" t="e">
        <f t="shared" si="10"/>
        <v>#N/A</v>
      </c>
      <c r="Y56" s="29" t="e">
        <f>+VLOOKUP(E56,[1]base!D:E,2,0)</f>
        <v>#N/A</v>
      </c>
      <c r="Z56" s="29" t="e">
        <f t="shared" si="11"/>
        <v>#N/A</v>
      </c>
      <c r="AA56" s="29" t="e">
        <f t="shared" si="12"/>
        <v>#N/A</v>
      </c>
      <c r="AB56" s="29" t="e">
        <f>+VLOOKUP(E56,[1]base!M:N,2,0)</f>
        <v>#N/A</v>
      </c>
      <c r="AC56" s="29" t="e">
        <f>+VLOOKUP(E56,[1]base!M:Q,5,0)</f>
        <v>#N/A</v>
      </c>
      <c r="AD56" s="30" t="e">
        <f>+VLOOKUP(E56,[1]base!M:P,4,0)</f>
        <v>#N/A</v>
      </c>
      <c r="AE56" s="31" t="e">
        <f t="shared" si="13"/>
        <v>#N/A</v>
      </c>
    </row>
    <row r="57" spans="1:31" s="32" customFormat="1" x14ac:dyDescent="0.25">
      <c r="A57" s="12"/>
      <c r="B57" s="13"/>
      <c r="C57" s="12"/>
      <c r="D57" s="12" t="s">
        <v>710</v>
      </c>
      <c r="E57" s="26" t="str">
        <f t="shared" si="7"/>
        <v>GLLMDP-100</v>
      </c>
      <c r="F57" s="27" t="str">
        <f t="shared" si="8"/>
        <v>BLC</v>
      </c>
      <c r="G57" s="27">
        <f>+VLOOKUP(F57,[1]base!A:B,2,0)</f>
        <v>1</v>
      </c>
      <c r="H57" s="12"/>
      <c r="I57" s="12"/>
      <c r="J57" s="14"/>
      <c r="K57" s="14" t="s">
        <v>26</v>
      </c>
      <c r="L57" s="12"/>
      <c r="M57" s="12"/>
      <c r="N57" s="12"/>
      <c r="O57" s="12"/>
      <c r="P57" s="12"/>
      <c r="Q57" s="16">
        <v>0</v>
      </c>
      <c r="R57" s="16">
        <v>0</v>
      </c>
      <c r="S57" s="16"/>
      <c r="T57" s="28">
        <v>1</v>
      </c>
      <c r="U57" s="28"/>
      <c r="V57" s="29" t="e">
        <f>+VLOOKUP(E57,[1]base!D:K,8,0)</f>
        <v>#N/A</v>
      </c>
      <c r="W57" s="29" t="e">
        <f t="shared" si="9"/>
        <v>#N/A</v>
      </c>
      <c r="X57" s="29" t="e">
        <f t="shared" si="10"/>
        <v>#N/A</v>
      </c>
      <c r="Y57" s="29" t="e">
        <f>+VLOOKUP(E57,[1]base!D:E,2,0)</f>
        <v>#N/A</v>
      </c>
      <c r="Z57" s="29" t="e">
        <f t="shared" si="11"/>
        <v>#N/A</v>
      </c>
      <c r="AA57" s="29" t="e">
        <f t="shared" si="12"/>
        <v>#N/A</v>
      </c>
      <c r="AB57" s="29" t="e">
        <f>+VLOOKUP(E57,[1]base!M:N,2,0)</f>
        <v>#N/A</v>
      </c>
      <c r="AC57" s="29" t="e">
        <f>+VLOOKUP(E57,[1]base!M:Q,5,0)</f>
        <v>#N/A</v>
      </c>
      <c r="AD57" s="30" t="e">
        <f>+VLOOKUP(E57,[1]base!M:P,4,0)</f>
        <v>#N/A</v>
      </c>
      <c r="AE57" s="31" t="e">
        <f t="shared" si="13"/>
        <v>#N/A</v>
      </c>
    </row>
    <row r="58" spans="1:31" s="32" customFormat="1" x14ac:dyDescent="0.25">
      <c r="A58" s="12"/>
      <c r="B58" s="13"/>
      <c r="C58" s="12"/>
      <c r="D58" s="12" t="s">
        <v>623</v>
      </c>
      <c r="E58" s="26" t="str">
        <f t="shared" si="7"/>
        <v>GL-MB</v>
      </c>
      <c r="F58" s="27" t="str">
        <f t="shared" si="8"/>
        <v>BLC</v>
      </c>
      <c r="G58" s="27">
        <f>+VLOOKUP(F58,[1]base!A:B,2,0)</f>
        <v>1</v>
      </c>
      <c r="H58" s="12"/>
      <c r="I58" s="12"/>
      <c r="J58" s="14"/>
      <c r="K58" s="14" t="s">
        <v>61</v>
      </c>
      <c r="L58" s="12"/>
      <c r="M58" s="12"/>
      <c r="N58" s="12"/>
      <c r="O58" s="12"/>
      <c r="P58" s="12"/>
      <c r="Q58" s="16">
        <v>30</v>
      </c>
      <c r="R58" s="16">
        <v>0</v>
      </c>
      <c r="S58" s="16"/>
      <c r="T58" s="28">
        <v>50</v>
      </c>
      <c r="U58" s="28"/>
      <c r="V58" s="29">
        <f>+VLOOKUP(E58,[1]base!D:K,8,0)</f>
        <v>3.6919999999999997</v>
      </c>
      <c r="W58" s="29">
        <f t="shared" si="9"/>
        <v>184.6</v>
      </c>
      <c r="X58" s="29">
        <f t="shared" si="10"/>
        <v>9.5991999999999997</v>
      </c>
      <c r="Y58" s="29">
        <f>+VLOOKUP(E58,[1]base!D:E,2,0)</f>
        <v>12</v>
      </c>
      <c r="Z58" s="29">
        <f t="shared" si="11"/>
        <v>5</v>
      </c>
      <c r="AA58" s="29">
        <f t="shared" si="12"/>
        <v>0.33333333333333348</v>
      </c>
      <c r="AB58" s="29">
        <f>+VLOOKUP(E58,[1]base!M:N,2,0)</f>
        <v>20</v>
      </c>
      <c r="AC58" s="29">
        <f>+VLOOKUP(E58,[1]base!M:Q,5,0)</f>
        <v>33.6</v>
      </c>
      <c r="AD58" s="30">
        <f>+VLOOKUP(E58,[1]base!M:P,4,0)</f>
        <v>4.7619047619047616E-2</v>
      </c>
      <c r="AE58" s="31">
        <f t="shared" si="13"/>
        <v>5.0476190476190474</v>
      </c>
    </row>
    <row r="59" spans="1:31" s="32" customFormat="1" x14ac:dyDescent="0.25">
      <c r="A59" s="12"/>
      <c r="B59" s="13"/>
      <c r="C59" s="12"/>
      <c r="D59" s="12" t="s">
        <v>130</v>
      </c>
      <c r="E59" s="26" t="str">
        <f t="shared" si="7"/>
        <v>LM-757</v>
      </c>
      <c r="F59" s="27" t="str">
        <f t="shared" si="8"/>
        <v>BLC</v>
      </c>
      <c r="G59" s="27">
        <f>+VLOOKUP(F59,[1]base!A:B,2,0)</f>
        <v>1</v>
      </c>
      <c r="H59" s="12"/>
      <c r="I59" s="12"/>
      <c r="J59" s="14"/>
      <c r="K59" s="14" t="s">
        <v>61</v>
      </c>
      <c r="L59" s="12"/>
      <c r="M59" s="12"/>
      <c r="N59" s="12"/>
      <c r="O59" s="12"/>
      <c r="P59" s="12"/>
      <c r="Q59" s="16">
        <v>69</v>
      </c>
      <c r="R59" s="16">
        <v>6</v>
      </c>
      <c r="S59" s="16"/>
      <c r="T59" s="28">
        <v>3400</v>
      </c>
      <c r="U59" s="28"/>
      <c r="V59" s="29">
        <f>+VLOOKUP(E59,[1]base!D:K,8,0)</f>
        <v>2.7559999999999998</v>
      </c>
      <c r="W59" s="29">
        <f t="shared" si="9"/>
        <v>9370.4</v>
      </c>
      <c r="X59" s="29">
        <f t="shared" si="10"/>
        <v>487.26079999999996</v>
      </c>
      <c r="Y59" s="29">
        <f>+VLOOKUP(E59,[1]base!D:E,2,0)</f>
        <v>17</v>
      </c>
      <c r="Z59" s="29">
        <f t="shared" si="11"/>
        <v>200</v>
      </c>
      <c r="AA59" s="29">
        <f t="shared" si="12"/>
        <v>13.333333333333339</v>
      </c>
      <c r="AB59" s="29">
        <f>+VLOOKUP(E59,[1]base!M:N,2,0)</f>
        <v>16498</v>
      </c>
      <c r="AC59" s="29">
        <f>+VLOOKUP(E59,[1]base!M:Q,5,0)</f>
        <v>13391.545454545454</v>
      </c>
      <c r="AD59" s="30">
        <f>+VLOOKUP(E59,[1]base!M:P,4,0)</f>
        <v>4.4978292329956586E-2</v>
      </c>
      <c r="AE59" s="31">
        <f t="shared" si="13"/>
        <v>4207.3481331403764</v>
      </c>
    </row>
    <row r="60" spans="1:31" s="32" customFormat="1" x14ac:dyDescent="0.25">
      <c r="A60" s="12"/>
      <c r="B60" s="13"/>
      <c r="C60" s="12"/>
      <c r="D60" s="12" t="s">
        <v>712</v>
      </c>
      <c r="E60" s="26" t="str">
        <f t="shared" si="7"/>
        <v>LMDP-100</v>
      </c>
      <c r="F60" s="27" t="str">
        <f t="shared" si="8"/>
        <v>BLC</v>
      </c>
      <c r="G60" s="27">
        <f>+VLOOKUP(F60,[1]base!A:B,2,0)</f>
        <v>1</v>
      </c>
      <c r="H60" s="12"/>
      <c r="I60" s="12"/>
      <c r="J60" s="14"/>
      <c r="K60" s="14" t="s">
        <v>61</v>
      </c>
      <c r="L60" s="12"/>
      <c r="M60" s="12"/>
      <c r="N60" s="12"/>
      <c r="O60" s="12"/>
      <c r="P60" s="12"/>
      <c r="Q60" s="16">
        <v>27</v>
      </c>
      <c r="R60" s="16">
        <v>0</v>
      </c>
      <c r="S60" s="16"/>
      <c r="T60" s="28">
        <v>87</v>
      </c>
      <c r="U60" s="28"/>
      <c r="V60" s="29">
        <f>+VLOOKUP(E60,[1]base!D:K,8,0)</f>
        <v>7.02</v>
      </c>
      <c r="W60" s="29">
        <f t="shared" si="9"/>
        <v>610.74</v>
      </c>
      <c r="X60" s="29">
        <f t="shared" si="10"/>
        <v>31.758479999999999</v>
      </c>
      <c r="Y60" s="29">
        <f>+VLOOKUP(E60,[1]base!D:E,2,0)</f>
        <v>14</v>
      </c>
      <c r="Z60" s="29">
        <f t="shared" si="11"/>
        <v>7</v>
      </c>
      <c r="AA60" s="29">
        <f t="shared" si="12"/>
        <v>0.46666666666666684</v>
      </c>
      <c r="AB60" s="29">
        <f>+VLOOKUP(E60,[1]base!M:N,2,0)</f>
        <v>87</v>
      </c>
      <c r="AC60" s="29">
        <f>+VLOOKUP(E60,[1]base!M:Q,5,0)</f>
        <v>0</v>
      </c>
      <c r="AD60" s="30">
        <f>+VLOOKUP(E60,[1]base!M:P,4,0)</f>
        <v>1.1363636363636364E-2</v>
      </c>
      <c r="AE60" s="31">
        <f t="shared" si="13"/>
        <v>25.111363636363635</v>
      </c>
    </row>
    <row r="61" spans="1:31" s="32" customFormat="1" x14ac:dyDescent="0.25">
      <c r="A61" s="12"/>
      <c r="B61" s="13"/>
      <c r="C61" s="12"/>
      <c r="D61" s="12" t="s">
        <v>711</v>
      </c>
      <c r="E61" s="26" t="str">
        <f t="shared" si="7"/>
        <v>LMDPF-100</v>
      </c>
      <c r="F61" s="27" t="str">
        <f t="shared" si="8"/>
        <v>BLC</v>
      </c>
      <c r="G61" s="27">
        <f>+VLOOKUP(F61,[1]base!A:B,2,0)</f>
        <v>1</v>
      </c>
      <c r="H61" s="12"/>
      <c r="I61" s="12"/>
      <c r="J61" s="14"/>
      <c r="K61" s="14" t="s">
        <v>61</v>
      </c>
      <c r="L61" s="12"/>
      <c r="M61" s="12"/>
      <c r="N61" s="12"/>
      <c r="O61" s="12"/>
      <c r="P61" s="12"/>
      <c r="Q61" s="16">
        <v>1</v>
      </c>
      <c r="R61" s="16">
        <v>0</v>
      </c>
      <c r="S61" s="16"/>
      <c r="T61" s="28">
        <v>40</v>
      </c>
      <c r="U61" s="28"/>
      <c r="V61" s="29">
        <f>+VLOOKUP(E61,[1]base!D:K,8,0)</f>
        <v>1.8460000000000001</v>
      </c>
      <c r="W61" s="29">
        <f t="shared" si="9"/>
        <v>73.84</v>
      </c>
      <c r="X61" s="29">
        <f t="shared" si="10"/>
        <v>3.83968</v>
      </c>
      <c r="Y61" s="29">
        <f>+VLOOKUP(E61,[1]base!D:E,2,0)</f>
        <v>20</v>
      </c>
      <c r="Z61" s="29">
        <f t="shared" si="11"/>
        <v>2</v>
      </c>
      <c r="AA61" s="29">
        <f t="shared" si="12"/>
        <v>0.13333333333333339</v>
      </c>
      <c r="AB61" s="29">
        <f>+VLOOKUP(E61,[1]base!M:N,2,0)</f>
        <v>232</v>
      </c>
      <c r="AC61" s="29">
        <f>+VLOOKUP(E61,[1]base!M:Q,5,0)</f>
        <v>0</v>
      </c>
      <c r="AD61" s="30">
        <f>+VLOOKUP(E61,[1]base!M:P,4,0)</f>
        <v>0</v>
      </c>
      <c r="AE61" s="31">
        <f t="shared" si="13"/>
        <v>69.599999999999994</v>
      </c>
    </row>
    <row r="62" spans="1:31" s="32" customFormat="1" x14ac:dyDescent="0.25">
      <c r="A62" s="12"/>
      <c r="B62" s="13"/>
      <c r="C62" s="12"/>
      <c r="D62" s="12" t="s">
        <v>573</v>
      </c>
      <c r="E62" s="26" t="str">
        <f t="shared" si="7"/>
        <v>LM-F/6</v>
      </c>
      <c r="F62" s="27" t="str">
        <f t="shared" si="8"/>
        <v>BLC</v>
      </c>
      <c r="G62" s="27">
        <f>+VLOOKUP(F62,[1]base!A:B,2,0)</f>
        <v>1</v>
      </c>
      <c r="H62" s="12"/>
      <c r="I62" s="12"/>
      <c r="J62" s="14"/>
      <c r="K62" s="14" t="s">
        <v>61</v>
      </c>
      <c r="L62" s="12"/>
      <c r="M62" s="12"/>
      <c r="N62" s="12"/>
      <c r="O62" s="12"/>
      <c r="P62" s="12"/>
      <c r="Q62" s="16">
        <v>130</v>
      </c>
      <c r="R62" s="16">
        <v>4</v>
      </c>
      <c r="S62" s="16"/>
      <c r="T62" s="28">
        <v>340</v>
      </c>
      <c r="U62" s="28"/>
      <c r="V62" s="29">
        <f>+VLOOKUP(E62,[1]base!D:K,8,0)</f>
        <v>2.8405</v>
      </c>
      <c r="W62" s="29">
        <f t="shared" si="9"/>
        <v>965.77</v>
      </c>
      <c r="X62" s="29">
        <f t="shared" si="10"/>
        <v>50.220039999999997</v>
      </c>
      <c r="Y62" s="29">
        <f>+VLOOKUP(E62,[1]base!D:E,2,0)</f>
        <v>17</v>
      </c>
      <c r="Z62" s="29">
        <f t="shared" si="11"/>
        <v>20</v>
      </c>
      <c r="AA62" s="29">
        <f t="shared" si="12"/>
        <v>1.3333333333333339</v>
      </c>
      <c r="AB62" s="29">
        <f>+VLOOKUP(E62,[1]base!M:N,2,0)</f>
        <v>2860</v>
      </c>
      <c r="AC62" s="29">
        <f>+VLOOKUP(E62,[1]base!M:Q,5,0)</f>
        <v>1927.6</v>
      </c>
      <c r="AD62" s="30">
        <f>+VLOOKUP(E62,[1]base!M:P,4,0)</f>
        <v>-5.2857142857142856</v>
      </c>
      <c r="AE62" s="31">
        <f t="shared" si="13"/>
        <v>15975.142857142857</v>
      </c>
    </row>
    <row r="63" spans="1:31" s="32" customFormat="1" x14ac:dyDescent="0.25">
      <c r="A63" s="12"/>
      <c r="B63" s="13"/>
      <c r="C63" s="12"/>
      <c r="D63" s="12" t="s">
        <v>1096</v>
      </c>
      <c r="E63" s="26" t="str">
        <f t="shared" si="7"/>
        <v>LM-F45</v>
      </c>
      <c r="F63" s="27" t="str">
        <f t="shared" si="8"/>
        <v>BLC</v>
      </c>
      <c r="G63" s="27">
        <f>+VLOOKUP(F63,[1]base!A:B,2,0)</f>
        <v>1</v>
      </c>
      <c r="H63" s="12"/>
      <c r="I63" s="12"/>
      <c r="J63" s="14"/>
      <c r="K63" s="14" t="s">
        <v>61</v>
      </c>
      <c r="L63" s="12"/>
      <c r="M63" s="12"/>
      <c r="N63" s="12"/>
      <c r="O63" s="12"/>
      <c r="P63" s="12"/>
      <c r="Q63" s="16">
        <v>20</v>
      </c>
      <c r="R63" s="16">
        <v>0</v>
      </c>
      <c r="S63" s="16"/>
      <c r="T63" s="28">
        <v>400</v>
      </c>
      <c r="U63" s="28"/>
      <c r="V63" s="29">
        <f>+VLOOKUP(E63,[1]base!D:K,8,0)</f>
        <v>2.19</v>
      </c>
      <c r="W63" s="29">
        <f t="shared" si="9"/>
        <v>876</v>
      </c>
      <c r="X63" s="29">
        <f t="shared" si="10"/>
        <v>45.552</v>
      </c>
      <c r="Y63" s="29">
        <f>+VLOOKUP(E63,[1]base!D:E,2,0)</f>
        <v>20</v>
      </c>
      <c r="Z63" s="29">
        <f t="shared" si="11"/>
        <v>20</v>
      </c>
      <c r="AA63" s="29">
        <f t="shared" si="12"/>
        <v>1.3333333333333339</v>
      </c>
      <c r="AB63" s="29">
        <f>+VLOOKUP(E63,[1]base!M:N,2,0)</f>
        <v>13985</v>
      </c>
      <c r="AC63" s="29">
        <f>+VLOOKUP(E63,[1]base!M:Q,5,0)</f>
        <v>292.46153846153845</v>
      </c>
      <c r="AD63" s="30">
        <f>+VLOOKUP(E63,[1]base!M:P,4,0)</f>
        <v>8.3670141104729492E-3</v>
      </c>
      <c r="AE63" s="31">
        <f t="shared" si="13"/>
        <v>4078.4873076650351</v>
      </c>
    </row>
    <row r="64" spans="1:31" s="32" customFormat="1" x14ac:dyDescent="0.25">
      <c r="A64" s="12"/>
      <c r="B64" s="13"/>
      <c r="C64" s="12"/>
      <c r="D64" s="12" t="s">
        <v>134</v>
      </c>
      <c r="E64" s="26" t="str">
        <f t="shared" si="7"/>
        <v>LM-S758</v>
      </c>
      <c r="F64" s="27" t="str">
        <f t="shared" si="8"/>
        <v>BLC</v>
      </c>
      <c r="G64" s="27">
        <f>+VLOOKUP(F64,[1]base!A:B,2,0)</f>
        <v>1</v>
      </c>
      <c r="H64" s="12"/>
      <c r="I64" s="12"/>
      <c r="J64" s="14"/>
      <c r="K64" s="14" t="s">
        <v>61</v>
      </c>
      <c r="L64" s="12"/>
      <c r="M64" s="12"/>
      <c r="N64" s="12"/>
      <c r="O64" s="12"/>
      <c r="P64" s="12"/>
      <c r="Q64" s="16">
        <v>23</v>
      </c>
      <c r="R64" s="16">
        <v>6</v>
      </c>
      <c r="S64" s="16">
        <v>8</v>
      </c>
      <c r="T64" s="28">
        <v>200</v>
      </c>
      <c r="U64" s="28"/>
      <c r="V64" s="29">
        <f>+VLOOKUP(E64,[1]base!D:K,8,0)</f>
        <v>1.3259999999999998</v>
      </c>
      <c r="W64" s="29">
        <f t="shared" si="9"/>
        <v>265.2</v>
      </c>
      <c r="X64" s="29">
        <f t="shared" si="10"/>
        <v>13.790399999999998</v>
      </c>
      <c r="Y64" s="29">
        <f>+VLOOKUP(E64,[1]base!D:E,2,0)</f>
        <v>20</v>
      </c>
      <c r="Z64" s="29">
        <f t="shared" si="11"/>
        <v>10</v>
      </c>
      <c r="AA64" s="29">
        <f t="shared" si="12"/>
        <v>0.66666666666666696</v>
      </c>
      <c r="AB64" s="29">
        <f>+VLOOKUP(E64,[1]base!M:N,2,0)</f>
        <v>415</v>
      </c>
      <c r="AC64" s="29">
        <f>+VLOOKUP(E64,[1]base!M:Q,5,0)</f>
        <v>1750.6</v>
      </c>
      <c r="AD64" s="30">
        <f>+VLOOKUP(E64,[1]base!M:P,4,0)</f>
        <v>0.15306122448979592</v>
      </c>
      <c r="AE64" s="31">
        <f t="shared" si="13"/>
        <v>60.979591836734684</v>
      </c>
    </row>
    <row r="65" spans="1:31" s="32" customFormat="1" x14ac:dyDescent="0.25">
      <c r="A65" s="12"/>
      <c r="B65" s="13"/>
      <c r="C65" s="12"/>
      <c r="D65" s="12" t="s">
        <v>515</v>
      </c>
      <c r="E65" s="26" t="str">
        <f t="shared" si="7"/>
        <v>MR002</v>
      </c>
      <c r="F65" s="27" t="str">
        <f t="shared" si="8"/>
        <v>BLC</v>
      </c>
      <c r="G65" s="27">
        <f>+VLOOKUP(F65,[1]base!A:B,2,0)</f>
        <v>1</v>
      </c>
      <c r="H65" s="12"/>
      <c r="I65" s="12"/>
      <c r="J65" s="14"/>
      <c r="K65" s="14" t="s">
        <v>61</v>
      </c>
      <c r="L65" s="12"/>
      <c r="M65" s="12"/>
      <c r="N65" s="12"/>
      <c r="O65" s="12"/>
      <c r="P65" s="12"/>
      <c r="Q65" s="16">
        <v>27</v>
      </c>
      <c r="R65" s="16">
        <v>0</v>
      </c>
      <c r="S65" s="16"/>
      <c r="T65" s="28">
        <v>5</v>
      </c>
      <c r="U65" s="28"/>
      <c r="V65" s="29">
        <f>+VLOOKUP(E65,[1]base!D:K,8,0)</f>
        <v>11.934000000000001</v>
      </c>
      <c r="W65" s="29">
        <f t="shared" si="9"/>
        <v>59.67</v>
      </c>
      <c r="X65" s="29">
        <f t="shared" si="10"/>
        <v>3.10284</v>
      </c>
      <c r="Y65" s="29">
        <f>+VLOOKUP(E65,[1]base!D:E,2,0)</f>
        <v>9</v>
      </c>
      <c r="Z65" s="29">
        <f t="shared" si="11"/>
        <v>1</v>
      </c>
      <c r="AA65" s="29">
        <f t="shared" si="12"/>
        <v>6.6666666666666693E-2</v>
      </c>
      <c r="AB65" s="29">
        <f>+VLOOKUP(E65,[1]base!M:N,2,0)</f>
        <v>1456</v>
      </c>
      <c r="AC65" s="29">
        <f>+VLOOKUP(E65,[1]base!M:Q,5,0)</f>
        <v>947.8</v>
      </c>
      <c r="AD65" s="30">
        <f>+VLOOKUP(E65,[1]base!M:P,4,0)</f>
        <v>0.6996699669966997</v>
      </c>
      <c r="AE65" s="31">
        <f t="shared" si="13"/>
        <v>-581.91947194719478</v>
      </c>
    </row>
    <row r="66" spans="1:31" s="32" customFormat="1" x14ac:dyDescent="0.25">
      <c r="A66" s="45"/>
      <c r="B66" s="46"/>
      <c r="C66" s="45"/>
      <c r="D66" s="45"/>
      <c r="E66" s="47"/>
      <c r="F66" s="48"/>
      <c r="G66" s="48"/>
      <c r="H66" s="45"/>
      <c r="I66" s="45"/>
      <c r="J66" s="49"/>
      <c r="K66" s="49"/>
      <c r="L66" s="45"/>
      <c r="M66" s="45"/>
      <c r="N66" s="45"/>
      <c r="O66" s="45"/>
      <c r="P66" s="45"/>
      <c r="Q66" s="50"/>
      <c r="R66" s="50"/>
      <c r="S66" s="50"/>
      <c r="T66" s="51"/>
      <c r="U66" s="51"/>
      <c r="V66" s="52"/>
      <c r="W66" s="52"/>
      <c r="X66" s="52"/>
      <c r="Y66" s="52"/>
      <c r="Z66" s="52"/>
      <c r="AA66" s="52"/>
      <c r="AB66" s="52"/>
      <c r="AC66" s="52"/>
      <c r="AD66" s="53"/>
      <c r="AE66" s="54"/>
    </row>
    <row r="67" spans="1:31" s="32" customFormat="1" x14ac:dyDescent="0.25">
      <c r="A67" s="12" t="s">
        <v>1570</v>
      </c>
      <c r="B67" s="13">
        <v>46274.654050925928</v>
      </c>
      <c r="C67" s="12" t="s">
        <v>24</v>
      </c>
      <c r="D67" s="12" t="s">
        <v>1571</v>
      </c>
      <c r="E67" s="26" t="str">
        <f t="shared" ref="E67:E84" si="14">_xlfn.TEXTBEFORE(D67, "-", -1, 1, , D67)</f>
        <v>00957410</v>
      </c>
      <c r="F67" s="27" t="str">
        <f t="shared" ref="F67:F84" si="15">_xlfn.TEXTAFTER(D67, "-", -1, 1, , "")</f>
        <v>CHPG</v>
      </c>
      <c r="G67" s="27">
        <f>+VLOOKUP(F67,[1]base!A:B,2,0)</f>
        <v>11</v>
      </c>
      <c r="H67" s="12">
        <v>4</v>
      </c>
      <c r="I67" s="12">
        <v>4</v>
      </c>
      <c r="J67" s="14"/>
      <c r="K67" s="14" t="s">
        <v>26</v>
      </c>
      <c r="L67" s="12" t="s">
        <v>1575</v>
      </c>
      <c r="M67" s="12" t="s">
        <v>150</v>
      </c>
      <c r="N67" s="12">
        <v>4</v>
      </c>
      <c r="O67" s="12">
        <v>4</v>
      </c>
      <c r="P67" s="12">
        <v>0</v>
      </c>
      <c r="Q67" s="16">
        <v>0</v>
      </c>
      <c r="R67" s="16">
        <v>1</v>
      </c>
      <c r="S67" s="16"/>
      <c r="T67" s="28">
        <v>3</v>
      </c>
      <c r="U67" s="28">
        <v>1</v>
      </c>
      <c r="V67" s="29" t="e">
        <f>+VLOOKUP(E67,[1]base!D:K,8,0)</f>
        <v>#N/A</v>
      </c>
      <c r="W67" s="29" t="e">
        <f t="shared" ref="W67:W84" si="16">(T67+U67)*V67</f>
        <v>#N/A</v>
      </c>
      <c r="X67" s="29" t="e">
        <f t="shared" ref="X67:X84" si="17">+W67*0.052</f>
        <v>#N/A</v>
      </c>
      <c r="Y67" s="29" t="e">
        <f>+VLOOKUP(E67,[1]base!D:E,2,0)</f>
        <v>#N/A</v>
      </c>
      <c r="Z67" s="29" t="e">
        <f t="shared" ref="Z67:Z84" si="18">ROUNDUP(T67/Y67,0)</f>
        <v>#N/A</v>
      </c>
      <c r="AA67" s="29" t="e">
        <f t="shared" ref="AA67:AA84" si="19">+Z67*0.0666666666666667</f>
        <v>#N/A</v>
      </c>
      <c r="AB67" s="29" t="e">
        <f>+VLOOKUP(E67,[1]base!M:N,2,0)</f>
        <v>#N/A</v>
      </c>
      <c r="AC67" s="29" t="e">
        <f>+VLOOKUP(E67,[1]base!M:Q,5,0)</f>
        <v>#N/A</v>
      </c>
      <c r="AD67" s="30" t="e">
        <f>+VLOOKUP(E67,[1]base!M:P,4,0)</f>
        <v>#N/A</v>
      </c>
      <c r="AE67" s="31" t="e">
        <f t="shared" ref="AE67:AE84" si="20">+AB67*(30%-AD67)</f>
        <v>#N/A</v>
      </c>
    </row>
    <row r="68" spans="1:31" s="32" customFormat="1" x14ac:dyDescent="0.25">
      <c r="A68" s="12" t="s">
        <v>1570</v>
      </c>
      <c r="B68" s="13">
        <v>46274.654050925928</v>
      </c>
      <c r="C68" s="12" t="s">
        <v>24</v>
      </c>
      <c r="D68" s="12" t="s">
        <v>1572</v>
      </c>
      <c r="E68" s="26" t="str">
        <f t="shared" si="14"/>
        <v>00997410</v>
      </c>
      <c r="F68" s="27" t="str">
        <f t="shared" si="15"/>
        <v>CHPG</v>
      </c>
      <c r="G68" s="27">
        <f>+VLOOKUP(F68,[1]base!A:B,2,0)</f>
        <v>11</v>
      </c>
      <c r="H68" s="12">
        <v>4</v>
      </c>
      <c r="I68" s="12">
        <v>4</v>
      </c>
      <c r="J68" s="14"/>
      <c r="K68" s="14" t="s">
        <v>26</v>
      </c>
      <c r="L68" s="12" t="s">
        <v>1576</v>
      </c>
      <c r="M68" s="12" t="s">
        <v>150</v>
      </c>
      <c r="N68" s="12">
        <v>4</v>
      </c>
      <c r="O68" s="12">
        <v>4</v>
      </c>
      <c r="P68" s="12">
        <v>0</v>
      </c>
      <c r="Q68" s="16">
        <v>0</v>
      </c>
      <c r="R68" s="16">
        <v>2</v>
      </c>
      <c r="S68" s="16"/>
      <c r="T68" s="28">
        <v>2</v>
      </c>
      <c r="U68" s="28">
        <v>2</v>
      </c>
      <c r="V68" s="29" t="e">
        <f>+VLOOKUP(E68,[1]base!D:K,8,0)</f>
        <v>#N/A</v>
      </c>
      <c r="W68" s="29" t="e">
        <f t="shared" si="16"/>
        <v>#N/A</v>
      </c>
      <c r="X68" s="29" t="e">
        <f t="shared" si="17"/>
        <v>#N/A</v>
      </c>
      <c r="Y68" s="29" t="e">
        <f>+VLOOKUP(E68,[1]base!D:E,2,0)</f>
        <v>#N/A</v>
      </c>
      <c r="Z68" s="29" t="e">
        <f t="shared" si="18"/>
        <v>#N/A</v>
      </c>
      <c r="AA68" s="29" t="e">
        <f t="shared" si="19"/>
        <v>#N/A</v>
      </c>
      <c r="AB68" s="29" t="e">
        <f>+VLOOKUP(E68,[1]base!M:N,2,0)</f>
        <v>#N/A</v>
      </c>
      <c r="AC68" s="29" t="e">
        <f>+VLOOKUP(E68,[1]base!M:Q,5,0)</f>
        <v>#N/A</v>
      </c>
      <c r="AD68" s="30" t="e">
        <f>+VLOOKUP(E68,[1]base!M:P,4,0)</f>
        <v>#N/A</v>
      </c>
      <c r="AE68" s="31" t="e">
        <f t="shared" si="20"/>
        <v>#N/A</v>
      </c>
    </row>
    <row r="69" spans="1:31" s="32" customFormat="1" x14ac:dyDescent="0.25">
      <c r="A69" s="12" t="s">
        <v>1570</v>
      </c>
      <c r="B69" s="13">
        <v>46274.654050925928</v>
      </c>
      <c r="C69" s="12" t="s">
        <v>24</v>
      </c>
      <c r="D69" s="12" t="s">
        <v>1577</v>
      </c>
      <c r="E69" s="26" t="str">
        <f t="shared" si="14"/>
        <v>CSQ102</v>
      </c>
      <c r="F69" s="27" t="str">
        <f t="shared" si="15"/>
        <v>CHPG</v>
      </c>
      <c r="G69" s="27">
        <f>+VLOOKUP(F69,[1]base!A:B,2,0)</f>
        <v>11</v>
      </c>
      <c r="H69" s="12">
        <v>1</v>
      </c>
      <c r="I69" s="12">
        <v>1</v>
      </c>
      <c r="J69" s="14"/>
      <c r="K69" s="14" t="s">
        <v>61</v>
      </c>
      <c r="L69" s="12" t="s">
        <v>1586</v>
      </c>
      <c r="M69" s="12" t="s">
        <v>150</v>
      </c>
      <c r="N69" s="12">
        <v>1</v>
      </c>
      <c r="O69" s="12">
        <v>1</v>
      </c>
      <c r="P69" s="12">
        <v>0</v>
      </c>
      <c r="Q69" s="16">
        <v>1</v>
      </c>
      <c r="R69" s="16">
        <v>0</v>
      </c>
      <c r="S69" s="16"/>
      <c r="T69" s="28">
        <v>1</v>
      </c>
      <c r="U69" s="28"/>
      <c r="V69" s="29">
        <f>+VLOOKUP(E69,[1]base!D:K,8,0)</f>
        <v>6.5064999999999991</v>
      </c>
      <c r="W69" s="29">
        <f t="shared" si="16"/>
        <v>6.5064999999999991</v>
      </c>
      <c r="X69" s="29">
        <f t="shared" si="17"/>
        <v>0.33833799999999992</v>
      </c>
      <c r="Y69" s="29">
        <f>+VLOOKUP(E69,[1]base!D:E,2,0)</f>
        <v>12</v>
      </c>
      <c r="Z69" s="29">
        <f t="shared" si="18"/>
        <v>1</v>
      </c>
      <c r="AA69" s="29">
        <f t="shared" si="19"/>
        <v>6.6666666666666693E-2</v>
      </c>
      <c r="AB69" s="29">
        <f>+VLOOKUP(E69,[1]base!M:N,2,0)</f>
        <v>24</v>
      </c>
      <c r="AC69" s="29">
        <f>+VLOOKUP(E69,[1]base!M:Q,5,0)</f>
        <v>266.66666666666669</v>
      </c>
      <c r="AD69" s="30">
        <f>+VLOOKUP(E69,[1]base!M:P,4,0)</f>
        <v>0.04</v>
      </c>
      <c r="AE69" s="31">
        <f t="shared" si="20"/>
        <v>6.24</v>
      </c>
    </row>
    <row r="70" spans="1:31" s="32" customFormat="1" x14ac:dyDescent="0.25">
      <c r="A70" s="12" t="s">
        <v>1570</v>
      </c>
      <c r="B70" s="13">
        <v>46274.654050925928</v>
      </c>
      <c r="C70" s="12" t="s">
        <v>24</v>
      </c>
      <c r="D70" s="12" t="s">
        <v>1579</v>
      </c>
      <c r="E70" s="26" t="str">
        <f t="shared" si="14"/>
        <v>CSQ104</v>
      </c>
      <c r="F70" s="27" t="str">
        <f t="shared" si="15"/>
        <v>CHPG</v>
      </c>
      <c r="G70" s="27">
        <f>+VLOOKUP(F70,[1]base!A:B,2,0)</f>
        <v>11</v>
      </c>
      <c r="H70" s="12">
        <v>1</v>
      </c>
      <c r="I70" s="12">
        <v>1</v>
      </c>
      <c r="J70" s="14"/>
      <c r="K70" s="14" t="s">
        <v>61</v>
      </c>
      <c r="L70" s="12" t="s">
        <v>1588</v>
      </c>
      <c r="M70" s="12" t="s">
        <v>150</v>
      </c>
      <c r="N70" s="12">
        <v>1</v>
      </c>
      <c r="O70" s="12">
        <v>1</v>
      </c>
      <c r="P70" s="12">
        <v>0</v>
      </c>
      <c r="Q70" s="16">
        <v>1</v>
      </c>
      <c r="R70" s="16">
        <v>1</v>
      </c>
      <c r="S70" s="16"/>
      <c r="T70" s="28">
        <v>0</v>
      </c>
      <c r="U70" s="28">
        <v>1</v>
      </c>
      <c r="V70" s="29">
        <f>+VLOOKUP(E70,[1]base!D:K,8,0)</f>
        <v>4.7774999999999999</v>
      </c>
      <c r="W70" s="29">
        <f t="shared" si="16"/>
        <v>4.7774999999999999</v>
      </c>
      <c r="X70" s="29">
        <f t="shared" si="17"/>
        <v>0.24842999999999998</v>
      </c>
      <c r="Y70" s="29">
        <f>+VLOOKUP(E70,[1]base!D:E,2,0)</f>
        <v>13</v>
      </c>
      <c r="Z70" s="29">
        <f t="shared" si="18"/>
        <v>0</v>
      </c>
      <c r="AA70" s="29">
        <f t="shared" si="19"/>
        <v>0</v>
      </c>
      <c r="AB70" s="29">
        <f>+VLOOKUP(E70,[1]base!M:N,2,0)</f>
        <v>218</v>
      </c>
      <c r="AC70" s="29">
        <f>+VLOOKUP(E70,[1]base!M:Q,5,0)</f>
        <v>230.63636363636363</v>
      </c>
      <c r="AD70" s="30">
        <f>+VLOOKUP(E70,[1]base!M:P,4,0)</f>
        <v>1.3574660633484163E-2</v>
      </c>
      <c r="AE70" s="31">
        <f t="shared" si="20"/>
        <v>62.440723981900447</v>
      </c>
    </row>
    <row r="71" spans="1:31" s="32" customFormat="1" x14ac:dyDescent="0.25">
      <c r="A71" s="12" t="s">
        <v>1570</v>
      </c>
      <c r="B71" s="13">
        <v>46274.654050925928</v>
      </c>
      <c r="C71" s="12" t="s">
        <v>24</v>
      </c>
      <c r="D71" s="12" t="s">
        <v>1578</v>
      </c>
      <c r="E71" s="26" t="str">
        <f t="shared" si="14"/>
        <v>CSQ105</v>
      </c>
      <c r="F71" s="27" t="str">
        <f t="shared" si="15"/>
        <v>CHPG</v>
      </c>
      <c r="G71" s="27">
        <f>+VLOOKUP(F71,[1]base!A:B,2,0)</f>
        <v>11</v>
      </c>
      <c r="H71" s="12">
        <v>2</v>
      </c>
      <c r="I71" s="12">
        <v>2</v>
      </c>
      <c r="J71" s="14"/>
      <c r="K71" s="14" t="s">
        <v>61</v>
      </c>
      <c r="L71" s="12" t="s">
        <v>1587</v>
      </c>
      <c r="M71" s="12" t="s">
        <v>150</v>
      </c>
      <c r="N71" s="12">
        <v>2</v>
      </c>
      <c r="O71" s="12">
        <v>2</v>
      </c>
      <c r="P71" s="12">
        <v>0</v>
      </c>
      <c r="Q71" s="16">
        <v>2</v>
      </c>
      <c r="R71" s="16">
        <v>0</v>
      </c>
      <c r="S71" s="16"/>
      <c r="T71" s="28">
        <v>2</v>
      </c>
      <c r="U71" s="28"/>
      <c r="V71" s="29">
        <f>+VLOOKUP(E71,[1]base!D:K,8,0)</f>
        <v>3.6659999999999995</v>
      </c>
      <c r="W71" s="29">
        <f t="shared" si="16"/>
        <v>7.331999999999999</v>
      </c>
      <c r="X71" s="29">
        <f t="shared" si="17"/>
        <v>0.38126399999999994</v>
      </c>
      <c r="Y71" s="29">
        <f>+VLOOKUP(E71,[1]base!D:E,2,0)</f>
        <v>13</v>
      </c>
      <c r="Z71" s="29">
        <f t="shared" si="18"/>
        <v>1</v>
      </c>
      <c r="AA71" s="29">
        <f t="shared" si="19"/>
        <v>6.6666666666666693E-2</v>
      </c>
      <c r="AB71" s="29">
        <f>+VLOOKUP(E71,[1]base!M:N,2,0)</f>
        <v>397</v>
      </c>
      <c r="AC71" s="29">
        <f>+VLOOKUP(E71,[1]base!M:Q,5,0)</f>
        <v>233</v>
      </c>
      <c r="AD71" s="30">
        <f>+VLOOKUP(E71,[1]base!M:P,4,0)</f>
        <v>0</v>
      </c>
      <c r="AE71" s="31">
        <f t="shared" si="20"/>
        <v>119.1</v>
      </c>
    </row>
    <row r="72" spans="1:31" s="32" customFormat="1" x14ac:dyDescent="0.25">
      <c r="A72" s="12" t="s">
        <v>1570</v>
      </c>
      <c r="B72" s="13">
        <v>46274.654050925928</v>
      </c>
      <c r="C72" s="12" t="s">
        <v>24</v>
      </c>
      <c r="D72" s="12" t="s">
        <v>1580</v>
      </c>
      <c r="E72" s="26" t="str">
        <f t="shared" si="14"/>
        <v>CSQ106</v>
      </c>
      <c r="F72" s="27" t="str">
        <f t="shared" si="15"/>
        <v>CHPG</v>
      </c>
      <c r="G72" s="27">
        <f>+VLOOKUP(F72,[1]base!A:B,2,0)</f>
        <v>11</v>
      </c>
      <c r="H72" s="12">
        <v>2</v>
      </c>
      <c r="I72" s="12">
        <v>2</v>
      </c>
      <c r="J72" s="14"/>
      <c r="K72" s="14" t="s">
        <v>61</v>
      </c>
      <c r="L72" s="12" t="s">
        <v>1589</v>
      </c>
      <c r="M72" s="12" t="s">
        <v>150</v>
      </c>
      <c r="N72" s="12">
        <v>2</v>
      </c>
      <c r="O72" s="12">
        <v>2</v>
      </c>
      <c r="P72" s="12">
        <v>0</v>
      </c>
      <c r="Q72" s="16">
        <v>2</v>
      </c>
      <c r="R72" s="16">
        <v>0</v>
      </c>
      <c r="S72" s="16"/>
      <c r="T72" s="28">
        <v>2</v>
      </c>
      <c r="U72" s="28"/>
      <c r="V72" s="29">
        <f>+VLOOKUP(E72,[1]base!D:K,8,0)</f>
        <v>4.1470000000000002</v>
      </c>
      <c r="W72" s="29">
        <f t="shared" si="16"/>
        <v>8.2940000000000005</v>
      </c>
      <c r="X72" s="29">
        <f t="shared" si="17"/>
        <v>0.431288</v>
      </c>
      <c r="Y72" s="29">
        <f>+VLOOKUP(E72,[1]base!D:E,2,0)</f>
        <v>15</v>
      </c>
      <c r="Z72" s="29">
        <f t="shared" si="18"/>
        <v>1</v>
      </c>
      <c r="AA72" s="29">
        <f t="shared" si="19"/>
        <v>6.6666666666666693E-2</v>
      </c>
      <c r="AB72" s="29">
        <f>+VLOOKUP(E72,[1]base!M:N,2,0)</f>
        <v>17</v>
      </c>
      <c r="AC72" s="29">
        <f>+VLOOKUP(E72,[1]base!M:Q,5,0)</f>
        <v>254.1</v>
      </c>
      <c r="AD72" s="30">
        <f>+VLOOKUP(E72,[1]base!M:P,4,0)</f>
        <v>0.43333333333333335</v>
      </c>
      <c r="AE72" s="31">
        <f t="shared" si="20"/>
        <v>-2.2666666666666671</v>
      </c>
    </row>
    <row r="73" spans="1:31" s="32" customFormat="1" x14ac:dyDescent="0.25">
      <c r="A73" s="12" t="s">
        <v>1570</v>
      </c>
      <c r="B73" s="13">
        <v>46274.654050925928</v>
      </c>
      <c r="C73" s="12" t="s">
        <v>24</v>
      </c>
      <c r="D73" s="12" t="s">
        <v>1596</v>
      </c>
      <c r="E73" s="26" t="str">
        <f t="shared" si="14"/>
        <v>CSQ110</v>
      </c>
      <c r="F73" s="27" t="str">
        <f t="shared" si="15"/>
        <v>CHPG</v>
      </c>
      <c r="G73" s="27">
        <f>+VLOOKUP(F73,[1]base!A:B,2,0)</f>
        <v>11</v>
      </c>
      <c r="H73" s="12">
        <v>2</v>
      </c>
      <c r="I73" s="12">
        <v>2</v>
      </c>
      <c r="J73" s="14"/>
      <c r="K73" s="14" t="s">
        <v>61</v>
      </c>
      <c r="L73" s="12" t="s">
        <v>1598</v>
      </c>
      <c r="M73" s="12" t="s">
        <v>150</v>
      </c>
      <c r="N73" s="12">
        <v>2</v>
      </c>
      <c r="O73" s="12">
        <v>2</v>
      </c>
      <c r="P73" s="12">
        <v>0</v>
      </c>
      <c r="Q73" s="16">
        <v>2</v>
      </c>
      <c r="R73" s="16">
        <v>0</v>
      </c>
      <c r="S73" s="16"/>
      <c r="T73" s="28">
        <v>2</v>
      </c>
      <c r="U73" s="28"/>
      <c r="V73" s="29">
        <f>+VLOOKUP(E73,[1]base!D:K,8,0)</f>
        <v>9.4314999999999998</v>
      </c>
      <c r="W73" s="29">
        <f t="shared" si="16"/>
        <v>18.863</v>
      </c>
      <c r="X73" s="29">
        <f t="shared" si="17"/>
        <v>0.98087599999999997</v>
      </c>
      <c r="Y73" s="29">
        <f>+VLOOKUP(E73,[1]base!D:E,2,0)</f>
        <v>6</v>
      </c>
      <c r="Z73" s="29">
        <f t="shared" si="18"/>
        <v>1</v>
      </c>
      <c r="AA73" s="29">
        <f t="shared" si="19"/>
        <v>6.6666666666666693E-2</v>
      </c>
      <c r="AB73" s="29">
        <f>+VLOOKUP(E73,[1]base!M:N,2,0)</f>
        <v>109</v>
      </c>
      <c r="AC73" s="29">
        <f>+VLOOKUP(E73,[1]base!M:Q,5,0)</f>
        <v>74.166666666666671</v>
      </c>
      <c r="AD73" s="30">
        <f>+VLOOKUP(E73,[1]base!M:P,4,0)</f>
        <v>0</v>
      </c>
      <c r="AE73" s="31">
        <f t="shared" si="20"/>
        <v>32.699999999999996</v>
      </c>
    </row>
    <row r="74" spans="1:31" s="32" customFormat="1" x14ac:dyDescent="0.25">
      <c r="A74" s="12" t="s">
        <v>1570</v>
      </c>
      <c r="B74" s="13">
        <v>46274.654050925928</v>
      </c>
      <c r="C74" s="12" t="s">
        <v>24</v>
      </c>
      <c r="D74" s="12" t="s">
        <v>1603</v>
      </c>
      <c r="E74" s="26" t="str">
        <f t="shared" si="14"/>
        <v>CSQ302</v>
      </c>
      <c r="F74" s="27" t="str">
        <f t="shared" si="15"/>
        <v>CHPG</v>
      </c>
      <c r="G74" s="27">
        <f>+VLOOKUP(F74,[1]base!A:B,2,0)</f>
        <v>11</v>
      </c>
      <c r="H74" s="12">
        <v>2</v>
      </c>
      <c r="I74" s="12">
        <v>2</v>
      </c>
      <c r="J74" s="14"/>
      <c r="K74" s="14" t="s">
        <v>61</v>
      </c>
      <c r="L74" s="12" t="s">
        <v>1617</v>
      </c>
      <c r="M74" s="12" t="s">
        <v>150</v>
      </c>
      <c r="N74" s="12">
        <v>2</v>
      </c>
      <c r="O74" s="12">
        <v>2</v>
      </c>
      <c r="P74" s="12">
        <v>0</v>
      </c>
      <c r="Q74" s="16">
        <v>2</v>
      </c>
      <c r="R74" s="16">
        <v>0</v>
      </c>
      <c r="S74" s="16"/>
      <c r="T74" s="28">
        <v>2</v>
      </c>
      <c r="U74" s="28"/>
      <c r="V74" s="29">
        <f>+VLOOKUP(E74,[1]base!D:K,8,0)</f>
        <v>1.157</v>
      </c>
      <c r="W74" s="29">
        <f t="shared" si="16"/>
        <v>2.3140000000000001</v>
      </c>
      <c r="X74" s="29">
        <f t="shared" si="17"/>
        <v>0.12032799999999999</v>
      </c>
      <c r="Y74" s="29">
        <f>+VLOOKUP(E74,[1]base!D:E,2,0)</f>
        <v>20</v>
      </c>
      <c r="Z74" s="29">
        <f t="shared" si="18"/>
        <v>1</v>
      </c>
      <c r="AA74" s="29">
        <f t="shared" si="19"/>
        <v>6.6666666666666693E-2</v>
      </c>
      <c r="AB74" s="29">
        <f>+VLOOKUP(E74,[1]base!M:N,2,0)</f>
        <v>358</v>
      </c>
      <c r="AC74" s="29">
        <f>+VLOOKUP(E74,[1]base!M:Q,5,0)</f>
        <v>69</v>
      </c>
      <c r="AD74" s="30">
        <f>+VLOOKUP(E74,[1]base!M:P,4,0)</f>
        <v>2.7855153203342618E-3</v>
      </c>
      <c r="AE74" s="31">
        <f t="shared" si="20"/>
        <v>106.40278551532033</v>
      </c>
    </row>
    <row r="75" spans="1:31" s="32" customFormat="1" x14ac:dyDescent="0.25">
      <c r="A75" s="12" t="s">
        <v>1570</v>
      </c>
      <c r="B75" s="13">
        <v>46274.654050925928</v>
      </c>
      <c r="C75" s="12" t="s">
        <v>24</v>
      </c>
      <c r="D75" s="12" t="s">
        <v>1606</v>
      </c>
      <c r="E75" s="26" t="str">
        <f t="shared" si="14"/>
        <v>EC40107</v>
      </c>
      <c r="F75" s="27" t="str">
        <f t="shared" si="15"/>
        <v>CHPG</v>
      </c>
      <c r="G75" s="27">
        <f>+VLOOKUP(F75,[1]base!A:B,2,0)</f>
        <v>11</v>
      </c>
      <c r="H75" s="12">
        <v>1</v>
      </c>
      <c r="I75" s="12">
        <v>1</v>
      </c>
      <c r="J75" s="14"/>
      <c r="K75" s="14" t="s">
        <v>61</v>
      </c>
      <c r="L75" s="12" t="s">
        <v>1620</v>
      </c>
      <c r="M75" s="12" t="s">
        <v>150</v>
      </c>
      <c r="N75" s="12">
        <v>1</v>
      </c>
      <c r="O75" s="12">
        <v>1</v>
      </c>
      <c r="P75" s="12">
        <v>0</v>
      </c>
      <c r="Q75" s="16">
        <v>1</v>
      </c>
      <c r="R75" s="16">
        <v>0</v>
      </c>
      <c r="S75" s="16"/>
      <c r="T75" s="28">
        <v>1</v>
      </c>
      <c r="U75" s="28"/>
      <c r="V75" s="29">
        <f>+VLOOKUP(E75,[1]base!D:K,8,0)</f>
        <v>0.67599999999999993</v>
      </c>
      <c r="W75" s="29">
        <f t="shared" si="16"/>
        <v>0.67599999999999993</v>
      </c>
      <c r="X75" s="29">
        <f t="shared" si="17"/>
        <v>3.5151999999999996E-2</v>
      </c>
      <c r="Y75" s="29">
        <f>+VLOOKUP(E75,[1]base!D:E,2,0)</f>
        <v>20</v>
      </c>
      <c r="Z75" s="29">
        <f t="shared" si="18"/>
        <v>1</v>
      </c>
      <c r="AA75" s="29">
        <f t="shared" si="19"/>
        <v>6.6666666666666693E-2</v>
      </c>
      <c r="AB75" s="29">
        <f>+VLOOKUP(E75,[1]base!M:N,2,0)</f>
        <v>5246</v>
      </c>
      <c r="AC75" s="29">
        <f>+VLOOKUP(E75,[1]base!M:Q,5,0)</f>
        <v>423</v>
      </c>
      <c r="AD75" s="30">
        <f>+VLOOKUP(E75,[1]base!M:P,4,0)</f>
        <v>8.8603196664350237E-2</v>
      </c>
      <c r="AE75" s="31">
        <f t="shared" si="20"/>
        <v>1108.9876302988187</v>
      </c>
    </row>
    <row r="76" spans="1:31" s="32" customFormat="1" x14ac:dyDescent="0.25">
      <c r="A76" s="12" t="s">
        <v>1570</v>
      </c>
      <c r="B76" s="13">
        <v>46274.654050925928</v>
      </c>
      <c r="C76" s="12" t="s">
        <v>24</v>
      </c>
      <c r="D76" s="12" t="s">
        <v>1582</v>
      </c>
      <c r="E76" s="26" t="str">
        <f t="shared" si="14"/>
        <v>FSQ100</v>
      </c>
      <c r="F76" s="27" t="str">
        <f t="shared" si="15"/>
        <v>CHPG</v>
      </c>
      <c r="G76" s="27">
        <f>+VLOOKUP(F76,[1]base!A:B,2,0)</f>
        <v>11</v>
      </c>
      <c r="H76" s="12">
        <v>4</v>
      </c>
      <c r="I76" s="12">
        <v>4</v>
      </c>
      <c r="J76" s="14"/>
      <c r="K76" s="14" t="s">
        <v>61</v>
      </c>
      <c r="L76" s="12" t="s">
        <v>1591</v>
      </c>
      <c r="M76" s="12" t="s">
        <v>150</v>
      </c>
      <c r="N76" s="12">
        <v>4</v>
      </c>
      <c r="O76" s="12">
        <v>4</v>
      </c>
      <c r="P76" s="12">
        <v>0</v>
      </c>
      <c r="Q76" s="16">
        <v>4</v>
      </c>
      <c r="R76" s="16">
        <v>0</v>
      </c>
      <c r="S76" s="16"/>
      <c r="T76" s="28">
        <v>4</v>
      </c>
      <c r="U76" s="28"/>
      <c r="V76" s="29">
        <f>+VLOOKUP(E76,[1]base!D:K,8,0)</f>
        <v>4.992</v>
      </c>
      <c r="W76" s="29">
        <f t="shared" si="16"/>
        <v>19.968</v>
      </c>
      <c r="X76" s="29">
        <f t="shared" si="17"/>
        <v>1.0383359999999999</v>
      </c>
      <c r="Y76" s="29">
        <f>+VLOOKUP(E76,[1]base!D:E,2,0)</f>
        <v>13</v>
      </c>
      <c r="Z76" s="29">
        <f t="shared" si="18"/>
        <v>1</v>
      </c>
      <c r="AA76" s="29">
        <f t="shared" si="19"/>
        <v>6.6666666666666693E-2</v>
      </c>
      <c r="AB76" s="29">
        <f>+VLOOKUP(E76,[1]base!M:N,2,0)</f>
        <v>590</v>
      </c>
      <c r="AC76" s="29">
        <f>+VLOOKUP(E76,[1]base!M:Q,5,0)</f>
        <v>85.333333333333329</v>
      </c>
      <c r="AD76" s="30">
        <f>+VLOOKUP(E76,[1]base!M:P,4,0)</f>
        <v>3.2786885245901641E-2</v>
      </c>
      <c r="AE76" s="31">
        <f t="shared" si="20"/>
        <v>157.65573770491804</v>
      </c>
    </row>
    <row r="77" spans="1:31" s="32" customFormat="1" x14ac:dyDescent="0.25">
      <c r="A77" s="12" t="s">
        <v>1570</v>
      </c>
      <c r="B77" s="13">
        <v>46274.654050925928</v>
      </c>
      <c r="C77" s="12" t="s">
        <v>24</v>
      </c>
      <c r="D77" s="12" t="s">
        <v>1583</v>
      </c>
      <c r="E77" s="26" t="str">
        <f t="shared" si="14"/>
        <v>FSQ111</v>
      </c>
      <c r="F77" s="27" t="str">
        <f t="shared" si="15"/>
        <v>CHPG</v>
      </c>
      <c r="G77" s="27">
        <f>+VLOOKUP(F77,[1]base!A:B,2,0)</f>
        <v>11</v>
      </c>
      <c r="H77" s="12">
        <v>4</v>
      </c>
      <c r="I77" s="12">
        <v>4</v>
      </c>
      <c r="J77" s="14"/>
      <c r="K77" s="14" t="s">
        <v>61</v>
      </c>
      <c r="L77" s="12" t="s">
        <v>1592</v>
      </c>
      <c r="M77" s="12" t="s">
        <v>150</v>
      </c>
      <c r="N77" s="12">
        <v>4</v>
      </c>
      <c r="O77" s="12">
        <v>4</v>
      </c>
      <c r="P77" s="12">
        <v>0</v>
      </c>
      <c r="Q77" s="16">
        <v>4</v>
      </c>
      <c r="R77" s="16">
        <v>0</v>
      </c>
      <c r="S77" s="16"/>
      <c r="T77" s="28">
        <v>4</v>
      </c>
      <c r="U77" s="28"/>
      <c r="V77" s="29">
        <f>+VLOOKUP(E77,[1]base!D:K,8,0)</f>
        <v>1.8459999999999999</v>
      </c>
      <c r="W77" s="29">
        <f t="shared" si="16"/>
        <v>7.3839999999999995</v>
      </c>
      <c r="X77" s="29">
        <f t="shared" si="17"/>
        <v>0.38396799999999998</v>
      </c>
      <c r="Y77" s="29">
        <f>+VLOOKUP(E77,[1]base!D:E,2,0)</f>
        <v>20</v>
      </c>
      <c r="Z77" s="29">
        <f t="shared" si="18"/>
        <v>1</v>
      </c>
      <c r="AA77" s="29">
        <f t="shared" si="19"/>
        <v>6.6666666666666693E-2</v>
      </c>
      <c r="AB77" s="29">
        <f>+VLOOKUP(E77,[1]base!M:N,2,0)</f>
        <v>983</v>
      </c>
      <c r="AC77" s="29">
        <f>+VLOOKUP(E77,[1]base!M:Q,5,0)</f>
        <v>103.33333333333333</v>
      </c>
      <c r="AD77" s="30">
        <f>+VLOOKUP(E77,[1]base!M:P,4,0)</f>
        <v>3.0425963488843813E-3</v>
      </c>
      <c r="AE77" s="31">
        <f t="shared" si="20"/>
        <v>291.90912778904664</v>
      </c>
    </row>
    <row r="78" spans="1:31" s="32" customFormat="1" x14ac:dyDescent="0.25">
      <c r="A78" s="12" t="s">
        <v>1570</v>
      </c>
      <c r="B78" s="13">
        <v>46274.654050925928</v>
      </c>
      <c r="C78" s="12" t="s">
        <v>24</v>
      </c>
      <c r="D78" s="12" t="s">
        <v>1581</v>
      </c>
      <c r="E78" s="26" t="str">
        <f t="shared" si="14"/>
        <v>FSQ112</v>
      </c>
      <c r="F78" s="27" t="str">
        <f t="shared" si="15"/>
        <v>CHPG</v>
      </c>
      <c r="G78" s="27">
        <f>+VLOOKUP(F78,[1]base!A:B,2,0)</f>
        <v>11</v>
      </c>
      <c r="H78" s="12">
        <v>1</v>
      </c>
      <c r="I78" s="12">
        <v>1</v>
      </c>
      <c r="J78" s="14"/>
      <c r="K78" s="14" t="s">
        <v>61</v>
      </c>
      <c r="L78" s="12" t="s">
        <v>1590</v>
      </c>
      <c r="M78" s="12" t="s">
        <v>150</v>
      </c>
      <c r="N78" s="12">
        <v>1</v>
      </c>
      <c r="O78" s="12">
        <v>1</v>
      </c>
      <c r="P78" s="12">
        <v>0</v>
      </c>
      <c r="Q78" s="16">
        <v>1</v>
      </c>
      <c r="R78" s="16">
        <v>0</v>
      </c>
      <c r="S78" s="16"/>
      <c r="T78" s="28">
        <v>1</v>
      </c>
      <c r="U78" s="28"/>
      <c r="V78" s="29">
        <f>+VLOOKUP(E78,[1]base!D:K,8,0)</f>
        <v>5.1870000000000003</v>
      </c>
      <c r="W78" s="29">
        <f t="shared" si="16"/>
        <v>5.1870000000000003</v>
      </c>
      <c r="X78" s="29">
        <f t="shared" si="17"/>
        <v>0.26972400000000002</v>
      </c>
      <c r="Y78" s="29">
        <f>+VLOOKUP(E78,[1]base!D:E,2,0)</f>
        <v>12</v>
      </c>
      <c r="Z78" s="29">
        <f t="shared" si="18"/>
        <v>1</v>
      </c>
      <c r="AA78" s="29">
        <f t="shared" si="19"/>
        <v>6.6666666666666693E-2</v>
      </c>
      <c r="AB78" s="29">
        <f>+VLOOKUP(E78,[1]base!M:N,2,0)</f>
        <v>171</v>
      </c>
      <c r="AC78" s="29">
        <f>+VLOOKUP(E78,[1]base!M:Q,5,0)</f>
        <v>27.714285714285715</v>
      </c>
      <c r="AD78" s="30">
        <f>+VLOOKUP(E78,[1]base!M:P,4,0)</f>
        <v>1.7241379310344827E-2</v>
      </c>
      <c r="AE78" s="31">
        <f t="shared" si="20"/>
        <v>48.351724137931036</v>
      </c>
    </row>
    <row r="79" spans="1:31" s="32" customFormat="1" x14ac:dyDescent="0.25">
      <c r="A79" s="12" t="s">
        <v>1570</v>
      </c>
      <c r="B79" s="13">
        <v>46274.654050925928</v>
      </c>
      <c r="C79" s="12" t="s">
        <v>24</v>
      </c>
      <c r="D79" s="12" t="s">
        <v>1584</v>
      </c>
      <c r="E79" s="26" t="str">
        <f t="shared" si="14"/>
        <v>FSQ401</v>
      </c>
      <c r="F79" s="27" t="str">
        <f t="shared" si="15"/>
        <v>CHPG</v>
      </c>
      <c r="G79" s="27">
        <f>+VLOOKUP(F79,[1]base!A:B,2,0)</f>
        <v>11</v>
      </c>
      <c r="H79" s="12">
        <v>5</v>
      </c>
      <c r="I79" s="12">
        <v>5</v>
      </c>
      <c r="J79" s="14"/>
      <c r="K79" s="14" t="s">
        <v>61</v>
      </c>
      <c r="L79" s="12" t="s">
        <v>1593</v>
      </c>
      <c r="M79" s="12" t="s">
        <v>150</v>
      </c>
      <c r="N79" s="12">
        <v>5</v>
      </c>
      <c r="O79" s="12">
        <v>5</v>
      </c>
      <c r="P79" s="12">
        <v>0</v>
      </c>
      <c r="Q79" s="16">
        <v>5</v>
      </c>
      <c r="R79" s="16">
        <v>0</v>
      </c>
      <c r="S79" s="16"/>
      <c r="T79" s="28">
        <v>5</v>
      </c>
      <c r="U79" s="28"/>
      <c r="V79" s="29">
        <f>+VLOOKUP(E79,[1]base!D:K,8,0)</f>
        <v>5.6355000000000004</v>
      </c>
      <c r="W79" s="29">
        <f t="shared" si="16"/>
        <v>28.177500000000002</v>
      </c>
      <c r="X79" s="29">
        <f t="shared" si="17"/>
        <v>1.46523</v>
      </c>
      <c r="Y79" s="29">
        <f>+VLOOKUP(E79,[1]base!D:E,2,0)</f>
        <v>13</v>
      </c>
      <c r="Z79" s="29">
        <f t="shared" si="18"/>
        <v>1</v>
      </c>
      <c r="AA79" s="29">
        <f t="shared" si="19"/>
        <v>6.6666666666666693E-2</v>
      </c>
      <c r="AB79" s="29">
        <f>+VLOOKUP(E79,[1]base!M:N,2,0)</f>
        <v>717</v>
      </c>
      <c r="AC79" s="29">
        <f>+VLOOKUP(E79,[1]base!M:Q,5,0)</f>
        <v>104.18181818181819</v>
      </c>
      <c r="AD79" s="30">
        <f>+VLOOKUP(E79,[1]base!M:P,4,0)</f>
        <v>2.7816411682892906E-3</v>
      </c>
      <c r="AE79" s="31">
        <f t="shared" si="20"/>
        <v>213.10556328233659</v>
      </c>
    </row>
    <row r="80" spans="1:31" s="32" customFormat="1" x14ac:dyDescent="0.25">
      <c r="A80" s="12" t="s">
        <v>1570</v>
      </c>
      <c r="B80" s="13">
        <v>46274.654050925928</v>
      </c>
      <c r="C80" s="12" t="s">
        <v>24</v>
      </c>
      <c r="D80" s="12" t="s">
        <v>1585</v>
      </c>
      <c r="E80" s="26" t="str">
        <f t="shared" si="14"/>
        <v>GL11060/248</v>
      </c>
      <c r="F80" s="27" t="str">
        <f t="shared" si="15"/>
        <v>CHPG</v>
      </c>
      <c r="G80" s="27">
        <f>+VLOOKUP(F80,[1]base!A:B,2,0)</f>
        <v>11</v>
      </c>
      <c r="H80" s="12">
        <v>4</v>
      </c>
      <c r="I80" s="12">
        <v>4</v>
      </c>
      <c r="J80" s="14"/>
      <c r="K80" s="14" t="s">
        <v>61</v>
      </c>
      <c r="L80" s="12" t="s">
        <v>1594</v>
      </c>
      <c r="M80" s="12" t="s">
        <v>150</v>
      </c>
      <c r="N80" s="12">
        <v>4</v>
      </c>
      <c r="O80" s="12">
        <v>4</v>
      </c>
      <c r="P80" s="12">
        <v>0</v>
      </c>
      <c r="Q80" s="16">
        <v>4</v>
      </c>
      <c r="R80" s="16">
        <v>0</v>
      </c>
      <c r="S80" s="16"/>
      <c r="T80" s="28">
        <v>4</v>
      </c>
      <c r="U80" s="28"/>
      <c r="V80" s="29">
        <f>+VLOOKUP(E80,[1]base!D:K,8,0)</f>
        <v>2.4634999999999998</v>
      </c>
      <c r="W80" s="29">
        <f t="shared" si="16"/>
        <v>9.8539999999999992</v>
      </c>
      <c r="X80" s="29">
        <f t="shared" si="17"/>
        <v>0.51240799999999997</v>
      </c>
      <c r="Y80" s="29">
        <f>+VLOOKUP(E80,[1]base!D:E,2,0)</f>
        <v>20</v>
      </c>
      <c r="Z80" s="29">
        <f t="shared" si="18"/>
        <v>1</v>
      </c>
      <c r="AA80" s="29">
        <f t="shared" si="19"/>
        <v>6.6666666666666693E-2</v>
      </c>
      <c r="AB80" s="29">
        <f>+VLOOKUP(E80,[1]base!M:N,2,0)</f>
        <v>10587</v>
      </c>
      <c r="AC80" s="29">
        <f>+VLOOKUP(E80,[1]base!M:Q,5,0)</f>
        <v>2112.7272727272725</v>
      </c>
      <c r="AD80" s="30">
        <f>+VLOOKUP(E80,[1]base!M:P,4,0)</f>
        <v>1.4154018064996741E-2</v>
      </c>
      <c r="AE80" s="31">
        <f t="shared" si="20"/>
        <v>3026.2514107458796</v>
      </c>
    </row>
    <row r="81" spans="1:31" s="32" customFormat="1" x14ac:dyDescent="0.25">
      <c r="A81" s="12" t="s">
        <v>1570</v>
      </c>
      <c r="B81" s="13">
        <v>46274.654050925928</v>
      </c>
      <c r="C81" s="12" t="s">
        <v>24</v>
      </c>
      <c r="D81" s="12" t="s">
        <v>1607</v>
      </c>
      <c r="E81" s="26" t="str">
        <f t="shared" si="14"/>
        <v>LM-757</v>
      </c>
      <c r="F81" s="27" t="str">
        <f t="shared" si="15"/>
        <v>CHPG</v>
      </c>
      <c r="G81" s="27">
        <f>+VLOOKUP(F81,[1]base!A:B,2,0)</f>
        <v>11</v>
      </c>
      <c r="H81" s="12">
        <v>55</v>
      </c>
      <c r="I81" s="12">
        <v>55</v>
      </c>
      <c r="J81" s="14"/>
      <c r="K81" s="14" t="s">
        <v>61</v>
      </c>
      <c r="L81" s="12" t="s">
        <v>1621</v>
      </c>
      <c r="M81" s="12" t="s">
        <v>150</v>
      </c>
      <c r="N81" s="12">
        <v>55</v>
      </c>
      <c r="O81" s="12">
        <v>55</v>
      </c>
      <c r="P81" s="12">
        <v>0</v>
      </c>
      <c r="Q81" s="16">
        <v>55</v>
      </c>
      <c r="R81" s="16">
        <v>0</v>
      </c>
      <c r="S81" s="16"/>
      <c r="T81" s="28">
        <v>55</v>
      </c>
      <c r="U81" s="28"/>
      <c r="V81" s="29">
        <f>+VLOOKUP(E81,[1]base!D:K,8,0)</f>
        <v>2.7559999999999998</v>
      </c>
      <c r="W81" s="29">
        <f t="shared" si="16"/>
        <v>151.57999999999998</v>
      </c>
      <c r="X81" s="29">
        <f t="shared" si="17"/>
        <v>7.8821599999999989</v>
      </c>
      <c r="Y81" s="29">
        <f>+VLOOKUP(E81,[1]base!D:E,2,0)</f>
        <v>17</v>
      </c>
      <c r="Z81" s="29">
        <f t="shared" si="18"/>
        <v>4</v>
      </c>
      <c r="AA81" s="29">
        <f t="shared" si="19"/>
        <v>0.26666666666666677</v>
      </c>
      <c r="AB81" s="29">
        <f>+VLOOKUP(E81,[1]base!M:N,2,0)</f>
        <v>16498</v>
      </c>
      <c r="AC81" s="29">
        <f>+VLOOKUP(E81,[1]base!M:Q,5,0)</f>
        <v>13391.545454545454</v>
      </c>
      <c r="AD81" s="30">
        <f>+VLOOKUP(E81,[1]base!M:P,4,0)</f>
        <v>4.4978292329956586E-2</v>
      </c>
      <c r="AE81" s="31">
        <f t="shared" si="20"/>
        <v>4207.3481331403764</v>
      </c>
    </row>
    <row r="82" spans="1:31" s="32" customFormat="1" x14ac:dyDescent="0.25">
      <c r="A82" s="12" t="s">
        <v>1570</v>
      </c>
      <c r="B82" s="13">
        <v>46274.654050925928</v>
      </c>
      <c r="C82" s="12" t="s">
        <v>24</v>
      </c>
      <c r="D82" s="12" t="s">
        <v>1595</v>
      </c>
      <c r="E82" s="26" t="str">
        <f t="shared" si="14"/>
        <v>LM-F/6</v>
      </c>
      <c r="F82" s="27" t="str">
        <f t="shared" si="15"/>
        <v>CHPG</v>
      </c>
      <c r="G82" s="27">
        <f>+VLOOKUP(F82,[1]base!A:B,2,0)</f>
        <v>11</v>
      </c>
      <c r="H82" s="12">
        <v>2</v>
      </c>
      <c r="I82" s="12">
        <v>2</v>
      </c>
      <c r="J82" s="14"/>
      <c r="K82" s="14" t="s">
        <v>61</v>
      </c>
      <c r="L82" s="12" t="s">
        <v>1597</v>
      </c>
      <c r="M82" s="12" t="s">
        <v>150</v>
      </c>
      <c r="N82" s="12">
        <v>2</v>
      </c>
      <c r="O82" s="12">
        <v>2</v>
      </c>
      <c r="P82" s="12">
        <v>0</v>
      </c>
      <c r="Q82" s="16">
        <v>2</v>
      </c>
      <c r="R82" s="16">
        <v>0</v>
      </c>
      <c r="S82" s="16"/>
      <c r="T82" s="28">
        <v>2</v>
      </c>
      <c r="U82" s="28"/>
      <c r="V82" s="29">
        <f>+VLOOKUP(E82,[1]base!D:K,8,0)</f>
        <v>2.8405</v>
      </c>
      <c r="W82" s="29">
        <f t="shared" si="16"/>
        <v>5.681</v>
      </c>
      <c r="X82" s="29">
        <f t="shared" si="17"/>
        <v>0.29541200000000001</v>
      </c>
      <c r="Y82" s="29">
        <f>+VLOOKUP(E82,[1]base!D:E,2,0)</f>
        <v>17</v>
      </c>
      <c r="Z82" s="29">
        <f t="shared" si="18"/>
        <v>1</v>
      </c>
      <c r="AA82" s="29">
        <f t="shared" si="19"/>
        <v>6.6666666666666693E-2</v>
      </c>
      <c r="AB82" s="29">
        <f>+VLOOKUP(E82,[1]base!M:N,2,0)</f>
        <v>2860</v>
      </c>
      <c r="AC82" s="29">
        <f>+VLOOKUP(E82,[1]base!M:Q,5,0)</f>
        <v>1927.6</v>
      </c>
      <c r="AD82" s="30">
        <f>+VLOOKUP(E82,[1]base!M:P,4,0)</f>
        <v>-5.2857142857142856</v>
      </c>
      <c r="AE82" s="31">
        <f t="shared" si="20"/>
        <v>15975.142857142857</v>
      </c>
    </row>
    <row r="83" spans="1:31" s="32" customFormat="1" x14ac:dyDescent="0.25">
      <c r="A83" s="12" t="s">
        <v>1570</v>
      </c>
      <c r="B83" s="13">
        <v>46274.654050925928</v>
      </c>
      <c r="C83" s="12" t="s">
        <v>24</v>
      </c>
      <c r="D83" s="12" t="s">
        <v>1604</v>
      </c>
      <c r="E83" s="26" t="str">
        <f t="shared" si="14"/>
        <v>LM-S758</v>
      </c>
      <c r="F83" s="27" t="str">
        <f t="shared" si="15"/>
        <v>CHPG</v>
      </c>
      <c r="G83" s="27">
        <f>+VLOOKUP(F83,[1]base!A:B,2,0)</f>
        <v>11</v>
      </c>
      <c r="H83" s="12">
        <v>19</v>
      </c>
      <c r="I83" s="12">
        <v>19</v>
      </c>
      <c r="J83" s="14"/>
      <c r="K83" s="14" t="s">
        <v>61</v>
      </c>
      <c r="L83" s="12" t="s">
        <v>1618</v>
      </c>
      <c r="M83" s="12" t="s">
        <v>150</v>
      </c>
      <c r="N83" s="12">
        <v>19</v>
      </c>
      <c r="O83" s="12">
        <v>19</v>
      </c>
      <c r="P83" s="12">
        <v>0</v>
      </c>
      <c r="Q83" s="16">
        <v>19</v>
      </c>
      <c r="R83" s="16">
        <v>1</v>
      </c>
      <c r="S83" s="16"/>
      <c r="T83" s="28">
        <v>18</v>
      </c>
      <c r="U83" s="28">
        <v>1</v>
      </c>
      <c r="V83" s="29">
        <f>+VLOOKUP(E83,[1]base!D:K,8,0)</f>
        <v>1.3259999999999998</v>
      </c>
      <c r="W83" s="29">
        <f t="shared" si="16"/>
        <v>25.193999999999996</v>
      </c>
      <c r="X83" s="29">
        <f t="shared" si="17"/>
        <v>1.3100879999999997</v>
      </c>
      <c r="Y83" s="29">
        <f>+VLOOKUP(E83,[1]base!D:E,2,0)</f>
        <v>20</v>
      </c>
      <c r="Z83" s="29">
        <f t="shared" si="18"/>
        <v>1</v>
      </c>
      <c r="AA83" s="29">
        <f t="shared" si="19"/>
        <v>6.6666666666666693E-2</v>
      </c>
      <c r="AB83" s="29">
        <f>+VLOOKUP(E83,[1]base!M:N,2,0)</f>
        <v>415</v>
      </c>
      <c r="AC83" s="29">
        <f>+VLOOKUP(E83,[1]base!M:Q,5,0)</f>
        <v>1750.6</v>
      </c>
      <c r="AD83" s="30">
        <f>+VLOOKUP(E83,[1]base!M:P,4,0)</f>
        <v>0.15306122448979592</v>
      </c>
      <c r="AE83" s="31">
        <f t="shared" si="20"/>
        <v>60.979591836734684</v>
      </c>
    </row>
    <row r="84" spans="1:31" s="32" customFormat="1" x14ac:dyDescent="0.25">
      <c r="A84" s="12" t="s">
        <v>1570</v>
      </c>
      <c r="B84" s="13">
        <v>46274.654050925928</v>
      </c>
      <c r="C84" s="12" t="s">
        <v>24</v>
      </c>
      <c r="D84" s="12" t="s">
        <v>1605</v>
      </c>
      <c r="E84" s="26" t="str">
        <f t="shared" si="14"/>
        <v>PCN40-45</v>
      </c>
      <c r="F84" s="27" t="str">
        <f t="shared" si="15"/>
        <v>CHPG</v>
      </c>
      <c r="G84" s="27">
        <f>+VLOOKUP(F84,[1]base!A:B,2,0)</f>
        <v>11</v>
      </c>
      <c r="H84" s="12">
        <v>16</v>
      </c>
      <c r="I84" s="12">
        <v>16</v>
      </c>
      <c r="J84" s="14"/>
      <c r="K84" s="14" t="s">
        <v>26</v>
      </c>
      <c r="L84" s="12" t="s">
        <v>1619</v>
      </c>
      <c r="M84" s="12" t="s">
        <v>150</v>
      </c>
      <c r="N84" s="12">
        <v>16</v>
      </c>
      <c r="O84" s="12">
        <v>16</v>
      </c>
      <c r="P84" s="12">
        <v>0</v>
      </c>
      <c r="Q84" s="16">
        <v>0</v>
      </c>
      <c r="R84" s="16">
        <v>0</v>
      </c>
      <c r="S84" s="16"/>
      <c r="T84" s="28">
        <v>16</v>
      </c>
      <c r="U84" s="28"/>
      <c r="V84" s="29">
        <f>+VLOOKUP(E84,[1]base!D:K,8,0)</f>
        <v>0.5</v>
      </c>
      <c r="W84" s="29">
        <f t="shared" si="16"/>
        <v>8</v>
      </c>
      <c r="X84" s="29">
        <f t="shared" si="17"/>
        <v>0.41599999999999998</v>
      </c>
      <c r="Y84" s="29">
        <f>+VLOOKUP(E84,[1]base!D:E,2,0)</f>
        <v>800</v>
      </c>
      <c r="Z84" s="29">
        <f t="shared" si="18"/>
        <v>1</v>
      </c>
      <c r="AA84" s="29">
        <f t="shared" si="19"/>
        <v>6.6666666666666693E-2</v>
      </c>
      <c r="AB84" s="29" t="e">
        <f>+VLOOKUP(E84,[1]base!M:N,2,0)</f>
        <v>#N/A</v>
      </c>
      <c r="AC84" s="29" t="e">
        <f>+VLOOKUP(E84,[1]base!M:Q,5,0)</f>
        <v>#N/A</v>
      </c>
      <c r="AD84" s="30" t="e">
        <f>+VLOOKUP(E84,[1]base!M:P,4,0)</f>
        <v>#N/A</v>
      </c>
      <c r="AE84" s="31" t="e">
        <f t="shared" si="20"/>
        <v>#N/A</v>
      </c>
    </row>
    <row r="85" spans="1:31" s="32" customFormat="1" x14ac:dyDescent="0.25">
      <c r="A85" s="45"/>
      <c r="B85" s="46"/>
      <c r="C85" s="45"/>
      <c r="D85" s="45"/>
      <c r="E85" s="47"/>
      <c r="F85" s="48"/>
      <c r="G85" s="48"/>
      <c r="H85" s="45"/>
      <c r="I85" s="45"/>
      <c r="J85" s="49"/>
      <c r="K85" s="49"/>
      <c r="L85" s="45"/>
      <c r="M85" s="45"/>
      <c r="N85" s="45"/>
      <c r="O85" s="45"/>
      <c r="P85" s="45"/>
      <c r="Q85" s="50"/>
      <c r="R85" s="50"/>
      <c r="S85" s="50"/>
      <c r="T85" s="51"/>
      <c r="U85" s="51"/>
      <c r="V85" s="52"/>
      <c r="W85" s="52"/>
      <c r="X85" s="52"/>
      <c r="Y85" s="52"/>
      <c r="Z85" s="52"/>
      <c r="AA85" s="52"/>
      <c r="AB85" s="52"/>
      <c r="AC85" s="52"/>
      <c r="AD85" s="53"/>
      <c r="AE85" s="54"/>
    </row>
    <row r="86" spans="1:31" s="32" customFormat="1" x14ac:dyDescent="0.25">
      <c r="A86" s="12" t="s">
        <v>855</v>
      </c>
      <c r="B86" s="13">
        <v>46261.431909722225</v>
      </c>
      <c r="C86" s="12" t="s">
        <v>856</v>
      </c>
      <c r="D86" s="12" t="s">
        <v>857</v>
      </c>
      <c r="E86" s="26" t="str">
        <f t="shared" ref="E86:E117" si="21">_xlfn.TEXTBEFORE(D86, "-", -1, 1, , D86)</f>
        <v>4145</v>
      </c>
      <c r="F86" s="27" t="str">
        <f t="shared" ref="F86:F117" si="22">_xlfn.TEXTAFTER(D86, "-", -1, 1, , "")</f>
        <v>ACAJOU</v>
      </c>
      <c r="G86" s="27">
        <f>+VLOOKUP(F86,[1]base!A:B,2,0)</f>
        <v>15.1</v>
      </c>
      <c r="H86" s="12">
        <v>1</v>
      </c>
      <c r="I86" s="12">
        <v>1</v>
      </c>
      <c r="J86" s="14"/>
      <c r="K86" s="14" t="s">
        <v>61</v>
      </c>
      <c r="L86" s="12" t="s">
        <v>860</v>
      </c>
      <c r="M86" s="12" t="s">
        <v>150</v>
      </c>
      <c r="N86" s="12">
        <v>1</v>
      </c>
      <c r="O86" s="12">
        <v>1</v>
      </c>
      <c r="P86" s="12">
        <v>0</v>
      </c>
      <c r="Q86" s="16">
        <v>1</v>
      </c>
      <c r="R86" s="16">
        <v>0</v>
      </c>
      <c r="S86" s="16"/>
      <c r="T86" s="28">
        <v>1</v>
      </c>
      <c r="U86" s="28"/>
      <c r="V86" s="29" t="e">
        <f>+VLOOKUP(E86,[1]base!D:K,8,0)</f>
        <v>#N/A</v>
      </c>
      <c r="W86" s="29" t="e">
        <f t="shared" ref="W86:W117" si="23">(T86+U86)*V86</f>
        <v>#N/A</v>
      </c>
      <c r="X86" s="29" t="e">
        <f t="shared" ref="X86:X117" si="24">+W86*0.052</f>
        <v>#N/A</v>
      </c>
      <c r="Y86" s="29" t="e">
        <f>+VLOOKUP(E86,[1]base!D:E,2,0)</f>
        <v>#N/A</v>
      </c>
      <c r="Z86" s="29" t="e">
        <f t="shared" ref="Z86:Z117" si="25">ROUNDUP(T86/Y86,0)</f>
        <v>#N/A</v>
      </c>
      <c r="AA86" s="29" t="e">
        <f t="shared" ref="AA86:AA117" si="26">+Z86*0.0666666666666667</f>
        <v>#N/A</v>
      </c>
      <c r="AB86" s="29" t="e">
        <f>+VLOOKUP(E86,[1]base!M:N,2,0)</f>
        <v>#N/A</v>
      </c>
      <c r="AC86" s="29" t="e">
        <f>+VLOOKUP(E86,[1]base!M:Q,5,0)</f>
        <v>#N/A</v>
      </c>
      <c r="AD86" s="30" t="e">
        <f>+VLOOKUP(E86,[1]base!M:P,4,0)</f>
        <v>#N/A</v>
      </c>
      <c r="AE86" s="31" t="e">
        <f t="shared" ref="AE86:AE117" si="27">+AB86*(30%-AD86)</f>
        <v>#N/A</v>
      </c>
    </row>
    <row r="87" spans="1:31" s="32" customFormat="1" x14ac:dyDescent="0.25">
      <c r="A87" s="12" t="s">
        <v>855</v>
      </c>
      <c r="B87" s="13">
        <v>46261.431909722225</v>
      </c>
      <c r="C87" s="12" t="s">
        <v>856</v>
      </c>
      <c r="D87" s="12" t="s">
        <v>863</v>
      </c>
      <c r="E87" s="26" t="str">
        <f t="shared" si="21"/>
        <v>4197</v>
      </c>
      <c r="F87" s="27" t="str">
        <f t="shared" si="22"/>
        <v>ACAJOU</v>
      </c>
      <c r="G87" s="27">
        <f>+VLOOKUP(F87,[1]base!A:B,2,0)</f>
        <v>15.1</v>
      </c>
      <c r="H87" s="12">
        <v>4</v>
      </c>
      <c r="I87" s="12">
        <v>4</v>
      </c>
      <c r="J87" s="14"/>
      <c r="K87" s="14" t="s">
        <v>61</v>
      </c>
      <c r="L87" s="12" t="s">
        <v>865</v>
      </c>
      <c r="M87" s="12" t="s">
        <v>150</v>
      </c>
      <c r="N87" s="12">
        <v>4</v>
      </c>
      <c r="O87" s="12">
        <v>4</v>
      </c>
      <c r="P87" s="12">
        <v>0</v>
      </c>
      <c r="Q87" s="16">
        <v>4</v>
      </c>
      <c r="R87" s="16">
        <v>3</v>
      </c>
      <c r="S87" s="16"/>
      <c r="T87" s="28">
        <v>1</v>
      </c>
      <c r="U87" s="28">
        <v>3</v>
      </c>
      <c r="V87" s="29" t="e">
        <f>+VLOOKUP(E87,[1]base!D:K,8,0)</f>
        <v>#N/A</v>
      </c>
      <c r="W87" s="29" t="e">
        <f t="shared" si="23"/>
        <v>#N/A</v>
      </c>
      <c r="X87" s="29" t="e">
        <f t="shared" si="24"/>
        <v>#N/A</v>
      </c>
      <c r="Y87" s="29" t="e">
        <f>+VLOOKUP(E87,[1]base!D:E,2,0)</f>
        <v>#N/A</v>
      </c>
      <c r="Z87" s="29" t="e">
        <f t="shared" si="25"/>
        <v>#N/A</v>
      </c>
      <c r="AA87" s="29" t="e">
        <f t="shared" si="26"/>
        <v>#N/A</v>
      </c>
      <c r="AB87" s="29" t="e">
        <f>+VLOOKUP(E87,[1]base!M:N,2,0)</f>
        <v>#N/A</v>
      </c>
      <c r="AC87" s="29" t="e">
        <f>+VLOOKUP(E87,[1]base!M:Q,5,0)</f>
        <v>#N/A</v>
      </c>
      <c r="AD87" s="30" t="e">
        <f>+VLOOKUP(E87,[1]base!M:P,4,0)</f>
        <v>#N/A</v>
      </c>
      <c r="AE87" s="31" t="e">
        <f t="shared" si="27"/>
        <v>#N/A</v>
      </c>
    </row>
    <row r="88" spans="1:31" s="32" customFormat="1" x14ac:dyDescent="0.25">
      <c r="A88" s="12" t="s">
        <v>855</v>
      </c>
      <c r="B88" s="13">
        <v>46261.431909722225</v>
      </c>
      <c r="C88" s="12" t="s">
        <v>856</v>
      </c>
      <c r="D88" s="12" t="s">
        <v>864</v>
      </c>
      <c r="E88" s="26" t="str">
        <f t="shared" si="21"/>
        <v>4454</v>
      </c>
      <c r="F88" s="27" t="str">
        <f t="shared" si="22"/>
        <v>ACAJOU</v>
      </c>
      <c r="G88" s="27">
        <f>+VLOOKUP(F88,[1]base!A:B,2,0)</f>
        <v>15.1</v>
      </c>
      <c r="H88" s="12">
        <v>4</v>
      </c>
      <c r="I88" s="12">
        <v>4</v>
      </c>
      <c r="J88" s="14"/>
      <c r="K88" s="14" t="s">
        <v>61</v>
      </c>
      <c r="L88" s="12" t="s">
        <v>866</v>
      </c>
      <c r="M88" s="12" t="s">
        <v>150</v>
      </c>
      <c r="N88" s="12">
        <v>4</v>
      </c>
      <c r="O88" s="12">
        <v>4</v>
      </c>
      <c r="P88" s="12">
        <v>0</v>
      </c>
      <c r="Q88" s="16">
        <v>4</v>
      </c>
      <c r="R88" s="16">
        <v>0</v>
      </c>
      <c r="S88" s="16"/>
      <c r="T88" s="28">
        <v>4</v>
      </c>
      <c r="U88" s="28"/>
      <c r="V88" s="29" t="e">
        <f>+VLOOKUP(E88,[1]base!D:K,8,0)</f>
        <v>#N/A</v>
      </c>
      <c r="W88" s="29" t="e">
        <f t="shared" si="23"/>
        <v>#N/A</v>
      </c>
      <c r="X88" s="29" t="e">
        <f t="shared" si="24"/>
        <v>#N/A</v>
      </c>
      <c r="Y88" s="29" t="e">
        <f>+VLOOKUP(E88,[1]base!D:E,2,0)</f>
        <v>#N/A</v>
      </c>
      <c r="Z88" s="29" t="e">
        <f t="shared" si="25"/>
        <v>#N/A</v>
      </c>
      <c r="AA88" s="29" t="e">
        <f t="shared" si="26"/>
        <v>#N/A</v>
      </c>
      <c r="AB88" s="29" t="e">
        <f>+VLOOKUP(E88,[1]base!M:N,2,0)</f>
        <v>#N/A</v>
      </c>
      <c r="AC88" s="29" t="e">
        <f>+VLOOKUP(E88,[1]base!M:Q,5,0)</f>
        <v>#N/A</v>
      </c>
      <c r="AD88" s="30" t="e">
        <f>+VLOOKUP(E88,[1]base!M:P,4,0)</f>
        <v>#N/A</v>
      </c>
      <c r="AE88" s="31" t="e">
        <f t="shared" si="27"/>
        <v>#N/A</v>
      </c>
    </row>
    <row r="89" spans="1:31" s="32" customFormat="1" x14ac:dyDescent="0.25">
      <c r="A89" s="12" t="s">
        <v>855</v>
      </c>
      <c r="B89" s="13">
        <v>46261.431909722225</v>
      </c>
      <c r="C89" s="12" t="s">
        <v>856</v>
      </c>
      <c r="D89" s="12" t="s">
        <v>858</v>
      </c>
      <c r="E89" s="26" t="str">
        <f t="shared" si="21"/>
        <v>4455</v>
      </c>
      <c r="F89" s="27" t="str">
        <f t="shared" si="22"/>
        <v>ACAJOU</v>
      </c>
      <c r="G89" s="27">
        <f>+VLOOKUP(F89,[1]base!A:B,2,0)</f>
        <v>15.1</v>
      </c>
      <c r="H89" s="12">
        <v>2</v>
      </c>
      <c r="I89" s="12">
        <v>2</v>
      </c>
      <c r="J89" s="14"/>
      <c r="K89" s="14" t="s">
        <v>61</v>
      </c>
      <c r="L89" s="12" t="s">
        <v>861</v>
      </c>
      <c r="M89" s="12" t="s">
        <v>150</v>
      </c>
      <c r="N89" s="12">
        <v>2</v>
      </c>
      <c r="O89" s="12">
        <v>2</v>
      </c>
      <c r="P89" s="12">
        <v>0</v>
      </c>
      <c r="Q89" s="16">
        <v>2</v>
      </c>
      <c r="R89" s="16">
        <v>0</v>
      </c>
      <c r="S89" s="16"/>
      <c r="T89" s="28">
        <v>2</v>
      </c>
      <c r="U89" s="28"/>
      <c r="V89" s="29" t="e">
        <f>+VLOOKUP(E89,[1]base!D:K,8,0)</f>
        <v>#N/A</v>
      </c>
      <c r="W89" s="29" t="e">
        <f t="shared" si="23"/>
        <v>#N/A</v>
      </c>
      <c r="X89" s="29" t="e">
        <f t="shared" si="24"/>
        <v>#N/A</v>
      </c>
      <c r="Y89" s="29" t="e">
        <f>+VLOOKUP(E89,[1]base!D:E,2,0)</f>
        <v>#N/A</v>
      </c>
      <c r="Z89" s="29" t="e">
        <f t="shared" si="25"/>
        <v>#N/A</v>
      </c>
      <c r="AA89" s="29" t="e">
        <f t="shared" si="26"/>
        <v>#N/A</v>
      </c>
      <c r="AB89" s="29" t="e">
        <f>+VLOOKUP(E89,[1]base!M:N,2,0)</f>
        <v>#N/A</v>
      </c>
      <c r="AC89" s="29" t="e">
        <f>+VLOOKUP(E89,[1]base!M:Q,5,0)</f>
        <v>#N/A</v>
      </c>
      <c r="AD89" s="30" t="e">
        <f>+VLOOKUP(E89,[1]base!M:P,4,0)</f>
        <v>#N/A</v>
      </c>
      <c r="AE89" s="31" t="e">
        <f t="shared" si="27"/>
        <v>#N/A</v>
      </c>
    </row>
    <row r="90" spans="1:31" s="32" customFormat="1" x14ac:dyDescent="0.25">
      <c r="A90" s="12" t="s">
        <v>855</v>
      </c>
      <c r="B90" s="13">
        <v>46261.431909722225</v>
      </c>
      <c r="C90" s="12" t="s">
        <v>856</v>
      </c>
      <c r="D90" s="12" t="s">
        <v>859</v>
      </c>
      <c r="E90" s="26" t="str">
        <f t="shared" si="21"/>
        <v>4463</v>
      </c>
      <c r="F90" s="27" t="str">
        <f t="shared" si="22"/>
        <v>ACAJOU</v>
      </c>
      <c r="G90" s="27">
        <f>+VLOOKUP(F90,[1]base!A:B,2,0)</f>
        <v>15.1</v>
      </c>
      <c r="H90" s="12">
        <v>2</v>
      </c>
      <c r="I90" s="12">
        <v>2</v>
      </c>
      <c r="J90" s="14"/>
      <c r="K90" s="14" t="s">
        <v>61</v>
      </c>
      <c r="L90" s="12" t="s">
        <v>862</v>
      </c>
      <c r="M90" s="12" t="s">
        <v>150</v>
      </c>
      <c r="N90" s="12">
        <v>2</v>
      </c>
      <c r="O90" s="12">
        <v>2</v>
      </c>
      <c r="P90" s="12">
        <v>0</v>
      </c>
      <c r="Q90" s="16">
        <v>2</v>
      </c>
      <c r="R90" s="16">
        <v>0</v>
      </c>
      <c r="S90" s="16"/>
      <c r="T90" s="28">
        <v>2</v>
      </c>
      <c r="U90" s="28"/>
      <c r="V90" s="29" t="e">
        <f>+VLOOKUP(E90,[1]base!D:K,8,0)</f>
        <v>#N/A</v>
      </c>
      <c r="W90" s="29" t="e">
        <f t="shared" si="23"/>
        <v>#N/A</v>
      </c>
      <c r="X90" s="29" t="e">
        <f t="shared" si="24"/>
        <v>#N/A</v>
      </c>
      <c r="Y90" s="29" t="e">
        <f>+VLOOKUP(E90,[1]base!D:E,2,0)</f>
        <v>#N/A</v>
      </c>
      <c r="Z90" s="29" t="e">
        <f t="shared" si="25"/>
        <v>#N/A</v>
      </c>
      <c r="AA90" s="29" t="e">
        <f t="shared" si="26"/>
        <v>#N/A</v>
      </c>
      <c r="AB90" s="29" t="e">
        <f>+VLOOKUP(E90,[1]base!M:N,2,0)</f>
        <v>#N/A</v>
      </c>
      <c r="AC90" s="29" t="e">
        <f>+VLOOKUP(E90,[1]base!M:Q,5,0)</f>
        <v>#N/A</v>
      </c>
      <c r="AD90" s="30" t="e">
        <f>+VLOOKUP(E90,[1]base!M:P,4,0)</f>
        <v>#N/A</v>
      </c>
      <c r="AE90" s="31" t="e">
        <f t="shared" si="27"/>
        <v>#N/A</v>
      </c>
    </row>
    <row r="91" spans="1:31" s="32" customFormat="1" x14ac:dyDescent="0.25">
      <c r="A91" s="12" t="s">
        <v>1478</v>
      </c>
      <c r="B91" s="13">
        <v>46273.566331018519</v>
      </c>
      <c r="C91" s="12" t="s">
        <v>1466</v>
      </c>
      <c r="D91" s="12" t="s">
        <v>1479</v>
      </c>
      <c r="E91" s="26" t="str">
        <f t="shared" si="21"/>
        <v>C-40100</v>
      </c>
      <c r="F91" s="27" t="str">
        <f t="shared" si="22"/>
        <v>ACAJOU</v>
      </c>
      <c r="G91" s="27">
        <f>+VLOOKUP(F91,[1]base!A:B,2,0)</f>
        <v>15.1</v>
      </c>
      <c r="H91" s="12">
        <v>100</v>
      </c>
      <c r="I91" s="12">
        <v>100</v>
      </c>
      <c r="J91" s="14"/>
      <c r="K91" s="14" t="s">
        <v>26</v>
      </c>
      <c r="L91" s="12" t="s">
        <v>1481</v>
      </c>
      <c r="M91" s="12" t="s">
        <v>150</v>
      </c>
      <c r="N91" s="12">
        <v>100</v>
      </c>
      <c r="O91" s="12">
        <v>100</v>
      </c>
      <c r="P91" s="12">
        <v>0</v>
      </c>
      <c r="Q91" s="16">
        <v>0</v>
      </c>
      <c r="R91" s="16">
        <v>0</v>
      </c>
      <c r="S91" s="16"/>
      <c r="T91" s="28">
        <v>100</v>
      </c>
      <c r="U91" s="28"/>
      <c r="V91" s="29" t="e">
        <f>+VLOOKUP(E91,[1]base!D:K,8,0)</f>
        <v>#N/A</v>
      </c>
      <c r="W91" s="29" t="e">
        <f t="shared" si="23"/>
        <v>#N/A</v>
      </c>
      <c r="X91" s="29" t="e">
        <f t="shared" si="24"/>
        <v>#N/A</v>
      </c>
      <c r="Y91" s="29" t="e">
        <f>+VLOOKUP(E91,[1]base!D:E,2,0)</f>
        <v>#N/A</v>
      </c>
      <c r="Z91" s="29" t="e">
        <f t="shared" si="25"/>
        <v>#N/A</v>
      </c>
      <c r="AA91" s="29" t="e">
        <f t="shared" si="26"/>
        <v>#N/A</v>
      </c>
      <c r="AB91" s="29" t="e">
        <f>+VLOOKUP(E91,[1]base!M:N,2,0)</f>
        <v>#N/A</v>
      </c>
      <c r="AC91" s="29" t="e">
        <f>+VLOOKUP(E91,[1]base!M:Q,5,0)</f>
        <v>#N/A</v>
      </c>
      <c r="AD91" s="30" t="e">
        <f>+VLOOKUP(E91,[1]base!M:P,4,0)</f>
        <v>#N/A</v>
      </c>
      <c r="AE91" s="31" t="e">
        <f t="shared" si="27"/>
        <v>#N/A</v>
      </c>
    </row>
    <row r="92" spans="1:31" s="32" customFormat="1" x14ac:dyDescent="0.25">
      <c r="A92" s="12" t="s">
        <v>1483</v>
      </c>
      <c r="B92" s="13">
        <v>46273.577222222222</v>
      </c>
      <c r="C92" s="12" t="s">
        <v>1466</v>
      </c>
      <c r="D92" s="12" t="s">
        <v>1479</v>
      </c>
      <c r="E92" s="26" t="str">
        <f t="shared" si="21"/>
        <v>C-40100</v>
      </c>
      <c r="F92" s="27" t="str">
        <f t="shared" si="22"/>
        <v>ACAJOU</v>
      </c>
      <c r="G92" s="27">
        <f>+VLOOKUP(F92,[1]base!A:B,2,0)</f>
        <v>15.1</v>
      </c>
      <c r="H92" s="12">
        <v>200</v>
      </c>
      <c r="I92" s="12">
        <v>200</v>
      </c>
      <c r="J92" s="14"/>
      <c r="K92" s="14" t="s">
        <v>26</v>
      </c>
      <c r="L92" s="12" t="s">
        <v>1487</v>
      </c>
      <c r="M92" s="12" t="s">
        <v>150</v>
      </c>
      <c r="N92" s="12">
        <v>200</v>
      </c>
      <c r="O92" s="12">
        <v>200</v>
      </c>
      <c r="P92" s="12">
        <v>0</v>
      </c>
      <c r="Q92" s="16">
        <v>0</v>
      </c>
      <c r="R92" s="16">
        <v>0</v>
      </c>
      <c r="S92" s="16"/>
      <c r="T92" s="28">
        <v>200</v>
      </c>
      <c r="U92" s="28"/>
      <c r="V92" s="29" t="e">
        <f>+VLOOKUP(E92,[1]base!D:K,8,0)</f>
        <v>#N/A</v>
      </c>
      <c r="W92" s="29" t="e">
        <f t="shared" si="23"/>
        <v>#N/A</v>
      </c>
      <c r="X92" s="29" t="e">
        <f t="shared" si="24"/>
        <v>#N/A</v>
      </c>
      <c r="Y92" s="29" t="e">
        <f>+VLOOKUP(E92,[1]base!D:E,2,0)</f>
        <v>#N/A</v>
      </c>
      <c r="Z92" s="29" t="e">
        <f t="shared" si="25"/>
        <v>#N/A</v>
      </c>
      <c r="AA92" s="29" t="e">
        <f t="shared" si="26"/>
        <v>#N/A</v>
      </c>
      <c r="AB92" s="29" t="e">
        <f>+VLOOKUP(E92,[1]base!M:N,2,0)</f>
        <v>#N/A</v>
      </c>
      <c r="AC92" s="29" t="e">
        <f>+VLOOKUP(E92,[1]base!M:Q,5,0)</f>
        <v>#N/A</v>
      </c>
      <c r="AD92" s="30" t="e">
        <f>+VLOOKUP(E92,[1]base!M:P,4,0)</f>
        <v>#N/A</v>
      </c>
      <c r="AE92" s="31" t="e">
        <f t="shared" si="27"/>
        <v>#N/A</v>
      </c>
    </row>
    <row r="93" spans="1:31" s="32" customFormat="1" x14ac:dyDescent="0.25">
      <c r="A93" s="12" t="s">
        <v>1483</v>
      </c>
      <c r="B93" s="13">
        <v>46273.577222222222</v>
      </c>
      <c r="C93" s="12" t="s">
        <v>1466</v>
      </c>
      <c r="D93" s="12" t="s">
        <v>1485</v>
      </c>
      <c r="E93" s="26" t="str">
        <f t="shared" si="21"/>
        <v>C-40112</v>
      </c>
      <c r="F93" s="27" t="str">
        <f t="shared" si="22"/>
        <v>ACAJOU</v>
      </c>
      <c r="G93" s="27">
        <f>+VLOOKUP(F93,[1]base!A:B,2,0)</f>
        <v>15.1</v>
      </c>
      <c r="H93" s="12">
        <v>100</v>
      </c>
      <c r="I93" s="12">
        <v>100</v>
      </c>
      <c r="J93" s="14"/>
      <c r="K93" s="14" t="s">
        <v>26</v>
      </c>
      <c r="L93" s="12" t="s">
        <v>1486</v>
      </c>
      <c r="M93" s="12" t="s">
        <v>150</v>
      </c>
      <c r="N93" s="12">
        <v>100</v>
      </c>
      <c r="O93" s="12">
        <v>100</v>
      </c>
      <c r="P93" s="12">
        <v>0</v>
      </c>
      <c r="Q93" s="16">
        <v>0</v>
      </c>
      <c r="R93" s="16">
        <v>0</v>
      </c>
      <c r="S93" s="16"/>
      <c r="T93" s="28">
        <v>100</v>
      </c>
      <c r="U93" s="28"/>
      <c r="V93" s="29">
        <f>+VLOOKUP(E93,[1]base!D:K,8,0)</f>
        <v>3</v>
      </c>
      <c r="W93" s="29">
        <f t="shared" si="23"/>
        <v>300</v>
      </c>
      <c r="X93" s="29">
        <f t="shared" si="24"/>
        <v>15.6</v>
      </c>
      <c r="Y93" s="29">
        <f>+VLOOKUP(E93,[1]base!D:E,2,0)</f>
        <v>14</v>
      </c>
      <c r="Z93" s="29">
        <f t="shared" si="25"/>
        <v>8</v>
      </c>
      <c r="AA93" s="29">
        <f t="shared" si="26"/>
        <v>0.53333333333333355</v>
      </c>
      <c r="AB93" s="29" t="e">
        <f>+VLOOKUP(E93,[1]base!M:N,2,0)</f>
        <v>#N/A</v>
      </c>
      <c r="AC93" s="29" t="e">
        <f>+VLOOKUP(E93,[1]base!M:Q,5,0)</f>
        <v>#N/A</v>
      </c>
      <c r="AD93" s="30" t="e">
        <f>+VLOOKUP(E93,[1]base!M:P,4,0)</f>
        <v>#N/A</v>
      </c>
      <c r="AE93" s="31" t="e">
        <f t="shared" si="27"/>
        <v>#N/A</v>
      </c>
    </row>
    <row r="94" spans="1:31" s="32" customFormat="1" x14ac:dyDescent="0.25">
      <c r="A94" s="12" t="s">
        <v>1478</v>
      </c>
      <c r="B94" s="13">
        <v>46273.566331018519</v>
      </c>
      <c r="C94" s="12" t="s">
        <v>1466</v>
      </c>
      <c r="D94" s="12" t="s">
        <v>1480</v>
      </c>
      <c r="E94" s="26" t="str">
        <f t="shared" si="21"/>
        <v>C-EC6007</v>
      </c>
      <c r="F94" s="27" t="str">
        <f t="shared" si="22"/>
        <v>ACAJOU</v>
      </c>
      <c r="G94" s="27">
        <f>+VLOOKUP(F94,[1]base!A:B,2,0)</f>
        <v>15.1</v>
      </c>
      <c r="H94" s="12">
        <v>150</v>
      </c>
      <c r="I94" s="12">
        <v>150</v>
      </c>
      <c r="J94" s="14"/>
      <c r="K94" s="14" t="s">
        <v>26</v>
      </c>
      <c r="L94" s="12" t="s">
        <v>1482</v>
      </c>
      <c r="M94" s="12" t="s">
        <v>150</v>
      </c>
      <c r="N94" s="12">
        <v>150</v>
      </c>
      <c r="O94" s="12">
        <v>150</v>
      </c>
      <c r="P94" s="12">
        <v>0</v>
      </c>
      <c r="Q94" s="16">
        <v>0</v>
      </c>
      <c r="R94" s="16">
        <v>0</v>
      </c>
      <c r="S94" s="16"/>
      <c r="T94" s="28">
        <v>150</v>
      </c>
      <c r="U94" s="28"/>
      <c r="V94" s="29" t="e">
        <f>+VLOOKUP(E94,[1]base!D:K,8,0)</f>
        <v>#N/A</v>
      </c>
      <c r="W94" s="29" t="e">
        <f t="shared" si="23"/>
        <v>#N/A</v>
      </c>
      <c r="X94" s="29" t="e">
        <f t="shared" si="24"/>
        <v>#N/A</v>
      </c>
      <c r="Y94" s="29" t="e">
        <f>+VLOOKUP(E94,[1]base!D:E,2,0)</f>
        <v>#N/A</v>
      </c>
      <c r="Z94" s="29" t="e">
        <f t="shared" si="25"/>
        <v>#N/A</v>
      </c>
      <c r="AA94" s="29" t="e">
        <f t="shared" si="26"/>
        <v>#N/A</v>
      </c>
      <c r="AB94" s="29" t="e">
        <f>+VLOOKUP(E94,[1]base!M:N,2,0)</f>
        <v>#N/A</v>
      </c>
      <c r="AC94" s="29" t="e">
        <f>+VLOOKUP(E94,[1]base!M:Q,5,0)</f>
        <v>#N/A</v>
      </c>
      <c r="AD94" s="30" t="e">
        <f>+VLOOKUP(E94,[1]base!M:P,4,0)</f>
        <v>#N/A</v>
      </c>
      <c r="AE94" s="31" t="e">
        <f t="shared" si="27"/>
        <v>#N/A</v>
      </c>
    </row>
    <row r="95" spans="1:31" s="32" customFormat="1" x14ac:dyDescent="0.25">
      <c r="A95" s="12" t="s">
        <v>1483</v>
      </c>
      <c r="B95" s="13">
        <v>46273.577222222222</v>
      </c>
      <c r="C95" s="12" t="s">
        <v>1466</v>
      </c>
      <c r="D95" s="12" t="s">
        <v>1480</v>
      </c>
      <c r="E95" s="26" t="str">
        <f t="shared" si="21"/>
        <v>C-EC6007</v>
      </c>
      <c r="F95" s="27" t="str">
        <f t="shared" si="22"/>
        <v>ACAJOU</v>
      </c>
      <c r="G95" s="27">
        <f>+VLOOKUP(F95,[1]base!A:B,2,0)</f>
        <v>15.1</v>
      </c>
      <c r="H95" s="12">
        <v>300</v>
      </c>
      <c r="I95" s="12">
        <v>300</v>
      </c>
      <c r="J95" s="14"/>
      <c r="K95" s="14" t="s">
        <v>26</v>
      </c>
      <c r="L95" s="12" t="s">
        <v>1488</v>
      </c>
      <c r="M95" s="12" t="s">
        <v>150</v>
      </c>
      <c r="N95" s="12">
        <v>300</v>
      </c>
      <c r="O95" s="12">
        <v>300</v>
      </c>
      <c r="P95" s="12">
        <v>0</v>
      </c>
      <c r="Q95" s="16">
        <v>0</v>
      </c>
      <c r="R95" s="16">
        <v>0</v>
      </c>
      <c r="S95" s="16"/>
      <c r="T95" s="28">
        <v>300</v>
      </c>
      <c r="U95" s="28"/>
      <c r="V95" s="29" t="e">
        <f>+VLOOKUP(E95,[1]base!D:K,8,0)</f>
        <v>#N/A</v>
      </c>
      <c r="W95" s="29" t="e">
        <f t="shared" si="23"/>
        <v>#N/A</v>
      </c>
      <c r="X95" s="29" t="e">
        <f t="shared" si="24"/>
        <v>#N/A</v>
      </c>
      <c r="Y95" s="29" t="e">
        <f>+VLOOKUP(E95,[1]base!D:E,2,0)</f>
        <v>#N/A</v>
      </c>
      <c r="Z95" s="29" t="e">
        <f t="shared" si="25"/>
        <v>#N/A</v>
      </c>
      <c r="AA95" s="29" t="e">
        <f t="shared" si="26"/>
        <v>#N/A</v>
      </c>
      <c r="AB95" s="29" t="e">
        <f>+VLOOKUP(E95,[1]base!M:N,2,0)</f>
        <v>#N/A</v>
      </c>
      <c r="AC95" s="29" t="e">
        <f>+VLOOKUP(E95,[1]base!M:Q,5,0)</f>
        <v>#N/A</v>
      </c>
      <c r="AD95" s="30" t="e">
        <f>+VLOOKUP(E95,[1]base!M:P,4,0)</f>
        <v>#N/A</v>
      </c>
      <c r="AE95" s="31" t="e">
        <f t="shared" si="27"/>
        <v>#N/A</v>
      </c>
    </row>
    <row r="96" spans="1:31" s="32" customFormat="1" x14ac:dyDescent="0.25">
      <c r="A96" s="12" t="s">
        <v>1465</v>
      </c>
      <c r="B96" s="13">
        <v>46273.502928240741</v>
      </c>
      <c r="C96" s="12" t="s">
        <v>1466</v>
      </c>
      <c r="D96" s="12" t="s">
        <v>1470</v>
      </c>
      <c r="E96" s="26" t="str">
        <f t="shared" si="21"/>
        <v>C-EC6011</v>
      </c>
      <c r="F96" s="27" t="str">
        <f t="shared" si="22"/>
        <v>ACAJOU</v>
      </c>
      <c r="G96" s="27">
        <f>+VLOOKUP(F96,[1]base!A:B,2,0)</f>
        <v>15.1</v>
      </c>
      <c r="H96" s="12">
        <v>20</v>
      </c>
      <c r="I96" s="12">
        <v>20</v>
      </c>
      <c r="J96" s="14"/>
      <c r="K96" s="14" t="s">
        <v>26</v>
      </c>
      <c r="L96" s="12" t="s">
        <v>1474</v>
      </c>
      <c r="M96" s="12" t="s">
        <v>150</v>
      </c>
      <c r="N96" s="12">
        <v>20</v>
      </c>
      <c r="O96" s="12">
        <v>20</v>
      </c>
      <c r="P96" s="12">
        <v>0</v>
      </c>
      <c r="Q96" s="16">
        <v>0</v>
      </c>
      <c r="R96" s="16">
        <v>0</v>
      </c>
      <c r="S96" s="16"/>
      <c r="T96" s="28">
        <v>20</v>
      </c>
      <c r="U96" s="28"/>
      <c r="V96" s="29" t="e">
        <f>+VLOOKUP(E96,[1]base!D:K,8,0)</f>
        <v>#N/A</v>
      </c>
      <c r="W96" s="29" t="e">
        <f t="shared" si="23"/>
        <v>#N/A</v>
      </c>
      <c r="X96" s="29" t="e">
        <f t="shared" si="24"/>
        <v>#N/A</v>
      </c>
      <c r="Y96" s="29" t="e">
        <f>+VLOOKUP(E96,[1]base!D:E,2,0)</f>
        <v>#N/A</v>
      </c>
      <c r="Z96" s="29" t="e">
        <f t="shared" si="25"/>
        <v>#N/A</v>
      </c>
      <c r="AA96" s="29" t="e">
        <f t="shared" si="26"/>
        <v>#N/A</v>
      </c>
      <c r="AB96" s="29" t="e">
        <f>+VLOOKUP(E96,[1]base!M:N,2,0)</f>
        <v>#N/A</v>
      </c>
      <c r="AC96" s="29" t="e">
        <f>+VLOOKUP(E96,[1]base!M:Q,5,0)</f>
        <v>#N/A</v>
      </c>
      <c r="AD96" s="30" t="e">
        <f>+VLOOKUP(E96,[1]base!M:P,4,0)</f>
        <v>#N/A</v>
      </c>
      <c r="AE96" s="31" t="e">
        <f t="shared" si="27"/>
        <v>#N/A</v>
      </c>
    </row>
    <row r="97" spans="1:31" s="32" customFormat="1" x14ac:dyDescent="0.25">
      <c r="A97" s="12" t="s">
        <v>1464</v>
      </c>
      <c r="B97" s="13">
        <v>46273.501516203702</v>
      </c>
      <c r="C97" s="12" t="s">
        <v>1466</v>
      </c>
      <c r="D97" s="12" t="s">
        <v>1467</v>
      </c>
      <c r="E97" s="26" t="str">
        <f t="shared" si="21"/>
        <v>C-EC6012</v>
      </c>
      <c r="F97" s="27" t="str">
        <f t="shared" si="22"/>
        <v>ACAJOU</v>
      </c>
      <c r="G97" s="27">
        <f>+VLOOKUP(F97,[1]base!A:B,2,0)</f>
        <v>15.1</v>
      </c>
      <c r="H97" s="12">
        <v>270</v>
      </c>
      <c r="I97" s="12">
        <v>270</v>
      </c>
      <c r="J97" s="14"/>
      <c r="K97" s="14" t="s">
        <v>26</v>
      </c>
      <c r="L97" s="12" t="s">
        <v>1471</v>
      </c>
      <c r="M97" s="12" t="s">
        <v>150</v>
      </c>
      <c r="N97" s="12">
        <v>270</v>
      </c>
      <c r="O97" s="12">
        <v>270</v>
      </c>
      <c r="P97" s="12">
        <v>0</v>
      </c>
      <c r="Q97" s="16">
        <v>0</v>
      </c>
      <c r="R97" s="16">
        <v>0</v>
      </c>
      <c r="S97" s="16"/>
      <c r="T97" s="28">
        <v>270</v>
      </c>
      <c r="U97" s="28"/>
      <c r="V97" s="29" t="e">
        <f>+VLOOKUP(E97,[1]base!D:K,8,0)</f>
        <v>#N/A</v>
      </c>
      <c r="W97" s="29" t="e">
        <f t="shared" si="23"/>
        <v>#N/A</v>
      </c>
      <c r="X97" s="29" t="e">
        <f t="shared" si="24"/>
        <v>#N/A</v>
      </c>
      <c r="Y97" s="29" t="e">
        <f>+VLOOKUP(E97,[1]base!D:E,2,0)</f>
        <v>#N/A</v>
      </c>
      <c r="Z97" s="29" t="e">
        <f t="shared" si="25"/>
        <v>#N/A</v>
      </c>
      <c r="AA97" s="29" t="e">
        <f t="shared" si="26"/>
        <v>#N/A</v>
      </c>
      <c r="AB97" s="29" t="e">
        <f>+VLOOKUP(E97,[1]base!M:N,2,0)</f>
        <v>#N/A</v>
      </c>
      <c r="AC97" s="29" t="e">
        <f>+VLOOKUP(E97,[1]base!M:Q,5,0)</f>
        <v>#N/A</v>
      </c>
      <c r="AD97" s="30" t="e">
        <f>+VLOOKUP(E97,[1]base!M:P,4,0)</f>
        <v>#N/A</v>
      </c>
      <c r="AE97" s="31" t="e">
        <f t="shared" si="27"/>
        <v>#N/A</v>
      </c>
    </row>
    <row r="98" spans="1:31" s="32" customFormat="1" x14ac:dyDescent="0.25">
      <c r="A98" s="12" t="s">
        <v>1465</v>
      </c>
      <c r="B98" s="13">
        <v>46273.502928240741</v>
      </c>
      <c r="C98" s="12" t="s">
        <v>1466</v>
      </c>
      <c r="D98" s="12" t="s">
        <v>1467</v>
      </c>
      <c r="E98" s="26" t="str">
        <f t="shared" si="21"/>
        <v>C-EC6012</v>
      </c>
      <c r="F98" s="27" t="str">
        <f t="shared" si="22"/>
        <v>ACAJOU</v>
      </c>
      <c r="G98" s="27">
        <f>+VLOOKUP(F98,[1]base!A:B,2,0)</f>
        <v>15.1</v>
      </c>
      <c r="H98" s="12">
        <v>70</v>
      </c>
      <c r="I98" s="12">
        <v>70</v>
      </c>
      <c r="J98" s="14"/>
      <c r="K98" s="14" t="s">
        <v>26</v>
      </c>
      <c r="L98" s="12" t="s">
        <v>1475</v>
      </c>
      <c r="M98" s="12" t="s">
        <v>150</v>
      </c>
      <c r="N98" s="12">
        <v>70</v>
      </c>
      <c r="O98" s="12">
        <v>70</v>
      </c>
      <c r="P98" s="12">
        <v>0</v>
      </c>
      <c r="Q98" s="16">
        <v>0</v>
      </c>
      <c r="R98" s="16">
        <v>0</v>
      </c>
      <c r="S98" s="16"/>
      <c r="T98" s="28">
        <v>70</v>
      </c>
      <c r="U98" s="28"/>
      <c r="V98" s="29" t="e">
        <f>+VLOOKUP(E98,[1]base!D:K,8,0)</f>
        <v>#N/A</v>
      </c>
      <c r="W98" s="29" t="e">
        <f t="shared" si="23"/>
        <v>#N/A</v>
      </c>
      <c r="X98" s="29" t="e">
        <f t="shared" si="24"/>
        <v>#N/A</v>
      </c>
      <c r="Y98" s="29" t="e">
        <f>+VLOOKUP(E98,[1]base!D:E,2,0)</f>
        <v>#N/A</v>
      </c>
      <c r="Z98" s="29" t="e">
        <f t="shared" si="25"/>
        <v>#N/A</v>
      </c>
      <c r="AA98" s="29" t="e">
        <f t="shared" si="26"/>
        <v>#N/A</v>
      </c>
      <c r="AB98" s="29" t="e">
        <f>+VLOOKUP(E98,[1]base!M:N,2,0)</f>
        <v>#N/A</v>
      </c>
      <c r="AC98" s="29" t="e">
        <f>+VLOOKUP(E98,[1]base!M:Q,5,0)</f>
        <v>#N/A</v>
      </c>
      <c r="AD98" s="30" t="e">
        <f>+VLOOKUP(E98,[1]base!M:P,4,0)</f>
        <v>#N/A</v>
      </c>
      <c r="AE98" s="31" t="e">
        <f t="shared" si="27"/>
        <v>#N/A</v>
      </c>
    </row>
    <row r="99" spans="1:31" s="32" customFormat="1" x14ac:dyDescent="0.25">
      <c r="A99" s="12" t="s">
        <v>1484</v>
      </c>
      <c r="B99" s="13">
        <v>46273.583854166667</v>
      </c>
      <c r="C99" s="12" t="s">
        <v>1466</v>
      </c>
      <c r="D99" s="12" t="s">
        <v>1467</v>
      </c>
      <c r="E99" s="26" t="str">
        <f t="shared" si="21"/>
        <v>C-EC6012</v>
      </c>
      <c r="F99" s="27" t="str">
        <f t="shared" si="22"/>
        <v>ACAJOU</v>
      </c>
      <c r="G99" s="27">
        <f>+VLOOKUP(F99,[1]base!A:B,2,0)</f>
        <v>15.1</v>
      </c>
      <c r="H99" s="12">
        <v>30</v>
      </c>
      <c r="I99" s="12">
        <v>30</v>
      </c>
      <c r="J99" s="14"/>
      <c r="K99" s="14" t="s">
        <v>26</v>
      </c>
      <c r="L99" s="12" t="s">
        <v>1489</v>
      </c>
      <c r="M99" s="12" t="s">
        <v>150</v>
      </c>
      <c r="N99" s="12">
        <v>30</v>
      </c>
      <c r="O99" s="12">
        <v>30</v>
      </c>
      <c r="P99" s="12">
        <v>0</v>
      </c>
      <c r="Q99" s="16">
        <v>0</v>
      </c>
      <c r="R99" s="16">
        <v>0</v>
      </c>
      <c r="S99" s="16"/>
      <c r="T99" s="28">
        <v>30</v>
      </c>
      <c r="U99" s="28"/>
      <c r="V99" s="29" t="e">
        <f>+VLOOKUP(E99,[1]base!D:K,8,0)</f>
        <v>#N/A</v>
      </c>
      <c r="W99" s="29" t="e">
        <f t="shared" si="23"/>
        <v>#N/A</v>
      </c>
      <c r="X99" s="29" t="e">
        <f t="shared" si="24"/>
        <v>#N/A</v>
      </c>
      <c r="Y99" s="29" t="e">
        <f>+VLOOKUP(E99,[1]base!D:E,2,0)</f>
        <v>#N/A</v>
      </c>
      <c r="Z99" s="29" t="e">
        <f t="shared" si="25"/>
        <v>#N/A</v>
      </c>
      <c r="AA99" s="29" t="e">
        <f t="shared" si="26"/>
        <v>#N/A</v>
      </c>
      <c r="AB99" s="29" t="e">
        <f>+VLOOKUP(E99,[1]base!M:N,2,0)</f>
        <v>#N/A</v>
      </c>
      <c r="AC99" s="29" t="e">
        <f>+VLOOKUP(E99,[1]base!M:Q,5,0)</f>
        <v>#N/A</v>
      </c>
      <c r="AD99" s="30" t="e">
        <f>+VLOOKUP(E99,[1]base!M:P,4,0)</f>
        <v>#N/A</v>
      </c>
      <c r="AE99" s="31" t="e">
        <f t="shared" si="27"/>
        <v>#N/A</v>
      </c>
    </row>
    <row r="100" spans="1:31" s="32" customFormat="1" x14ac:dyDescent="0.25">
      <c r="A100" s="12" t="s">
        <v>1531</v>
      </c>
      <c r="B100" s="13">
        <v>46274.508414351854</v>
      </c>
      <c r="C100" s="12" t="s">
        <v>1466</v>
      </c>
      <c r="D100" s="12" t="s">
        <v>1532</v>
      </c>
      <c r="E100" s="26" t="str">
        <f t="shared" si="21"/>
        <v>C-EC80104</v>
      </c>
      <c r="F100" s="27" t="str">
        <f t="shared" si="22"/>
        <v>ACAJOU</v>
      </c>
      <c r="G100" s="27">
        <f>+VLOOKUP(F100,[1]base!A:B,2,0)</f>
        <v>15.1</v>
      </c>
      <c r="H100" s="12">
        <v>150</v>
      </c>
      <c r="I100" s="12">
        <v>150</v>
      </c>
      <c r="J100" s="14"/>
      <c r="K100" s="14" t="s">
        <v>26</v>
      </c>
      <c r="L100" s="12" t="s">
        <v>1533</v>
      </c>
      <c r="M100" s="12" t="s">
        <v>150</v>
      </c>
      <c r="N100" s="12">
        <v>150</v>
      </c>
      <c r="O100" s="12">
        <v>150</v>
      </c>
      <c r="P100" s="12">
        <v>0</v>
      </c>
      <c r="Q100" s="16">
        <v>0</v>
      </c>
      <c r="R100" s="16">
        <v>0</v>
      </c>
      <c r="S100" s="16"/>
      <c r="T100" s="28">
        <v>150</v>
      </c>
      <c r="U100" s="28"/>
      <c r="V100" s="29" t="e">
        <f>+VLOOKUP(E100,[1]base!D:K,8,0)</f>
        <v>#N/A</v>
      </c>
      <c r="W100" s="29" t="e">
        <f t="shared" si="23"/>
        <v>#N/A</v>
      </c>
      <c r="X100" s="29" t="e">
        <f t="shared" si="24"/>
        <v>#N/A</v>
      </c>
      <c r="Y100" s="29" t="e">
        <f>+VLOOKUP(E100,[1]base!D:E,2,0)</f>
        <v>#N/A</v>
      </c>
      <c r="Z100" s="29" t="e">
        <f t="shared" si="25"/>
        <v>#N/A</v>
      </c>
      <c r="AA100" s="29" t="e">
        <f t="shared" si="26"/>
        <v>#N/A</v>
      </c>
      <c r="AB100" s="29" t="e">
        <f>+VLOOKUP(E100,[1]base!M:N,2,0)</f>
        <v>#N/A</v>
      </c>
      <c r="AC100" s="29" t="e">
        <f>+VLOOKUP(E100,[1]base!M:Q,5,0)</f>
        <v>#N/A</v>
      </c>
      <c r="AD100" s="30" t="e">
        <f>+VLOOKUP(E100,[1]base!M:P,4,0)</f>
        <v>#N/A</v>
      </c>
      <c r="AE100" s="31" t="e">
        <f t="shared" si="27"/>
        <v>#N/A</v>
      </c>
    </row>
    <row r="101" spans="1:31" s="32" customFormat="1" x14ac:dyDescent="0.25">
      <c r="A101" s="12" t="s">
        <v>1464</v>
      </c>
      <c r="B101" s="13">
        <v>46273.501516203702</v>
      </c>
      <c r="C101" s="12" t="s">
        <v>1466</v>
      </c>
      <c r="D101" s="12" t="s">
        <v>1469</v>
      </c>
      <c r="E101" s="26" t="str">
        <f t="shared" si="21"/>
        <v>C-EC80105</v>
      </c>
      <c r="F101" s="27" t="str">
        <f t="shared" si="22"/>
        <v>ACAJOU</v>
      </c>
      <c r="G101" s="27">
        <f>+VLOOKUP(F101,[1]base!A:B,2,0)</f>
        <v>15.1</v>
      </c>
      <c r="H101" s="12">
        <v>150</v>
      </c>
      <c r="I101" s="12">
        <v>150</v>
      </c>
      <c r="J101" s="14"/>
      <c r="K101" s="14" t="s">
        <v>26</v>
      </c>
      <c r="L101" s="12" t="s">
        <v>1473</v>
      </c>
      <c r="M101" s="12" t="s">
        <v>150</v>
      </c>
      <c r="N101" s="12">
        <v>150</v>
      </c>
      <c r="O101" s="12">
        <v>150</v>
      </c>
      <c r="P101" s="12">
        <v>0</v>
      </c>
      <c r="Q101" s="16">
        <v>0</v>
      </c>
      <c r="R101" s="16">
        <v>0</v>
      </c>
      <c r="S101" s="16"/>
      <c r="T101" s="28">
        <v>150</v>
      </c>
      <c r="U101" s="28"/>
      <c r="V101" s="29" t="e">
        <f>+VLOOKUP(E101,[1]base!D:K,8,0)</f>
        <v>#N/A</v>
      </c>
      <c r="W101" s="29" t="e">
        <f t="shared" si="23"/>
        <v>#N/A</v>
      </c>
      <c r="X101" s="29" t="e">
        <f t="shared" si="24"/>
        <v>#N/A</v>
      </c>
      <c r="Y101" s="29" t="e">
        <f>+VLOOKUP(E101,[1]base!D:E,2,0)</f>
        <v>#N/A</v>
      </c>
      <c r="Z101" s="29" t="e">
        <f t="shared" si="25"/>
        <v>#N/A</v>
      </c>
      <c r="AA101" s="29" t="e">
        <f t="shared" si="26"/>
        <v>#N/A</v>
      </c>
      <c r="AB101" s="29" t="e">
        <f>+VLOOKUP(E101,[1]base!M:N,2,0)</f>
        <v>#N/A</v>
      </c>
      <c r="AC101" s="29" t="e">
        <f>+VLOOKUP(E101,[1]base!M:Q,5,0)</f>
        <v>#N/A</v>
      </c>
      <c r="AD101" s="30" t="e">
        <f>+VLOOKUP(E101,[1]base!M:P,4,0)</f>
        <v>#N/A</v>
      </c>
      <c r="AE101" s="31" t="e">
        <f t="shared" si="27"/>
        <v>#N/A</v>
      </c>
    </row>
    <row r="102" spans="1:31" s="32" customFormat="1" x14ac:dyDescent="0.25">
      <c r="A102" s="12" t="s">
        <v>1465</v>
      </c>
      <c r="B102" s="13">
        <v>46273.502928240741</v>
      </c>
      <c r="C102" s="12" t="s">
        <v>1466</v>
      </c>
      <c r="D102" s="12" t="s">
        <v>1469</v>
      </c>
      <c r="E102" s="26" t="str">
        <f t="shared" si="21"/>
        <v>C-EC80105</v>
      </c>
      <c r="F102" s="27" t="str">
        <f t="shared" si="22"/>
        <v>ACAJOU</v>
      </c>
      <c r="G102" s="27">
        <f>+VLOOKUP(F102,[1]base!A:B,2,0)</f>
        <v>15.1</v>
      </c>
      <c r="H102" s="12">
        <v>30</v>
      </c>
      <c r="I102" s="12">
        <v>30</v>
      </c>
      <c r="J102" s="14"/>
      <c r="K102" s="14" t="s">
        <v>26</v>
      </c>
      <c r="L102" s="12" t="s">
        <v>1477</v>
      </c>
      <c r="M102" s="12" t="s">
        <v>150</v>
      </c>
      <c r="N102" s="12">
        <v>30</v>
      </c>
      <c r="O102" s="12">
        <v>30</v>
      </c>
      <c r="P102" s="12">
        <v>0</v>
      </c>
      <c r="Q102" s="16">
        <v>0</v>
      </c>
      <c r="R102" s="16">
        <v>0</v>
      </c>
      <c r="S102" s="16"/>
      <c r="T102" s="28">
        <v>30</v>
      </c>
      <c r="U102" s="28"/>
      <c r="V102" s="29" t="e">
        <f>+VLOOKUP(E102,[1]base!D:K,8,0)</f>
        <v>#N/A</v>
      </c>
      <c r="W102" s="29" t="e">
        <f t="shared" si="23"/>
        <v>#N/A</v>
      </c>
      <c r="X102" s="29" t="e">
        <f t="shared" si="24"/>
        <v>#N/A</v>
      </c>
      <c r="Y102" s="29" t="e">
        <f>+VLOOKUP(E102,[1]base!D:E,2,0)</f>
        <v>#N/A</v>
      </c>
      <c r="Z102" s="29" t="e">
        <f t="shared" si="25"/>
        <v>#N/A</v>
      </c>
      <c r="AA102" s="29" t="e">
        <f t="shared" si="26"/>
        <v>#N/A</v>
      </c>
      <c r="AB102" s="29" t="e">
        <f>+VLOOKUP(E102,[1]base!M:N,2,0)</f>
        <v>#N/A</v>
      </c>
      <c r="AC102" s="29" t="e">
        <f>+VLOOKUP(E102,[1]base!M:Q,5,0)</f>
        <v>#N/A</v>
      </c>
      <c r="AD102" s="30" t="e">
        <f>+VLOOKUP(E102,[1]base!M:P,4,0)</f>
        <v>#N/A</v>
      </c>
      <c r="AE102" s="31" t="e">
        <f t="shared" si="27"/>
        <v>#N/A</v>
      </c>
    </row>
    <row r="103" spans="1:31" s="32" customFormat="1" x14ac:dyDescent="0.25">
      <c r="A103" s="12" t="s">
        <v>1464</v>
      </c>
      <c r="B103" s="13">
        <v>46273.501516203702</v>
      </c>
      <c r="C103" s="12" t="s">
        <v>1466</v>
      </c>
      <c r="D103" s="12" t="s">
        <v>1468</v>
      </c>
      <c r="E103" s="26" t="str">
        <f t="shared" si="21"/>
        <v>C-EC80106</v>
      </c>
      <c r="F103" s="27" t="str">
        <f t="shared" si="22"/>
        <v>ACAJOU</v>
      </c>
      <c r="G103" s="27">
        <f>+VLOOKUP(F103,[1]base!A:B,2,0)</f>
        <v>15.1</v>
      </c>
      <c r="H103" s="12">
        <v>150</v>
      </c>
      <c r="I103" s="12">
        <v>150</v>
      </c>
      <c r="J103" s="14"/>
      <c r="K103" s="14" t="s">
        <v>26</v>
      </c>
      <c r="L103" s="12" t="s">
        <v>1472</v>
      </c>
      <c r="M103" s="12" t="s">
        <v>150</v>
      </c>
      <c r="N103" s="12">
        <v>150</v>
      </c>
      <c r="O103" s="12">
        <v>150</v>
      </c>
      <c r="P103" s="12">
        <v>0</v>
      </c>
      <c r="Q103" s="16">
        <v>0</v>
      </c>
      <c r="R103" s="16">
        <v>0</v>
      </c>
      <c r="S103" s="16"/>
      <c r="T103" s="28">
        <v>150</v>
      </c>
      <c r="U103" s="28"/>
      <c r="V103" s="29" t="e">
        <f>+VLOOKUP(E103,[1]base!D:K,8,0)</f>
        <v>#N/A</v>
      </c>
      <c r="W103" s="29" t="e">
        <f t="shared" si="23"/>
        <v>#N/A</v>
      </c>
      <c r="X103" s="29" t="e">
        <f t="shared" si="24"/>
        <v>#N/A</v>
      </c>
      <c r="Y103" s="29" t="e">
        <f>+VLOOKUP(E103,[1]base!D:E,2,0)</f>
        <v>#N/A</v>
      </c>
      <c r="Z103" s="29" t="e">
        <f t="shared" si="25"/>
        <v>#N/A</v>
      </c>
      <c r="AA103" s="29" t="e">
        <f t="shared" si="26"/>
        <v>#N/A</v>
      </c>
      <c r="AB103" s="29" t="e">
        <f>+VLOOKUP(E103,[1]base!M:N,2,0)</f>
        <v>#N/A</v>
      </c>
      <c r="AC103" s="29" t="e">
        <f>+VLOOKUP(E103,[1]base!M:Q,5,0)</f>
        <v>#N/A</v>
      </c>
      <c r="AD103" s="30" t="e">
        <f>+VLOOKUP(E103,[1]base!M:P,4,0)</f>
        <v>#N/A</v>
      </c>
      <c r="AE103" s="31" t="e">
        <f t="shared" si="27"/>
        <v>#N/A</v>
      </c>
    </row>
    <row r="104" spans="1:31" s="32" customFormat="1" x14ac:dyDescent="0.25">
      <c r="A104" s="12" t="s">
        <v>1465</v>
      </c>
      <c r="B104" s="13">
        <v>46273.502928240741</v>
      </c>
      <c r="C104" s="12" t="s">
        <v>1466</v>
      </c>
      <c r="D104" s="12" t="s">
        <v>1468</v>
      </c>
      <c r="E104" s="26" t="str">
        <f t="shared" si="21"/>
        <v>C-EC80106</v>
      </c>
      <c r="F104" s="27" t="str">
        <f t="shared" si="22"/>
        <v>ACAJOU</v>
      </c>
      <c r="G104" s="27">
        <f>+VLOOKUP(F104,[1]base!A:B,2,0)</f>
        <v>15.1</v>
      </c>
      <c r="H104" s="12">
        <v>30</v>
      </c>
      <c r="I104" s="12">
        <v>30</v>
      </c>
      <c r="J104" s="14"/>
      <c r="K104" s="14" t="s">
        <v>26</v>
      </c>
      <c r="L104" s="12" t="s">
        <v>1476</v>
      </c>
      <c r="M104" s="12" t="s">
        <v>150</v>
      </c>
      <c r="N104" s="12">
        <v>30</v>
      </c>
      <c r="O104" s="12">
        <v>30</v>
      </c>
      <c r="P104" s="12">
        <v>0</v>
      </c>
      <c r="Q104" s="16">
        <v>0</v>
      </c>
      <c r="R104" s="16">
        <v>0</v>
      </c>
      <c r="S104" s="16"/>
      <c r="T104" s="28">
        <v>30</v>
      </c>
      <c r="U104" s="28"/>
      <c r="V104" s="29" t="e">
        <f>+VLOOKUP(E104,[1]base!D:K,8,0)</f>
        <v>#N/A</v>
      </c>
      <c r="W104" s="29" t="e">
        <f t="shared" si="23"/>
        <v>#N/A</v>
      </c>
      <c r="X104" s="29" t="e">
        <f t="shared" si="24"/>
        <v>#N/A</v>
      </c>
      <c r="Y104" s="29" t="e">
        <f>+VLOOKUP(E104,[1]base!D:E,2,0)</f>
        <v>#N/A</v>
      </c>
      <c r="Z104" s="29" t="e">
        <f t="shared" si="25"/>
        <v>#N/A</v>
      </c>
      <c r="AA104" s="29" t="e">
        <f t="shared" si="26"/>
        <v>#N/A</v>
      </c>
      <c r="AB104" s="29" t="e">
        <f>+VLOOKUP(E104,[1]base!M:N,2,0)</f>
        <v>#N/A</v>
      </c>
      <c r="AC104" s="29" t="e">
        <f>+VLOOKUP(E104,[1]base!M:Q,5,0)</f>
        <v>#N/A</v>
      </c>
      <c r="AD104" s="30" t="e">
        <f>+VLOOKUP(E104,[1]base!M:P,4,0)</f>
        <v>#N/A</v>
      </c>
      <c r="AE104" s="31" t="e">
        <f t="shared" si="27"/>
        <v>#N/A</v>
      </c>
    </row>
    <row r="105" spans="1:31" s="32" customFormat="1" x14ac:dyDescent="0.25">
      <c r="A105" s="12" t="s">
        <v>1415</v>
      </c>
      <c r="B105" s="13">
        <v>46273.296388888892</v>
      </c>
      <c r="C105" s="12" t="s">
        <v>24</v>
      </c>
      <c r="D105" s="12" t="s">
        <v>1416</v>
      </c>
      <c r="E105" s="26" t="str">
        <f t="shared" si="21"/>
        <v>CO101</v>
      </c>
      <c r="F105" s="27" t="str">
        <f t="shared" si="22"/>
        <v>ACAJOU</v>
      </c>
      <c r="G105" s="27">
        <f>+VLOOKUP(F105,[1]base!A:B,2,0)</f>
        <v>15.1</v>
      </c>
      <c r="H105" s="12">
        <v>10</v>
      </c>
      <c r="I105" s="12">
        <v>10</v>
      </c>
      <c r="J105" s="14"/>
      <c r="K105" s="14" t="s">
        <v>61</v>
      </c>
      <c r="L105" s="12" t="s">
        <v>1421</v>
      </c>
      <c r="M105" s="12" t="s">
        <v>150</v>
      </c>
      <c r="N105" s="12">
        <v>10</v>
      </c>
      <c r="O105" s="12">
        <v>10</v>
      </c>
      <c r="P105" s="12">
        <v>0</v>
      </c>
      <c r="Q105" s="16">
        <v>10</v>
      </c>
      <c r="R105" s="16">
        <v>0</v>
      </c>
      <c r="S105" s="16"/>
      <c r="T105" s="28">
        <v>10</v>
      </c>
      <c r="U105" s="28"/>
      <c r="V105" s="29">
        <f>+VLOOKUP(E105,[1]base!D:K,8,0)</f>
        <v>6.0775000000000006</v>
      </c>
      <c r="W105" s="29">
        <f t="shared" si="23"/>
        <v>60.775000000000006</v>
      </c>
      <c r="X105" s="29">
        <f t="shared" si="24"/>
        <v>3.1603000000000003</v>
      </c>
      <c r="Y105" s="29">
        <f>+VLOOKUP(E105,[1]base!D:E,2,0)</f>
        <v>12</v>
      </c>
      <c r="Z105" s="29">
        <f t="shared" si="25"/>
        <v>1</v>
      </c>
      <c r="AA105" s="29">
        <f t="shared" si="26"/>
        <v>6.6666666666666693E-2</v>
      </c>
      <c r="AB105" s="29">
        <f>+VLOOKUP(E105,[1]base!M:N,2,0)</f>
        <v>125</v>
      </c>
      <c r="AC105" s="29">
        <f>+VLOOKUP(E105,[1]base!M:Q,5,0)</f>
        <v>108.55555555555556</v>
      </c>
      <c r="AD105" s="30">
        <f>+VLOOKUP(E105,[1]base!M:P,4,0)</f>
        <v>0.50787401574803148</v>
      </c>
      <c r="AE105" s="31">
        <f t="shared" si="27"/>
        <v>-25.984251968503937</v>
      </c>
    </row>
    <row r="106" spans="1:31" s="32" customFormat="1" x14ac:dyDescent="0.25">
      <c r="A106" s="12" t="s">
        <v>288</v>
      </c>
      <c r="B106" s="13">
        <v>46191.52375</v>
      </c>
      <c r="C106" s="12" t="s">
        <v>24</v>
      </c>
      <c r="D106" s="12" t="s">
        <v>289</v>
      </c>
      <c r="E106" s="26" t="str">
        <f t="shared" si="21"/>
        <v>CO103</v>
      </c>
      <c r="F106" s="27" t="str">
        <f t="shared" si="22"/>
        <v>ACAJOU</v>
      </c>
      <c r="G106" s="27">
        <f>+VLOOKUP(F106,[1]base!A:B,2,0)</f>
        <v>15.1</v>
      </c>
      <c r="H106" s="12">
        <v>40</v>
      </c>
      <c r="I106" s="12">
        <v>40</v>
      </c>
      <c r="J106" s="14"/>
      <c r="K106" s="14" t="s">
        <v>61</v>
      </c>
      <c r="L106" s="12" t="s">
        <v>291</v>
      </c>
      <c r="M106" s="12" t="s">
        <v>150</v>
      </c>
      <c r="N106" s="12">
        <v>40</v>
      </c>
      <c r="O106" s="12">
        <v>40</v>
      </c>
      <c r="P106" s="12">
        <v>0</v>
      </c>
      <c r="Q106" s="16">
        <v>40</v>
      </c>
      <c r="R106" s="16">
        <v>0</v>
      </c>
      <c r="S106" s="16"/>
      <c r="T106" s="28">
        <v>40</v>
      </c>
      <c r="U106" s="28"/>
      <c r="V106" s="29">
        <f>+VLOOKUP(E106,[1]base!D:K,8,0)</f>
        <v>7.293000000000001</v>
      </c>
      <c r="W106" s="29">
        <f t="shared" si="23"/>
        <v>291.72000000000003</v>
      </c>
      <c r="X106" s="29">
        <f t="shared" si="24"/>
        <v>15.169440000000002</v>
      </c>
      <c r="Y106" s="29">
        <f>+VLOOKUP(E106,[1]base!D:E,2,0)</f>
        <v>12</v>
      </c>
      <c r="Z106" s="29">
        <f t="shared" si="25"/>
        <v>4</v>
      </c>
      <c r="AA106" s="29">
        <f t="shared" si="26"/>
        <v>0.26666666666666677</v>
      </c>
      <c r="AB106" s="29">
        <f>+VLOOKUP(E106,[1]base!M:N,2,0)</f>
        <v>949</v>
      </c>
      <c r="AC106" s="29">
        <f>+VLOOKUP(E106,[1]base!M:Q,5,0)</f>
        <v>593.63636363636363</v>
      </c>
      <c r="AD106" s="30">
        <f>+VLOOKUP(E106,[1]base!M:P,4,0)</f>
        <v>9.962049335863378E-2</v>
      </c>
      <c r="AE106" s="31">
        <f t="shared" si="27"/>
        <v>190.16015180265654</v>
      </c>
    </row>
    <row r="107" spans="1:31" s="32" customFormat="1" x14ac:dyDescent="0.25">
      <c r="A107" s="12" t="s">
        <v>1082</v>
      </c>
      <c r="B107" s="13">
        <v>46266.490532407406</v>
      </c>
      <c r="C107" s="12" t="s">
        <v>505</v>
      </c>
      <c r="D107" s="12" t="s">
        <v>289</v>
      </c>
      <c r="E107" s="26" t="str">
        <f t="shared" si="21"/>
        <v>CO103</v>
      </c>
      <c r="F107" s="27" t="str">
        <f t="shared" si="22"/>
        <v>ACAJOU</v>
      </c>
      <c r="G107" s="27">
        <f>+VLOOKUP(F107,[1]base!A:B,2,0)</f>
        <v>15.1</v>
      </c>
      <c r="H107" s="12">
        <v>8</v>
      </c>
      <c r="I107" s="12">
        <v>8</v>
      </c>
      <c r="J107" s="14"/>
      <c r="K107" s="14" t="s">
        <v>61</v>
      </c>
      <c r="L107" s="12" t="s">
        <v>1084</v>
      </c>
      <c r="M107" s="12" t="s">
        <v>150</v>
      </c>
      <c r="N107" s="12">
        <v>8</v>
      </c>
      <c r="O107" s="12">
        <v>8</v>
      </c>
      <c r="P107" s="12">
        <v>0</v>
      </c>
      <c r="Q107" s="16">
        <v>40</v>
      </c>
      <c r="R107" s="16">
        <v>0</v>
      </c>
      <c r="S107" s="16"/>
      <c r="T107" s="28">
        <v>8</v>
      </c>
      <c r="U107" s="28"/>
      <c r="V107" s="29">
        <f>+VLOOKUP(E107,[1]base!D:K,8,0)</f>
        <v>7.293000000000001</v>
      </c>
      <c r="W107" s="29">
        <f t="shared" si="23"/>
        <v>58.344000000000008</v>
      </c>
      <c r="X107" s="29">
        <f t="shared" si="24"/>
        <v>3.0338880000000001</v>
      </c>
      <c r="Y107" s="29">
        <f>+VLOOKUP(E107,[1]base!D:E,2,0)</f>
        <v>12</v>
      </c>
      <c r="Z107" s="29">
        <f t="shared" si="25"/>
        <v>1</v>
      </c>
      <c r="AA107" s="29">
        <f t="shared" si="26"/>
        <v>6.6666666666666693E-2</v>
      </c>
      <c r="AB107" s="29">
        <f>+VLOOKUP(E107,[1]base!M:N,2,0)</f>
        <v>949</v>
      </c>
      <c r="AC107" s="29">
        <f>+VLOOKUP(E107,[1]base!M:Q,5,0)</f>
        <v>593.63636363636363</v>
      </c>
      <c r="AD107" s="30">
        <f>+VLOOKUP(E107,[1]base!M:P,4,0)</f>
        <v>9.962049335863378E-2</v>
      </c>
      <c r="AE107" s="31">
        <f t="shared" si="27"/>
        <v>190.16015180265654</v>
      </c>
    </row>
    <row r="108" spans="1:31" s="32" customFormat="1" x14ac:dyDescent="0.25">
      <c r="A108" s="12" t="s">
        <v>1339</v>
      </c>
      <c r="B108" s="13">
        <v>46269.394733796296</v>
      </c>
      <c r="C108" s="12" t="s">
        <v>266</v>
      </c>
      <c r="D108" s="12" t="s">
        <v>289</v>
      </c>
      <c r="E108" s="26" t="str">
        <f t="shared" si="21"/>
        <v>CO103</v>
      </c>
      <c r="F108" s="27" t="str">
        <f t="shared" si="22"/>
        <v>ACAJOU</v>
      </c>
      <c r="G108" s="27">
        <f>+VLOOKUP(F108,[1]base!A:B,2,0)</f>
        <v>15.1</v>
      </c>
      <c r="H108" s="12">
        <v>12</v>
      </c>
      <c r="I108" s="12">
        <v>12</v>
      </c>
      <c r="J108" s="14"/>
      <c r="K108" s="14" t="s">
        <v>61</v>
      </c>
      <c r="L108" s="12" t="s">
        <v>1356</v>
      </c>
      <c r="M108" s="12" t="s">
        <v>150</v>
      </c>
      <c r="N108" s="12">
        <v>12</v>
      </c>
      <c r="O108" s="12">
        <v>12</v>
      </c>
      <c r="P108" s="12">
        <v>0</v>
      </c>
      <c r="Q108" s="16">
        <v>12</v>
      </c>
      <c r="R108" s="16">
        <v>0</v>
      </c>
      <c r="S108" s="16"/>
      <c r="T108" s="28">
        <v>12</v>
      </c>
      <c r="U108" s="28"/>
      <c r="V108" s="29">
        <f>+VLOOKUP(E108,[1]base!D:K,8,0)</f>
        <v>7.293000000000001</v>
      </c>
      <c r="W108" s="29">
        <f t="shared" si="23"/>
        <v>87.51600000000002</v>
      </c>
      <c r="X108" s="29">
        <f t="shared" si="24"/>
        <v>4.5508320000000007</v>
      </c>
      <c r="Y108" s="29">
        <f>+VLOOKUP(E108,[1]base!D:E,2,0)</f>
        <v>12</v>
      </c>
      <c r="Z108" s="29">
        <f t="shared" si="25"/>
        <v>1</v>
      </c>
      <c r="AA108" s="29">
        <f t="shared" si="26"/>
        <v>6.6666666666666693E-2</v>
      </c>
      <c r="AB108" s="29">
        <f>+VLOOKUP(E108,[1]base!M:N,2,0)</f>
        <v>949</v>
      </c>
      <c r="AC108" s="29">
        <f>+VLOOKUP(E108,[1]base!M:Q,5,0)</f>
        <v>593.63636363636363</v>
      </c>
      <c r="AD108" s="30">
        <f>+VLOOKUP(E108,[1]base!M:P,4,0)</f>
        <v>9.962049335863378E-2</v>
      </c>
      <c r="AE108" s="31">
        <f t="shared" si="27"/>
        <v>190.16015180265654</v>
      </c>
    </row>
    <row r="109" spans="1:31" s="32" customFormat="1" x14ac:dyDescent="0.25">
      <c r="A109" s="12" t="s">
        <v>1339</v>
      </c>
      <c r="B109" s="13">
        <v>46269.394733796296</v>
      </c>
      <c r="C109" s="12" t="s">
        <v>266</v>
      </c>
      <c r="D109" s="12" t="s">
        <v>1353</v>
      </c>
      <c r="E109" s="26" t="str">
        <f t="shared" si="21"/>
        <v>CO104</v>
      </c>
      <c r="F109" s="27" t="str">
        <f t="shared" si="22"/>
        <v>ACAJOU</v>
      </c>
      <c r="G109" s="27">
        <f>+VLOOKUP(F109,[1]base!A:B,2,0)</f>
        <v>15.1</v>
      </c>
      <c r="H109" s="12">
        <v>8</v>
      </c>
      <c r="I109" s="12">
        <v>8</v>
      </c>
      <c r="J109" s="14"/>
      <c r="K109" s="14" t="s">
        <v>61</v>
      </c>
      <c r="L109" s="12" t="s">
        <v>1366</v>
      </c>
      <c r="M109" s="12" t="s">
        <v>150</v>
      </c>
      <c r="N109" s="12">
        <v>8</v>
      </c>
      <c r="O109" s="12">
        <v>8</v>
      </c>
      <c r="P109" s="12">
        <v>0</v>
      </c>
      <c r="Q109" s="16">
        <v>8</v>
      </c>
      <c r="R109" s="16">
        <v>0</v>
      </c>
      <c r="S109" s="16"/>
      <c r="T109" s="28">
        <v>8</v>
      </c>
      <c r="U109" s="28"/>
      <c r="V109" s="29">
        <f>+VLOOKUP(E109,[1]base!D:K,8,0)</f>
        <v>4.7059999999999995</v>
      </c>
      <c r="W109" s="29">
        <f t="shared" si="23"/>
        <v>37.647999999999996</v>
      </c>
      <c r="X109" s="29">
        <f t="shared" si="24"/>
        <v>1.9576959999999997</v>
      </c>
      <c r="Y109" s="29">
        <f>+VLOOKUP(E109,[1]base!D:E,2,0)</f>
        <v>13</v>
      </c>
      <c r="Z109" s="29">
        <f t="shared" si="25"/>
        <v>1</v>
      </c>
      <c r="AA109" s="29">
        <f t="shared" si="26"/>
        <v>6.6666666666666693E-2</v>
      </c>
      <c r="AB109" s="29">
        <f>+VLOOKUP(E109,[1]base!M:N,2,0)</f>
        <v>406</v>
      </c>
      <c r="AC109" s="29">
        <f>+VLOOKUP(E109,[1]base!M:Q,5,0)</f>
        <v>344.5</v>
      </c>
      <c r="AD109" s="30">
        <f>+VLOOKUP(E109,[1]base!M:P,4,0)</f>
        <v>4.9019607843137254E-3</v>
      </c>
      <c r="AE109" s="31">
        <f t="shared" si="27"/>
        <v>119.80980392156863</v>
      </c>
    </row>
    <row r="110" spans="1:31" s="32" customFormat="1" x14ac:dyDescent="0.25">
      <c r="A110" s="12" t="s">
        <v>1415</v>
      </c>
      <c r="B110" s="13">
        <v>46273.296388888892</v>
      </c>
      <c r="C110" s="12" t="s">
        <v>24</v>
      </c>
      <c r="D110" s="12" t="s">
        <v>1353</v>
      </c>
      <c r="E110" s="26" t="str">
        <f t="shared" si="21"/>
        <v>CO104</v>
      </c>
      <c r="F110" s="27" t="str">
        <f t="shared" si="22"/>
        <v>ACAJOU</v>
      </c>
      <c r="G110" s="27">
        <f>+VLOOKUP(F110,[1]base!A:B,2,0)</f>
        <v>15.1</v>
      </c>
      <c r="H110" s="12">
        <v>32</v>
      </c>
      <c r="I110" s="12">
        <v>32</v>
      </c>
      <c r="J110" s="14"/>
      <c r="K110" s="14" t="s">
        <v>61</v>
      </c>
      <c r="L110" s="12" t="s">
        <v>1431</v>
      </c>
      <c r="M110" s="12" t="s">
        <v>150</v>
      </c>
      <c r="N110" s="12">
        <v>32</v>
      </c>
      <c r="O110" s="12">
        <v>32</v>
      </c>
      <c r="P110" s="12">
        <v>0</v>
      </c>
      <c r="Q110" s="16">
        <v>32</v>
      </c>
      <c r="R110" s="16">
        <v>0</v>
      </c>
      <c r="S110" s="16"/>
      <c r="T110" s="28">
        <v>32</v>
      </c>
      <c r="U110" s="28"/>
      <c r="V110" s="29">
        <f>+VLOOKUP(E110,[1]base!D:K,8,0)</f>
        <v>4.7059999999999995</v>
      </c>
      <c r="W110" s="29">
        <f t="shared" si="23"/>
        <v>150.59199999999998</v>
      </c>
      <c r="X110" s="29">
        <f t="shared" si="24"/>
        <v>7.8307839999999986</v>
      </c>
      <c r="Y110" s="29">
        <f>+VLOOKUP(E110,[1]base!D:E,2,0)</f>
        <v>13</v>
      </c>
      <c r="Z110" s="29">
        <f t="shared" si="25"/>
        <v>3</v>
      </c>
      <c r="AA110" s="29">
        <f t="shared" si="26"/>
        <v>0.20000000000000007</v>
      </c>
      <c r="AB110" s="29">
        <f>+VLOOKUP(E110,[1]base!M:N,2,0)</f>
        <v>406</v>
      </c>
      <c r="AC110" s="29">
        <f>+VLOOKUP(E110,[1]base!M:Q,5,0)</f>
        <v>344.5</v>
      </c>
      <c r="AD110" s="30">
        <f>+VLOOKUP(E110,[1]base!M:P,4,0)</f>
        <v>4.9019607843137254E-3</v>
      </c>
      <c r="AE110" s="31">
        <f t="shared" si="27"/>
        <v>119.80980392156863</v>
      </c>
    </row>
    <row r="111" spans="1:31" s="32" customFormat="1" x14ac:dyDescent="0.25">
      <c r="A111" s="12" t="s">
        <v>288</v>
      </c>
      <c r="B111" s="13">
        <v>46191.52375</v>
      </c>
      <c r="C111" s="12" t="s">
        <v>24</v>
      </c>
      <c r="D111" s="12" t="s">
        <v>290</v>
      </c>
      <c r="E111" s="26" t="str">
        <f t="shared" si="21"/>
        <v>CO106</v>
      </c>
      <c r="F111" s="27" t="str">
        <f t="shared" si="22"/>
        <v>ACAJOU</v>
      </c>
      <c r="G111" s="27">
        <f>+VLOOKUP(F111,[1]base!A:B,2,0)</f>
        <v>15.1</v>
      </c>
      <c r="H111" s="12">
        <v>30</v>
      </c>
      <c r="I111" s="12">
        <v>30</v>
      </c>
      <c r="J111" s="14"/>
      <c r="K111" s="14" t="s">
        <v>61</v>
      </c>
      <c r="L111" s="12" t="s">
        <v>292</v>
      </c>
      <c r="M111" s="12" t="s">
        <v>150</v>
      </c>
      <c r="N111" s="12">
        <v>30</v>
      </c>
      <c r="O111" s="12">
        <v>30</v>
      </c>
      <c r="P111" s="12">
        <v>0</v>
      </c>
      <c r="Q111" s="16">
        <v>30</v>
      </c>
      <c r="R111" s="16">
        <v>2</v>
      </c>
      <c r="S111" s="16"/>
      <c r="T111" s="28">
        <v>28</v>
      </c>
      <c r="U111" s="28">
        <v>2</v>
      </c>
      <c r="V111" s="29">
        <f>+VLOOKUP(E111,[1]base!D:K,8,0)</f>
        <v>4.3029999999999999</v>
      </c>
      <c r="W111" s="29">
        <f t="shared" si="23"/>
        <v>129.09</v>
      </c>
      <c r="X111" s="29">
        <f t="shared" si="24"/>
        <v>6.7126799999999998</v>
      </c>
      <c r="Y111" s="29">
        <f>+VLOOKUP(E111,[1]base!D:E,2,0)</f>
        <v>15</v>
      </c>
      <c r="Z111" s="29">
        <f t="shared" si="25"/>
        <v>2</v>
      </c>
      <c r="AA111" s="29">
        <f t="shared" si="26"/>
        <v>0.13333333333333339</v>
      </c>
      <c r="AB111" s="29">
        <f>+VLOOKUP(E111,[1]base!M:N,2,0)</f>
        <v>125</v>
      </c>
      <c r="AC111" s="29">
        <f>+VLOOKUP(E111,[1]base!M:Q,5,0)</f>
        <v>453.90909090909093</v>
      </c>
      <c r="AD111" s="30">
        <f>+VLOOKUP(E111,[1]base!M:P,4,0)</f>
        <v>9.420289855072464E-2</v>
      </c>
      <c r="AE111" s="31">
        <f t="shared" si="27"/>
        <v>25.724637681159418</v>
      </c>
    </row>
    <row r="112" spans="1:31" s="32" customFormat="1" x14ac:dyDescent="0.25">
      <c r="A112" s="12" t="s">
        <v>1415</v>
      </c>
      <c r="B112" s="13">
        <v>46273.296388888892</v>
      </c>
      <c r="C112" s="12" t="s">
        <v>24</v>
      </c>
      <c r="D112" s="12" t="s">
        <v>1344</v>
      </c>
      <c r="E112" s="26" t="str">
        <f t="shared" si="21"/>
        <v>CO114</v>
      </c>
      <c r="F112" s="27" t="str">
        <f t="shared" si="22"/>
        <v>ACAJOU</v>
      </c>
      <c r="G112" s="27">
        <f>+VLOOKUP(F112,[1]base!A:B,2,0)</f>
        <v>15.1</v>
      </c>
      <c r="H112" s="12">
        <v>200</v>
      </c>
      <c r="I112" s="12">
        <v>200</v>
      </c>
      <c r="J112" s="14"/>
      <c r="K112" s="14" t="s">
        <v>61</v>
      </c>
      <c r="L112" s="12" t="s">
        <v>1423</v>
      </c>
      <c r="M112" s="12" t="s">
        <v>150</v>
      </c>
      <c r="N112" s="12">
        <v>200</v>
      </c>
      <c r="O112" s="12">
        <v>200</v>
      </c>
      <c r="P112" s="12">
        <v>0</v>
      </c>
      <c r="Q112" s="16">
        <v>500</v>
      </c>
      <c r="R112" s="16">
        <v>1</v>
      </c>
      <c r="S112" s="16"/>
      <c r="T112" s="28">
        <v>200</v>
      </c>
      <c r="U112" s="28"/>
      <c r="V112" s="29">
        <f>+VLOOKUP(E112,[1]base!D:K,8,0)</f>
        <v>0.90350000000000008</v>
      </c>
      <c r="W112" s="29">
        <f t="shared" si="23"/>
        <v>180.70000000000002</v>
      </c>
      <c r="X112" s="29">
        <f t="shared" si="24"/>
        <v>9.3963999999999999</v>
      </c>
      <c r="Y112" s="29">
        <f>+VLOOKUP(E112,[1]base!D:E,2,0)</f>
        <v>20</v>
      </c>
      <c r="Z112" s="29">
        <f t="shared" si="25"/>
        <v>10</v>
      </c>
      <c r="AA112" s="29">
        <f t="shared" si="26"/>
        <v>0.66666666666666696</v>
      </c>
      <c r="AB112" s="29">
        <f>+VLOOKUP(E112,[1]base!M:N,2,0)</f>
        <v>2067</v>
      </c>
      <c r="AC112" s="29">
        <f>+VLOOKUP(E112,[1]base!M:Q,5,0)</f>
        <v>2162.818181818182</v>
      </c>
      <c r="AD112" s="30">
        <f>+VLOOKUP(E112,[1]base!M:P,4,0)</f>
        <v>0.13982521847690388</v>
      </c>
      <c r="AE112" s="31">
        <f t="shared" si="27"/>
        <v>331.08127340823967</v>
      </c>
    </row>
    <row r="113" spans="1:31" s="32" customFormat="1" x14ac:dyDescent="0.25">
      <c r="A113" s="12" t="s">
        <v>984</v>
      </c>
      <c r="B113" s="13">
        <v>46265.500104166669</v>
      </c>
      <c r="C113" s="12" t="s">
        <v>986</v>
      </c>
      <c r="D113" s="12" t="s">
        <v>496</v>
      </c>
      <c r="E113" s="26" t="str">
        <f t="shared" si="21"/>
        <v>EC40100</v>
      </c>
      <c r="F113" s="27" t="str">
        <f t="shared" si="22"/>
        <v>ACAJOU</v>
      </c>
      <c r="G113" s="27">
        <f>+VLOOKUP(F113,[1]base!A:B,2,0)</f>
        <v>15.1</v>
      </c>
      <c r="H113" s="12">
        <v>50</v>
      </c>
      <c r="I113" s="12">
        <v>50</v>
      </c>
      <c r="J113" s="14"/>
      <c r="K113" s="14" t="s">
        <v>61</v>
      </c>
      <c r="L113" s="12" t="s">
        <v>997</v>
      </c>
      <c r="M113" s="12" t="s">
        <v>150</v>
      </c>
      <c r="N113" s="12">
        <v>50</v>
      </c>
      <c r="O113" s="12">
        <v>50</v>
      </c>
      <c r="P113" s="12">
        <v>0</v>
      </c>
      <c r="Q113" s="16">
        <v>50</v>
      </c>
      <c r="R113" s="16">
        <v>0</v>
      </c>
      <c r="S113" s="16"/>
      <c r="T113" s="28">
        <v>50</v>
      </c>
      <c r="U113" s="28"/>
      <c r="V113" s="29">
        <f>+VLOOKUP(E113,[1]base!D:K,8,0)</f>
        <v>4.1340000000000003</v>
      </c>
      <c r="W113" s="29">
        <f t="shared" si="23"/>
        <v>206.70000000000002</v>
      </c>
      <c r="X113" s="29">
        <f t="shared" si="24"/>
        <v>10.7484</v>
      </c>
      <c r="Y113" s="29">
        <f>+VLOOKUP(E113,[1]base!D:E,2,0)</f>
        <v>13</v>
      </c>
      <c r="Z113" s="29">
        <f t="shared" si="25"/>
        <v>4</v>
      </c>
      <c r="AA113" s="29">
        <f t="shared" si="26"/>
        <v>0.26666666666666677</v>
      </c>
      <c r="AB113" s="29">
        <f>+VLOOKUP(E113,[1]base!M:N,2,0)</f>
        <v>442</v>
      </c>
      <c r="AC113" s="29">
        <f>+VLOOKUP(E113,[1]base!M:Q,5,0)</f>
        <v>2247.5454545454545</v>
      </c>
      <c r="AD113" s="30">
        <f>+VLOOKUP(E113,[1]base!M:P,4,0)</f>
        <v>9.9796334012219962E-2</v>
      </c>
      <c r="AE113" s="31">
        <f t="shared" si="27"/>
        <v>88.49002036659877</v>
      </c>
    </row>
    <row r="114" spans="1:31" s="32" customFormat="1" x14ac:dyDescent="0.25">
      <c r="A114" s="12" t="s">
        <v>985</v>
      </c>
      <c r="B114" s="13">
        <v>46265.519386574073</v>
      </c>
      <c r="C114" s="12" t="s">
        <v>627</v>
      </c>
      <c r="D114" s="12" t="s">
        <v>496</v>
      </c>
      <c r="E114" s="26" t="str">
        <f t="shared" si="21"/>
        <v>EC40100</v>
      </c>
      <c r="F114" s="27" t="str">
        <f t="shared" si="22"/>
        <v>ACAJOU</v>
      </c>
      <c r="G114" s="27">
        <f>+VLOOKUP(F114,[1]base!A:B,2,0)</f>
        <v>15.1</v>
      </c>
      <c r="H114" s="12">
        <v>25</v>
      </c>
      <c r="I114" s="12">
        <v>25</v>
      </c>
      <c r="J114" s="14"/>
      <c r="K114" s="14" t="s">
        <v>61</v>
      </c>
      <c r="L114" s="12" t="s">
        <v>1003</v>
      </c>
      <c r="M114" s="12" t="s">
        <v>150</v>
      </c>
      <c r="N114" s="12">
        <v>25</v>
      </c>
      <c r="O114" s="12">
        <v>25</v>
      </c>
      <c r="P114" s="12">
        <v>0</v>
      </c>
      <c r="Q114" s="16">
        <v>25</v>
      </c>
      <c r="R114" s="16">
        <v>0</v>
      </c>
      <c r="S114" s="16"/>
      <c r="T114" s="28">
        <v>25</v>
      </c>
      <c r="U114" s="28"/>
      <c r="V114" s="29">
        <f>+VLOOKUP(E114,[1]base!D:K,8,0)</f>
        <v>4.1340000000000003</v>
      </c>
      <c r="W114" s="29">
        <f t="shared" si="23"/>
        <v>103.35000000000001</v>
      </c>
      <c r="X114" s="29">
        <f t="shared" si="24"/>
        <v>5.3742000000000001</v>
      </c>
      <c r="Y114" s="29">
        <f>+VLOOKUP(E114,[1]base!D:E,2,0)</f>
        <v>13</v>
      </c>
      <c r="Z114" s="29">
        <f t="shared" si="25"/>
        <v>2</v>
      </c>
      <c r="AA114" s="29">
        <f t="shared" si="26"/>
        <v>0.13333333333333339</v>
      </c>
      <c r="AB114" s="29">
        <f>+VLOOKUP(E114,[1]base!M:N,2,0)</f>
        <v>442</v>
      </c>
      <c r="AC114" s="29">
        <f>+VLOOKUP(E114,[1]base!M:Q,5,0)</f>
        <v>2247.5454545454545</v>
      </c>
      <c r="AD114" s="30">
        <f>+VLOOKUP(E114,[1]base!M:P,4,0)</f>
        <v>9.9796334012219962E-2</v>
      </c>
      <c r="AE114" s="31">
        <f t="shared" si="27"/>
        <v>88.49002036659877</v>
      </c>
    </row>
    <row r="115" spans="1:31" s="32" customFormat="1" x14ac:dyDescent="0.25">
      <c r="A115" s="12" t="s">
        <v>1016</v>
      </c>
      <c r="B115" s="13">
        <v>46266.406585648147</v>
      </c>
      <c r="C115" s="12" t="s">
        <v>599</v>
      </c>
      <c r="D115" s="12" t="s">
        <v>496</v>
      </c>
      <c r="E115" s="26" t="str">
        <f t="shared" si="21"/>
        <v>EC40100</v>
      </c>
      <c r="F115" s="27" t="str">
        <f t="shared" si="22"/>
        <v>ACAJOU</v>
      </c>
      <c r="G115" s="27">
        <f>+VLOOKUP(F115,[1]base!A:B,2,0)</f>
        <v>15.1</v>
      </c>
      <c r="H115" s="12">
        <v>50</v>
      </c>
      <c r="I115" s="12">
        <v>50</v>
      </c>
      <c r="J115" s="14"/>
      <c r="K115" s="14" t="s">
        <v>61</v>
      </c>
      <c r="L115" s="12" t="s">
        <v>1020</v>
      </c>
      <c r="M115" s="12" t="s">
        <v>150</v>
      </c>
      <c r="N115" s="12">
        <v>50</v>
      </c>
      <c r="O115" s="12">
        <v>50</v>
      </c>
      <c r="P115" s="12">
        <v>0</v>
      </c>
      <c r="Q115" s="16">
        <v>50</v>
      </c>
      <c r="R115" s="16">
        <v>0</v>
      </c>
      <c r="S115" s="16"/>
      <c r="T115" s="28">
        <v>50</v>
      </c>
      <c r="U115" s="28"/>
      <c r="V115" s="29">
        <f>+VLOOKUP(E115,[1]base!D:K,8,0)</f>
        <v>4.1340000000000003</v>
      </c>
      <c r="W115" s="29">
        <f t="shared" si="23"/>
        <v>206.70000000000002</v>
      </c>
      <c r="X115" s="29">
        <f t="shared" si="24"/>
        <v>10.7484</v>
      </c>
      <c r="Y115" s="29">
        <f>+VLOOKUP(E115,[1]base!D:E,2,0)</f>
        <v>13</v>
      </c>
      <c r="Z115" s="29">
        <f t="shared" si="25"/>
        <v>4</v>
      </c>
      <c r="AA115" s="29">
        <f t="shared" si="26"/>
        <v>0.26666666666666677</v>
      </c>
      <c r="AB115" s="29">
        <f>+VLOOKUP(E115,[1]base!M:N,2,0)</f>
        <v>442</v>
      </c>
      <c r="AC115" s="29">
        <f>+VLOOKUP(E115,[1]base!M:Q,5,0)</f>
        <v>2247.5454545454545</v>
      </c>
      <c r="AD115" s="30">
        <f>+VLOOKUP(E115,[1]base!M:P,4,0)</f>
        <v>9.9796334012219962E-2</v>
      </c>
      <c r="AE115" s="31">
        <f t="shared" si="27"/>
        <v>88.49002036659877</v>
      </c>
    </row>
    <row r="116" spans="1:31" s="32" customFormat="1" x14ac:dyDescent="0.25">
      <c r="A116" s="12" t="s">
        <v>1197</v>
      </c>
      <c r="B116" s="13">
        <v>46267.551539351851</v>
      </c>
      <c r="C116" s="12" t="s">
        <v>24</v>
      </c>
      <c r="D116" s="12" t="s">
        <v>496</v>
      </c>
      <c r="E116" s="26" t="str">
        <f t="shared" si="21"/>
        <v>EC40100</v>
      </c>
      <c r="F116" s="27" t="str">
        <f t="shared" si="22"/>
        <v>ACAJOU</v>
      </c>
      <c r="G116" s="27">
        <f>+VLOOKUP(F116,[1]base!A:B,2,0)</f>
        <v>15.1</v>
      </c>
      <c r="H116" s="12">
        <v>200</v>
      </c>
      <c r="I116" s="12">
        <v>200</v>
      </c>
      <c r="J116" s="14"/>
      <c r="K116" s="14" t="s">
        <v>61</v>
      </c>
      <c r="L116" s="12" t="s">
        <v>1204</v>
      </c>
      <c r="M116" s="12" t="s">
        <v>150</v>
      </c>
      <c r="N116" s="12">
        <v>200</v>
      </c>
      <c r="O116" s="12">
        <v>200</v>
      </c>
      <c r="P116" s="12">
        <v>0</v>
      </c>
      <c r="Q116" s="16">
        <v>800</v>
      </c>
      <c r="R116" s="16">
        <v>0</v>
      </c>
      <c r="S116" s="16"/>
      <c r="T116" s="28">
        <v>200</v>
      </c>
      <c r="U116" s="28"/>
      <c r="V116" s="29">
        <f>+VLOOKUP(E116,[1]base!D:K,8,0)</f>
        <v>4.1340000000000003</v>
      </c>
      <c r="W116" s="29">
        <f t="shared" si="23"/>
        <v>826.80000000000007</v>
      </c>
      <c r="X116" s="29">
        <f t="shared" si="24"/>
        <v>42.993600000000001</v>
      </c>
      <c r="Y116" s="29">
        <f>+VLOOKUP(E116,[1]base!D:E,2,0)</f>
        <v>13</v>
      </c>
      <c r="Z116" s="29">
        <f t="shared" si="25"/>
        <v>16</v>
      </c>
      <c r="AA116" s="29">
        <f t="shared" si="26"/>
        <v>1.0666666666666671</v>
      </c>
      <c r="AB116" s="29">
        <f>+VLOOKUP(E116,[1]base!M:N,2,0)</f>
        <v>442</v>
      </c>
      <c r="AC116" s="29">
        <f>+VLOOKUP(E116,[1]base!M:Q,5,0)</f>
        <v>2247.5454545454545</v>
      </c>
      <c r="AD116" s="30">
        <f>+VLOOKUP(E116,[1]base!M:P,4,0)</f>
        <v>9.9796334012219962E-2</v>
      </c>
      <c r="AE116" s="31">
        <f t="shared" si="27"/>
        <v>88.49002036659877</v>
      </c>
    </row>
    <row r="117" spans="1:31" s="32" customFormat="1" x14ac:dyDescent="0.25">
      <c r="A117" s="12" t="s">
        <v>1197</v>
      </c>
      <c r="B117" s="13">
        <v>46267.551539351851</v>
      </c>
      <c r="C117" s="12" t="s">
        <v>24</v>
      </c>
      <c r="D117" s="12" t="s">
        <v>1199</v>
      </c>
      <c r="E117" s="26" t="str">
        <f t="shared" si="21"/>
        <v>EC40104</v>
      </c>
      <c r="F117" s="27" t="str">
        <f t="shared" si="22"/>
        <v>ACAJOU</v>
      </c>
      <c r="G117" s="27">
        <f>+VLOOKUP(F117,[1]base!A:B,2,0)</f>
        <v>15.1</v>
      </c>
      <c r="H117" s="12">
        <v>45</v>
      </c>
      <c r="I117" s="12">
        <v>45</v>
      </c>
      <c r="J117" s="14"/>
      <c r="K117" s="14" t="s">
        <v>61</v>
      </c>
      <c r="L117" s="12" t="s">
        <v>1205</v>
      </c>
      <c r="M117" s="12" t="s">
        <v>150</v>
      </c>
      <c r="N117" s="12">
        <v>45</v>
      </c>
      <c r="O117" s="12">
        <v>45</v>
      </c>
      <c r="P117" s="12">
        <v>0</v>
      </c>
      <c r="Q117" s="16">
        <v>135</v>
      </c>
      <c r="R117" s="16">
        <v>0</v>
      </c>
      <c r="S117" s="16"/>
      <c r="T117" s="28">
        <v>45</v>
      </c>
      <c r="U117" s="28"/>
      <c r="V117" s="29">
        <f>+VLOOKUP(E117,[1]base!D:K,8,0)</f>
        <v>5.7004999999999999</v>
      </c>
      <c r="W117" s="29">
        <f t="shared" si="23"/>
        <v>256.52249999999998</v>
      </c>
      <c r="X117" s="29">
        <f t="shared" si="24"/>
        <v>13.339169999999998</v>
      </c>
      <c r="Y117" s="29">
        <f>+VLOOKUP(E117,[1]base!D:E,2,0)</f>
        <v>13</v>
      </c>
      <c r="Z117" s="29">
        <f t="shared" si="25"/>
        <v>4</v>
      </c>
      <c r="AA117" s="29">
        <f t="shared" si="26"/>
        <v>0.26666666666666677</v>
      </c>
      <c r="AB117" s="29">
        <f>+VLOOKUP(E117,[1]base!M:N,2,0)</f>
        <v>57</v>
      </c>
      <c r="AC117" s="29">
        <f>+VLOOKUP(E117,[1]base!M:Q,5,0)</f>
        <v>150.71428571428572</v>
      </c>
      <c r="AD117" s="30">
        <f>+VLOOKUP(E117,[1]base!M:P,4,0)</f>
        <v>3.3898305084745763E-2</v>
      </c>
      <c r="AE117" s="31">
        <f t="shared" si="27"/>
        <v>15.167796610169489</v>
      </c>
    </row>
    <row r="118" spans="1:31" s="32" customFormat="1" x14ac:dyDescent="0.25">
      <c r="A118" s="12" t="s">
        <v>1242</v>
      </c>
      <c r="B118" s="13">
        <v>46268.574895833335</v>
      </c>
      <c r="C118" s="12" t="s">
        <v>368</v>
      </c>
      <c r="D118" s="12" t="s">
        <v>1199</v>
      </c>
      <c r="E118" s="26" t="str">
        <f t="shared" ref="E118:E149" si="28">_xlfn.TEXTBEFORE(D118, "-", -1, 1, , D118)</f>
        <v>EC40104</v>
      </c>
      <c r="F118" s="27" t="str">
        <f t="shared" ref="F118:F149" si="29">_xlfn.TEXTAFTER(D118, "-", -1, 1, , "")</f>
        <v>ACAJOU</v>
      </c>
      <c r="G118" s="27">
        <f>+VLOOKUP(F118,[1]base!A:B,2,0)</f>
        <v>15.1</v>
      </c>
      <c r="H118" s="12">
        <v>3</v>
      </c>
      <c r="I118" s="12">
        <v>3</v>
      </c>
      <c r="J118" s="14"/>
      <c r="K118" s="14" t="s">
        <v>61</v>
      </c>
      <c r="L118" s="12" t="s">
        <v>1250</v>
      </c>
      <c r="M118" s="12" t="s">
        <v>150</v>
      </c>
      <c r="N118" s="12">
        <v>3</v>
      </c>
      <c r="O118" s="12">
        <v>3</v>
      </c>
      <c r="P118" s="12">
        <v>0</v>
      </c>
      <c r="Q118" s="16">
        <v>3</v>
      </c>
      <c r="R118" s="16">
        <v>0</v>
      </c>
      <c r="S118" s="16"/>
      <c r="T118" s="28">
        <v>3</v>
      </c>
      <c r="U118" s="28"/>
      <c r="V118" s="29">
        <f>+VLOOKUP(E118,[1]base!D:K,8,0)</f>
        <v>5.7004999999999999</v>
      </c>
      <c r="W118" s="29">
        <f t="shared" ref="W118:W149" si="30">(T118+U118)*V118</f>
        <v>17.101500000000001</v>
      </c>
      <c r="X118" s="29">
        <f t="shared" ref="X118:X149" si="31">+W118*0.052</f>
        <v>0.88927800000000001</v>
      </c>
      <c r="Y118" s="29">
        <f>+VLOOKUP(E118,[1]base!D:E,2,0)</f>
        <v>13</v>
      </c>
      <c r="Z118" s="29">
        <f t="shared" ref="Z118:Z149" si="32">ROUNDUP(T118/Y118,0)</f>
        <v>1</v>
      </c>
      <c r="AA118" s="29">
        <f t="shared" ref="AA118:AA149" si="33">+Z118*0.0666666666666667</f>
        <v>6.6666666666666693E-2</v>
      </c>
      <c r="AB118" s="29">
        <f>+VLOOKUP(E118,[1]base!M:N,2,0)</f>
        <v>57</v>
      </c>
      <c r="AC118" s="29">
        <f>+VLOOKUP(E118,[1]base!M:Q,5,0)</f>
        <v>150.71428571428572</v>
      </c>
      <c r="AD118" s="30">
        <f>+VLOOKUP(E118,[1]base!M:P,4,0)</f>
        <v>3.3898305084745763E-2</v>
      </c>
      <c r="AE118" s="31">
        <f t="shared" ref="AE118:AE149" si="34">+AB118*(30%-AD118)</f>
        <v>15.167796610169489</v>
      </c>
    </row>
    <row r="119" spans="1:31" s="32" customFormat="1" x14ac:dyDescent="0.25">
      <c r="A119" s="12" t="s">
        <v>477</v>
      </c>
      <c r="B119" s="13">
        <v>46228.328831018516</v>
      </c>
      <c r="C119" s="12" t="s">
        <v>266</v>
      </c>
      <c r="D119" s="12" t="s">
        <v>424</v>
      </c>
      <c r="E119" s="26" t="str">
        <f t="shared" si="28"/>
        <v>EC40112</v>
      </c>
      <c r="F119" s="27" t="str">
        <f t="shared" si="29"/>
        <v>ACAJOU</v>
      </c>
      <c r="G119" s="27">
        <f>+VLOOKUP(F119,[1]base!A:B,2,0)</f>
        <v>15.1</v>
      </c>
      <c r="H119" s="12">
        <v>6</v>
      </c>
      <c r="I119" s="12">
        <v>6</v>
      </c>
      <c r="J119" s="14"/>
      <c r="K119" s="14" t="s">
        <v>61</v>
      </c>
      <c r="L119" s="12" t="s">
        <v>482</v>
      </c>
      <c r="M119" s="12" t="s">
        <v>150</v>
      </c>
      <c r="N119" s="12">
        <v>6</v>
      </c>
      <c r="O119" s="12">
        <v>6</v>
      </c>
      <c r="P119" s="12">
        <v>0</v>
      </c>
      <c r="Q119" s="16">
        <v>6</v>
      </c>
      <c r="R119" s="16">
        <v>0</v>
      </c>
      <c r="S119" s="16"/>
      <c r="T119" s="28">
        <v>6</v>
      </c>
      <c r="U119" s="28"/>
      <c r="V119" s="29">
        <f>+VLOOKUP(E119,[1]base!D:K,8,0)</f>
        <v>4.16</v>
      </c>
      <c r="W119" s="29">
        <f t="shared" si="30"/>
        <v>24.96</v>
      </c>
      <c r="X119" s="29">
        <f t="shared" si="31"/>
        <v>1.29792</v>
      </c>
      <c r="Y119" s="29">
        <f>+VLOOKUP(E119,[1]base!D:E,2,0)</f>
        <v>14</v>
      </c>
      <c r="Z119" s="29">
        <f t="shared" si="32"/>
        <v>1</v>
      </c>
      <c r="AA119" s="29">
        <f t="shared" si="33"/>
        <v>6.6666666666666693E-2</v>
      </c>
      <c r="AB119" s="29">
        <f>+VLOOKUP(E119,[1]base!M:N,2,0)</f>
        <v>19</v>
      </c>
      <c r="AC119" s="29">
        <f>+VLOOKUP(E119,[1]base!M:Q,5,0)</f>
        <v>268.39999999999998</v>
      </c>
      <c r="AD119" s="30">
        <f>+VLOOKUP(E119,[1]base!M:P,4,0)</f>
        <v>0.32142857142857145</v>
      </c>
      <c r="AE119" s="31">
        <f t="shared" si="34"/>
        <v>-0.40714285714285781</v>
      </c>
    </row>
    <row r="120" spans="1:31" s="32" customFormat="1" x14ac:dyDescent="0.25">
      <c r="A120" s="12" t="s">
        <v>984</v>
      </c>
      <c r="B120" s="13">
        <v>46265.500104166669</v>
      </c>
      <c r="C120" s="12" t="s">
        <v>986</v>
      </c>
      <c r="D120" s="12" t="s">
        <v>424</v>
      </c>
      <c r="E120" s="26" t="str">
        <f t="shared" si="28"/>
        <v>EC40112</v>
      </c>
      <c r="F120" s="27" t="str">
        <f t="shared" si="29"/>
        <v>ACAJOU</v>
      </c>
      <c r="G120" s="27">
        <f>+VLOOKUP(F120,[1]base!A:B,2,0)</f>
        <v>15.1</v>
      </c>
      <c r="H120" s="12">
        <v>8</v>
      </c>
      <c r="I120" s="12">
        <v>8</v>
      </c>
      <c r="J120" s="14"/>
      <c r="K120" s="14" t="s">
        <v>61</v>
      </c>
      <c r="L120" s="12" t="s">
        <v>1002</v>
      </c>
      <c r="M120" s="12" t="s">
        <v>150</v>
      </c>
      <c r="N120" s="12">
        <v>8</v>
      </c>
      <c r="O120" s="12">
        <v>8</v>
      </c>
      <c r="P120" s="12">
        <v>0</v>
      </c>
      <c r="Q120" s="16">
        <v>8</v>
      </c>
      <c r="R120" s="16">
        <v>0</v>
      </c>
      <c r="S120" s="16"/>
      <c r="T120" s="28">
        <v>8</v>
      </c>
      <c r="U120" s="28"/>
      <c r="V120" s="29">
        <f>+VLOOKUP(E120,[1]base!D:K,8,0)</f>
        <v>4.16</v>
      </c>
      <c r="W120" s="29">
        <f t="shared" si="30"/>
        <v>33.28</v>
      </c>
      <c r="X120" s="29">
        <f t="shared" si="31"/>
        <v>1.7305599999999999</v>
      </c>
      <c r="Y120" s="29">
        <f>+VLOOKUP(E120,[1]base!D:E,2,0)</f>
        <v>14</v>
      </c>
      <c r="Z120" s="29">
        <f t="shared" si="32"/>
        <v>1</v>
      </c>
      <c r="AA120" s="29">
        <f t="shared" si="33"/>
        <v>6.6666666666666693E-2</v>
      </c>
      <c r="AB120" s="29">
        <f>+VLOOKUP(E120,[1]base!M:N,2,0)</f>
        <v>19</v>
      </c>
      <c r="AC120" s="29">
        <f>+VLOOKUP(E120,[1]base!M:Q,5,0)</f>
        <v>268.39999999999998</v>
      </c>
      <c r="AD120" s="30">
        <f>+VLOOKUP(E120,[1]base!M:P,4,0)</f>
        <v>0.32142857142857145</v>
      </c>
      <c r="AE120" s="31">
        <f t="shared" si="34"/>
        <v>-0.40714285714285781</v>
      </c>
    </row>
    <row r="121" spans="1:31" s="32" customFormat="1" x14ac:dyDescent="0.25">
      <c r="A121" s="12" t="s">
        <v>984</v>
      </c>
      <c r="B121" s="13">
        <v>46265.500104166669</v>
      </c>
      <c r="C121" s="12" t="s">
        <v>986</v>
      </c>
      <c r="D121" s="12" t="s">
        <v>988</v>
      </c>
      <c r="E121" s="26" t="str">
        <f t="shared" si="28"/>
        <v>EC40121</v>
      </c>
      <c r="F121" s="27" t="str">
        <f t="shared" si="29"/>
        <v>ACAJOU</v>
      </c>
      <c r="G121" s="27">
        <f>+VLOOKUP(F121,[1]base!A:B,2,0)</f>
        <v>15.1</v>
      </c>
      <c r="H121" s="12">
        <v>4</v>
      </c>
      <c r="I121" s="12">
        <v>4</v>
      </c>
      <c r="J121" s="14"/>
      <c r="K121" s="14" t="s">
        <v>61</v>
      </c>
      <c r="L121" s="12" t="s">
        <v>998</v>
      </c>
      <c r="M121" s="12" t="s">
        <v>150</v>
      </c>
      <c r="N121" s="12">
        <v>4</v>
      </c>
      <c r="O121" s="12">
        <v>4</v>
      </c>
      <c r="P121" s="12">
        <v>0</v>
      </c>
      <c r="Q121" s="16">
        <v>4</v>
      </c>
      <c r="R121" s="16">
        <v>0</v>
      </c>
      <c r="S121" s="16"/>
      <c r="T121" s="28">
        <v>4</v>
      </c>
      <c r="U121" s="28"/>
      <c r="V121" s="29">
        <f>+VLOOKUP(E121,[1]base!D:K,8,0)</f>
        <v>8.7554999999999996</v>
      </c>
      <c r="W121" s="29">
        <f t="shared" si="30"/>
        <v>35.021999999999998</v>
      </c>
      <c r="X121" s="29">
        <f t="shared" si="31"/>
        <v>1.8211439999999999</v>
      </c>
      <c r="Y121" s="29">
        <f>+VLOOKUP(E121,[1]base!D:E,2,0)</f>
        <v>9</v>
      </c>
      <c r="Z121" s="29">
        <f t="shared" si="32"/>
        <v>1</v>
      </c>
      <c r="AA121" s="29">
        <f t="shared" si="33"/>
        <v>6.6666666666666693E-2</v>
      </c>
      <c r="AB121" s="29">
        <f>+VLOOKUP(E121,[1]base!M:N,2,0)</f>
        <v>91</v>
      </c>
      <c r="AC121" s="29">
        <f>+VLOOKUP(E121,[1]base!M:Q,5,0)</f>
        <v>272.25</v>
      </c>
      <c r="AD121" s="30">
        <f>+VLOOKUP(E121,[1]base!M:P,4,0)</f>
        <v>0</v>
      </c>
      <c r="AE121" s="31">
        <f t="shared" si="34"/>
        <v>27.3</v>
      </c>
    </row>
    <row r="122" spans="1:31" s="32" customFormat="1" x14ac:dyDescent="0.25">
      <c r="A122" s="12" t="s">
        <v>1197</v>
      </c>
      <c r="B122" s="13">
        <v>46267.551539351851</v>
      </c>
      <c r="C122" s="12" t="s">
        <v>24</v>
      </c>
      <c r="D122" s="12" t="s">
        <v>1200</v>
      </c>
      <c r="E122" s="26" t="str">
        <f t="shared" si="28"/>
        <v>EC40154</v>
      </c>
      <c r="F122" s="27" t="str">
        <f t="shared" si="29"/>
        <v>ACAJOU</v>
      </c>
      <c r="G122" s="27">
        <f>+VLOOKUP(F122,[1]base!A:B,2,0)</f>
        <v>15.1</v>
      </c>
      <c r="H122" s="12">
        <v>20</v>
      </c>
      <c r="I122" s="12">
        <v>20</v>
      </c>
      <c r="J122" s="14"/>
      <c r="K122" s="14" t="s">
        <v>61</v>
      </c>
      <c r="L122" s="12" t="s">
        <v>1209</v>
      </c>
      <c r="M122" s="12" t="s">
        <v>150</v>
      </c>
      <c r="N122" s="12">
        <v>20</v>
      </c>
      <c r="O122" s="12">
        <v>20</v>
      </c>
      <c r="P122" s="12">
        <v>0</v>
      </c>
      <c r="Q122" s="16">
        <v>30</v>
      </c>
      <c r="R122" s="16">
        <v>1</v>
      </c>
      <c r="S122" s="16"/>
      <c r="T122" s="28">
        <v>19</v>
      </c>
      <c r="U122" s="28">
        <v>1</v>
      </c>
      <c r="V122" s="29">
        <f>+VLOOKUP(E122,[1]base!D:K,8,0)</f>
        <v>8.7100000000000009</v>
      </c>
      <c r="W122" s="29">
        <f t="shared" si="30"/>
        <v>174.20000000000002</v>
      </c>
      <c r="X122" s="29">
        <f t="shared" si="31"/>
        <v>9.0584000000000007</v>
      </c>
      <c r="Y122" s="29">
        <f>+VLOOKUP(E122,[1]base!D:E,2,0)</f>
        <v>9</v>
      </c>
      <c r="Z122" s="29">
        <f t="shared" si="32"/>
        <v>3</v>
      </c>
      <c r="AA122" s="29">
        <f t="shared" si="33"/>
        <v>0.20000000000000007</v>
      </c>
      <c r="AB122" s="29">
        <f>+VLOOKUP(E122,[1]base!M:N,2,0)</f>
        <v>287</v>
      </c>
      <c r="AC122" s="29">
        <f>+VLOOKUP(E122,[1]base!M:Q,5,0)</f>
        <v>102.83333333333333</v>
      </c>
      <c r="AD122" s="30">
        <f>+VLOOKUP(E122,[1]base!M:P,4,0)</f>
        <v>1.3745704467353952E-2</v>
      </c>
      <c r="AE122" s="31">
        <f t="shared" si="34"/>
        <v>82.15498281786941</v>
      </c>
    </row>
    <row r="123" spans="1:31" s="32" customFormat="1" x14ac:dyDescent="0.25">
      <c r="A123" s="12" t="s">
        <v>1339</v>
      </c>
      <c r="B123" s="13">
        <v>46269.394733796296</v>
      </c>
      <c r="C123" s="12" t="s">
        <v>266</v>
      </c>
      <c r="D123" s="12" t="s">
        <v>1200</v>
      </c>
      <c r="E123" s="26" t="str">
        <f t="shared" si="28"/>
        <v>EC40154</v>
      </c>
      <c r="F123" s="27" t="str">
        <f t="shared" si="29"/>
        <v>ACAJOU</v>
      </c>
      <c r="G123" s="27">
        <f>+VLOOKUP(F123,[1]base!A:B,2,0)</f>
        <v>15.1</v>
      </c>
      <c r="H123" s="12">
        <v>4</v>
      </c>
      <c r="I123" s="12">
        <v>4</v>
      </c>
      <c r="J123" s="14"/>
      <c r="K123" s="14" t="s">
        <v>61</v>
      </c>
      <c r="L123" s="12" t="s">
        <v>1357</v>
      </c>
      <c r="M123" s="12" t="s">
        <v>150</v>
      </c>
      <c r="N123" s="12">
        <v>4</v>
      </c>
      <c r="O123" s="12">
        <v>4</v>
      </c>
      <c r="P123" s="12">
        <v>0</v>
      </c>
      <c r="Q123" s="16">
        <v>4</v>
      </c>
      <c r="R123" s="16">
        <v>0</v>
      </c>
      <c r="S123" s="16"/>
      <c r="T123" s="28">
        <v>4</v>
      </c>
      <c r="U123" s="28"/>
      <c r="V123" s="29">
        <f>+VLOOKUP(E123,[1]base!D:K,8,0)</f>
        <v>8.7100000000000009</v>
      </c>
      <c r="W123" s="29">
        <f t="shared" si="30"/>
        <v>34.840000000000003</v>
      </c>
      <c r="X123" s="29">
        <f t="shared" si="31"/>
        <v>1.8116800000000002</v>
      </c>
      <c r="Y123" s="29">
        <f>+VLOOKUP(E123,[1]base!D:E,2,0)</f>
        <v>9</v>
      </c>
      <c r="Z123" s="29">
        <f t="shared" si="32"/>
        <v>1</v>
      </c>
      <c r="AA123" s="29">
        <f t="shared" si="33"/>
        <v>6.6666666666666693E-2</v>
      </c>
      <c r="AB123" s="29">
        <f>+VLOOKUP(E123,[1]base!M:N,2,0)</f>
        <v>287</v>
      </c>
      <c r="AC123" s="29">
        <f>+VLOOKUP(E123,[1]base!M:Q,5,0)</f>
        <v>102.83333333333333</v>
      </c>
      <c r="AD123" s="30">
        <f>+VLOOKUP(E123,[1]base!M:P,4,0)</f>
        <v>1.3745704467353952E-2</v>
      </c>
      <c r="AE123" s="31">
        <f t="shared" si="34"/>
        <v>82.15498281786941</v>
      </c>
    </row>
    <row r="124" spans="1:31" s="32" customFormat="1" x14ac:dyDescent="0.25">
      <c r="A124" s="12" t="s">
        <v>547</v>
      </c>
      <c r="B124" s="13">
        <v>46240.550856481481</v>
      </c>
      <c r="C124" s="12" t="s">
        <v>548</v>
      </c>
      <c r="D124" s="12" t="s">
        <v>558</v>
      </c>
      <c r="E124" s="26" t="str">
        <f t="shared" si="28"/>
        <v>EC40166</v>
      </c>
      <c r="F124" s="27" t="str">
        <f t="shared" si="29"/>
        <v>ACAJOU</v>
      </c>
      <c r="G124" s="27">
        <f>+VLOOKUP(F124,[1]base!A:B,2,0)</f>
        <v>15.1</v>
      </c>
      <c r="H124" s="12">
        <v>30</v>
      </c>
      <c r="I124" s="12">
        <v>30</v>
      </c>
      <c r="J124" s="14"/>
      <c r="K124" s="14" t="s">
        <v>61</v>
      </c>
      <c r="L124" s="12" t="s">
        <v>563</v>
      </c>
      <c r="M124" s="12" t="s">
        <v>150</v>
      </c>
      <c r="N124" s="12">
        <v>30</v>
      </c>
      <c r="O124" s="12">
        <v>30</v>
      </c>
      <c r="P124" s="12">
        <v>0</v>
      </c>
      <c r="Q124" s="16">
        <v>80</v>
      </c>
      <c r="R124" s="16">
        <v>0</v>
      </c>
      <c r="S124" s="16"/>
      <c r="T124" s="28">
        <v>30</v>
      </c>
      <c r="U124" s="28"/>
      <c r="V124" s="29">
        <f>+VLOOKUP(E124,[1]base!D:K,8,0)</f>
        <v>1.482</v>
      </c>
      <c r="W124" s="29">
        <f t="shared" si="30"/>
        <v>44.46</v>
      </c>
      <c r="X124" s="29">
        <f t="shared" si="31"/>
        <v>2.3119199999999998</v>
      </c>
      <c r="Y124" s="29">
        <f>+VLOOKUP(E124,[1]base!D:E,2,0)</f>
        <v>20</v>
      </c>
      <c r="Z124" s="29">
        <f t="shared" si="32"/>
        <v>2</v>
      </c>
      <c r="AA124" s="29">
        <f t="shared" si="33"/>
        <v>0.13333333333333339</v>
      </c>
      <c r="AB124" s="29">
        <f>+VLOOKUP(E124,[1]base!M:N,2,0)</f>
        <v>245</v>
      </c>
      <c r="AC124" s="29">
        <f>+VLOOKUP(E124,[1]base!M:Q,5,0)</f>
        <v>2305.5454545454545</v>
      </c>
      <c r="AD124" s="30">
        <f>+VLOOKUP(E124,[1]base!M:P,4,0)</f>
        <v>2.7777777777777776E-2</v>
      </c>
      <c r="AE124" s="31">
        <f t="shared" si="34"/>
        <v>66.694444444444443</v>
      </c>
    </row>
    <row r="125" spans="1:31" s="32" customFormat="1" x14ac:dyDescent="0.25">
      <c r="A125" s="12" t="s">
        <v>984</v>
      </c>
      <c r="B125" s="13">
        <v>46265.500104166669</v>
      </c>
      <c r="C125" s="12" t="s">
        <v>986</v>
      </c>
      <c r="D125" s="12" t="s">
        <v>558</v>
      </c>
      <c r="E125" s="26" t="str">
        <f t="shared" si="28"/>
        <v>EC40166</v>
      </c>
      <c r="F125" s="27" t="str">
        <f t="shared" si="29"/>
        <v>ACAJOU</v>
      </c>
      <c r="G125" s="27">
        <f>+VLOOKUP(F125,[1]base!A:B,2,0)</f>
        <v>15.1</v>
      </c>
      <c r="H125" s="12">
        <v>40</v>
      </c>
      <c r="I125" s="12">
        <v>40</v>
      </c>
      <c r="J125" s="14"/>
      <c r="K125" s="14" t="s">
        <v>61</v>
      </c>
      <c r="L125" s="12" t="s">
        <v>1001</v>
      </c>
      <c r="M125" s="12" t="s">
        <v>150</v>
      </c>
      <c r="N125" s="12">
        <v>40</v>
      </c>
      <c r="O125" s="12">
        <v>40</v>
      </c>
      <c r="P125" s="12">
        <v>0</v>
      </c>
      <c r="Q125" s="16">
        <v>40</v>
      </c>
      <c r="R125" s="16">
        <v>0</v>
      </c>
      <c r="S125" s="16"/>
      <c r="T125" s="28">
        <v>40</v>
      </c>
      <c r="U125" s="28"/>
      <c r="V125" s="29">
        <f>+VLOOKUP(E125,[1]base!D:K,8,0)</f>
        <v>1.482</v>
      </c>
      <c r="W125" s="29">
        <f t="shared" si="30"/>
        <v>59.28</v>
      </c>
      <c r="X125" s="29">
        <f t="shared" si="31"/>
        <v>3.08256</v>
      </c>
      <c r="Y125" s="29">
        <f>+VLOOKUP(E125,[1]base!D:E,2,0)</f>
        <v>20</v>
      </c>
      <c r="Z125" s="29">
        <f t="shared" si="32"/>
        <v>2</v>
      </c>
      <c r="AA125" s="29">
        <f t="shared" si="33"/>
        <v>0.13333333333333339</v>
      </c>
      <c r="AB125" s="29">
        <f>+VLOOKUP(E125,[1]base!M:N,2,0)</f>
        <v>245</v>
      </c>
      <c r="AC125" s="29">
        <f>+VLOOKUP(E125,[1]base!M:Q,5,0)</f>
        <v>2305.5454545454545</v>
      </c>
      <c r="AD125" s="30">
        <f>+VLOOKUP(E125,[1]base!M:P,4,0)</f>
        <v>2.7777777777777776E-2</v>
      </c>
      <c r="AE125" s="31">
        <f t="shared" si="34"/>
        <v>66.694444444444443</v>
      </c>
    </row>
    <row r="126" spans="1:31" s="32" customFormat="1" x14ac:dyDescent="0.25">
      <c r="A126" s="12" t="s">
        <v>1535</v>
      </c>
      <c r="B126" s="13">
        <v>46274.537615740737</v>
      </c>
      <c r="C126" s="12" t="s">
        <v>398</v>
      </c>
      <c r="D126" s="12" t="s">
        <v>558</v>
      </c>
      <c r="E126" s="26" t="str">
        <f t="shared" si="28"/>
        <v>EC40166</v>
      </c>
      <c r="F126" s="27" t="str">
        <f t="shared" si="29"/>
        <v>ACAJOU</v>
      </c>
      <c r="G126" s="27">
        <f>+VLOOKUP(F126,[1]base!A:B,2,0)</f>
        <v>15.1</v>
      </c>
      <c r="H126" s="12">
        <v>20</v>
      </c>
      <c r="I126" s="12">
        <v>20</v>
      </c>
      <c r="J126" s="14"/>
      <c r="K126" s="14" t="s">
        <v>61</v>
      </c>
      <c r="L126" s="12" t="s">
        <v>1542</v>
      </c>
      <c r="M126" s="12" t="s">
        <v>150</v>
      </c>
      <c r="N126" s="12">
        <v>20</v>
      </c>
      <c r="O126" s="12">
        <v>20</v>
      </c>
      <c r="P126" s="12">
        <v>0</v>
      </c>
      <c r="Q126" s="16">
        <v>120</v>
      </c>
      <c r="R126" s="16">
        <v>0</v>
      </c>
      <c r="S126" s="16"/>
      <c r="T126" s="28">
        <v>20</v>
      </c>
      <c r="U126" s="28"/>
      <c r="V126" s="29">
        <f>+VLOOKUP(E126,[1]base!D:K,8,0)</f>
        <v>1.482</v>
      </c>
      <c r="W126" s="29">
        <f t="shared" si="30"/>
        <v>29.64</v>
      </c>
      <c r="X126" s="29">
        <f t="shared" si="31"/>
        <v>1.54128</v>
      </c>
      <c r="Y126" s="29">
        <f>+VLOOKUP(E126,[1]base!D:E,2,0)</f>
        <v>20</v>
      </c>
      <c r="Z126" s="29">
        <f t="shared" si="32"/>
        <v>1</v>
      </c>
      <c r="AA126" s="29">
        <f t="shared" si="33"/>
        <v>6.6666666666666693E-2</v>
      </c>
      <c r="AB126" s="29">
        <f>+VLOOKUP(E126,[1]base!M:N,2,0)</f>
        <v>245</v>
      </c>
      <c r="AC126" s="29">
        <f>+VLOOKUP(E126,[1]base!M:Q,5,0)</f>
        <v>2305.5454545454545</v>
      </c>
      <c r="AD126" s="30">
        <f>+VLOOKUP(E126,[1]base!M:P,4,0)</f>
        <v>2.7777777777777776E-2</v>
      </c>
      <c r="AE126" s="31">
        <f t="shared" si="34"/>
        <v>66.694444444444443</v>
      </c>
    </row>
    <row r="127" spans="1:31" s="32" customFormat="1" x14ac:dyDescent="0.25">
      <c r="A127" s="12" t="s">
        <v>547</v>
      </c>
      <c r="B127" s="13">
        <v>46240.550856481481</v>
      </c>
      <c r="C127" s="12" t="s">
        <v>548</v>
      </c>
      <c r="D127" s="12" t="s">
        <v>273</v>
      </c>
      <c r="E127" s="26" t="str">
        <f t="shared" si="28"/>
        <v>EC40402</v>
      </c>
      <c r="F127" s="27" t="str">
        <f t="shared" si="29"/>
        <v>ACAJOU</v>
      </c>
      <c r="G127" s="27">
        <f>+VLOOKUP(F127,[1]base!A:B,2,0)</f>
        <v>15.1</v>
      </c>
      <c r="H127" s="12">
        <v>40</v>
      </c>
      <c r="I127" s="12">
        <v>40</v>
      </c>
      <c r="J127" s="14"/>
      <c r="K127" s="14" t="s">
        <v>61</v>
      </c>
      <c r="L127" s="12" t="s">
        <v>556</v>
      </c>
      <c r="M127" s="12" t="s">
        <v>150</v>
      </c>
      <c r="N127" s="12">
        <v>40</v>
      </c>
      <c r="O127" s="12">
        <v>40</v>
      </c>
      <c r="P127" s="12">
        <v>0</v>
      </c>
      <c r="Q127" s="16">
        <v>120</v>
      </c>
      <c r="R127" s="16">
        <v>0</v>
      </c>
      <c r="S127" s="16"/>
      <c r="T127" s="28">
        <v>40</v>
      </c>
      <c r="U127" s="28"/>
      <c r="V127" s="29">
        <f>+VLOOKUP(E127,[1]base!D:K,8,0)</f>
        <v>4.2250000000000005</v>
      </c>
      <c r="W127" s="29">
        <f t="shared" si="30"/>
        <v>169.00000000000003</v>
      </c>
      <c r="X127" s="29">
        <f t="shared" si="31"/>
        <v>8.7880000000000003</v>
      </c>
      <c r="Y127" s="29">
        <f>+VLOOKUP(E127,[1]base!D:E,2,0)</f>
        <v>13</v>
      </c>
      <c r="Z127" s="29">
        <f t="shared" si="32"/>
        <v>4</v>
      </c>
      <c r="AA127" s="29">
        <f t="shared" si="33"/>
        <v>0.26666666666666677</v>
      </c>
      <c r="AB127" s="29">
        <f>+VLOOKUP(E127,[1]base!M:N,2,0)</f>
        <v>2283</v>
      </c>
      <c r="AC127" s="29">
        <f>+VLOOKUP(E127,[1]base!M:Q,5,0)</f>
        <v>1635.090909090909</v>
      </c>
      <c r="AD127" s="30">
        <f>+VLOOKUP(E127,[1]base!M:P,4,0)</f>
        <v>8.4603047313552532E-2</v>
      </c>
      <c r="AE127" s="31">
        <f t="shared" si="34"/>
        <v>491.75124298315956</v>
      </c>
    </row>
    <row r="128" spans="1:31" s="32" customFormat="1" x14ac:dyDescent="0.25">
      <c r="A128" s="12" t="s">
        <v>921</v>
      </c>
      <c r="B128" s="13">
        <v>46262.541180555556</v>
      </c>
      <c r="C128" s="12" t="s">
        <v>502</v>
      </c>
      <c r="D128" s="12" t="s">
        <v>273</v>
      </c>
      <c r="E128" s="26" t="str">
        <f t="shared" si="28"/>
        <v>EC40402</v>
      </c>
      <c r="F128" s="27" t="str">
        <f t="shared" si="29"/>
        <v>ACAJOU</v>
      </c>
      <c r="G128" s="27">
        <f>+VLOOKUP(F128,[1]base!A:B,2,0)</f>
        <v>15.1</v>
      </c>
      <c r="H128" s="12">
        <v>4</v>
      </c>
      <c r="I128" s="12">
        <v>4</v>
      </c>
      <c r="J128" s="14"/>
      <c r="K128" s="14" t="s">
        <v>61</v>
      </c>
      <c r="L128" s="12" t="s">
        <v>922</v>
      </c>
      <c r="M128" s="12" t="s">
        <v>150</v>
      </c>
      <c r="N128" s="12">
        <v>4</v>
      </c>
      <c r="O128" s="12">
        <v>4</v>
      </c>
      <c r="P128" s="12">
        <v>0</v>
      </c>
      <c r="Q128" s="16">
        <v>4</v>
      </c>
      <c r="R128" s="16">
        <v>0</v>
      </c>
      <c r="S128" s="16"/>
      <c r="T128" s="28">
        <v>4</v>
      </c>
      <c r="U128" s="28"/>
      <c r="V128" s="29">
        <f>+VLOOKUP(E128,[1]base!D:K,8,0)</f>
        <v>4.2250000000000005</v>
      </c>
      <c r="W128" s="29">
        <f t="shared" si="30"/>
        <v>16.900000000000002</v>
      </c>
      <c r="X128" s="29">
        <f t="shared" si="31"/>
        <v>0.87880000000000003</v>
      </c>
      <c r="Y128" s="29">
        <f>+VLOOKUP(E128,[1]base!D:E,2,0)</f>
        <v>13</v>
      </c>
      <c r="Z128" s="29">
        <f t="shared" si="32"/>
        <v>1</v>
      </c>
      <c r="AA128" s="29">
        <f t="shared" si="33"/>
        <v>6.6666666666666693E-2</v>
      </c>
      <c r="AB128" s="29">
        <f>+VLOOKUP(E128,[1]base!M:N,2,0)</f>
        <v>2283</v>
      </c>
      <c r="AC128" s="29">
        <f>+VLOOKUP(E128,[1]base!M:Q,5,0)</f>
        <v>1635.090909090909</v>
      </c>
      <c r="AD128" s="30">
        <f>+VLOOKUP(E128,[1]base!M:P,4,0)</f>
        <v>8.4603047313552532E-2</v>
      </c>
      <c r="AE128" s="31">
        <f t="shared" si="34"/>
        <v>491.75124298315956</v>
      </c>
    </row>
    <row r="129" spans="1:31" s="32" customFormat="1" x14ac:dyDescent="0.25">
      <c r="A129" s="12" t="s">
        <v>984</v>
      </c>
      <c r="B129" s="13">
        <v>46265.500104166669</v>
      </c>
      <c r="C129" s="12" t="s">
        <v>986</v>
      </c>
      <c r="D129" s="12" t="s">
        <v>273</v>
      </c>
      <c r="E129" s="26" t="str">
        <f t="shared" si="28"/>
        <v>EC40402</v>
      </c>
      <c r="F129" s="27" t="str">
        <f t="shared" si="29"/>
        <v>ACAJOU</v>
      </c>
      <c r="G129" s="27">
        <f>+VLOOKUP(F129,[1]base!A:B,2,0)</f>
        <v>15.1</v>
      </c>
      <c r="H129" s="12">
        <v>30</v>
      </c>
      <c r="I129" s="12">
        <v>30</v>
      </c>
      <c r="J129" s="14"/>
      <c r="K129" s="14" t="s">
        <v>61</v>
      </c>
      <c r="L129" s="12" t="s">
        <v>999</v>
      </c>
      <c r="M129" s="12" t="s">
        <v>150</v>
      </c>
      <c r="N129" s="12">
        <v>30</v>
      </c>
      <c r="O129" s="12">
        <v>30</v>
      </c>
      <c r="P129" s="12">
        <v>0</v>
      </c>
      <c r="Q129" s="16">
        <v>30</v>
      </c>
      <c r="R129" s="16">
        <v>0</v>
      </c>
      <c r="S129" s="16"/>
      <c r="T129" s="28">
        <v>30</v>
      </c>
      <c r="U129" s="28"/>
      <c r="V129" s="29">
        <f>+VLOOKUP(E129,[1]base!D:K,8,0)</f>
        <v>4.2250000000000005</v>
      </c>
      <c r="W129" s="29">
        <f t="shared" si="30"/>
        <v>126.75000000000001</v>
      </c>
      <c r="X129" s="29">
        <f t="shared" si="31"/>
        <v>6.5910000000000002</v>
      </c>
      <c r="Y129" s="29">
        <f>+VLOOKUP(E129,[1]base!D:E,2,0)</f>
        <v>13</v>
      </c>
      <c r="Z129" s="29">
        <f t="shared" si="32"/>
        <v>3</v>
      </c>
      <c r="AA129" s="29">
        <f t="shared" si="33"/>
        <v>0.20000000000000007</v>
      </c>
      <c r="AB129" s="29">
        <f>+VLOOKUP(E129,[1]base!M:N,2,0)</f>
        <v>2283</v>
      </c>
      <c r="AC129" s="29">
        <f>+VLOOKUP(E129,[1]base!M:Q,5,0)</f>
        <v>1635.090909090909</v>
      </c>
      <c r="AD129" s="30">
        <f>+VLOOKUP(E129,[1]base!M:P,4,0)</f>
        <v>8.4603047313552532E-2</v>
      </c>
      <c r="AE129" s="31">
        <f t="shared" si="34"/>
        <v>491.75124298315956</v>
      </c>
    </row>
    <row r="130" spans="1:31" s="32" customFormat="1" x14ac:dyDescent="0.25">
      <c r="A130" s="12" t="s">
        <v>985</v>
      </c>
      <c r="B130" s="13">
        <v>46265.519386574073</v>
      </c>
      <c r="C130" s="12" t="s">
        <v>627</v>
      </c>
      <c r="D130" s="12" t="s">
        <v>273</v>
      </c>
      <c r="E130" s="26" t="str">
        <f t="shared" si="28"/>
        <v>EC40402</v>
      </c>
      <c r="F130" s="27" t="str">
        <f t="shared" si="29"/>
        <v>ACAJOU</v>
      </c>
      <c r="G130" s="27">
        <f>+VLOOKUP(F130,[1]base!A:B,2,0)</f>
        <v>15.1</v>
      </c>
      <c r="H130" s="12">
        <v>10</v>
      </c>
      <c r="I130" s="12">
        <v>10</v>
      </c>
      <c r="J130" s="14"/>
      <c r="K130" s="14" t="s">
        <v>61</v>
      </c>
      <c r="L130" s="12" t="s">
        <v>1006</v>
      </c>
      <c r="M130" s="12" t="s">
        <v>150</v>
      </c>
      <c r="N130" s="12">
        <v>10</v>
      </c>
      <c r="O130" s="12">
        <v>10</v>
      </c>
      <c r="P130" s="12">
        <v>0</v>
      </c>
      <c r="Q130" s="16">
        <v>10</v>
      </c>
      <c r="R130" s="16">
        <v>0</v>
      </c>
      <c r="S130" s="16"/>
      <c r="T130" s="28">
        <v>10</v>
      </c>
      <c r="U130" s="28"/>
      <c r="V130" s="29">
        <f>+VLOOKUP(E130,[1]base!D:K,8,0)</f>
        <v>4.2250000000000005</v>
      </c>
      <c r="W130" s="29">
        <f t="shared" si="30"/>
        <v>42.250000000000007</v>
      </c>
      <c r="X130" s="29">
        <f t="shared" si="31"/>
        <v>2.1970000000000001</v>
      </c>
      <c r="Y130" s="29">
        <f>+VLOOKUP(E130,[1]base!D:E,2,0)</f>
        <v>13</v>
      </c>
      <c r="Z130" s="29">
        <f t="shared" si="32"/>
        <v>1</v>
      </c>
      <c r="AA130" s="29">
        <f t="shared" si="33"/>
        <v>6.6666666666666693E-2</v>
      </c>
      <c r="AB130" s="29">
        <f>+VLOOKUP(E130,[1]base!M:N,2,0)</f>
        <v>2283</v>
      </c>
      <c r="AC130" s="29">
        <f>+VLOOKUP(E130,[1]base!M:Q,5,0)</f>
        <v>1635.090909090909</v>
      </c>
      <c r="AD130" s="30">
        <f>+VLOOKUP(E130,[1]base!M:P,4,0)</f>
        <v>8.4603047313552532E-2</v>
      </c>
      <c r="AE130" s="31">
        <f t="shared" si="34"/>
        <v>491.75124298315956</v>
      </c>
    </row>
    <row r="131" spans="1:31" s="32" customFormat="1" x14ac:dyDescent="0.25">
      <c r="A131" s="12" t="s">
        <v>1197</v>
      </c>
      <c r="B131" s="13">
        <v>46267.551539351851</v>
      </c>
      <c r="C131" s="12" t="s">
        <v>24</v>
      </c>
      <c r="D131" s="12" t="s">
        <v>273</v>
      </c>
      <c r="E131" s="26" t="str">
        <f t="shared" si="28"/>
        <v>EC40402</v>
      </c>
      <c r="F131" s="27" t="str">
        <f t="shared" si="29"/>
        <v>ACAJOU</v>
      </c>
      <c r="G131" s="27">
        <f>+VLOOKUP(F131,[1]base!A:B,2,0)</f>
        <v>15.1</v>
      </c>
      <c r="H131" s="12">
        <v>100</v>
      </c>
      <c r="I131" s="12">
        <v>100</v>
      </c>
      <c r="J131" s="14"/>
      <c r="K131" s="14" t="s">
        <v>61</v>
      </c>
      <c r="L131" s="12" t="s">
        <v>1211</v>
      </c>
      <c r="M131" s="12" t="s">
        <v>150</v>
      </c>
      <c r="N131" s="12">
        <v>100</v>
      </c>
      <c r="O131" s="12">
        <v>100</v>
      </c>
      <c r="P131" s="12">
        <v>0</v>
      </c>
      <c r="Q131" s="16">
        <v>280</v>
      </c>
      <c r="R131" s="16">
        <v>0</v>
      </c>
      <c r="S131" s="16"/>
      <c r="T131" s="28">
        <v>100</v>
      </c>
      <c r="U131" s="28"/>
      <c r="V131" s="29">
        <f>+VLOOKUP(E131,[1]base!D:K,8,0)</f>
        <v>4.2250000000000005</v>
      </c>
      <c r="W131" s="29">
        <f t="shared" si="30"/>
        <v>422.50000000000006</v>
      </c>
      <c r="X131" s="29">
        <f t="shared" si="31"/>
        <v>21.970000000000002</v>
      </c>
      <c r="Y131" s="29">
        <f>+VLOOKUP(E131,[1]base!D:E,2,0)</f>
        <v>13</v>
      </c>
      <c r="Z131" s="29">
        <f t="shared" si="32"/>
        <v>8</v>
      </c>
      <c r="AA131" s="29">
        <f t="shared" si="33"/>
        <v>0.53333333333333355</v>
      </c>
      <c r="AB131" s="29">
        <f>+VLOOKUP(E131,[1]base!M:N,2,0)</f>
        <v>2283</v>
      </c>
      <c r="AC131" s="29">
        <f>+VLOOKUP(E131,[1]base!M:Q,5,0)</f>
        <v>1635.090909090909</v>
      </c>
      <c r="AD131" s="30">
        <f>+VLOOKUP(E131,[1]base!M:P,4,0)</f>
        <v>8.4603047313552532E-2</v>
      </c>
      <c r="AE131" s="31">
        <f t="shared" si="34"/>
        <v>491.75124298315956</v>
      </c>
    </row>
    <row r="132" spans="1:31" s="32" customFormat="1" x14ac:dyDescent="0.25">
      <c r="A132" s="12" t="s">
        <v>547</v>
      </c>
      <c r="B132" s="13">
        <v>46240.550856481481</v>
      </c>
      <c r="C132" s="12" t="s">
        <v>548</v>
      </c>
      <c r="D132" s="12" t="s">
        <v>274</v>
      </c>
      <c r="E132" s="26" t="str">
        <f t="shared" si="28"/>
        <v>EC40404</v>
      </c>
      <c r="F132" s="27" t="str">
        <f t="shared" si="29"/>
        <v>ACAJOU</v>
      </c>
      <c r="G132" s="27">
        <f>+VLOOKUP(F132,[1]base!A:B,2,0)</f>
        <v>15.1</v>
      </c>
      <c r="H132" s="12">
        <v>40</v>
      </c>
      <c r="I132" s="12">
        <v>40</v>
      </c>
      <c r="J132" s="14"/>
      <c r="K132" s="14" t="s">
        <v>61</v>
      </c>
      <c r="L132" s="12" t="s">
        <v>561</v>
      </c>
      <c r="M132" s="12" t="s">
        <v>150</v>
      </c>
      <c r="N132" s="12">
        <v>40</v>
      </c>
      <c r="O132" s="12">
        <v>40</v>
      </c>
      <c r="P132" s="12">
        <v>0</v>
      </c>
      <c r="Q132" s="16">
        <v>120</v>
      </c>
      <c r="R132" s="16">
        <v>0</v>
      </c>
      <c r="S132" s="16"/>
      <c r="T132" s="28">
        <v>40</v>
      </c>
      <c r="U132" s="28"/>
      <c r="V132" s="29">
        <f>+VLOOKUP(E132,[1]base!D:K,8,0)</f>
        <v>4.8879999999999999</v>
      </c>
      <c r="W132" s="29">
        <f t="shared" si="30"/>
        <v>195.51999999999998</v>
      </c>
      <c r="X132" s="29">
        <f t="shared" si="31"/>
        <v>10.167039999999998</v>
      </c>
      <c r="Y132" s="29">
        <f>+VLOOKUP(E132,[1]base!D:E,2,0)</f>
        <v>13</v>
      </c>
      <c r="Z132" s="29">
        <f t="shared" si="32"/>
        <v>4</v>
      </c>
      <c r="AA132" s="29">
        <f t="shared" si="33"/>
        <v>0.26666666666666677</v>
      </c>
      <c r="AB132" s="29">
        <f>+VLOOKUP(E132,[1]base!M:N,2,0)</f>
        <v>2357</v>
      </c>
      <c r="AC132" s="29">
        <f>+VLOOKUP(E132,[1]base!M:Q,5,0)</f>
        <v>1288.0999999999999</v>
      </c>
      <c r="AD132" s="30">
        <f>+VLOOKUP(E132,[1]base!M:P,4,0)</f>
        <v>5.112721417069243E-2</v>
      </c>
      <c r="AE132" s="31">
        <f t="shared" si="34"/>
        <v>586.59315619967788</v>
      </c>
    </row>
    <row r="133" spans="1:31" s="32" customFormat="1" x14ac:dyDescent="0.25">
      <c r="A133" s="12" t="s">
        <v>984</v>
      </c>
      <c r="B133" s="13">
        <v>46265.500104166669</v>
      </c>
      <c r="C133" s="12" t="s">
        <v>986</v>
      </c>
      <c r="D133" s="12" t="s">
        <v>274</v>
      </c>
      <c r="E133" s="26" t="str">
        <f t="shared" si="28"/>
        <v>EC40404</v>
      </c>
      <c r="F133" s="27" t="str">
        <f t="shared" si="29"/>
        <v>ACAJOU</v>
      </c>
      <c r="G133" s="27">
        <f>+VLOOKUP(F133,[1]base!A:B,2,0)</f>
        <v>15.1</v>
      </c>
      <c r="H133" s="12">
        <v>20</v>
      </c>
      <c r="I133" s="12">
        <v>20</v>
      </c>
      <c r="J133" s="14"/>
      <c r="K133" s="14" t="s">
        <v>61</v>
      </c>
      <c r="L133" s="12" t="s">
        <v>1000</v>
      </c>
      <c r="M133" s="12" t="s">
        <v>150</v>
      </c>
      <c r="N133" s="12">
        <v>20</v>
      </c>
      <c r="O133" s="12">
        <v>20</v>
      </c>
      <c r="P133" s="12">
        <v>0</v>
      </c>
      <c r="Q133" s="16">
        <v>20</v>
      </c>
      <c r="R133" s="16">
        <v>0</v>
      </c>
      <c r="S133" s="16"/>
      <c r="T133" s="28">
        <v>20</v>
      </c>
      <c r="U133" s="28"/>
      <c r="V133" s="29">
        <f>+VLOOKUP(E133,[1]base!D:K,8,0)</f>
        <v>4.8879999999999999</v>
      </c>
      <c r="W133" s="29">
        <f t="shared" si="30"/>
        <v>97.759999999999991</v>
      </c>
      <c r="X133" s="29">
        <f t="shared" si="31"/>
        <v>5.0835199999999992</v>
      </c>
      <c r="Y133" s="29">
        <f>+VLOOKUP(E133,[1]base!D:E,2,0)</f>
        <v>13</v>
      </c>
      <c r="Z133" s="29">
        <f t="shared" si="32"/>
        <v>2</v>
      </c>
      <c r="AA133" s="29">
        <f t="shared" si="33"/>
        <v>0.13333333333333339</v>
      </c>
      <c r="AB133" s="29">
        <f>+VLOOKUP(E133,[1]base!M:N,2,0)</f>
        <v>2357</v>
      </c>
      <c r="AC133" s="29">
        <f>+VLOOKUP(E133,[1]base!M:Q,5,0)</f>
        <v>1288.0999999999999</v>
      </c>
      <c r="AD133" s="30">
        <f>+VLOOKUP(E133,[1]base!M:P,4,0)</f>
        <v>5.112721417069243E-2</v>
      </c>
      <c r="AE133" s="31">
        <f t="shared" si="34"/>
        <v>586.59315619967788</v>
      </c>
    </row>
    <row r="134" spans="1:31" s="32" customFormat="1" x14ac:dyDescent="0.25">
      <c r="A134" s="12" t="s">
        <v>1197</v>
      </c>
      <c r="B134" s="13">
        <v>46267.551539351851</v>
      </c>
      <c r="C134" s="12" t="s">
        <v>24</v>
      </c>
      <c r="D134" s="12" t="s">
        <v>274</v>
      </c>
      <c r="E134" s="26" t="str">
        <f t="shared" si="28"/>
        <v>EC40404</v>
      </c>
      <c r="F134" s="27" t="str">
        <f t="shared" si="29"/>
        <v>ACAJOU</v>
      </c>
      <c r="G134" s="27">
        <f>+VLOOKUP(F134,[1]base!A:B,2,0)</f>
        <v>15.1</v>
      </c>
      <c r="H134" s="12">
        <v>100</v>
      </c>
      <c r="I134" s="12">
        <v>100</v>
      </c>
      <c r="J134" s="14"/>
      <c r="K134" s="14" t="s">
        <v>61</v>
      </c>
      <c r="L134" s="12" t="s">
        <v>1213</v>
      </c>
      <c r="M134" s="12" t="s">
        <v>150</v>
      </c>
      <c r="N134" s="12">
        <v>100</v>
      </c>
      <c r="O134" s="12">
        <v>100</v>
      </c>
      <c r="P134" s="12">
        <v>0</v>
      </c>
      <c r="Q134" s="16">
        <v>400</v>
      </c>
      <c r="R134" s="16">
        <v>0</v>
      </c>
      <c r="S134" s="16"/>
      <c r="T134" s="28">
        <v>100</v>
      </c>
      <c r="U134" s="28"/>
      <c r="V134" s="29">
        <f>+VLOOKUP(E134,[1]base!D:K,8,0)</f>
        <v>4.8879999999999999</v>
      </c>
      <c r="W134" s="29">
        <f t="shared" si="30"/>
        <v>488.8</v>
      </c>
      <c r="X134" s="29">
        <f t="shared" si="31"/>
        <v>25.4176</v>
      </c>
      <c r="Y134" s="29">
        <f>+VLOOKUP(E134,[1]base!D:E,2,0)</f>
        <v>13</v>
      </c>
      <c r="Z134" s="29">
        <f t="shared" si="32"/>
        <v>8</v>
      </c>
      <c r="AA134" s="29">
        <f t="shared" si="33"/>
        <v>0.53333333333333355</v>
      </c>
      <c r="AB134" s="29">
        <f>+VLOOKUP(E134,[1]base!M:N,2,0)</f>
        <v>2357</v>
      </c>
      <c r="AC134" s="29">
        <f>+VLOOKUP(E134,[1]base!M:Q,5,0)</f>
        <v>1288.0999999999999</v>
      </c>
      <c r="AD134" s="30">
        <f>+VLOOKUP(E134,[1]base!M:P,4,0)</f>
        <v>5.112721417069243E-2</v>
      </c>
      <c r="AE134" s="31">
        <f t="shared" si="34"/>
        <v>586.59315619967788</v>
      </c>
    </row>
    <row r="135" spans="1:31" s="32" customFormat="1" x14ac:dyDescent="0.25">
      <c r="A135" s="12" t="s">
        <v>985</v>
      </c>
      <c r="B135" s="13">
        <v>46265.519386574073</v>
      </c>
      <c r="C135" s="12" t="s">
        <v>627</v>
      </c>
      <c r="D135" s="12" t="s">
        <v>1005</v>
      </c>
      <c r="E135" s="26" t="str">
        <f t="shared" si="28"/>
        <v>EC67105</v>
      </c>
      <c r="F135" s="27" t="str">
        <f t="shared" si="29"/>
        <v>ACAJOU</v>
      </c>
      <c r="G135" s="27">
        <f>+VLOOKUP(F135,[1]base!A:B,2,0)</f>
        <v>15.1</v>
      </c>
      <c r="H135" s="12">
        <v>5</v>
      </c>
      <c r="I135" s="12">
        <v>5</v>
      </c>
      <c r="J135" s="14"/>
      <c r="K135" s="14" t="s">
        <v>61</v>
      </c>
      <c r="L135" s="12" t="s">
        <v>1008</v>
      </c>
      <c r="M135" s="12" t="s">
        <v>150</v>
      </c>
      <c r="N135" s="12">
        <v>5</v>
      </c>
      <c r="O135" s="12">
        <v>5</v>
      </c>
      <c r="P135" s="12">
        <v>0</v>
      </c>
      <c r="Q135" s="16">
        <v>5</v>
      </c>
      <c r="R135" s="16">
        <v>0</v>
      </c>
      <c r="S135" s="16"/>
      <c r="T135" s="28">
        <v>5</v>
      </c>
      <c r="U135" s="28"/>
      <c r="V135" s="29">
        <f>+VLOOKUP(E135,[1]base!D:K,8,0)</f>
        <v>2.9445000000000001</v>
      </c>
      <c r="W135" s="29">
        <f t="shared" si="30"/>
        <v>14.7225</v>
      </c>
      <c r="X135" s="29">
        <f t="shared" si="31"/>
        <v>0.76556999999999997</v>
      </c>
      <c r="Y135" s="29">
        <f>+VLOOKUP(E135,[1]base!D:E,2,0)</f>
        <v>13</v>
      </c>
      <c r="Z135" s="29">
        <f t="shared" si="32"/>
        <v>1</v>
      </c>
      <c r="AA135" s="29">
        <f t="shared" si="33"/>
        <v>6.6666666666666693E-2</v>
      </c>
      <c r="AB135" s="29">
        <f>+VLOOKUP(E135,[1]base!M:N,2,0)</f>
        <v>78</v>
      </c>
      <c r="AC135" s="29">
        <f>+VLOOKUP(E135,[1]base!M:Q,5,0)</f>
        <v>520.63636363636363</v>
      </c>
      <c r="AD135" s="30">
        <f>+VLOOKUP(E135,[1]base!M:P,4,0)</f>
        <v>0.68421052631578949</v>
      </c>
      <c r="AE135" s="31">
        <f t="shared" si="34"/>
        <v>-29.96842105263158</v>
      </c>
    </row>
    <row r="136" spans="1:31" s="32" customFormat="1" x14ac:dyDescent="0.25">
      <c r="A136" s="12" t="s">
        <v>1082</v>
      </c>
      <c r="B136" s="13">
        <v>46266.490532407406</v>
      </c>
      <c r="C136" s="12" t="s">
        <v>505</v>
      </c>
      <c r="D136" s="12" t="s">
        <v>1088</v>
      </c>
      <c r="E136" s="26" t="str">
        <f t="shared" si="28"/>
        <v>FR100</v>
      </c>
      <c r="F136" s="27" t="str">
        <f t="shared" si="29"/>
        <v>ACAJOU</v>
      </c>
      <c r="G136" s="27">
        <f>+VLOOKUP(F136,[1]base!A:B,2,0)</f>
        <v>15.1</v>
      </c>
      <c r="H136" s="12">
        <v>16</v>
      </c>
      <c r="I136" s="12">
        <v>16</v>
      </c>
      <c r="J136" s="14"/>
      <c r="K136" s="14" t="s">
        <v>61</v>
      </c>
      <c r="L136" s="12" t="s">
        <v>1089</v>
      </c>
      <c r="M136" s="12" t="s">
        <v>150</v>
      </c>
      <c r="N136" s="12">
        <v>16</v>
      </c>
      <c r="O136" s="12">
        <v>16</v>
      </c>
      <c r="P136" s="12">
        <v>0</v>
      </c>
      <c r="Q136" s="16">
        <v>68</v>
      </c>
      <c r="R136" s="16">
        <v>8</v>
      </c>
      <c r="S136" s="16"/>
      <c r="T136" s="28">
        <v>8</v>
      </c>
      <c r="U136" s="28">
        <v>8</v>
      </c>
      <c r="V136" s="29">
        <f>+VLOOKUP(E136,[1]base!D:K,8,0)</f>
        <v>5.4209999999999994</v>
      </c>
      <c r="W136" s="29">
        <f t="shared" si="30"/>
        <v>86.73599999999999</v>
      </c>
      <c r="X136" s="29">
        <f t="shared" si="31"/>
        <v>4.5102719999999996</v>
      </c>
      <c r="Y136" s="29">
        <f>+VLOOKUP(E136,[1]base!D:E,2,0)</f>
        <v>13</v>
      </c>
      <c r="Z136" s="29">
        <f t="shared" si="32"/>
        <v>1</v>
      </c>
      <c r="AA136" s="29">
        <f t="shared" si="33"/>
        <v>6.6666666666666693E-2</v>
      </c>
      <c r="AB136" s="29">
        <f>+VLOOKUP(E136,[1]base!M:N,2,0)</f>
        <v>263</v>
      </c>
      <c r="AC136" s="29">
        <f>+VLOOKUP(E136,[1]base!M:Q,5,0)</f>
        <v>812.5</v>
      </c>
      <c r="AD136" s="30">
        <f>+VLOOKUP(E136,[1]base!M:P,4,0)</f>
        <v>0.25071225071225073</v>
      </c>
      <c r="AE136" s="31">
        <f t="shared" si="34"/>
        <v>12.962678062678055</v>
      </c>
    </row>
    <row r="137" spans="1:31" s="32" customFormat="1" x14ac:dyDescent="0.25">
      <c r="A137" s="12" t="s">
        <v>1339</v>
      </c>
      <c r="B137" s="13">
        <v>46269.394733796296</v>
      </c>
      <c r="C137" s="12" t="s">
        <v>266</v>
      </c>
      <c r="D137" s="12" t="s">
        <v>1088</v>
      </c>
      <c r="E137" s="26" t="str">
        <f t="shared" si="28"/>
        <v>FR100</v>
      </c>
      <c r="F137" s="27" t="str">
        <f t="shared" si="29"/>
        <v>ACAJOU</v>
      </c>
      <c r="G137" s="27">
        <f>+VLOOKUP(F137,[1]base!A:B,2,0)</f>
        <v>15.1</v>
      </c>
      <c r="H137" s="12">
        <v>16</v>
      </c>
      <c r="I137" s="12">
        <v>16</v>
      </c>
      <c r="J137" s="14"/>
      <c r="K137" s="14" t="s">
        <v>61</v>
      </c>
      <c r="L137" s="12" t="s">
        <v>1359</v>
      </c>
      <c r="M137" s="12" t="s">
        <v>150</v>
      </c>
      <c r="N137" s="12">
        <v>16</v>
      </c>
      <c r="O137" s="12">
        <v>16</v>
      </c>
      <c r="P137" s="12">
        <v>0</v>
      </c>
      <c r="Q137" s="16">
        <v>16</v>
      </c>
      <c r="R137" s="16">
        <v>0</v>
      </c>
      <c r="S137" s="16"/>
      <c r="T137" s="28">
        <v>16</v>
      </c>
      <c r="U137" s="28"/>
      <c r="V137" s="29">
        <f>+VLOOKUP(E137,[1]base!D:K,8,0)</f>
        <v>5.4209999999999994</v>
      </c>
      <c r="W137" s="29">
        <f t="shared" si="30"/>
        <v>86.73599999999999</v>
      </c>
      <c r="X137" s="29">
        <f t="shared" si="31"/>
        <v>4.5102719999999996</v>
      </c>
      <c r="Y137" s="29">
        <f>+VLOOKUP(E137,[1]base!D:E,2,0)</f>
        <v>13</v>
      </c>
      <c r="Z137" s="29">
        <f t="shared" si="32"/>
        <v>2</v>
      </c>
      <c r="AA137" s="29">
        <f t="shared" si="33"/>
        <v>0.13333333333333339</v>
      </c>
      <c r="AB137" s="29">
        <f>+VLOOKUP(E137,[1]base!M:N,2,0)</f>
        <v>263</v>
      </c>
      <c r="AC137" s="29">
        <f>+VLOOKUP(E137,[1]base!M:Q,5,0)</f>
        <v>812.5</v>
      </c>
      <c r="AD137" s="30">
        <f>+VLOOKUP(E137,[1]base!M:P,4,0)</f>
        <v>0.25071225071225073</v>
      </c>
      <c r="AE137" s="31">
        <f t="shared" si="34"/>
        <v>12.962678062678055</v>
      </c>
    </row>
    <row r="138" spans="1:31" s="32" customFormat="1" x14ac:dyDescent="0.25">
      <c r="A138" s="12" t="s">
        <v>477</v>
      </c>
      <c r="B138" s="13">
        <v>46228.328831018516</v>
      </c>
      <c r="C138" s="12" t="s">
        <v>266</v>
      </c>
      <c r="D138" s="12" t="s">
        <v>479</v>
      </c>
      <c r="E138" s="26" t="str">
        <f t="shared" si="28"/>
        <v>FR102</v>
      </c>
      <c r="F138" s="27" t="str">
        <f t="shared" si="29"/>
        <v>ACAJOU</v>
      </c>
      <c r="G138" s="27">
        <f>+VLOOKUP(F138,[1]base!A:B,2,0)</f>
        <v>15.1</v>
      </c>
      <c r="H138" s="12">
        <v>5</v>
      </c>
      <c r="I138" s="12">
        <v>5</v>
      </c>
      <c r="J138" s="14"/>
      <c r="K138" s="14" t="s">
        <v>61</v>
      </c>
      <c r="L138" s="12" t="s">
        <v>480</v>
      </c>
      <c r="M138" s="12" t="s">
        <v>150</v>
      </c>
      <c r="N138" s="12">
        <v>5</v>
      </c>
      <c r="O138" s="12">
        <v>5</v>
      </c>
      <c r="P138" s="12">
        <v>0</v>
      </c>
      <c r="Q138" s="16">
        <v>5</v>
      </c>
      <c r="R138" s="16">
        <v>0</v>
      </c>
      <c r="S138" s="16"/>
      <c r="T138" s="28">
        <v>5</v>
      </c>
      <c r="U138" s="28"/>
      <c r="V138" s="29">
        <f>+VLOOKUP(E138,[1]base!D:K,8,0)</f>
        <v>4.3875000000000002</v>
      </c>
      <c r="W138" s="29">
        <f t="shared" si="30"/>
        <v>21.9375</v>
      </c>
      <c r="X138" s="29">
        <f t="shared" si="31"/>
        <v>1.1407499999999999</v>
      </c>
      <c r="Y138" s="29">
        <f>+VLOOKUP(E138,[1]base!D:E,2,0)</f>
        <v>13</v>
      </c>
      <c r="Z138" s="29">
        <f t="shared" si="32"/>
        <v>1</v>
      </c>
      <c r="AA138" s="29">
        <f t="shared" si="33"/>
        <v>6.6666666666666693E-2</v>
      </c>
      <c r="AB138" s="29">
        <f>+VLOOKUP(E138,[1]base!M:N,2,0)</f>
        <v>0</v>
      </c>
      <c r="AC138" s="29">
        <f>+VLOOKUP(E138,[1]base!M:Q,5,0)</f>
        <v>201.6</v>
      </c>
      <c r="AD138" s="30">
        <f>+VLOOKUP(E138,[1]base!M:P,4,0)</f>
        <v>1</v>
      </c>
      <c r="AE138" s="31">
        <f t="shared" si="34"/>
        <v>0</v>
      </c>
    </row>
    <row r="139" spans="1:31" s="32" customFormat="1" x14ac:dyDescent="0.25">
      <c r="A139" s="12" t="s">
        <v>1082</v>
      </c>
      <c r="B139" s="13">
        <v>46266.490532407406</v>
      </c>
      <c r="C139" s="12" t="s">
        <v>505</v>
      </c>
      <c r="D139" s="12" t="s">
        <v>479</v>
      </c>
      <c r="E139" s="26" t="str">
        <f t="shared" si="28"/>
        <v>FR102</v>
      </c>
      <c r="F139" s="27" t="str">
        <f t="shared" si="29"/>
        <v>ACAJOU</v>
      </c>
      <c r="G139" s="27">
        <f>+VLOOKUP(F139,[1]base!A:B,2,0)</f>
        <v>15.1</v>
      </c>
      <c r="H139" s="12">
        <v>8</v>
      </c>
      <c r="I139" s="12">
        <v>8</v>
      </c>
      <c r="J139" s="14"/>
      <c r="K139" s="14" t="s">
        <v>61</v>
      </c>
      <c r="L139" s="12" t="s">
        <v>1092</v>
      </c>
      <c r="M139" s="12" t="s">
        <v>150</v>
      </c>
      <c r="N139" s="12">
        <v>8</v>
      </c>
      <c r="O139" s="12">
        <v>8</v>
      </c>
      <c r="P139" s="12">
        <v>0</v>
      </c>
      <c r="Q139" s="16">
        <v>12</v>
      </c>
      <c r="R139" s="16">
        <v>0</v>
      </c>
      <c r="S139" s="16"/>
      <c r="T139" s="28">
        <v>8</v>
      </c>
      <c r="U139" s="28"/>
      <c r="V139" s="29">
        <f>+VLOOKUP(E139,[1]base!D:K,8,0)</f>
        <v>4.3875000000000002</v>
      </c>
      <c r="W139" s="29">
        <f t="shared" si="30"/>
        <v>35.1</v>
      </c>
      <c r="X139" s="29">
        <f t="shared" si="31"/>
        <v>1.8251999999999999</v>
      </c>
      <c r="Y139" s="29">
        <f>+VLOOKUP(E139,[1]base!D:E,2,0)</f>
        <v>13</v>
      </c>
      <c r="Z139" s="29">
        <f t="shared" si="32"/>
        <v>1</v>
      </c>
      <c r="AA139" s="29">
        <f t="shared" si="33"/>
        <v>6.6666666666666693E-2</v>
      </c>
      <c r="AB139" s="29">
        <f>+VLOOKUP(E139,[1]base!M:N,2,0)</f>
        <v>0</v>
      </c>
      <c r="AC139" s="29">
        <f>+VLOOKUP(E139,[1]base!M:Q,5,0)</f>
        <v>201.6</v>
      </c>
      <c r="AD139" s="30">
        <f>+VLOOKUP(E139,[1]base!M:P,4,0)</f>
        <v>1</v>
      </c>
      <c r="AE139" s="31">
        <f t="shared" si="34"/>
        <v>0</v>
      </c>
    </row>
    <row r="140" spans="1:31" s="32" customFormat="1" x14ac:dyDescent="0.25">
      <c r="A140" s="12" t="s">
        <v>1082</v>
      </c>
      <c r="B140" s="13">
        <v>46266.490532407406</v>
      </c>
      <c r="C140" s="12" t="s">
        <v>505</v>
      </c>
      <c r="D140" s="12" t="s">
        <v>1090</v>
      </c>
      <c r="E140" s="26" t="str">
        <f t="shared" si="28"/>
        <v>FR112</v>
      </c>
      <c r="F140" s="27" t="str">
        <f t="shared" si="29"/>
        <v>ACAJOU</v>
      </c>
      <c r="G140" s="27">
        <f>+VLOOKUP(F140,[1]base!A:B,2,0)</f>
        <v>15.1</v>
      </c>
      <c r="H140" s="12">
        <v>8</v>
      </c>
      <c r="I140" s="12">
        <v>8</v>
      </c>
      <c r="J140" s="14"/>
      <c r="K140" s="14" t="s">
        <v>61</v>
      </c>
      <c r="L140" s="12" t="s">
        <v>1093</v>
      </c>
      <c r="M140" s="12" t="s">
        <v>150</v>
      </c>
      <c r="N140" s="12">
        <v>8</v>
      </c>
      <c r="O140" s="12">
        <v>8</v>
      </c>
      <c r="P140" s="12">
        <v>0</v>
      </c>
      <c r="Q140" s="16">
        <v>24</v>
      </c>
      <c r="R140" s="16">
        <v>0</v>
      </c>
      <c r="S140" s="16"/>
      <c r="T140" s="28">
        <v>8</v>
      </c>
      <c r="U140" s="28"/>
      <c r="V140" s="29">
        <f>+VLOOKUP(E140,[1]base!D:K,8,0)</f>
        <v>4.5175000000000001</v>
      </c>
      <c r="W140" s="29">
        <f t="shared" si="30"/>
        <v>36.14</v>
      </c>
      <c r="X140" s="29">
        <f t="shared" si="31"/>
        <v>1.8792799999999998</v>
      </c>
      <c r="Y140" s="29">
        <f>+VLOOKUP(E140,[1]base!D:E,2,0)</f>
        <v>14</v>
      </c>
      <c r="Z140" s="29">
        <f t="shared" si="32"/>
        <v>1</v>
      </c>
      <c r="AA140" s="29">
        <f t="shared" si="33"/>
        <v>6.6666666666666693E-2</v>
      </c>
      <c r="AB140" s="29">
        <f>+VLOOKUP(E140,[1]base!M:N,2,0)</f>
        <v>7</v>
      </c>
      <c r="AC140" s="29">
        <f>+VLOOKUP(E140,[1]base!M:Q,5,0)</f>
        <v>110.9</v>
      </c>
      <c r="AD140" s="30">
        <f>+VLOOKUP(E140,[1]base!M:P,4,0)</f>
        <v>0.70833333333333337</v>
      </c>
      <c r="AE140" s="31">
        <f t="shared" si="34"/>
        <v>-2.8583333333333338</v>
      </c>
    </row>
    <row r="141" spans="1:31" s="32" customFormat="1" x14ac:dyDescent="0.25">
      <c r="A141" s="12" t="s">
        <v>1242</v>
      </c>
      <c r="B141" s="13">
        <v>46268.574895833335</v>
      </c>
      <c r="C141" s="12" t="s">
        <v>368</v>
      </c>
      <c r="D141" s="12" t="s">
        <v>1090</v>
      </c>
      <c r="E141" s="26" t="str">
        <f t="shared" si="28"/>
        <v>FR112</v>
      </c>
      <c r="F141" s="27" t="str">
        <f t="shared" si="29"/>
        <v>ACAJOU</v>
      </c>
      <c r="G141" s="27">
        <f>+VLOOKUP(F141,[1]base!A:B,2,0)</f>
        <v>15.1</v>
      </c>
      <c r="H141" s="12">
        <v>4</v>
      </c>
      <c r="I141" s="12">
        <v>4</v>
      </c>
      <c r="J141" s="14"/>
      <c r="K141" s="14" t="s">
        <v>61</v>
      </c>
      <c r="L141" s="12" t="s">
        <v>1251</v>
      </c>
      <c r="M141" s="12" t="s">
        <v>150</v>
      </c>
      <c r="N141" s="12">
        <v>4</v>
      </c>
      <c r="O141" s="12">
        <v>4</v>
      </c>
      <c r="P141" s="12">
        <v>0</v>
      </c>
      <c r="Q141" s="16">
        <v>4</v>
      </c>
      <c r="R141" s="16">
        <v>0</v>
      </c>
      <c r="S141" s="16"/>
      <c r="T141" s="28">
        <v>4</v>
      </c>
      <c r="U141" s="28"/>
      <c r="V141" s="29">
        <f>+VLOOKUP(E141,[1]base!D:K,8,0)</f>
        <v>4.5175000000000001</v>
      </c>
      <c r="W141" s="29">
        <f t="shared" si="30"/>
        <v>18.07</v>
      </c>
      <c r="X141" s="29">
        <f t="shared" si="31"/>
        <v>0.93963999999999992</v>
      </c>
      <c r="Y141" s="29">
        <f>+VLOOKUP(E141,[1]base!D:E,2,0)</f>
        <v>14</v>
      </c>
      <c r="Z141" s="29">
        <f t="shared" si="32"/>
        <v>1</v>
      </c>
      <c r="AA141" s="29">
        <f t="shared" si="33"/>
        <v>6.6666666666666693E-2</v>
      </c>
      <c r="AB141" s="29">
        <f>+VLOOKUP(E141,[1]base!M:N,2,0)</f>
        <v>7</v>
      </c>
      <c r="AC141" s="29">
        <f>+VLOOKUP(E141,[1]base!M:Q,5,0)</f>
        <v>110.9</v>
      </c>
      <c r="AD141" s="30">
        <f>+VLOOKUP(E141,[1]base!M:P,4,0)</f>
        <v>0.70833333333333337</v>
      </c>
      <c r="AE141" s="31">
        <f t="shared" si="34"/>
        <v>-2.8583333333333338</v>
      </c>
    </row>
    <row r="142" spans="1:31" s="32" customFormat="1" x14ac:dyDescent="0.25">
      <c r="A142" s="12" t="s">
        <v>1339</v>
      </c>
      <c r="B142" s="13">
        <v>46269.394733796296</v>
      </c>
      <c r="C142" s="12" t="s">
        <v>266</v>
      </c>
      <c r="D142" s="12" t="s">
        <v>1350</v>
      </c>
      <c r="E142" s="26" t="str">
        <f t="shared" si="28"/>
        <v>FR135</v>
      </c>
      <c r="F142" s="27" t="str">
        <f t="shared" si="29"/>
        <v>ACAJOU</v>
      </c>
      <c r="G142" s="27">
        <f>+VLOOKUP(F142,[1]base!A:B,2,0)</f>
        <v>15.1</v>
      </c>
      <c r="H142" s="12">
        <v>5</v>
      </c>
      <c r="I142" s="12">
        <v>5</v>
      </c>
      <c r="J142" s="14"/>
      <c r="K142" s="14" t="s">
        <v>61</v>
      </c>
      <c r="L142" s="12" t="s">
        <v>1361</v>
      </c>
      <c r="M142" s="12" t="s">
        <v>150</v>
      </c>
      <c r="N142" s="12">
        <v>5</v>
      </c>
      <c r="O142" s="12">
        <v>5</v>
      </c>
      <c r="P142" s="12">
        <v>0</v>
      </c>
      <c r="Q142" s="16">
        <v>5</v>
      </c>
      <c r="R142" s="16">
        <v>0</v>
      </c>
      <c r="S142" s="16"/>
      <c r="T142" s="28">
        <v>5</v>
      </c>
      <c r="U142" s="28"/>
      <c r="V142" s="29">
        <f>+VLOOKUP(E142,[1]base!D:K,8,0)</f>
        <v>1.5794999999999999</v>
      </c>
      <c r="W142" s="29">
        <f t="shared" si="30"/>
        <v>7.8974999999999991</v>
      </c>
      <c r="X142" s="29">
        <f t="shared" si="31"/>
        <v>0.41066999999999992</v>
      </c>
      <c r="Y142" s="29">
        <f>+VLOOKUP(E142,[1]base!D:E,2,0)</f>
        <v>20</v>
      </c>
      <c r="Z142" s="29">
        <f t="shared" si="32"/>
        <v>1</v>
      </c>
      <c r="AA142" s="29">
        <f t="shared" si="33"/>
        <v>6.6666666666666693E-2</v>
      </c>
      <c r="AB142" s="29">
        <f>+VLOOKUP(E142,[1]base!M:N,2,0)</f>
        <v>12</v>
      </c>
      <c r="AC142" s="29">
        <f>+VLOOKUP(E142,[1]base!M:Q,5,0)</f>
        <v>99</v>
      </c>
      <c r="AD142" s="30">
        <f>+VLOOKUP(E142,[1]base!M:P,4,0)</f>
        <v>0.76470588235294112</v>
      </c>
      <c r="AE142" s="31">
        <f t="shared" si="34"/>
        <v>-5.5764705882352938</v>
      </c>
    </row>
    <row r="143" spans="1:31" s="32" customFormat="1" x14ac:dyDescent="0.25">
      <c r="A143" s="12" t="s">
        <v>288</v>
      </c>
      <c r="B143" s="13">
        <v>46191.52375</v>
      </c>
      <c r="C143" s="12" t="s">
        <v>24</v>
      </c>
      <c r="D143" s="12" t="s">
        <v>293</v>
      </c>
      <c r="E143" s="26" t="str">
        <f t="shared" si="28"/>
        <v>FR139</v>
      </c>
      <c r="F143" s="27" t="str">
        <f t="shared" si="29"/>
        <v>ACAJOU</v>
      </c>
      <c r="G143" s="27">
        <f>+VLOOKUP(F143,[1]base!A:B,2,0)</f>
        <v>15.1</v>
      </c>
      <c r="H143" s="12">
        <v>50</v>
      </c>
      <c r="I143" s="12">
        <v>50</v>
      </c>
      <c r="J143" s="14"/>
      <c r="K143" s="14" t="s">
        <v>61</v>
      </c>
      <c r="L143" s="12" t="s">
        <v>294</v>
      </c>
      <c r="M143" s="12" t="s">
        <v>150</v>
      </c>
      <c r="N143" s="12">
        <v>50</v>
      </c>
      <c r="O143" s="12">
        <v>50</v>
      </c>
      <c r="P143" s="12">
        <v>0</v>
      </c>
      <c r="Q143" s="16">
        <v>50</v>
      </c>
      <c r="R143" s="16">
        <v>8</v>
      </c>
      <c r="S143" s="16"/>
      <c r="T143" s="33">
        <v>42</v>
      </c>
      <c r="U143" s="33">
        <v>8</v>
      </c>
      <c r="V143" s="29">
        <f>+VLOOKUP(E143,[1]base!D:K,8,0)</f>
        <v>1.794</v>
      </c>
      <c r="W143" s="29">
        <f t="shared" si="30"/>
        <v>89.7</v>
      </c>
      <c r="X143" s="29">
        <f t="shared" si="31"/>
        <v>4.6643999999999997</v>
      </c>
      <c r="Y143" s="29">
        <f>+VLOOKUP(E143,[1]base!D:E,2,0)</f>
        <v>20</v>
      </c>
      <c r="Z143" s="29">
        <f t="shared" si="32"/>
        <v>3</v>
      </c>
      <c r="AA143" s="29">
        <f t="shared" si="33"/>
        <v>0.20000000000000007</v>
      </c>
      <c r="AB143" s="29">
        <f>+VLOOKUP(E143,[1]base!M:N,2,0)</f>
        <v>1978</v>
      </c>
      <c r="AC143" s="29">
        <f>+VLOOKUP(E143,[1]base!M:Q,5,0)</f>
        <v>1480</v>
      </c>
      <c r="AD143" s="30">
        <f>+VLOOKUP(E143,[1]base!M:P,4,0)</f>
        <v>8.595194085027727E-2</v>
      </c>
      <c r="AE143" s="31">
        <f t="shared" si="34"/>
        <v>423.38706099815153</v>
      </c>
    </row>
    <row r="144" spans="1:31" s="32" customFormat="1" x14ac:dyDescent="0.25">
      <c r="A144" s="12" t="s">
        <v>1339</v>
      </c>
      <c r="B144" s="13">
        <v>46269.394733796296</v>
      </c>
      <c r="C144" s="12" t="s">
        <v>266</v>
      </c>
      <c r="D144" s="12" t="s">
        <v>1349</v>
      </c>
      <c r="E144" s="26" t="str">
        <f t="shared" si="28"/>
        <v>FR151</v>
      </c>
      <c r="F144" s="27" t="str">
        <f t="shared" si="29"/>
        <v>ACAJOU</v>
      </c>
      <c r="G144" s="27">
        <f>+VLOOKUP(F144,[1]base!A:B,2,0)</f>
        <v>15.1</v>
      </c>
      <c r="H144" s="12">
        <v>4</v>
      </c>
      <c r="I144" s="12">
        <v>4</v>
      </c>
      <c r="J144" s="14"/>
      <c r="K144" s="14" t="s">
        <v>61</v>
      </c>
      <c r="L144" s="12" t="s">
        <v>1360</v>
      </c>
      <c r="M144" s="12" t="s">
        <v>150</v>
      </c>
      <c r="N144" s="12">
        <v>4</v>
      </c>
      <c r="O144" s="12">
        <v>4</v>
      </c>
      <c r="P144" s="12">
        <v>0</v>
      </c>
      <c r="Q144" s="16">
        <v>4</v>
      </c>
      <c r="R144" s="16">
        <v>0</v>
      </c>
      <c r="S144" s="16"/>
      <c r="T144" s="28">
        <v>4</v>
      </c>
      <c r="U144" s="28"/>
      <c r="V144" s="29">
        <f>+VLOOKUP(E144,[1]base!D:K,8,0)</f>
        <v>6.3635000000000002</v>
      </c>
      <c r="W144" s="29">
        <f t="shared" si="30"/>
        <v>25.454000000000001</v>
      </c>
      <c r="X144" s="29">
        <f t="shared" si="31"/>
        <v>1.3236079999999999</v>
      </c>
      <c r="Y144" s="29">
        <f>+VLOOKUP(E144,[1]base!D:E,2,0)</f>
        <v>13</v>
      </c>
      <c r="Z144" s="29">
        <f t="shared" si="32"/>
        <v>1</v>
      </c>
      <c r="AA144" s="29">
        <f t="shared" si="33"/>
        <v>6.6666666666666693E-2</v>
      </c>
      <c r="AB144" s="29">
        <f>+VLOOKUP(E144,[1]base!M:N,2,0)</f>
        <v>11</v>
      </c>
      <c r="AC144" s="29">
        <f>+VLOOKUP(E144,[1]base!M:Q,5,0)</f>
        <v>32</v>
      </c>
      <c r="AD144" s="30">
        <f>+VLOOKUP(E144,[1]base!M:P,4,0)</f>
        <v>0.72499999999999998</v>
      </c>
      <c r="AE144" s="31">
        <f t="shared" si="34"/>
        <v>-4.6749999999999998</v>
      </c>
    </row>
    <row r="145" spans="1:31" s="32" customFormat="1" x14ac:dyDescent="0.25">
      <c r="A145" s="12" t="s">
        <v>1339</v>
      </c>
      <c r="B145" s="13">
        <v>46269.394733796296</v>
      </c>
      <c r="C145" s="12" t="s">
        <v>266</v>
      </c>
      <c r="D145" s="12" t="s">
        <v>1351</v>
      </c>
      <c r="E145" s="26" t="str">
        <f t="shared" si="28"/>
        <v>FR155</v>
      </c>
      <c r="F145" s="27" t="str">
        <f t="shared" si="29"/>
        <v>ACAJOU</v>
      </c>
      <c r="G145" s="27">
        <f>+VLOOKUP(F145,[1]base!A:B,2,0)</f>
        <v>15.1</v>
      </c>
      <c r="H145" s="12">
        <v>1</v>
      </c>
      <c r="I145" s="12">
        <v>1</v>
      </c>
      <c r="J145" s="14"/>
      <c r="K145" s="14" t="s">
        <v>61</v>
      </c>
      <c r="L145" s="12" t="s">
        <v>1362</v>
      </c>
      <c r="M145" s="12" t="s">
        <v>150</v>
      </c>
      <c r="N145" s="12">
        <v>1</v>
      </c>
      <c r="O145" s="12">
        <v>1</v>
      </c>
      <c r="P145" s="12">
        <v>0</v>
      </c>
      <c r="Q145" s="16">
        <v>1</v>
      </c>
      <c r="R145" s="16">
        <v>0</v>
      </c>
      <c r="S145" s="16"/>
      <c r="T145" s="28">
        <v>1</v>
      </c>
      <c r="U145" s="28"/>
      <c r="V145" s="29">
        <f>+VLOOKUP(E145,[1]base!D:K,8,0)</f>
        <v>12.915500000000002</v>
      </c>
      <c r="W145" s="29">
        <f t="shared" si="30"/>
        <v>12.915500000000002</v>
      </c>
      <c r="X145" s="29">
        <f t="shared" si="31"/>
        <v>0.67160600000000004</v>
      </c>
      <c r="Y145" s="29">
        <f>+VLOOKUP(E145,[1]base!D:E,2,0)</f>
        <v>9</v>
      </c>
      <c r="Z145" s="29">
        <f t="shared" si="32"/>
        <v>1</v>
      </c>
      <c r="AA145" s="29">
        <f t="shared" si="33"/>
        <v>6.6666666666666693E-2</v>
      </c>
      <c r="AB145" s="29">
        <f>+VLOOKUP(E145,[1]base!M:N,2,0)</f>
        <v>51</v>
      </c>
      <c r="AC145" s="29">
        <f>+VLOOKUP(E145,[1]base!M:Q,5,0)</f>
        <v>8.6666666666666661</v>
      </c>
      <c r="AD145" s="30">
        <f>+VLOOKUP(E145,[1]base!M:P,4,0)</f>
        <v>0.56034482758620685</v>
      </c>
      <c r="AE145" s="31">
        <f t="shared" si="34"/>
        <v>-13.277586206896549</v>
      </c>
    </row>
    <row r="146" spans="1:31" s="32" customFormat="1" x14ac:dyDescent="0.25">
      <c r="A146" s="12" t="s">
        <v>1339</v>
      </c>
      <c r="B146" s="13">
        <v>46269.394733796296</v>
      </c>
      <c r="C146" s="12" t="s">
        <v>266</v>
      </c>
      <c r="D146" s="12" t="s">
        <v>481</v>
      </c>
      <c r="E146" s="26" t="str">
        <f t="shared" si="28"/>
        <v>FR164</v>
      </c>
      <c r="F146" s="27" t="str">
        <f t="shared" si="29"/>
        <v>ACAJOU</v>
      </c>
      <c r="G146" s="27">
        <f>+VLOOKUP(F146,[1]base!A:B,2,0)</f>
        <v>15.1</v>
      </c>
      <c r="H146" s="12">
        <v>6</v>
      </c>
      <c r="I146" s="12">
        <v>6</v>
      </c>
      <c r="J146" s="14"/>
      <c r="K146" s="14" t="s">
        <v>61</v>
      </c>
      <c r="L146" s="12" t="s">
        <v>1364</v>
      </c>
      <c r="M146" s="12" t="s">
        <v>150</v>
      </c>
      <c r="N146" s="12">
        <v>6</v>
      </c>
      <c r="O146" s="12">
        <v>6</v>
      </c>
      <c r="P146" s="12">
        <v>0</v>
      </c>
      <c r="Q146" s="16">
        <v>6</v>
      </c>
      <c r="R146" s="16">
        <v>0</v>
      </c>
      <c r="S146" s="16"/>
      <c r="T146" s="28">
        <v>6</v>
      </c>
      <c r="U146" s="28"/>
      <c r="V146" s="29">
        <f>+VLOOKUP(E146,[1]base!D:K,8,0)</f>
        <v>3.5945000000000005</v>
      </c>
      <c r="W146" s="29">
        <f t="shared" si="30"/>
        <v>21.567000000000004</v>
      </c>
      <c r="X146" s="29">
        <f t="shared" si="31"/>
        <v>1.1214840000000001</v>
      </c>
      <c r="Y146" s="29">
        <f>+VLOOKUP(E146,[1]base!D:E,2,0)</f>
        <v>14</v>
      </c>
      <c r="Z146" s="29">
        <f t="shared" si="32"/>
        <v>1</v>
      </c>
      <c r="AA146" s="29">
        <f t="shared" si="33"/>
        <v>6.6666666666666693E-2</v>
      </c>
      <c r="AB146" s="29">
        <f>+VLOOKUP(E146,[1]base!M:N,2,0)</f>
        <v>42</v>
      </c>
      <c r="AC146" s="29">
        <f>+VLOOKUP(E146,[1]base!M:Q,5,0)</f>
        <v>26.625</v>
      </c>
      <c r="AD146" s="30">
        <f>+VLOOKUP(E146,[1]base!M:P,4,0)</f>
        <v>0.59223300970873782</v>
      </c>
      <c r="AE146" s="31">
        <f t="shared" si="34"/>
        <v>-12.273786407766989</v>
      </c>
    </row>
    <row r="147" spans="1:31" s="32" customFormat="1" x14ac:dyDescent="0.25">
      <c r="A147" s="12" t="s">
        <v>1339</v>
      </c>
      <c r="B147" s="13">
        <v>46269.394733796296</v>
      </c>
      <c r="C147" s="12" t="s">
        <v>266</v>
      </c>
      <c r="D147" s="12" t="s">
        <v>1352</v>
      </c>
      <c r="E147" s="26" t="str">
        <f t="shared" si="28"/>
        <v>FR401</v>
      </c>
      <c r="F147" s="27" t="str">
        <f t="shared" si="29"/>
        <v>ACAJOU</v>
      </c>
      <c r="G147" s="27">
        <f>+VLOOKUP(F147,[1]base!A:B,2,0)</f>
        <v>15.1</v>
      </c>
      <c r="H147" s="12">
        <v>6</v>
      </c>
      <c r="I147" s="12">
        <v>6</v>
      </c>
      <c r="J147" s="14"/>
      <c r="K147" s="14" t="s">
        <v>61</v>
      </c>
      <c r="L147" s="12" t="s">
        <v>1363</v>
      </c>
      <c r="M147" s="12" t="s">
        <v>150</v>
      </c>
      <c r="N147" s="12">
        <v>6</v>
      </c>
      <c r="O147" s="12">
        <v>6</v>
      </c>
      <c r="P147" s="12">
        <v>0</v>
      </c>
      <c r="Q147" s="16">
        <v>6</v>
      </c>
      <c r="R147" s="16">
        <v>0</v>
      </c>
      <c r="S147" s="16"/>
      <c r="T147" s="28">
        <v>6</v>
      </c>
      <c r="U147" s="28"/>
      <c r="V147" s="29">
        <f>+VLOOKUP(E147,[1]base!D:K,8,0)</f>
        <v>5.8760000000000003</v>
      </c>
      <c r="W147" s="29">
        <f t="shared" si="30"/>
        <v>35.256</v>
      </c>
      <c r="X147" s="29">
        <f t="shared" si="31"/>
        <v>1.8333119999999998</v>
      </c>
      <c r="Y147" s="29">
        <f>+VLOOKUP(E147,[1]base!D:E,2,0)</f>
        <v>13</v>
      </c>
      <c r="Z147" s="29">
        <f t="shared" si="32"/>
        <v>1</v>
      </c>
      <c r="AA147" s="29">
        <f t="shared" si="33"/>
        <v>6.6666666666666693E-2</v>
      </c>
      <c r="AB147" s="29">
        <f>+VLOOKUP(E147,[1]base!M:N,2,0)</f>
        <v>553</v>
      </c>
      <c r="AC147" s="29">
        <f>+VLOOKUP(E147,[1]base!M:Q,5,0)</f>
        <v>38.75</v>
      </c>
      <c r="AD147" s="30">
        <f>+VLOOKUP(E147,[1]base!M:P,4,0)</f>
        <v>0.21112696148359486</v>
      </c>
      <c r="AE147" s="31">
        <f t="shared" si="34"/>
        <v>49.146790299572039</v>
      </c>
    </row>
    <row r="148" spans="1:31" s="32" customFormat="1" x14ac:dyDescent="0.25">
      <c r="A148" s="12" t="s">
        <v>1242</v>
      </c>
      <c r="B148" s="13">
        <v>46268.574895833335</v>
      </c>
      <c r="C148" s="12" t="s">
        <v>368</v>
      </c>
      <c r="D148" s="12" t="s">
        <v>1245</v>
      </c>
      <c r="E148" s="26" t="str">
        <f t="shared" si="28"/>
        <v>FR402</v>
      </c>
      <c r="F148" s="27" t="str">
        <f t="shared" si="29"/>
        <v>ACAJOU</v>
      </c>
      <c r="G148" s="27">
        <f>+VLOOKUP(F148,[1]base!A:B,2,0)</f>
        <v>15.1</v>
      </c>
      <c r="H148" s="12">
        <v>8</v>
      </c>
      <c r="I148" s="12">
        <v>8</v>
      </c>
      <c r="J148" s="14"/>
      <c r="K148" s="14" t="s">
        <v>61</v>
      </c>
      <c r="L148" s="12" t="s">
        <v>1253</v>
      </c>
      <c r="M148" s="12" t="s">
        <v>150</v>
      </c>
      <c r="N148" s="12">
        <v>8</v>
      </c>
      <c r="O148" s="12">
        <v>8</v>
      </c>
      <c r="P148" s="12">
        <v>0</v>
      </c>
      <c r="Q148" s="16">
        <v>8</v>
      </c>
      <c r="R148" s="16">
        <v>7</v>
      </c>
      <c r="S148" s="16"/>
      <c r="T148" s="28">
        <v>1</v>
      </c>
      <c r="U148" s="28">
        <v>7</v>
      </c>
      <c r="V148" s="29">
        <f>+VLOOKUP(E148,[1]base!D:K,8,0)</f>
        <v>5.7394999999999996</v>
      </c>
      <c r="W148" s="29">
        <f t="shared" si="30"/>
        <v>45.915999999999997</v>
      </c>
      <c r="X148" s="29">
        <f t="shared" si="31"/>
        <v>2.3876319999999995</v>
      </c>
      <c r="Y148" s="29">
        <f>+VLOOKUP(E148,[1]base!D:E,2,0)</f>
        <v>13</v>
      </c>
      <c r="Z148" s="29">
        <f t="shared" si="32"/>
        <v>1</v>
      </c>
      <c r="AA148" s="29">
        <f t="shared" si="33"/>
        <v>6.6666666666666693E-2</v>
      </c>
      <c r="AB148" s="29">
        <f>+VLOOKUP(E148,[1]base!M:N,2,0)</f>
        <v>135</v>
      </c>
      <c r="AC148" s="29">
        <f>+VLOOKUP(E148,[1]base!M:Q,5,0)</f>
        <v>898.4545454545455</v>
      </c>
      <c r="AD148" s="30">
        <f>+VLOOKUP(E148,[1]base!M:P,4,0)</f>
        <v>0.13461538461538461</v>
      </c>
      <c r="AE148" s="31">
        <f t="shared" si="34"/>
        <v>22.326923076923077</v>
      </c>
    </row>
    <row r="149" spans="1:31" s="32" customFormat="1" x14ac:dyDescent="0.25">
      <c r="A149" s="12" t="s">
        <v>1339</v>
      </c>
      <c r="B149" s="13">
        <v>46269.394733796296</v>
      </c>
      <c r="C149" s="12" t="s">
        <v>266</v>
      </c>
      <c r="D149" s="12" t="s">
        <v>1245</v>
      </c>
      <c r="E149" s="26" t="str">
        <f t="shared" si="28"/>
        <v>FR402</v>
      </c>
      <c r="F149" s="27" t="str">
        <f t="shared" si="29"/>
        <v>ACAJOU</v>
      </c>
      <c r="G149" s="27">
        <f>+VLOOKUP(F149,[1]base!A:B,2,0)</f>
        <v>15.1</v>
      </c>
      <c r="H149" s="12">
        <v>24</v>
      </c>
      <c r="I149" s="12">
        <v>24</v>
      </c>
      <c r="J149" s="14"/>
      <c r="K149" s="14" t="s">
        <v>61</v>
      </c>
      <c r="L149" s="12" t="s">
        <v>1369</v>
      </c>
      <c r="M149" s="12" t="s">
        <v>150</v>
      </c>
      <c r="N149" s="12">
        <v>24</v>
      </c>
      <c r="O149" s="12">
        <v>24</v>
      </c>
      <c r="P149" s="12">
        <v>0</v>
      </c>
      <c r="Q149" s="16">
        <v>24</v>
      </c>
      <c r="R149" s="16">
        <v>0</v>
      </c>
      <c r="S149" s="16"/>
      <c r="T149" s="28">
        <v>24</v>
      </c>
      <c r="U149" s="28"/>
      <c r="V149" s="29">
        <f>+VLOOKUP(E149,[1]base!D:K,8,0)</f>
        <v>5.7394999999999996</v>
      </c>
      <c r="W149" s="29">
        <f t="shared" si="30"/>
        <v>137.74799999999999</v>
      </c>
      <c r="X149" s="29">
        <f t="shared" si="31"/>
        <v>7.162895999999999</v>
      </c>
      <c r="Y149" s="29">
        <f>+VLOOKUP(E149,[1]base!D:E,2,0)</f>
        <v>13</v>
      </c>
      <c r="Z149" s="29">
        <f t="shared" si="32"/>
        <v>2</v>
      </c>
      <c r="AA149" s="29">
        <f t="shared" si="33"/>
        <v>0.13333333333333339</v>
      </c>
      <c r="AB149" s="29">
        <f>+VLOOKUP(E149,[1]base!M:N,2,0)</f>
        <v>135</v>
      </c>
      <c r="AC149" s="29">
        <f>+VLOOKUP(E149,[1]base!M:Q,5,0)</f>
        <v>898.4545454545455</v>
      </c>
      <c r="AD149" s="30">
        <f>+VLOOKUP(E149,[1]base!M:P,4,0)</f>
        <v>0.13461538461538461</v>
      </c>
      <c r="AE149" s="31">
        <f t="shared" si="34"/>
        <v>22.326923076923077</v>
      </c>
    </row>
    <row r="150" spans="1:31" s="32" customFormat="1" x14ac:dyDescent="0.25">
      <c r="A150" s="12" t="s">
        <v>1415</v>
      </c>
      <c r="B150" s="13">
        <v>46273.296388888892</v>
      </c>
      <c r="C150" s="12" t="s">
        <v>24</v>
      </c>
      <c r="D150" s="12" t="s">
        <v>1245</v>
      </c>
      <c r="E150" s="26" t="str">
        <f t="shared" ref="E150:E181" si="35">_xlfn.TEXTBEFORE(D150, "-", -1, 1, , D150)</f>
        <v>FR402</v>
      </c>
      <c r="F150" s="27" t="str">
        <f t="shared" ref="F150:F169" si="36">_xlfn.TEXTAFTER(D150, "-", -1, 1, , "")</f>
        <v>ACAJOU</v>
      </c>
      <c r="G150" s="27">
        <f>+VLOOKUP(F150,[1]base!A:B,2,0)</f>
        <v>15.1</v>
      </c>
      <c r="H150" s="12">
        <v>80</v>
      </c>
      <c r="I150" s="12">
        <v>80</v>
      </c>
      <c r="J150" s="14"/>
      <c r="K150" s="14" t="s">
        <v>61</v>
      </c>
      <c r="L150" s="12" t="s">
        <v>1433</v>
      </c>
      <c r="M150" s="12" t="s">
        <v>150</v>
      </c>
      <c r="N150" s="12">
        <v>80</v>
      </c>
      <c r="O150" s="12">
        <v>80</v>
      </c>
      <c r="P150" s="12">
        <v>0</v>
      </c>
      <c r="Q150" s="16">
        <v>220</v>
      </c>
      <c r="R150" s="16">
        <v>7</v>
      </c>
      <c r="S150" s="16"/>
      <c r="T150" s="28">
        <v>80</v>
      </c>
      <c r="U150" s="28"/>
      <c r="V150" s="29">
        <f>+VLOOKUP(E150,[1]base!D:K,8,0)</f>
        <v>5.7394999999999996</v>
      </c>
      <c r="W150" s="29">
        <f t="shared" ref="W150:W181" si="37">(T150+U150)*V150</f>
        <v>459.15999999999997</v>
      </c>
      <c r="X150" s="29">
        <f t="shared" ref="X150:X181" si="38">+W150*0.052</f>
        <v>23.876319999999996</v>
      </c>
      <c r="Y150" s="29">
        <f>+VLOOKUP(E150,[1]base!D:E,2,0)</f>
        <v>13</v>
      </c>
      <c r="Z150" s="29">
        <f t="shared" ref="Z150:Z181" si="39">ROUNDUP(T150/Y150,0)</f>
        <v>7</v>
      </c>
      <c r="AA150" s="29">
        <f t="shared" ref="AA150:AA181" si="40">+Z150*0.0666666666666667</f>
        <v>0.46666666666666684</v>
      </c>
      <c r="AB150" s="29">
        <f>+VLOOKUP(E150,[1]base!M:N,2,0)</f>
        <v>135</v>
      </c>
      <c r="AC150" s="29">
        <f>+VLOOKUP(E150,[1]base!M:Q,5,0)</f>
        <v>898.4545454545455</v>
      </c>
      <c r="AD150" s="30">
        <f>+VLOOKUP(E150,[1]base!M:P,4,0)</f>
        <v>0.13461538461538461</v>
      </c>
      <c r="AE150" s="31">
        <f t="shared" ref="AE150:AE181" si="41">+AB150*(30%-AD150)</f>
        <v>22.326923076923077</v>
      </c>
    </row>
    <row r="151" spans="1:31" s="32" customFormat="1" x14ac:dyDescent="0.25">
      <c r="A151" s="12" t="s">
        <v>1082</v>
      </c>
      <c r="B151" s="13">
        <v>46266.490532407406</v>
      </c>
      <c r="C151" s="12" t="s">
        <v>505</v>
      </c>
      <c r="D151" s="12" t="s">
        <v>1091</v>
      </c>
      <c r="E151" s="26" t="str">
        <f t="shared" si="35"/>
        <v>FR404</v>
      </c>
      <c r="F151" s="27" t="str">
        <f t="shared" si="36"/>
        <v>ACAJOU</v>
      </c>
      <c r="G151" s="27">
        <f>+VLOOKUP(F151,[1]base!A:B,2,0)</f>
        <v>15.1</v>
      </c>
      <c r="H151" s="12">
        <v>16</v>
      </c>
      <c r="I151" s="12">
        <v>16</v>
      </c>
      <c r="J151" s="14"/>
      <c r="K151" s="14" t="s">
        <v>61</v>
      </c>
      <c r="L151" s="12" t="s">
        <v>1094</v>
      </c>
      <c r="M151" s="12" t="s">
        <v>150</v>
      </c>
      <c r="N151" s="12">
        <v>16</v>
      </c>
      <c r="O151" s="12">
        <v>16</v>
      </c>
      <c r="P151" s="12">
        <v>0</v>
      </c>
      <c r="Q151" s="16">
        <v>16</v>
      </c>
      <c r="R151" s="16">
        <v>1</v>
      </c>
      <c r="S151" s="16"/>
      <c r="T151" s="28">
        <v>15</v>
      </c>
      <c r="U151" s="28">
        <v>1</v>
      </c>
      <c r="V151" s="29">
        <f>+VLOOKUP(E151,[1]base!D:K,8,0)</f>
        <v>5.9670000000000005</v>
      </c>
      <c r="W151" s="29">
        <f t="shared" si="37"/>
        <v>95.472000000000008</v>
      </c>
      <c r="X151" s="29">
        <f t="shared" si="38"/>
        <v>4.9645440000000001</v>
      </c>
      <c r="Y151" s="29">
        <f>+VLOOKUP(E151,[1]base!D:E,2,0)</f>
        <v>13</v>
      </c>
      <c r="Z151" s="29">
        <f t="shared" si="39"/>
        <v>2</v>
      </c>
      <c r="AA151" s="29">
        <f t="shared" si="40"/>
        <v>0.13333333333333339</v>
      </c>
      <c r="AB151" s="29">
        <f>+VLOOKUP(E151,[1]base!M:N,2,0)</f>
        <v>1934</v>
      </c>
      <c r="AC151" s="29">
        <f>+VLOOKUP(E151,[1]base!M:Q,5,0)</f>
        <v>578.90909090909088</v>
      </c>
      <c r="AD151" s="30">
        <f>+VLOOKUP(E151,[1]base!M:P,4,0)</f>
        <v>8.1235154394299292E-2</v>
      </c>
      <c r="AE151" s="31">
        <f t="shared" si="41"/>
        <v>423.09121140142514</v>
      </c>
    </row>
    <row r="152" spans="1:31" s="32" customFormat="1" x14ac:dyDescent="0.25">
      <c r="A152" s="12" t="s">
        <v>1242</v>
      </c>
      <c r="B152" s="13">
        <v>46268.574895833335</v>
      </c>
      <c r="C152" s="12" t="s">
        <v>368</v>
      </c>
      <c r="D152" s="12" t="s">
        <v>1091</v>
      </c>
      <c r="E152" s="26" t="str">
        <f t="shared" si="35"/>
        <v>FR404</v>
      </c>
      <c r="F152" s="27" t="str">
        <f t="shared" si="36"/>
        <v>ACAJOU</v>
      </c>
      <c r="G152" s="27">
        <f>+VLOOKUP(F152,[1]base!A:B,2,0)</f>
        <v>15.1</v>
      </c>
      <c r="H152" s="12">
        <v>8</v>
      </c>
      <c r="I152" s="12">
        <v>8</v>
      </c>
      <c r="J152" s="14"/>
      <c r="K152" s="14" t="s">
        <v>61</v>
      </c>
      <c r="L152" s="12" t="s">
        <v>1252</v>
      </c>
      <c r="M152" s="12" t="s">
        <v>150</v>
      </c>
      <c r="N152" s="12">
        <v>8</v>
      </c>
      <c r="O152" s="12">
        <v>8</v>
      </c>
      <c r="P152" s="12">
        <v>0</v>
      </c>
      <c r="Q152" s="16">
        <v>8</v>
      </c>
      <c r="R152" s="16">
        <v>1</v>
      </c>
      <c r="S152" s="16"/>
      <c r="T152" s="28">
        <v>8</v>
      </c>
      <c r="U152" s="28"/>
      <c r="V152" s="29">
        <f>+VLOOKUP(E152,[1]base!D:K,8,0)</f>
        <v>5.9670000000000005</v>
      </c>
      <c r="W152" s="29">
        <f t="shared" si="37"/>
        <v>47.736000000000004</v>
      </c>
      <c r="X152" s="29">
        <f t="shared" si="38"/>
        <v>2.482272</v>
      </c>
      <c r="Y152" s="29">
        <f>+VLOOKUP(E152,[1]base!D:E,2,0)</f>
        <v>13</v>
      </c>
      <c r="Z152" s="29">
        <f t="shared" si="39"/>
        <v>1</v>
      </c>
      <c r="AA152" s="29">
        <f t="shared" si="40"/>
        <v>6.6666666666666693E-2</v>
      </c>
      <c r="AB152" s="29">
        <f>+VLOOKUP(E152,[1]base!M:N,2,0)</f>
        <v>1934</v>
      </c>
      <c r="AC152" s="29">
        <f>+VLOOKUP(E152,[1]base!M:Q,5,0)</f>
        <v>578.90909090909088</v>
      </c>
      <c r="AD152" s="30">
        <f>+VLOOKUP(E152,[1]base!M:P,4,0)</f>
        <v>8.1235154394299292E-2</v>
      </c>
      <c r="AE152" s="31">
        <f t="shared" si="41"/>
        <v>423.09121140142514</v>
      </c>
    </row>
    <row r="153" spans="1:31" s="32" customFormat="1" x14ac:dyDescent="0.25">
      <c r="A153" s="12" t="s">
        <v>1339</v>
      </c>
      <c r="B153" s="13">
        <v>46269.394733796296</v>
      </c>
      <c r="C153" s="12" t="s">
        <v>266</v>
      </c>
      <c r="D153" s="12" t="s">
        <v>1091</v>
      </c>
      <c r="E153" s="26" t="str">
        <f t="shared" si="35"/>
        <v>FR404</v>
      </c>
      <c r="F153" s="27" t="str">
        <f t="shared" si="36"/>
        <v>ACAJOU</v>
      </c>
      <c r="G153" s="27">
        <f>+VLOOKUP(F153,[1]base!A:B,2,0)</f>
        <v>15.1</v>
      </c>
      <c r="H153" s="12">
        <v>8</v>
      </c>
      <c r="I153" s="12">
        <v>8</v>
      </c>
      <c r="J153" s="14"/>
      <c r="K153" s="14" t="s">
        <v>61</v>
      </c>
      <c r="L153" s="12" t="s">
        <v>1365</v>
      </c>
      <c r="M153" s="12" t="s">
        <v>150</v>
      </c>
      <c r="N153" s="12">
        <v>8</v>
      </c>
      <c r="O153" s="12">
        <v>8</v>
      </c>
      <c r="P153" s="12">
        <v>0</v>
      </c>
      <c r="Q153" s="16">
        <v>8</v>
      </c>
      <c r="R153" s="16">
        <v>0</v>
      </c>
      <c r="S153" s="16"/>
      <c r="T153" s="28">
        <v>8</v>
      </c>
      <c r="U153" s="28"/>
      <c r="V153" s="29">
        <f>+VLOOKUP(E153,[1]base!D:K,8,0)</f>
        <v>5.9670000000000005</v>
      </c>
      <c r="W153" s="29">
        <f t="shared" si="37"/>
        <v>47.736000000000004</v>
      </c>
      <c r="X153" s="29">
        <f t="shared" si="38"/>
        <v>2.482272</v>
      </c>
      <c r="Y153" s="29">
        <f>+VLOOKUP(E153,[1]base!D:E,2,0)</f>
        <v>13</v>
      </c>
      <c r="Z153" s="29">
        <f t="shared" si="39"/>
        <v>1</v>
      </c>
      <c r="AA153" s="29">
        <f t="shared" si="40"/>
        <v>6.6666666666666693E-2</v>
      </c>
      <c r="AB153" s="29">
        <f>+VLOOKUP(E153,[1]base!M:N,2,0)</f>
        <v>1934</v>
      </c>
      <c r="AC153" s="29">
        <f>+VLOOKUP(E153,[1]base!M:Q,5,0)</f>
        <v>578.90909090909088</v>
      </c>
      <c r="AD153" s="30">
        <f>+VLOOKUP(E153,[1]base!M:P,4,0)</f>
        <v>8.1235154394299292E-2</v>
      </c>
      <c r="AE153" s="31">
        <f t="shared" si="41"/>
        <v>423.09121140142514</v>
      </c>
    </row>
    <row r="154" spans="1:31" s="32" customFormat="1" x14ac:dyDescent="0.25">
      <c r="A154" s="12" t="s">
        <v>855</v>
      </c>
      <c r="B154" s="13">
        <v>46261.431909722225</v>
      </c>
      <c r="C154" s="12" t="s">
        <v>856</v>
      </c>
      <c r="D154" s="12" t="s">
        <v>867</v>
      </c>
      <c r="E154" s="26" t="str">
        <f t="shared" si="35"/>
        <v>FSQ131</v>
      </c>
      <c r="F154" s="27" t="str">
        <f t="shared" si="36"/>
        <v>ACAJOU</v>
      </c>
      <c r="G154" s="27">
        <f>+VLOOKUP(F154,[1]base!A:B,2,0)</f>
        <v>15.1</v>
      </c>
      <c r="H154" s="12">
        <v>16</v>
      </c>
      <c r="I154" s="12">
        <v>16</v>
      </c>
      <c r="J154" s="14"/>
      <c r="K154" s="14" t="s">
        <v>61</v>
      </c>
      <c r="L154" s="12" t="s">
        <v>868</v>
      </c>
      <c r="M154" s="12" t="s">
        <v>150</v>
      </c>
      <c r="N154" s="12">
        <v>16</v>
      </c>
      <c r="O154" s="12">
        <v>16</v>
      </c>
      <c r="P154" s="12">
        <v>0</v>
      </c>
      <c r="Q154" s="16">
        <v>16</v>
      </c>
      <c r="R154" s="16">
        <v>0</v>
      </c>
      <c r="S154" s="16"/>
      <c r="T154" s="28">
        <v>16</v>
      </c>
      <c r="U154" s="28"/>
      <c r="V154" s="29">
        <f>+VLOOKUP(E154,[1]base!D:K,8,0)</f>
        <v>5.2844999999999995</v>
      </c>
      <c r="W154" s="29">
        <f t="shared" si="37"/>
        <v>84.551999999999992</v>
      </c>
      <c r="X154" s="29">
        <f t="shared" si="38"/>
        <v>4.3967039999999997</v>
      </c>
      <c r="Y154" s="29">
        <f>+VLOOKUP(E154,[1]base!D:E,2,0)</f>
        <v>9</v>
      </c>
      <c r="Z154" s="29">
        <f t="shared" si="39"/>
        <v>2</v>
      </c>
      <c r="AA154" s="29">
        <f t="shared" si="40"/>
        <v>0.13333333333333339</v>
      </c>
      <c r="AB154" s="29">
        <f>+VLOOKUP(E154,[1]base!M:N,2,0)</f>
        <v>143</v>
      </c>
      <c r="AC154" s="29">
        <f>+VLOOKUP(E154,[1]base!M:Q,5,0)</f>
        <v>64.599999999999994</v>
      </c>
      <c r="AD154" s="30">
        <f>+VLOOKUP(E154,[1]base!M:P,4,0)</f>
        <v>0.11180124223602485</v>
      </c>
      <c r="AE154" s="31">
        <f t="shared" si="41"/>
        <v>26.912422360248446</v>
      </c>
    </row>
    <row r="155" spans="1:31" s="32" customFormat="1" x14ac:dyDescent="0.25">
      <c r="A155" s="12" t="s">
        <v>1490</v>
      </c>
      <c r="B155" s="13">
        <v>46273.595729166664</v>
      </c>
      <c r="C155" s="12" t="s">
        <v>24</v>
      </c>
      <c r="D155" s="12" t="s">
        <v>1430</v>
      </c>
      <c r="E155" s="26" t="str">
        <f t="shared" si="35"/>
        <v>GL11060/248</v>
      </c>
      <c r="F155" s="27" t="str">
        <f t="shared" si="36"/>
        <v>ACAJOU</v>
      </c>
      <c r="G155" s="27">
        <f>+VLOOKUP(F155,[1]base!A:B,2,0)</f>
        <v>15.1</v>
      </c>
      <c r="H155" s="12">
        <v>100</v>
      </c>
      <c r="I155" s="12">
        <v>100</v>
      </c>
      <c r="J155" s="14"/>
      <c r="K155" s="14" t="s">
        <v>61</v>
      </c>
      <c r="L155" s="12" t="s">
        <v>1499</v>
      </c>
      <c r="M155" s="12" t="s">
        <v>150</v>
      </c>
      <c r="N155" s="12">
        <v>100</v>
      </c>
      <c r="O155" s="12">
        <v>100</v>
      </c>
      <c r="P155" s="12">
        <v>0</v>
      </c>
      <c r="Q155" s="16">
        <v>300</v>
      </c>
      <c r="R155" s="16">
        <v>120</v>
      </c>
      <c r="S155" s="16"/>
      <c r="T155" s="28">
        <v>30</v>
      </c>
      <c r="U155" s="28"/>
      <c r="V155" s="29">
        <f>+VLOOKUP(E155,[1]base!D:K,8,0)</f>
        <v>2.4634999999999998</v>
      </c>
      <c r="W155" s="29">
        <f t="shared" si="37"/>
        <v>73.905000000000001</v>
      </c>
      <c r="X155" s="29">
        <f t="shared" si="38"/>
        <v>3.8430599999999999</v>
      </c>
      <c r="Y155" s="29">
        <f>+VLOOKUP(E155,[1]base!D:E,2,0)</f>
        <v>20</v>
      </c>
      <c r="Z155" s="29">
        <f t="shared" si="39"/>
        <v>2</v>
      </c>
      <c r="AA155" s="29">
        <f t="shared" si="40"/>
        <v>0.13333333333333339</v>
      </c>
      <c r="AB155" s="29">
        <f>+VLOOKUP(E155,[1]base!M:N,2,0)</f>
        <v>10587</v>
      </c>
      <c r="AC155" s="29">
        <f>+VLOOKUP(E155,[1]base!M:Q,5,0)</f>
        <v>2112.7272727272725</v>
      </c>
      <c r="AD155" s="30">
        <f>+VLOOKUP(E155,[1]base!M:P,4,0)</f>
        <v>1.4154018064996741E-2</v>
      </c>
      <c r="AE155" s="31">
        <f t="shared" si="41"/>
        <v>3026.2514107458796</v>
      </c>
    </row>
    <row r="156" spans="1:31" s="32" customFormat="1" x14ac:dyDescent="0.25">
      <c r="A156" s="12" t="s">
        <v>1339</v>
      </c>
      <c r="B156" s="13">
        <v>46269.394733796296</v>
      </c>
      <c r="C156" s="12" t="s">
        <v>266</v>
      </c>
      <c r="D156" s="12" t="s">
        <v>1354</v>
      </c>
      <c r="E156" s="26" t="str">
        <f t="shared" si="35"/>
        <v>LM-757</v>
      </c>
      <c r="F156" s="27" t="str">
        <f t="shared" si="36"/>
        <v>ACAJOU</v>
      </c>
      <c r="G156" s="27">
        <f>+VLOOKUP(F156,[1]base!A:B,2,0)</f>
        <v>15.1</v>
      </c>
      <c r="H156" s="12">
        <v>100</v>
      </c>
      <c r="I156" s="12">
        <v>100</v>
      </c>
      <c r="J156" s="14"/>
      <c r="K156" s="14" t="s">
        <v>61</v>
      </c>
      <c r="L156" s="12" t="s">
        <v>1367</v>
      </c>
      <c r="M156" s="12" t="s">
        <v>150</v>
      </c>
      <c r="N156" s="12">
        <v>100</v>
      </c>
      <c r="O156" s="12">
        <v>100</v>
      </c>
      <c r="P156" s="12">
        <v>0</v>
      </c>
      <c r="Q156" s="16">
        <v>100</v>
      </c>
      <c r="R156" s="16">
        <v>0</v>
      </c>
      <c r="S156" s="16"/>
      <c r="T156" s="28">
        <v>100</v>
      </c>
      <c r="U156" s="28"/>
      <c r="V156" s="29">
        <f>+VLOOKUP(E156,[1]base!D:K,8,0)</f>
        <v>2.7559999999999998</v>
      </c>
      <c r="W156" s="29">
        <f t="shared" si="37"/>
        <v>275.59999999999997</v>
      </c>
      <c r="X156" s="29">
        <f t="shared" si="38"/>
        <v>14.331199999999997</v>
      </c>
      <c r="Y156" s="29">
        <f>+VLOOKUP(E156,[1]base!D:E,2,0)</f>
        <v>17</v>
      </c>
      <c r="Z156" s="29">
        <f t="shared" si="39"/>
        <v>6</v>
      </c>
      <c r="AA156" s="29">
        <f t="shared" si="40"/>
        <v>0.40000000000000013</v>
      </c>
      <c r="AB156" s="29">
        <f>+VLOOKUP(E156,[1]base!M:N,2,0)</f>
        <v>16498</v>
      </c>
      <c r="AC156" s="29">
        <f>+VLOOKUP(E156,[1]base!M:Q,5,0)</f>
        <v>13391.545454545454</v>
      </c>
      <c r="AD156" s="30">
        <f>+VLOOKUP(E156,[1]base!M:P,4,0)</f>
        <v>4.4978292329956586E-2</v>
      </c>
      <c r="AE156" s="31">
        <f t="shared" si="41"/>
        <v>4207.3481331403764</v>
      </c>
    </row>
    <row r="157" spans="1:31" s="32" customFormat="1" x14ac:dyDescent="0.25">
      <c r="A157" s="12" t="s">
        <v>1415</v>
      </c>
      <c r="B157" s="13">
        <v>46273.296388888892</v>
      </c>
      <c r="C157" s="12" t="s">
        <v>24</v>
      </c>
      <c r="D157" s="12" t="s">
        <v>1399</v>
      </c>
      <c r="E157" s="26" t="str">
        <f t="shared" si="35"/>
        <v>LM-F/6</v>
      </c>
      <c r="F157" s="27" t="str">
        <f t="shared" si="36"/>
        <v>ACAJOU</v>
      </c>
      <c r="G157" s="27">
        <f>+VLOOKUP(F157,[1]base!A:B,2,0)</f>
        <v>15.1</v>
      </c>
      <c r="H157" s="12">
        <v>40</v>
      </c>
      <c r="I157" s="12">
        <v>40</v>
      </c>
      <c r="J157" s="14"/>
      <c r="K157" s="14" t="s">
        <v>61</v>
      </c>
      <c r="L157" s="12" t="s">
        <v>1432</v>
      </c>
      <c r="M157" s="12" t="s">
        <v>150</v>
      </c>
      <c r="N157" s="12">
        <v>40</v>
      </c>
      <c r="O157" s="12">
        <v>40</v>
      </c>
      <c r="P157" s="12">
        <v>0</v>
      </c>
      <c r="Q157" s="16">
        <v>40</v>
      </c>
      <c r="R157" s="16">
        <v>0</v>
      </c>
      <c r="S157" s="16"/>
      <c r="T157" s="28">
        <v>40</v>
      </c>
      <c r="U157" s="28"/>
      <c r="V157" s="29">
        <f>+VLOOKUP(E157,[1]base!D:K,8,0)</f>
        <v>2.8405</v>
      </c>
      <c r="W157" s="29">
        <f t="shared" si="37"/>
        <v>113.62</v>
      </c>
      <c r="X157" s="29">
        <f t="shared" si="38"/>
        <v>5.9082400000000002</v>
      </c>
      <c r="Y157" s="29">
        <f>+VLOOKUP(E157,[1]base!D:E,2,0)</f>
        <v>17</v>
      </c>
      <c r="Z157" s="29">
        <f t="shared" si="39"/>
        <v>3</v>
      </c>
      <c r="AA157" s="29">
        <f t="shared" si="40"/>
        <v>0.20000000000000007</v>
      </c>
      <c r="AB157" s="29">
        <f>+VLOOKUP(E157,[1]base!M:N,2,0)</f>
        <v>2860</v>
      </c>
      <c r="AC157" s="29">
        <f>+VLOOKUP(E157,[1]base!M:Q,5,0)</f>
        <v>1927.6</v>
      </c>
      <c r="AD157" s="30">
        <f>+VLOOKUP(E157,[1]base!M:P,4,0)</f>
        <v>-5.2857142857142856</v>
      </c>
      <c r="AE157" s="31">
        <f t="shared" si="41"/>
        <v>15975.142857142857</v>
      </c>
    </row>
    <row r="158" spans="1:31" s="32" customFormat="1" x14ac:dyDescent="0.25">
      <c r="A158" s="12" t="s">
        <v>1339</v>
      </c>
      <c r="B158" s="13">
        <v>46269.394733796296</v>
      </c>
      <c r="C158" s="12" t="s">
        <v>266</v>
      </c>
      <c r="D158" s="12" t="s">
        <v>1355</v>
      </c>
      <c r="E158" s="26" t="str">
        <f t="shared" si="35"/>
        <v>LM-S758</v>
      </c>
      <c r="F158" s="27" t="str">
        <f t="shared" si="36"/>
        <v>ACAJOU</v>
      </c>
      <c r="G158" s="27">
        <f>+VLOOKUP(F158,[1]base!A:B,2,0)</f>
        <v>15.1</v>
      </c>
      <c r="H158" s="12">
        <v>30</v>
      </c>
      <c r="I158" s="12">
        <v>30</v>
      </c>
      <c r="J158" s="14"/>
      <c r="K158" s="14" t="s">
        <v>61</v>
      </c>
      <c r="L158" s="12" t="s">
        <v>1368</v>
      </c>
      <c r="M158" s="12" t="s">
        <v>150</v>
      </c>
      <c r="N158" s="12">
        <v>30</v>
      </c>
      <c r="O158" s="12">
        <v>30</v>
      </c>
      <c r="P158" s="12">
        <v>0</v>
      </c>
      <c r="Q158" s="16">
        <v>30</v>
      </c>
      <c r="R158" s="16">
        <v>0</v>
      </c>
      <c r="S158" s="16"/>
      <c r="T158" s="28">
        <v>30</v>
      </c>
      <c r="U158" s="28"/>
      <c r="V158" s="29">
        <f>+VLOOKUP(E158,[1]base!D:K,8,0)</f>
        <v>1.3259999999999998</v>
      </c>
      <c r="W158" s="29">
        <f t="shared" si="37"/>
        <v>39.779999999999994</v>
      </c>
      <c r="X158" s="29">
        <f t="shared" si="38"/>
        <v>2.0685599999999997</v>
      </c>
      <c r="Y158" s="29">
        <f>+VLOOKUP(E158,[1]base!D:E,2,0)</f>
        <v>20</v>
      </c>
      <c r="Z158" s="29">
        <f t="shared" si="39"/>
        <v>2</v>
      </c>
      <c r="AA158" s="29">
        <f t="shared" si="40"/>
        <v>0.13333333333333339</v>
      </c>
      <c r="AB158" s="29">
        <f>+VLOOKUP(E158,[1]base!M:N,2,0)</f>
        <v>415</v>
      </c>
      <c r="AC158" s="29">
        <f>+VLOOKUP(E158,[1]base!M:Q,5,0)</f>
        <v>1750.6</v>
      </c>
      <c r="AD158" s="30">
        <f>+VLOOKUP(E158,[1]base!M:P,4,0)</f>
        <v>0.15306122448979592</v>
      </c>
      <c r="AE158" s="31">
        <f t="shared" si="41"/>
        <v>60.979591836734684</v>
      </c>
    </row>
    <row r="159" spans="1:31" s="32" customFormat="1" x14ac:dyDescent="0.25">
      <c r="A159" s="12" t="s">
        <v>640</v>
      </c>
      <c r="B159" s="13">
        <v>46248.337627314817</v>
      </c>
      <c r="C159" s="12" t="s">
        <v>502</v>
      </c>
      <c r="D159" s="12" t="s">
        <v>642</v>
      </c>
      <c r="E159" s="26" t="str">
        <f t="shared" si="35"/>
        <v>P031</v>
      </c>
      <c r="F159" s="27" t="str">
        <f t="shared" si="36"/>
        <v>ACAJOU</v>
      </c>
      <c r="G159" s="27">
        <f>+VLOOKUP(F159,[1]base!A:B,2,0)</f>
        <v>15.1</v>
      </c>
      <c r="H159" s="12">
        <v>5</v>
      </c>
      <c r="I159" s="12">
        <v>5</v>
      </c>
      <c r="J159" s="14"/>
      <c r="K159" s="14" t="s">
        <v>61</v>
      </c>
      <c r="L159" s="12" t="s">
        <v>643</v>
      </c>
      <c r="M159" s="12" t="s">
        <v>150</v>
      </c>
      <c r="N159" s="12">
        <v>5</v>
      </c>
      <c r="O159" s="12">
        <v>5</v>
      </c>
      <c r="P159" s="12">
        <v>0</v>
      </c>
      <c r="Q159" s="16">
        <v>15</v>
      </c>
      <c r="R159" s="16">
        <v>0</v>
      </c>
      <c r="S159" s="16"/>
      <c r="T159" s="28">
        <v>5</v>
      </c>
      <c r="U159" s="28"/>
      <c r="V159" s="29">
        <f>+VLOOKUP(E159,[1]base!D:K,8,0)</f>
        <v>3.1654999999999998</v>
      </c>
      <c r="W159" s="29">
        <f t="shared" si="37"/>
        <v>15.827499999999999</v>
      </c>
      <c r="X159" s="29">
        <f t="shared" si="38"/>
        <v>0.82302999999999993</v>
      </c>
      <c r="Y159" s="29">
        <f>+VLOOKUP(E159,[1]base!D:E,2,0)</f>
        <v>14</v>
      </c>
      <c r="Z159" s="29">
        <f t="shared" si="39"/>
        <v>1</v>
      </c>
      <c r="AA159" s="29">
        <f t="shared" si="40"/>
        <v>6.6666666666666693E-2</v>
      </c>
      <c r="AB159" s="29">
        <f>+VLOOKUP(E159,[1]base!M:N,2,0)</f>
        <v>231</v>
      </c>
      <c r="AC159" s="29">
        <f>+VLOOKUP(E159,[1]base!M:Q,5,0)</f>
        <v>252.875</v>
      </c>
      <c r="AD159" s="30">
        <f>+VLOOKUP(E159,[1]base!M:P,4,0)</f>
        <v>0.53427419354838712</v>
      </c>
      <c r="AE159" s="31">
        <f t="shared" si="41"/>
        <v>-54.117338709677426</v>
      </c>
    </row>
    <row r="160" spans="1:31" s="32" customFormat="1" x14ac:dyDescent="0.25">
      <c r="A160" s="12" t="s">
        <v>855</v>
      </c>
      <c r="B160" s="13">
        <v>46261.431909722225</v>
      </c>
      <c r="C160" s="12" t="s">
        <v>856</v>
      </c>
      <c r="D160" s="12" t="s">
        <v>869</v>
      </c>
      <c r="E160" s="26" t="str">
        <f t="shared" si="35"/>
        <v>PL102</v>
      </c>
      <c r="F160" s="27" t="str">
        <f t="shared" si="36"/>
        <v>ACAJOU</v>
      </c>
      <c r="G160" s="27">
        <f>+VLOOKUP(F160,[1]base!A:B,2,0)</f>
        <v>15.1</v>
      </c>
      <c r="H160" s="12">
        <v>2</v>
      </c>
      <c r="I160" s="12">
        <v>2</v>
      </c>
      <c r="J160" s="14"/>
      <c r="K160" s="14" t="s">
        <v>61</v>
      </c>
      <c r="L160" s="12" t="s">
        <v>872</v>
      </c>
      <c r="M160" s="12" t="s">
        <v>150</v>
      </c>
      <c r="N160" s="12">
        <v>2</v>
      </c>
      <c r="O160" s="12">
        <v>2</v>
      </c>
      <c r="P160" s="12">
        <v>0</v>
      </c>
      <c r="Q160" s="16">
        <v>2</v>
      </c>
      <c r="R160" s="16">
        <v>0</v>
      </c>
      <c r="S160" s="16"/>
      <c r="T160" s="28">
        <v>2</v>
      </c>
      <c r="U160" s="28"/>
      <c r="V160" s="29">
        <f>+VLOOKUP(E160,[1]base!D:K,8,0)</f>
        <v>1.04</v>
      </c>
      <c r="W160" s="29">
        <f t="shared" si="37"/>
        <v>2.08</v>
      </c>
      <c r="X160" s="29">
        <f t="shared" si="38"/>
        <v>0.10815999999999999</v>
      </c>
      <c r="Y160" s="29">
        <f>+VLOOKUP(E160,[1]base!D:E,2,0)</f>
        <v>20</v>
      </c>
      <c r="Z160" s="29">
        <f t="shared" si="39"/>
        <v>1</v>
      </c>
      <c r="AA160" s="29">
        <f t="shared" si="40"/>
        <v>6.6666666666666693E-2</v>
      </c>
      <c r="AB160" s="29">
        <f>+VLOOKUP(E160,[1]base!M:N,2,0)</f>
        <v>185</v>
      </c>
      <c r="AC160" s="29">
        <f>+VLOOKUP(E160,[1]base!M:Q,5,0)</f>
        <v>0</v>
      </c>
      <c r="AD160" s="30">
        <f>+VLOOKUP(E160,[1]base!M:P,4,0)</f>
        <v>1.06951871657754E-2</v>
      </c>
      <c r="AE160" s="31">
        <f t="shared" si="41"/>
        <v>53.521390374331553</v>
      </c>
    </row>
    <row r="161" spans="1:31" s="32" customFormat="1" x14ac:dyDescent="0.25">
      <c r="A161" s="12" t="s">
        <v>855</v>
      </c>
      <c r="B161" s="13">
        <v>46261.431909722225</v>
      </c>
      <c r="C161" s="12" t="s">
        <v>856</v>
      </c>
      <c r="D161" s="12" t="s">
        <v>881</v>
      </c>
      <c r="E161" s="26" t="str">
        <f t="shared" si="35"/>
        <v>PL103</v>
      </c>
      <c r="F161" s="27" t="str">
        <f t="shared" si="36"/>
        <v>ACAJOU</v>
      </c>
      <c r="G161" s="27">
        <f>+VLOOKUP(F161,[1]base!A:B,2,0)</f>
        <v>15.1</v>
      </c>
      <c r="H161" s="12">
        <v>2</v>
      </c>
      <c r="I161" s="12">
        <v>2</v>
      </c>
      <c r="J161" s="14"/>
      <c r="K161" s="14" t="s">
        <v>61</v>
      </c>
      <c r="L161" s="12" t="s">
        <v>884</v>
      </c>
      <c r="M161" s="12" t="s">
        <v>150</v>
      </c>
      <c r="N161" s="12">
        <v>2</v>
      </c>
      <c r="O161" s="12">
        <v>2</v>
      </c>
      <c r="P161" s="12">
        <v>0</v>
      </c>
      <c r="Q161" s="16">
        <v>6</v>
      </c>
      <c r="R161" s="16">
        <v>0</v>
      </c>
      <c r="S161" s="16"/>
      <c r="T161" s="28">
        <v>2</v>
      </c>
      <c r="U161" s="28"/>
      <c r="V161" s="29">
        <f>+VLOOKUP(E161,[1]base!D:K,8,0)</f>
        <v>0.66600000000000004</v>
      </c>
      <c r="W161" s="29">
        <f t="shared" si="37"/>
        <v>1.3320000000000001</v>
      </c>
      <c r="X161" s="29">
        <f t="shared" si="38"/>
        <v>6.9264000000000006E-2</v>
      </c>
      <c r="Y161" s="29">
        <f>+VLOOKUP(E161,[1]base!D:E,2,0)</f>
        <v>20</v>
      </c>
      <c r="Z161" s="29">
        <f t="shared" si="39"/>
        <v>1</v>
      </c>
      <c r="AA161" s="29">
        <f t="shared" si="40"/>
        <v>6.6666666666666693E-2</v>
      </c>
      <c r="AB161" s="29">
        <f>+VLOOKUP(E161,[1]base!M:N,2,0)</f>
        <v>1386</v>
      </c>
      <c r="AC161" s="29">
        <f>+VLOOKUP(E161,[1]base!M:Q,5,0)</f>
        <v>0</v>
      </c>
      <c r="AD161" s="30">
        <f>+VLOOKUP(E161,[1]base!M:P,4,0)</f>
        <v>8.5836909871244635E-3</v>
      </c>
      <c r="AE161" s="31">
        <f t="shared" si="41"/>
        <v>403.90300429184549</v>
      </c>
    </row>
    <row r="162" spans="1:31" s="32" customFormat="1" x14ac:dyDescent="0.25">
      <c r="A162" s="12" t="s">
        <v>855</v>
      </c>
      <c r="B162" s="13">
        <v>46261.431909722225</v>
      </c>
      <c r="C162" s="12" t="s">
        <v>856</v>
      </c>
      <c r="D162" s="12" t="s">
        <v>881</v>
      </c>
      <c r="E162" s="26" t="str">
        <f t="shared" si="35"/>
        <v>PL103</v>
      </c>
      <c r="F162" s="27" t="str">
        <f t="shared" si="36"/>
        <v>ACAJOU</v>
      </c>
      <c r="G162" s="27">
        <f>+VLOOKUP(F162,[1]base!A:B,2,0)</f>
        <v>15.1</v>
      </c>
      <c r="H162" s="12">
        <v>4</v>
      </c>
      <c r="I162" s="12">
        <v>4</v>
      </c>
      <c r="J162" s="14"/>
      <c r="K162" s="14" t="s">
        <v>61</v>
      </c>
      <c r="L162" s="12" t="s">
        <v>885</v>
      </c>
      <c r="M162" s="12" t="s">
        <v>150</v>
      </c>
      <c r="N162" s="12">
        <v>4</v>
      </c>
      <c r="O162" s="12">
        <v>4</v>
      </c>
      <c r="P162" s="12">
        <v>0</v>
      </c>
      <c r="Q162" s="16">
        <v>6</v>
      </c>
      <c r="R162" s="16">
        <v>0</v>
      </c>
      <c r="S162" s="16"/>
      <c r="T162" s="28">
        <v>4</v>
      </c>
      <c r="U162" s="28"/>
      <c r="V162" s="29">
        <f>+VLOOKUP(E162,[1]base!D:K,8,0)</f>
        <v>0.66600000000000004</v>
      </c>
      <c r="W162" s="29">
        <f t="shared" si="37"/>
        <v>2.6640000000000001</v>
      </c>
      <c r="X162" s="29">
        <f t="shared" si="38"/>
        <v>0.13852800000000001</v>
      </c>
      <c r="Y162" s="29">
        <f>+VLOOKUP(E162,[1]base!D:E,2,0)</f>
        <v>20</v>
      </c>
      <c r="Z162" s="29">
        <f t="shared" si="39"/>
        <v>1</v>
      </c>
      <c r="AA162" s="29">
        <f t="shared" si="40"/>
        <v>6.6666666666666693E-2</v>
      </c>
      <c r="AB162" s="29">
        <f>+VLOOKUP(E162,[1]base!M:N,2,0)</f>
        <v>1386</v>
      </c>
      <c r="AC162" s="29">
        <f>+VLOOKUP(E162,[1]base!M:Q,5,0)</f>
        <v>0</v>
      </c>
      <c r="AD162" s="30">
        <f>+VLOOKUP(E162,[1]base!M:P,4,0)</f>
        <v>8.5836909871244635E-3</v>
      </c>
      <c r="AE162" s="31">
        <f t="shared" si="41"/>
        <v>403.90300429184549</v>
      </c>
    </row>
    <row r="163" spans="1:31" s="32" customFormat="1" x14ac:dyDescent="0.25">
      <c r="A163" s="12" t="s">
        <v>855</v>
      </c>
      <c r="B163" s="13">
        <v>46261.431909722225</v>
      </c>
      <c r="C163" s="12" t="s">
        <v>856</v>
      </c>
      <c r="D163" s="12" t="s">
        <v>882</v>
      </c>
      <c r="E163" s="26" t="str">
        <f t="shared" si="35"/>
        <v>PL105</v>
      </c>
      <c r="F163" s="27" t="str">
        <f t="shared" si="36"/>
        <v>ACAJOU</v>
      </c>
      <c r="G163" s="27">
        <f>+VLOOKUP(F163,[1]base!A:B,2,0)</f>
        <v>15.1</v>
      </c>
      <c r="H163" s="12">
        <v>2</v>
      </c>
      <c r="I163" s="12">
        <v>2</v>
      </c>
      <c r="J163" s="14"/>
      <c r="K163" s="14" t="s">
        <v>61</v>
      </c>
      <c r="L163" s="12" t="s">
        <v>886</v>
      </c>
      <c r="M163" s="12" t="s">
        <v>150</v>
      </c>
      <c r="N163" s="12">
        <v>2</v>
      </c>
      <c r="O163" s="12">
        <v>2</v>
      </c>
      <c r="P163" s="12">
        <v>0</v>
      </c>
      <c r="Q163" s="16">
        <v>2</v>
      </c>
      <c r="R163" s="16">
        <v>0</v>
      </c>
      <c r="S163" s="16"/>
      <c r="T163" s="28">
        <v>2</v>
      </c>
      <c r="U163" s="28"/>
      <c r="V163" s="29">
        <f>+VLOOKUP(E163,[1]base!D:K,8,0)</f>
        <v>2.298</v>
      </c>
      <c r="W163" s="29">
        <f t="shared" si="37"/>
        <v>4.5960000000000001</v>
      </c>
      <c r="X163" s="29">
        <f t="shared" si="38"/>
        <v>0.23899199999999998</v>
      </c>
      <c r="Y163" s="29">
        <f>+VLOOKUP(E163,[1]base!D:E,2,0)</f>
        <v>20</v>
      </c>
      <c r="Z163" s="29">
        <f t="shared" si="39"/>
        <v>1</v>
      </c>
      <c r="AA163" s="29">
        <f t="shared" si="40"/>
        <v>6.6666666666666693E-2</v>
      </c>
      <c r="AB163" s="29">
        <f>+VLOOKUP(E163,[1]base!M:N,2,0)</f>
        <v>665</v>
      </c>
      <c r="AC163" s="29">
        <f>+VLOOKUP(E163,[1]base!M:Q,5,0)</f>
        <v>0</v>
      </c>
      <c r="AD163" s="30" t="e">
        <f>+VLOOKUP(E163,[1]base!M:P,4,0)</f>
        <v>#DIV/0!</v>
      </c>
      <c r="AE163" s="31" t="e">
        <f t="shared" si="41"/>
        <v>#DIV/0!</v>
      </c>
    </row>
    <row r="164" spans="1:31" s="32" customFormat="1" x14ac:dyDescent="0.25">
      <c r="A164" s="12" t="s">
        <v>855</v>
      </c>
      <c r="B164" s="13">
        <v>46261.431909722225</v>
      </c>
      <c r="C164" s="12" t="s">
        <v>856</v>
      </c>
      <c r="D164" s="12" t="s">
        <v>875</v>
      </c>
      <c r="E164" s="26" t="str">
        <f t="shared" si="35"/>
        <v>PL108</v>
      </c>
      <c r="F164" s="27" t="str">
        <f t="shared" si="36"/>
        <v>ACAJOU</v>
      </c>
      <c r="G164" s="27">
        <f>+VLOOKUP(F164,[1]base!A:B,2,0)</f>
        <v>15.1</v>
      </c>
      <c r="H164" s="12">
        <v>2</v>
      </c>
      <c r="I164" s="12">
        <v>2</v>
      </c>
      <c r="J164" s="14"/>
      <c r="K164" s="14" t="s">
        <v>61</v>
      </c>
      <c r="L164" s="12" t="s">
        <v>878</v>
      </c>
      <c r="M164" s="12" t="s">
        <v>150</v>
      </c>
      <c r="N164" s="12">
        <v>2</v>
      </c>
      <c r="O164" s="12">
        <v>2</v>
      </c>
      <c r="P164" s="12">
        <v>0</v>
      </c>
      <c r="Q164" s="16">
        <v>2</v>
      </c>
      <c r="R164" s="16">
        <v>0</v>
      </c>
      <c r="S164" s="16"/>
      <c r="T164" s="28">
        <v>2</v>
      </c>
      <c r="U164" s="28"/>
      <c r="V164" s="29">
        <f>+VLOOKUP(E164,[1]base!D:K,8,0)</f>
        <v>10.824</v>
      </c>
      <c r="W164" s="29">
        <f t="shared" si="37"/>
        <v>21.648</v>
      </c>
      <c r="X164" s="29">
        <f t="shared" si="38"/>
        <v>1.125696</v>
      </c>
      <c r="Y164" s="29">
        <f>+VLOOKUP(E164,[1]base!D:E,2,0)</f>
        <v>10</v>
      </c>
      <c r="Z164" s="29">
        <f t="shared" si="39"/>
        <v>1</v>
      </c>
      <c r="AA164" s="29">
        <f t="shared" si="40"/>
        <v>6.6666666666666693E-2</v>
      </c>
      <c r="AB164" s="29">
        <f>+VLOOKUP(E164,[1]base!M:N,2,0)</f>
        <v>622</v>
      </c>
      <c r="AC164" s="29">
        <f>+VLOOKUP(E164,[1]base!M:Q,5,0)</f>
        <v>0</v>
      </c>
      <c r="AD164" s="30">
        <f>+VLOOKUP(E164,[1]base!M:P,4,0)</f>
        <v>0</v>
      </c>
      <c r="AE164" s="31">
        <f t="shared" si="41"/>
        <v>186.6</v>
      </c>
    </row>
    <row r="165" spans="1:31" s="32" customFormat="1" x14ac:dyDescent="0.25">
      <c r="A165" s="12" t="s">
        <v>855</v>
      </c>
      <c r="B165" s="13">
        <v>46261.431909722225</v>
      </c>
      <c r="C165" s="12" t="s">
        <v>856</v>
      </c>
      <c r="D165" s="12" t="s">
        <v>883</v>
      </c>
      <c r="E165" s="26" t="str">
        <f t="shared" si="35"/>
        <v>PL109</v>
      </c>
      <c r="F165" s="27" t="str">
        <f t="shared" si="36"/>
        <v>ACAJOU</v>
      </c>
      <c r="G165" s="27">
        <f>+VLOOKUP(F165,[1]base!A:B,2,0)</f>
        <v>15.1</v>
      </c>
      <c r="H165" s="12">
        <v>2</v>
      </c>
      <c r="I165" s="12">
        <v>2</v>
      </c>
      <c r="J165" s="14"/>
      <c r="K165" s="14" t="s">
        <v>61</v>
      </c>
      <c r="L165" s="12" t="s">
        <v>887</v>
      </c>
      <c r="M165" s="12" t="s">
        <v>150</v>
      </c>
      <c r="N165" s="12">
        <v>2</v>
      </c>
      <c r="O165" s="12">
        <v>2</v>
      </c>
      <c r="P165" s="12">
        <v>0</v>
      </c>
      <c r="Q165" s="16">
        <v>2</v>
      </c>
      <c r="R165" s="16">
        <v>0</v>
      </c>
      <c r="S165" s="16"/>
      <c r="T165" s="28">
        <v>2</v>
      </c>
      <c r="U165" s="28"/>
      <c r="V165" s="29">
        <f>+VLOOKUP(E165,[1]base!D:K,8,0)</f>
        <v>2.286</v>
      </c>
      <c r="W165" s="29">
        <f t="shared" si="37"/>
        <v>4.5720000000000001</v>
      </c>
      <c r="X165" s="29">
        <f t="shared" si="38"/>
        <v>0.23774399999999998</v>
      </c>
      <c r="Y165" s="29">
        <f>+VLOOKUP(E165,[1]base!D:E,2,0)</f>
        <v>20</v>
      </c>
      <c r="Z165" s="29">
        <f t="shared" si="39"/>
        <v>1</v>
      </c>
      <c r="AA165" s="29">
        <f t="shared" si="40"/>
        <v>6.6666666666666693E-2</v>
      </c>
      <c r="AB165" s="29">
        <f>+VLOOKUP(E165,[1]base!M:N,2,0)</f>
        <v>526</v>
      </c>
      <c r="AC165" s="29">
        <f>+VLOOKUP(E165,[1]base!M:Q,5,0)</f>
        <v>0</v>
      </c>
      <c r="AD165" s="30">
        <f>+VLOOKUP(E165,[1]base!M:P,4,0)</f>
        <v>0</v>
      </c>
      <c r="AE165" s="31">
        <f t="shared" si="41"/>
        <v>157.79999999999998</v>
      </c>
    </row>
    <row r="166" spans="1:31" s="32" customFormat="1" x14ac:dyDescent="0.25">
      <c r="A166" s="12" t="s">
        <v>855</v>
      </c>
      <c r="B166" s="13">
        <v>46261.431909722225</v>
      </c>
      <c r="C166" s="12" t="s">
        <v>856</v>
      </c>
      <c r="D166" s="12" t="s">
        <v>871</v>
      </c>
      <c r="E166" s="26" t="str">
        <f t="shared" si="35"/>
        <v>PL110</v>
      </c>
      <c r="F166" s="27" t="str">
        <f t="shared" si="36"/>
        <v>ACAJOU</v>
      </c>
      <c r="G166" s="27">
        <f>+VLOOKUP(F166,[1]base!A:B,2,0)</f>
        <v>15.1</v>
      </c>
      <c r="H166" s="12">
        <v>2</v>
      </c>
      <c r="I166" s="12">
        <v>2</v>
      </c>
      <c r="J166" s="14"/>
      <c r="K166" s="14" t="s">
        <v>61</v>
      </c>
      <c r="L166" s="12" t="s">
        <v>874</v>
      </c>
      <c r="M166" s="12" t="s">
        <v>150</v>
      </c>
      <c r="N166" s="12">
        <v>2</v>
      </c>
      <c r="O166" s="12">
        <v>2</v>
      </c>
      <c r="P166" s="12">
        <v>0</v>
      </c>
      <c r="Q166" s="16">
        <v>2</v>
      </c>
      <c r="R166" s="16">
        <v>0</v>
      </c>
      <c r="S166" s="16"/>
      <c r="T166" s="28">
        <v>2</v>
      </c>
      <c r="U166" s="28"/>
      <c r="V166" s="29">
        <f>+VLOOKUP(E166,[1]base!D:K,8,0)</f>
        <v>6.3</v>
      </c>
      <c r="W166" s="29">
        <f t="shared" si="37"/>
        <v>12.6</v>
      </c>
      <c r="X166" s="29">
        <f t="shared" si="38"/>
        <v>0.6552</v>
      </c>
      <c r="Y166" s="29">
        <f>+VLOOKUP(E166,[1]base!D:E,2,0)</f>
        <v>14</v>
      </c>
      <c r="Z166" s="29">
        <f t="shared" si="39"/>
        <v>1</v>
      </c>
      <c r="AA166" s="29">
        <f t="shared" si="40"/>
        <v>6.6666666666666693E-2</v>
      </c>
      <c r="AB166" s="29">
        <f>+VLOOKUP(E166,[1]base!M:N,2,0)</f>
        <v>486</v>
      </c>
      <c r="AC166" s="29">
        <f>+VLOOKUP(E166,[1]base!M:Q,5,0)</f>
        <v>0</v>
      </c>
      <c r="AD166" s="30">
        <f>+VLOOKUP(E166,[1]base!M:P,4,0)</f>
        <v>0</v>
      </c>
      <c r="AE166" s="31">
        <f t="shared" si="41"/>
        <v>145.79999999999998</v>
      </c>
    </row>
    <row r="167" spans="1:31" s="32" customFormat="1" x14ac:dyDescent="0.25">
      <c r="A167" s="12" t="s">
        <v>855</v>
      </c>
      <c r="B167" s="13">
        <v>46261.431909722225</v>
      </c>
      <c r="C167" s="12" t="s">
        <v>856</v>
      </c>
      <c r="D167" s="12" t="s">
        <v>876</v>
      </c>
      <c r="E167" s="26" t="str">
        <f t="shared" si="35"/>
        <v>PL111</v>
      </c>
      <c r="F167" s="27" t="str">
        <f t="shared" si="36"/>
        <v>ACAJOU</v>
      </c>
      <c r="G167" s="27">
        <f>+VLOOKUP(F167,[1]base!A:B,2,0)</f>
        <v>15.1</v>
      </c>
      <c r="H167" s="12">
        <v>1</v>
      </c>
      <c r="I167" s="12">
        <v>1</v>
      </c>
      <c r="J167" s="14"/>
      <c r="K167" s="14" t="s">
        <v>61</v>
      </c>
      <c r="L167" s="12" t="s">
        <v>879</v>
      </c>
      <c r="M167" s="12" t="s">
        <v>150</v>
      </c>
      <c r="N167" s="12">
        <v>1</v>
      </c>
      <c r="O167" s="12">
        <v>1</v>
      </c>
      <c r="P167" s="12">
        <v>0</v>
      </c>
      <c r="Q167" s="16">
        <v>1</v>
      </c>
      <c r="R167" s="16">
        <v>0</v>
      </c>
      <c r="S167" s="16"/>
      <c r="T167" s="28">
        <v>1</v>
      </c>
      <c r="U167" s="28"/>
      <c r="V167" s="29">
        <f>+VLOOKUP(E167,[1]base!D:K,8,0)</f>
        <v>5.8019999999999996</v>
      </c>
      <c r="W167" s="29">
        <f t="shared" si="37"/>
        <v>5.8019999999999996</v>
      </c>
      <c r="X167" s="29">
        <f t="shared" si="38"/>
        <v>0.30170399999999997</v>
      </c>
      <c r="Y167" s="29">
        <f>+VLOOKUP(E167,[1]base!D:E,2,0)</f>
        <v>14</v>
      </c>
      <c r="Z167" s="29">
        <f t="shared" si="39"/>
        <v>1</v>
      </c>
      <c r="AA167" s="29">
        <f t="shared" si="40"/>
        <v>6.6666666666666693E-2</v>
      </c>
      <c r="AB167" s="29">
        <f>+VLOOKUP(E167,[1]base!M:N,2,0)</f>
        <v>217</v>
      </c>
      <c r="AC167" s="29">
        <f>+VLOOKUP(E167,[1]base!M:Q,5,0)</f>
        <v>0</v>
      </c>
      <c r="AD167" s="30">
        <f>+VLOOKUP(E167,[1]base!M:P,4,0)</f>
        <v>0</v>
      </c>
      <c r="AE167" s="31">
        <f t="shared" si="41"/>
        <v>65.099999999999994</v>
      </c>
    </row>
    <row r="168" spans="1:31" s="32" customFormat="1" x14ac:dyDescent="0.25">
      <c r="A168" s="12" t="s">
        <v>855</v>
      </c>
      <c r="B168" s="13">
        <v>46261.431909722225</v>
      </c>
      <c r="C168" s="12" t="s">
        <v>856</v>
      </c>
      <c r="D168" s="12" t="s">
        <v>870</v>
      </c>
      <c r="E168" s="26" t="str">
        <f t="shared" si="35"/>
        <v>PL112</v>
      </c>
      <c r="F168" s="27" t="str">
        <f t="shared" si="36"/>
        <v>ACAJOU</v>
      </c>
      <c r="G168" s="27">
        <f>+VLOOKUP(F168,[1]base!A:B,2,0)</f>
        <v>15.1</v>
      </c>
      <c r="H168" s="12">
        <v>1</v>
      </c>
      <c r="I168" s="12">
        <v>1</v>
      </c>
      <c r="J168" s="14"/>
      <c r="K168" s="14" t="s">
        <v>61</v>
      </c>
      <c r="L168" s="12" t="s">
        <v>873</v>
      </c>
      <c r="M168" s="12" t="s">
        <v>150</v>
      </c>
      <c r="N168" s="12">
        <v>1</v>
      </c>
      <c r="O168" s="12">
        <v>1</v>
      </c>
      <c r="P168" s="12">
        <v>0</v>
      </c>
      <c r="Q168" s="16">
        <v>1</v>
      </c>
      <c r="R168" s="16">
        <v>0</v>
      </c>
      <c r="S168" s="16"/>
      <c r="T168" s="28">
        <v>1</v>
      </c>
      <c r="U168" s="28"/>
      <c r="V168" s="29">
        <f>+VLOOKUP(E168,[1]base!D:K,8,0)</f>
        <v>7.6950000000000003</v>
      </c>
      <c r="W168" s="29">
        <f t="shared" si="37"/>
        <v>7.6950000000000003</v>
      </c>
      <c r="X168" s="29">
        <f t="shared" si="38"/>
        <v>0.40014</v>
      </c>
      <c r="Y168" s="29">
        <f>+VLOOKUP(E168,[1]base!D:E,2,0)</f>
        <v>13</v>
      </c>
      <c r="Z168" s="29">
        <f t="shared" si="39"/>
        <v>1</v>
      </c>
      <c r="AA168" s="29">
        <f t="shared" si="40"/>
        <v>6.6666666666666693E-2</v>
      </c>
      <c r="AB168" s="29">
        <f>+VLOOKUP(E168,[1]base!M:N,2,0)</f>
        <v>234</v>
      </c>
      <c r="AC168" s="29">
        <f>+VLOOKUP(E168,[1]base!M:Q,5,0)</f>
        <v>0</v>
      </c>
      <c r="AD168" s="30">
        <f>+VLOOKUP(E168,[1]base!M:P,4,0)</f>
        <v>4.2553191489361703E-3</v>
      </c>
      <c r="AE168" s="31">
        <f t="shared" si="41"/>
        <v>69.204255319148928</v>
      </c>
    </row>
    <row r="169" spans="1:31" s="32" customFormat="1" x14ac:dyDescent="0.25">
      <c r="A169" s="12" t="s">
        <v>855</v>
      </c>
      <c r="B169" s="13">
        <v>46261.431909722225</v>
      </c>
      <c r="C169" s="12" t="s">
        <v>856</v>
      </c>
      <c r="D169" s="12" t="s">
        <v>877</v>
      </c>
      <c r="E169" s="26" t="str">
        <f t="shared" si="35"/>
        <v>PL114</v>
      </c>
      <c r="F169" s="27" t="str">
        <f t="shared" si="36"/>
        <v>ACAJOU</v>
      </c>
      <c r="G169" s="27">
        <f>+VLOOKUP(F169,[1]base!A:B,2,0)</f>
        <v>15.1</v>
      </c>
      <c r="H169" s="12">
        <v>1</v>
      </c>
      <c r="I169" s="12">
        <v>1</v>
      </c>
      <c r="J169" s="14"/>
      <c r="K169" s="14" t="s">
        <v>61</v>
      </c>
      <c r="L169" s="12" t="s">
        <v>880</v>
      </c>
      <c r="M169" s="12" t="s">
        <v>150</v>
      </c>
      <c r="N169" s="12">
        <v>1</v>
      </c>
      <c r="O169" s="12">
        <v>1</v>
      </c>
      <c r="P169" s="12">
        <v>0</v>
      </c>
      <c r="Q169" s="16">
        <v>1</v>
      </c>
      <c r="R169" s="16">
        <v>0</v>
      </c>
      <c r="S169" s="16"/>
      <c r="T169" s="28">
        <v>1</v>
      </c>
      <c r="U169" s="28"/>
      <c r="V169" s="29">
        <f>+VLOOKUP(E169,[1]base!D:K,8,0)</f>
        <v>1.5</v>
      </c>
      <c r="W169" s="29">
        <f t="shared" si="37"/>
        <v>1.5</v>
      </c>
      <c r="X169" s="29">
        <f t="shared" si="38"/>
        <v>7.8E-2</v>
      </c>
      <c r="Y169" s="29">
        <f>+VLOOKUP(E169,[1]base!D:E,2,0)</f>
        <v>20</v>
      </c>
      <c r="Z169" s="29">
        <f t="shared" si="39"/>
        <v>1</v>
      </c>
      <c r="AA169" s="29">
        <f t="shared" si="40"/>
        <v>6.6666666666666693E-2</v>
      </c>
      <c r="AB169" s="29">
        <f>+VLOOKUP(E169,[1]base!M:N,2,0)</f>
        <v>274</v>
      </c>
      <c r="AC169" s="29">
        <f>+VLOOKUP(E169,[1]base!M:Q,5,0)</f>
        <v>0</v>
      </c>
      <c r="AD169" s="30">
        <f>+VLOOKUP(E169,[1]base!M:P,4,0)</f>
        <v>0</v>
      </c>
      <c r="AE169" s="31">
        <f t="shared" si="41"/>
        <v>82.2</v>
      </c>
    </row>
    <row r="170" spans="1:31" s="32" customFormat="1" x14ac:dyDescent="0.25">
      <c r="A170" s="45"/>
      <c r="B170" s="46"/>
      <c r="C170" s="45"/>
      <c r="D170" s="45"/>
      <c r="E170" s="47"/>
      <c r="F170" s="48"/>
      <c r="G170" s="48"/>
      <c r="H170" s="45"/>
      <c r="I170" s="45"/>
      <c r="J170" s="49"/>
      <c r="K170" s="49"/>
      <c r="L170" s="45"/>
      <c r="M170" s="45"/>
      <c r="N170" s="45"/>
      <c r="O170" s="45"/>
      <c r="P170" s="45"/>
      <c r="Q170" s="50"/>
      <c r="R170" s="50"/>
      <c r="S170" s="50"/>
      <c r="T170" s="51"/>
      <c r="U170" s="51"/>
      <c r="V170" s="52"/>
      <c r="W170" s="52"/>
      <c r="X170" s="52"/>
      <c r="Y170" s="52"/>
      <c r="Z170" s="52"/>
      <c r="AA170" s="52"/>
      <c r="AB170" s="52"/>
      <c r="AC170" s="52"/>
      <c r="AD170" s="53"/>
      <c r="AE170" s="54"/>
    </row>
    <row r="171" spans="1:31" s="32" customFormat="1" x14ac:dyDescent="0.25">
      <c r="A171" s="12" t="s">
        <v>667</v>
      </c>
      <c r="B171" s="13">
        <v>46252.518969907411</v>
      </c>
      <c r="C171" s="12" t="s">
        <v>522</v>
      </c>
      <c r="D171" s="12" t="s">
        <v>670</v>
      </c>
      <c r="E171" s="26" t="str">
        <f t="shared" ref="E171:E202" si="42">_xlfn.TEXTBEFORE(D171, "-", -1, 1, , D171)</f>
        <v>CO103</v>
      </c>
      <c r="F171" s="27" t="str">
        <f t="shared" ref="F171:F202" si="43">_xlfn.TEXTAFTER(D171, "-", -1, 1, , "")</f>
        <v>GRIS</v>
      </c>
      <c r="G171" s="27">
        <f>+VLOOKUP(F171,[1]base!A:B,2,0)</f>
        <v>22</v>
      </c>
      <c r="H171" s="12">
        <v>20</v>
      </c>
      <c r="I171" s="12">
        <v>20</v>
      </c>
      <c r="J171" s="14"/>
      <c r="K171" s="14" t="s">
        <v>61</v>
      </c>
      <c r="L171" s="12" t="s">
        <v>674</v>
      </c>
      <c r="M171" s="12" t="s">
        <v>150</v>
      </c>
      <c r="N171" s="12">
        <v>20</v>
      </c>
      <c r="O171" s="12">
        <v>20</v>
      </c>
      <c r="P171" s="12">
        <v>0</v>
      </c>
      <c r="Q171" s="16">
        <v>60</v>
      </c>
      <c r="R171" s="16">
        <v>0</v>
      </c>
      <c r="S171" s="16"/>
      <c r="T171" s="28">
        <v>20</v>
      </c>
      <c r="U171" s="28"/>
      <c r="V171" s="29">
        <f>+VLOOKUP(E171,[1]base!D:K,8,0)</f>
        <v>7.293000000000001</v>
      </c>
      <c r="W171" s="29">
        <f t="shared" ref="W171:W202" si="44">(T171+U171)*V171</f>
        <v>145.86000000000001</v>
      </c>
      <c r="X171" s="29">
        <f t="shared" ref="X171:X202" si="45">+W171*0.052</f>
        <v>7.5847200000000008</v>
      </c>
      <c r="Y171" s="29">
        <f>+VLOOKUP(E171,[1]base!D:E,2,0)</f>
        <v>12</v>
      </c>
      <c r="Z171" s="29">
        <f t="shared" ref="Z171:Z202" si="46">ROUNDUP(T171/Y171,0)</f>
        <v>2</v>
      </c>
      <c r="AA171" s="29">
        <f t="shared" ref="AA171:AA202" si="47">+Z171*0.0666666666666667</f>
        <v>0.13333333333333339</v>
      </c>
      <c r="AB171" s="29">
        <f>+VLOOKUP(E171,[1]base!M:N,2,0)</f>
        <v>949</v>
      </c>
      <c r="AC171" s="29">
        <f>+VLOOKUP(E171,[1]base!M:Q,5,0)</f>
        <v>593.63636363636363</v>
      </c>
      <c r="AD171" s="30">
        <f>+VLOOKUP(E171,[1]base!M:P,4,0)</f>
        <v>9.962049335863378E-2</v>
      </c>
      <c r="AE171" s="31">
        <f t="shared" ref="AE171:AE202" si="48">+AB171*(30%-AD171)</f>
        <v>190.16015180265654</v>
      </c>
    </row>
    <row r="172" spans="1:31" s="32" customFormat="1" x14ac:dyDescent="0.25">
      <c r="A172" s="12" t="s">
        <v>1218</v>
      </c>
      <c r="B172" s="13">
        <v>46268.354953703703</v>
      </c>
      <c r="C172" s="12" t="s">
        <v>24</v>
      </c>
      <c r="D172" s="12" t="s">
        <v>670</v>
      </c>
      <c r="E172" s="26" t="str">
        <f t="shared" si="42"/>
        <v>CO103</v>
      </c>
      <c r="F172" s="27" t="str">
        <f t="shared" si="43"/>
        <v>GRIS</v>
      </c>
      <c r="G172" s="27">
        <f>+VLOOKUP(F172,[1]base!A:B,2,0)</f>
        <v>22</v>
      </c>
      <c r="H172" s="12">
        <v>12</v>
      </c>
      <c r="I172" s="12">
        <v>12</v>
      </c>
      <c r="J172" s="14"/>
      <c r="K172" s="14" t="s">
        <v>61</v>
      </c>
      <c r="L172" s="12" t="s">
        <v>1221</v>
      </c>
      <c r="M172" s="12" t="s">
        <v>150</v>
      </c>
      <c r="N172" s="12">
        <v>12</v>
      </c>
      <c r="O172" s="12">
        <v>12</v>
      </c>
      <c r="P172" s="12">
        <v>0</v>
      </c>
      <c r="Q172" s="16">
        <v>12</v>
      </c>
      <c r="R172" s="16">
        <v>0</v>
      </c>
      <c r="S172" s="16"/>
      <c r="T172" s="28">
        <v>12</v>
      </c>
      <c r="U172" s="28"/>
      <c r="V172" s="29">
        <f>+VLOOKUP(E172,[1]base!D:K,8,0)</f>
        <v>7.293000000000001</v>
      </c>
      <c r="W172" s="29">
        <f t="shared" si="44"/>
        <v>87.51600000000002</v>
      </c>
      <c r="X172" s="29">
        <f t="shared" si="45"/>
        <v>4.5508320000000007</v>
      </c>
      <c r="Y172" s="29">
        <f>+VLOOKUP(E172,[1]base!D:E,2,0)</f>
        <v>12</v>
      </c>
      <c r="Z172" s="29">
        <f t="shared" si="46"/>
        <v>1</v>
      </c>
      <c r="AA172" s="29">
        <f t="shared" si="47"/>
        <v>6.6666666666666693E-2</v>
      </c>
      <c r="AB172" s="29">
        <f>+VLOOKUP(E172,[1]base!M:N,2,0)</f>
        <v>949</v>
      </c>
      <c r="AC172" s="29">
        <f>+VLOOKUP(E172,[1]base!M:Q,5,0)</f>
        <v>593.63636363636363</v>
      </c>
      <c r="AD172" s="30">
        <f>+VLOOKUP(E172,[1]base!M:P,4,0)</f>
        <v>9.962049335863378E-2</v>
      </c>
      <c r="AE172" s="31">
        <f t="shared" si="48"/>
        <v>190.16015180265654</v>
      </c>
    </row>
    <row r="173" spans="1:31" s="32" customFormat="1" x14ac:dyDescent="0.25">
      <c r="A173" s="12" t="s">
        <v>1492</v>
      </c>
      <c r="B173" s="13">
        <v>46273.61005787037</v>
      </c>
      <c r="C173" s="12" t="s">
        <v>266</v>
      </c>
      <c r="D173" s="12" t="s">
        <v>670</v>
      </c>
      <c r="E173" s="26" t="str">
        <f t="shared" si="42"/>
        <v>CO103</v>
      </c>
      <c r="F173" s="27" t="str">
        <f t="shared" si="43"/>
        <v>GRIS</v>
      </c>
      <c r="G173" s="27">
        <f>+VLOOKUP(F173,[1]base!A:B,2,0)</f>
        <v>22</v>
      </c>
      <c r="H173" s="12">
        <v>30</v>
      </c>
      <c r="I173" s="12">
        <v>30</v>
      </c>
      <c r="J173" s="14"/>
      <c r="K173" s="14" t="s">
        <v>61</v>
      </c>
      <c r="L173" s="12" t="s">
        <v>1503</v>
      </c>
      <c r="M173" s="12" t="s">
        <v>150</v>
      </c>
      <c r="N173" s="12">
        <v>30</v>
      </c>
      <c r="O173" s="12">
        <v>30</v>
      </c>
      <c r="P173" s="12">
        <v>0</v>
      </c>
      <c r="Q173" s="16">
        <v>30</v>
      </c>
      <c r="R173" s="16">
        <v>0</v>
      </c>
      <c r="S173" s="16"/>
      <c r="T173" s="28">
        <v>30</v>
      </c>
      <c r="U173" s="28"/>
      <c r="V173" s="29">
        <f>+VLOOKUP(E173,[1]base!D:K,8,0)</f>
        <v>7.293000000000001</v>
      </c>
      <c r="W173" s="29">
        <f t="shared" si="44"/>
        <v>218.79000000000002</v>
      </c>
      <c r="X173" s="29">
        <f t="shared" si="45"/>
        <v>11.377080000000001</v>
      </c>
      <c r="Y173" s="29">
        <f>+VLOOKUP(E173,[1]base!D:E,2,0)</f>
        <v>12</v>
      </c>
      <c r="Z173" s="29">
        <f t="shared" si="46"/>
        <v>3</v>
      </c>
      <c r="AA173" s="29">
        <f t="shared" si="47"/>
        <v>0.20000000000000007</v>
      </c>
      <c r="AB173" s="29">
        <f>+VLOOKUP(E173,[1]base!M:N,2,0)</f>
        <v>949</v>
      </c>
      <c r="AC173" s="29">
        <f>+VLOOKUP(E173,[1]base!M:Q,5,0)</f>
        <v>593.63636363636363</v>
      </c>
      <c r="AD173" s="30">
        <f>+VLOOKUP(E173,[1]base!M:P,4,0)</f>
        <v>9.962049335863378E-2</v>
      </c>
      <c r="AE173" s="31">
        <f t="shared" si="48"/>
        <v>190.16015180265654</v>
      </c>
    </row>
    <row r="174" spans="1:31" s="32" customFormat="1" x14ac:dyDescent="0.25">
      <c r="A174" s="12" t="s">
        <v>667</v>
      </c>
      <c r="B174" s="13">
        <v>46252.518969907411</v>
      </c>
      <c r="C174" s="12" t="s">
        <v>522</v>
      </c>
      <c r="D174" s="12" t="s">
        <v>668</v>
      </c>
      <c r="E174" s="26" t="str">
        <f t="shared" si="42"/>
        <v>CO104</v>
      </c>
      <c r="F174" s="27" t="str">
        <f t="shared" si="43"/>
        <v>GRIS</v>
      </c>
      <c r="G174" s="27">
        <f>+VLOOKUP(F174,[1]base!A:B,2,0)</f>
        <v>22</v>
      </c>
      <c r="H174" s="12">
        <v>15</v>
      </c>
      <c r="I174" s="12">
        <v>15</v>
      </c>
      <c r="J174" s="14"/>
      <c r="K174" s="14" t="s">
        <v>61</v>
      </c>
      <c r="L174" s="12" t="s">
        <v>672</v>
      </c>
      <c r="M174" s="12" t="s">
        <v>150</v>
      </c>
      <c r="N174" s="12">
        <v>15</v>
      </c>
      <c r="O174" s="12">
        <v>15</v>
      </c>
      <c r="P174" s="12">
        <v>0</v>
      </c>
      <c r="Q174" s="16">
        <v>35</v>
      </c>
      <c r="R174" s="16">
        <v>0</v>
      </c>
      <c r="S174" s="16"/>
      <c r="T174" s="28">
        <v>15</v>
      </c>
      <c r="U174" s="28"/>
      <c r="V174" s="29">
        <f>+VLOOKUP(E174,[1]base!D:K,8,0)</f>
        <v>4.7059999999999995</v>
      </c>
      <c r="W174" s="29">
        <f t="shared" si="44"/>
        <v>70.589999999999989</v>
      </c>
      <c r="X174" s="29">
        <f t="shared" si="45"/>
        <v>3.6706799999999991</v>
      </c>
      <c r="Y174" s="29">
        <f>+VLOOKUP(E174,[1]base!D:E,2,0)</f>
        <v>13</v>
      </c>
      <c r="Z174" s="29">
        <f t="shared" si="46"/>
        <v>2</v>
      </c>
      <c r="AA174" s="29">
        <f t="shared" si="47"/>
        <v>0.13333333333333339</v>
      </c>
      <c r="AB174" s="29">
        <f>+VLOOKUP(E174,[1]base!M:N,2,0)</f>
        <v>406</v>
      </c>
      <c r="AC174" s="29">
        <f>+VLOOKUP(E174,[1]base!M:Q,5,0)</f>
        <v>344.5</v>
      </c>
      <c r="AD174" s="30">
        <f>+VLOOKUP(E174,[1]base!M:P,4,0)</f>
        <v>4.9019607843137254E-3</v>
      </c>
      <c r="AE174" s="31">
        <f t="shared" si="48"/>
        <v>119.80980392156863</v>
      </c>
    </row>
    <row r="175" spans="1:31" s="32" customFormat="1" x14ac:dyDescent="0.25">
      <c r="A175" s="12" t="s">
        <v>1218</v>
      </c>
      <c r="B175" s="13">
        <v>46268.354953703703</v>
      </c>
      <c r="C175" s="12" t="s">
        <v>24</v>
      </c>
      <c r="D175" s="12" t="s">
        <v>668</v>
      </c>
      <c r="E175" s="26" t="str">
        <f t="shared" si="42"/>
        <v>CO104</v>
      </c>
      <c r="F175" s="27" t="str">
        <f t="shared" si="43"/>
        <v>GRIS</v>
      </c>
      <c r="G175" s="27">
        <f>+VLOOKUP(F175,[1]base!A:B,2,0)</f>
        <v>22</v>
      </c>
      <c r="H175" s="12">
        <v>4</v>
      </c>
      <c r="I175" s="12">
        <v>4</v>
      </c>
      <c r="J175" s="14"/>
      <c r="K175" s="14" t="s">
        <v>61</v>
      </c>
      <c r="L175" s="12" t="s">
        <v>1220</v>
      </c>
      <c r="M175" s="12" t="s">
        <v>150</v>
      </c>
      <c r="N175" s="12">
        <v>4</v>
      </c>
      <c r="O175" s="12">
        <v>4</v>
      </c>
      <c r="P175" s="12">
        <v>0</v>
      </c>
      <c r="Q175" s="16">
        <v>4</v>
      </c>
      <c r="R175" s="16">
        <v>0</v>
      </c>
      <c r="S175" s="16"/>
      <c r="T175" s="28">
        <v>4</v>
      </c>
      <c r="U175" s="28"/>
      <c r="V175" s="29">
        <f>+VLOOKUP(E175,[1]base!D:K,8,0)</f>
        <v>4.7059999999999995</v>
      </c>
      <c r="W175" s="29">
        <f t="shared" si="44"/>
        <v>18.823999999999998</v>
      </c>
      <c r="X175" s="29">
        <f t="shared" si="45"/>
        <v>0.97884799999999983</v>
      </c>
      <c r="Y175" s="29">
        <f>+VLOOKUP(E175,[1]base!D:E,2,0)</f>
        <v>13</v>
      </c>
      <c r="Z175" s="29">
        <f t="shared" si="46"/>
        <v>1</v>
      </c>
      <c r="AA175" s="29">
        <f t="shared" si="47"/>
        <v>6.6666666666666693E-2</v>
      </c>
      <c r="AB175" s="29">
        <f>+VLOOKUP(E175,[1]base!M:N,2,0)</f>
        <v>406</v>
      </c>
      <c r="AC175" s="29">
        <f>+VLOOKUP(E175,[1]base!M:Q,5,0)</f>
        <v>344.5</v>
      </c>
      <c r="AD175" s="30">
        <f>+VLOOKUP(E175,[1]base!M:P,4,0)</f>
        <v>4.9019607843137254E-3</v>
      </c>
      <c r="AE175" s="31">
        <f t="shared" si="48"/>
        <v>119.80980392156863</v>
      </c>
    </row>
    <row r="176" spans="1:31" s="32" customFormat="1" x14ac:dyDescent="0.25">
      <c r="A176" s="12" t="s">
        <v>1492</v>
      </c>
      <c r="B176" s="13">
        <v>46273.61005787037</v>
      </c>
      <c r="C176" s="12" t="s">
        <v>266</v>
      </c>
      <c r="D176" s="12" t="s">
        <v>668</v>
      </c>
      <c r="E176" s="26" t="str">
        <f t="shared" si="42"/>
        <v>CO104</v>
      </c>
      <c r="F176" s="27" t="str">
        <f t="shared" si="43"/>
        <v>GRIS</v>
      </c>
      <c r="G176" s="27">
        <f>+VLOOKUP(F176,[1]base!A:B,2,0)</f>
        <v>22</v>
      </c>
      <c r="H176" s="12">
        <v>15</v>
      </c>
      <c r="I176" s="12">
        <v>15</v>
      </c>
      <c r="J176" s="14"/>
      <c r="K176" s="14" t="s">
        <v>61</v>
      </c>
      <c r="L176" s="12" t="s">
        <v>1502</v>
      </c>
      <c r="M176" s="12" t="s">
        <v>150</v>
      </c>
      <c r="N176" s="12">
        <v>15</v>
      </c>
      <c r="O176" s="12">
        <v>15</v>
      </c>
      <c r="P176" s="12">
        <v>0</v>
      </c>
      <c r="Q176" s="16">
        <v>15</v>
      </c>
      <c r="R176" s="16">
        <v>0</v>
      </c>
      <c r="S176" s="16"/>
      <c r="T176" s="28">
        <v>15</v>
      </c>
      <c r="U176" s="28"/>
      <c r="V176" s="29">
        <f>+VLOOKUP(E176,[1]base!D:K,8,0)</f>
        <v>4.7059999999999995</v>
      </c>
      <c r="W176" s="29">
        <f t="shared" si="44"/>
        <v>70.589999999999989</v>
      </c>
      <c r="X176" s="29">
        <f t="shared" si="45"/>
        <v>3.6706799999999991</v>
      </c>
      <c r="Y176" s="29">
        <f>+VLOOKUP(E176,[1]base!D:E,2,0)</f>
        <v>13</v>
      </c>
      <c r="Z176" s="29">
        <f t="shared" si="46"/>
        <v>2</v>
      </c>
      <c r="AA176" s="29">
        <f t="shared" si="47"/>
        <v>0.13333333333333339</v>
      </c>
      <c r="AB176" s="29">
        <f>+VLOOKUP(E176,[1]base!M:N,2,0)</f>
        <v>406</v>
      </c>
      <c r="AC176" s="29">
        <f>+VLOOKUP(E176,[1]base!M:Q,5,0)</f>
        <v>344.5</v>
      </c>
      <c r="AD176" s="30">
        <f>+VLOOKUP(E176,[1]base!M:P,4,0)</f>
        <v>4.9019607843137254E-3</v>
      </c>
      <c r="AE176" s="31">
        <f t="shared" si="48"/>
        <v>119.80980392156863</v>
      </c>
    </row>
    <row r="177" spans="1:31" s="32" customFormat="1" x14ac:dyDescent="0.25">
      <c r="A177" s="12" t="s">
        <v>1549</v>
      </c>
      <c r="B177" s="13">
        <v>46274.600347222222</v>
      </c>
      <c r="C177" s="12" t="s">
        <v>465</v>
      </c>
      <c r="D177" s="12" t="s">
        <v>668</v>
      </c>
      <c r="E177" s="26" t="str">
        <f t="shared" si="42"/>
        <v>CO104</v>
      </c>
      <c r="F177" s="27" t="str">
        <f t="shared" si="43"/>
        <v>GRIS</v>
      </c>
      <c r="G177" s="27">
        <f>+VLOOKUP(F177,[1]base!A:B,2,0)</f>
        <v>22</v>
      </c>
      <c r="H177" s="12">
        <v>15</v>
      </c>
      <c r="I177" s="12">
        <v>15</v>
      </c>
      <c r="J177" s="14"/>
      <c r="K177" s="14" t="s">
        <v>61</v>
      </c>
      <c r="L177" s="12" t="s">
        <v>1550</v>
      </c>
      <c r="M177" s="12" t="s">
        <v>150</v>
      </c>
      <c r="N177" s="12">
        <v>15</v>
      </c>
      <c r="O177" s="12">
        <v>15</v>
      </c>
      <c r="P177" s="12">
        <v>0</v>
      </c>
      <c r="Q177" s="16">
        <v>15</v>
      </c>
      <c r="R177" s="16">
        <v>0</v>
      </c>
      <c r="S177" s="16"/>
      <c r="T177" s="28">
        <v>15</v>
      </c>
      <c r="U177" s="28"/>
      <c r="V177" s="29">
        <f>+VLOOKUP(E177,[1]base!D:K,8,0)</f>
        <v>4.7059999999999995</v>
      </c>
      <c r="W177" s="29">
        <f t="shared" si="44"/>
        <v>70.589999999999989</v>
      </c>
      <c r="X177" s="29">
        <f t="shared" si="45"/>
        <v>3.6706799999999991</v>
      </c>
      <c r="Y177" s="29">
        <f>+VLOOKUP(E177,[1]base!D:E,2,0)</f>
        <v>13</v>
      </c>
      <c r="Z177" s="29">
        <f t="shared" si="46"/>
        <v>2</v>
      </c>
      <c r="AA177" s="29">
        <f t="shared" si="47"/>
        <v>0.13333333333333339</v>
      </c>
      <c r="AB177" s="29">
        <f>+VLOOKUP(E177,[1]base!M:N,2,0)</f>
        <v>406</v>
      </c>
      <c r="AC177" s="29">
        <f>+VLOOKUP(E177,[1]base!M:Q,5,0)</f>
        <v>344.5</v>
      </c>
      <c r="AD177" s="30">
        <f>+VLOOKUP(E177,[1]base!M:P,4,0)</f>
        <v>4.9019607843137254E-3</v>
      </c>
      <c r="AE177" s="31">
        <f t="shared" si="48"/>
        <v>119.80980392156863</v>
      </c>
    </row>
    <row r="178" spans="1:31" s="32" customFormat="1" x14ac:dyDescent="0.25">
      <c r="A178" s="12" t="s">
        <v>1549</v>
      </c>
      <c r="B178" s="13">
        <v>46274.600347222222</v>
      </c>
      <c r="C178" s="12" t="s">
        <v>465</v>
      </c>
      <c r="D178" s="12" t="s">
        <v>1554</v>
      </c>
      <c r="E178" s="26" t="str">
        <f t="shared" si="42"/>
        <v>CO105</v>
      </c>
      <c r="F178" s="27" t="str">
        <f t="shared" si="43"/>
        <v>GRIS</v>
      </c>
      <c r="G178" s="27">
        <f>+VLOOKUP(F178,[1]base!A:B,2,0)</f>
        <v>22</v>
      </c>
      <c r="H178" s="12">
        <v>15</v>
      </c>
      <c r="I178" s="12">
        <v>15</v>
      </c>
      <c r="J178" s="14"/>
      <c r="K178" s="14" t="s">
        <v>61</v>
      </c>
      <c r="L178" s="12" t="s">
        <v>1560</v>
      </c>
      <c r="M178" s="12" t="s">
        <v>150</v>
      </c>
      <c r="N178" s="12">
        <v>15</v>
      </c>
      <c r="O178" s="12">
        <v>15</v>
      </c>
      <c r="P178" s="12">
        <v>0</v>
      </c>
      <c r="Q178" s="16">
        <v>15</v>
      </c>
      <c r="R178" s="16">
        <v>12</v>
      </c>
      <c r="S178" s="16"/>
      <c r="T178" s="28">
        <v>3</v>
      </c>
      <c r="U178" s="28"/>
      <c r="V178" s="29">
        <f>+VLOOKUP(E178,[1]base!D:K,8,0)</f>
        <v>3.5685000000000002</v>
      </c>
      <c r="W178" s="29">
        <f t="shared" si="44"/>
        <v>10.705500000000001</v>
      </c>
      <c r="X178" s="29">
        <f t="shared" si="45"/>
        <v>0.55668600000000001</v>
      </c>
      <c r="Y178" s="29">
        <f>+VLOOKUP(E178,[1]base!D:E,2,0)</f>
        <v>13</v>
      </c>
      <c r="Z178" s="29">
        <f t="shared" si="46"/>
        <v>1</v>
      </c>
      <c r="AA178" s="29">
        <f t="shared" si="47"/>
        <v>6.6666666666666693E-2</v>
      </c>
      <c r="AB178" s="29">
        <f>+VLOOKUP(E178,[1]base!M:N,2,0)</f>
        <v>7</v>
      </c>
      <c r="AC178" s="29">
        <f>+VLOOKUP(E178,[1]base!M:Q,5,0)</f>
        <v>375.1</v>
      </c>
      <c r="AD178" s="30">
        <f>+VLOOKUP(E178,[1]base!M:P,4,0)</f>
        <v>0.94890510948905105</v>
      </c>
      <c r="AE178" s="31">
        <f t="shared" si="48"/>
        <v>-4.5423357664233572</v>
      </c>
    </row>
    <row r="179" spans="1:31" s="32" customFormat="1" x14ac:dyDescent="0.25">
      <c r="A179" s="12" t="s">
        <v>1492</v>
      </c>
      <c r="B179" s="13">
        <v>46273.61005787037</v>
      </c>
      <c r="C179" s="12" t="s">
        <v>266</v>
      </c>
      <c r="D179" s="12" t="s">
        <v>1495</v>
      </c>
      <c r="E179" s="26" t="str">
        <f t="shared" si="42"/>
        <v>CO106</v>
      </c>
      <c r="F179" s="27" t="str">
        <f t="shared" si="43"/>
        <v>GRIS</v>
      </c>
      <c r="G179" s="27">
        <f>+VLOOKUP(F179,[1]base!A:B,2,0)</f>
        <v>22</v>
      </c>
      <c r="H179" s="12">
        <v>20</v>
      </c>
      <c r="I179" s="12">
        <v>20</v>
      </c>
      <c r="J179" s="14"/>
      <c r="K179" s="14" t="s">
        <v>61</v>
      </c>
      <c r="L179" s="12" t="s">
        <v>1514</v>
      </c>
      <c r="M179" s="12" t="s">
        <v>150</v>
      </c>
      <c r="N179" s="12">
        <v>20</v>
      </c>
      <c r="O179" s="12">
        <v>20</v>
      </c>
      <c r="P179" s="12">
        <v>0</v>
      </c>
      <c r="Q179" s="16">
        <v>20</v>
      </c>
      <c r="R179" s="16">
        <v>6</v>
      </c>
      <c r="S179" s="16"/>
      <c r="T179" s="28">
        <v>14</v>
      </c>
      <c r="U179" s="28">
        <v>6</v>
      </c>
      <c r="V179" s="29">
        <f>+VLOOKUP(E179,[1]base!D:K,8,0)</f>
        <v>4.3029999999999999</v>
      </c>
      <c r="W179" s="29">
        <f t="shared" si="44"/>
        <v>86.06</v>
      </c>
      <c r="X179" s="29">
        <f t="shared" si="45"/>
        <v>4.4751199999999995</v>
      </c>
      <c r="Y179" s="29">
        <f>+VLOOKUP(E179,[1]base!D:E,2,0)</f>
        <v>15</v>
      </c>
      <c r="Z179" s="29">
        <f t="shared" si="46"/>
        <v>1</v>
      </c>
      <c r="AA179" s="29">
        <f t="shared" si="47"/>
        <v>6.6666666666666693E-2</v>
      </c>
      <c r="AB179" s="29">
        <f>+VLOOKUP(E179,[1]base!M:N,2,0)</f>
        <v>125</v>
      </c>
      <c r="AC179" s="29">
        <f>+VLOOKUP(E179,[1]base!M:Q,5,0)</f>
        <v>453.90909090909093</v>
      </c>
      <c r="AD179" s="30">
        <f>+VLOOKUP(E179,[1]base!M:P,4,0)</f>
        <v>9.420289855072464E-2</v>
      </c>
      <c r="AE179" s="31">
        <f t="shared" si="48"/>
        <v>25.724637681159418</v>
      </c>
    </row>
    <row r="180" spans="1:31" s="32" customFormat="1" x14ac:dyDescent="0.25">
      <c r="A180" s="12" t="s">
        <v>667</v>
      </c>
      <c r="B180" s="13">
        <v>46252.518969907411</v>
      </c>
      <c r="C180" s="12" t="s">
        <v>522</v>
      </c>
      <c r="D180" s="12" t="s">
        <v>671</v>
      </c>
      <c r="E180" s="26" t="str">
        <f t="shared" si="42"/>
        <v>CO114</v>
      </c>
      <c r="F180" s="27" t="str">
        <f t="shared" si="43"/>
        <v>GRIS</v>
      </c>
      <c r="G180" s="27">
        <f>+VLOOKUP(F180,[1]base!A:B,2,0)</f>
        <v>22</v>
      </c>
      <c r="H180" s="12">
        <v>30</v>
      </c>
      <c r="I180" s="12">
        <v>30</v>
      </c>
      <c r="J180" s="14"/>
      <c r="K180" s="14" t="s">
        <v>61</v>
      </c>
      <c r="L180" s="12" t="s">
        <v>677</v>
      </c>
      <c r="M180" s="12" t="s">
        <v>150</v>
      </c>
      <c r="N180" s="12">
        <v>30</v>
      </c>
      <c r="O180" s="12">
        <v>30</v>
      </c>
      <c r="P180" s="12">
        <v>0</v>
      </c>
      <c r="Q180" s="16">
        <v>110</v>
      </c>
      <c r="R180" s="16">
        <v>1</v>
      </c>
      <c r="S180" s="16"/>
      <c r="T180" s="28">
        <v>30</v>
      </c>
      <c r="U180" s="28"/>
      <c r="V180" s="29">
        <f>+VLOOKUP(E180,[1]base!D:K,8,0)</f>
        <v>0.90350000000000008</v>
      </c>
      <c r="W180" s="29">
        <f t="shared" si="44"/>
        <v>27.105000000000004</v>
      </c>
      <c r="X180" s="29">
        <f t="shared" si="45"/>
        <v>1.4094600000000002</v>
      </c>
      <c r="Y180" s="29">
        <f>+VLOOKUP(E180,[1]base!D:E,2,0)</f>
        <v>20</v>
      </c>
      <c r="Z180" s="29">
        <f t="shared" si="46"/>
        <v>2</v>
      </c>
      <c r="AA180" s="29">
        <f t="shared" si="47"/>
        <v>0.13333333333333339</v>
      </c>
      <c r="AB180" s="29">
        <f>+VLOOKUP(E180,[1]base!M:N,2,0)</f>
        <v>2067</v>
      </c>
      <c r="AC180" s="29">
        <f>+VLOOKUP(E180,[1]base!M:Q,5,0)</f>
        <v>2162.818181818182</v>
      </c>
      <c r="AD180" s="30">
        <f>+VLOOKUP(E180,[1]base!M:P,4,0)</f>
        <v>0.13982521847690388</v>
      </c>
      <c r="AE180" s="31">
        <f t="shared" si="48"/>
        <v>331.08127340823967</v>
      </c>
    </row>
    <row r="181" spans="1:31" s="32" customFormat="1" x14ac:dyDescent="0.25">
      <c r="A181" s="12" t="s">
        <v>1218</v>
      </c>
      <c r="B181" s="13">
        <v>46268.354953703703</v>
      </c>
      <c r="C181" s="12" t="s">
        <v>24</v>
      </c>
      <c r="D181" s="12" t="s">
        <v>671</v>
      </c>
      <c r="E181" s="26" t="str">
        <f t="shared" si="42"/>
        <v>CO114</v>
      </c>
      <c r="F181" s="27" t="str">
        <f t="shared" si="43"/>
        <v>GRIS</v>
      </c>
      <c r="G181" s="27">
        <f>+VLOOKUP(F181,[1]base!A:B,2,0)</f>
        <v>22</v>
      </c>
      <c r="H181" s="12">
        <v>16</v>
      </c>
      <c r="I181" s="12">
        <v>16</v>
      </c>
      <c r="J181" s="14"/>
      <c r="K181" s="14" t="s">
        <v>61</v>
      </c>
      <c r="L181" s="12" t="s">
        <v>1222</v>
      </c>
      <c r="M181" s="12" t="s">
        <v>150</v>
      </c>
      <c r="N181" s="12">
        <v>16</v>
      </c>
      <c r="O181" s="12">
        <v>16</v>
      </c>
      <c r="P181" s="12">
        <v>0</v>
      </c>
      <c r="Q181" s="16">
        <v>16</v>
      </c>
      <c r="R181" s="16">
        <v>1</v>
      </c>
      <c r="S181" s="16"/>
      <c r="T181" s="28">
        <v>16</v>
      </c>
      <c r="U181" s="28"/>
      <c r="V181" s="29">
        <f>+VLOOKUP(E181,[1]base!D:K,8,0)</f>
        <v>0.90350000000000008</v>
      </c>
      <c r="W181" s="29">
        <f t="shared" si="44"/>
        <v>14.456000000000001</v>
      </c>
      <c r="X181" s="29">
        <f t="shared" si="45"/>
        <v>0.75171200000000005</v>
      </c>
      <c r="Y181" s="29">
        <f>+VLOOKUP(E181,[1]base!D:E,2,0)</f>
        <v>20</v>
      </c>
      <c r="Z181" s="29">
        <f t="shared" si="46"/>
        <v>1</v>
      </c>
      <c r="AA181" s="29">
        <f t="shared" si="47"/>
        <v>6.6666666666666693E-2</v>
      </c>
      <c r="AB181" s="29">
        <f>+VLOOKUP(E181,[1]base!M:N,2,0)</f>
        <v>2067</v>
      </c>
      <c r="AC181" s="29">
        <f>+VLOOKUP(E181,[1]base!M:Q,5,0)</f>
        <v>2162.818181818182</v>
      </c>
      <c r="AD181" s="30">
        <f>+VLOOKUP(E181,[1]base!M:P,4,0)</f>
        <v>0.13982521847690388</v>
      </c>
      <c r="AE181" s="31">
        <f t="shared" si="48"/>
        <v>331.08127340823967</v>
      </c>
    </row>
    <row r="182" spans="1:31" s="32" customFormat="1" x14ac:dyDescent="0.25">
      <c r="A182" s="12" t="s">
        <v>1492</v>
      </c>
      <c r="B182" s="13">
        <v>46273.61005787037</v>
      </c>
      <c r="C182" s="12" t="s">
        <v>266</v>
      </c>
      <c r="D182" s="12" t="s">
        <v>671</v>
      </c>
      <c r="E182" s="26" t="str">
        <f t="shared" si="42"/>
        <v>CO114</v>
      </c>
      <c r="F182" s="27" t="str">
        <f t="shared" si="43"/>
        <v>GRIS</v>
      </c>
      <c r="G182" s="27">
        <f>+VLOOKUP(F182,[1]base!A:B,2,0)</f>
        <v>22</v>
      </c>
      <c r="H182" s="12">
        <v>80</v>
      </c>
      <c r="I182" s="12">
        <v>80</v>
      </c>
      <c r="J182" s="14"/>
      <c r="K182" s="14" t="s">
        <v>61</v>
      </c>
      <c r="L182" s="12" t="s">
        <v>1504</v>
      </c>
      <c r="M182" s="12" t="s">
        <v>150</v>
      </c>
      <c r="N182" s="12">
        <v>80</v>
      </c>
      <c r="O182" s="12">
        <v>80</v>
      </c>
      <c r="P182" s="12">
        <v>0</v>
      </c>
      <c r="Q182" s="16">
        <v>80</v>
      </c>
      <c r="R182" s="16">
        <v>1</v>
      </c>
      <c r="S182" s="16"/>
      <c r="T182" s="28">
        <v>80</v>
      </c>
      <c r="U182" s="28"/>
      <c r="V182" s="29">
        <f>+VLOOKUP(E182,[1]base!D:K,8,0)</f>
        <v>0.90350000000000008</v>
      </c>
      <c r="W182" s="29">
        <f t="shared" si="44"/>
        <v>72.28</v>
      </c>
      <c r="X182" s="29">
        <f t="shared" si="45"/>
        <v>3.7585599999999997</v>
      </c>
      <c r="Y182" s="29">
        <f>+VLOOKUP(E182,[1]base!D:E,2,0)</f>
        <v>20</v>
      </c>
      <c r="Z182" s="29">
        <f t="shared" si="46"/>
        <v>4</v>
      </c>
      <c r="AA182" s="29">
        <f t="shared" si="47"/>
        <v>0.26666666666666677</v>
      </c>
      <c r="AB182" s="29">
        <f>+VLOOKUP(E182,[1]base!M:N,2,0)</f>
        <v>2067</v>
      </c>
      <c r="AC182" s="29">
        <f>+VLOOKUP(E182,[1]base!M:Q,5,0)</f>
        <v>2162.818181818182</v>
      </c>
      <c r="AD182" s="30">
        <f>+VLOOKUP(E182,[1]base!M:P,4,0)</f>
        <v>0.13982521847690388</v>
      </c>
      <c r="AE182" s="31">
        <f t="shared" si="48"/>
        <v>331.08127340823967</v>
      </c>
    </row>
    <row r="183" spans="1:31" s="32" customFormat="1" x14ac:dyDescent="0.25">
      <c r="A183" s="12" t="s">
        <v>1524</v>
      </c>
      <c r="B183" s="13">
        <v>46274.348136574074</v>
      </c>
      <c r="C183" s="12" t="s">
        <v>502</v>
      </c>
      <c r="D183" s="12" t="s">
        <v>1527</v>
      </c>
      <c r="E183" s="26" t="str">
        <f t="shared" si="42"/>
        <v>CSQ202</v>
      </c>
      <c r="F183" s="27" t="str">
        <f t="shared" si="43"/>
        <v>GRIS</v>
      </c>
      <c r="G183" s="27">
        <f>+VLOOKUP(F183,[1]base!A:B,2,0)</f>
        <v>22</v>
      </c>
      <c r="H183" s="12">
        <v>8</v>
      </c>
      <c r="I183" s="12">
        <v>8</v>
      </c>
      <c r="J183" s="14"/>
      <c r="K183" s="14" t="s">
        <v>61</v>
      </c>
      <c r="L183" s="12" t="s">
        <v>1529</v>
      </c>
      <c r="M183" s="12" t="s">
        <v>150</v>
      </c>
      <c r="N183" s="12">
        <v>8</v>
      </c>
      <c r="O183" s="12">
        <v>8</v>
      </c>
      <c r="P183" s="12">
        <v>0</v>
      </c>
      <c r="Q183" s="16">
        <v>8</v>
      </c>
      <c r="R183" s="16">
        <v>0</v>
      </c>
      <c r="S183" s="16"/>
      <c r="T183" s="28">
        <v>8</v>
      </c>
      <c r="U183" s="28"/>
      <c r="V183" s="29">
        <f>+VLOOKUP(E183,[1]base!D:K,8,0)</f>
        <v>5.6094999999999997</v>
      </c>
      <c r="W183" s="29">
        <f t="shared" si="44"/>
        <v>44.875999999999998</v>
      </c>
      <c r="X183" s="29">
        <f t="shared" si="45"/>
        <v>2.3335519999999996</v>
      </c>
      <c r="Y183" s="29">
        <f>+VLOOKUP(E183,[1]base!D:E,2,0)</f>
        <v>12</v>
      </c>
      <c r="Z183" s="29">
        <f t="shared" si="46"/>
        <v>1</v>
      </c>
      <c r="AA183" s="29">
        <f t="shared" si="47"/>
        <v>6.6666666666666693E-2</v>
      </c>
      <c r="AB183" s="29">
        <f>+VLOOKUP(E183,[1]base!M:N,2,0)</f>
        <v>1021</v>
      </c>
      <c r="AC183" s="29">
        <f>+VLOOKUP(E183,[1]base!M:Q,5,0)</f>
        <v>75.333333333333329</v>
      </c>
      <c r="AD183" s="30">
        <f>+VLOOKUP(E183,[1]base!M:P,4,0)</f>
        <v>2.9296875E-3</v>
      </c>
      <c r="AE183" s="31">
        <f t="shared" si="48"/>
        <v>303.30878906250001</v>
      </c>
    </row>
    <row r="184" spans="1:31" s="32" customFormat="1" x14ac:dyDescent="0.25">
      <c r="A184" s="12" t="s">
        <v>931</v>
      </c>
      <c r="B184" s="13">
        <v>46263.380335648151</v>
      </c>
      <c r="C184" s="12" t="s">
        <v>423</v>
      </c>
      <c r="D184" s="12" t="s">
        <v>936</v>
      </c>
      <c r="E184" s="26" t="str">
        <f t="shared" si="42"/>
        <v>EC22106</v>
      </c>
      <c r="F184" s="27" t="str">
        <f t="shared" si="43"/>
        <v>GRIS</v>
      </c>
      <c r="G184" s="27">
        <f>+VLOOKUP(F184,[1]base!A:B,2,0)</f>
        <v>22</v>
      </c>
      <c r="H184" s="12">
        <v>50</v>
      </c>
      <c r="I184" s="12">
        <v>50</v>
      </c>
      <c r="J184" s="14"/>
      <c r="K184" s="14" t="s">
        <v>61</v>
      </c>
      <c r="L184" s="12" t="s">
        <v>937</v>
      </c>
      <c r="M184" s="12" t="s">
        <v>150</v>
      </c>
      <c r="N184" s="12">
        <v>50</v>
      </c>
      <c r="O184" s="12">
        <v>50</v>
      </c>
      <c r="P184" s="12">
        <v>0</v>
      </c>
      <c r="Q184" s="16">
        <v>90</v>
      </c>
      <c r="R184" s="16">
        <v>0</v>
      </c>
      <c r="S184" s="16"/>
      <c r="T184" s="28">
        <v>50</v>
      </c>
      <c r="U184" s="28"/>
      <c r="V184" s="29">
        <f>+VLOOKUP(E184,[1]base!D:K,8,0)</f>
        <v>4.407</v>
      </c>
      <c r="W184" s="29">
        <f t="shared" si="44"/>
        <v>220.35</v>
      </c>
      <c r="X184" s="29">
        <f t="shared" si="45"/>
        <v>11.4582</v>
      </c>
      <c r="Y184" s="29">
        <f>+VLOOKUP(E184,[1]base!D:E,2,0)</f>
        <v>13</v>
      </c>
      <c r="Z184" s="29">
        <f t="shared" si="46"/>
        <v>4</v>
      </c>
      <c r="AA184" s="29">
        <f t="shared" si="47"/>
        <v>0.26666666666666677</v>
      </c>
      <c r="AB184" s="29">
        <f>+VLOOKUP(E184,[1]base!M:N,2,0)</f>
        <v>712</v>
      </c>
      <c r="AC184" s="29">
        <f>+VLOOKUP(E184,[1]base!M:Q,5,0)</f>
        <v>180</v>
      </c>
      <c r="AD184" s="30">
        <f>+VLOOKUP(E184,[1]base!M:P,4,0)</f>
        <v>0.37379067722075637</v>
      </c>
      <c r="AE184" s="31">
        <f t="shared" si="48"/>
        <v>-52.538962181178547</v>
      </c>
    </row>
    <row r="185" spans="1:31" s="32" customFormat="1" x14ac:dyDescent="0.25">
      <c r="A185" s="12" t="s">
        <v>953</v>
      </c>
      <c r="B185" s="13">
        <v>46263.483680555553</v>
      </c>
      <c r="C185" s="12" t="s">
        <v>423</v>
      </c>
      <c r="D185" s="12" t="s">
        <v>552</v>
      </c>
      <c r="E185" s="26" t="str">
        <f t="shared" si="42"/>
        <v>EC40100</v>
      </c>
      <c r="F185" s="27" t="str">
        <f t="shared" si="43"/>
        <v>GRIS</v>
      </c>
      <c r="G185" s="27">
        <f>+VLOOKUP(F185,[1]base!A:B,2,0)</f>
        <v>22</v>
      </c>
      <c r="H185" s="12">
        <v>150</v>
      </c>
      <c r="I185" s="12">
        <v>150</v>
      </c>
      <c r="J185" s="14"/>
      <c r="K185" s="14" t="s">
        <v>61</v>
      </c>
      <c r="L185" s="12" t="s">
        <v>957</v>
      </c>
      <c r="M185" s="12" t="s">
        <v>150</v>
      </c>
      <c r="N185" s="12">
        <v>150</v>
      </c>
      <c r="O185" s="12">
        <v>150</v>
      </c>
      <c r="P185" s="12">
        <v>0</v>
      </c>
      <c r="Q185" s="16">
        <v>150</v>
      </c>
      <c r="R185" s="16">
        <v>0</v>
      </c>
      <c r="S185" s="16"/>
      <c r="T185" s="28">
        <v>150</v>
      </c>
      <c r="U185" s="28"/>
      <c r="V185" s="29">
        <f>+VLOOKUP(E185,[1]base!D:K,8,0)</f>
        <v>4.1340000000000003</v>
      </c>
      <c r="W185" s="29">
        <f t="shared" si="44"/>
        <v>620.1</v>
      </c>
      <c r="X185" s="29">
        <f t="shared" si="45"/>
        <v>32.245199999999997</v>
      </c>
      <c r="Y185" s="29">
        <f>+VLOOKUP(E185,[1]base!D:E,2,0)</f>
        <v>13</v>
      </c>
      <c r="Z185" s="29">
        <f t="shared" si="46"/>
        <v>12</v>
      </c>
      <c r="AA185" s="29">
        <f t="shared" si="47"/>
        <v>0.80000000000000027</v>
      </c>
      <c r="AB185" s="29">
        <f>+VLOOKUP(E185,[1]base!M:N,2,0)</f>
        <v>442</v>
      </c>
      <c r="AC185" s="29">
        <f>+VLOOKUP(E185,[1]base!M:Q,5,0)</f>
        <v>2247.5454545454545</v>
      </c>
      <c r="AD185" s="30">
        <f>+VLOOKUP(E185,[1]base!M:P,4,0)</f>
        <v>9.9796334012219962E-2</v>
      </c>
      <c r="AE185" s="31">
        <f t="shared" si="48"/>
        <v>88.49002036659877</v>
      </c>
    </row>
    <row r="186" spans="1:31" s="32" customFormat="1" x14ac:dyDescent="0.25">
      <c r="A186" s="12" t="s">
        <v>1197</v>
      </c>
      <c r="B186" s="13">
        <v>46267.551539351851</v>
      </c>
      <c r="C186" s="12" t="s">
        <v>24</v>
      </c>
      <c r="D186" s="12" t="s">
        <v>552</v>
      </c>
      <c r="E186" s="26" t="str">
        <f t="shared" si="42"/>
        <v>EC40100</v>
      </c>
      <c r="F186" s="27" t="str">
        <f t="shared" si="43"/>
        <v>GRIS</v>
      </c>
      <c r="G186" s="27">
        <f>+VLOOKUP(F186,[1]base!A:B,2,0)</f>
        <v>22</v>
      </c>
      <c r="H186" s="12">
        <v>200</v>
      </c>
      <c r="I186" s="12">
        <v>200</v>
      </c>
      <c r="J186" s="14"/>
      <c r="K186" s="14" t="s">
        <v>61</v>
      </c>
      <c r="L186" s="12" t="s">
        <v>1208</v>
      </c>
      <c r="M186" s="12" t="s">
        <v>150</v>
      </c>
      <c r="N186" s="12">
        <v>200</v>
      </c>
      <c r="O186" s="12">
        <v>200</v>
      </c>
      <c r="P186" s="12">
        <v>0</v>
      </c>
      <c r="Q186" s="16">
        <v>800</v>
      </c>
      <c r="R186" s="16">
        <v>0</v>
      </c>
      <c r="S186" s="16"/>
      <c r="T186" s="28">
        <v>200</v>
      </c>
      <c r="U186" s="28"/>
      <c r="V186" s="29">
        <f>+VLOOKUP(E186,[1]base!D:K,8,0)</f>
        <v>4.1340000000000003</v>
      </c>
      <c r="W186" s="29">
        <f t="shared" si="44"/>
        <v>826.80000000000007</v>
      </c>
      <c r="X186" s="29">
        <f t="shared" si="45"/>
        <v>42.993600000000001</v>
      </c>
      <c r="Y186" s="29">
        <f>+VLOOKUP(E186,[1]base!D:E,2,0)</f>
        <v>13</v>
      </c>
      <c r="Z186" s="29">
        <f t="shared" si="46"/>
        <v>16</v>
      </c>
      <c r="AA186" s="29">
        <f t="shared" si="47"/>
        <v>1.0666666666666671</v>
      </c>
      <c r="AB186" s="29">
        <f>+VLOOKUP(E186,[1]base!M:N,2,0)</f>
        <v>442</v>
      </c>
      <c r="AC186" s="29">
        <f>+VLOOKUP(E186,[1]base!M:Q,5,0)</f>
        <v>2247.5454545454545</v>
      </c>
      <c r="AD186" s="30">
        <f>+VLOOKUP(E186,[1]base!M:P,4,0)</f>
        <v>9.9796334012219962E-2</v>
      </c>
      <c r="AE186" s="31">
        <f t="shared" si="48"/>
        <v>88.49002036659877</v>
      </c>
    </row>
    <row r="187" spans="1:31" s="32" customFormat="1" x14ac:dyDescent="0.25">
      <c r="A187" s="12" t="s">
        <v>1492</v>
      </c>
      <c r="B187" s="13">
        <v>46273.61005787037</v>
      </c>
      <c r="C187" s="12" t="s">
        <v>266</v>
      </c>
      <c r="D187" s="12" t="s">
        <v>552</v>
      </c>
      <c r="E187" s="26" t="str">
        <f t="shared" si="42"/>
        <v>EC40100</v>
      </c>
      <c r="F187" s="27" t="str">
        <f t="shared" si="43"/>
        <v>GRIS</v>
      </c>
      <c r="G187" s="27">
        <f>+VLOOKUP(F187,[1]base!A:B,2,0)</f>
        <v>22</v>
      </c>
      <c r="H187" s="12">
        <v>20</v>
      </c>
      <c r="I187" s="12">
        <v>20</v>
      </c>
      <c r="J187" s="14"/>
      <c r="K187" s="14" t="s">
        <v>61</v>
      </c>
      <c r="L187" s="12" t="s">
        <v>1507</v>
      </c>
      <c r="M187" s="12" t="s">
        <v>150</v>
      </c>
      <c r="N187" s="12">
        <v>20</v>
      </c>
      <c r="O187" s="12">
        <v>20</v>
      </c>
      <c r="P187" s="12">
        <v>0</v>
      </c>
      <c r="Q187" s="16">
        <v>20</v>
      </c>
      <c r="R187" s="16">
        <v>0</v>
      </c>
      <c r="S187" s="16"/>
      <c r="T187" s="28">
        <v>20</v>
      </c>
      <c r="U187" s="28"/>
      <c r="V187" s="29">
        <f>+VLOOKUP(E187,[1]base!D:K,8,0)</f>
        <v>4.1340000000000003</v>
      </c>
      <c r="W187" s="29">
        <f t="shared" si="44"/>
        <v>82.68</v>
      </c>
      <c r="X187" s="29">
        <f t="shared" si="45"/>
        <v>4.2993600000000001</v>
      </c>
      <c r="Y187" s="29">
        <f>+VLOOKUP(E187,[1]base!D:E,2,0)</f>
        <v>13</v>
      </c>
      <c r="Z187" s="29">
        <f t="shared" si="46"/>
        <v>2</v>
      </c>
      <c r="AA187" s="29">
        <f t="shared" si="47"/>
        <v>0.13333333333333339</v>
      </c>
      <c r="AB187" s="29">
        <f>+VLOOKUP(E187,[1]base!M:N,2,0)</f>
        <v>442</v>
      </c>
      <c r="AC187" s="29">
        <f>+VLOOKUP(E187,[1]base!M:Q,5,0)</f>
        <v>2247.5454545454545</v>
      </c>
      <c r="AD187" s="30">
        <f>+VLOOKUP(E187,[1]base!M:P,4,0)</f>
        <v>9.9796334012219962E-2</v>
      </c>
      <c r="AE187" s="31">
        <f t="shared" si="48"/>
        <v>88.49002036659877</v>
      </c>
    </row>
    <row r="188" spans="1:31" s="32" customFormat="1" x14ac:dyDescent="0.25">
      <c r="A188" s="12" t="s">
        <v>983</v>
      </c>
      <c r="B188" s="13">
        <v>46265.499872685185</v>
      </c>
      <c r="C188" s="12" t="s">
        <v>986</v>
      </c>
      <c r="D188" s="12" t="s">
        <v>987</v>
      </c>
      <c r="E188" s="26" t="str">
        <f t="shared" si="42"/>
        <v>EC40102</v>
      </c>
      <c r="F188" s="27" t="str">
        <f t="shared" si="43"/>
        <v>GRIS</v>
      </c>
      <c r="G188" s="27">
        <f>+VLOOKUP(F188,[1]base!A:B,2,0)</f>
        <v>22</v>
      </c>
      <c r="H188" s="12">
        <v>12</v>
      </c>
      <c r="I188" s="12">
        <v>12</v>
      </c>
      <c r="J188" s="14"/>
      <c r="K188" s="14" t="s">
        <v>61</v>
      </c>
      <c r="L188" s="12" t="s">
        <v>989</v>
      </c>
      <c r="M188" s="12" t="s">
        <v>150</v>
      </c>
      <c r="N188" s="12">
        <v>12</v>
      </c>
      <c r="O188" s="12">
        <v>12</v>
      </c>
      <c r="P188" s="12">
        <v>0</v>
      </c>
      <c r="Q188" s="16">
        <v>12</v>
      </c>
      <c r="R188" s="16">
        <v>0</v>
      </c>
      <c r="S188" s="16"/>
      <c r="T188" s="28">
        <v>12</v>
      </c>
      <c r="U188" s="28"/>
      <c r="V188" s="29">
        <f>+VLOOKUP(E188,[1]base!D:K,8,0)</f>
        <v>3.2825000000000002</v>
      </c>
      <c r="W188" s="29">
        <f t="shared" si="44"/>
        <v>39.39</v>
      </c>
      <c r="X188" s="29">
        <f t="shared" si="45"/>
        <v>2.0482800000000001</v>
      </c>
      <c r="Y188" s="29">
        <f>+VLOOKUP(E188,[1]base!D:E,2,0)</f>
        <v>13</v>
      </c>
      <c r="Z188" s="29">
        <f t="shared" si="46"/>
        <v>1</v>
      </c>
      <c r="AA188" s="29">
        <f t="shared" si="47"/>
        <v>6.6666666666666693E-2</v>
      </c>
      <c r="AB188" s="29">
        <f>+VLOOKUP(E188,[1]base!M:N,2,0)</f>
        <v>6</v>
      </c>
      <c r="AC188" s="29">
        <f>+VLOOKUP(E188,[1]base!M:Q,5,0)</f>
        <v>824.22222222222217</v>
      </c>
      <c r="AD188" s="30">
        <f>+VLOOKUP(E188,[1]base!M:P,4,0)</f>
        <v>0.45454545454545453</v>
      </c>
      <c r="AE188" s="31">
        <f t="shared" si="48"/>
        <v>-0.92727272727272725</v>
      </c>
    </row>
    <row r="189" spans="1:31" s="32" customFormat="1" x14ac:dyDescent="0.25">
      <c r="A189" s="12" t="s">
        <v>1241</v>
      </c>
      <c r="B189" s="13">
        <v>46268.574664351851</v>
      </c>
      <c r="C189" s="12" t="s">
        <v>368</v>
      </c>
      <c r="D189" s="12" t="s">
        <v>987</v>
      </c>
      <c r="E189" s="26" t="str">
        <f t="shared" si="42"/>
        <v>EC40102</v>
      </c>
      <c r="F189" s="27" t="str">
        <f t="shared" si="43"/>
        <v>GRIS</v>
      </c>
      <c r="G189" s="27">
        <f>+VLOOKUP(F189,[1]base!A:B,2,0)</f>
        <v>22</v>
      </c>
      <c r="H189" s="12">
        <v>2</v>
      </c>
      <c r="I189" s="12">
        <v>2</v>
      </c>
      <c r="J189" s="14"/>
      <c r="K189" s="14" t="s">
        <v>61</v>
      </c>
      <c r="L189" s="12" t="s">
        <v>1247</v>
      </c>
      <c r="M189" s="12" t="s">
        <v>150</v>
      </c>
      <c r="N189" s="12">
        <v>2</v>
      </c>
      <c r="O189" s="12">
        <v>2</v>
      </c>
      <c r="P189" s="12">
        <v>0</v>
      </c>
      <c r="Q189" s="16">
        <v>2</v>
      </c>
      <c r="R189" s="16">
        <v>0</v>
      </c>
      <c r="S189" s="16"/>
      <c r="T189" s="28">
        <v>2</v>
      </c>
      <c r="U189" s="28"/>
      <c r="V189" s="29">
        <f>+VLOOKUP(E189,[1]base!D:K,8,0)</f>
        <v>3.2825000000000002</v>
      </c>
      <c r="W189" s="29">
        <f t="shared" si="44"/>
        <v>6.5650000000000004</v>
      </c>
      <c r="X189" s="29">
        <f t="shared" si="45"/>
        <v>0.34138000000000002</v>
      </c>
      <c r="Y189" s="29">
        <f>+VLOOKUP(E189,[1]base!D:E,2,0)</f>
        <v>13</v>
      </c>
      <c r="Z189" s="29">
        <f t="shared" si="46"/>
        <v>1</v>
      </c>
      <c r="AA189" s="29">
        <f t="shared" si="47"/>
        <v>6.6666666666666693E-2</v>
      </c>
      <c r="AB189" s="29">
        <f>+VLOOKUP(E189,[1]base!M:N,2,0)</f>
        <v>6</v>
      </c>
      <c r="AC189" s="29">
        <f>+VLOOKUP(E189,[1]base!M:Q,5,0)</f>
        <v>824.22222222222217</v>
      </c>
      <c r="AD189" s="30">
        <f>+VLOOKUP(E189,[1]base!M:P,4,0)</f>
        <v>0.45454545454545453</v>
      </c>
      <c r="AE189" s="31">
        <f t="shared" si="48"/>
        <v>-0.92727272727272725</v>
      </c>
    </row>
    <row r="190" spans="1:31" s="32" customFormat="1" x14ac:dyDescent="0.25">
      <c r="A190" s="12" t="s">
        <v>372</v>
      </c>
      <c r="B190" s="13">
        <v>46212.477118055554</v>
      </c>
      <c r="C190" s="12" t="s">
        <v>24</v>
      </c>
      <c r="D190" s="12" t="s">
        <v>375</v>
      </c>
      <c r="E190" s="26" t="str">
        <f t="shared" si="42"/>
        <v>EC40104</v>
      </c>
      <c r="F190" s="27" t="str">
        <f t="shared" si="43"/>
        <v>GRIS</v>
      </c>
      <c r="G190" s="27">
        <f>+VLOOKUP(F190,[1]base!A:B,2,0)</f>
        <v>22</v>
      </c>
      <c r="H190" s="12">
        <v>15</v>
      </c>
      <c r="I190" s="12">
        <v>15</v>
      </c>
      <c r="J190" s="14"/>
      <c r="K190" s="14" t="s">
        <v>61</v>
      </c>
      <c r="L190" s="12" t="s">
        <v>376</v>
      </c>
      <c r="M190" s="12" t="s">
        <v>150</v>
      </c>
      <c r="N190" s="12">
        <v>15</v>
      </c>
      <c r="O190" s="12">
        <v>15</v>
      </c>
      <c r="P190" s="12">
        <v>0</v>
      </c>
      <c r="Q190" s="16">
        <v>25</v>
      </c>
      <c r="R190" s="16">
        <v>0</v>
      </c>
      <c r="S190" s="16"/>
      <c r="T190" s="28">
        <v>15</v>
      </c>
      <c r="U190" s="28"/>
      <c r="V190" s="29">
        <f>+VLOOKUP(E190,[1]base!D:K,8,0)</f>
        <v>5.7004999999999999</v>
      </c>
      <c r="W190" s="29">
        <f t="shared" si="44"/>
        <v>85.507499999999993</v>
      </c>
      <c r="X190" s="29">
        <f t="shared" si="45"/>
        <v>4.4463899999999992</v>
      </c>
      <c r="Y190" s="29">
        <f>+VLOOKUP(E190,[1]base!D:E,2,0)</f>
        <v>13</v>
      </c>
      <c r="Z190" s="29">
        <f t="shared" si="46"/>
        <v>2</v>
      </c>
      <c r="AA190" s="29">
        <f t="shared" si="47"/>
        <v>0.13333333333333339</v>
      </c>
      <c r="AB190" s="29">
        <f>+VLOOKUP(E190,[1]base!M:N,2,0)</f>
        <v>57</v>
      </c>
      <c r="AC190" s="29">
        <f>+VLOOKUP(E190,[1]base!M:Q,5,0)</f>
        <v>150.71428571428572</v>
      </c>
      <c r="AD190" s="30">
        <f>+VLOOKUP(E190,[1]base!M:P,4,0)</f>
        <v>3.3898305084745763E-2</v>
      </c>
      <c r="AE190" s="31">
        <f t="shared" si="48"/>
        <v>15.167796610169489</v>
      </c>
    </row>
    <row r="191" spans="1:31" s="32" customFormat="1" x14ac:dyDescent="0.25">
      <c r="A191" s="12" t="s">
        <v>1197</v>
      </c>
      <c r="B191" s="13">
        <v>46267.551539351851</v>
      </c>
      <c r="C191" s="12" t="s">
        <v>24</v>
      </c>
      <c r="D191" s="12" t="s">
        <v>375</v>
      </c>
      <c r="E191" s="26" t="str">
        <f t="shared" si="42"/>
        <v>EC40104</v>
      </c>
      <c r="F191" s="27" t="str">
        <f t="shared" si="43"/>
        <v>GRIS</v>
      </c>
      <c r="G191" s="27">
        <f>+VLOOKUP(F191,[1]base!A:B,2,0)</f>
        <v>22</v>
      </c>
      <c r="H191" s="12">
        <v>45</v>
      </c>
      <c r="I191" s="12">
        <v>45</v>
      </c>
      <c r="J191" s="14"/>
      <c r="K191" s="14" t="s">
        <v>61</v>
      </c>
      <c r="L191" s="12" t="s">
        <v>1217</v>
      </c>
      <c r="M191" s="12" t="s">
        <v>150</v>
      </c>
      <c r="N191" s="12">
        <v>45</v>
      </c>
      <c r="O191" s="12">
        <v>45</v>
      </c>
      <c r="P191" s="12">
        <v>0</v>
      </c>
      <c r="Q191" s="16">
        <v>135</v>
      </c>
      <c r="R191" s="16">
        <v>0</v>
      </c>
      <c r="S191" s="16"/>
      <c r="T191" s="28">
        <v>45</v>
      </c>
      <c r="U191" s="28"/>
      <c r="V191" s="29">
        <f>+VLOOKUP(E191,[1]base!D:K,8,0)</f>
        <v>5.7004999999999999</v>
      </c>
      <c r="W191" s="29">
        <f t="shared" si="44"/>
        <v>256.52249999999998</v>
      </c>
      <c r="X191" s="29">
        <f t="shared" si="45"/>
        <v>13.339169999999998</v>
      </c>
      <c r="Y191" s="29">
        <f>+VLOOKUP(E191,[1]base!D:E,2,0)</f>
        <v>13</v>
      </c>
      <c r="Z191" s="29">
        <f t="shared" si="46"/>
        <v>4</v>
      </c>
      <c r="AA191" s="29">
        <f t="shared" si="47"/>
        <v>0.26666666666666677</v>
      </c>
      <c r="AB191" s="29">
        <f>+VLOOKUP(E191,[1]base!M:N,2,0)</f>
        <v>57</v>
      </c>
      <c r="AC191" s="29">
        <f>+VLOOKUP(E191,[1]base!M:Q,5,0)</f>
        <v>150.71428571428572</v>
      </c>
      <c r="AD191" s="30">
        <f>+VLOOKUP(E191,[1]base!M:P,4,0)</f>
        <v>3.3898305084745763E-2</v>
      </c>
      <c r="AE191" s="31">
        <f t="shared" si="48"/>
        <v>15.167796610169489</v>
      </c>
    </row>
    <row r="192" spans="1:31" s="32" customFormat="1" x14ac:dyDescent="0.25">
      <c r="A192" s="12" t="s">
        <v>1549</v>
      </c>
      <c r="B192" s="13">
        <v>46274.600347222222</v>
      </c>
      <c r="C192" s="12" t="s">
        <v>465</v>
      </c>
      <c r="D192" s="12" t="s">
        <v>375</v>
      </c>
      <c r="E192" s="26" t="str">
        <f t="shared" si="42"/>
        <v>EC40104</v>
      </c>
      <c r="F192" s="27" t="str">
        <f t="shared" si="43"/>
        <v>GRIS</v>
      </c>
      <c r="G192" s="27">
        <f>+VLOOKUP(F192,[1]base!A:B,2,0)</f>
        <v>22</v>
      </c>
      <c r="H192" s="12">
        <v>9</v>
      </c>
      <c r="I192" s="12">
        <v>9</v>
      </c>
      <c r="J192" s="14"/>
      <c r="K192" s="14" t="s">
        <v>61</v>
      </c>
      <c r="L192" s="12" t="s">
        <v>1561</v>
      </c>
      <c r="M192" s="12" t="s">
        <v>150</v>
      </c>
      <c r="N192" s="12">
        <v>9</v>
      </c>
      <c r="O192" s="12">
        <v>9</v>
      </c>
      <c r="P192" s="12">
        <v>0</v>
      </c>
      <c r="Q192" s="16">
        <v>9</v>
      </c>
      <c r="R192" s="16">
        <v>0</v>
      </c>
      <c r="S192" s="16"/>
      <c r="T192" s="28">
        <v>9</v>
      </c>
      <c r="U192" s="28"/>
      <c r="V192" s="29">
        <f>+VLOOKUP(E192,[1]base!D:K,8,0)</f>
        <v>5.7004999999999999</v>
      </c>
      <c r="W192" s="29">
        <f t="shared" si="44"/>
        <v>51.304499999999997</v>
      </c>
      <c r="X192" s="29">
        <f t="shared" si="45"/>
        <v>2.6678339999999996</v>
      </c>
      <c r="Y192" s="29">
        <f>+VLOOKUP(E192,[1]base!D:E,2,0)</f>
        <v>13</v>
      </c>
      <c r="Z192" s="29">
        <f t="shared" si="46"/>
        <v>1</v>
      </c>
      <c r="AA192" s="29">
        <f t="shared" si="47"/>
        <v>6.6666666666666693E-2</v>
      </c>
      <c r="AB192" s="29">
        <f>+VLOOKUP(E192,[1]base!M:N,2,0)</f>
        <v>57</v>
      </c>
      <c r="AC192" s="29">
        <f>+VLOOKUP(E192,[1]base!M:Q,5,0)</f>
        <v>150.71428571428572</v>
      </c>
      <c r="AD192" s="30">
        <f>+VLOOKUP(E192,[1]base!M:P,4,0)</f>
        <v>3.3898305084745763E-2</v>
      </c>
      <c r="AE192" s="31">
        <f t="shared" si="48"/>
        <v>15.167796610169489</v>
      </c>
    </row>
    <row r="193" spans="1:31" s="32" customFormat="1" x14ac:dyDescent="0.25">
      <c r="A193" s="12" t="s">
        <v>1549</v>
      </c>
      <c r="B193" s="13">
        <v>46274.600347222222</v>
      </c>
      <c r="C193" s="12" t="s">
        <v>465</v>
      </c>
      <c r="D193" s="12" t="s">
        <v>550</v>
      </c>
      <c r="E193" s="26" t="str">
        <f t="shared" si="42"/>
        <v>EC40112</v>
      </c>
      <c r="F193" s="27" t="str">
        <f t="shared" si="43"/>
        <v>GRIS</v>
      </c>
      <c r="G193" s="27">
        <f>+VLOOKUP(F193,[1]base!A:B,2,0)</f>
        <v>22</v>
      </c>
      <c r="H193" s="12">
        <v>12</v>
      </c>
      <c r="I193" s="12">
        <v>12</v>
      </c>
      <c r="J193" s="14"/>
      <c r="K193" s="14" t="s">
        <v>61</v>
      </c>
      <c r="L193" s="12" t="s">
        <v>1552</v>
      </c>
      <c r="M193" s="12" t="s">
        <v>150</v>
      </c>
      <c r="N193" s="12">
        <v>12</v>
      </c>
      <c r="O193" s="12">
        <v>12</v>
      </c>
      <c r="P193" s="12">
        <v>0</v>
      </c>
      <c r="Q193" s="16">
        <v>12</v>
      </c>
      <c r="R193" s="16">
        <v>0</v>
      </c>
      <c r="S193" s="16"/>
      <c r="T193" s="28">
        <v>12</v>
      </c>
      <c r="U193" s="28"/>
      <c r="V193" s="29">
        <f>+VLOOKUP(E193,[1]base!D:K,8,0)</f>
        <v>4.16</v>
      </c>
      <c r="W193" s="29">
        <f t="shared" si="44"/>
        <v>49.92</v>
      </c>
      <c r="X193" s="29">
        <f t="shared" si="45"/>
        <v>2.5958399999999999</v>
      </c>
      <c r="Y193" s="29">
        <f>+VLOOKUP(E193,[1]base!D:E,2,0)</f>
        <v>14</v>
      </c>
      <c r="Z193" s="29">
        <f t="shared" si="46"/>
        <v>1</v>
      </c>
      <c r="AA193" s="29">
        <f t="shared" si="47"/>
        <v>6.6666666666666693E-2</v>
      </c>
      <c r="AB193" s="29">
        <f>+VLOOKUP(E193,[1]base!M:N,2,0)</f>
        <v>19</v>
      </c>
      <c r="AC193" s="29">
        <f>+VLOOKUP(E193,[1]base!M:Q,5,0)</f>
        <v>268.39999999999998</v>
      </c>
      <c r="AD193" s="30">
        <f>+VLOOKUP(E193,[1]base!M:P,4,0)</f>
        <v>0.32142857142857145</v>
      </c>
      <c r="AE193" s="31">
        <f t="shared" si="48"/>
        <v>-0.40714285714285781</v>
      </c>
    </row>
    <row r="194" spans="1:31" s="32" customFormat="1" x14ac:dyDescent="0.25">
      <c r="A194" s="12" t="s">
        <v>1197</v>
      </c>
      <c r="B194" s="13">
        <v>46267.551539351851</v>
      </c>
      <c r="C194" s="12" t="s">
        <v>24</v>
      </c>
      <c r="D194" s="12" t="s">
        <v>551</v>
      </c>
      <c r="E194" s="26" t="str">
        <f t="shared" si="42"/>
        <v>EC40121</v>
      </c>
      <c r="F194" s="27" t="str">
        <f t="shared" si="43"/>
        <v>GRIS</v>
      </c>
      <c r="G194" s="27">
        <f>+VLOOKUP(F194,[1]base!A:B,2,0)</f>
        <v>22</v>
      </c>
      <c r="H194" s="12">
        <v>20</v>
      </c>
      <c r="I194" s="12">
        <v>20</v>
      </c>
      <c r="J194" s="14"/>
      <c r="K194" s="14" t="s">
        <v>61</v>
      </c>
      <c r="L194" s="12" t="s">
        <v>1206</v>
      </c>
      <c r="M194" s="12" t="s">
        <v>150</v>
      </c>
      <c r="N194" s="12">
        <v>20</v>
      </c>
      <c r="O194" s="12">
        <v>20</v>
      </c>
      <c r="P194" s="12">
        <v>0</v>
      </c>
      <c r="Q194" s="16">
        <v>20</v>
      </c>
      <c r="R194" s="16">
        <v>0</v>
      </c>
      <c r="S194" s="16"/>
      <c r="T194" s="28">
        <v>20</v>
      </c>
      <c r="U194" s="28"/>
      <c r="V194" s="29">
        <f>+VLOOKUP(E194,[1]base!D:K,8,0)</f>
        <v>8.7554999999999996</v>
      </c>
      <c r="W194" s="29">
        <f t="shared" si="44"/>
        <v>175.10999999999999</v>
      </c>
      <c r="X194" s="29">
        <f t="shared" si="45"/>
        <v>9.105719999999998</v>
      </c>
      <c r="Y194" s="29">
        <f>+VLOOKUP(E194,[1]base!D:E,2,0)</f>
        <v>9</v>
      </c>
      <c r="Z194" s="29">
        <f t="shared" si="46"/>
        <v>3</v>
      </c>
      <c r="AA194" s="29">
        <f t="shared" si="47"/>
        <v>0.20000000000000007</v>
      </c>
      <c r="AB194" s="29">
        <f>+VLOOKUP(E194,[1]base!M:N,2,0)</f>
        <v>91</v>
      </c>
      <c r="AC194" s="29">
        <f>+VLOOKUP(E194,[1]base!M:Q,5,0)</f>
        <v>272.25</v>
      </c>
      <c r="AD194" s="30">
        <f>+VLOOKUP(E194,[1]base!M:P,4,0)</f>
        <v>0</v>
      </c>
      <c r="AE194" s="31">
        <f t="shared" si="48"/>
        <v>27.3</v>
      </c>
    </row>
    <row r="195" spans="1:31" x14ac:dyDescent="0.25">
      <c r="A195" s="12" t="s">
        <v>1492</v>
      </c>
      <c r="B195" s="13">
        <v>46273.61005787037</v>
      </c>
      <c r="C195" s="12" t="s">
        <v>266</v>
      </c>
      <c r="D195" s="12" t="s">
        <v>551</v>
      </c>
      <c r="E195" s="26" t="str">
        <f t="shared" si="42"/>
        <v>EC40121</v>
      </c>
      <c r="F195" s="27" t="str">
        <f t="shared" si="43"/>
        <v>GRIS</v>
      </c>
      <c r="G195" s="27">
        <f>+VLOOKUP(F195,[1]base!A:B,2,0)</f>
        <v>22</v>
      </c>
      <c r="H195" s="12">
        <v>4</v>
      </c>
      <c r="I195" s="12">
        <v>4</v>
      </c>
      <c r="J195" s="14"/>
      <c r="K195" s="14" t="s">
        <v>61</v>
      </c>
      <c r="L195" s="12" t="s">
        <v>1506</v>
      </c>
      <c r="M195" s="12" t="s">
        <v>150</v>
      </c>
      <c r="N195" s="12">
        <v>4</v>
      </c>
      <c r="O195" s="12">
        <v>4</v>
      </c>
      <c r="P195" s="12">
        <v>0</v>
      </c>
      <c r="Q195" s="16">
        <v>4</v>
      </c>
      <c r="R195" s="16">
        <v>0</v>
      </c>
      <c r="S195" s="16"/>
      <c r="T195" s="28">
        <v>4</v>
      </c>
      <c r="U195" s="28"/>
      <c r="V195" s="29">
        <f>+VLOOKUP(E195,[1]base!D:K,8,0)</f>
        <v>8.7554999999999996</v>
      </c>
      <c r="W195" s="29">
        <f t="shared" si="44"/>
        <v>35.021999999999998</v>
      </c>
      <c r="X195" s="29">
        <f t="shared" si="45"/>
        <v>1.8211439999999999</v>
      </c>
      <c r="Y195" s="29">
        <f>+VLOOKUP(E195,[1]base!D:E,2,0)</f>
        <v>9</v>
      </c>
      <c r="Z195" s="29">
        <f t="shared" si="46"/>
        <v>1</v>
      </c>
      <c r="AA195" s="29">
        <f t="shared" si="47"/>
        <v>6.6666666666666693E-2</v>
      </c>
      <c r="AB195" s="29">
        <f>+VLOOKUP(E195,[1]base!M:N,2,0)</f>
        <v>91</v>
      </c>
      <c r="AC195" s="29">
        <f>+VLOOKUP(E195,[1]base!M:Q,5,0)</f>
        <v>272.25</v>
      </c>
      <c r="AD195" s="30">
        <f>+VLOOKUP(E195,[1]base!M:P,4,0)</f>
        <v>0</v>
      </c>
      <c r="AE195" s="31">
        <f t="shared" si="48"/>
        <v>27.3</v>
      </c>
    </row>
    <row r="196" spans="1:31" s="32" customFormat="1" x14ac:dyDescent="0.25">
      <c r="A196" s="12" t="s">
        <v>1492</v>
      </c>
      <c r="B196" s="13">
        <v>46273.61005787037</v>
      </c>
      <c r="C196" s="12" t="s">
        <v>266</v>
      </c>
      <c r="D196" s="12" t="s">
        <v>549</v>
      </c>
      <c r="E196" s="26" t="str">
        <f t="shared" si="42"/>
        <v>EC40148</v>
      </c>
      <c r="F196" s="27" t="str">
        <f t="shared" si="43"/>
        <v>GRIS</v>
      </c>
      <c r="G196" s="27">
        <f>+VLOOKUP(F196,[1]base!A:B,2,0)</f>
        <v>22</v>
      </c>
      <c r="H196" s="12">
        <v>18</v>
      </c>
      <c r="I196" s="12">
        <v>18</v>
      </c>
      <c r="J196" s="14"/>
      <c r="K196" s="14" t="s">
        <v>61</v>
      </c>
      <c r="L196" s="12" t="s">
        <v>1505</v>
      </c>
      <c r="M196" s="12" t="s">
        <v>150</v>
      </c>
      <c r="N196" s="12">
        <v>18</v>
      </c>
      <c r="O196" s="12">
        <v>18</v>
      </c>
      <c r="P196" s="12">
        <v>0</v>
      </c>
      <c r="Q196" s="16">
        <v>18</v>
      </c>
      <c r="R196" s="16">
        <v>1</v>
      </c>
      <c r="S196" s="16"/>
      <c r="T196" s="28">
        <v>17</v>
      </c>
      <c r="U196" s="28">
        <v>1</v>
      </c>
      <c r="V196" s="29">
        <f>+VLOOKUP(E196,[1]base!D:K,8,0)</f>
        <v>4.1989999999999998</v>
      </c>
      <c r="W196" s="29">
        <f t="shared" si="44"/>
        <v>75.581999999999994</v>
      </c>
      <c r="X196" s="29">
        <f t="shared" si="45"/>
        <v>3.9302639999999993</v>
      </c>
      <c r="Y196" s="29">
        <f>+VLOOKUP(E196,[1]base!D:E,2,0)</f>
        <v>13</v>
      </c>
      <c r="Z196" s="29">
        <f t="shared" si="46"/>
        <v>2</v>
      </c>
      <c r="AA196" s="29">
        <f t="shared" si="47"/>
        <v>0.13333333333333339</v>
      </c>
      <c r="AB196" s="29">
        <f>+VLOOKUP(E196,[1]base!M:N,2,0)</f>
        <v>180</v>
      </c>
      <c r="AC196" s="29">
        <f>+VLOOKUP(E196,[1]base!M:Q,5,0)</f>
        <v>317.5</v>
      </c>
      <c r="AD196" s="30">
        <f>+VLOOKUP(E196,[1]base!M:P,4,0)</f>
        <v>0.10891089108910891</v>
      </c>
      <c r="AE196" s="31">
        <f t="shared" si="48"/>
        <v>34.396039603960396</v>
      </c>
    </row>
    <row r="197" spans="1:31" s="32" customFormat="1" x14ac:dyDescent="0.25">
      <c r="A197" s="12" t="s">
        <v>1197</v>
      </c>
      <c r="B197" s="13">
        <v>46267.551539351851</v>
      </c>
      <c r="C197" s="12" t="s">
        <v>24</v>
      </c>
      <c r="D197" s="12" t="s">
        <v>1202</v>
      </c>
      <c r="E197" s="26" t="str">
        <f t="shared" si="42"/>
        <v>EC40154</v>
      </c>
      <c r="F197" s="27" t="str">
        <f t="shared" si="43"/>
        <v>GRIS</v>
      </c>
      <c r="G197" s="27">
        <f>+VLOOKUP(F197,[1]base!A:B,2,0)</f>
        <v>22</v>
      </c>
      <c r="H197" s="12">
        <v>10</v>
      </c>
      <c r="I197" s="12">
        <v>10</v>
      </c>
      <c r="J197" s="14"/>
      <c r="K197" s="14" t="s">
        <v>61</v>
      </c>
      <c r="L197" s="12" t="s">
        <v>1212</v>
      </c>
      <c r="M197" s="12" t="s">
        <v>150</v>
      </c>
      <c r="N197" s="12">
        <v>10</v>
      </c>
      <c r="O197" s="12">
        <v>10</v>
      </c>
      <c r="P197" s="12">
        <v>0</v>
      </c>
      <c r="Q197" s="16">
        <v>30</v>
      </c>
      <c r="R197" s="16">
        <v>0</v>
      </c>
      <c r="S197" s="16"/>
      <c r="T197" s="28">
        <v>10</v>
      </c>
      <c r="U197" s="28"/>
      <c r="V197" s="29">
        <f>+VLOOKUP(E197,[1]base!D:K,8,0)</f>
        <v>8.7100000000000009</v>
      </c>
      <c r="W197" s="29">
        <f t="shared" si="44"/>
        <v>87.100000000000009</v>
      </c>
      <c r="X197" s="29">
        <f t="shared" si="45"/>
        <v>4.5292000000000003</v>
      </c>
      <c r="Y197" s="29">
        <f>+VLOOKUP(E197,[1]base!D:E,2,0)</f>
        <v>9</v>
      </c>
      <c r="Z197" s="29">
        <f t="shared" si="46"/>
        <v>2</v>
      </c>
      <c r="AA197" s="29">
        <f t="shared" si="47"/>
        <v>0.13333333333333339</v>
      </c>
      <c r="AB197" s="29">
        <f>+VLOOKUP(E197,[1]base!M:N,2,0)</f>
        <v>287</v>
      </c>
      <c r="AC197" s="29">
        <f>+VLOOKUP(E197,[1]base!M:Q,5,0)</f>
        <v>102.83333333333333</v>
      </c>
      <c r="AD197" s="30">
        <f>+VLOOKUP(E197,[1]base!M:P,4,0)</f>
        <v>1.3745704467353952E-2</v>
      </c>
      <c r="AE197" s="31">
        <f t="shared" si="48"/>
        <v>82.15498281786941</v>
      </c>
    </row>
    <row r="198" spans="1:31" s="32" customFormat="1" x14ac:dyDescent="0.25">
      <c r="A198" s="12" t="s">
        <v>1260</v>
      </c>
      <c r="B198" s="13">
        <v>46268.598344907405</v>
      </c>
      <c r="C198" s="12" t="s">
        <v>522</v>
      </c>
      <c r="D198" s="12" t="s">
        <v>1202</v>
      </c>
      <c r="E198" s="26" t="str">
        <f t="shared" si="42"/>
        <v>EC40154</v>
      </c>
      <c r="F198" s="27" t="str">
        <f t="shared" si="43"/>
        <v>GRIS</v>
      </c>
      <c r="G198" s="27">
        <f>+VLOOKUP(F198,[1]base!A:B,2,0)</f>
        <v>22</v>
      </c>
      <c r="H198" s="12">
        <v>4</v>
      </c>
      <c r="I198" s="12">
        <v>4</v>
      </c>
      <c r="J198" s="14"/>
      <c r="K198" s="14" t="s">
        <v>61</v>
      </c>
      <c r="L198" s="12" t="s">
        <v>1269</v>
      </c>
      <c r="M198" s="12" t="s">
        <v>150</v>
      </c>
      <c r="N198" s="12">
        <v>4</v>
      </c>
      <c r="O198" s="12">
        <v>4</v>
      </c>
      <c r="P198" s="12">
        <v>0</v>
      </c>
      <c r="Q198" s="16">
        <v>4</v>
      </c>
      <c r="R198" s="16">
        <v>0</v>
      </c>
      <c r="S198" s="16"/>
      <c r="T198" s="28">
        <v>4</v>
      </c>
      <c r="U198" s="28"/>
      <c r="V198" s="29">
        <f>+VLOOKUP(E198,[1]base!D:K,8,0)</f>
        <v>8.7100000000000009</v>
      </c>
      <c r="W198" s="29">
        <f t="shared" si="44"/>
        <v>34.840000000000003</v>
      </c>
      <c r="X198" s="29">
        <f t="shared" si="45"/>
        <v>1.8116800000000002</v>
      </c>
      <c r="Y198" s="29">
        <f>+VLOOKUP(E198,[1]base!D:E,2,0)</f>
        <v>9</v>
      </c>
      <c r="Z198" s="29">
        <f t="shared" si="46"/>
        <v>1</v>
      </c>
      <c r="AA198" s="29">
        <f t="shared" si="47"/>
        <v>6.6666666666666693E-2</v>
      </c>
      <c r="AB198" s="29">
        <f>+VLOOKUP(E198,[1]base!M:N,2,0)</f>
        <v>287</v>
      </c>
      <c r="AC198" s="29">
        <f>+VLOOKUP(E198,[1]base!M:Q,5,0)</f>
        <v>102.83333333333333</v>
      </c>
      <c r="AD198" s="30">
        <f>+VLOOKUP(E198,[1]base!M:P,4,0)</f>
        <v>1.3745704467353952E-2</v>
      </c>
      <c r="AE198" s="31">
        <f t="shared" si="48"/>
        <v>82.15498281786941</v>
      </c>
    </row>
    <row r="199" spans="1:31" s="32" customFormat="1" x14ac:dyDescent="0.25">
      <c r="A199" s="12" t="s">
        <v>1492</v>
      </c>
      <c r="B199" s="13">
        <v>46273.61005787037</v>
      </c>
      <c r="C199" s="12" t="s">
        <v>266</v>
      </c>
      <c r="D199" s="12" t="s">
        <v>1202</v>
      </c>
      <c r="E199" s="26" t="str">
        <f t="shared" si="42"/>
        <v>EC40154</v>
      </c>
      <c r="F199" s="27" t="str">
        <f t="shared" si="43"/>
        <v>GRIS</v>
      </c>
      <c r="G199" s="27">
        <f>+VLOOKUP(F199,[1]base!A:B,2,0)</f>
        <v>22</v>
      </c>
      <c r="H199" s="12">
        <v>6</v>
      </c>
      <c r="I199" s="12">
        <v>6</v>
      </c>
      <c r="J199" s="14"/>
      <c r="K199" s="14" t="s">
        <v>61</v>
      </c>
      <c r="L199" s="12" t="s">
        <v>1508</v>
      </c>
      <c r="M199" s="12" t="s">
        <v>150</v>
      </c>
      <c r="N199" s="12">
        <v>6</v>
      </c>
      <c r="O199" s="12">
        <v>6</v>
      </c>
      <c r="P199" s="12">
        <v>0</v>
      </c>
      <c r="Q199" s="16">
        <v>6</v>
      </c>
      <c r="R199" s="16">
        <v>0</v>
      </c>
      <c r="S199" s="16"/>
      <c r="T199" s="28">
        <v>6</v>
      </c>
      <c r="U199" s="28"/>
      <c r="V199" s="29">
        <f>+VLOOKUP(E199,[1]base!D:K,8,0)</f>
        <v>8.7100000000000009</v>
      </c>
      <c r="W199" s="29">
        <f t="shared" si="44"/>
        <v>52.260000000000005</v>
      </c>
      <c r="X199" s="29">
        <f t="shared" si="45"/>
        <v>2.7175199999999999</v>
      </c>
      <c r="Y199" s="29">
        <f>+VLOOKUP(E199,[1]base!D:E,2,0)</f>
        <v>9</v>
      </c>
      <c r="Z199" s="29">
        <f t="shared" si="46"/>
        <v>1</v>
      </c>
      <c r="AA199" s="29">
        <f t="shared" si="47"/>
        <v>6.6666666666666693E-2</v>
      </c>
      <c r="AB199" s="29">
        <f>+VLOOKUP(E199,[1]base!M:N,2,0)</f>
        <v>287</v>
      </c>
      <c r="AC199" s="29">
        <f>+VLOOKUP(E199,[1]base!M:Q,5,0)</f>
        <v>102.83333333333333</v>
      </c>
      <c r="AD199" s="30">
        <f>+VLOOKUP(E199,[1]base!M:P,4,0)</f>
        <v>1.3745704467353952E-2</v>
      </c>
      <c r="AE199" s="31">
        <f t="shared" si="48"/>
        <v>82.15498281786941</v>
      </c>
    </row>
    <row r="200" spans="1:31" s="32" customFormat="1" x14ac:dyDescent="0.25">
      <c r="A200" s="12" t="s">
        <v>471</v>
      </c>
      <c r="B200" s="13">
        <v>46228.313125000001</v>
      </c>
      <c r="C200" s="12" t="s">
        <v>266</v>
      </c>
      <c r="D200" s="12" t="s">
        <v>472</v>
      </c>
      <c r="E200" s="26" t="str">
        <f t="shared" si="42"/>
        <v>EC40166</v>
      </c>
      <c r="F200" s="27" t="str">
        <f t="shared" si="43"/>
        <v>GRIS</v>
      </c>
      <c r="G200" s="27">
        <f>+VLOOKUP(F200,[1]base!A:B,2,0)</f>
        <v>22</v>
      </c>
      <c r="H200" s="12">
        <v>30</v>
      </c>
      <c r="I200" s="12">
        <v>30</v>
      </c>
      <c r="J200" s="14"/>
      <c r="K200" s="14" t="s">
        <v>61</v>
      </c>
      <c r="L200" s="12" t="s">
        <v>473</v>
      </c>
      <c r="M200" s="12" t="s">
        <v>150</v>
      </c>
      <c r="N200" s="12">
        <v>30</v>
      </c>
      <c r="O200" s="12">
        <v>30</v>
      </c>
      <c r="P200" s="12">
        <v>0</v>
      </c>
      <c r="Q200" s="16">
        <v>30</v>
      </c>
      <c r="R200" s="16">
        <v>0</v>
      </c>
      <c r="S200" s="16"/>
      <c r="T200" s="28">
        <v>30</v>
      </c>
      <c r="U200" s="28"/>
      <c r="V200" s="29">
        <f>+VLOOKUP(E200,[1]base!D:K,8,0)</f>
        <v>1.482</v>
      </c>
      <c r="W200" s="29">
        <f t="shared" si="44"/>
        <v>44.46</v>
      </c>
      <c r="X200" s="29">
        <f t="shared" si="45"/>
        <v>2.3119199999999998</v>
      </c>
      <c r="Y200" s="29">
        <f>+VLOOKUP(E200,[1]base!D:E,2,0)</f>
        <v>20</v>
      </c>
      <c r="Z200" s="29">
        <f t="shared" si="46"/>
        <v>2</v>
      </c>
      <c r="AA200" s="29">
        <f t="shared" si="47"/>
        <v>0.13333333333333339</v>
      </c>
      <c r="AB200" s="29">
        <f>+VLOOKUP(E200,[1]base!M:N,2,0)</f>
        <v>245</v>
      </c>
      <c r="AC200" s="29">
        <f>+VLOOKUP(E200,[1]base!M:Q,5,0)</f>
        <v>2305.5454545454545</v>
      </c>
      <c r="AD200" s="30">
        <f>+VLOOKUP(E200,[1]base!M:P,4,0)</f>
        <v>2.7777777777777776E-2</v>
      </c>
      <c r="AE200" s="31">
        <f t="shared" si="48"/>
        <v>66.694444444444443</v>
      </c>
    </row>
    <row r="201" spans="1:31" s="32" customFormat="1" x14ac:dyDescent="0.25">
      <c r="A201" s="12" t="s">
        <v>547</v>
      </c>
      <c r="B201" s="13">
        <v>46240.550856481481</v>
      </c>
      <c r="C201" s="12" t="s">
        <v>548</v>
      </c>
      <c r="D201" s="12" t="s">
        <v>472</v>
      </c>
      <c r="E201" s="26" t="str">
        <f t="shared" si="42"/>
        <v>EC40166</v>
      </c>
      <c r="F201" s="27" t="str">
        <f t="shared" si="43"/>
        <v>GRIS</v>
      </c>
      <c r="G201" s="27">
        <f>+VLOOKUP(F201,[1]base!A:B,2,0)</f>
        <v>22</v>
      </c>
      <c r="H201" s="12">
        <v>50</v>
      </c>
      <c r="I201" s="12">
        <v>50</v>
      </c>
      <c r="J201" s="14"/>
      <c r="K201" s="14" t="s">
        <v>61</v>
      </c>
      <c r="L201" s="12" t="s">
        <v>554</v>
      </c>
      <c r="M201" s="12" t="s">
        <v>150</v>
      </c>
      <c r="N201" s="12">
        <v>50</v>
      </c>
      <c r="O201" s="12">
        <v>50</v>
      </c>
      <c r="P201" s="12">
        <v>0</v>
      </c>
      <c r="Q201" s="16">
        <v>80</v>
      </c>
      <c r="R201" s="16">
        <v>0</v>
      </c>
      <c r="S201" s="16"/>
      <c r="T201" s="28">
        <v>50</v>
      </c>
      <c r="U201" s="28"/>
      <c r="V201" s="29">
        <f>+VLOOKUP(E201,[1]base!D:K,8,0)</f>
        <v>1.482</v>
      </c>
      <c r="W201" s="29">
        <f t="shared" si="44"/>
        <v>74.099999999999994</v>
      </c>
      <c r="X201" s="29">
        <f t="shared" si="45"/>
        <v>3.8531999999999997</v>
      </c>
      <c r="Y201" s="29">
        <f>+VLOOKUP(E201,[1]base!D:E,2,0)</f>
        <v>20</v>
      </c>
      <c r="Z201" s="29">
        <f t="shared" si="46"/>
        <v>3</v>
      </c>
      <c r="AA201" s="29">
        <f t="shared" si="47"/>
        <v>0.20000000000000007</v>
      </c>
      <c r="AB201" s="29">
        <f>+VLOOKUP(E201,[1]base!M:N,2,0)</f>
        <v>245</v>
      </c>
      <c r="AC201" s="29">
        <f>+VLOOKUP(E201,[1]base!M:Q,5,0)</f>
        <v>2305.5454545454545</v>
      </c>
      <c r="AD201" s="30">
        <f>+VLOOKUP(E201,[1]base!M:P,4,0)</f>
        <v>2.7777777777777776E-2</v>
      </c>
      <c r="AE201" s="31">
        <f t="shared" si="48"/>
        <v>66.694444444444443</v>
      </c>
    </row>
    <row r="202" spans="1:31" s="32" customFormat="1" x14ac:dyDescent="0.25">
      <c r="A202" s="12" t="s">
        <v>953</v>
      </c>
      <c r="B202" s="13">
        <v>46263.483680555553</v>
      </c>
      <c r="C202" s="12" t="s">
        <v>423</v>
      </c>
      <c r="D202" s="12" t="s">
        <v>472</v>
      </c>
      <c r="E202" s="26" t="str">
        <f t="shared" si="42"/>
        <v>EC40166</v>
      </c>
      <c r="F202" s="27" t="str">
        <f t="shared" si="43"/>
        <v>GRIS</v>
      </c>
      <c r="G202" s="27">
        <f>+VLOOKUP(F202,[1]base!A:B,2,0)</f>
        <v>22</v>
      </c>
      <c r="H202" s="12">
        <v>100</v>
      </c>
      <c r="I202" s="12">
        <v>100</v>
      </c>
      <c r="J202" s="14"/>
      <c r="K202" s="14" t="s">
        <v>61</v>
      </c>
      <c r="L202" s="12" t="s">
        <v>958</v>
      </c>
      <c r="M202" s="12" t="s">
        <v>150</v>
      </c>
      <c r="N202" s="12">
        <v>100</v>
      </c>
      <c r="O202" s="12">
        <v>100</v>
      </c>
      <c r="P202" s="12">
        <v>0</v>
      </c>
      <c r="Q202" s="16">
        <v>100</v>
      </c>
      <c r="R202" s="16">
        <v>0</v>
      </c>
      <c r="S202" s="16"/>
      <c r="T202" s="28">
        <v>100</v>
      </c>
      <c r="U202" s="28"/>
      <c r="V202" s="29">
        <f>+VLOOKUP(E202,[1]base!D:K,8,0)</f>
        <v>1.482</v>
      </c>
      <c r="W202" s="29">
        <f t="shared" si="44"/>
        <v>148.19999999999999</v>
      </c>
      <c r="X202" s="29">
        <f t="shared" si="45"/>
        <v>7.7063999999999995</v>
      </c>
      <c r="Y202" s="29">
        <f>+VLOOKUP(E202,[1]base!D:E,2,0)</f>
        <v>20</v>
      </c>
      <c r="Z202" s="29">
        <f t="shared" si="46"/>
        <v>5</v>
      </c>
      <c r="AA202" s="29">
        <f t="shared" si="47"/>
        <v>0.33333333333333348</v>
      </c>
      <c r="AB202" s="29">
        <f>+VLOOKUP(E202,[1]base!M:N,2,0)</f>
        <v>245</v>
      </c>
      <c r="AC202" s="29">
        <f>+VLOOKUP(E202,[1]base!M:Q,5,0)</f>
        <v>2305.5454545454545</v>
      </c>
      <c r="AD202" s="30">
        <f>+VLOOKUP(E202,[1]base!M:P,4,0)</f>
        <v>2.7777777777777776E-2</v>
      </c>
      <c r="AE202" s="31">
        <f t="shared" si="48"/>
        <v>66.694444444444443</v>
      </c>
    </row>
    <row r="203" spans="1:31" s="32" customFormat="1" x14ac:dyDescent="0.25">
      <c r="A203" s="12" t="s">
        <v>983</v>
      </c>
      <c r="B203" s="13">
        <v>46265.499872685185</v>
      </c>
      <c r="C203" s="12" t="s">
        <v>986</v>
      </c>
      <c r="D203" s="12" t="s">
        <v>472</v>
      </c>
      <c r="E203" s="26" t="str">
        <f t="shared" ref="E203:E234" si="49">_xlfn.TEXTBEFORE(D203, "-", -1, 1, , D203)</f>
        <v>EC40166</v>
      </c>
      <c r="F203" s="27" t="str">
        <f t="shared" ref="F203:F234" si="50">_xlfn.TEXTAFTER(D203, "-", -1, 1, , "")</f>
        <v>GRIS</v>
      </c>
      <c r="G203" s="27">
        <f>+VLOOKUP(F203,[1]base!A:B,2,0)</f>
        <v>22</v>
      </c>
      <c r="H203" s="12">
        <v>100</v>
      </c>
      <c r="I203" s="12">
        <v>100</v>
      </c>
      <c r="J203" s="14"/>
      <c r="K203" s="14" t="s">
        <v>61</v>
      </c>
      <c r="L203" s="12" t="s">
        <v>990</v>
      </c>
      <c r="M203" s="12" t="s">
        <v>150</v>
      </c>
      <c r="N203" s="12">
        <v>100</v>
      </c>
      <c r="O203" s="12">
        <v>100</v>
      </c>
      <c r="P203" s="12">
        <v>0</v>
      </c>
      <c r="Q203" s="16">
        <v>100</v>
      </c>
      <c r="R203" s="16">
        <v>0</v>
      </c>
      <c r="S203" s="16"/>
      <c r="T203" s="28">
        <v>100</v>
      </c>
      <c r="U203" s="28"/>
      <c r="V203" s="29">
        <f>+VLOOKUP(E203,[1]base!D:K,8,0)</f>
        <v>1.482</v>
      </c>
      <c r="W203" s="29">
        <f t="shared" ref="W203:W234" si="51">(T203+U203)*V203</f>
        <v>148.19999999999999</v>
      </c>
      <c r="X203" s="29">
        <f t="shared" ref="X203:X234" si="52">+W203*0.052</f>
        <v>7.7063999999999995</v>
      </c>
      <c r="Y203" s="29">
        <f>+VLOOKUP(E203,[1]base!D:E,2,0)</f>
        <v>20</v>
      </c>
      <c r="Z203" s="29">
        <f t="shared" ref="Z203:Z234" si="53">ROUNDUP(T203/Y203,0)</f>
        <v>5</v>
      </c>
      <c r="AA203" s="29">
        <f t="shared" ref="AA203:AA234" si="54">+Z203*0.0666666666666667</f>
        <v>0.33333333333333348</v>
      </c>
      <c r="AB203" s="29">
        <f>+VLOOKUP(E203,[1]base!M:N,2,0)</f>
        <v>245</v>
      </c>
      <c r="AC203" s="29">
        <f>+VLOOKUP(E203,[1]base!M:Q,5,0)</f>
        <v>2305.5454545454545</v>
      </c>
      <c r="AD203" s="30">
        <f>+VLOOKUP(E203,[1]base!M:P,4,0)</f>
        <v>2.7777777777777776E-2</v>
      </c>
      <c r="AE203" s="31">
        <f t="shared" ref="AE203:AE234" si="55">+AB203*(30%-AD203)</f>
        <v>66.694444444444443</v>
      </c>
    </row>
    <row r="204" spans="1:31" s="32" customFormat="1" x14ac:dyDescent="0.25">
      <c r="A204" s="12" t="s">
        <v>1260</v>
      </c>
      <c r="B204" s="13">
        <v>46268.598344907405</v>
      </c>
      <c r="C204" s="12" t="s">
        <v>522</v>
      </c>
      <c r="D204" s="12" t="s">
        <v>472</v>
      </c>
      <c r="E204" s="26" t="str">
        <f t="shared" si="49"/>
        <v>EC40166</v>
      </c>
      <c r="F204" s="27" t="str">
        <f t="shared" si="50"/>
        <v>GRIS</v>
      </c>
      <c r="G204" s="27">
        <f>+VLOOKUP(F204,[1]base!A:B,2,0)</f>
        <v>22</v>
      </c>
      <c r="H204" s="12">
        <v>60</v>
      </c>
      <c r="I204" s="12">
        <v>60</v>
      </c>
      <c r="J204" s="14"/>
      <c r="K204" s="14" t="s">
        <v>61</v>
      </c>
      <c r="L204" s="12" t="s">
        <v>1268</v>
      </c>
      <c r="M204" s="12" t="s">
        <v>150</v>
      </c>
      <c r="N204" s="12">
        <v>60</v>
      </c>
      <c r="O204" s="12">
        <v>60</v>
      </c>
      <c r="P204" s="12">
        <v>0</v>
      </c>
      <c r="Q204" s="16">
        <v>60</v>
      </c>
      <c r="R204" s="16">
        <v>0</v>
      </c>
      <c r="S204" s="16"/>
      <c r="T204" s="28">
        <v>60</v>
      </c>
      <c r="U204" s="28"/>
      <c r="V204" s="29">
        <f>+VLOOKUP(E204,[1]base!D:K,8,0)</f>
        <v>1.482</v>
      </c>
      <c r="W204" s="29">
        <f t="shared" si="51"/>
        <v>88.92</v>
      </c>
      <c r="X204" s="29">
        <f t="shared" si="52"/>
        <v>4.6238399999999995</v>
      </c>
      <c r="Y204" s="29">
        <f>+VLOOKUP(E204,[1]base!D:E,2,0)</f>
        <v>20</v>
      </c>
      <c r="Z204" s="29">
        <f t="shared" si="53"/>
        <v>3</v>
      </c>
      <c r="AA204" s="29">
        <f t="shared" si="54"/>
        <v>0.20000000000000007</v>
      </c>
      <c r="AB204" s="29">
        <f>+VLOOKUP(E204,[1]base!M:N,2,0)</f>
        <v>245</v>
      </c>
      <c r="AC204" s="29">
        <f>+VLOOKUP(E204,[1]base!M:Q,5,0)</f>
        <v>2305.5454545454545</v>
      </c>
      <c r="AD204" s="30">
        <f>+VLOOKUP(E204,[1]base!M:P,4,0)</f>
        <v>2.7777777777777776E-2</v>
      </c>
      <c r="AE204" s="31">
        <f t="shared" si="55"/>
        <v>66.694444444444443</v>
      </c>
    </row>
    <row r="205" spans="1:31" s="32" customFormat="1" x14ac:dyDescent="0.25">
      <c r="A205" s="12" t="s">
        <v>1549</v>
      </c>
      <c r="B205" s="13">
        <v>46274.600347222222</v>
      </c>
      <c r="C205" s="12" t="s">
        <v>465</v>
      </c>
      <c r="D205" s="12" t="s">
        <v>472</v>
      </c>
      <c r="E205" s="26" t="str">
        <f t="shared" si="49"/>
        <v>EC40166</v>
      </c>
      <c r="F205" s="27" t="str">
        <f t="shared" si="50"/>
        <v>GRIS</v>
      </c>
      <c r="G205" s="27">
        <f>+VLOOKUP(F205,[1]base!A:B,2,0)</f>
        <v>22</v>
      </c>
      <c r="H205" s="12">
        <v>40</v>
      </c>
      <c r="I205" s="12">
        <v>40</v>
      </c>
      <c r="J205" s="14"/>
      <c r="K205" s="14" t="s">
        <v>61</v>
      </c>
      <c r="L205" s="12" t="s">
        <v>1553</v>
      </c>
      <c r="M205" s="12" t="s">
        <v>150</v>
      </c>
      <c r="N205" s="12">
        <v>40</v>
      </c>
      <c r="O205" s="12">
        <v>40</v>
      </c>
      <c r="P205" s="12">
        <v>0</v>
      </c>
      <c r="Q205" s="16">
        <v>40</v>
      </c>
      <c r="R205" s="16">
        <v>0</v>
      </c>
      <c r="S205" s="16"/>
      <c r="T205" s="28">
        <v>40</v>
      </c>
      <c r="U205" s="28"/>
      <c r="V205" s="29">
        <f>+VLOOKUP(E205,[1]base!D:K,8,0)</f>
        <v>1.482</v>
      </c>
      <c r="W205" s="29">
        <f t="shared" si="51"/>
        <v>59.28</v>
      </c>
      <c r="X205" s="29">
        <f t="shared" si="52"/>
        <v>3.08256</v>
      </c>
      <c r="Y205" s="29">
        <f>+VLOOKUP(E205,[1]base!D:E,2,0)</f>
        <v>20</v>
      </c>
      <c r="Z205" s="29">
        <f t="shared" si="53"/>
        <v>2</v>
      </c>
      <c r="AA205" s="29">
        <f t="shared" si="54"/>
        <v>0.13333333333333339</v>
      </c>
      <c r="AB205" s="29">
        <f>+VLOOKUP(E205,[1]base!M:N,2,0)</f>
        <v>245</v>
      </c>
      <c r="AC205" s="29">
        <f>+VLOOKUP(E205,[1]base!M:Q,5,0)</f>
        <v>2305.5454545454545</v>
      </c>
      <c r="AD205" s="30">
        <f>+VLOOKUP(E205,[1]base!M:P,4,0)</f>
        <v>2.7777777777777776E-2</v>
      </c>
      <c r="AE205" s="31">
        <f t="shared" si="55"/>
        <v>66.694444444444443</v>
      </c>
    </row>
    <row r="206" spans="1:31" s="32" customFormat="1" x14ac:dyDescent="0.25">
      <c r="A206" s="12" t="s">
        <v>547</v>
      </c>
      <c r="B206" s="13">
        <v>46240.550856481481</v>
      </c>
      <c r="C206" s="12" t="s">
        <v>548</v>
      </c>
      <c r="D206" s="12" t="s">
        <v>559</v>
      </c>
      <c r="E206" s="26" t="str">
        <f t="shared" si="49"/>
        <v>EC40402</v>
      </c>
      <c r="F206" s="27" t="str">
        <f t="shared" si="50"/>
        <v>GRIS</v>
      </c>
      <c r="G206" s="27">
        <f>+VLOOKUP(F206,[1]base!A:B,2,0)</f>
        <v>22</v>
      </c>
      <c r="H206" s="12">
        <v>40</v>
      </c>
      <c r="I206" s="12">
        <v>40</v>
      </c>
      <c r="J206" s="14"/>
      <c r="K206" s="14" t="s">
        <v>61</v>
      </c>
      <c r="L206" s="12" t="s">
        <v>564</v>
      </c>
      <c r="M206" s="12" t="s">
        <v>150</v>
      </c>
      <c r="N206" s="12">
        <v>40</v>
      </c>
      <c r="O206" s="12">
        <v>40</v>
      </c>
      <c r="P206" s="12">
        <v>0</v>
      </c>
      <c r="Q206" s="16">
        <v>120</v>
      </c>
      <c r="R206" s="16">
        <v>0</v>
      </c>
      <c r="S206" s="16"/>
      <c r="T206" s="28">
        <v>40</v>
      </c>
      <c r="U206" s="28"/>
      <c r="V206" s="29">
        <f>+VLOOKUP(E206,[1]base!D:K,8,0)</f>
        <v>4.2250000000000005</v>
      </c>
      <c r="W206" s="29">
        <f t="shared" si="51"/>
        <v>169.00000000000003</v>
      </c>
      <c r="X206" s="29">
        <f t="shared" si="52"/>
        <v>8.7880000000000003</v>
      </c>
      <c r="Y206" s="29">
        <f>+VLOOKUP(E206,[1]base!D:E,2,0)</f>
        <v>13</v>
      </c>
      <c r="Z206" s="29">
        <f t="shared" si="53"/>
        <v>4</v>
      </c>
      <c r="AA206" s="29">
        <f t="shared" si="54"/>
        <v>0.26666666666666677</v>
      </c>
      <c r="AB206" s="29">
        <f>+VLOOKUP(E206,[1]base!M:N,2,0)</f>
        <v>2283</v>
      </c>
      <c r="AC206" s="29">
        <f>+VLOOKUP(E206,[1]base!M:Q,5,0)</f>
        <v>1635.090909090909</v>
      </c>
      <c r="AD206" s="30">
        <f>+VLOOKUP(E206,[1]base!M:P,4,0)</f>
        <v>8.4603047313552532E-2</v>
      </c>
      <c r="AE206" s="31">
        <f t="shared" si="55"/>
        <v>491.75124298315956</v>
      </c>
    </row>
    <row r="207" spans="1:31" s="32" customFormat="1" x14ac:dyDescent="0.25">
      <c r="A207" s="12" t="s">
        <v>953</v>
      </c>
      <c r="B207" s="13">
        <v>46263.483680555553</v>
      </c>
      <c r="C207" s="12" t="s">
        <v>423</v>
      </c>
      <c r="D207" s="12" t="s">
        <v>559</v>
      </c>
      <c r="E207" s="26" t="str">
        <f t="shared" si="49"/>
        <v>EC40402</v>
      </c>
      <c r="F207" s="27" t="str">
        <f t="shared" si="50"/>
        <v>GRIS</v>
      </c>
      <c r="G207" s="27">
        <f>+VLOOKUP(F207,[1]base!A:B,2,0)</f>
        <v>22</v>
      </c>
      <c r="H207" s="12">
        <v>100</v>
      </c>
      <c r="I207" s="12">
        <v>100</v>
      </c>
      <c r="J207" s="14"/>
      <c r="K207" s="14" t="s">
        <v>61</v>
      </c>
      <c r="L207" s="12" t="s">
        <v>960</v>
      </c>
      <c r="M207" s="12" t="s">
        <v>150</v>
      </c>
      <c r="N207" s="12">
        <v>100</v>
      </c>
      <c r="O207" s="12">
        <v>100</v>
      </c>
      <c r="P207" s="12">
        <v>0</v>
      </c>
      <c r="Q207" s="16">
        <v>100</v>
      </c>
      <c r="R207" s="16">
        <v>0</v>
      </c>
      <c r="S207" s="16"/>
      <c r="T207" s="28">
        <v>100</v>
      </c>
      <c r="U207" s="28"/>
      <c r="V207" s="29">
        <f>+VLOOKUP(E207,[1]base!D:K,8,0)</f>
        <v>4.2250000000000005</v>
      </c>
      <c r="W207" s="29">
        <f t="shared" si="51"/>
        <v>422.50000000000006</v>
      </c>
      <c r="X207" s="29">
        <f t="shared" si="52"/>
        <v>21.970000000000002</v>
      </c>
      <c r="Y207" s="29">
        <f>+VLOOKUP(E207,[1]base!D:E,2,0)</f>
        <v>13</v>
      </c>
      <c r="Z207" s="29">
        <f t="shared" si="53"/>
        <v>8</v>
      </c>
      <c r="AA207" s="29">
        <f t="shared" si="54"/>
        <v>0.53333333333333355</v>
      </c>
      <c r="AB207" s="29">
        <f>+VLOOKUP(E207,[1]base!M:N,2,0)</f>
        <v>2283</v>
      </c>
      <c r="AC207" s="29">
        <f>+VLOOKUP(E207,[1]base!M:Q,5,0)</f>
        <v>1635.090909090909</v>
      </c>
      <c r="AD207" s="30">
        <f>+VLOOKUP(E207,[1]base!M:P,4,0)</f>
        <v>8.4603047313552532E-2</v>
      </c>
      <c r="AE207" s="31">
        <f t="shared" si="55"/>
        <v>491.75124298315956</v>
      </c>
    </row>
    <row r="208" spans="1:31" s="32" customFormat="1" x14ac:dyDescent="0.25">
      <c r="A208" s="12" t="s">
        <v>983</v>
      </c>
      <c r="B208" s="13">
        <v>46265.499872685185</v>
      </c>
      <c r="C208" s="12" t="s">
        <v>986</v>
      </c>
      <c r="D208" s="12" t="s">
        <v>559</v>
      </c>
      <c r="E208" s="26" t="str">
        <f t="shared" si="49"/>
        <v>EC40402</v>
      </c>
      <c r="F208" s="27" t="str">
        <f t="shared" si="50"/>
        <v>GRIS</v>
      </c>
      <c r="G208" s="27">
        <f>+VLOOKUP(F208,[1]base!A:B,2,0)</f>
        <v>22</v>
      </c>
      <c r="H208" s="12">
        <v>60</v>
      </c>
      <c r="I208" s="12">
        <v>60</v>
      </c>
      <c r="J208" s="14"/>
      <c r="K208" s="14" t="s">
        <v>61</v>
      </c>
      <c r="L208" s="12" t="s">
        <v>992</v>
      </c>
      <c r="M208" s="12" t="s">
        <v>150</v>
      </c>
      <c r="N208" s="12">
        <v>60</v>
      </c>
      <c r="O208" s="12">
        <v>60</v>
      </c>
      <c r="P208" s="12">
        <v>0</v>
      </c>
      <c r="Q208" s="16">
        <v>60</v>
      </c>
      <c r="R208" s="16">
        <v>0</v>
      </c>
      <c r="S208" s="16"/>
      <c r="T208" s="28">
        <v>60</v>
      </c>
      <c r="U208" s="28"/>
      <c r="V208" s="29">
        <f>+VLOOKUP(E208,[1]base!D:K,8,0)</f>
        <v>4.2250000000000005</v>
      </c>
      <c r="W208" s="29">
        <f t="shared" si="51"/>
        <v>253.50000000000003</v>
      </c>
      <c r="X208" s="29">
        <f t="shared" si="52"/>
        <v>13.182</v>
      </c>
      <c r="Y208" s="29">
        <f>+VLOOKUP(E208,[1]base!D:E,2,0)</f>
        <v>13</v>
      </c>
      <c r="Z208" s="29">
        <f t="shared" si="53"/>
        <v>5</v>
      </c>
      <c r="AA208" s="29">
        <f t="shared" si="54"/>
        <v>0.33333333333333348</v>
      </c>
      <c r="AB208" s="29">
        <f>+VLOOKUP(E208,[1]base!M:N,2,0)</f>
        <v>2283</v>
      </c>
      <c r="AC208" s="29">
        <f>+VLOOKUP(E208,[1]base!M:Q,5,0)</f>
        <v>1635.090909090909</v>
      </c>
      <c r="AD208" s="30">
        <f>+VLOOKUP(E208,[1]base!M:P,4,0)</f>
        <v>8.4603047313552532E-2</v>
      </c>
      <c r="AE208" s="31">
        <f t="shared" si="55"/>
        <v>491.75124298315956</v>
      </c>
    </row>
    <row r="209" spans="1:31" s="32" customFormat="1" x14ac:dyDescent="0.25">
      <c r="A209" s="12" t="s">
        <v>1197</v>
      </c>
      <c r="B209" s="13">
        <v>46267.551539351851</v>
      </c>
      <c r="C209" s="12" t="s">
        <v>24</v>
      </c>
      <c r="D209" s="12" t="s">
        <v>559</v>
      </c>
      <c r="E209" s="26" t="str">
        <f t="shared" si="49"/>
        <v>EC40402</v>
      </c>
      <c r="F209" s="27" t="str">
        <f t="shared" si="50"/>
        <v>GRIS</v>
      </c>
      <c r="G209" s="27">
        <f>+VLOOKUP(F209,[1]base!A:B,2,0)</f>
        <v>22</v>
      </c>
      <c r="H209" s="12">
        <v>120</v>
      </c>
      <c r="I209" s="12">
        <v>120</v>
      </c>
      <c r="J209" s="14"/>
      <c r="K209" s="14" t="s">
        <v>61</v>
      </c>
      <c r="L209" s="12" t="s">
        <v>1215</v>
      </c>
      <c r="M209" s="12" t="s">
        <v>150</v>
      </c>
      <c r="N209" s="12">
        <v>120</v>
      </c>
      <c r="O209" s="12">
        <v>120</v>
      </c>
      <c r="P209" s="12">
        <v>0</v>
      </c>
      <c r="Q209" s="16">
        <v>280</v>
      </c>
      <c r="R209" s="16">
        <v>0</v>
      </c>
      <c r="S209" s="16"/>
      <c r="T209" s="28">
        <v>120</v>
      </c>
      <c r="U209" s="28"/>
      <c r="V209" s="29">
        <f>+VLOOKUP(E209,[1]base!D:K,8,0)</f>
        <v>4.2250000000000005</v>
      </c>
      <c r="W209" s="29">
        <f t="shared" si="51"/>
        <v>507.00000000000006</v>
      </c>
      <c r="X209" s="29">
        <f t="shared" si="52"/>
        <v>26.364000000000001</v>
      </c>
      <c r="Y209" s="29">
        <f>+VLOOKUP(E209,[1]base!D:E,2,0)</f>
        <v>13</v>
      </c>
      <c r="Z209" s="29">
        <f t="shared" si="53"/>
        <v>10</v>
      </c>
      <c r="AA209" s="29">
        <f t="shared" si="54"/>
        <v>0.66666666666666696</v>
      </c>
      <c r="AB209" s="29">
        <f>+VLOOKUP(E209,[1]base!M:N,2,0)</f>
        <v>2283</v>
      </c>
      <c r="AC209" s="29">
        <f>+VLOOKUP(E209,[1]base!M:Q,5,0)</f>
        <v>1635.090909090909</v>
      </c>
      <c r="AD209" s="30">
        <f>+VLOOKUP(E209,[1]base!M:P,4,0)</f>
        <v>8.4603047313552532E-2</v>
      </c>
      <c r="AE209" s="31">
        <f t="shared" si="55"/>
        <v>491.75124298315956</v>
      </c>
    </row>
    <row r="210" spans="1:31" s="32" customFormat="1" x14ac:dyDescent="0.25">
      <c r="A210" s="12" t="s">
        <v>1260</v>
      </c>
      <c r="B210" s="13">
        <v>46268.598344907405</v>
      </c>
      <c r="C210" s="12" t="s">
        <v>522</v>
      </c>
      <c r="D210" s="12" t="s">
        <v>559</v>
      </c>
      <c r="E210" s="26" t="str">
        <f t="shared" si="49"/>
        <v>EC40402</v>
      </c>
      <c r="F210" s="27" t="str">
        <f t="shared" si="50"/>
        <v>GRIS</v>
      </c>
      <c r="G210" s="27">
        <f>+VLOOKUP(F210,[1]base!A:B,2,0)</f>
        <v>22</v>
      </c>
      <c r="H210" s="12">
        <v>50</v>
      </c>
      <c r="I210" s="12">
        <v>50</v>
      </c>
      <c r="J210" s="14"/>
      <c r="K210" s="14" t="s">
        <v>61</v>
      </c>
      <c r="L210" s="12" t="s">
        <v>1271</v>
      </c>
      <c r="M210" s="12" t="s">
        <v>150</v>
      </c>
      <c r="N210" s="12">
        <v>50</v>
      </c>
      <c r="O210" s="12">
        <v>50</v>
      </c>
      <c r="P210" s="12">
        <v>0</v>
      </c>
      <c r="Q210" s="16">
        <v>50</v>
      </c>
      <c r="R210" s="16">
        <v>0</v>
      </c>
      <c r="S210" s="16"/>
      <c r="T210" s="28">
        <v>50</v>
      </c>
      <c r="U210" s="28"/>
      <c r="V210" s="29">
        <f>+VLOOKUP(E210,[1]base!D:K,8,0)</f>
        <v>4.2250000000000005</v>
      </c>
      <c r="W210" s="29">
        <f t="shared" si="51"/>
        <v>211.25000000000003</v>
      </c>
      <c r="X210" s="29">
        <f t="shared" si="52"/>
        <v>10.985000000000001</v>
      </c>
      <c r="Y210" s="29">
        <f>+VLOOKUP(E210,[1]base!D:E,2,0)</f>
        <v>13</v>
      </c>
      <c r="Z210" s="29">
        <f t="shared" si="53"/>
        <v>4</v>
      </c>
      <c r="AA210" s="29">
        <f t="shared" si="54"/>
        <v>0.26666666666666677</v>
      </c>
      <c r="AB210" s="29">
        <f>+VLOOKUP(E210,[1]base!M:N,2,0)</f>
        <v>2283</v>
      </c>
      <c r="AC210" s="29">
        <f>+VLOOKUP(E210,[1]base!M:Q,5,0)</f>
        <v>1635.090909090909</v>
      </c>
      <c r="AD210" s="30">
        <f>+VLOOKUP(E210,[1]base!M:P,4,0)</f>
        <v>8.4603047313552532E-2</v>
      </c>
      <c r="AE210" s="31">
        <f t="shared" si="55"/>
        <v>491.75124298315956</v>
      </c>
    </row>
    <row r="211" spans="1:31" s="32" customFormat="1" x14ac:dyDescent="0.25">
      <c r="A211" s="12" t="s">
        <v>1492</v>
      </c>
      <c r="B211" s="13">
        <v>46273.61005787037</v>
      </c>
      <c r="C211" s="12" t="s">
        <v>266</v>
      </c>
      <c r="D211" s="12" t="s">
        <v>559</v>
      </c>
      <c r="E211" s="26" t="str">
        <f t="shared" si="49"/>
        <v>EC40402</v>
      </c>
      <c r="F211" s="27" t="str">
        <f t="shared" si="50"/>
        <v>GRIS</v>
      </c>
      <c r="G211" s="27">
        <f>+VLOOKUP(F211,[1]base!A:B,2,0)</f>
        <v>22</v>
      </c>
      <c r="H211" s="12">
        <v>60</v>
      </c>
      <c r="I211" s="12">
        <v>60</v>
      </c>
      <c r="J211" s="14"/>
      <c r="K211" s="14" t="s">
        <v>61</v>
      </c>
      <c r="L211" s="12" t="s">
        <v>1509</v>
      </c>
      <c r="M211" s="12" t="s">
        <v>150</v>
      </c>
      <c r="N211" s="12">
        <v>60</v>
      </c>
      <c r="O211" s="12">
        <v>60</v>
      </c>
      <c r="P211" s="12">
        <v>0</v>
      </c>
      <c r="Q211" s="16">
        <v>60</v>
      </c>
      <c r="R211" s="16">
        <v>0</v>
      </c>
      <c r="S211" s="16"/>
      <c r="T211" s="28">
        <v>60</v>
      </c>
      <c r="U211" s="28"/>
      <c r="V211" s="29">
        <f>+VLOOKUP(E211,[1]base!D:K,8,0)</f>
        <v>4.2250000000000005</v>
      </c>
      <c r="W211" s="29">
        <f t="shared" si="51"/>
        <v>253.50000000000003</v>
      </c>
      <c r="X211" s="29">
        <f t="shared" si="52"/>
        <v>13.182</v>
      </c>
      <c r="Y211" s="29">
        <f>+VLOOKUP(E211,[1]base!D:E,2,0)</f>
        <v>13</v>
      </c>
      <c r="Z211" s="29">
        <f t="shared" si="53"/>
        <v>5</v>
      </c>
      <c r="AA211" s="29">
        <f t="shared" si="54"/>
        <v>0.33333333333333348</v>
      </c>
      <c r="AB211" s="29">
        <f>+VLOOKUP(E211,[1]base!M:N,2,0)</f>
        <v>2283</v>
      </c>
      <c r="AC211" s="29">
        <f>+VLOOKUP(E211,[1]base!M:Q,5,0)</f>
        <v>1635.090909090909</v>
      </c>
      <c r="AD211" s="30">
        <f>+VLOOKUP(E211,[1]base!M:P,4,0)</f>
        <v>8.4603047313552532E-2</v>
      </c>
      <c r="AE211" s="31">
        <f t="shared" si="55"/>
        <v>491.75124298315956</v>
      </c>
    </row>
    <row r="212" spans="1:31" s="32" customFormat="1" x14ac:dyDescent="0.25">
      <c r="A212" s="12" t="s">
        <v>547</v>
      </c>
      <c r="B212" s="13">
        <v>46240.550856481481</v>
      </c>
      <c r="C212" s="12" t="s">
        <v>548</v>
      </c>
      <c r="D212" s="12" t="s">
        <v>557</v>
      </c>
      <c r="E212" s="26" t="str">
        <f t="shared" si="49"/>
        <v>EC40404</v>
      </c>
      <c r="F212" s="27" t="str">
        <f t="shared" si="50"/>
        <v>GRIS</v>
      </c>
      <c r="G212" s="27">
        <f>+VLOOKUP(F212,[1]base!A:B,2,0)</f>
        <v>22</v>
      </c>
      <c r="H212" s="12">
        <v>40</v>
      </c>
      <c r="I212" s="12">
        <v>40</v>
      </c>
      <c r="J212" s="14"/>
      <c r="K212" s="14" t="s">
        <v>61</v>
      </c>
      <c r="L212" s="12" t="s">
        <v>562</v>
      </c>
      <c r="M212" s="12" t="s">
        <v>150</v>
      </c>
      <c r="N212" s="12">
        <v>40</v>
      </c>
      <c r="O212" s="12">
        <v>40</v>
      </c>
      <c r="P212" s="12">
        <v>0</v>
      </c>
      <c r="Q212" s="16">
        <v>120</v>
      </c>
      <c r="R212" s="16">
        <v>0</v>
      </c>
      <c r="S212" s="16"/>
      <c r="T212" s="28">
        <v>40</v>
      </c>
      <c r="U212" s="28"/>
      <c r="V212" s="29">
        <f>+VLOOKUP(E212,[1]base!D:K,8,0)</f>
        <v>4.8879999999999999</v>
      </c>
      <c r="W212" s="29">
        <f t="shared" si="51"/>
        <v>195.51999999999998</v>
      </c>
      <c r="X212" s="29">
        <f t="shared" si="52"/>
        <v>10.167039999999998</v>
      </c>
      <c r="Y212" s="29">
        <f>+VLOOKUP(E212,[1]base!D:E,2,0)</f>
        <v>13</v>
      </c>
      <c r="Z212" s="29">
        <f t="shared" si="53"/>
        <v>4</v>
      </c>
      <c r="AA212" s="29">
        <f t="shared" si="54"/>
        <v>0.26666666666666677</v>
      </c>
      <c r="AB212" s="29">
        <f>+VLOOKUP(E212,[1]base!M:N,2,0)</f>
        <v>2357</v>
      </c>
      <c r="AC212" s="29">
        <f>+VLOOKUP(E212,[1]base!M:Q,5,0)</f>
        <v>1288.0999999999999</v>
      </c>
      <c r="AD212" s="30">
        <f>+VLOOKUP(E212,[1]base!M:P,4,0)</f>
        <v>5.112721417069243E-2</v>
      </c>
      <c r="AE212" s="31">
        <f t="shared" si="55"/>
        <v>586.59315619967788</v>
      </c>
    </row>
    <row r="213" spans="1:31" s="32" customFormat="1" x14ac:dyDescent="0.25">
      <c r="A213" s="12" t="s">
        <v>953</v>
      </c>
      <c r="B213" s="13">
        <v>46263.483680555553</v>
      </c>
      <c r="C213" s="12" t="s">
        <v>423</v>
      </c>
      <c r="D213" s="12" t="s">
        <v>557</v>
      </c>
      <c r="E213" s="26" t="str">
        <f t="shared" si="49"/>
        <v>EC40404</v>
      </c>
      <c r="F213" s="27" t="str">
        <f t="shared" si="50"/>
        <v>GRIS</v>
      </c>
      <c r="G213" s="27">
        <f>+VLOOKUP(F213,[1]base!A:B,2,0)</f>
        <v>22</v>
      </c>
      <c r="H213" s="12">
        <v>70</v>
      </c>
      <c r="I213" s="12">
        <v>70</v>
      </c>
      <c r="J213" s="14"/>
      <c r="K213" s="14" t="s">
        <v>61</v>
      </c>
      <c r="L213" s="12" t="s">
        <v>959</v>
      </c>
      <c r="M213" s="12" t="s">
        <v>150</v>
      </c>
      <c r="N213" s="12">
        <v>70</v>
      </c>
      <c r="O213" s="12">
        <v>70</v>
      </c>
      <c r="P213" s="12">
        <v>0</v>
      </c>
      <c r="Q213" s="16">
        <v>70</v>
      </c>
      <c r="R213" s="16">
        <v>0</v>
      </c>
      <c r="S213" s="16"/>
      <c r="T213" s="28">
        <v>70</v>
      </c>
      <c r="U213" s="28"/>
      <c r="V213" s="29">
        <f>+VLOOKUP(E213,[1]base!D:K,8,0)</f>
        <v>4.8879999999999999</v>
      </c>
      <c r="W213" s="29">
        <f t="shared" si="51"/>
        <v>342.15999999999997</v>
      </c>
      <c r="X213" s="29">
        <f t="shared" si="52"/>
        <v>17.792319999999997</v>
      </c>
      <c r="Y213" s="29">
        <f>+VLOOKUP(E213,[1]base!D:E,2,0)</f>
        <v>13</v>
      </c>
      <c r="Z213" s="29">
        <f t="shared" si="53"/>
        <v>6</v>
      </c>
      <c r="AA213" s="29">
        <f t="shared" si="54"/>
        <v>0.40000000000000013</v>
      </c>
      <c r="AB213" s="29">
        <f>+VLOOKUP(E213,[1]base!M:N,2,0)</f>
        <v>2357</v>
      </c>
      <c r="AC213" s="29">
        <f>+VLOOKUP(E213,[1]base!M:Q,5,0)</f>
        <v>1288.0999999999999</v>
      </c>
      <c r="AD213" s="30">
        <f>+VLOOKUP(E213,[1]base!M:P,4,0)</f>
        <v>5.112721417069243E-2</v>
      </c>
      <c r="AE213" s="31">
        <f t="shared" si="55"/>
        <v>586.59315619967788</v>
      </c>
    </row>
    <row r="214" spans="1:31" s="32" customFormat="1" x14ac:dyDescent="0.25">
      <c r="A214" s="12" t="s">
        <v>983</v>
      </c>
      <c r="B214" s="13">
        <v>46265.499872685185</v>
      </c>
      <c r="C214" s="12" t="s">
        <v>986</v>
      </c>
      <c r="D214" s="12" t="s">
        <v>557</v>
      </c>
      <c r="E214" s="26" t="str">
        <f t="shared" si="49"/>
        <v>EC40404</v>
      </c>
      <c r="F214" s="27" t="str">
        <f t="shared" si="50"/>
        <v>GRIS</v>
      </c>
      <c r="G214" s="27">
        <f>+VLOOKUP(F214,[1]base!A:B,2,0)</f>
        <v>22</v>
      </c>
      <c r="H214" s="12">
        <v>40</v>
      </c>
      <c r="I214" s="12">
        <v>40</v>
      </c>
      <c r="J214" s="14"/>
      <c r="K214" s="14" t="s">
        <v>61</v>
      </c>
      <c r="L214" s="12" t="s">
        <v>991</v>
      </c>
      <c r="M214" s="12" t="s">
        <v>150</v>
      </c>
      <c r="N214" s="12">
        <v>40</v>
      </c>
      <c r="O214" s="12">
        <v>40</v>
      </c>
      <c r="P214" s="12">
        <v>0</v>
      </c>
      <c r="Q214" s="16">
        <v>40</v>
      </c>
      <c r="R214" s="16">
        <v>0</v>
      </c>
      <c r="S214" s="16"/>
      <c r="T214" s="28">
        <v>40</v>
      </c>
      <c r="U214" s="28"/>
      <c r="V214" s="29">
        <f>+VLOOKUP(E214,[1]base!D:K,8,0)</f>
        <v>4.8879999999999999</v>
      </c>
      <c r="W214" s="29">
        <f t="shared" si="51"/>
        <v>195.51999999999998</v>
      </c>
      <c r="X214" s="29">
        <f t="shared" si="52"/>
        <v>10.167039999999998</v>
      </c>
      <c r="Y214" s="29">
        <f>+VLOOKUP(E214,[1]base!D:E,2,0)</f>
        <v>13</v>
      </c>
      <c r="Z214" s="29">
        <f t="shared" si="53"/>
        <v>4</v>
      </c>
      <c r="AA214" s="29">
        <f t="shared" si="54"/>
        <v>0.26666666666666677</v>
      </c>
      <c r="AB214" s="29">
        <f>+VLOOKUP(E214,[1]base!M:N,2,0)</f>
        <v>2357</v>
      </c>
      <c r="AC214" s="29">
        <f>+VLOOKUP(E214,[1]base!M:Q,5,0)</f>
        <v>1288.0999999999999</v>
      </c>
      <c r="AD214" s="30">
        <f>+VLOOKUP(E214,[1]base!M:P,4,0)</f>
        <v>5.112721417069243E-2</v>
      </c>
      <c r="AE214" s="31">
        <f t="shared" si="55"/>
        <v>586.59315619967788</v>
      </c>
    </row>
    <row r="215" spans="1:31" x14ac:dyDescent="0.25">
      <c r="A215" s="12" t="s">
        <v>1197</v>
      </c>
      <c r="B215" s="13">
        <v>46267.551539351851</v>
      </c>
      <c r="C215" s="12" t="s">
        <v>24</v>
      </c>
      <c r="D215" s="12" t="s">
        <v>557</v>
      </c>
      <c r="E215" s="26" t="str">
        <f t="shared" si="49"/>
        <v>EC40404</v>
      </c>
      <c r="F215" s="27" t="str">
        <f t="shared" si="50"/>
        <v>GRIS</v>
      </c>
      <c r="G215" s="27">
        <f>+VLOOKUP(F215,[1]base!A:B,2,0)</f>
        <v>22</v>
      </c>
      <c r="H215" s="12">
        <v>260</v>
      </c>
      <c r="I215" s="12">
        <v>260</v>
      </c>
      <c r="J215" s="14"/>
      <c r="K215" s="14" t="s">
        <v>61</v>
      </c>
      <c r="L215" s="12" t="s">
        <v>1214</v>
      </c>
      <c r="M215" s="12" t="s">
        <v>150</v>
      </c>
      <c r="N215" s="12">
        <v>260</v>
      </c>
      <c r="O215" s="12">
        <v>260</v>
      </c>
      <c r="P215" s="12">
        <v>0</v>
      </c>
      <c r="Q215" s="16">
        <v>400</v>
      </c>
      <c r="R215" s="16">
        <v>0</v>
      </c>
      <c r="S215" s="16"/>
      <c r="T215" s="28">
        <v>260</v>
      </c>
      <c r="U215" s="28"/>
      <c r="V215" s="29">
        <f>+VLOOKUP(E215,[1]base!D:K,8,0)</f>
        <v>4.8879999999999999</v>
      </c>
      <c r="W215" s="29">
        <f t="shared" si="51"/>
        <v>1270.8799999999999</v>
      </c>
      <c r="X215" s="29">
        <f t="shared" si="52"/>
        <v>66.085759999999993</v>
      </c>
      <c r="Y215" s="29">
        <f>+VLOOKUP(E215,[1]base!D:E,2,0)</f>
        <v>13</v>
      </c>
      <c r="Z215" s="29">
        <f t="shared" si="53"/>
        <v>20</v>
      </c>
      <c r="AA215" s="29">
        <f t="shared" si="54"/>
        <v>1.3333333333333339</v>
      </c>
      <c r="AB215" s="29">
        <f>+VLOOKUP(E215,[1]base!M:N,2,0)</f>
        <v>2357</v>
      </c>
      <c r="AC215" s="29">
        <f>+VLOOKUP(E215,[1]base!M:Q,5,0)</f>
        <v>1288.0999999999999</v>
      </c>
      <c r="AD215" s="30">
        <f>+VLOOKUP(E215,[1]base!M:P,4,0)</f>
        <v>5.112721417069243E-2</v>
      </c>
      <c r="AE215" s="31">
        <f t="shared" si="55"/>
        <v>586.59315619967788</v>
      </c>
    </row>
    <row r="216" spans="1:31" x14ac:dyDescent="0.25">
      <c r="A216" s="12" t="s">
        <v>1260</v>
      </c>
      <c r="B216" s="13">
        <v>46268.598344907405</v>
      </c>
      <c r="C216" s="12" t="s">
        <v>522</v>
      </c>
      <c r="D216" s="12" t="s">
        <v>557</v>
      </c>
      <c r="E216" s="26" t="str">
        <f t="shared" si="49"/>
        <v>EC40404</v>
      </c>
      <c r="F216" s="27" t="str">
        <f t="shared" si="50"/>
        <v>GRIS</v>
      </c>
      <c r="G216" s="27">
        <f>+VLOOKUP(F216,[1]base!A:B,2,0)</f>
        <v>22</v>
      </c>
      <c r="H216" s="12">
        <v>50</v>
      </c>
      <c r="I216" s="12">
        <v>50</v>
      </c>
      <c r="J216" s="14"/>
      <c r="K216" s="14" t="s">
        <v>61</v>
      </c>
      <c r="L216" s="12" t="s">
        <v>1270</v>
      </c>
      <c r="M216" s="12" t="s">
        <v>150</v>
      </c>
      <c r="N216" s="12">
        <v>50</v>
      </c>
      <c r="O216" s="12">
        <v>50</v>
      </c>
      <c r="P216" s="12">
        <v>0</v>
      </c>
      <c r="Q216" s="16">
        <v>50</v>
      </c>
      <c r="R216" s="16">
        <v>0</v>
      </c>
      <c r="S216" s="16"/>
      <c r="T216" s="28">
        <v>50</v>
      </c>
      <c r="U216" s="28"/>
      <c r="V216" s="29">
        <f>+VLOOKUP(E216,[1]base!D:K,8,0)</f>
        <v>4.8879999999999999</v>
      </c>
      <c r="W216" s="29">
        <f t="shared" si="51"/>
        <v>244.4</v>
      </c>
      <c r="X216" s="29">
        <f t="shared" si="52"/>
        <v>12.7088</v>
      </c>
      <c r="Y216" s="29">
        <f>+VLOOKUP(E216,[1]base!D:E,2,0)</f>
        <v>13</v>
      </c>
      <c r="Z216" s="29">
        <f t="shared" si="53"/>
        <v>4</v>
      </c>
      <c r="AA216" s="29">
        <f t="shared" si="54"/>
        <v>0.26666666666666677</v>
      </c>
      <c r="AB216" s="29">
        <f>+VLOOKUP(E216,[1]base!M:N,2,0)</f>
        <v>2357</v>
      </c>
      <c r="AC216" s="29">
        <f>+VLOOKUP(E216,[1]base!M:Q,5,0)</f>
        <v>1288.0999999999999</v>
      </c>
      <c r="AD216" s="30">
        <f>+VLOOKUP(E216,[1]base!M:P,4,0)</f>
        <v>5.112721417069243E-2</v>
      </c>
      <c r="AE216" s="31">
        <f t="shared" si="55"/>
        <v>586.59315619967788</v>
      </c>
    </row>
    <row r="217" spans="1:31" x14ac:dyDescent="0.25">
      <c r="A217" s="12" t="s">
        <v>953</v>
      </c>
      <c r="B217" s="13">
        <v>46263.483680555553</v>
      </c>
      <c r="C217" s="12" t="s">
        <v>423</v>
      </c>
      <c r="D217" s="12" t="s">
        <v>955</v>
      </c>
      <c r="E217" s="26" t="str">
        <f t="shared" si="49"/>
        <v>EC67103</v>
      </c>
      <c r="F217" s="27" t="str">
        <f t="shared" si="50"/>
        <v>GRIS</v>
      </c>
      <c r="G217" s="27">
        <f>+VLOOKUP(F217,[1]base!A:B,2,0)</f>
        <v>22</v>
      </c>
      <c r="H217" s="12">
        <v>40</v>
      </c>
      <c r="I217" s="12">
        <v>40</v>
      </c>
      <c r="J217" s="14"/>
      <c r="K217" s="14" t="s">
        <v>61</v>
      </c>
      <c r="L217" s="12" t="s">
        <v>961</v>
      </c>
      <c r="M217" s="12" t="s">
        <v>150</v>
      </c>
      <c r="N217" s="12">
        <v>40</v>
      </c>
      <c r="O217" s="12">
        <v>40</v>
      </c>
      <c r="P217" s="12">
        <v>0</v>
      </c>
      <c r="Q217" s="16">
        <v>40</v>
      </c>
      <c r="R217" s="16">
        <v>0</v>
      </c>
      <c r="S217" s="16"/>
      <c r="T217" s="28">
        <v>40</v>
      </c>
      <c r="U217" s="28"/>
      <c r="V217" s="29">
        <f>+VLOOKUP(E217,[1]base!D:K,8,0)</f>
        <v>6.0449999999999999</v>
      </c>
      <c r="W217" s="29">
        <f t="shared" si="51"/>
        <v>241.8</v>
      </c>
      <c r="X217" s="29">
        <f t="shared" si="52"/>
        <v>12.573600000000001</v>
      </c>
      <c r="Y217" s="29">
        <f>+VLOOKUP(E217,[1]base!D:E,2,0)</f>
        <v>12</v>
      </c>
      <c r="Z217" s="29">
        <f t="shared" si="53"/>
        <v>4</v>
      </c>
      <c r="AA217" s="29">
        <f t="shared" si="54"/>
        <v>0.26666666666666677</v>
      </c>
      <c r="AB217" s="29">
        <f>+VLOOKUP(E217,[1]base!M:N,2,0)</f>
        <v>683</v>
      </c>
      <c r="AC217" s="29">
        <f>+VLOOKUP(E217,[1]base!M:Q,5,0)</f>
        <v>720.75</v>
      </c>
      <c r="AD217" s="30">
        <f>+VLOOKUP(E217,[1]base!M:P,4,0)</f>
        <v>8.3221476510067116E-2</v>
      </c>
      <c r="AE217" s="31">
        <f t="shared" si="55"/>
        <v>148.05973154362414</v>
      </c>
    </row>
    <row r="218" spans="1:31" x14ac:dyDescent="0.25">
      <c r="A218" s="12" t="s">
        <v>983</v>
      </c>
      <c r="B218" s="13">
        <v>46265.499872685185</v>
      </c>
      <c r="C218" s="12" t="s">
        <v>986</v>
      </c>
      <c r="D218" s="12" t="s">
        <v>955</v>
      </c>
      <c r="E218" s="26" t="str">
        <f t="shared" si="49"/>
        <v>EC67103</v>
      </c>
      <c r="F218" s="27" t="str">
        <f t="shared" si="50"/>
        <v>GRIS</v>
      </c>
      <c r="G218" s="27">
        <f>+VLOOKUP(F218,[1]base!A:B,2,0)</f>
        <v>22</v>
      </c>
      <c r="H218" s="12">
        <v>40</v>
      </c>
      <c r="I218" s="12">
        <v>40</v>
      </c>
      <c r="J218" s="14"/>
      <c r="K218" s="14" t="s">
        <v>61</v>
      </c>
      <c r="L218" s="12" t="s">
        <v>995</v>
      </c>
      <c r="M218" s="12" t="s">
        <v>150</v>
      </c>
      <c r="N218" s="12">
        <v>40</v>
      </c>
      <c r="O218" s="12">
        <v>40</v>
      </c>
      <c r="P218" s="12">
        <v>0</v>
      </c>
      <c r="Q218" s="16">
        <v>40</v>
      </c>
      <c r="R218" s="16">
        <v>0</v>
      </c>
      <c r="S218" s="16"/>
      <c r="T218" s="28">
        <v>40</v>
      </c>
      <c r="U218" s="28"/>
      <c r="V218" s="29">
        <f>+VLOOKUP(E218,[1]base!D:K,8,0)</f>
        <v>6.0449999999999999</v>
      </c>
      <c r="W218" s="29">
        <f t="shared" si="51"/>
        <v>241.8</v>
      </c>
      <c r="X218" s="29">
        <f t="shared" si="52"/>
        <v>12.573600000000001</v>
      </c>
      <c r="Y218" s="29">
        <f>+VLOOKUP(E218,[1]base!D:E,2,0)</f>
        <v>12</v>
      </c>
      <c r="Z218" s="29">
        <f t="shared" si="53"/>
        <v>4</v>
      </c>
      <c r="AA218" s="29">
        <f t="shared" si="54"/>
        <v>0.26666666666666677</v>
      </c>
      <c r="AB218" s="29">
        <f>+VLOOKUP(E218,[1]base!M:N,2,0)</f>
        <v>683</v>
      </c>
      <c r="AC218" s="29">
        <f>+VLOOKUP(E218,[1]base!M:Q,5,0)</f>
        <v>720.75</v>
      </c>
      <c r="AD218" s="30">
        <f>+VLOOKUP(E218,[1]base!M:P,4,0)</f>
        <v>8.3221476510067116E-2</v>
      </c>
      <c r="AE218" s="31">
        <f t="shared" si="55"/>
        <v>148.05973154362414</v>
      </c>
    </row>
    <row r="219" spans="1:31" x14ac:dyDescent="0.25">
      <c r="A219" s="12" t="s">
        <v>1492</v>
      </c>
      <c r="B219" s="13">
        <v>46273.61005787037</v>
      </c>
      <c r="C219" s="12" t="s">
        <v>266</v>
      </c>
      <c r="D219" s="12" t="s">
        <v>955</v>
      </c>
      <c r="E219" s="26" t="str">
        <f t="shared" si="49"/>
        <v>EC67103</v>
      </c>
      <c r="F219" s="27" t="str">
        <f t="shared" si="50"/>
        <v>GRIS</v>
      </c>
      <c r="G219" s="27">
        <f>+VLOOKUP(F219,[1]base!A:B,2,0)</f>
        <v>22</v>
      </c>
      <c r="H219" s="12">
        <v>30</v>
      </c>
      <c r="I219" s="12">
        <v>30</v>
      </c>
      <c r="J219" s="14"/>
      <c r="K219" s="14" t="s">
        <v>61</v>
      </c>
      <c r="L219" s="12" t="s">
        <v>1515</v>
      </c>
      <c r="M219" s="12" t="s">
        <v>150</v>
      </c>
      <c r="N219" s="12">
        <v>30</v>
      </c>
      <c r="O219" s="12">
        <v>30</v>
      </c>
      <c r="P219" s="12">
        <v>0</v>
      </c>
      <c r="Q219" s="16">
        <v>30</v>
      </c>
      <c r="R219" s="16">
        <v>0</v>
      </c>
      <c r="S219" s="16"/>
      <c r="T219" s="28">
        <v>30</v>
      </c>
      <c r="U219" s="28"/>
      <c r="V219" s="29">
        <f>+VLOOKUP(E219,[1]base!D:K,8,0)</f>
        <v>6.0449999999999999</v>
      </c>
      <c r="W219" s="29">
        <f t="shared" si="51"/>
        <v>181.35</v>
      </c>
      <c r="X219" s="29">
        <f t="shared" si="52"/>
        <v>9.4301999999999992</v>
      </c>
      <c r="Y219" s="29">
        <f>+VLOOKUP(E219,[1]base!D:E,2,0)</f>
        <v>12</v>
      </c>
      <c r="Z219" s="29">
        <f t="shared" si="53"/>
        <v>3</v>
      </c>
      <c r="AA219" s="29">
        <f t="shared" si="54"/>
        <v>0.20000000000000007</v>
      </c>
      <c r="AB219" s="29">
        <f>+VLOOKUP(E219,[1]base!M:N,2,0)</f>
        <v>683</v>
      </c>
      <c r="AC219" s="29">
        <f>+VLOOKUP(E219,[1]base!M:Q,5,0)</f>
        <v>720.75</v>
      </c>
      <c r="AD219" s="30">
        <f>+VLOOKUP(E219,[1]base!M:P,4,0)</f>
        <v>8.3221476510067116E-2</v>
      </c>
      <c r="AE219" s="31">
        <f t="shared" si="55"/>
        <v>148.05973154362414</v>
      </c>
    </row>
    <row r="220" spans="1:31" x14ac:dyDescent="0.25">
      <c r="A220" s="12" t="s">
        <v>983</v>
      </c>
      <c r="B220" s="13">
        <v>46265.499872685185</v>
      </c>
      <c r="C220" s="12" t="s">
        <v>986</v>
      </c>
      <c r="D220" s="12" t="s">
        <v>346</v>
      </c>
      <c r="E220" s="26" t="str">
        <f t="shared" si="49"/>
        <v>EC67105</v>
      </c>
      <c r="F220" s="27" t="str">
        <f t="shared" si="50"/>
        <v>GRIS</v>
      </c>
      <c r="G220" s="27">
        <f>+VLOOKUP(F220,[1]base!A:B,2,0)</f>
        <v>22</v>
      </c>
      <c r="H220" s="12">
        <v>20</v>
      </c>
      <c r="I220" s="12">
        <v>20</v>
      </c>
      <c r="J220" s="14"/>
      <c r="K220" s="14" t="s">
        <v>61</v>
      </c>
      <c r="L220" s="12" t="s">
        <v>993</v>
      </c>
      <c r="M220" s="12" t="s">
        <v>150</v>
      </c>
      <c r="N220" s="12">
        <v>20</v>
      </c>
      <c r="O220" s="12">
        <v>20</v>
      </c>
      <c r="P220" s="12">
        <v>0</v>
      </c>
      <c r="Q220" s="16">
        <v>20</v>
      </c>
      <c r="R220" s="16">
        <v>0</v>
      </c>
      <c r="S220" s="16"/>
      <c r="T220" s="28">
        <v>20</v>
      </c>
      <c r="U220" s="28"/>
      <c r="V220" s="29">
        <f>+VLOOKUP(E220,[1]base!D:K,8,0)</f>
        <v>2.9445000000000001</v>
      </c>
      <c r="W220" s="29">
        <f t="shared" si="51"/>
        <v>58.89</v>
      </c>
      <c r="X220" s="29">
        <f t="shared" si="52"/>
        <v>3.0622799999999999</v>
      </c>
      <c r="Y220" s="29">
        <f>+VLOOKUP(E220,[1]base!D:E,2,0)</f>
        <v>13</v>
      </c>
      <c r="Z220" s="29">
        <f t="shared" si="53"/>
        <v>2</v>
      </c>
      <c r="AA220" s="29">
        <f t="shared" si="54"/>
        <v>0.13333333333333339</v>
      </c>
      <c r="AB220" s="29">
        <f>+VLOOKUP(E220,[1]base!M:N,2,0)</f>
        <v>78</v>
      </c>
      <c r="AC220" s="29">
        <f>+VLOOKUP(E220,[1]base!M:Q,5,0)</f>
        <v>520.63636363636363</v>
      </c>
      <c r="AD220" s="30">
        <f>+VLOOKUP(E220,[1]base!M:P,4,0)</f>
        <v>0.68421052631578949</v>
      </c>
      <c r="AE220" s="31">
        <f t="shared" si="55"/>
        <v>-29.96842105263158</v>
      </c>
    </row>
    <row r="221" spans="1:31" x14ac:dyDescent="0.25">
      <c r="A221" s="12" t="s">
        <v>1218</v>
      </c>
      <c r="B221" s="13">
        <v>46268.354953703703</v>
      </c>
      <c r="C221" s="12" t="s">
        <v>24</v>
      </c>
      <c r="D221" s="12" t="s">
        <v>346</v>
      </c>
      <c r="E221" s="26" t="str">
        <f t="shared" si="49"/>
        <v>EC67105</v>
      </c>
      <c r="F221" s="27" t="str">
        <f t="shared" si="50"/>
        <v>GRIS</v>
      </c>
      <c r="G221" s="27">
        <f>+VLOOKUP(F221,[1]base!A:B,2,0)</f>
        <v>22</v>
      </c>
      <c r="H221" s="12">
        <v>4</v>
      </c>
      <c r="I221" s="12">
        <v>4</v>
      </c>
      <c r="J221" s="14"/>
      <c r="K221" s="14" t="s">
        <v>61</v>
      </c>
      <c r="L221" s="12" t="s">
        <v>1223</v>
      </c>
      <c r="M221" s="12" t="s">
        <v>150</v>
      </c>
      <c r="N221" s="12">
        <v>4</v>
      </c>
      <c r="O221" s="12">
        <v>4</v>
      </c>
      <c r="P221" s="12">
        <v>0</v>
      </c>
      <c r="Q221" s="16">
        <v>4</v>
      </c>
      <c r="R221" s="16">
        <v>0</v>
      </c>
      <c r="S221" s="16"/>
      <c r="T221" s="28">
        <v>4</v>
      </c>
      <c r="U221" s="28"/>
      <c r="V221" s="29">
        <f>+VLOOKUP(E221,[1]base!D:K,8,0)</f>
        <v>2.9445000000000001</v>
      </c>
      <c r="W221" s="29">
        <f t="shared" si="51"/>
        <v>11.778</v>
      </c>
      <c r="X221" s="29">
        <f t="shared" si="52"/>
        <v>0.612456</v>
      </c>
      <c r="Y221" s="29">
        <f>+VLOOKUP(E221,[1]base!D:E,2,0)</f>
        <v>13</v>
      </c>
      <c r="Z221" s="29">
        <f t="shared" si="53"/>
        <v>1</v>
      </c>
      <c r="AA221" s="29">
        <f t="shared" si="54"/>
        <v>6.6666666666666693E-2</v>
      </c>
      <c r="AB221" s="29">
        <f>+VLOOKUP(E221,[1]base!M:N,2,0)</f>
        <v>78</v>
      </c>
      <c r="AC221" s="29">
        <f>+VLOOKUP(E221,[1]base!M:Q,5,0)</f>
        <v>520.63636363636363</v>
      </c>
      <c r="AD221" s="30">
        <f>+VLOOKUP(E221,[1]base!M:P,4,0)</f>
        <v>0.68421052631578949</v>
      </c>
      <c r="AE221" s="31">
        <f t="shared" si="55"/>
        <v>-29.96842105263158</v>
      </c>
    </row>
    <row r="222" spans="1:31" x14ac:dyDescent="0.25">
      <c r="A222" s="12" t="s">
        <v>1492</v>
      </c>
      <c r="B222" s="13">
        <v>46273.61005787037</v>
      </c>
      <c r="C222" s="12" t="s">
        <v>266</v>
      </c>
      <c r="D222" s="12" t="s">
        <v>346</v>
      </c>
      <c r="E222" s="26" t="str">
        <f t="shared" si="49"/>
        <v>EC67105</v>
      </c>
      <c r="F222" s="27" t="str">
        <f t="shared" si="50"/>
        <v>GRIS</v>
      </c>
      <c r="G222" s="27">
        <f>+VLOOKUP(F222,[1]base!A:B,2,0)</f>
        <v>22</v>
      </c>
      <c r="H222" s="12">
        <v>20</v>
      </c>
      <c r="I222" s="12">
        <v>20</v>
      </c>
      <c r="J222" s="14"/>
      <c r="K222" s="14" t="s">
        <v>61</v>
      </c>
      <c r="L222" s="12" t="s">
        <v>1511</v>
      </c>
      <c r="M222" s="12" t="s">
        <v>150</v>
      </c>
      <c r="N222" s="12">
        <v>20</v>
      </c>
      <c r="O222" s="12">
        <v>20</v>
      </c>
      <c r="P222" s="12">
        <v>0</v>
      </c>
      <c r="Q222" s="16">
        <v>20</v>
      </c>
      <c r="R222" s="16">
        <v>0</v>
      </c>
      <c r="S222" s="16"/>
      <c r="T222" s="28">
        <v>20</v>
      </c>
      <c r="U222" s="28"/>
      <c r="V222" s="29">
        <f>+VLOOKUP(E222,[1]base!D:K,8,0)</f>
        <v>2.9445000000000001</v>
      </c>
      <c r="W222" s="29">
        <f t="shared" si="51"/>
        <v>58.89</v>
      </c>
      <c r="X222" s="29">
        <f t="shared" si="52"/>
        <v>3.0622799999999999</v>
      </c>
      <c r="Y222" s="29">
        <f>+VLOOKUP(E222,[1]base!D:E,2,0)</f>
        <v>13</v>
      </c>
      <c r="Z222" s="29">
        <f t="shared" si="53"/>
        <v>2</v>
      </c>
      <c r="AA222" s="29">
        <f t="shared" si="54"/>
        <v>0.13333333333333339</v>
      </c>
      <c r="AB222" s="29">
        <f>+VLOOKUP(E222,[1]base!M:N,2,0)</f>
        <v>78</v>
      </c>
      <c r="AC222" s="29">
        <f>+VLOOKUP(E222,[1]base!M:Q,5,0)</f>
        <v>520.63636363636363</v>
      </c>
      <c r="AD222" s="30">
        <f>+VLOOKUP(E222,[1]base!M:P,4,0)</f>
        <v>0.68421052631578949</v>
      </c>
      <c r="AE222" s="31">
        <f t="shared" si="55"/>
        <v>-29.96842105263158</v>
      </c>
    </row>
    <row r="223" spans="1:31" x14ac:dyDescent="0.25">
      <c r="A223" s="12" t="s">
        <v>1161</v>
      </c>
      <c r="B223" s="13">
        <v>46267.415729166663</v>
      </c>
      <c r="C223" s="12" t="s">
        <v>661</v>
      </c>
      <c r="D223" s="12" t="s">
        <v>1164</v>
      </c>
      <c r="E223" s="26" t="str">
        <f t="shared" si="49"/>
        <v>FR100</v>
      </c>
      <c r="F223" s="27" t="str">
        <f t="shared" si="50"/>
        <v>GRIS</v>
      </c>
      <c r="G223" s="27">
        <f>+VLOOKUP(F223,[1]base!A:B,2,0)</f>
        <v>22</v>
      </c>
      <c r="H223" s="12">
        <v>12</v>
      </c>
      <c r="I223" s="12">
        <v>12</v>
      </c>
      <c r="J223" s="14"/>
      <c r="K223" s="14" t="s">
        <v>61</v>
      </c>
      <c r="L223" s="12" t="s">
        <v>1175</v>
      </c>
      <c r="M223" s="12" t="s">
        <v>150</v>
      </c>
      <c r="N223" s="12">
        <v>12</v>
      </c>
      <c r="O223" s="12">
        <v>12</v>
      </c>
      <c r="P223" s="12">
        <v>0</v>
      </c>
      <c r="Q223" s="16">
        <v>12</v>
      </c>
      <c r="R223" s="16">
        <v>0</v>
      </c>
      <c r="S223" s="16"/>
      <c r="T223" s="28">
        <v>12</v>
      </c>
      <c r="U223" s="28"/>
      <c r="V223" s="29">
        <f>+VLOOKUP(E223,[1]base!D:K,8,0)</f>
        <v>5.4209999999999994</v>
      </c>
      <c r="W223" s="29">
        <f t="shared" si="51"/>
        <v>65.051999999999992</v>
      </c>
      <c r="X223" s="29">
        <f t="shared" si="52"/>
        <v>3.3827039999999995</v>
      </c>
      <c r="Y223" s="29">
        <f>+VLOOKUP(E223,[1]base!D:E,2,0)</f>
        <v>13</v>
      </c>
      <c r="Z223" s="29">
        <f t="shared" si="53"/>
        <v>1</v>
      </c>
      <c r="AA223" s="29">
        <f t="shared" si="54"/>
        <v>6.6666666666666693E-2</v>
      </c>
      <c r="AB223" s="29">
        <f>+VLOOKUP(E223,[1]base!M:N,2,0)</f>
        <v>263</v>
      </c>
      <c r="AC223" s="29">
        <f>+VLOOKUP(E223,[1]base!M:Q,5,0)</f>
        <v>812.5</v>
      </c>
      <c r="AD223" s="30">
        <f>+VLOOKUP(E223,[1]base!M:P,4,0)</f>
        <v>0.25071225071225073</v>
      </c>
      <c r="AE223" s="31">
        <f t="shared" si="55"/>
        <v>12.962678062678055</v>
      </c>
    </row>
    <row r="224" spans="1:31" x14ac:dyDescent="0.25">
      <c r="A224" s="12" t="s">
        <v>1415</v>
      </c>
      <c r="B224" s="13">
        <v>46273.296388888892</v>
      </c>
      <c r="C224" s="12" t="s">
        <v>24</v>
      </c>
      <c r="D224" s="12" t="s">
        <v>1164</v>
      </c>
      <c r="E224" s="26" t="str">
        <f t="shared" si="49"/>
        <v>FR100</v>
      </c>
      <c r="F224" s="27" t="str">
        <f t="shared" si="50"/>
        <v>GRIS</v>
      </c>
      <c r="G224" s="27">
        <f>+VLOOKUP(F224,[1]base!A:B,2,0)</f>
        <v>22</v>
      </c>
      <c r="H224" s="12">
        <v>50</v>
      </c>
      <c r="I224" s="12">
        <v>50</v>
      </c>
      <c r="J224" s="14"/>
      <c r="K224" s="14" t="s">
        <v>61</v>
      </c>
      <c r="L224" s="12" t="s">
        <v>1424</v>
      </c>
      <c r="M224" s="12" t="s">
        <v>150</v>
      </c>
      <c r="N224" s="12">
        <v>50</v>
      </c>
      <c r="O224" s="12">
        <v>50</v>
      </c>
      <c r="P224" s="12">
        <v>0</v>
      </c>
      <c r="Q224" s="16">
        <v>50</v>
      </c>
      <c r="R224" s="16">
        <v>0</v>
      </c>
      <c r="S224" s="16"/>
      <c r="T224" s="28">
        <v>50</v>
      </c>
      <c r="U224" s="28"/>
      <c r="V224" s="29">
        <f>+VLOOKUP(E224,[1]base!D:K,8,0)</f>
        <v>5.4209999999999994</v>
      </c>
      <c r="W224" s="29">
        <f t="shared" si="51"/>
        <v>271.04999999999995</v>
      </c>
      <c r="X224" s="29">
        <f t="shared" si="52"/>
        <v>14.094599999999996</v>
      </c>
      <c r="Y224" s="29">
        <f>+VLOOKUP(E224,[1]base!D:E,2,0)</f>
        <v>13</v>
      </c>
      <c r="Z224" s="29">
        <f t="shared" si="53"/>
        <v>4</v>
      </c>
      <c r="AA224" s="29">
        <f t="shared" si="54"/>
        <v>0.26666666666666677</v>
      </c>
      <c r="AB224" s="29">
        <f>+VLOOKUP(E224,[1]base!M:N,2,0)</f>
        <v>263</v>
      </c>
      <c r="AC224" s="29">
        <f>+VLOOKUP(E224,[1]base!M:Q,5,0)</f>
        <v>812.5</v>
      </c>
      <c r="AD224" s="30">
        <f>+VLOOKUP(E224,[1]base!M:P,4,0)</f>
        <v>0.25071225071225073</v>
      </c>
      <c r="AE224" s="31">
        <f t="shared" si="55"/>
        <v>12.962678062678055</v>
      </c>
    </row>
    <row r="225" spans="1:31" x14ac:dyDescent="0.25">
      <c r="A225" s="12" t="s">
        <v>1492</v>
      </c>
      <c r="B225" s="13">
        <v>46273.61005787037</v>
      </c>
      <c r="C225" s="12" t="s">
        <v>266</v>
      </c>
      <c r="D225" s="12" t="s">
        <v>1164</v>
      </c>
      <c r="E225" s="26" t="str">
        <f t="shared" si="49"/>
        <v>FR100</v>
      </c>
      <c r="F225" s="27" t="str">
        <f t="shared" si="50"/>
        <v>GRIS</v>
      </c>
      <c r="G225" s="27">
        <f>+VLOOKUP(F225,[1]base!A:B,2,0)</f>
        <v>22</v>
      </c>
      <c r="H225" s="12">
        <v>15</v>
      </c>
      <c r="I225" s="12">
        <v>15</v>
      </c>
      <c r="J225" s="14"/>
      <c r="K225" s="14" t="s">
        <v>61</v>
      </c>
      <c r="L225" s="12" t="s">
        <v>1510</v>
      </c>
      <c r="M225" s="12" t="s">
        <v>150</v>
      </c>
      <c r="N225" s="12">
        <v>15</v>
      </c>
      <c r="O225" s="12">
        <v>15</v>
      </c>
      <c r="P225" s="12">
        <v>0</v>
      </c>
      <c r="Q225" s="16">
        <v>15</v>
      </c>
      <c r="R225" s="16">
        <v>0</v>
      </c>
      <c r="S225" s="16"/>
      <c r="T225" s="28">
        <v>15</v>
      </c>
      <c r="U225" s="28"/>
      <c r="V225" s="29">
        <f>+VLOOKUP(E225,[1]base!D:K,8,0)</f>
        <v>5.4209999999999994</v>
      </c>
      <c r="W225" s="29">
        <f t="shared" si="51"/>
        <v>81.314999999999998</v>
      </c>
      <c r="X225" s="29">
        <f t="shared" si="52"/>
        <v>4.2283799999999996</v>
      </c>
      <c r="Y225" s="29">
        <f>+VLOOKUP(E225,[1]base!D:E,2,0)</f>
        <v>13</v>
      </c>
      <c r="Z225" s="29">
        <f t="shared" si="53"/>
        <v>2</v>
      </c>
      <c r="AA225" s="29">
        <f t="shared" si="54"/>
        <v>0.13333333333333339</v>
      </c>
      <c r="AB225" s="29">
        <f>+VLOOKUP(E225,[1]base!M:N,2,0)</f>
        <v>263</v>
      </c>
      <c r="AC225" s="29">
        <f>+VLOOKUP(E225,[1]base!M:Q,5,0)</f>
        <v>812.5</v>
      </c>
      <c r="AD225" s="30">
        <f>+VLOOKUP(E225,[1]base!M:P,4,0)</f>
        <v>0.25071225071225073</v>
      </c>
      <c r="AE225" s="31">
        <f t="shared" si="55"/>
        <v>12.962678062678055</v>
      </c>
    </row>
    <row r="226" spans="1:31" x14ac:dyDescent="0.25">
      <c r="A226" s="12" t="s">
        <v>471</v>
      </c>
      <c r="B226" s="13">
        <v>46228.313125000001</v>
      </c>
      <c r="C226" s="12" t="s">
        <v>266</v>
      </c>
      <c r="D226" s="12" t="s">
        <v>474</v>
      </c>
      <c r="E226" s="26" t="str">
        <f t="shared" si="49"/>
        <v>FR102</v>
      </c>
      <c r="F226" s="27" t="str">
        <f t="shared" si="50"/>
        <v>GRIS</v>
      </c>
      <c r="G226" s="27">
        <f>+VLOOKUP(F226,[1]base!A:B,2,0)</f>
        <v>22</v>
      </c>
      <c r="H226" s="12">
        <v>10</v>
      </c>
      <c r="I226" s="12">
        <v>10</v>
      </c>
      <c r="J226" s="14"/>
      <c r="K226" s="14" t="s">
        <v>61</v>
      </c>
      <c r="L226" s="12" t="s">
        <v>475</v>
      </c>
      <c r="M226" s="12" t="s">
        <v>150</v>
      </c>
      <c r="N226" s="12">
        <v>10</v>
      </c>
      <c r="O226" s="12">
        <v>10</v>
      </c>
      <c r="P226" s="12">
        <v>0</v>
      </c>
      <c r="Q226" s="16">
        <v>10</v>
      </c>
      <c r="R226" s="16">
        <v>0</v>
      </c>
      <c r="S226" s="16"/>
      <c r="T226" s="28">
        <v>10</v>
      </c>
      <c r="U226" s="28"/>
      <c r="V226" s="29">
        <f>+VLOOKUP(E226,[1]base!D:K,8,0)</f>
        <v>4.3875000000000002</v>
      </c>
      <c r="W226" s="29">
        <f t="shared" si="51"/>
        <v>43.875</v>
      </c>
      <c r="X226" s="29">
        <f t="shared" si="52"/>
        <v>2.2814999999999999</v>
      </c>
      <c r="Y226" s="29">
        <f>+VLOOKUP(E226,[1]base!D:E,2,0)</f>
        <v>13</v>
      </c>
      <c r="Z226" s="29">
        <f t="shared" si="53"/>
        <v>1</v>
      </c>
      <c r="AA226" s="29">
        <f t="shared" si="54"/>
        <v>6.6666666666666693E-2</v>
      </c>
      <c r="AB226" s="29">
        <f>+VLOOKUP(E226,[1]base!M:N,2,0)</f>
        <v>0</v>
      </c>
      <c r="AC226" s="29">
        <f>+VLOOKUP(E226,[1]base!M:Q,5,0)</f>
        <v>201.6</v>
      </c>
      <c r="AD226" s="30">
        <f>+VLOOKUP(E226,[1]base!M:P,4,0)</f>
        <v>1</v>
      </c>
      <c r="AE226" s="31">
        <f t="shared" si="55"/>
        <v>0</v>
      </c>
    </row>
    <row r="227" spans="1:31" x14ac:dyDescent="0.25">
      <c r="A227" s="12" t="s">
        <v>1492</v>
      </c>
      <c r="B227" s="13">
        <v>46273.61005787037</v>
      </c>
      <c r="C227" s="12" t="s">
        <v>266</v>
      </c>
      <c r="D227" s="12" t="s">
        <v>1496</v>
      </c>
      <c r="E227" s="26" t="str">
        <f t="shared" si="49"/>
        <v>FR108</v>
      </c>
      <c r="F227" s="27" t="str">
        <f t="shared" si="50"/>
        <v>GRIS</v>
      </c>
      <c r="G227" s="27">
        <f>+VLOOKUP(F227,[1]base!A:B,2,0)</f>
        <v>22</v>
      </c>
      <c r="H227" s="12">
        <v>24</v>
      </c>
      <c r="I227" s="12">
        <v>24</v>
      </c>
      <c r="J227" s="14"/>
      <c r="K227" s="14" t="s">
        <v>61</v>
      </c>
      <c r="L227" s="12" t="s">
        <v>1516</v>
      </c>
      <c r="M227" s="12" t="s">
        <v>150</v>
      </c>
      <c r="N227" s="12">
        <v>24</v>
      </c>
      <c r="O227" s="12">
        <v>24</v>
      </c>
      <c r="P227" s="12">
        <v>0</v>
      </c>
      <c r="Q227" s="16">
        <v>24</v>
      </c>
      <c r="R227" s="16">
        <v>0</v>
      </c>
      <c r="S227" s="16"/>
      <c r="T227" s="28">
        <v>24</v>
      </c>
      <c r="U227" s="28"/>
      <c r="V227" s="29">
        <f>+VLOOKUP(E227,[1]base!D:K,8,0)</f>
        <v>0.89050000000000007</v>
      </c>
      <c r="W227" s="29">
        <f t="shared" si="51"/>
        <v>21.372</v>
      </c>
      <c r="X227" s="29">
        <f t="shared" si="52"/>
        <v>1.1113439999999999</v>
      </c>
      <c r="Y227" s="29">
        <f>+VLOOKUP(E227,[1]base!D:E,2,0)</f>
        <v>20</v>
      </c>
      <c r="Z227" s="29">
        <f t="shared" si="53"/>
        <v>2</v>
      </c>
      <c r="AA227" s="29">
        <f t="shared" si="54"/>
        <v>0.13333333333333339</v>
      </c>
      <c r="AB227" s="29">
        <f>+VLOOKUP(E227,[1]base!M:N,2,0)</f>
        <v>1058</v>
      </c>
      <c r="AC227" s="29">
        <f>+VLOOKUP(E227,[1]base!M:Q,5,0)</f>
        <v>67</v>
      </c>
      <c r="AD227" s="30">
        <f>+VLOOKUP(E227,[1]base!M:P,4,0)</f>
        <v>2.6678932842686291E-2</v>
      </c>
      <c r="AE227" s="31">
        <f t="shared" si="55"/>
        <v>289.17368905243791</v>
      </c>
    </row>
    <row r="228" spans="1:31" x14ac:dyDescent="0.25">
      <c r="A228" s="12" t="s">
        <v>1523</v>
      </c>
      <c r="B228" s="13">
        <v>46274.287824074076</v>
      </c>
      <c r="C228" s="12" t="s">
        <v>258</v>
      </c>
      <c r="D228" s="12" t="s">
        <v>1526</v>
      </c>
      <c r="E228" s="26" t="str">
        <f t="shared" si="49"/>
        <v>FR110</v>
      </c>
      <c r="F228" s="27" t="str">
        <f t="shared" si="50"/>
        <v>GRIS</v>
      </c>
      <c r="G228" s="27">
        <f>+VLOOKUP(F228,[1]base!A:B,2,0)</f>
        <v>22</v>
      </c>
      <c r="H228" s="12">
        <v>30</v>
      </c>
      <c r="I228" s="12">
        <v>30</v>
      </c>
      <c r="J228" s="14"/>
      <c r="K228" s="14" t="s">
        <v>61</v>
      </c>
      <c r="L228" s="12" t="s">
        <v>1528</v>
      </c>
      <c r="M228" s="12" t="s">
        <v>150</v>
      </c>
      <c r="N228" s="12">
        <v>30</v>
      </c>
      <c r="O228" s="12">
        <v>30</v>
      </c>
      <c r="P228" s="12">
        <v>0</v>
      </c>
      <c r="Q228" s="16">
        <v>30</v>
      </c>
      <c r="R228" s="16">
        <v>0</v>
      </c>
      <c r="S228" s="16"/>
      <c r="T228" s="28">
        <v>30</v>
      </c>
      <c r="U228" s="28"/>
      <c r="V228" s="29">
        <f>+VLOOKUP(E228,[1]base!D:K,8,0)</f>
        <v>1.7030000000000001</v>
      </c>
      <c r="W228" s="29">
        <f t="shared" si="51"/>
        <v>51.09</v>
      </c>
      <c r="X228" s="29">
        <f t="shared" si="52"/>
        <v>2.6566800000000002</v>
      </c>
      <c r="Y228" s="29">
        <f>+VLOOKUP(E228,[1]base!D:E,2,0)</f>
        <v>20</v>
      </c>
      <c r="Z228" s="29">
        <f t="shared" si="53"/>
        <v>2</v>
      </c>
      <c r="AA228" s="29">
        <f t="shared" si="54"/>
        <v>0.13333333333333339</v>
      </c>
      <c r="AB228" s="29">
        <f>+VLOOKUP(E228,[1]base!M:N,2,0)</f>
        <v>142</v>
      </c>
      <c r="AC228" s="29">
        <f>+VLOOKUP(E228,[1]base!M:Q,5,0)</f>
        <v>52.125</v>
      </c>
      <c r="AD228" s="30">
        <f>+VLOOKUP(E228,[1]base!M:P,4,0)</f>
        <v>0.12883435582822086</v>
      </c>
      <c r="AE228" s="31">
        <f t="shared" si="55"/>
        <v>24.305521472392634</v>
      </c>
    </row>
    <row r="229" spans="1:31" x14ac:dyDescent="0.25">
      <c r="A229" s="12" t="s">
        <v>1161</v>
      </c>
      <c r="B229" s="13">
        <v>46267.415729166663</v>
      </c>
      <c r="C229" s="12" t="s">
        <v>661</v>
      </c>
      <c r="D229" s="12" t="s">
        <v>1165</v>
      </c>
      <c r="E229" s="26" t="str">
        <f t="shared" si="49"/>
        <v>FR112</v>
      </c>
      <c r="F229" s="27" t="str">
        <f t="shared" si="50"/>
        <v>GRIS</v>
      </c>
      <c r="G229" s="27">
        <f>+VLOOKUP(F229,[1]base!A:B,2,0)</f>
        <v>22</v>
      </c>
      <c r="H229" s="12">
        <v>1</v>
      </c>
      <c r="I229" s="12">
        <v>1</v>
      </c>
      <c r="J229" s="14"/>
      <c r="K229" s="14" t="s">
        <v>61</v>
      </c>
      <c r="L229" s="12" t="s">
        <v>1176</v>
      </c>
      <c r="M229" s="12" t="s">
        <v>150</v>
      </c>
      <c r="N229" s="12">
        <v>1</v>
      </c>
      <c r="O229" s="12">
        <v>1</v>
      </c>
      <c r="P229" s="12">
        <v>0</v>
      </c>
      <c r="Q229" s="16">
        <v>1</v>
      </c>
      <c r="R229" s="16">
        <v>0</v>
      </c>
      <c r="S229" s="16"/>
      <c r="T229" s="28">
        <v>1</v>
      </c>
      <c r="U229" s="28"/>
      <c r="V229" s="29">
        <f>+VLOOKUP(E229,[1]base!D:K,8,0)</f>
        <v>4.5175000000000001</v>
      </c>
      <c r="W229" s="29">
        <f t="shared" si="51"/>
        <v>4.5175000000000001</v>
      </c>
      <c r="X229" s="29">
        <f t="shared" si="52"/>
        <v>0.23490999999999998</v>
      </c>
      <c r="Y229" s="29">
        <f>+VLOOKUP(E229,[1]base!D:E,2,0)</f>
        <v>14</v>
      </c>
      <c r="Z229" s="29">
        <f t="shared" si="53"/>
        <v>1</v>
      </c>
      <c r="AA229" s="29">
        <f t="shared" si="54"/>
        <v>6.6666666666666693E-2</v>
      </c>
      <c r="AB229" s="29">
        <f>+VLOOKUP(E229,[1]base!M:N,2,0)</f>
        <v>7</v>
      </c>
      <c r="AC229" s="29">
        <f>+VLOOKUP(E229,[1]base!M:Q,5,0)</f>
        <v>110.9</v>
      </c>
      <c r="AD229" s="30">
        <f>+VLOOKUP(E229,[1]base!M:P,4,0)</f>
        <v>0.70833333333333337</v>
      </c>
      <c r="AE229" s="31">
        <f t="shared" si="55"/>
        <v>-2.8583333333333338</v>
      </c>
    </row>
    <row r="230" spans="1:31" x14ac:dyDescent="0.25">
      <c r="A230" s="12" t="s">
        <v>1218</v>
      </c>
      <c r="B230" s="13">
        <v>46268.354953703703</v>
      </c>
      <c r="C230" s="12" t="s">
        <v>24</v>
      </c>
      <c r="D230" s="12" t="s">
        <v>1165</v>
      </c>
      <c r="E230" s="26" t="str">
        <f t="shared" si="49"/>
        <v>FR112</v>
      </c>
      <c r="F230" s="27" t="str">
        <f t="shared" si="50"/>
        <v>GRIS</v>
      </c>
      <c r="G230" s="27">
        <f>+VLOOKUP(F230,[1]base!A:B,2,0)</f>
        <v>22</v>
      </c>
      <c r="H230" s="12">
        <v>1</v>
      </c>
      <c r="I230" s="12">
        <v>1</v>
      </c>
      <c r="J230" s="14"/>
      <c r="K230" s="14" t="s">
        <v>61</v>
      </c>
      <c r="L230" s="12" t="s">
        <v>1224</v>
      </c>
      <c r="M230" s="12" t="s">
        <v>150</v>
      </c>
      <c r="N230" s="12">
        <v>1</v>
      </c>
      <c r="O230" s="12">
        <v>1</v>
      </c>
      <c r="P230" s="12">
        <v>0</v>
      </c>
      <c r="Q230" s="16">
        <v>1</v>
      </c>
      <c r="R230" s="16">
        <v>0</v>
      </c>
      <c r="S230" s="16"/>
      <c r="T230" s="28">
        <v>1</v>
      </c>
      <c r="U230" s="28"/>
      <c r="V230" s="29">
        <f>+VLOOKUP(E230,[1]base!D:K,8,0)</f>
        <v>4.5175000000000001</v>
      </c>
      <c r="W230" s="29">
        <f t="shared" si="51"/>
        <v>4.5175000000000001</v>
      </c>
      <c r="X230" s="29">
        <f t="shared" si="52"/>
        <v>0.23490999999999998</v>
      </c>
      <c r="Y230" s="29">
        <f>+VLOOKUP(E230,[1]base!D:E,2,0)</f>
        <v>14</v>
      </c>
      <c r="Z230" s="29">
        <f t="shared" si="53"/>
        <v>1</v>
      </c>
      <c r="AA230" s="29">
        <f t="shared" si="54"/>
        <v>6.6666666666666693E-2</v>
      </c>
      <c r="AB230" s="29">
        <f>+VLOOKUP(E230,[1]base!M:N,2,0)</f>
        <v>7</v>
      </c>
      <c r="AC230" s="29">
        <f>+VLOOKUP(E230,[1]base!M:Q,5,0)</f>
        <v>110.9</v>
      </c>
      <c r="AD230" s="30">
        <f>+VLOOKUP(E230,[1]base!M:P,4,0)</f>
        <v>0.70833333333333337</v>
      </c>
      <c r="AE230" s="31">
        <f t="shared" si="55"/>
        <v>-2.8583333333333338</v>
      </c>
    </row>
    <row r="231" spans="1:31" x14ac:dyDescent="0.25">
      <c r="A231" s="12" t="s">
        <v>1161</v>
      </c>
      <c r="B231" s="13">
        <v>46267.415729166663</v>
      </c>
      <c r="C231" s="12" t="s">
        <v>661</v>
      </c>
      <c r="D231" s="12" t="s">
        <v>1167</v>
      </c>
      <c r="E231" s="26" t="str">
        <f t="shared" si="49"/>
        <v>FR135</v>
      </c>
      <c r="F231" s="27" t="str">
        <f t="shared" si="50"/>
        <v>GRIS</v>
      </c>
      <c r="G231" s="27">
        <f>+VLOOKUP(F231,[1]base!A:B,2,0)</f>
        <v>22</v>
      </c>
      <c r="H231" s="12">
        <v>10</v>
      </c>
      <c r="I231" s="12">
        <v>10</v>
      </c>
      <c r="J231" s="14"/>
      <c r="K231" s="14" t="s">
        <v>61</v>
      </c>
      <c r="L231" s="12" t="s">
        <v>1179</v>
      </c>
      <c r="M231" s="12" t="s">
        <v>150</v>
      </c>
      <c r="N231" s="12">
        <v>10</v>
      </c>
      <c r="O231" s="12">
        <v>10</v>
      </c>
      <c r="P231" s="12">
        <v>0</v>
      </c>
      <c r="Q231" s="16">
        <v>10</v>
      </c>
      <c r="R231" s="16">
        <v>0</v>
      </c>
      <c r="S231" s="16"/>
      <c r="T231" s="28">
        <v>10</v>
      </c>
      <c r="U231" s="28"/>
      <c r="V231" s="29">
        <f>+VLOOKUP(E231,[1]base!D:K,8,0)</f>
        <v>1.5794999999999999</v>
      </c>
      <c r="W231" s="29">
        <f t="shared" si="51"/>
        <v>15.794999999999998</v>
      </c>
      <c r="X231" s="29">
        <f t="shared" si="52"/>
        <v>0.82133999999999985</v>
      </c>
      <c r="Y231" s="29">
        <f>+VLOOKUP(E231,[1]base!D:E,2,0)</f>
        <v>20</v>
      </c>
      <c r="Z231" s="29">
        <f t="shared" si="53"/>
        <v>1</v>
      </c>
      <c r="AA231" s="29">
        <f t="shared" si="54"/>
        <v>6.6666666666666693E-2</v>
      </c>
      <c r="AB231" s="29">
        <f>+VLOOKUP(E231,[1]base!M:N,2,0)</f>
        <v>12</v>
      </c>
      <c r="AC231" s="29">
        <f>+VLOOKUP(E231,[1]base!M:Q,5,0)</f>
        <v>99</v>
      </c>
      <c r="AD231" s="30">
        <f>+VLOOKUP(E231,[1]base!M:P,4,0)</f>
        <v>0.76470588235294112</v>
      </c>
      <c r="AE231" s="31">
        <f t="shared" si="55"/>
        <v>-5.5764705882352938</v>
      </c>
    </row>
    <row r="232" spans="1:31" x14ac:dyDescent="0.25">
      <c r="A232" s="12" t="s">
        <v>1492</v>
      </c>
      <c r="B232" s="13">
        <v>46273.61005787037</v>
      </c>
      <c r="C232" s="12" t="s">
        <v>266</v>
      </c>
      <c r="D232" s="12" t="s">
        <v>275</v>
      </c>
      <c r="E232" s="26" t="str">
        <f t="shared" si="49"/>
        <v>FR139</v>
      </c>
      <c r="F232" s="27" t="str">
        <f t="shared" si="50"/>
        <v>GRIS</v>
      </c>
      <c r="G232" s="27">
        <f>+VLOOKUP(F232,[1]base!A:B,2,0)</f>
        <v>22</v>
      </c>
      <c r="H232" s="12">
        <v>100</v>
      </c>
      <c r="I232" s="12">
        <v>100</v>
      </c>
      <c r="J232" s="14"/>
      <c r="K232" s="14" t="s">
        <v>61</v>
      </c>
      <c r="L232" s="12" t="s">
        <v>1512</v>
      </c>
      <c r="M232" s="12" t="s">
        <v>150</v>
      </c>
      <c r="N232" s="12">
        <v>100</v>
      </c>
      <c r="O232" s="12">
        <v>100</v>
      </c>
      <c r="P232" s="12">
        <v>0</v>
      </c>
      <c r="Q232" s="16">
        <v>100</v>
      </c>
      <c r="R232" s="16">
        <v>0</v>
      </c>
      <c r="S232" s="16"/>
      <c r="T232" s="33">
        <v>100</v>
      </c>
      <c r="U232" s="33"/>
      <c r="V232" s="29">
        <f>+VLOOKUP(E232,[1]base!D:K,8,0)</f>
        <v>1.794</v>
      </c>
      <c r="W232" s="29">
        <f t="shared" si="51"/>
        <v>179.4</v>
      </c>
      <c r="X232" s="29">
        <f t="shared" si="52"/>
        <v>9.3287999999999993</v>
      </c>
      <c r="Y232" s="29">
        <f>+VLOOKUP(E232,[1]base!D:E,2,0)</f>
        <v>20</v>
      </c>
      <c r="Z232" s="29">
        <f t="shared" si="53"/>
        <v>5</v>
      </c>
      <c r="AA232" s="29">
        <f t="shared" si="54"/>
        <v>0.33333333333333348</v>
      </c>
      <c r="AB232" s="29">
        <f>+VLOOKUP(E232,[1]base!M:N,2,0)</f>
        <v>1978</v>
      </c>
      <c r="AC232" s="29">
        <f>+VLOOKUP(E232,[1]base!M:Q,5,0)</f>
        <v>1480</v>
      </c>
      <c r="AD232" s="30">
        <f>+VLOOKUP(E232,[1]base!M:P,4,0)</f>
        <v>8.595194085027727E-2</v>
      </c>
      <c r="AE232" s="31">
        <f t="shared" si="55"/>
        <v>423.38706099815153</v>
      </c>
    </row>
    <row r="233" spans="1:31" x14ac:dyDescent="0.25">
      <c r="A233" s="12" t="s">
        <v>1161</v>
      </c>
      <c r="B233" s="13">
        <v>46267.415729166663</v>
      </c>
      <c r="C233" s="12" t="s">
        <v>661</v>
      </c>
      <c r="D233" s="12" t="s">
        <v>1166</v>
      </c>
      <c r="E233" s="26" t="str">
        <f t="shared" si="49"/>
        <v>FR402</v>
      </c>
      <c r="F233" s="27" t="str">
        <f t="shared" si="50"/>
        <v>GRIS</v>
      </c>
      <c r="G233" s="27">
        <f>+VLOOKUP(F233,[1]base!A:B,2,0)</f>
        <v>22</v>
      </c>
      <c r="H233" s="12">
        <v>10</v>
      </c>
      <c r="I233" s="12">
        <v>10</v>
      </c>
      <c r="J233" s="14"/>
      <c r="K233" s="14" t="s">
        <v>61</v>
      </c>
      <c r="L233" s="12" t="s">
        <v>1177</v>
      </c>
      <c r="M233" s="12" t="s">
        <v>150</v>
      </c>
      <c r="N233" s="12">
        <v>10</v>
      </c>
      <c r="O233" s="12">
        <v>10</v>
      </c>
      <c r="P233" s="12">
        <v>0</v>
      </c>
      <c r="Q233" s="16">
        <v>10</v>
      </c>
      <c r="R233" s="16">
        <v>0</v>
      </c>
      <c r="S233" s="16"/>
      <c r="T233" s="28">
        <v>10</v>
      </c>
      <c r="U233" s="28"/>
      <c r="V233" s="29">
        <f>+VLOOKUP(E233,[1]base!D:K,8,0)</f>
        <v>5.7394999999999996</v>
      </c>
      <c r="W233" s="29">
        <f t="shared" si="51"/>
        <v>57.394999999999996</v>
      </c>
      <c r="X233" s="29">
        <f t="shared" si="52"/>
        <v>2.9845399999999995</v>
      </c>
      <c r="Y233" s="29">
        <f>+VLOOKUP(E233,[1]base!D:E,2,0)</f>
        <v>13</v>
      </c>
      <c r="Z233" s="29">
        <f t="shared" si="53"/>
        <v>1</v>
      </c>
      <c r="AA233" s="29">
        <f t="shared" si="54"/>
        <v>6.6666666666666693E-2</v>
      </c>
      <c r="AB233" s="29">
        <f>+VLOOKUP(E233,[1]base!M:N,2,0)</f>
        <v>135</v>
      </c>
      <c r="AC233" s="29">
        <f>+VLOOKUP(E233,[1]base!M:Q,5,0)</f>
        <v>898.4545454545455</v>
      </c>
      <c r="AD233" s="30">
        <f>+VLOOKUP(E233,[1]base!M:P,4,0)</f>
        <v>0.13461538461538461</v>
      </c>
      <c r="AE233" s="31">
        <f t="shared" si="55"/>
        <v>22.326923076923077</v>
      </c>
    </row>
    <row r="234" spans="1:31" x14ac:dyDescent="0.25">
      <c r="A234" s="12" t="s">
        <v>1218</v>
      </c>
      <c r="B234" s="13">
        <v>46268.354953703703</v>
      </c>
      <c r="C234" s="12" t="s">
        <v>24</v>
      </c>
      <c r="D234" s="12" t="s">
        <v>1166</v>
      </c>
      <c r="E234" s="26" t="str">
        <f t="shared" si="49"/>
        <v>FR402</v>
      </c>
      <c r="F234" s="27" t="str">
        <f t="shared" si="50"/>
        <v>GRIS</v>
      </c>
      <c r="G234" s="27">
        <f>+VLOOKUP(F234,[1]base!A:B,2,0)</f>
        <v>22</v>
      </c>
      <c r="H234" s="12">
        <v>7</v>
      </c>
      <c r="I234" s="12">
        <v>7</v>
      </c>
      <c r="J234" s="14"/>
      <c r="K234" s="14" t="s">
        <v>61</v>
      </c>
      <c r="L234" s="12" t="s">
        <v>1225</v>
      </c>
      <c r="M234" s="12" t="s">
        <v>150</v>
      </c>
      <c r="N234" s="12">
        <v>7</v>
      </c>
      <c r="O234" s="12">
        <v>7</v>
      </c>
      <c r="P234" s="12">
        <v>0</v>
      </c>
      <c r="Q234" s="16">
        <v>7</v>
      </c>
      <c r="R234" s="16">
        <v>0</v>
      </c>
      <c r="S234" s="16"/>
      <c r="T234" s="28">
        <v>7</v>
      </c>
      <c r="U234" s="28"/>
      <c r="V234" s="29">
        <f>+VLOOKUP(E234,[1]base!D:K,8,0)</f>
        <v>5.7394999999999996</v>
      </c>
      <c r="W234" s="29">
        <f t="shared" si="51"/>
        <v>40.176499999999997</v>
      </c>
      <c r="X234" s="29">
        <f t="shared" si="52"/>
        <v>2.089178</v>
      </c>
      <c r="Y234" s="29">
        <f>+VLOOKUP(E234,[1]base!D:E,2,0)</f>
        <v>13</v>
      </c>
      <c r="Z234" s="29">
        <f t="shared" si="53"/>
        <v>1</v>
      </c>
      <c r="AA234" s="29">
        <f t="shared" si="54"/>
        <v>6.6666666666666693E-2</v>
      </c>
      <c r="AB234" s="29">
        <f>+VLOOKUP(E234,[1]base!M:N,2,0)</f>
        <v>135</v>
      </c>
      <c r="AC234" s="29">
        <f>+VLOOKUP(E234,[1]base!M:Q,5,0)</f>
        <v>898.4545454545455</v>
      </c>
      <c r="AD234" s="30">
        <f>+VLOOKUP(E234,[1]base!M:P,4,0)</f>
        <v>0.13461538461538461</v>
      </c>
      <c r="AE234" s="31">
        <f t="shared" si="55"/>
        <v>22.326923076923077</v>
      </c>
    </row>
    <row r="235" spans="1:31" x14ac:dyDescent="0.25">
      <c r="A235" s="12" t="s">
        <v>1241</v>
      </c>
      <c r="B235" s="13">
        <v>46268.574664351851</v>
      </c>
      <c r="C235" s="12" t="s">
        <v>368</v>
      </c>
      <c r="D235" s="12" t="s">
        <v>1166</v>
      </c>
      <c r="E235" s="26" t="str">
        <f t="shared" ref="E235:E266" si="56">_xlfn.TEXTBEFORE(D235, "-", -1, 1, , D235)</f>
        <v>FR402</v>
      </c>
      <c r="F235" s="27" t="str">
        <f t="shared" ref="F235:F247" si="57">_xlfn.TEXTAFTER(D235, "-", -1, 1, , "")</f>
        <v>GRIS</v>
      </c>
      <c r="G235" s="27">
        <f>+VLOOKUP(F235,[1]base!A:B,2,0)</f>
        <v>22</v>
      </c>
      <c r="H235" s="12">
        <v>10</v>
      </c>
      <c r="I235" s="12">
        <v>10</v>
      </c>
      <c r="J235" s="14"/>
      <c r="K235" s="14" t="s">
        <v>61</v>
      </c>
      <c r="L235" s="12" t="s">
        <v>1248</v>
      </c>
      <c r="M235" s="12" t="s">
        <v>150</v>
      </c>
      <c r="N235" s="12">
        <v>10</v>
      </c>
      <c r="O235" s="12">
        <v>10</v>
      </c>
      <c r="P235" s="12">
        <v>0</v>
      </c>
      <c r="Q235" s="16">
        <v>10</v>
      </c>
      <c r="R235" s="16">
        <v>0</v>
      </c>
      <c r="S235" s="16"/>
      <c r="T235" s="28">
        <v>10</v>
      </c>
      <c r="U235" s="28"/>
      <c r="V235" s="29">
        <f>+VLOOKUP(E235,[1]base!D:K,8,0)</f>
        <v>5.7394999999999996</v>
      </c>
      <c r="W235" s="29">
        <f t="shared" ref="W235:W266" si="58">(T235+U235)*V235</f>
        <v>57.394999999999996</v>
      </c>
      <c r="X235" s="29">
        <f t="shared" ref="X235:X266" si="59">+W235*0.052</f>
        <v>2.9845399999999995</v>
      </c>
      <c r="Y235" s="29">
        <f>+VLOOKUP(E235,[1]base!D:E,2,0)</f>
        <v>13</v>
      </c>
      <c r="Z235" s="29">
        <f t="shared" ref="Z235:Z266" si="60">ROUNDUP(T235/Y235,0)</f>
        <v>1</v>
      </c>
      <c r="AA235" s="29">
        <f t="shared" ref="AA235:AA266" si="61">+Z235*0.0666666666666667</f>
        <v>6.6666666666666693E-2</v>
      </c>
      <c r="AB235" s="29">
        <f>+VLOOKUP(E235,[1]base!M:N,2,0)</f>
        <v>135</v>
      </c>
      <c r="AC235" s="29">
        <f>+VLOOKUP(E235,[1]base!M:Q,5,0)</f>
        <v>898.4545454545455</v>
      </c>
      <c r="AD235" s="30">
        <f>+VLOOKUP(E235,[1]base!M:P,4,0)</f>
        <v>0.13461538461538461</v>
      </c>
      <c r="AE235" s="31">
        <f t="shared" ref="AE235:AE266" si="62">+AB235*(30%-AD235)</f>
        <v>22.326923076923077</v>
      </c>
    </row>
    <row r="236" spans="1:31" x14ac:dyDescent="0.25">
      <c r="A236" s="12" t="s">
        <v>1415</v>
      </c>
      <c r="B236" s="13">
        <v>46273.296388888892</v>
      </c>
      <c r="C236" s="12" t="s">
        <v>24</v>
      </c>
      <c r="D236" s="12" t="s">
        <v>1166</v>
      </c>
      <c r="E236" s="26" t="str">
        <f t="shared" si="56"/>
        <v>FR402</v>
      </c>
      <c r="F236" s="27" t="str">
        <f t="shared" si="57"/>
        <v>GRIS</v>
      </c>
      <c r="G236" s="27">
        <f>+VLOOKUP(F236,[1]base!A:B,2,0)</f>
        <v>22</v>
      </c>
      <c r="H236" s="12">
        <v>80</v>
      </c>
      <c r="I236" s="12">
        <v>80</v>
      </c>
      <c r="J236" s="14"/>
      <c r="K236" s="14" t="s">
        <v>61</v>
      </c>
      <c r="L236" s="12" t="s">
        <v>1425</v>
      </c>
      <c r="M236" s="12" t="s">
        <v>150</v>
      </c>
      <c r="N236" s="12">
        <v>80</v>
      </c>
      <c r="O236" s="12">
        <v>80</v>
      </c>
      <c r="P236" s="12">
        <v>0</v>
      </c>
      <c r="Q236" s="16">
        <v>220</v>
      </c>
      <c r="R236" s="16">
        <v>0</v>
      </c>
      <c r="S236" s="16"/>
      <c r="T236" s="28">
        <v>80</v>
      </c>
      <c r="U236" s="28"/>
      <c r="V236" s="29">
        <f>+VLOOKUP(E236,[1]base!D:K,8,0)</f>
        <v>5.7394999999999996</v>
      </c>
      <c r="W236" s="29">
        <f t="shared" si="58"/>
        <v>459.15999999999997</v>
      </c>
      <c r="X236" s="29">
        <f t="shared" si="59"/>
        <v>23.876319999999996</v>
      </c>
      <c r="Y236" s="29">
        <f>+VLOOKUP(E236,[1]base!D:E,2,0)</f>
        <v>13</v>
      </c>
      <c r="Z236" s="29">
        <f t="shared" si="60"/>
        <v>7</v>
      </c>
      <c r="AA236" s="29">
        <f t="shared" si="61"/>
        <v>0.46666666666666684</v>
      </c>
      <c r="AB236" s="29">
        <f>+VLOOKUP(E236,[1]base!M:N,2,0)</f>
        <v>135</v>
      </c>
      <c r="AC236" s="29">
        <f>+VLOOKUP(E236,[1]base!M:Q,5,0)</f>
        <v>898.4545454545455</v>
      </c>
      <c r="AD236" s="30">
        <f>+VLOOKUP(E236,[1]base!M:P,4,0)</f>
        <v>0.13461538461538461</v>
      </c>
      <c r="AE236" s="31">
        <f t="shared" si="62"/>
        <v>22.326923076923077</v>
      </c>
    </row>
    <row r="237" spans="1:31" x14ac:dyDescent="0.25">
      <c r="A237" s="12" t="s">
        <v>1492</v>
      </c>
      <c r="B237" s="13">
        <v>46273.61005787037</v>
      </c>
      <c r="C237" s="12" t="s">
        <v>266</v>
      </c>
      <c r="D237" s="12" t="s">
        <v>1166</v>
      </c>
      <c r="E237" s="26" t="str">
        <f t="shared" si="56"/>
        <v>FR402</v>
      </c>
      <c r="F237" s="27" t="str">
        <f t="shared" si="57"/>
        <v>GRIS</v>
      </c>
      <c r="G237" s="27">
        <f>+VLOOKUP(F237,[1]base!A:B,2,0)</f>
        <v>22</v>
      </c>
      <c r="H237" s="12">
        <v>60</v>
      </c>
      <c r="I237" s="12">
        <v>60</v>
      </c>
      <c r="J237" s="14"/>
      <c r="K237" s="14" t="s">
        <v>61</v>
      </c>
      <c r="L237" s="12" t="s">
        <v>1513</v>
      </c>
      <c r="M237" s="12" t="s">
        <v>150</v>
      </c>
      <c r="N237" s="12">
        <v>60</v>
      </c>
      <c r="O237" s="12">
        <v>60</v>
      </c>
      <c r="P237" s="12">
        <v>0</v>
      </c>
      <c r="Q237" s="16">
        <v>60</v>
      </c>
      <c r="R237" s="16">
        <v>0</v>
      </c>
      <c r="S237" s="16"/>
      <c r="T237" s="28">
        <v>60</v>
      </c>
      <c r="U237" s="28"/>
      <c r="V237" s="29">
        <f>+VLOOKUP(E237,[1]base!D:K,8,0)</f>
        <v>5.7394999999999996</v>
      </c>
      <c r="W237" s="29">
        <f t="shared" si="58"/>
        <v>344.37</v>
      </c>
      <c r="X237" s="29">
        <f t="shared" si="59"/>
        <v>17.907239999999998</v>
      </c>
      <c r="Y237" s="29">
        <f>+VLOOKUP(E237,[1]base!D:E,2,0)</f>
        <v>13</v>
      </c>
      <c r="Z237" s="29">
        <f t="shared" si="60"/>
        <v>5</v>
      </c>
      <c r="AA237" s="29">
        <f t="shared" si="61"/>
        <v>0.33333333333333348</v>
      </c>
      <c r="AB237" s="29">
        <f>+VLOOKUP(E237,[1]base!M:N,2,0)</f>
        <v>135</v>
      </c>
      <c r="AC237" s="29">
        <f>+VLOOKUP(E237,[1]base!M:Q,5,0)</f>
        <v>898.4545454545455</v>
      </c>
      <c r="AD237" s="30">
        <f>+VLOOKUP(E237,[1]base!M:P,4,0)</f>
        <v>0.13461538461538461</v>
      </c>
      <c r="AE237" s="31">
        <f t="shared" si="62"/>
        <v>22.326923076923077</v>
      </c>
    </row>
    <row r="238" spans="1:31" x14ac:dyDescent="0.25">
      <c r="A238" s="12" t="s">
        <v>1549</v>
      </c>
      <c r="B238" s="13">
        <v>46274.600347222222</v>
      </c>
      <c r="C238" s="12" t="s">
        <v>465</v>
      </c>
      <c r="D238" s="12" t="s">
        <v>1166</v>
      </c>
      <c r="E238" s="26" t="str">
        <f t="shared" si="56"/>
        <v>FR402</v>
      </c>
      <c r="F238" s="27" t="str">
        <f t="shared" si="57"/>
        <v>GRIS</v>
      </c>
      <c r="G238" s="27">
        <f>+VLOOKUP(F238,[1]base!A:B,2,0)</f>
        <v>22</v>
      </c>
      <c r="H238" s="12">
        <v>40</v>
      </c>
      <c r="I238" s="12">
        <v>40</v>
      </c>
      <c r="J238" s="14"/>
      <c r="K238" s="14" t="s">
        <v>61</v>
      </c>
      <c r="L238" s="12" t="s">
        <v>1557</v>
      </c>
      <c r="M238" s="12" t="s">
        <v>150</v>
      </c>
      <c r="N238" s="12">
        <v>40</v>
      </c>
      <c r="O238" s="12">
        <v>40</v>
      </c>
      <c r="P238" s="12">
        <v>0</v>
      </c>
      <c r="Q238" s="16">
        <v>60</v>
      </c>
      <c r="R238" s="16">
        <v>0</v>
      </c>
      <c r="S238" s="16"/>
      <c r="T238" s="28">
        <v>40</v>
      </c>
      <c r="U238" s="28"/>
      <c r="V238" s="29">
        <f>+VLOOKUP(E238,[1]base!D:K,8,0)</f>
        <v>5.7394999999999996</v>
      </c>
      <c r="W238" s="29">
        <f t="shared" si="58"/>
        <v>229.57999999999998</v>
      </c>
      <c r="X238" s="29">
        <f t="shared" si="59"/>
        <v>11.938159999999998</v>
      </c>
      <c r="Y238" s="29">
        <f>+VLOOKUP(E238,[1]base!D:E,2,0)</f>
        <v>13</v>
      </c>
      <c r="Z238" s="29">
        <f t="shared" si="60"/>
        <v>4</v>
      </c>
      <c r="AA238" s="29">
        <f t="shared" si="61"/>
        <v>0.26666666666666677</v>
      </c>
      <c r="AB238" s="29">
        <f>+VLOOKUP(E238,[1]base!M:N,2,0)</f>
        <v>135</v>
      </c>
      <c r="AC238" s="29">
        <f>+VLOOKUP(E238,[1]base!M:Q,5,0)</f>
        <v>898.4545454545455</v>
      </c>
      <c r="AD238" s="30">
        <f>+VLOOKUP(E238,[1]base!M:P,4,0)</f>
        <v>0.13461538461538461</v>
      </c>
      <c r="AE238" s="31">
        <f t="shared" si="62"/>
        <v>22.326923076923077</v>
      </c>
    </row>
    <row r="239" spans="1:31" x14ac:dyDescent="0.25">
      <c r="A239" s="12" t="s">
        <v>1218</v>
      </c>
      <c r="B239" s="13">
        <v>46268.354953703703</v>
      </c>
      <c r="C239" s="12" t="s">
        <v>24</v>
      </c>
      <c r="D239" s="12" t="s">
        <v>1219</v>
      </c>
      <c r="E239" s="26" t="str">
        <f t="shared" si="56"/>
        <v>FR404</v>
      </c>
      <c r="F239" s="27" t="str">
        <f t="shared" si="57"/>
        <v>GRIS</v>
      </c>
      <c r="G239" s="27">
        <f>+VLOOKUP(F239,[1]base!A:B,2,0)</f>
        <v>22</v>
      </c>
      <c r="H239" s="12">
        <v>4</v>
      </c>
      <c r="I239" s="12">
        <v>4</v>
      </c>
      <c r="J239" s="14"/>
      <c r="K239" s="14" t="s">
        <v>61</v>
      </c>
      <c r="L239" s="12" t="s">
        <v>1226</v>
      </c>
      <c r="M239" s="12" t="s">
        <v>150</v>
      </c>
      <c r="N239" s="12">
        <v>4</v>
      </c>
      <c r="O239" s="12">
        <v>4</v>
      </c>
      <c r="P239" s="12">
        <v>0</v>
      </c>
      <c r="Q239" s="16">
        <v>4</v>
      </c>
      <c r="R239" s="16">
        <v>0</v>
      </c>
      <c r="S239" s="16"/>
      <c r="T239" s="28">
        <v>4</v>
      </c>
      <c r="U239" s="28"/>
      <c r="V239" s="29">
        <f>+VLOOKUP(E239,[1]base!D:K,8,0)</f>
        <v>5.9670000000000005</v>
      </c>
      <c r="W239" s="29">
        <f t="shared" si="58"/>
        <v>23.868000000000002</v>
      </c>
      <c r="X239" s="29">
        <f t="shared" si="59"/>
        <v>1.241136</v>
      </c>
      <c r="Y239" s="29">
        <f>+VLOOKUP(E239,[1]base!D:E,2,0)</f>
        <v>13</v>
      </c>
      <c r="Z239" s="29">
        <f t="shared" si="60"/>
        <v>1</v>
      </c>
      <c r="AA239" s="29">
        <f t="shared" si="61"/>
        <v>6.6666666666666693E-2</v>
      </c>
      <c r="AB239" s="29">
        <f>+VLOOKUP(E239,[1]base!M:N,2,0)</f>
        <v>1934</v>
      </c>
      <c r="AC239" s="29">
        <f>+VLOOKUP(E239,[1]base!M:Q,5,0)</f>
        <v>578.90909090909088</v>
      </c>
      <c r="AD239" s="30">
        <f>+VLOOKUP(E239,[1]base!M:P,4,0)</f>
        <v>8.1235154394299292E-2</v>
      </c>
      <c r="AE239" s="31">
        <f t="shared" si="62"/>
        <v>423.09121140142514</v>
      </c>
    </row>
    <row r="240" spans="1:31" x14ac:dyDescent="0.25">
      <c r="A240" s="12" t="s">
        <v>1241</v>
      </c>
      <c r="B240" s="13">
        <v>46268.574664351851</v>
      </c>
      <c r="C240" s="12" t="s">
        <v>368</v>
      </c>
      <c r="D240" s="12" t="s">
        <v>1219</v>
      </c>
      <c r="E240" s="26" t="str">
        <f t="shared" si="56"/>
        <v>FR404</v>
      </c>
      <c r="F240" s="27" t="str">
        <f t="shared" si="57"/>
        <v>GRIS</v>
      </c>
      <c r="G240" s="27">
        <f>+VLOOKUP(F240,[1]base!A:B,2,0)</f>
        <v>22</v>
      </c>
      <c r="H240" s="12">
        <v>14</v>
      </c>
      <c r="I240" s="12">
        <v>14</v>
      </c>
      <c r="J240" s="14"/>
      <c r="K240" s="14" t="s">
        <v>61</v>
      </c>
      <c r="L240" s="12" t="s">
        <v>1249</v>
      </c>
      <c r="M240" s="12" t="s">
        <v>150</v>
      </c>
      <c r="N240" s="12">
        <v>14</v>
      </c>
      <c r="O240" s="12">
        <v>14</v>
      </c>
      <c r="P240" s="12">
        <v>0</v>
      </c>
      <c r="Q240" s="16">
        <v>14</v>
      </c>
      <c r="R240" s="16">
        <v>0</v>
      </c>
      <c r="S240" s="16"/>
      <c r="T240" s="28">
        <v>14</v>
      </c>
      <c r="U240" s="28"/>
      <c r="V240" s="29">
        <f>+VLOOKUP(E240,[1]base!D:K,8,0)</f>
        <v>5.9670000000000005</v>
      </c>
      <c r="W240" s="29">
        <f t="shared" si="58"/>
        <v>83.538000000000011</v>
      </c>
      <c r="X240" s="29">
        <f t="shared" si="59"/>
        <v>4.3439760000000005</v>
      </c>
      <c r="Y240" s="29">
        <f>+VLOOKUP(E240,[1]base!D:E,2,0)</f>
        <v>13</v>
      </c>
      <c r="Z240" s="29">
        <f t="shared" si="60"/>
        <v>2</v>
      </c>
      <c r="AA240" s="29">
        <f t="shared" si="61"/>
        <v>0.13333333333333339</v>
      </c>
      <c r="AB240" s="29">
        <f>+VLOOKUP(E240,[1]base!M:N,2,0)</f>
        <v>1934</v>
      </c>
      <c r="AC240" s="29">
        <f>+VLOOKUP(E240,[1]base!M:Q,5,0)</f>
        <v>578.90909090909088</v>
      </c>
      <c r="AD240" s="30">
        <f>+VLOOKUP(E240,[1]base!M:P,4,0)</f>
        <v>8.1235154394299292E-2</v>
      </c>
      <c r="AE240" s="31">
        <f t="shared" si="62"/>
        <v>423.09121140142514</v>
      </c>
    </row>
    <row r="241" spans="1:31" x14ac:dyDescent="0.25">
      <c r="A241" s="12" t="s">
        <v>547</v>
      </c>
      <c r="B241" s="13">
        <v>46240.550856481481</v>
      </c>
      <c r="C241" s="12" t="s">
        <v>548</v>
      </c>
      <c r="D241" s="12" t="s">
        <v>567</v>
      </c>
      <c r="E241" s="26" t="str">
        <f t="shared" si="56"/>
        <v>GL11060/248</v>
      </c>
      <c r="F241" s="27" t="str">
        <f t="shared" si="57"/>
        <v>GRIS</v>
      </c>
      <c r="G241" s="27">
        <f>+VLOOKUP(F241,[1]base!A:B,2,0)</f>
        <v>22</v>
      </c>
      <c r="H241" s="12">
        <v>50</v>
      </c>
      <c r="I241" s="12">
        <v>50</v>
      </c>
      <c r="J241" s="14"/>
      <c r="K241" s="14" t="s">
        <v>61</v>
      </c>
      <c r="L241" s="12" t="s">
        <v>570</v>
      </c>
      <c r="M241" s="12" t="s">
        <v>150</v>
      </c>
      <c r="N241" s="12">
        <v>50</v>
      </c>
      <c r="O241" s="12">
        <v>50</v>
      </c>
      <c r="P241" s="12">
        <v>0</v>
      </c>
      <c r="Q241" s="16">
        <v>80</v>
      </c>
      <c r="R241" s="16">
        <v>0</v>
      </c>
      <c r="S241" s="16"/>
      <c r="T241" s="28">
        <v>50</v>
      </c>
      <c r="U241" s="28"/>
      <c r="V241" s="29">
        <f>+VLOOKUP(E241,[1]base!D:K,8,0)</f>
        <v>2.4634999999999998</v>
      </c>
      <c r="W241" s="29">
        <f t="shared" si="58"/>
        <v>123.17499999999998</v>
      </c>
      <c r="X241" s="29">
        <f t="shared" si="59"/>
        <v>6.4050999999999991</v>
      </c>
      <c r="Y241" s="29">
        <f>+VLOOKUP(E241,[1]base!D:E,2,0)</f>
        <v>20</v>
      </c>
      <c r="Z241" s="29">
        <f t="shared" si="60"/>
        <v>3</v>
      </c>
      <c r="AA241" s="29">
        <f t="shared" si="61"/>
        <v>0.20000000000000007</v>
      </c>
      <c r="AB241" s="29">
        <f>+VLOOKUP(E241,[1]base!M:N,2,0)</f>
        <v>10587</v>
      </c>
      <c r="AC241" s="29">
        <f>+VLOOKUP(E241,[1]base!M:Q,5,0)</f>
        <v>2112.7272727272725</v>
      </c>
      <c r="AD241" s="30">
        <f>+VLOOKUP(E241,[1]base!M:P,4,0)</f>
        <v>1.4154018064996741E-2</v>
      </c>
      <c r="AE241" s="31">
        <f t="shared" si="62"/>
        <v>3026.2514107458796</v>
      </c>
    </row>
    <row r="242" spans="1:31" x14ac:dyDescent="0.25">
      <c r="A242" s="12" t="s">
        <v>983</v>
      </c>
      <c r="B242" s="13">
        <v>46265.499872685185</v>
      </c>
      <c r="C242" s="12" t="s">
        <v>986</v>
      </c>
      <c r="D242" s="12" t="s">
        <v>567</v>
      </c>
      <c r="E242" s="26" t="str">
        <f t="shared" si="56"/>
        <v>GL11060/248</v>
      </c>
      <c r="F242" s="27" t="str">
        <f t="shared" si="57"/>
        <v>GRIS</v>
      </c>
      <c r="G242" s="27">
        <f>+VLOOKUP(F242,[1]base!A:B,2,0)</f>
        <v>22</v>
      </c>
      <c r="H242" s="12">
        <v>30</v>
      </c>
      <c r="I242" s="12">
        <v>30</v>
      </c>
      <c r="J242" s="14"/>
      <c r="K242" s="14" t="s">
        <v>61</v>
      </c>
      <c r="L242" s="12" t="s">
        <v>994</v>
      </c>
      <c r="M242" s="12" t="s">
        <v>150</v>
      </c>
      <c r="N242" s="12">
        <v>30</v>
      </c>
      <c r="O242" s="12">
        <v>30</v>
      </c>
      <c r="P242" s="12">
        <v>0</v>
      </c>
      <c r="Q242" s="16">
        <v>30</v>
      </c>
      <c r="R242" s="16">
        <v>0</v>
      </c>
      <c r="S242" s="16"/>
      <c r="T242" s="28">
        <v>30</v>
      </c>
      <c r="U242" s="28"/>
      <c r="V242" s="29">
        <f>+VLOOKUP(E242,[1]base!D:K,8,0)</f>
        <v>2.4634999999999998</v>
      </c>
      <c r="W242" s="29">
        <f t="shared" si="58"/>
        <v>73.905000000000001</v>
      </c>
      <c r="X242" s="29">
        <f t="shared" si="59"/>
        <v>3.8430599999999999</v>
      </c>
      <c r="Y242" s="29">
        <f>+VLOOKUP(E242,[1]base!D:E,2,0)</f>
        <v>20</v>
      </c>
      <c r="Z242" s="29">
        <f t="shared" si="60"/>
        <v>2</v>
      </c>
      <c r="AA242" s="29">
        <f t="shared" si="61"/>
        <v>0.13333333333333339</v>
      </c>
      <c r="AB242" s="29">
        <f>+VLOOKUP(E242,[1]base!M:N,2,0)</f>
        <v>10587</v>
      </c>
      <c r="AC242" s="29">
        <f>+VLOOKUP(E242,[1]base!M:Q,5,0)</f>
        <v>2112.7272727272725</v>
      </c>
      <c r="AD242" s="30">
        <f>+VLOOKUP(E242,[1]base!M:P,4,0)</f>
        <v>1.4154018064996741E-2</v>
      </c>
      <c r="AE242" s="31">
        <f t="shared" si="62"/>
        <v>3026.2514107458796</v>
      </c>
    </row>
    <row r="243" spans="1:31" x14ac:dyDescent="0.25">
      <c r="A243" s="12" t="s">
        <v>1161</v>
      </c>
      <c r="B243" s="13">
        <v>46267.415729166663</v>
      </c>
      <c r="C243" s="12" t="s">
        <v>661</v>
      </c>
      <c r="D243" s="12" t="s">
        <v>567</v>
      </c>
      <c r="E243" s="26" t="str">
        <f t="shared" si="56"/>
        <v>GL11060/248</v>
      </c>
      <c r="F243" s="27" t="str">
        <f t="shared" si="57"/>
        <v>GRIS</v>
      </c>
      <c r="G243" s="27">
        <f>+VLOOKUP(F243,[1]base!A:B,2,0)</f>
        <v>22</v>
      </c>
      <c r="H243" s="12">
        <v>20</v>
      </c>
      <c r="I243" s="12">
        <v>20</v>
      </c>
      <c r="J243" s="14"/>
      <c r="K243" s="14" t="s">
        <v>61</v>
      </c>
      <c r="L243" s="12" t="s">
        <v>1178</v>
      </c>
      <c r="M243" s="12" t="s">
        <v>150</v>
      </c>
      <c r="N243" s="12">
        <v>20</v>
      </c>
      <c r="O243" s="12">
        <v>20</v>
      </c>
      <c r="P243" s="12">
        <v>0</v>
      </c>
      <c r="Q243" s="16">
        <v>20</v>
      </c>
      <c r="R243" s="16">
        <v>0</v>
      </c>
      <c r="S243" s="16"/>
      <c r="T243" s="28">
        <v>20</v>
      </c>
      <c r="U243" s="28"/>
      <c r="V243" s="29">
        <f>+VLOOKUP(E243,[1]base!D:K,8,0)</f>
        <v>2.4634999999999998</v>
      </c>
      <c r="W243" s="29">
        <f t="shared" si="58"/>
        <v>49.269999999999996</v>
      </c>
      <c r="X243" s="29">
        <f t="shared" si="59"/>
        <v>2.5620399999999997</v>
      </c>
      <c r="Y243" s="29">
        <f>+VLOOKUP(E243,[1]base!D:E,2,0)</f>
        <v>20</v>
      </c>
      <c r="Z243" s="29">
        <f t="shared" si="60"/>
        <v>1</v>
      </c>
      <c r="AA243" s="29">
        <f t="shared" si="61"/>
        <v>6.6666666666666693E-2</v>
      </c>
      <c r="AB243" s="29">
        <f>+VLOOKUP(E243,[1]base!M:N,2,0)</f>
        <v>10587</v>
      </c>
      <c r="AC243" s="29">
        <f>+VLOOKUP(E243,[1]base!M:Q,5,0)</f>
        <v>2112.7272727272725</v>
      </c>
      <c r="AD243" s="30">
        <f>+VLOOKUP(E243,[1]base!M:P,4,0)</f>
        <v>1.4154018064996741E-2</v>
      </c>
      <c r="AE243" s="31">
        <f t="shared" si="62"/>
        <v>3026.2514107458796</v>
      </c>
    </row>
    <row r="244" spans="1:31" x14ac:dyDescent="0.25">
      <c r="A244" s="12" t="s">
        <v>1415</v>
      </c>
      <c r="B244" s="13">
        <v>46273.296388888892</v>
      </c>
      <c r="C244" s="12" t="s">
        <v>24</v>
      </c>
      <c r="D244" s="12" t="s">
        <v>567</v>
      </c>
      <c r="E244" s="26" t="str">
        <f t="shared" si="56"/>
        <v>GL11060/248</v>
      </c>
      <c r="F244" s="27" t="str">
        <f t="shared" si="57"/>
        <v>GRIS</v>
      </c>
      <c r="G244" s="27">
        <f>+VLOOKUP(F244,[1]base!A:B,2,0)</f>
        <v>22</v>
      </c>
      <c r="H244" s="12">
        <v>50</v>
      </c>
      <c r="I244" s="12">
        <v>50</v>
      </c>
      <c r="J244" s="14"/>
      <c r="K244" s="14" t="s">
        <v>61</v>
      </c>
      <c r="L244" s="12" t="s">
        <v>1428</v>
      </c>
      <c r="M244" s="12" t="s">
        <v>150</v>
      </c>
      <c r="N244" s="12">
        <v>50</v>
      </c>
      <c r="O244" s="12">
        <v>50</v>
      </c>
      <c r="P244" s="12">
        <v>0</v>
      </c>
      <c r="Q244" s="16">
        <v>150</v>
      </c>
      <c r="R244" s="16">
        <v>0</v>
      </c>
      <c r="S244" s="16"/>
      <c r="T244" s="28">
        <v>50</v>
      </c>
      <c r="U244" s="28"/>
      <c r="V244" s="29">
        <f>+VLOOKUP(E244,[1]base!D:K,8,0)</f>
        <v>2.4634999999999998</v>
      </c>
      <c r="W244" s="29">
        <f t="shared" si="58"/>
        <v>123.17499999999998</v>
      </c>
      <c r="X244" s="29">
        <f t="shared" si="59"/>
        <v>6.4050999999999991</v>
      </c>
      <c r="Y244" s="29">
        <f>+VLOOKUP(E244,[1]base!D:E,2,0)</f>
        <v>20</v>
      </c>
      <c r="Z244" s="29">
        <f t="shared" si="60"/>
        <v>3</v>
      </c>
      <c r="AA244" s="29">
        <f t="shared" si="61"/>
        <v>0.20000000000000007</v>
      </c>
      <c r="AB244" s="29">
        <f>+VLOOKUP(E244,[1]base!M:N,2,0)</f>
        <v>10587</v>
      </c>
      <c r="AC244" s="29">
        <f>+VLOOKUP(E244,[1]base!M:Q,5,0)</f>
        <v>2112.7272727272725</v>
      </c>
      <c r="AD244" s="30">
        <f>+VLOOKUP(E244,[1]base!M:P,4,0)</f>
        <v>1.4154018064996741E-2</v>
      </c>
      <c r="AE244" s="31">
        <f t="shared" si="62"/>
        <v>3026.2514107458796</v>
      </c>
    </row>
    <row r="245" spans="1:31" x14ac:dyDescent="0.25">
      <c r="A245" s="12" t="s">
        <v>1490</v>
      </c>
      <c r="B245" s="13">
        <v>46273.595729166664</v>
      </c>
      <c r="C245" s="12" t="s">
        <v>24</v>
      </c>
      <c r="D245" s="12" t="s">
        <v>567</v>
      </c>
      <c r="E245" s="26" t="str">
        <f t="shared" si="56"/>
        <v>GL11060/248</v>
      </c>
      <c r="F245" s="27" t="str">
        <f t="shared" si="57"/>
        <v>GRIS</v>
      </c>
      <c r="G245" s="27">
        <f>+VLOOKUP(F245,[1]base!A:B,2,0)</f>
        <v>22</v>
      </c>
      <c r="H245" s="12">
        <v>100</v>
      </c>
      <c r="I245" s="12">
        <v>100</v>
      </c>
      <c r="J245" s="14"/>
      <c r="K245" s="14" t="s">
        <v>61</v>
      </c>
      <c r="L245" s="12" t="s">
        <v>1498</v>
      </c>
      <c r="M245" s="12" t="s">
        <v>150</v>
      </c>
      <c r="N245" s="12">
        <v>100</v>
      </c>
      <c r="O245" s="12">
        <v>100</v>
      </c>
      <c r="P245" s="12">
        <v>0</v>
      </c>
      <c r="Q245" s="16">
        <v>300</v>
      </c>
      <c r="R245" s="16">
        <v>0</v>
      </c>
      <c r="S245" s="16"/>
      <c r="T245" s="28">
        <v>100</v>
      </c>
      <c r="U245" s="28"/>
      <c r="V245" s="29">
        <f>+VLOOKUP(E245,[1]base!D:K,8,0)</f>
        <v>2.4634999999999998</v>
      </c>
      <c r="W245" s="29">
        <f t="shared" si="58"/>
        <v>246.34999999999997</v>
      </c>
      <c r="X245" s="29">
        <f t="shared" si="59"/>
        <v>12.810199999999998</v>
      </c>
      <c r="Y245" s="29">
        <f>+VLOOKUP(E245,[1]base!D:E,2,0)</f>
        <v>20</v>
      </c>
      <c r="Z245" s="29">
        <f t="shared" si="60"/>
        <v>5</v>
      </c>
      <c r="AA245" s="29">
        <f t="shared" si="61"/>
        <v>0.33333333333333348</v>
      </c>
      <c r="AB245" s="29">
        <f>+VLOOKUP(E245,[1]base!M:N,2,0)</f>
        <v>10587</v>
      </c>
      <c r="AC245" s="29">
        <f>+VLOOKUP(E245,[1]base!M:Q,5,0)</f>
        <v>2112.7272727272725</v>
      </c>
      <c r="AD245" s="30">
        <f>+VLOOKUP(E245,[1]base!M:P,4,0)</f>
        <v>1.4154018064996741E-2</v>
      </c>
      <c r="AE245" s="31">
        <f t="shared" si="62"/>
        <v>3026.2514107458796</v>
      </c>
    </row>
    <row r="246" spans="1:31" x14ac:dyDescent="0.25">
      <c r="A246" s="12" t="s">
        <v>547</v>
      </c>
      <c r="B246" s="13">
        <v>46240.550856481481</v>
      </c>
      <c r="C246" s="12" t="s">
        <v>548</v>
      </c>
      <c r="D246" s="12" t="s">
        <v>457</v>
      </c>
      <c r="E246" s="26" t="str">
        <f t="shared" si="56"/>
        <v>LM-F/6</v>
      </c>
      <c r="F246" s="27" t="str">
        <f t="shared" si="57"/>
        <v>GRIS</v>
      </c>
      <c r="G246" s="27">
        <f>+VLOOKUP(F246,[1]base!A:B,2,0)</f>
        <v>22</v>
      </c>
      <c r="H246" s="12">
        <v>50</v>
      </c>
      <c r="I246" s="12">
        <v>50</v>
      </c>
      <c r="J246" s="14"/>
      <c r="K246" s="14" t="s">
        <v>61</v>
      </c>
      <c r="L246" s="12" t="s">
        <v>575</v>
      </c>
      <c r="M246" s="12" t="s">
        <v>150</v>
      </c>
      <c r="N246" s="12">
        <v>50</v>
      </c>
      <c r="O246" s="12">
        <v>50</v>
      </c>
      <c r="P246" s="12">
        <v>0</v>
      </c>
      <c r="Q246" s="16">
        <v>130</v>
      </c>
      <c r="R246" s="16">
        <v>0</v>
      </c>
      <c r="S246" s="16"/>
      <c r="T246" s="28">
        <v>50</v>
      </c>
      <c r="U246" s="28"/>
      <c r="V246" s="29">
        <f>+VLOOKUP(E246,[1]base!D:K,8,0)</f>
        <v>2.8405</v>
      </c>
      <c r="W246" s="29">
        <f t="shared" si="58"/>
        <v>142.02500000000001</v>
      </c>
      <c r="X246" s="29">
        <f t="shared" si="59"/>
        <v>7.3853</v>
      </c>
      <c r="Y246" s="29">
        <f>+VLOOKUP(E246,[1]base!D:E,2,0)</f>
        <v>17</v>
      </c>
      <c r="Z246" s="29">
        <f t="shared" si="60"/>
        <v>3</v>
      </c>
      <c r="AA246" s="29">
        <f t="shared" si="61"/>
        <v>0.20000000000000007</v>
      </c>
      <c r="AB246" s="29">
        <f>+VLOOKUP(E246,[1]base!M:N,2,0)</f>
        <v>2860</v>
      </c>
      <c r="AC246" s="29">
        <f>+VLOOKUP(E246,[1]base!M:Q,5,0)</f>
        <v>1927.6</v>
      </c>
      <c r="AD246" s="30">
        <f>+VLOOKUP(E246,[1]base!M:P,4,0)</f>
        <v>-5.2857142857142856</v>
      </c>
      <c r="AE246" s="31">
        <f t="shared" si="62"/>
        <v>15975.142857142857</v>
      </c>
    </row>
    <row r="247" spans="1:31" x14ac:dyDescent="0.25">
      <c r="A247" s="12" t="s">
        <v>983</v>
      </c>
      <c r="B247" s="13">
        <v>46265.499872685185</v>
      </c>
      <c r="C247" s="12" t="s">
        <v>986</v>
      </c>
      <c r="D247" s="12" t="s">
        <v>457</v>
      </c>
      <c r="E247" s="26" t="str">
        <f t="shared" si="56"/>
        <v>LM-F/6</v>
      </c>
      <c r="F247" s="27" t="str">
        <f t="shared" si="57"/>
        <v>GRIS</v>
      </c>
      <c r="G247" s="27">
        <f>+VLOOKUP(F247,[1]base!A:B,2,0)</f>
        <v>22</v>
      </c>
      <c r="H247" s="12">
        <v>20</v>
      </c>
      <c r="I247" s="12">
        <v>20</v>
      </c>
      <c r="J247" s="14"/>
      <c r="K247" s="14" t="s">
        <v>61</v>
      </c>
      <c r="L247" s="12" t="s">
        <v>996</v>
      </c>
      <c r="M247" s="12" t="s">
        <v>150</v>
      </c>
      <c r="N247" s="12">
        <v>20</v>
      </c>
      <c r="O247" s="12">
        <v>20</v>
      </c>
      <c r="P247" s="12">
        <v>0</v>
      </c>
      <c r="Q247" s="16">
        <v>20</v>
      </c>
      <c r="R247" s="16">
        <v>0</v>
      </c>
      <c r="S247" s="16"/>
      <c r="T247" s="28">
        <v>20</v>
      </c>
      <c r="U247" s="28"/>
      <c r="V247" s="29">
        <f>+VLOOKUP(E247,[1]base!D:K,8,0)</f>
        <v>2.8405</v>
      </c>
      <c r="W247" s="29">
        <f t="shared" si="58"/>
        <v>56.81</v>
      </c>
      <c r="X247" s="29">
        <f t="shared" si="59"/>
        <v>2.9541200000000001</v>
      </c>
      <c r="Y247" s="29">
        <f>+VLOOKUP(E247,[1]base!D:E,2,0)</f>
        <v>17</v>
      </c>
      <c r="Z247" s="29">
        <f t="shared" si="60"/>
        <v>2</v>
      </c>
      <c r="AA247" s="29">
        <f t="shared" si="61"/>
        <v>0.13333333333333339</v>
      </c>
      <c r="AB247" s="29">
        <f>+VLOOKUP(E247,[1]base!M:N,2,0)</f>
        <v>2860</v>
      </c>
      <c r="AC247" s="29">
        <f>+VLOOKUP(E247,[1]base!M:Q,5,0)</f>
        <v>1927.6</v>
      </c>
      <c r="AD247" s="30">
        <f>+VLOOKUP(E247,[1]base!M:P,4,0)</f>
        <v>-5.2857142857142856</v>
      </c>
      <c r="AE247" s="31">
        <f t="shared" si="62"/>
        <v>15975.142857142857</v>
      </c>
    </row>
    <row r="248" spans="1:31" x14ac:dyDescent="0.25">
      <c r="A248" s="45"/>
      <c r="B248" s="46"/>
      <c r="C248" s="45"/>
      <c r="D248" s="45"/>
      <c r="E248" s="47"/>
      <c r="F248" s="48"/>
      <c r="G248" s="48"/>
      <c r="H248" s="45"/>
      <c r="I248" s="45"/>
      <c r="J248" s="49"/>
      <c r="K248" s="49"/>
      <c r="L248" s="45"/>
      <c r="M248" s="45"/>
      <c r="N248" s="45"/>
      <c r="O248" s="45"/>
      <c r="P248" s="45"/>
      <c r="Q248" s="50"/>
      <c r="R248" s="50"/>
      <c r="S248" s="50"/>
      <c r="T248" s="51"/>
      <c r="U248" s="51"/>
      <c r="V248" s="52"/>
      <c r="W248" s="52"/>
      <c r="X248" s="52"/>
      <c r="Y248" s="52"/>
      <c r="Z248" s="52"/>
      <c r="AA248" s="52"/>
      <c r="AB248" s="52"/>
      <c r="AC248" s="52"/>
      <c r="AD248" s="53"/>
      <c r="AE248" s="54"/>
    </row>
    <row r="249" spans="1:31" x14ac:dyDescent="0.25">
      <c r="A249" s="12" t="s">
        <v>792</v>
      </c>
      <c r="B249" s="13">
        <v>46260.398888888885</v>
      </c>
      <c r="C249" s="12" t="s">
        <v>24</v>
      </c>
      <c r="D249" s="12" t="s">
        <v>793</v>
      </c>
      <c r="E249" s="26" t="str">
        <f t="shared" ref="E249:E269" si="63">_xlfn.TEXTBEFORE(D249, "-", -1, 1, , D249)</f>
        <v>C-67106</v>
      </c>
      <c r="F249" s="27" t="str">
        <f t="shared" ref="F249:F269" si="64">_xlfn.TEXTAFTER(D249, "-", -1, 1, , "")</f>
        <v>GREY</v>
      </c>
      <c r="G249" s="27">
        <f>+VLOOKUP(F249,[1]base!A:B,2,0)</f>
        <v>24</v>
      </c>
      <c r="H249" s="12">
        <v>7</v>
      </c>
      <c r="I249" s="12">
        <v>7</v>
      </c>
      <c r="J249" s="14"/>
      <c r="K249" s="14" t="s">
        <v>26</v>
      </c>
      <c r="L249" s="12" t="s">
        <v>794</v>
      </c>
      <c r="M249" s="12" t="s">
        <v>150</v>
      </c>
      <c r="N249" s="12">
        <v>7</v>
      </c>
      <c r="O249" s="12">
        <v>7</v>
      </c>
      <c r="P249" s="12">
        <v>0</v>
      </c>
      <c r="Q249" s="16">
        <v>0</v>
      </c>
      <c r="R249" s="16">
        <v>0</v>
      </c>
      <c r="S249" s="16"/>
      <c r="T249" s="28">
        <v>7</v>
      </c>
      <c r="U249" s="28"/>
      <c r="V249" s="29">
        <f>+VLOOKUP(E249,[1]base!D:K,8,0)</f>
        <v>3</v>
      </c>
      <c r="W249" s="29">
        <f t="shared" ref="W249:W269" si="65">(T249+U249)*V249</f>
        <v>21</v>
      </c>
      <c r="X249" s="29">
        <f t="shared" ref="X249:X269" si="66">+W249*0.052</f>
        <v>1.0919999999999999</v>
      </c>
      <c r="Y249" s="29">
        <f>+VLOOKUP(E249,[1]base!D:E,2,0)</f>
        <v>15</v>
      </c>
      <c r="Z249" s="29">
        <f t="shared" ref="Z249:Z269" si="67">ROUNDUP(T249/Y249,0)</f>
        <v>1</v>
      </c>
      <c r="AA249" s="29">
        <f t="shared" ref="AA249:AA269" si="68">+Z249*0.0666666666666667</f>
        <v>6.6666666666666693E-2</v>
      </c>
      <c r="AB249" s="29" t="e">
        <f>+VLOOKUP(E249,[1]base!M:N,2,0)</f>
        <v>#N/A</v>
      </c>
      <c r="AC249" s="29" t="e">
        <f>+VLOOKUP(E249,[1]base!M:Q,5,0)</f>
        <v>#N/A</v>
      </c>
      <c r="AD249" s="30" t="e">
        <f>+VLOOKUP(E249,[1]base!M:P,4,0)</f>
        <v>#N/A</v>
      </c>
      <c r="AE249" s="31" t="e">
        <f t="shared" ref="AE249:AE269" si="69">+AB249*(30%-AD249)</f>
        <v>#N/A</v>
      </c>
    </row>
    <row r="250" spans="1:31" x14ac:dyDescent="0.25">
      <c r="A250" s="12" t="s">
        <v>792</v>
      </c>
      <c r="B250" s="13">
        <v>46260.398888888885</v>
      </c>
      <c r="C250" s="12" t="s">
        <v>24</v>
      </c>
      <c r="D250" s="12" t="s">
        <v>795</v>
      </c>
      <c r="E250" s="26" t="str">
        <f t="shared" si="63"/>
        <v>CSQ103</v>
      </c>
      <c r="F250" s="27" t="str">
        <f t="shared" si="64"/>
        <v>GREY</v>
      </c>
      <c r="G250" s="27">
        <f>+VLOOKUP(F250,[1]base!A:B,2,0)</f>
        <v>24</v>
      </c>
      <c r="H250" s="12">
        <v>3</v>
      </c>
      <c r="I250" s="12">
        <v>3</v>
      </c>
      <c r="J250" s="14"/>
      <c r="K250" s="14" t="s">
        <v>61</v>
      </c>
      <c r="L250" s="12" t="s">
        <v>801</v>
      </c>
      <c r="M250" s="12" t="s">
        <v>150</v>
      </c>
      <c r="N250" s="12">
        <v>3</v>
      </c>
      <c r="O250" s="12">
        <v>3</v>
      </c>
      <c r="P250" s="12">
        <v>0</v>
      </c>
      <c r="Q250" s="16">
        <v>3</v>
      </c>
      <c r="R250" s="16">
        <v>0</v>
      </c>
      <c r="S250" s="16"/>
      <c r="T250" s="28">
        <v>3</v>
      </c>
      <c r="U250" s="28"/>
      <c r="V250" s="29">
        <f>+VLOOKUP(E250,[1]base!D:K,8,0)</f>
        <v>6.0255000000000001</v>
      </c>
      <c r="W250" s="29">
        <f t="shared" si="65"/>
        <v>18.076499999999999</v>
      </c>
      <c r="X250" s="29">
        <f t="shared" si="66"/>
        <v>0.93997799999999987</v>
      </c>
      <c r="Y250" s="29">
        <f>+VLOOKUP(E250,[1]base!D:E,2,0)</f>
        <v>12</v>
      </c>
      <c r="Z250" s="29">
        <f t="shared" si="67"/>
        <v>1</v>
      </c>
      <c r="AA250" s="29">
        <f t="shared" si="68"/>
        <v>6.6666666666666693E-2</v>
      </c>
      <c r="AB250" s="29">
        <f>+VLOOKUP(E250,[1]base!M:N,2,0)</f>
        <v>1502</v>
      </c>
      <c r="AC250" s="29">
        <f>+VLOOKUP(E250,[1]base!M:Q,5,0)</f>
        <v>153</v>
      </c>
      <c r="AD250" s="30">
        <f>+VLOOKUP(E250,[1]base!M:P,4,0)</f>
        <v>2.6560424966799467E-3</v>
      </c>
      <c r="AE250" s="31">
        <f t="shared" si="69"/>
        <v>446.61062416998669</v>
      </c>
    </row>
    <row r="251" spans="1:31" x14ac:dyDescent="0.25">
      <c r="A251" s="12" t="s">
        <v>792</v>
      </c>
      <c r="B251" s="13">
        <v>46260.398888888885</v>
      </c>
      <c r="C251" s="12" t="s">
        <v>24</v>
      </c>
      <c r="D251" s="12" t="s">
        <v>797</v>
      </c>
      <c r="E251" s="26" t="str">
        <f t="shared" si="63"/>
        <v>CSQ104</v>
      </c>
      <c r="F251" s="27" t="str">
        <f t="shared" si="64"/>
        <v>GREY</v>
      </c>
      <c r="G251" s="27">
        <f>+VLOOKUP(F251,[1]base!A:B,2,0)</f>
        <v>24</v>
      </c>
      <c r="H251" s="12">
        <v>8</v>
      </c>
      <c r="I251" s="12">
        <v>8</v>
      </c>
      <c r="J251" s="14"/>
      <c r="K251" s="14" t="s">
        <v>61</v>
      </c>
      <c r="L251" s="12" t="s">
        <v>803</v>
      </c>
      <c r="M251" s="12" t="s">
        <v>150</v>
      </c>
      <c r="N251" s="12">
        <v>8</v>
      </c>
      <c r="O251" s="12">
        <v>8</v>
      </c>
      <c r="P251" s="12">
        <v>0</v>
      </c>
      <c r="Q251" s="16">
        <v>8</v>
      </c>
      <c r="R251" s="16">
        <v>0</v>
      </c>
      <c r="S251" s="16"/>
      <c r="T251" s="28">
        <v>8</v>
      </c>
      <c r="U251" s="28"/>
      <c r="V251" s="29">
        <f>+VLOOKUP(E251,[1]base!D:K,8,0)</f>
        <v>4.7774999999999999</v>
      </c>
      <c r="W251" s="29">
        <f t="shared" si="65"/>
        <v>38.22</v>
      </c>
      <c r="X251" s="29">
        <f t="shared" si="66"/>
        <v>1.9874399999999999</v>
      </c>
      <c r="Y251" s="29">
        <f>+VLOOKUP(E251,[1]base!D:E,2,0)</f>
        <v>13</v>
      </c>
      <c r="Z251" s="29">
        <f t="shared" si="67"/>
        <v>1</v>
      </c>
      <c r="AA251" s="29">
        <f t="shared" si="68"/>
        <v>6.6666666666666693E-2</v>
      </c>
      <c r="AB251" s="29">
        <f>+VLOOKUP(E251,[1]base!M:N,2,0)</f>
        <v>218</v>
      </c>
      <c r="AC251" s="29">
        <f>+VLOOKUP(E251,[1]base!M:Q,5,0)</f>
        <v>230.63636363636363</v>
      </c>
      <c r="AD251" s="30">
        <f>+VLOOKUP(E251,[1]base!M:P,4,0)</f>
        <v>1.3574660633484163E-2</v>
      </c>
      <c r="AE251" s="31">
        <f t="shared" si="69"/>
        <v>62.440723981900447</v>
      </c>
    </row>
    <row r="252" spans="1:31" x14ac:dyDescent="0.25">
      <c r="A252" s="12" t="s">
        <v>792</v>
      </c>
      <c r="B252" s="13">
        <v>46260.398888888885</v>
      </c>
      <c r="C252" s="12" t="s">
        <v>24</v>
      </c>
      <c r="D252" s="12" t="s">
        <v>798</v>
      </c>
      <c r="E252" s="26" t="str">
        <f t="shared" si="63"/>
        <v>CSQ107</v>
      </c>
      <c r="F252" s="27" t="str">
        <f t="shared" si="64"/>
        <v>GREY</v>
      </c>
      <c r="G252" s="27">
        <f>+VLOOKUP(F252,[1]base!A:B,2,0)</f>
        <v>24</v>
      </c>
      <c r="H252" s="12">
        <v>8</v>
      </c>
      <c r="I252" s="12">
        <v>8</v>
      </c>
      <c r="J252" s="14"/>
      <c r="K252" s="14" t="s">
        <v>61</v>
      </c>
      <c r="L252" s="12" t="s">
        <v>804</v>
      </c>
      <c r="M252" s="12" t="s">
        <v>150</v>
      </c>
      <c r="N252" s="12">
        <v>8</v>
      </c>
      <c r="O252" s="12">
        <v>8</v>
      </c>
      <c r="P252" s="12">
        <v>0</v>
      </c>
      <c r="Q252" s="16">
        <v>8</v>
      </c>
      <c r="R252" s="16">
        <v>0</v>
      </c>
      <c r="S252" s="16"/>
      <c r="T252" s="28">
        <v>8</v>
      </c>
      <c r="U252" s="28"/>
      <c r="V252" s="29">
        <f>+VLOOKUP(E252,[1]base!D:K,8,0)</f>
        <v>7.2280000000000006</v>
      </c>
      <c r="W252" s="29">
        <f t="shared" si="65"/>
        <v>57.824000000000005</v>
      </c>
      <c r="X252" s="29">
        <f t="shared" si="66"/>
        <v>3.0068480000000002</v>
      </c>
      <c r="Y252" s="29">
        <f>+VLOOKUP(E252,[1]base!D:E,2,0)</f>
        <v>13</v>
      </c>
      <c r="Z252" s="29">
        <f t="shared" si="67"/>
        <v>1</v>
      </c>
      <c r="AA252" s="29">
        <f t="shared" si="68"/>
        <v>6.6666666666666693E-2</v>
      </c>
      <c r="AB252" s="29">
        <f>+VLOOKUP(E252,[1]base!M:N,2,0)</f>
        <v>0</v>
      </c>
      <c r="AC252" s="29">
        <f>+VLOOKUP(E252,[1]base!M:Q,5,0)</f>
        <v>88.111111111111114</v>
      </c>
      <c r="AD252" s="30">
        <f>+VLOOKUP(E252,[1]base!M:P,4,0)</f>
        <v>1</v>
      </c>
      <c r="AE252" s="31">
        <f t="shared" si="69"/>
        <v>0</v>
      </c>
    </row>
    <row r="253" spans="1:31" x14ac:dyDescent="0.25">
      <c r="A253" s="12" t="s">
        <v>792</v>
      </c>
      <c r="B253" s="13">
        <v>46260.398888888885</v>
      </c>
      <c r="C253" s="12" t="s">
        <v>24</v>
      </c>
      <c r="D253" s="12" t="s">
        <v>796</v>
      </c>
      <c r="E253" s="26" t="str">
        <f t="shared" si="63"/>
        <v>CSQ114</v>
      </c>
      <c r="F253" s="27" t="str">
        <f t="shared" si="64"/>
        <v>GREY</v>
      </c>
      <c r="G253" s="27">
        <f>+VLOOKUP(F253,[1]base!A:B,2,0)</f>
        <v>24</v>
      </c>
      <c r="H253" s="12">
        <v>21</v>
      </c>
      <c r="I253" s="12">
        <v>21</v>
      </c>
      <c r="J253" s="14"/>
      <c r="K253" s="14" t="s">
        <v>61</v>
      </c>
      <c r="L253" s="12" t="s">
        <v>802</v>
      </c>
      <c r="M253" s="12" t="s">
        <v>150</v>
      </c>
      <c r="N253" s="12">
        <v>21</v>
      </c>
      <c r="O253" s="12">
        <v>21</v>
      </c>
      <c r="P253" s="12">
        <v>0</v>
      </c>
      <c r="Q253" s="16">
        <v>21</v>
      </c>
      <c r="R253" s="16">
        <v>0</v>
      </c>
      <c r="S253" s="16"/>
      <c r="T253" s="28">
        <v>21</v>
      </c>
      <c r="U253" s="28"/>
      <c r="V253" s="29">
        <f>+VLOOKUP(E253,[1]base!D:K,8,0)</f>
        <v>0.91000000000000014</v>
      </c>
      <c r="W253" s="29">
        <f t="shared" si="65"/>
        <v>19.110000000000003</v>
      </c>
      <c r="X253" s="29">
        <f t="shared" si="66"/>
        <v>0.99372000000000016</v>
      </c>
      <c r="Y253" s="29">
        <f>+VLOOKUP(E253,[1]base!D:E,2,0)</f>
        <v>20</v>
      </c>
      <c r="Z253" s="29">
        <f t="shared" si="67"/>
        <v>2</v>
      </c>
      <c r="AA253" s="29">
        <f t="shared" si="68"/>
        <v>0.13333333333333339</v>
      </c>
      <c r="AB253" s="29">
        <f>+VLOOKUP(E253,[1]base!M:N,2,0)</f>
        <v>639</v>
      </c>
      <c r="AC253" s="29">
        <f>+VLOOKUP(E253,[1]base!M:Q,5,0)</f>
        <v>351.33333333333331</v>
      </c>
      <c r="AD253" s="30">
        <f>+VLOOKUP(E253,[1]base!M:P,4,0)</f>
        <v>4.1979010494752625E-2</v>
      </c>
      <c r="AE253" s="31">
        <f t="shared" si="69"/>
        <v>164.87541229385309</v>
      </c>
    </row>
    <row r="254" spans="1:31" x14ac:dyDescent="0.25">
      <c r="A254" s="12" t="s">
        <v>792</v>
      </c>
      <c r="B254" s="13">
        <v>46260.398888888885</v>
      </c>
      <c r="C254" s="12" t="s">
        <v>24</v>
      </c>
      <c r="D254" s="12" t="s">
        <v>799</v>
      </c>
      <c r="E254" s="26" t="str">
        <f t="shared" si="63"/>
        <v>CSQ201</v>
      </c>
      <c r="F254" s="27" t="str">
        <f t="shared" si="64"/>
        <v>GREY</v>
      </c>
      <c r="G254" s="27">
        <f>+VLOOKUP(F254,[1]base!A:B,2,0)</f>
        <v>24</v>
      </c>
      <c r="H254" s="12">
        <v>1</v>
      </c>
      <c r="I254" s="12">
        <v>1</v>
      </c>
      <c r="J254" s="14"/>
      <c r="K254" s="14" t="s">
        <v>61</v>
      </c>
      <c r="L254" s="12" t="s">
        <v>805</v>
      </c>
      <c r="M254" s="12" t="s">
        <v>150</v>
      </c>
      <c r="N254" s="12">
        <v>1</v>
      </c>
      <c r="O254" s="12">
        <v>1</v>
      </c>
      <c r="P254" s="12">
        <v>0</v>
      </c>
      <c r="Q254" s="16">
        <v>1</v>
      </c>
      <c r="R254" s="16">
        <v>0</v>
      </c>
      <c r="S254" s="16"/>
      <c r="T254" s="28">
        <v>1</v>
      </c>
      <c r="U254" s="28"/>
      <c r="V254" s="29">
        <f>+VLOOKUP(E254,[1]base!D:K,8,0)</f>
        <v>4.9595000000000002</v>
      </c>
      <c r="W254" s="29">
        <f t="shared" si="65"/>
        <v>4.9595000000000002</v>
      </c>
      <c r="X254" s="29">
        <f t="shared" si="66"/>
        <v>0.25789400000000001</v>
      </c>
      <c r="Y254" s="29">
        <f>+VLOOKUP(E254,[1]base!D:E,2,0)</f>
        <v>12</v>
      </c>
      <c r="Z254" s="29">
        <f t="shared" si="67"/>
        <v>1</v>
      </c>
      <c r="AA254" s="29">
        <f t="shared" si="68"/>
        <v>6.6666666666666693E-2</v>
      </c>
      <c r="AB254" s="29">
        <f>+VLOOKUP(E254,[1]base!M:N,2,0)</f>
        <v>315</v>
      </c>
      <c r="AC254" s="29">
        <f>+VLOOKUP(E254,[1]base!M:Q,5,0)</f>
        <v>4</v>
      </c>
      <c r="AD254" s="30">
        <f>+VLOOKUP(E254,[1]base!M:P,4,0)</f>
        <v>3.0769230769230771E-2</v>
      </c>
      <c r="AE254" s="31">
        <f t="shared" si="69"/>
        <v>84.807692307692307</v>
      </c>
    </row>
    <row r="255" spans="1:31" x14ac:dyDescent="0.25">
      <c r="A255" s="12" t="s">
        <v>792</v>
      </c>
      <c r="B255" s="13">
        <v>46260.398888888885</v>
      </c>
      <c r="C255" s="12" t="s">
        <v>24</v>
      </c>
      <c r="D255" s="12" t="s">
        <v>807</v>
      </c>
      <c r="E255" s="26" t="str">
        <f t="shared" si="63"/>
        <v>CSQ203</v>
      </c>
      <c r="F255" s="27" t="str">
        <f t="shared" si="64"/>
        <v>GREY</v>
      </c>
      <c r="G255" s="27">
        <f>+VLOOKUP(F255,[1]base!A:B,2,0)</f>
        <v>24</v>
      </c>
      <c r="H255" s="12">
        <v>12</v>
      </c>
      <c r="I255" s="12">
        <v>12</v>
      </c>
      <c r="J255" s="14"/>
      <c r="K255" s="14" t="s">
        <v>61</v>
      </c>
      <c r="L255" s="12" t="s">
        <v>818</v>
      </c>
      <c r="M255" s="12" t="s">
        <v>150</v>
      </c>
      <c r="N255" s="12">
        <v>12</v>
      </c>
      <c r="O255" s="12">
        <v>12</v>
      </c>
      <c r="P255" s="12">
        <v>0</v>
      </c>
      <c r="Q255" s="16">
        <v>12</v>
      </c>
      <c r="R255" s="16">
        <v>1</v>
      </c>
      <c r="S255" s="16"/>
      <c r="T255" s="28">
        <v>11</v>
      </c>
      <c r="U255" s="28">
        <v>1</v>
      </c>
      <c r="V255" s="29">
        <f>+VLOOKUP(E255,[1]base!D:K,8,0)</f>
        <v>5.1284999999999998</v>
      </c>
      <c r="W255" s="29">
        <f t="shared" si="65"/>
        <v>61.542000000000002</v>
      </c>
      <c r="X255" s="29">
        <f t="shared" si="66"/>
        <v>3.2001840000000001</v>
      </c>
      <c r="Y255" s="29">
        <f>+VLOOKUP(E255,[1]base!D:E,2,0)</f>
        <v>12</v>
      </c>
      <c r="Z255" s="29">
        <f t="shared" si="67"/>
        <v>1</v>
      </c>
      <c r="AA255" s="29">
        <f t="shared" si="68"/>
        <v>6.6666666666666693E-2</v>
      </c>
      <c r="AB255" s="29">
        <f>+VLOOKUP(E255,[1]base!M:N,2,0)</f>
        <v>899</v>
      </c>
      <c r="AC255" s="29">
        <f>+VLOOKUP(E255,[1]base!M:Q,5,0)</f>
        <v>53.2</v>
      </c>
      <c r="AD255" s="30">
        <f>+VLOOKUP(E255,[1]base!M:P,4,0)</f>
        <v>2.2197558268590455E-3</v>
      </c>
      <c r="AE255" s="31">
        <f t="shared" si="69"/>
        <v>267.70443951165367</v>
      </c>
    </row>
    <row r="256" spans="1:31" x14ac:dyDescent="0.25">
      <c r="A256" s="12" t="s">
        <v>792</v>
      </c>
      <c r="B256" s="13">
        <v>46260.398888888885</v>
      </c>
      <c r="C256" s="12" t="s">
        <v>24</v>
      </c>
      <c r="D256" s="12" t="s">
        <v>800</v>
      </c>
      <c r="E256" s="26" t="str">
        <f t="shared" si="63"/>
        <v>CSQ301</v>
      </c>
      <c r="F256" s="27" t="str">
        <f t="shared" si="64"/>
        <v>GREY</v>
      </c>
      <c r="G256" s="27">
        <f>+VLOOKUP(F256,[1]base!A:B,2,0)</f>
        <v>24</v>
      </c>
      <c r="H256" s="12">
        <v>36</v>
      </c>
      <c r="I256" s="12">
        <v>36</v>
      </c>
      <c r="J256" s="14"/>
      <c r="K256" s="14" t="s">
        <v>61</v>
      </c>
      <c r="L256" s="12" t="s">
        <v>806</v>
      </c>
      <c r="M256" s="12" t="s">
        <v>150</v>
      </c>
      <c r="N256" s="12">
        <v>36</v>
      </c>
      <c r="O256" s="12">
        <v>36</v>
      </c>
      <c r="P256" s="12">
        <v>0</v>
      </c>
      <c r="Q256" s="16">
        <v>36</v>
      </c>
      <c r="R256" s="16">
        <v>0</v>
      </c>
      <c r="S256" s="16"/>
      <c r="T256" s="28">
        <v>36</v>
      </c>
      <c r="U256" s="28"/>
      <c r="V256" s="29">
        <f>+VLOOKUP(E256,[1]base!D:K,8,0)</f>
        <v>1.3130000000000002</v>
      </c>
      <c r="W256" s="29">
        <f t="shared" si="65"/>
        <v>47.268000000000008</v>
      </c>
      <c r="X256" s="29">
        <f t="shared" si="66"/>
        <v>2.4579360000000001</v>
      </c>
      <c r="Y256" s="29">
        <f>+VLOOKUP(E256,[1]base!D:E,2,0)</f>
        <v>20</v>
      </c>
      <c r="Z256" s="29">
        <f t="shared" si="67"/>
        <v>2</v>
      </c>
      <c r="AA256" s="29">
        <f t="shared" si="68"/>
        <v>0.13333333333333339</v>
      </c>
      <c r="AB256" s="29">
        <f>+VLOOKUP(E256,[1]base!M:N,2,0)</f>
        <v>2555</v>
      </c>
      <c r="AC256" s="29">
        <f>+VLOOKUP(E256,[1]base!M:Q,5,0)</f>
        <v>82.777777777777771</v>
      </c>
      <c r="AD256" s="30">
        <f>+VLOOKUP(E256,[1]base!M:P,4,0)</f>
        <v>8.152173913043478E-3</v>
      </c>
      <c r="AE256" s="31">
        <f t="shared" si="69"/>
        <v>745.67119565217388</v>
      </c>
    </row>
    <row r="257" spans="1:31" x14ac:dyDescent="0.25">
      <c r="A257" s="12" t="s">
        <v>792</v>
      </c>
      <c r="B257" s="13">
        <v>46260.398888888885</v>
      </c>
      <c r="C257" s="12" t="s">
        <v>24</v>
      </c>
      <c r="D257" s="12" t="s">
        <v>808</v>
      </c>
      <c r="E257" s="26" t="str">
        <f t="shared" si="63"/>
        <v>FR127</v>
      </c>
      <c r="F257" s="27" t="str">
        <f t="shared" si="64"/>
        <v>GREY</v>
      </c>
      <c r="G257" s="27">
        <f>+VLOOKUP(F257,[1]base!A:B,2,0)</f>
        <v>24</v>
      </c>
      <c r="H257" s="12">
        <v>1</v>
      </c>
      <c r="I257" s="12">
        <v>1</v>
      </c>
      <c r="J257" s="14"/>
      <c r="K257" s="14" t="s">
        <v>61</v>
      </c>
      <c r="L257" s="12" t="s">
        <v>819</v>
      </c>
      <c r="M257" s="12" t="s">
        <v>150</v>
      </c>
      <c r="N257" s="12">
        <v>1</v>
      </c>
      <c r="O257" s="12">
        <v>1</v>
      </c>
      <c r="P257" s="12">
        <v>0</v>
      </c>
      <c r="Q257" s="16">
        <v>1</v>
      </c>
      <c r="R257" s="16">
        <v>0</v>
      </c>
      <c r="S257" s="16"/>
      <c r="T257" s="28">
        <v>1</v>
      </c>
      <c r="U257" s="28"/>
      <c r="V257" s="29">
        <f>+VLOOKUP(E257,[1]base!D:K,8,0)</f>
        <v>1.9955000000000001</v>
      </c>
      <c r="W257" s="29">
        <f t="shared" si="65"/>
        <v>1.9955000000000001</v>
      </c>
      <c r="X257" s="29">
        <f t="shared" si="66"/>
        <v>0.103766</v>
      </c>
      <c r="Y257" s="29">
        <f>+VLOOKUP(E257,[1]base!D:E,2,0)</f>
        <v>20</v>
      </c>
      <c r="Z257" s="29">
        <f t="shared" si="67"/>
        <v>1</v>
      </c>
      <c r="AA257" s="29">
        <f t="shared" si="68"/>
        <v>6.6666666666666693E-2</v>
      </c>
      <c r="AB257" s="29">
        <f>+VLOOKUP(E257,[1]base!M:N,2,0)</f>
        <v>17</v>
      </c>
      <c r="AC257" s="29">
        <f>+VLOOKUP(E257,[1]base!M:Q,5,0)</f>
        <v>25.571428571428573</v>
      </c>
      <c r="AD257" s="30">
        <f>+VLOOKUP(E257,[1]base!M:P,4,0)</f>
        <v>0.63829787234042556</v>
      </c>
      <c r="AE257" s="31">
        <f t="shared" si="69"/>
        <v>-5.7510638297872347</v>
      </c>
    </row>
    <row r="258" spans="1:31" x14ac:dyDescent="0.25">
      <c r="A258" s="12" t="s">
        <v>792</v>
      </c>
      <c r="B258" s="13">
        <v>46260.398888888885</v>
      </c>
      <c r="C258" s="12" t="s">
        <v>24</v>
      </c>
      <c r="D258" s="12" t="s">
        <v>809</v>
      </c>
      <c r="E258" s="26" t="str">
        <f t="shared" si="63"/>
        <v>FR164</v>
      </c>
      <c r="F258" s="27" t="str">
        <f t="shared" si="64"/>
        <v>GREY</v>
      </c>
      <c r="G258" s="27">
        <f>+VLOOKUP(F258,[1]base!A:B,2,0)</f>
        <v>24</v>
      </c>
      <c r="H258" s="12">
        <v>1</v>
      </c>
      <c r="I258" s="12">
        <v>1</v>
      </c>
      <c r="J258" s="14"/>
      <c r="K258" s="14" t="s">
        <v>61</v>
      </c>
      <c r="L258" s="12" t="s">
        <v>820</v>
      </c>
      <c r="M258" s="12" t="s">
        <v>150</v>
      </c>
      <c r="N258" s="12">
        <v>1</v>
      </c>
      <c r="O258" s="12">
        <v>1</v>
      </c>
      <c r="P258" s="12">
        <v>0</v>
      </c>
      <c r="Q258" s="16">
        <v>1</v>
      </c>
      <c r="R258" s="16">
        <v>0</v>
      </c>
      <c r="S258" s="16"/>
      <c r="T258" s="28">
        <v>1</v>
      </c>
      <c r="U258" s="28"/>
      <c r="V258" s="29">
        <f>+VLOOKUP(E258,[1]base!D:K,8,0)</f>
        <v>3.5945000000000005</v>
      </c>
      <c r="W258" s="29">
        <f t="shared" si="65"/>
        <v>3.5945000000000005</v>
      </c>
      <c r="X258" s="29">
        <f t="shared" si="66"/>
        <v>0.18691400000000002</v>
      </c>
      <c r="Y258" s="29">
        <f>+VLOOKUP(E258,[1]base!D:E,2,0)</f>
        <v>14</v>
      </c>
      <c r="Z258" s="29">
        <f t="shared" si="67"/>
        <v>1</v>
      </c>
      <c r="AA258" s="29">
        <f t="shared" si="68"/>
        <v>6.6666666666666693E-2</v>
      </c>
      <c r="AB258" s="29">
        <f>+VLOOKUP(E258,[1]base!M:N,2,0)</f>
        <v>42</v>
      </c>
      <c r="AC258" s="29">
        <f>+VLOOKUP(E258,[1]base!M:Q,5,0)</f>
        <v>26.625</v>
      </c>
      <c r="AD258" s="30">
        <f>+VLOOKUP(E258,[1]base!M:P,4,0)</f>
        <v>0.59223300970873782</v>
      </c>
      <c r="AE258" s="31">
        <f t="shared" si="69"/>
        <v>-12.273786407766989</v>
      </c>
    </row>
    <row r="259" spans="1:31" x14ac:dyDescent="0.25">
      <c r="A259" s="12" t="s">
        <v>792</v>
      </c>
      <c r="B259" s="13">
        <v>46260.398888888885</v>
      </c>
      <c r="C259" s="12" t="s">
        <v>24</v>
      </c>
      <c r="D259" s="12" t="s">
        <v>810</v>
      </c>
      <c r="E259" s="26" t="str">
        <f t="shared" si="63"/>
        <v>FSQ102</v>
      </c>
      <c r="F259" s="27" t="str">
        <f t="shared" si="64"/>
        <v>GREY</v>
      </c>
      <c r="G259" s="27">
        <f>+VLOOKUP(F259,[1]base!A:B,2,0)</f>
        <v>24</v>
      </c>
      <c r="H259" s="12">
        <v>3</v>
      </c>
      <c r="I259" s="12">
        <v>3</v>
      </c>
      <c r="J259" s="14"/>
      <c r="K259" s="14" t="s">
        <v>61</v>
      </c>
      <c r="L259" s="12" t="s">
        <v>821</v>
      </c>
      <c r="M259" s="12" t="s">
        <v>150</v>
      </c>
      <c r="N259" s="12">
        <v>3</v>
      </c>
      <c r="O259" s="12">
        <v>3</v>
      </c>
      <c r="P259" s="12">
        <v>0</v>
      </c>
      <c r="Q259" s="16">
        <v>3</v>
      </c>
      <c r="R259" s="16">
        <v>0</v>
      </c>
      <c r="S259" s="16"/>
      <c r="T259" s="28">
        <v>3</v>
      </c>
      <c r="U259" s="28"/>
      <c r="V259" s="29">
        <f>+VLOOKUP(E259,[1]base!D:K,8,0)</f>
        <v>4.3029999999999999</v>
      </c>
      <c r="W259" s="29">
        <f t="shared" si="65"/>
        <v>12.908999999999999</v>
      </c>
      <c r="X259" s="29">
        <f t="shared" si="66"/>
        <v>0.67126799999999986</v>
      </c>
      <c r="Y259" s="29">
        <f>+VLOOKUP(E259,[1]base!D:E,2,0)</f>
        <v>13</v>
      </c>
      <c r="Z259" s="29">
        <f t="shared" si="67"/>
        <v>1</v>
      </c>
      <c r="AA259" s="29">
        <f t="shared" si="68"/>
        <v>6.6666666666666693E-2</v>
      </c>
      <c r="AB259" s="29">
        <f>+VLOOKUP(E259,[1]base!M:N,2,0)</f>
        <v>659</v>
      </c>
      <c r="AC259" s="29">
        <f>+VLOOKUP(E259,[1]base!M:Q,5,0)</f>
        <v>13.857142857142858</v>
      </c>
      <c r="AD259" s="30">
        <f>+VLOOKUP(E259,[1]base!M:P,4,0)</f>
        <v>0.11305518169582772</v>
      </c>
      <c r="AE259" s="31">
        <f t="shared" si="69"/>
        <v>123.19663526244952</v>
      </c>
    </row>
    <row r="260" spans="1:31" x14ac:dyDescent="0.25">
      <c r="A260" s="12" t="s">
        <v>792</v>
      </c>
      <c r="B260" s="13">
        <v>46260.398888888885</v>
      </c>
      <c r="C260" s="12" t="s">
        <v>24</v>
      </c>
      <c r="D260" s="12" t="s">
        <v>813</v>
      </c>
      <c r="E260" s="26" t="str">
        <f t="shared" si="63"/>
        <v>FSQ104</v>
      </c>
      <c r="F260" s="27" t="str">
        <f t="shared" si="64"/>
        <v>GREY</v>
      </c>
      <c r="G260" s="27">
        <f>+VLOOKUP(F260,[1]base!A:B,2,0)</f>
        <v>24</v>
      </c>
      <c r="H260" s="12">
        <v>1</v>
      </c>
      <c r="I260" s="12">
        <v>1</v>
      </c>
      <c r="J260" s="14"/>
      <c r="K260" s="14" t="s">
        <v>61</v>
      </c>
      <c r="L260" s="12" t="s">
        <v>824</v>
      </c>
      <c r="M260" s="12" t="s">
        <v>150</v>
      </c>
      <c r="N260" s="12">
        <v>1</v>
      </c>
      <c r="O260" s="12">
        <v>1</v>
      </c>
      <c r="P260" s="12">
        <v>0</v>
      </c>
      <c r="Q260" s="16">
        <v>1</v>
      </c>
      <c r="R260" s="16">
        <v>1</v>
      </c>
      <c r="S260" s="16"/>
      <c r="T260" s="28">
        <v>0</v>
      </c>
      <c r="U260" s="28">
        <v>1</v>
      </c>
      <c r="V260" s="29">
        <f>+VLOOKUP(E260,[1]base!D:K,8,0)</f>
        <v>7.0394999999999994</v>
      </c>
      <c r="W260" s="29">
        <f t="shared" si="65"/>
        <v>7.0394999999999994</v>
      </c>
      <c r="X260" s="29">
        <f t="shared" si="66"/>
        <v>0.36605399999999993</v>
      </c>
      <c r="Y260" s="29">
        <f>+VLOOKUP(E260,[1]base!D:E,2,0)</f>
        <v>13</v>
      </c>
      <c r="Z260" s="29">
        <f t="shared" si="67"/>
        <v>0</v>
      </c>
      <c r="AA260" s="29">
        <f t="shared" si="68"/>
        <v>0</v>
      </c>
      <c r="AB260" s="29">
        <f>+VLOOKUP(E260,[1]base!M:N,2,0)</f>
        <v>435</v>
      </c>
      <c r="AC260" s="29">
        <f>+VLOOKUP(E260,[1]base!M:Q,5,0)</f>
        <v>13</v>
      </c>
      <c r="AD260" s="30">
        <f>+VLOOKUP(E260,[1]base!M:P,4,0)</f>
        <v>4.5766590389016018E-3</v>
      </c>
      <c r="AE260" s="31">
        <f t="shared" si="69"/>
        <v>128.50915331807781</v>
      </c>
    </row>
    <row r="261" spans="1:31" x14ac:dyDescent="0.25">
      <c r="A261" s="12" t="s">
        <v>792</v>
      </c>
      <c r="B261" s="13">
        <v>46260.398888888885</v>
      </c>
      <c r="C261" s="12" t="s">
        <v>24</v>
      </c>
      <c r="D261" s="12" t="s">
        <v>814</v>
      </c>
      <c r="E261" s="26" t="str">
        <f t="shared" si="63"/>
        <v>FSQ112</v>
      </c>
      <c r="F261" s="27" t="str">
        <f t="shared" si="64"/>
        <v>GREY</v>
      </c>
      <c r="G261" s="27">
        <f>+VLOOKUP(F261,[1]base!A:B,2,0)</f>
        <v>24</v>
      </c>
      <c r="H261" s="12">
        <v>1</v>
      </c>
      <c r="I261" s="12">
        <v>1</v>
      </c>
      <c r="J261" s="14"/>
      <c r="K261" s="14" t="s">
        <v>61</v>
      </c>
      <c r="L261" s="12" t="s">
        <v>825</v>
      </c>
      <c r="M261" s="12" t="s">
        <v>150</v>
      </c>
      <c r="N261" s="12">
        <v>1</v>
      </c>
      <c r="O261" s="12">
        <v>1</v>
      </c>
      <c r="P261" s="12">
        <v>0</v>
      </c>
      <c r="Q261" s="16">
        <v>1</v>
      </c>
      <c r="R261" s="16">
        <v>0</v>
      </c>
      <c r="S261" s="16"/>
      <c r="T261" s="28">
        <v>1</v>
      </c>
      <c r="U261" s="28"/>
      <c r="V261" s="29">
        <f>+VLOOKUP(E261,[1]base!D:K,8,0)</f>
        <v>5.1870000000000003</v>
      </c>
      <c r="W261" s="29">
        <f t="shared" si="65"/>
        <v>5.1870000000000003</v>
      </c>
      <c r="X261" s="29">
        <f t="shared" si="66"/>
        <v>0.26972400000000002</v>
      </c>
      <c r="Y261" s="29">
        <f>+VLOOKUP(E261,[1]base!D:E,2,0)</f>
        <v>12</v>
      </c>
      <c r="Z261" s="29">
        <f t="shared" si="67"/>
        <v>1</v>
      </c>
      <c r="AA261" s="29">
        <f t="shared" si="68"/>
        <v>6.6666666666666693E-2</v>
      </c>
      <c r="AB261" s="29">
        <f>+VLOOKUP(E261,[1]base!M:N,2,0)</f>
        <v>171</v>
      </c>
      <c r="AC261" s="29">
        <f>+VLOOKUP(E261,[1]base!M:Q,5,0)</f>
        <v>27.714285714285715</v>
      </c>
      <c r="AD261" s="30">
        <f>+VLOOKUP(E261,[1]base!M:P,4,0)</f>
        <v>1.7241379310344827E-2</v>
      </c>
      <c r="AE261" s="31">
        <f t="shared" si="69"/>
        <v>48.351724137931036</v>
      </c>
    </row>
    <row r="262" spans="1:31" x14ac:dyDescent="0.25">
      <c r="A262" s="12" t="s">
        <v>792</v>
      </c>
      <c r="B262" s="13">
        <v>46260.398888888885</v>
      </c>
      <c r="C262" s="12" t="s">
        <v>24</v>
      </c>
      <c r="D262" s="12" t="s">
        <v>811</v>
      </c>
      <c r="E262" s="26" t="str">
        <f t="shared" si="63"/>
        <v>FSQ121</v>
      </c>
      <c r="F262" s="27" t="str">
        <f t="shared" si="64"/>
        <v>GREY</v>
      </c>
      <c r="G262" s="27">
        <f>+VLOOKUP(F262,[1]base!A:B,2,0)</f>
        <v>24</v>
      </c>
      <c r="H262" s="12">
        <v>2</v>
      </c>
      <c r="I262" s="12">
        <v>2</v>
      </c>
      <c r="J262" s="14"/>
      <c r="K262" s="14" t="s">
        <v>61</v>
      </c>
      <c r="L262" s="12" t="s">
        <v>822</v>
      </c>
      <c r="M262" s="12" t="s">
        <v>150</v>
      </c>
      <c r="N262" s="12">
        <v>2</v>
      </c>
      <c r="O262" s="12">
        <v>2</v>
      </c>
      <c r="P262" s="12">
        <v>0</v>
      </c>
      <c r="Q262" s="16">
        <v>2</v>
      </c>
      <c r="R262" s="16">
        <v>0</v>
      </c>
      <c r="S262" s="16"/>
      <c r="T262" s="28">
        <v>2</v>
      </c>
      <c r="U262" s="28"/>
      <c r="V262" s="29">
        <f>+VLOOKUP(E262,[1]base!D:K,8,0)</f>
        <v>9.0545000000000009</v>
      </c>
      <c r="W262" s="29">
        <f t="shared" si="65"/>
        <v>18.109000000000002</v>
      </c>
      <c r="X262" s="29">
        <f t="shared" si="66"/>
        <v>0.94166800000000006</v>
      </c>
      <c r="Y262" s="29">
        <f>+VLOOKUP(E262,[1]base!D:E,2,0)</f>
        <v>9</v>
      </c>
      <c r="Z262" s="29">
        <f t="shared" si="67"/>
        <v>1</v>
      </c>
      <c r="AA262" s="29">
        <f t="shared" si="68"/>
        <v>6.6666666666666693E-2</v>
      </c>
      <c r="AB262" s="29">
        <f>+VLOOKUP(E262,[1]base!M:N,2,0)</f>
        <v>110</v>
      </c>
      <c r="AC262" s="29">
        <f>+VLOOKUP(E262,[1]base!M:Q,5,0)</f>
        <v>22.888888888888889</v>
      </c>
      <c r="AD262" s="30">
        <f>+VLOOKUP(E262,[1]base!M:P,4,0)</f>
        <v>1.7857142857142856E-2</v>
      </c>
      <c r="AE262" s="31">
        <f t="shared" si="69"/>
        <v>31.035714285714285</v>
      </c>
    </row>
    <row r="263" spans="1:31" x14ac:dyDescent="0.25">
      <c r="A263" s="12" t="s">
        <v>792</v>
      </c>
      <c r="B263" s="13">
        <v>46260.398888888885</v>
      </c>
      <c r="C263" s="12" t="s">
        <v>24</v>
      </c>
      <c r="D263" s="12" t="s">
        <v>812</v>
      </c>
      <c r="E263" s="26" t="str">
        <f t="shared" si="63"/>
        <v>FSQ139</v>
      </c>
      <c r="F263" s="27" t="str">
        <f t="shared" si="64"/>
        <v>GREY</v>
      </c>
      <c r="G263" s="27">
        <f>+VLOOKUP(F263,[1]base!A:B,2,0)</f>
        <v>24</v>
      </c>
      <c r="H263" s="12">
        <v>23</v>
      </c>
      <c r="I263" s="12">
        <v>23</v>
      </c>
      <c r="J263" s="14"/>
      <c r="K263" s="14" t="s">
        <v>61</v>
      </c>
      <c r="L263" s="12" t="s">
        <v>823</v>
      </c>
      <c r="M263" s="12" t="s">
        <v>150</v>
      </c>
      <c r="N263" s="12">
        <v>23</v>
      </c>
      <c r="O263" s="12">
        <v>23</v>
      </c>
      <c r="P263" s="12">
        <v>0</v>
      </c>
      <c r="Q263" s="16">
        <v>23</v>
      </c>
      <c r="R263" s="16">
        <v>0</v>
      </c>
      <c r="S263" s="16"/>
      <c r="T263" s="28">
        <v>23</v>
      </c>
      <c r="U263" s="28"/>
      <c r="V263" s="29">
        <f>+VLOOKUP(E263,[1]base!D:K,8,0)</f>
        <v>2.0019999999999998</v>
      </c>
      <c r="W263" s="29">
        <f t="shared" si="65"/>
        <v>46.045999999999992</v>
      </c>
      <c r="X263" s="29">
        <f t="shared" si="66"/>
        <v>2.3943919999999994</v>
      </c>
      <c r="Y263" s="29">
        <f>+VLOOKUP(E263,[1]base!D:E,2,0)</f>
        <v>20</v>
      </c>
      <c r="Z263" s="29">
        <f t="shared" si="67"/>
        <v>2</v>
      </c>
      <c r="AA263" s="29">
        <f t="shared" si="68"/>
        <v>0.13333333333333339</v>
      </c>
      <c r="AB263" s="29">
        <f>+VLOOKUP(E263,[1]base!M:N,2,0)</f>
        <v>2359</v>
      </c>
      <c r="AC263" s="29">
        <f>+VLOOKUP(E263,[1]base!M:Q,5,0)</f>
        <v>157.22222222222223</v>
      </c>
      <c r="AD263" s="30">
        <f>+VLOOKUP(E263,[1]base!M:P,4,0)</f>
        <v>3.8006756756756759E-3</v>
      </c>
      <c r="AE263" s="31">
        <f t="shared" si="69"/>
        <v>698.73420608108108</v>
      </c>
    </row>
    <row r="264" spans="1:31" x14ac:dyDescent="0.25">
      <c r="A264" s="12" t="s">
        <v>792</v>
      </c>
      <c r="B264" s="13">
        <v>46260.398888888885</v>
      </c>
      <c r="C264" s="12" t="s">
        <v>24</v>
      </c>
      <c r="D264" s="12" t="s">
        <v>816</v>
      </c>
      <c r="E264" s="26" t="str">
        <f t="shared" si="63"/>
        <v>FSQ401</v>
      </c>
      <c r="F264" s="27" t="str">
        <f t="shared" si="64"/>
        <v>GREY</v>
      </c>
      <c r="G264" s="27">
        <f>+VLOOKUP(F264,[1]base!A:B,2,0)</f>
        <v>24</v>
      </c>
      <c r="H264" s="12">
        <v>8</v>
      </c>
      <c r="I264" s="12">
        <v>8</v>
      </c>
      <c r="J264" s="14"/>
      <c r="K264" s="14" t="s">
        <v>61</v>
      </c>
      <c r="L264" s="12" t="s">
        <v>827</v>
      </c>
      <c r="M264" s="12" t="s">
        <v>150</v>
      </c>
      <c r="N264" s="12">
        <v>8</v>
      </c>
      <c r="O264" s="12">
        <v>8</v>
      </c>
      <c r="P264" s="12">
        <v>0</v>
      </c>
      <c r="Q264" s="16">
        <v>8</v>
      </c>
      <c r="R264" s="16">
        <v>0</v>
      </c>
      <c r="S264" s="16"/>
      <c r="T264" s="28">
        <v>8</v>
      </c>
      <c r="U264" s="28"/>
      <c r="V264" s="29">
        <f>+VLOOKUP(E264,[1]base!D:K,8,0)</f>
        <v>5.6355000000000004</v>
      </c>
      <c r="W264" s="29">
        <f t="shared" si="65"/>
        <v>45.084000000000003</v>
      </c>
      <c r="X264" s="29">
        <f t="shared" si="66"/>
        <v>2.3443680000000002</v>
      </c>
      <c r="Y264" s="29">
        <f>+VLOOKUP(E264,[1]base!D:E,2,0)</f>
        <v>13</v>
      </c>
      <c r="Z264" s="29">
        <f t="shared" si="67"/>
        <v>1</v>
      </c>
      <c r="AA264" s="29">
        <f t="shared" si="68"/>
        <v>6.6666666666666693E-2</v>
      </c>
      <c r="AB264" s="29">
        <f>+VLOOKUP(E264,[1]base!M:N,2,0)</f>
        <v>717</v>
      </c>
      <c r="AC264" s="29">
        <f>+VLOOKUP(E264,[1]base!M:Q,5,0)</f>
        <v>104.18181818181819</v>
      </c>
      <c r="AD264" s="30">
        <f>+VLOOKUP(E264,[1]base!M:P,4,0)</f>
        <v>2.7816411682892906E-3</v>
      </c>
      <c r="AE264" s="31">
        <f t="shared" si="69"/>
        <v>213.10556328233659</v>
      </c>
    </row>
    <row r="265" spans="1:31" x14ac:dyDescent="0.25">
      <c r="A265" s="12" t="s">
        <v>792</v>
      </c>
      <c r="B265" s="13">
        <v>46260.398888888885</v>
      </c>
      <c r="C265" s="12" t="s">
        <v>24</v>
      </c>
      <c r="D265" s="12" t="s">
        <v>817</v>
      </c>
      <c r="E265" s="26" t="str">
        <f t="shared" si="63"/>
        <v>FSQ403</v>
      </c>
      <c r="F265" s="27" t="str">
        <f t="shared" si="64"/>
        <v>GREY</v>
      </c>
      <c r="G265" s="27">
        <f>+VLOOKUP(F265,[1]base!A:B,2,0)</f>
        <v>24</v>
      </c>
      <c r="H265" s="12">
        <v>10</v>
      </c>
      <c r="I265" s="12">
        <v>10</v>
      </c>
      <c r="J265" s="14"/>
      <c r="K265" s="14" t="s">
        <v>61</v>
      </c>
      <c r="L265" s="12" t="s">
        <v>828</v>
      </c>
      <c r="M265" s="12" t="s">
        <v>150</v>
      </c>
      <c r="N265" s="12">
        <v>10</v>
      </c>
      <c r="O265" s="12">
        <v>10</v>
      </c>
      <c r="P265" s="12">
        <v>0</v>
      </c>
      <c r="Q265" s="16">
        <v>10</v>
      </c>
      <c r="R265" s="16">
        <v>0</v>
      </c>
      <c r="S265" s="16"/>
      <c r="T265" s="28">
        <v>10</v>
      </c>
      <c r="U265" s="28"/>
      <c r="V265" s="29">
        <f>+VLOOKUP(E265,[1]base!D:K,8,0)</f>
        <v>7.1110000000000007</v>
      </c>
      <c r="W265" s="29">
        <f t="shared" si="65"/>
        <v>71.110000000000014</v>
      </c>
      <c r="X265" s="29">
        <f t="shared" si="66"/>
        <v>3.6977200000000003</v>
      </c>
      <c r="Y265" s="29">
        <f>+VLOOKUP(E265,[1]base!D:E,2,0)</f>
        <v>13</v>
      </c>
      <c r="Z265" s="29">
        <f t="shared" si="67"/>
        <v>1</v>
      </c>
      <c r="AA265" s="29">
        <f t="shared" si="68"/>
        <v>6.6666666666666693E-2</v>
      </c>
      <c r="AB265" s="29">
        <f>+VLOOKUP(E265,[1]base!M:N,2,0)</f>
        <v>281</v>
      </c>
      <c r="AC265" s="29">
        <f>+VLOOKUP(E265,[1]base!M:Q,5,0)</f>
        <v>95.666666666666671</v>
      </c>
      <c r="AD265" s="30">
        <f>+VLOOKUP(E265,[1]base!M:P,4,0)</f>
        <v>5.7046979865771813E-2</v>
      </c>
      <c r="AE265" s="31">
        <f t="shared" si="69"/>
        <v>68.269798657718113</v>
      </c>
    </row>
    <row r="266" spans="1:31" x14ac:dyDescent="0.25">
      <c r="A266" s="12" t="s">
        <v>792</v>
      </c>
      <c r="B266" s="13">
        <v>46260.398888888885</v>
      </c>
      <c r="C266" s="12" t="s">
        <v>24</v>
      </c>
      <c r="D266" s="12" t="s">
        <v>829</v>
      </c>
      <c r="E266" s="26" t="str">
        <f t="shared" si="63"/>
        <v>FSQ534</v>
      </c>
      <c r="F266" s="27" t="str">
        <f t="shared" si="64"/>
        <v>GREY</v>
      </c>
      <c r="G266" s="27">
        <f>+VLOOKUP(F266,[1]base!A:B,2,0)</f>
        <v>24</v>
      </c>
      <c r="H266" s="12">
        <v>17</v>
      </c>
      <c r="I266" s="12">
        <v>17</v>
      </c>
      <c r="J266" s="14"/>
      <c r="K266" s="14" t="s">
        <v>61</v>
      </c>
      <c r="L266" s="12" t="s">
        <v>830</v>
      </c>
      <c r="M266" s="12" t="s">
        <v>150</v>
      </c>
      <c r="N266" s="12">
        <v>17</v>
      </c>
      <c r="O266" s="12">
        <v>17</v>
      </c>
      <c r="P266" s="12">
        <v>0</v>
      </c>
      <c r="Q266" s="16">
        <v>17</v>
      </c>
      <c r="R266" s="16">
        <v>0</v>
      </c>
      <c r="S266" s="16"/>
      <c r="T266" s="28">
        <v>17</v>
      </c>
      <c r="U266" s="28"/>
      <c r="V266" s="29">
        <f>+VLOOKUP(E266,[1]base!D:K,8,0)</f>
        <v>2.0219999999999998</v>
      </c>
      <c r="W266" s="29">
        <f t="shared" si="65"/>
        <v>34.373999999999995</v>
      </c>
      <c r="X266" s="29">
        <f t="shared" si="66"/>
        <v>1.7874479999999997</v>
      </c>
      <c r="Y266" s="29">
        <f>+VLOOKUP(E266,[1]base!D:E,2,0)</f>
        <v>20</v>
      </c>
      <c r="Z266" s="29">
        <f t="shared" si="67"/>
        <v>1</v>
      </c>
      <c r="AA266" s="29">
        <f t="shared" si="68"/>
        <v>6.6666666666666693E-2</v>
      </c>
      <c r="AB266" s="29">
        <f>+VLOOKUP(E266,[1]base!M:N,2,0)</f>
        <v>473</v>
      </c>
      <c r="AC266" s="29">
        <f>+VLOOKUP(E266,[1]base!M:Q,5,0)</f>
        <v>0</v>
      </c>
      <c r="AD266" s="30">
        <f>+VLOOKUP(E266,[1]base!M:P,4,0)</f>
        <v>0</v>
      </c>
      <c r="AE266" s="31">
        <f t="shared" si="69"/>
        <v>141.9</v>
      </c>
    </row>
    <row r="267" spans="1:31" x14ac:dyDescent="0.25">
      <c r="A267" s="12" t="s">
        <v>792</v>
      </c>
      <c r="B267" s="13">
        <v>46260.398888888885</v>
      </c>
      <c r="C267" s="12" t="s">
        <v>24</v>
      </c>
      <c r="D267" s="12" t="s">
        <v>815</v>
      </c>
      <c r="E267" s="26" t="str">
        <f t="shared" si="63"/>
        <v>FSQ535</v>
      </c>
      <c r="F267" s="27" t="str">
        <f t="shared" si="64"/>
        <v>GREY</v>
      </c>
      <c r="G267" s="27">
        <f>+VLOOKUP(F267,[1]base!A:B,2,0)</f>
        <v>24</v>
      </c>
      <c r="H267" s="12">
        <v>17</v>
      </c>
      <c r="I267" s="12">
        <v>17</v>
      </c>
      <c r="J267" s="14"/>
      <c r="K267" s="14" t="s">
        <v>61</v>
      </c>
      <c r="L267" s="12" t="s">
        <v>826</v>
      </c>
      <c r="M267" s="12" t="s">
        <v>150</v>
      </c>
      <c r="N267" s="12">
        <v>17</v>
      </c>
      <c r="O267" s="12">
        <v>17</v>
      </c>
      <c r="P267" s="12">
        <v>0</v>
      </c>
      <c r="Q267" s="16">
        <v>17</v>
      </c>
      <c r="R267" s="16">
        <v>0</v>
      </c>
      <c r="S267" s="16"/>
      <c r="T267" s="28">
        <v>17</v>
      </c>
      <c r="U267" s="28"/>
      <c r="V267" s="29">
        <f>+VLOOKUP(E267,[1]base!D:K,8,0)</f>
        <v>4.5694999999999997</v>
      </c>
      <c r="W267" s="29">
        <f t="shared" si="65"/>
        <v>77.6815</v>
      </c>
      <c r="X267" s="29">
        <f t="shared" si="66"/>
        <v>4.0394379999999996</v>
      </c>
      <c r="Y267" s="29">
        <f>+VLOOKUP(E267,[1]base!D:E,2,0)</f>
        <v>14</v>
      </c>
      <c r="Z267" s="29">
        <f t="shared" si="67"/>
        <v>2</v>
      </c>
      <c r="AA267" s="29">
        <f t="shared" si="68"/>
        <v>0.13333333333333339</v>
      </c>
      <c r="AB267" s="29">
        <f>+VLOOKUP(E267,[1]base!M:N,2,0)</f>
        <v>124</v>
      </c>
      <c r="AC267" s="29">
        <f>+VLOOKUP(E267,[1]base!M:Q,5,0)</f>
        <v>0</v>
      </c>
      <c r="AD267" s="30">
        <f>+VLOOKUP(E267,[1]base!M:P,4,0)</f>
        <v>0</v>
      </c>
      <c r="AE267" s="31">
        <f t="shared" si="69"/>
        <v>37.199999999999996</v>
      </c>
    </row>
    <row r="268" spans="1:31" x14ac:dyDescent="0.25">
      <c r="A268" s="12" t="s">
        <v>1491</v>
      </c>
      <c r="B268" s="13">
        <v>46273.608587962961</v>
      </c>
      <c r="C268" s="12" t="s">
        <v>502</v>
      </c>
      <c r="D268" s="12" t="s">
        <v>1493</v>
      </c>
      <c r="E268" s="26" t="str">
        <f t="shared" si="63"/>
        <v>LM-757</v>
      </c>
      <c r="F268" s="27" t="str">
        <f t="shared" si="64"/>
        <v>GREY</v>
      </c>
      <c r="G268" s="27">
        <f>+VLOOKUP(F268,[1]base!A:B,2,0)</f>
        <v>24</v>
      </c>
      <c r="H268" s="12">
        <v>47</v>
      </c>
      <c r="I268" s="12">
        <v>47</v>
      </c>
      <c r="J268" s="14"/>
      <c r="K268" s="14" t="s">
        <v>61</v>
      </c>
      <c r="L268" s="12" t="s">
        <v>1500</v>
      </c>
      <c r="M268" s="12" t="s">
        <v>150</v>
      </c>
      <c r="N268" s="12">
        <v>47</v>
      </c>
      <c r="O268" s="12">
        <v>47</v>
      </c>
      <c r="P268" s="12">
        <v>0</v>
      </c>
      <c r="Q268" s="16">
        <v>47</v>
      </c>
      <c r="R268" s="16">
        <v>0</v>
      </c>
      <c r="S268" s="16"/>
      <c r="T268" s="28">
        <v>47</v>
      </c>
      <c r="U268" s="28"/>
      <c r="V268" s="29">
        <f>+VLOOKUP(E268,[1]base!D:K,8,0)</f>
        <v>2.7559999999999998</v>
      </c>
      <c r="W268" s="29">
        <f t="shared" si="65"/>
        <v>129.53199999999998</v>
      </c>
      <c r="X268" s="29">
        <f t="shared" si="66"/>
        <v>6.735663999999999</v>
      </c>
      <c r="Y268" s="29">
        <f>+VLOOKUP(E268,[1]base!D:E,2,0)</f>
        <v>17</v>
      </c>
      <c r="Z268" s="29">
        <f t="shared" si="67"/>
        <v>3</v>
      </c>
      <c r="AA268" s="29">
        <f t="shared" si="68"/>
        <v>0.20000000000000007</v>
      </c>
      <c r="AB268" s="29">
        <f>+VLOOKUP(E268,[1]base!M:N,2,0)</f>
        <v>16498</v>
      </c>
      <c r="AC268" s="29">
        <f>+VLOOKUP(E268,[1]base!M:Q,5,0)</f>
        <v>13391.545454545454</v>
      </c>
      <c r="AD268" s="30">
        <f>+VLOOKUP(E268,[1]base!M:P,4,0)</f>
        <v>4.4978292329956586E-2</v>
      </c>
      <c r="AE268" s="31">
        <f t="shared" si="69"/>
        <v>4207.3481331403764</v>
      </c>
    </row>
    <row r="269" spans="1:31" x14ac:dyDescent="0.25">
      <c r="A269" s="12" t="s">
        <v>1491</v>
      </c>
      <c r="B269" s="13">
        <v>46273.608587962961</v>
      </c>
      <c r="C269" s="12" t="s">
        <v>502</v>
      </c>
      <c r="D269" s="12" t="s">
        <v>1494</v>
      </c>
      <c r="E269" s="26" t="str">
        <f t="shared" si="63"/>
        <v>LM-F/6</v>
      </c>
      <c r="F269" s="27" t="str">
        <f t="shared" si="64"/>
        <v>GREY</v>
      </c>
      <c r="G269" s="27">
        <f>+VLOOKUP(F269,[1]base!A:B,2,0)</f>
        <v>24</v>
      </c>
      <c r="H269" s="12">
        <v>2</v>
      </c>
      <c r="I269" s="12">
        <v>2</v>
      </c>
      <c r="J269" s="14"/>
      <c r="K269" s="14" t="s">
        <v>61</v>
      </c>
      <c r="L269" s="12" t="s">
        <v>1501</v>
      </c>
      <c r="M269" s="12" t="s">
        <v>150</v>
      </c>
      <c r="N269" s="12">
        <v>2</v>
      </c>
      <c r="O269" s="12">
        <v>2</v>
      </c>
      <c r="P269" s="12">
        <v>0</v>
      </c>
      <c r="Q269" s="16">
        <v>2</v>
      </c>
      <c r="R269" s="16">
        <v>0</v>
      </c>
      <c r="S269" s="16"/>
      <c r="T269" s="28">
        <v>2</v>
      </c>
      <c r="U269" s="28"/>
      <c r="V269" s="29">
        <f>+VLOOKUP(E269,[1]base!D:K,8,0)</f>
        <v>2.8405</v>
      </c>
      <c r="W269" s="29">
        <f t="shared" si="65"/>
        <v>5.681</v>
      </c>
      <c r="X269" s="29">
        <f t="shared" si="66"/>
        <v>0.29541200000000001</v>
      </c>
      <c r="Y269" s="29">
        <f>+VLOOKUP(E269,[1]base!D:E,2,0)</f>
        <v>17</v>
      </c>
      <c r="Z269" s="29">
        <f t="shared" si="67"/>
        <v>1</v>
      </c>
      <c r="AA269" s="29">
        <f t="shared" si="68"/>
        <v>6.6666666666666693E-2</v>
      </c>
      <c r="AB269" s="29">
        <f>+VLOOKUP(E269,[1]base!M:N,2,0)</f>
        <v>2860</v>
      </c>
      <c r="AC269" s="29">
        <f>+VLOOKUP(E269,[1]base!M:Q,5,0)</f>
        <v>1927.6</v>
      </c>
      <c r="AD269" s="30">
        <f>+VLOOKUP(E269,[1]base!M:P,4,0)</f>
        <v>-5.2857142857142856</v>
      </c>
      <c r="AE269" s="31">
        <f t="shared" si="69"/>
        <v>15975.142857142857</v>
      </c>
    </row>
    <row r="270" spans="1:31" x14ac:dyDescent="0.25">
      <c r="A270" s="45"/>
      <c r="B270" s="46"/>
      <c r="C270" s="45"/>
      <c r="D270" s="45"/>
      <c r="E270" s="47"/>
      <c r="F270" s="48"/>
      <c r="G270" s="48"/>
      <c r="H270" s="45"/>
      <c r="I270" s="45"/>
      <c r="J270" s="49"/>
      <c r="K270" s="49"/>
      <c r="L270" s="45"/>
      <c r="M270" s="45"/>
      <c r="N270" s="45"/>
      <c r="O270" s="45"/>
      <c r="P270" s="45"/>
      <c r="Q270" s="50"/>
      <c r="R270" s="50"/>
      <c r="S270" s="50"/>
      <c r="T270" s="51"/>
      <c r="U270" s="51"/>
      <c r="V270" s="52"/>
      <c r="W270" s="52"/>
      <c r="X270" s="52"/>
      <c r="Y270" s="52"/>
      <c r="Z270" s="52"/>
      <c r="AA270" s="52"/>
      <c r="AB270" s="52"/>
      <c r="AC270" s="52"/>
      <c r="AD270" s="53"/>
      <c r="AE270" s="54"/>
    </row>
    <row r="271" spans="1:31" x14ac:dyDescent="0.25">
      <c r="A271" s="12" t="s">
        <v>1517</v>
      </c>
      <c r="B271" s="13">
        <v>46273.621770833335</v>
      </c>
      <c r="C271" s="12" t="s">
        <v>258</v>
      </c>
      <c r="D271" s="12" t="s">
        <v>1518</v>
      </c>
      <c r="E271" s="26" t="str">
        <f t="shared" ref="E271:E277" si="70">_xlfn.TEXTBEFORE(D271, "-", -1, 1, , D271)</f>
        <v>FR402</v>
      </c>
      <c r="F271" s="27" t="str">
        <f t="shared" ref="F271:F277" si="71">_xlfn.TEXTAFTER(D271, "-", -1, 1, , "")</f>
        <v>GRISG</v>
      </c>
      <c r="G271" s="27">
        <f>+VLOOKUP(F271,[1]base!A:B,2,0)</f>
        <v>25</v>
      </c>
      <c r="H271" s="12">
        <v>6</v>
      </c>
      <c r="I271" s="12">
        <v>6</v>
      </c>
      <c r="J271" s="14"/>
      <c r="K271" s="14" t="s">
        <v>61</v>
      </c>
      <c r="L271" s="12" t="s">
        <v>1519</v>
      </c>
      <c r="M271" s="12" t="s">
        <v>150</v>
      </c>
      <c r="N271" s="12">
        <v>6</v>
      </c>
      <c r="O271" s="12">
        <v>6</v>
      </c>
      <c r="P271" s="12">
        <v>0</v>
      </c>
      <c r="Q271" s="16">
        <v>6</v>
      </c>
      <c r="R271" s="16">
        <v>0</v>
      </c>
      <c r="S271" s="16"/>
      <c r="T271" s="28">
        <v>6</v>
      </c>
      <c r="U271" s="28"/>
      <c r="V271" s="29">
        <f>+VLOOKUP(E271,[1]base!D:K,8,0)</f>
        <v>5.7394999999999996</v>
      </c>
      <c r="W271" s="29">
        <f t="shared" ref="W271:W277" si="72">(T271+U271)*V271</f>
        <v>34.436999999999998</v>
      </c>
      <c r="X271" s="29">
        <f t="shared" ref="X271:X277" si="73">+W271*0.052</f>
        <v>1.7907239999999998</v>
      </c>
      <c r="Y271" s="29">
        <f>+VLOOKUP(E271,[1]base!D:E,2,0)</f>
        <v>13</v>
      </c>
      <c r="Z271" s="29">
        <f t="shared" ref="Z271:Z277" si="74">ROUNDUP(T271/Y271,0)</f>
        <v>1</v>
      </c>
      <c r="AA271" s="29">
        <f t="shared" ref="AA271:AA277" si="75">+Z271*0.0666666666666667</f>
        <v>6.6666666666666693E-2</v>
      </c>
      <c r="AB271" s="29">
        <f>+VLOOKUP(E271,[1]base!M:N,2,0)</f>
        <v>135</v>
      </c>
      <c r="AC271" s="29">
        <f>+VLOOKUP(E271,[1]base!M:Q,5,0)</f>
        <v>898.4545454545455</v>
      </c>
      <c r="AD271" s="30">
        <f>+VLOOKUP(E271,[1]base!M:P,4,0)</f>
        <v>0.13461538461538461</v>
      </c>
      <c r="AE271" s="31">
        <f t="shared" ref="AE271:AE277" si="76">+AB271*(30%-AD271)</f>
        <v>22.326923076923077</v>
      </c>
    </row>
    <row r="272" spans="1:31" x14ac:dyDescent="0.25">
      <c r="A272" s="12" t="s">
        <v>1600</v>
      </c>
      <c r="B272" s="13">
        <v>46275.377118055556</v>
      </c>
      <c r="C272" s="12" t="s">
        <v>24</v>
      </c>
      <c r="D272" s="12" t="s">
        <v>1608</v>
      </c>
      <c r="E272" s="26" t="str">
        <f t="shared" si="70"/>
        <v>GL11060/248</v>
      </c>
      <c r="F272" s="27" t="str">
        <f t="shared" si="71"/>
        <v>GRISG</v>
      </c>
      <c r="G272" s="27">
        <f>+VLOOKUP(F272,[1]base!A:B,2,0)</f>
        <v>25</v>
      </c>
      <c r="H272" s="12">
        <v>1</v>
      </c>
      <c r="I272" s="12">
        <v>1</v>
      </c>
      <c r="J272" s="14"/>
      <c r="K272" s="14" t="s">
        <v>61</v>
      </c>
      <c r="L272" s="12" t="s">
        <v>1622</v>
      </c>
      <c r="M272" s="12" t="s">
        <v>150</v>
      </c>
      <c r="N272" s="12">
        <v>1</v>
      </c>
      <c r="O272" s="12">
        <v>1</v>
      </c>
      <c r="P272" s="12">
        <v>0</v>
      </c>
      <c r="Q272" s="16">
        <v>1</v>
      </c>
      <c r="R272" s="16">
        <v>4</v>
      </c>
      <c r="S272" s="16"/>
      <c r="T272" s="28">
        <v>0</v>
      </c>
      <c r="U272" s="28">
        <v>1</v>
      </c>
      <c r="V272" s="29">
        <f>+VLOOKUP(E272,[1]base!D:K,8,0)</f>
        <v>2.4634999999999998</v>
      </c>
      <c r="W272" s="29">
        <f t="shared" si="72"/>
        <v>2.4634999999999998</v>
      </c>
      <c r="X272" s="29">
        <f t="shared" si="73"/>
        <v>0.12810199999999999</v>
      </c>
      <c r="Y272" s="29">
        <f>+VLOOKUP(E272,[1]base!D:E,2,0)</f>
        <v>20</v>
      </c>
      <c r="Z272" s="29">
        <f t="shared" si="74"/>
        <v>0</v>
      </c>
      <c r="AA272" s="29">
        <f t="shared" si="75"/>
        <v>0</v>
      </c>
      <c r="AB272" s="29">
        <f>+VLOOKUP(E272,[1]base!M:N,2,0)</f>
        <v>10587</v>
      </c>
      <c r="AC272" s="29">
        <f>+VLOOKUP(E272,[1]base!M:Q,5,0)</f>
        <v>2112.7272727272725</v>
      </c>
      <c r="AD272" s="30">
        <f>+VLOOKUP(E272,[1]base!M:P,4,0)</f>
        <v>1.4154018064996741E-2</v>
      </c>
      <c r="AE272" s="31">
        <f t="shared" si="76"/>
        <v>3026.2514107458796</v>
      </c>
    </row>
    <row r="273" spans="1:31" x14ac:dyDescent="0.25">
      <c r="A273" s="12" t="s">
        <v>1115</v>
      </c>
      <c r="B273" s="13">
        <v>46267.292060185187</v>
      </c>
      <c r="C273" s="12" t="s">
        <v>198</v>
      </c>
      <c r="D273" s="12" t="s">
        <v>1116</v>
      </c>
      <c r="E273" s="26" t="str">
        <f t="shared" si="70"/>
        <v>LM-757</v>
      </c>
      <c r="F273" s="27" t="str">
        <f t="shared" si="71"/>
        <v>GRISG</v>
      </c>
      <c r="G273" s="27">
        <f>+VLOOKUP(F273,[1]base!A:B,2,0)</f>
        <v>25</v>
      </c>
      <c r="H273" s="12">
        <v>10</v>
      </c>
      <c r="I273" s="12">
        <v>10</v>
      </c>
      <c r="J273" s="14"/>
      <c r="K273" s="14" t="s">
        <v>61</v>
      </c>
      <c r="L273" s="12" t="s">
        <v>1118</v>
      </c>
      <c r="M273" s="12" t="s">
        <v>150</v>
      </c>
      <c r="N273" s="12">
        <v>10</v>
      </c>
      <c r="O273" s="12">
        <v>10</v>
      </c>
      <c r="P273" s="12">
        <v>0</v>
      </c>
      <c r="Q273" s="16">
        <v>10</v>
      </c>
      <c r="R273" s="16">
        <v>0</v>
      </c>
      <c r="S273" s="16"/>
      <c r="T273" s="28">
        <v>10</v>
      </c>
      <c r="U273" s="28"/>
      <c r="V273" s="29">
        <f>+VLOOKUP(E273,[1]base!D:K,8,0)</f>
        <v>2.7559999999999998</v>
      </c>
      <c r="W273" s="29">
        <f t="shared" si="72"/>
        <v>27.56</v>
      </c>
      <c r="X273" s="29">
        <f t="shared" si="73"/>
        <v>1.4331199999999999</v>
      </c>
      <c r="Y273" s="29">
        <f>+VLOOKUP(E273,[1]base!D:E,2,0)</f>
        <v>17</v>
      </c>
      <c r="Z273" s="29">
        <f t="shared" si="74"/>
        <v>1</v>
      </c>
      <c r="AA273" s="29">
        <f t="shared" si="75"/>
        <v>6.6666666666666693E-2</v>
      </c>
      <c r="AB273" s="29">
        <f>+VLOOKUP(E273,[1]base!M:N,2,0)</f>
        <v>16498</v>
      </c>
      <c r="AC273" s="29">
        <f>+VLOOKUP(E273,[1]base!M:Q,5,0)</f>
        <v>13391.545454545454</v>
      </c>
      <c r="AD273" s="30">
        <f>+VLOOKUP(E273,[1]base!M:P,4,0)</f>
        <v>4.4978292329956586E-2</v>
      </c>
      <c r="AE273" s="31">
        <f t="shared" si="76"/>
        <v>4207.3481331403764</v>
      </c>
    </row>
    <row r="274" spans="1:31" x14ac:dyDescent="0.25">
      <c r="A274" s="12" t="s">
        <v>1600</v>
      </c>
      <c r="B274" s="13">
        <v>46275.377118055556</v>
      </c>
      <c r="C274" s="12" t="s">
        <v>24</v>
      </c>
      <c r="D274" s="12" t="s">
        <v>1116</v>
      </c>
      <c r="E274" s="26" t="str">
        <f t="shared" si="70"/>
        <v>LM-757</v>
      </c>
      <c r="F274" s="27" t="str">
        <f t="shared" si="71"/>
        <v>GRISG</v>
      </c>
      <c r="G274" s="27">
        <f>+VLOOKUP(F274,[1]base!A:B,2,0)</f>
        <v>25</v>
      </c>
      <c r="H274" s="12">
        <v>67</v>
      </c>
      <c r="I274" s="12">
        <v>67</v>
      </c>
      <c r="J274" s="14"/>
      <c r="K274" s="14" t="s">
        <v>61</v>
      </c>
      <c r="L274" s="12" t="s">
        <v>1623</v>
      </c>
      <c r="M274" s="12" t="s">
        <v>150</v>
      </c>
      <c r="N274" s="12">
        <v>67</v>
      </c>
      <c r="O274" s="12">
        <v>67</v>
      </c>
      <c r="P274" s="12">
        <v>0</v>
      </c>
      <c r="Q274" s="16">
        <v>67</v>
      </c>
      <c r="R274" s="16">
        <v>0</v>
      </c>
      <c r="S274" s="16"/>
      <c r="T274" s="28">
        <v>67</v>
      </c>
      <c r="U274" s="28"/>
      <c r="V274" s="29">
        <f>+VLOOKUP(E274,[1]base!D:K,8,0)</f>
        <v>2.7559999999999998</v>
      </c>
      <c r="W274" s="29">
        <f t="shared" si="72"/>
        <v>184.65199999999999</v>
      </c>
      <c r="X274" s="29">
        <f t="shared" si="73"/>
        <v>9.6019039999999993</v>
      </c>
      <c r="Y274" s="29">
        <f>+VLOOKUP(E274,[1]base!D:E,2,0)</f>
        <v>17</v>
      </c>
      <c r="Z274" s="29">
        <f t="shared" si="74"/>
        <v>4</v>
      </c>
      <c r="AA274" s="29">
        <f t="shared" si="75"/>
        <v>0.26666666666666677</v>
      </c>
      <c r="AB274" s="29">
        <f>+VLOOKUP(E274,[1]base!M:N,2,0)</f>
        <v>16498</v>
      </c>
      <c r="AC274" s="29">
        <f>+VLOOKUP(E274,[1]base!M:Q,5,0)</f>
        <v>13391.545454545454</v>
      </c>
      <c r="AD274" s="30">
        <f>+VLOOKUP(E274,[1]base!M:P,4,0)</f>
        <v>4.4978292329956586E-2</v>
      </c>
      <c r="AE274" s="31">
        <f t="shared" si="76"/>
        <v>4207.3481331403764</v>
      </c>
    </row>
    <row r="275" spans="1:31" x14ac:dyDescent="0.25">
      <c r="A275" s="12" t="s">
        <v>1115</v>
      </c>
      <c r="B275" s="13">
        <v>46267.292060185187</v>
      </c>
      <c r="C275" s="12" t="s">
        <v>198</v>
      </c>
      <c r="D275" s="12" t="s">
        <v>1117</v>
      </c>
      <c r="E275" s="26" t="str">
        <f t="shared" si="70"/>
        <v>LM-F/6</v>
      </c>
      <c r="F275" s="27" t="str">
        <f t="shared" si="71"/>
        <v>GRISG</v>
      </c>
      <c r="G275" s="27">
        <f>+VLOOKUP(F275,[1]base!A:B,2,0)</f>
        <v>25</v>
      </c>
      <c r="H275" s="12">
        <v>1</v>
      </c>
      <c r="I275" s="12">
        <v>1</v>
      </c>
      <c r="J275" s="14"/>
      <c r="K275" s="14" t="s">
        <v>61</v>
      </c>
      <c r="L275" s="12" t="s">
        <v>1119</v>
      </c>
      <c r="M275" s="12" t="s">
        <v>150</v>
      </c>
      <c r="N275" s="12">
        <v>1</v>
      </c>
      <c r="O275" s="12">
        <v>1</v>
      </c>
      <c r="P275" s="12">
        <v>0</v>
      </c>
      <c r="Q275" s="16">
        <v>1</v>
      </c>
      <c r="R275" s="16">
        <v>0</v>
      </c>
      <c r="S275" s="16"/>
      <c r="T275" s="28">
        <v>1</v>
      </c>
      <c r="U275" s="28"/>
      <c r="V275" s="29">
        <f>+VLOOKUP(E275,[1]base!D:K,8,0)</f>
        <v>2.8405</v>
      </c>
      <c r="W275" s="29">
        <f t="shared" si="72"/>
        <v>2.8405</v>
      </c>
      <c r="X275" s="29">
        <f t="shared" si="73"/>
        <v>0.147706</v>
      </c>
      <c r="Y275" s="29">
        <f>+VLOOKUP(E275,[1]base!D:E,2,0)</f>
        <v>17</v>
      </c>
      <c r="Z275" s="29">
        <f t="shared" si="74"/>
        <v>1</v>
      </c>
      <c r="AA275" s="29">
        <f t="shared" si="75"/>
        <v>6.6666666666666693E-2</v>
      </c>
      <c r="AB275" s="29">
        <f>+VLOOKUP(E275,[1]base!M:N,2,0)</f>
        <v>2860</v>
      </c>
      <c r="AC275" s="29">
        <f>+VLOOKUP(E275,[1]base!M:Q,5,0)</f>
        <v>1927.6</v>
      </c>
      <c r="AD275" s="30">
        <f>+VLOOKUP(E275,[1]base!M:P,4,0)</f>
        <v>-5.2857142857142856</v>
      </c>
      <c r="AE275" s="31">
        <f t="shared" si="76"/>
        <v>15975.142857142857</v>
      </c>
    </row>
    <row r="276" spans="1:31" x14ac:dyDescent="0.25">
      <c r="A276" s="12" t="s">
        <v>1600</v>
      </c>
      <c r="B276" s="13">
        <v>46275.377118055556</v>
      </c>
      <c r="C276" s="12" t="s">
        <v>24</v>
      </c>
      <c r="D276" s="12" t="s">
        <v>1117</v>
      </c>
      <c r="E276" s="26" t="str">
        <f t="shared" si="70"/>
        <v>LM-F/6</v>
      </c>
      <c r="F276" s="27" t="str">
        <f t="shared" si="71"/>
        <v>GRISG</v>
      </c>
      <c r="G276" s="27">
        <f>+VLOOKUP(F276,[1]base!A:B,2,0)</f>
        <v>25</v>
      </c>
      <c r="H276" s="12">
        <v>4</v>
      </c>
      <c r="I276" s="12">
        <v>4</v>
      </c>
      <c r="J276" s="14"/>
      <c r="K276" s="14" t="s">
        <v>61</v>
      </c>
      <c r="L276" s="12" t="s">
        <v>1624</v>
      </c>
      <c r="M276" s="12" t="s">
        <v>150</v>
      </c>
      <c r="N276" s="12">
        <v>4</v>
      </c>
      <c r="O276" s="12">
        <v>4</v>
      </c>
      <c r="P276" s="12">
        <v>0</v>
      </c>
      <c r="Q276" s="16">
        <v>4</v>
      </c>
      <c r="R276" s="16">
        <v>0</v>
      </c>
      <c r="S276" s="16"/>
      <c r="T276" s="28">
        <v>4</v>
      </c>
      <c r="U276" s="28"/>
      <c r="V276" s="29">
        <f>+VLOOKUP(E276,[1]base!D:K,8,0)</f>
        <v>2.8405</v>
      </c>
      <c r="W276" s="29">
        <f t="shared" si="72"/>
        <v>11.362</v>
      </c>
      <c r="X276" s="29">
        <f t="shared" si="73"/>
        <v>0.59082400000000002</v>
      </c>
      <c r="Y276" s="29">
        <f>+VLOOKUP(E276,[1]base!D:E,2,0)</f>
        <v>17</v>
      </c>
      <c r="Z276" s="29">
        <f t="shared" si="74"/>
        <v>1</v>
      </c>
      <c r="AA276" s="29">
        <f t="shared" si="75"/>
        <v>6.6666666666666693E-2</v>
      </c>
      <c r="AB276" s="29">
        <f>+VLOOKUP(E276,[1]base!M:N,2,0)</f>
        <v>2860</v>
      </c>
      <c r="AC276" s="29">
        <f>+VLOOKUP(E276,[1]base!M:Q,5,0)</f>
        <v>1927.6</v>
      </c>
      <c r="AD276" s="30">
        <f>+VLOOKUP(E276,[1]base!M:P,4,0)</f>
        <v>-5.2857142857142856</v>
      </c>
      <c r="AE276" s="31">
        <f t="shared" si="76"/>
        <v>15975.142857142857</v>
      </c>
    </row>
    <row r="277" spans="1:31" x14ac:dyDescent="0.25">
      <c r="A277" s="12" t="s">
        <v>1600</v>
      </c>
      <c r="B277" s="13">
        <v>46275.377118055556</v>
      </c>
      <c r="C277" s="12" t="s">
        <v>24</v>
      </c>
      <c r="D277" s="12" t="s">
        <v>1609</v>
      </c>
      <c r="E277" s="26" t="str">
        <f t="shared" si="70"/>
        <v>LM-S758</v>
      </c>
      <c r="F277" s="27" t="str">
        <f t="shared" si="71"/>
        <v>GRISG</v>
      </c>
      <c r="G277" s="27">
        <f>+VLOOKUP(F277,[1]base!A:B,2,0)</f>
        <v>25</v>
      </c>
      <c r="H277" s="12">
        <v>21</v>
      </c>
      <c r="I277" s="12">
        <v>21</v>
      </c>
      <c r="J277" s="14"/>
      <c r="K277" s="14" t="s">
        <v>61</v>
      </c>
      <c r="L277" s="12" t="s">
        <v>1625</v>
      </c>
      <c r="M277" s="12" t="s">
        <v>150</v>
      </c>
      <c r="N277" s="12">
        <v>21</v>
      </c>
      <c r="O277" s="12">
        <v>21</v>
      </c>
      <c r="P277" s="12">
        <v>0</v>
      </c>
      <c r="Q277" s="16">
        <v>21</v>
      </c>
      <c r="R277" s="16">
        <v>1</v>
      </c>
      <c r="S277" s="16"/>
      <c r="T277" s="28">
        <v>20</v>
      </c>
      <c r="U277" s="28">
        <v>1</v>
      </c>
      <c r="V277" s="29">
        <f>+VLOOKUP(E277,[1]base!D:K,8,0)</f>
        <v>1.3259999999999998</v>
      </c>
      <c r="W277" s="29">
        <f t="shared" si="72"/>
        <v>27.845999999999997</v>
      </c>
      <c r="X277" s="29">
        <f t="shared" si="73"/>
        <v>1.4479919999999997</v>
      </c>
      <c r="Y277" s="29">
        <f>+VLOOKUP(E277,[1]base!D:E,2,0)</f>
        <v>20</v>
      </c>
      <c r="Z277" s="29">
        <f t="shared" si="74"/>
        <v>1</v>
      </c>
      <c r="AA277" s="29">
        <f t="shared" si="75"/>
        <v>6.6666666666666693E-2</v>
      </c>
      <c r="AB277" s="29">
        <f>+VLOOKUP(E277,[1]base!M:N,2,0)</f>
        <v>415</v>
      </c>
      <c r="AC277" s="29">
        <f>+VLOOKUP(E277,[1]base!M:Q,5,0)</f>
        <v>1750.6</v>
      </c>
      <c r="AD277" s="30">
        <f>+VLOOKUP(E277,[1]base!M:P,4,0)</f>
        <v>0.15306122448979592</v>
      </c>
      <c r="AE277" s="31">
        <f t="shared" si="76"/>
        <v>60.979591836734684</v>
      </c>
    </row>
    <row r="278" spans="1:31" x14ac:dyDescent="0.25">
      <c r="A278" s="45"/>
      <c r="B278" s="46"/>
      <c r="C278" s="45"/>
      <c r="D278" s="45"/>
      <c r="E278" s="47"/>
      <c r="F278" s="48"/>
      <c r="G278" s="48"/>
      <c r="H278" s="45"/>
      <c r="I278" s="45"/>
      <c r="J278" s="49"/>
      <c r="K278" s="49"/>
      <c r="L278" s="45"/>
      <c r="M278" s="45"/>
      <c r="N278" s="45"/>
      <c r="O278" s="45"/>
      <c r="P278" s="45"/>
      <c r="Q278" s="50"/>
      <c r="R278" s="50"/>
      <c r="S278" s="50"/>
      <c r="T278" s="51"/>
      <c r="U278" s="51"/>
      <c r="V278" s="52"/>
      <c r="W278" s="52"/>
      <c r="X278" s="52"/>
      <c r="Y278" s="52"/>
      <c r="Z278" s="52"/>
      <c r="AA278" s="52"/>
      <c r="AB278" s="52"/>
      <c r="AC278" s="52"/>
      <c r="AD278" s="53"/>
      <c r="AE278" s="54"/>
    </row>
    <row r="279" spans="1:31" x14ac:dyDescent="0.25">
      <c r="A279" s="12" t="s">
        <v>940</v>
      </c>
      <c r="B279" s="13">
        <v>46263.399872685186</v>
      </c>
      <c r="C279" s="12" t="s">
        <v>24</v>
      </c>
      <c r="D279" s="12" t="s">
        <v>941</v>
      </c>
      <c r="E279" s="26" t="str">
        <f t="shared" ref="E279:E310" si="77">_xlfn.TEXTBEFORE(D279, "-", -1, 1, , D279)</f>
        <v>AL11026</v>
      </c>
      <c r="F279" s="27" t="str">
        <f t="shared" ref="F279:F310" si="78">_xlfn.TEXTAFTER(D279, "-", -1, 1, , "")</f>
        <v>NOIR</v>
      </c>
      <c r="G279" s="27">
        <f>+VLOOKUP(F279,[1]base!A:B,2,0)</f>
        <v>37</v>
      </c>
      <c r="H279" s="12">
        <v>2</v>
      </c>
      <c r="I279" s="12">
        <v>2</v>
      </c>
      <c r="J279" s="14"/>
      <c r="K279" s="14" t="s">
        <v>61</v>
      </c>
      <c r="L279" s="12" t="s">
        <v>944</v>
      </c>
      <c r="M279" s="12" t="s">
        <v>150</v>
      </c>
      <c r="N279" s="12">
        <v>2</v>
      </c>
      <c r="O279" s="12">
        <v>2</v>
      </c>
      <c r="P279" s="12">
        <v>0</v>
      </c>
      <c r="Q279" s="16">
        <v>2</v>
      </c>
      <c r="R279" s="16">
        <v>0</v>
      </c>
      <c r="S279" s="16"/>
      <c r="T279" s="28">
        <v>2</v>
      </c>
      <c r="U279" s="28"/>
      <c r="V279" s="29">
        <f>+VLOOKUP(E279,[1]base!D:K,8,0)</f>
        <v>5.7720000000000002</v>
      </c>
      <c r="W279" s="29">
        <f t="shared" ref="W279:W310" si="79">(T279+U279)*V279</f>
        <v>11.544</v>
      </c>
      <c r="X279" s="29">
        <f t="shared" ref="X279:X310" si="80">+W279*0.052</f>
        <v>0.60028800000000004</v>
      </c>
      <c r="Y279" s="29">
        <f>+VLOOKUP(E279,[1]base!D:E,2,0)</f>
        <v>10</v>
      </c>
      <c r="Z279" s="29">
        <f t="shared" ref="Z279:Z310" si="81">ROUNDUP(T279/Y279,0)</f>
        <v>1</v>
      </c>
      <c r="AA279" s="29">
        <f t="shared" ref="AA279:AA310" si="82">+Z279*0.0666666666666667</f>
        <v>6.6666666666666693E-2</v>
      </c>
      <c r="AB279" s="29">
        <f>+VLOOKUP(E279,[1]base!M:N,2,0)</f>
        <v>0</v>
      </c>
      <c r="AC279" s="29">
        <f>+VLOOKUP(E279,[1]base!M:Q,5,0)</f>
        <v>222.375</v>
      </c>
      <c r="AD279" s="30">
        <f>+VLOOKUP(E279,[1]base!M:P,4,0)</f>
        <v>1</v>
      </c>
      <c r="AE279" s="31">
        <f t="shared" ref="AE279:AE310" si="83">+AB279*(30%-AD279)</f>
        <v>0</v>
      </c>
    </row>
    <row r="280" spans="1:31" x14ac:dyDescent="0.25">
      <c r="A280" s="12" t="s">
        <v>1400</v>
      </c>
      <c r="B280" s="13">
        <v>46270.34337962963</v>
      </c>
      <c r="C280" s="12" t="s">
        <v>24</v>
      </c>
      <c r="D280" s="12" t="s">
        <v>1401</v>
      </c>
      <c r="E280" s="26" t="str">
        <f t="shared" si="77"/>
        <v>C-80113</v>
      </c>
      <c r="F280" s="27" t="str">
        <f t="shared" si="78"/>
        <v>NOIR</v>
      </c>
      <c r="G280" s="27">
        <f>+VLOOKUP(F280,[1]base!A:B,2,0)</f>
        <v>37</v>
      </c>
      <c r="H280" s="12">
        <v>2</v>
      </c>
      <c r="I280" s="12">
        <v>2</v>
      </c>
      <c r="J280" s="14"/>
      <c r="K280" s="14" t="s">
        <v>26</v>
      </c>
      <c r="L280" s="12" t="s">
        <v>1402</v>
      </c>
      <c r="M280" s="12" t="s">
        <v>150</v>
      </c>
      <c r="N280" s="12">
        <v>2</v>
      </c>
      <c r="O280" s="12">
        <v>2</v>
      </c>
      <c r="P280" s="12">
        <v>0</v>
      </c>
      <c r="Q280" s="16">
        <v>0</v>
      </c>
      <c r="R280" s="16">
        <v>0</v>
      </c>
      <c r="S280" s="16"/>
      <c r="T280" s="28">
        <v>2</v>
      </c>
      <c r="U280" s="28"/>
      <c r="V280" s="29" t="e">
        <f>+VLOOKUP(E280,[1]base!D:K,8,0)</f>
        <v>#N/A</v>
      </c>
      <c r="W280" s="29" t="e">
        <f t="shared" si="79"/>
        <v>#N/A</v>
      </c>
      <c r="X280" s="29" t="e">
        <f t="shared" si="80"/>
        <v>#N/A</v>
      </c>
      <c r="Y280" s="29" t="e">
        <f>+VLOOKUP(E280,[1]base!D:E,2,0)</f>
        <v>#N/A</v>
      </c>
      <c r="Z280" s="29" t="e">
        <f t="shared" si="81"/>
        <v>#N/A</v>
      </c>
      <c r="AA280" s="29" t="e">
        <f t="shared" si="82"/>
        <v>#N/A</v>
      </c>
      <c r="AB280" s="29" t="e">
        <f>+VLOOKUP(E280,[1]base!M:N,2,0)</f>
        <v>#N/A</v>
      </c>
      <c r="AC280" s="29" t="e">
        <f>+VLOOKUP(E280,[1]base!M:Q,5,0)</f>
        <v>#N/A</v>
      </c>
      <c r="AD280" s="30" t="e">
        <f>+VLOOKUP(E280,[1]base!M:P,4,0)</f>
        <v>#N/A</v>
      </c>
      <c r="AE280" s="31" t="e">
        <f t="shared" si="83"/>
        <v>#N/A</v>
      </c>
    </row>
    <row r="281" spans="1:31" x14ac:dyDescent="0.25">
      <c r="A281" s="12" t="s">
        <v>1602</v>
      </c>
      <c r="B281" s="13">
        <v>46275.386006944442</v>
      </c>
      <c r="C281" s="12" t="s">
        <v>1439</v>
      </c>
      <c r="D281" s="12" t="s">
        <v>1616</v>
      </c>
      <c r="E281" s="26" t="str">
        <f t="shared" si="77"/>
        <v>C-C706</v>
      </c>
      <c r="F281" s="27" t="str">
        <f t="shared" si="78"/>
        <v>NOIR</v>
      </c>
      <c r="G281" s="27">
        <f>+VLOOKUP(F281,[1]base!A:B,2,0)</f>
        <v>37</v>
      </c>
      <c r="H281" s="12">
        <v>2</v>
      </c>
      <c r="I281" s="12">
        <v>2</v>
      </c>
      <c r="J281" s="14"/>
      <c r="K281" s="14" t="s">
        <v>26</v>
      </c>
      <c r="L281" s="12" t="s">
        <v>1632</v>
      </c>
      <c r="M281" s="12" t="s">
        <v>150</v>
      </c>
      <c r="N281" s="12">
        <v>2</v>
      </c>
      <c r="O281" s="12">
        <v>2</v>
      </c>
      <c r="P281" s="12">
        <v>0</v>
      </c>
      <c r="Q281" s="16">
        <v>0</v>
      </c>
      <c r="R281" s="16">
        <v>0</v>
      </c>
      <c r="S281" s="16"/>
      <c r="T281" s="28">
        <v>2</v>
      </c>
      <c r="U281" s="28"/>
      <c r="V281" s="29" t="e">
        <f>+VLOOKUP(E281,[1]base!D:K,8,0)</f>
        <v>#N/A</v>
      </c>
      <c r="W281" s="29" t="e">
        <f t="shared" si="79"/>
        <v>#N/A</v>
      </c>
      <c r="X281" s="29" t="e">
        <f t="shared" si="80"/>
        <v>#N/A</v>
      </c>
      <c r="Y281" s="29" t="e">
        <f>+VLOOKUP(E281,[1]base!D:E,2,0)</f>
        <v>#N/A</v>
      </c>
      <c r="Z281" s="29" t="e">
        <f t="shared" si="81"/>
        <v>#N/A</v>
      </c>
      <c r="AA281" s="29" t="e">
        <f t="shared" si="82"/>
        <v>#N/A</v>
      </c>
      <c r="AB281" s="29" t="e">
        <f>+VLOOKUP(E281,[1]base!M:N,2,0)</f>
        <v>#N/A</v>
      </c>
      <c r="AC281" s="29" t="e">
        <f>+VLOOKUP(E281,[1]base!M:Q,5,0)</f>
        <v>#N/A</v>
      </c>
      <c r="AD281" s="30" t="e">
        <f>+VLOOKUP(E281,[1]base!M:P,4,0)</f>
        <v>#N/A</v>
      </c>
      <c r="AE281" s="31" t="e">
        <f t="shared" si="83"/>
        <v>#N/A</v>
      </c>
    </row>
    <row r="282" spans="1:31" x14ac:dyDescent="0.25">
      <c r="A282" s="12" t="s">
        <v>1602</v>
      </c>
      <c r="B282" s="13">
        <v>46275.386006944442</v>
      </c>
      <c r="C282" s="12" t="s">
        <v>1439</v>
      </c>
      <c r="D282" s="12" t="s">
        <v>1615</v>
      </c>
      <c r="E282" s="26" t="str">
        <f t="shared" si="77"/>
        <v>C-c708</v>
      </c>
      <c r="F282" s="27" t="str">
        <f t="shared" si="78"/>
        <v>NOIR</v>
      </c>
      <c r="G282" s="27">
        <f>+VLOOKUP(F282,[1]base!A:B,2,0)</f>
        <v>37</v>
      </c>
      <c r="H282" s="12">
        <v>3</v>
      </c>
      <c r="I282" s="12">
        <v>3</v>
      </c>
      <c r="J282" s="14"/>
      <c r="K282" s="14" t="s">
        <v>26</v>
      </c>
      <c r="L282" s="12" t="s">
        <v>1631</v>
      </c>
      <c r="M282" s="12" t="s">
        <v>150</v>
      </c>
      <c r="N282" s="12">
        <v>3</v>
      </c>
      <c r="O282" s="12">
        <v>3</v>
      </c>
      <c r="P282" s="12">
        <v>0</v>
      </c>
      <c r="Q282" s="16">
        <v>0</v>
      </c>
      <c r="R282" s="16">
        <v>0</v>
      </c>
      <c r="S282" s="16"/>
      <c r="T282" s="28">
        <v>3</v>
      </c>
      <c r="U282" s="28"/>
      <c r="V282" s="29" t="e">
        <f>+VLOOKUP(E282,[1]base!D:K,8,0)</f>
        <v>#N/A</v>
      </c>
      <c r="W282" s="29" t="e">
        <f t="shared" si="79"/>
        <v>#N/A</v>
      </c>
      <c r="X282" s="29" t="e">
        <f t="shared" si="80"/>
        <v>#N/A</v>
      </c>
      <c r="Y282" s="29" t="e">
        <f>+VLOOKUP(E282,[1]base!D:E,2,0)</f>
        <v>#N/A</v>
      </c>
      <c r="Z282" s="29" t="e">
        <f t="shared" si="81"/>
        <v>#N/A</v>
      </c>
      <c r="AA282" s="29" t="e">
        <f t="shared" si="82"/>
        <v>#N/A</v>
      </c>
      <c r="AB282" s="29" t="e">
        <f>+VLOOKUP(E282,[1]base!M:N,2,0)</f>
        <v>#N/A</v>
      </c>
      <c r="AC282" s="29" t="e">
        <f>+VLOOKUP(E282,[1]base!M:Q,5,0)</f>
        <v>#N/A</v>
      </c>
      <c r="AD282" s="30" t="e">
        <f>+VLOOKUP(E282,[1]base!M:P,4,0)</f>
        <v>#N/A</v>
      </c>
      <c r="AE282" s="31" t="e">
        <f t="shared" si="83"/>
        <v>#N/A</v>
      </c>
    </row>
    <row r="283" spans="1:31" x14ac:dyDescent="0.25">
      <c r="A283" s="12" t="s">
        <v>1341</v>
      </c>
      <c r="B283" s="13">
        <v>46269.468472222223</v>
      </c>
      <c r="C283" s="12" t="s">
        <v>1342</v>
      </c>
      <c r="D283" s="12" t="s">
        <v>75</v>
      </c>
      <c r="E283" s="26" t="str">
        <f t="shared" si="77"/>
        <v>CL3002</v>
      </c>
      <c r="F283" s="27" t="str">
        <f t="shared" si="78"/>
        <v>NOIR</v>
      </c>
      <c r="G283" s="27">
        <f>+VLOOKUP(F283,[1]base!A:B,2,0)</f>
        <v>37</v>
      </c>
      <c r="H283" s="12">
        <v>1</v>
      </c>
      <c r="I283" s="12">
        <v>1</v>
      </c>
      <c r="J283" s="14"/>
      <c r="K283" s="14" t="s">
        <v>61</v>
      </c>
      <c r="L283" s="12" t="s">
        <v>1371</v>
      </c>
      <c r="M283" s="12" t="s">
        <v>150</v>
      </c>
      <c r="N283" s="12">
        <v>1</v>
      </c>
      <c r="O283" s="12">
        <v>1</v>
      </c>
      <c r="P283" s="12">
        <v>0</v>
      </c>
      <c r="Q283" s="16">
        <v>1</v>
      </c>
      <c r="R283" s="16">
        <v>0</v>
      </c>
      <c r="S283" s="16"/>
      <c r="T283" s="28">
        <v>1</v>
      </c>
      <c r="U283" s="28"/>
      <c r="V283" s="29">
        <f>+VLOOKUP(E283,[1]base!D:K,8,0)</f>
        <v>0</v>
      </c>
      <c r="W283" s="29">
        <f t="shared" si="79"/>
        <v>0</v>
      </c>
      <c r="X283" s="29">
        <f t="shared" si="80"/>
        <v>0</v>
      </c>
      <c r="Y283" s="29">
        <f>+VLOOKUP(E283,[1]base!D:E,2,0)</f>
        <v>20</v>
      </c>
      <c r="Z283" s="29">
        <f t="shared" si="81"/>
        <v>1</v>
      </c>
      <c r="AA283" s="29">
        <f t="shared" si="82"/>
        <v>6.6666666666666693E-2</v>
      </c>
      <c r="AB283" s="29">
        <f>+VLOOKUP(E283,[1]base!M:N,2,0)</f>
        <v>230</v>
      </c>
      <c r="AC283" s="29">
        <f>+VLOOKUP(E283,[1]base!M:Q,5,0)</f>
        <v>0</v>
      </c>
      <c r="AD283" s="30" t="e">
        <f>+VLOOKUP(E283,[1]base!M:P,4,0)</f>
        <v>#DIV/0!</v>
      </c>
      <c r="AE283" s="31" t="e">
        <f t="shared" si="83"/>
        <v>#DIV/0!</v>
      </c>
    </row>
    <row r="284" spans="1:31" x14ac:dyDescent="0.25">
      <c r="A284" s="12" t="s">
        <v>1341</v>
      </c>
      <c r="B284" s="13">
        <v>46269.468472222223</v>
      </c>
      <c r="C284" s="12" t="s">
        <v>1342</v>
      </c>
      <c r="D284" s="12" t="s">
        <v>74</v>
      </c>
      <c r="E284" s="26" t="str">
        <f t="shared" si="77"/>
        <v>CL3003</v>
      </c>
      <c r="F284" s="27" t="str">
        <f t="shared" si="78"/>
        <v>NOIR</v>
      </c>
      <c r="G284" s="27">
        <f>+VLOOKUP(F284,[1]base!A:B,2,0)</f>
        <v>37</v>
      </c>
      <c r="H284" s="12">
        <v>1</v>
      </c>
      <c r="I284" s="12">
        <v>1</v>
      </c>
      <c r="J284" s="14"/>
      <c r="K284" s="14" t="s">
        <v>61</v>
      </c>
      <c r="L284" s="12" t="s">
        <v>1370</v>
      </c>
      <c r="M284" s="12" t="s">
        <v>150</v>
      </c>
      <c r="N284" s="12">
        <v>1</v>
      </c>
      <c r="O284" s="12">
        <v>1</v>
      </c>
      <c r="P284" s="12">
        <v>0</v>
      </c>
      <c r="Q284" s="16">
        <v>1</v>
      </c>
      <c r="R284" s="16">
        <v>1</v>
      </c>
      <c r="S284" s="16"/>
      <c r="T284" s="28">
        <v>0</v>
      </c>
      <c r="U284" s="28">
        <v>1</v>
      </c>
      <c r="V284" s="29">
        <f>+VLOOKUP(E284,[1]base!D:K,8,0)</f>
        <v>0</v>
      </c>
      <c r="W284" s="29">
        <f t="shared" si="79"/>
        <v>0</v>
      </c>
      <c r="X284" s="29">
        <f t="shared" si="80"/>
        <v>0</v>
      </c>
      <c r="Y284" s="29">
        <f>+VLOOKUP(E284,[1]base!D:E,2,0)</f>
        <v>20</v>
      </c>
      <c r="Z284" s="29">
        <f t="shared" si="81"/>
        <v>0</v>
      </c>
      <c r="AA284" s="29">
        <f t="shared" si="82"/>
        <v>0</v>
      </c>
      <c r="AB284" s="29">
        <f>+VLOOKUP(E284,[1]base!M:N,2,0)</f>
        <v>202</v>
      </c>
      <c r="AC284" s="29">
        <f>+VLOOKUP(E284,[1]base!M:Q,5,0)</f>
        <v>0</v>
      </c>
      <c r="AD284" s="30" t="e">
        <f>+VLOOKUP(E284,[1]base!M:P,4,0)</f>
        <v>#DIV/0!</v>
      </c>
      <c r="AE284" s="31" t="e">
        <f t="shared" si="83"/>
        <v>#DIV/0!</v>
      </c>
    </row>
    <row r="285" spans="1:31" x14ac:dyDescent="0.25">
      <c r="A285" s="12" t="s">
        <v>1243</v>
      </c>
      <c r="B285" s="13">
        <v>46268.575127314813</v>
      </c>
      <c r="C285" s="12" t="s">
        <v>368</v>
      </c>
      <c r="D285" s="12" t="s">
        <v>441</v>
      </c>
      <c r="E285" s="26" t="str">
        <f t="shared" si="77"/>
        <v>CO101</v>
      </c>
      <c r="F285" s="27" t="str">
        <f t="shared" si="78"/>
        <v>NOIR</v>
      </c>
      <c r="G285" s="27">
        <f>+VLOOKUP(F285,[1]base!A:B,2,0)</f>
        <v>37</v>
      </c>
      <c r="H285" s="12">
        <v>2</v>
      </c>
      <c r="I285" s="12">
        <v>2</v>
      </c>
      <c r="J285" s="14"/>
      <c r="K285" s="14" t="s">
        <v>61</v>
      </c>
      <c r="L285" s="12" t="s">
        <v>1254</v>
      </c>
      <c r="M285" s="12" t="s">
        <v>150</v>
      </c>
      <c r="N285" s="12">
        <v>2</v>
      </c>
      <c r="O285" s="12">
        <v>2</v>
      </c>
      <c r="P285" s="12">
        <v>0</v>
      </c>
      <c r="Q285" s="16">
        <v>2</v>
      </c>
      <c r="R285" s="16">
        <v>0</v>
      </c>
      <c r="S285" s="16"/>
      <c r="T285" s="28">
        <v>2</v>
      </c>
      <c r="U285" s="28"/>
      <c r="V285" s="29">
        <f>+VLOOKUP(E285,[1]base!D:K,8,0)</f>
        <v>6.0775000000000006</v>
      </c>
      <c r="W285" s="29">
        <f t="shared" si="79"/>
        <v>12.155000000000001</v>
      </c>
      <c r="X285" s="29">
        <f t="shared" si="80"/>
        <v>0.63206000000000007</v>
      </c>
      <c r="Y285" s="29">
        <f>+VLOOKUP(E285,[1]base!D:E,2,0)</f>
        <v>12</v>
      </c>
      <c r="Z285" s="29">
        <f t="shared" si="81"/>
        <v>1</v>
      </c>
      <c r="AA285" s="29">
        <f t="shared" si="82"/>
        <v>6.6666666666666693E-2</v>
      </c>
      <c r="AB285" s="29">
        <f>+VLOOKUP(E285,[1]base!M:N,2,0)</f>
        <v>125</v>
      </c>
      <c r="AC285" s="29">
        <f>+VLOOKUP(E285,[1]base!M:Q,5,0)</f>
        <v>108.55555555555556</v>
      </c>
      <c r="AD285" s="30">
        <f>+VLOOKUP(E285,[1]base!M:P,4,0)</f>
        <v>0.50787401574803148</v>
      </c>
      <c r="AE285" s="31">
        <f t="shared" si="83"/>
        <v>-25.984251968503937</v>
      </c>
    </row>
    <row r="286" spans="1:31" x14ac:dyDescent="0.25">
      <c r="A286" s="12" t="s">
        <v>408</v>
      </c>
      <c r="B286" s="13">
        <v>46220.346435185187</v>
      </c>
      <c r="C286" s="12" t="s">
        <v>258</v>
      </c>
      <c r="D286" s="12" t="s">
        <v>243</v>
      </c>
      <c r="E286" s="26" t="str">
        <f t="shared" si="77"/>
        <v>CO103</v>
      </c>
      <c r="F286" s="27" t="str">
        <f t="shared" si="78"/>
        <v>NOIR</v>
      </c>
      <c r="G286" s="27">
        <f>+VLOOKUP(F286,[1]base!A:B,2,0)</f>
        <v>37</v>
      </c>
      <c r="H286" s="12">
        <v>80</v>
      </c>
      <c r="I286" s="12">
        <v>80</v>
      </c>
      <c r="J286" s="14"/>
      <c r="K286" s="14" t="s">
        <v>61</v>
      </c>
      <c r="L286" s="12" t="s">
        <v>409</v>
      </c>
      <c r="M286" s="12" t="s">
        <v>150</v>
      </c>
      <c r="N286" s="12">
        <v>80</v>
      </c>
      <c r="O286" s="12">
        <v>80</v>
      </c>
      <c r="P286" s="12">
        <v>0</v>
      </c>
      <c r="Q286" s="16">
        <v>80</v>
      </c>
      <c r="R286" s="16">
        <v>1</v>
      </c>
      <c r="S286" s="16"/>
      <c r="T286" s="28">
        <v>79</v>
      </c>
      <c r="U286" s="28">
        <v>1</v>
      </c>
      <c r="V286" s="29">
        <f>+VLOOKUP(E286,[1]base!D:K,8,0)</f>
        <v>7.293000000000001</v>
      </c>
      <c r="W286" s="29">
        <f t="shared" si="79"/>
        <v>583.44000000000005</v>
      </c>
      <c r="X286" s="29">
        <f t="shared" si="80"/>
        <v>30.338880000000003</v>
      </c>
      <c r="Y286" s="29">
        <f>+VLOOKUP(E286,[1]base!D:E,2,0)</f>
        <v>12</v>
      </c>
      <c r="Z286" s="29">
        <f t="shared" si="81"/>
        <v>7</v>
      </c>
      <c r="AA286" s="29">
        <f t="shared" si="82"/>
        <v>0.46666666666666684</v>
      </c>
      <c r="AB286" s="29">
        <f>+VLOOKUP(E286,[1]base!M:N,2,0)</f>
        <v>949</v>
      </c>
      <c r="AC286" s="29">
        <f>+VLOOKUP(E286,[1]base!M:Q,5,0)</f>
        <v>593.63636363636363</v>
      </c>
      <c r="AD286" s="30">
        <f>+VLOOKUP(E286,[1]base!M:P,4,0)</f>
        <v>9.962049335863378E-2</v>
      </c>
      <c r="AE286" s="31">
        <f t="shared" si="83"/>
        <v>190.16015180265654</v>
      </c>
    </row>
    <row r="287" spans="1:31" x14ac:dyDescent="0.25">
      <c r="A287" s="12" t="s">
        <v>667</v>
      </c>
      <c r="B287" s="13">
        <v>46252.518969907411</v>
      </c>
      <c r="C287" s="12" t="s">
        <v>522</v>
      </c>
      <c r="D287" s="12" t="s">
        <v>243</v>
      </c>
      <c r="E287" s="26" t="str">
        <f t="shared" si="77"/>
        <v>CO103</v>
      </c>
      <c r="F287" s="27" t="str">
        <f t="shared" si="78"/>
        <v>NOIR</v>
      </c>
      <c r="G287" s="27">
        <f>+VLOOKUP(F287,[1]base!A:B,2,0)</f>
        <v>37</v>
      </c>
      <c r="H287" s="12">
        <v>20</v>
      </c>
      <c r="I287" s="12">
        <v>20</v>
      </c>
      <c r="J287" s="14"/>
      <c r="K287" s="14" t="s">
        <v>61</v>
      </c>
      <c r="L287" s="12" t="s">
        <v>675</v>
      </c>
      <c r="M287" s="12" t="s">
        <v>150</v>
      </c>
      <c r="N287" s="12">
        <v>20</v>
      </c>
      <c r="O287" s="12">
        <v>20</v>
      </c>
      <c r="P287" s="12">
        <v>0</v>
      </c>
      <c r="Q287" s="16">
        <v>60</v>
      </c>
      <c r="R287" s="16">
        <v>1</v>
      </c>
      <c r="S287" s="16"/>
      <c r="T287" s="28">
        <v>20</v>
      </c>
      <c r="U287" s="28"/>
      <c r="V287" s="29">
        <f>+VLOOKUP(E287,[1]base!D:K,8,0)</f>
        <v>7.293000000000001</v>
      </c>
      <c r="W287" s="29">
        <f t="shared" si="79"/>
        <v>145.86000000000001</v>
      </c>
      <c r="X287" s="29">
        <f t="shared" si="80"/>
        <v>7.5847200000000008</v>
      </c>
      <c r="Y287" s="29">
        <f>+VLOOKUP(E287,[1]base!D:E,2,0)</f>
        <v>12</v>
      </c>
      <c r="Z287" s="29">
        <f t="shared" si="81"/>
        <v>2</v>
      </c>
      <c r="AA287" s="29">
        <f t="shared" si="82"/>
        <v>0.13333333333333339</v>
      </c>
      <c r="AB287" s="29">
        <f>+VLOOKUP(E287,[1]base!M:N,2,0)</f>
        <v>949</v>
      </c>
      <c r="AC287" s="29">
        <f>+VLOOKUP(E287,[1]base!M:Q,5,0)</f>
        <v>593.63636363636363</v>
      </c>
      <c r="AD287" s="30">
        <f>+VLOOKUP(E287,[1]base!M:P,4,0)</f>
        <v>9.962049335863378E-2</v>
      </c>
      <c r="AE287" s="31">
        <f t="shared" si="83"/>
        <v>190.16015180265654</v>
      </c>
    </row>
    <row r="288" spans="1:31" x14ac:dyDescent="0.25">
      <c r="A288" s="12" t="s">
        <v>940</v>
      </c>
      <c r="B288" s="13">
        <v>46263.399872685186</v>
      </c>
      <c r="C288" s="12" t="s">
        <v>24</v>
      </c>
      <c r="D288" s="12" t="s">
        <v>243</v>
      </c>
      <c r="E288" s="26" t="str">
        <f t="shared" si="77"/>
        <v>CO103</v>
      </c>
      <c r="F288" s="27" t="str">
        <f t="shared" si="78"/>
        <v>NOIR</v>
      </c>
      <c r="G288" s="27">
        <f>+VLOOKUP(F288,[1]base!A:B,2,0)</f>
        <v>37</v>
      </c>
      <c r="H288" s="12">
        <v>8</v>
      </c>
      <c r="I288" s="12">
        <v>8</v>
      </c>
      <c r="J288" s="14"/>
      <c r="K288" s="14" t="s">
        <v>61</v>
      </c>
      <c r="L288" s="12" t="s">
        <v>946</v>
      </c>
      <c r="M288" s="12" t="s">
        <v>150</v>
      </c>
      <c r="N288" s="12">
        <v>8</v>
      </c>
      <c r="O288" s="12">
        <v>8</v>
      </c>
      <c r="P288" s="12">
        <v>0</v>
      </c>
      <c r="Q288" s="16">
        <v>8</v>
      </c>
      <c r="R288" s="16">
        <v>1</v>
      </c>
      <c r="S288" s="16"/>
      <c r="T288" s="28">
        <v>8</v>
      </c>
      <c r="U288" s="28"/>
      <c r="V288" s="29">
        <f>+VLOOKUP(E288,[1]base!D:K,8,0)</f>
        <v>7.293000000000001</v>
      </c>
      <c r="W288" s="29">
        <f t="shared" si="79"/>
        <v>58.344000000000008</v>
      </c>
      <c r="X288" s="29">
        <f t="shared" si="80"/>
        <v>3.0338880000000001</v>
      </c>
      <c r="Y288" s="29">
        <f>+VLOOKUP(E288,[1]base!D:E,2,0)</f>
        <v>12</v>
      </c>
      <c r="Z288" s="29">
        <f t="shared" si="81"/>
        <v>1</v>
      </c>
      <c r="AA288" s="29">
        <f t="shared" si="82"/>
        <v>6.6666666666666693E-2</v>
      </c>
      <c r="AB288" s="29">
        <f>+VLOOKUP(E288,[1]base!M:N,2,0)</f>
        <v>949</v>
      </c>
      <c r="AC288" s="29">
        <f>+VLOOKUP(E288,[1]base!M:Q,5,0)</f>
        <v>593.63636363636363</v>
      </c>
      <c r="AD288" s="30">
        <f>+VLOOKUP(E288,[1]base!M:P,4,0)</f>
        <v>9.962049335863378E-2</v>
      </c>
      <c r="AE288" s="31">
        <f t="shared" si="83"/>
        <v>190.16015180265654</v>
      </c>
    </row>
    <row r="289" spans="1:31" x14ac:dyDescent="0.25">
      <c r="A289" s="12" t="s">
        <v>1016</v>
      </c>
      <c r="B289" s="13">
        <v>46266.406585648147</v>
      </c>
      <c r="C289" s="12" t="s">
        <v>599</v>
      </c>
      <c r="D289" s="12" t="s">
        <v>243</v>
      </c>
      <c r="E289" s="26" t="str">
        <f t="shared" si="77"/>
        <v>CO103</v>
      </c>
      <c r="F289" s="27" t="str">
        <f t="shared" si="78"/>
        <v>NOIR</v>
      </c>
      <c r="G289" s="27">
        <f>+VLOOKUP(F289,[1]base!A:B,2,0)</f>
        <v>37</v>
      </c>
      <c r="H289" s="12">
        <v>40</v>
      </c>
      <c r="I289" s="12">
        <v>40</v>
      </c>
      <c r="J289" s="14"/>
      <c r="K289" s="14" t="s">
        <v>61</v>
      </c>
      <c r="L289" s="12" t="s">
        <v>1017</v>
      </c>
      <c r="M289" s="12" t="s">
        <v>150</v>
      </c>
      <c r="N289" s="12">
        <v>40</v>
      </c>
      <c r="O289" s="12">
        <v>40</v>
      </c>
      <c r="P289" s="12">
        <v>0</v>
      </c>
      <c r="Q289" s="16">
        <v>40</v>
      </c>
      <c r="R289" s="16">
        <v>1</v>
      </c>
      <c r="S289" s="16"/>
      <c r="T289" s="28">
        <v>40</v>
      </c>
      <c r="U289" s="28"/>
      <c r="V289" s="29">
        <f>+VLOOKUP(E289,[1]base!D:K,8,0)</f>
        <v>7.293000000000001</v>
      </c>
      <c r="W289" s="29">
        <f t="shared" si="79"/>
        <v>291.72000000000003</v>
      </c>
      <c r="X289" s="29">
        <f t="shared" si="80"/>
        <v>15.169440000000002</v>
      </c>
      <c r="Y289" s="29">
        <f>+VLOOKUP(E289,[1]base!D:E,2,0)</f>
        <v>12</v>
      </c>
      <c r="Z289" s="29">
        <f t="shared" si="81"/>
        <v>4</v>
      </c>
      <c r="AA289" s="29">
        <f t="shared" si="82"/>
        <v>0.26666666666666677</v>
      </c>
      <c r="AB289" s="29">
        <f>+VLOOKUP(E289,[1]base!M:N,2,0)</f>
        <v>949</v>
      </c>
      <c r="AC289" s="29">
        <f>+VLOOKUP(E289,[1]base!M:Q,5,0)</f>
        <v>593.63636363636363</v>
      </c>
      <c r="AD289" s="30">
        <f>+VLOOKUP(E289,[1]base!M:P,4,0)</f>
        <v>9.962049335863378E-2</v>
      </c>
      <c r="AE289" s="31">
        <f t="shared" si="83"/>
        <v>190.16015180265654</v>
      </c>
    </row>
    <row r="290" spans="1:31" x14ac:dyDescent="0.25">
      <c r="A290" s="12" t="s">
        <v>1082</v>
      </c>
      <c r="B290" s="13">
        <v>46266.490532407406</v>
      </c>
      <c r="C290" s="12" t="s">
        <v>505</v>
      </c>
      <c r="D290" s="12" t="s">
        <v>243</v>
      </c>
      <c r="E290" s="26" t="str">
        <f t="shared" si="77"/>
        <v>CO103</v>
      </c>
      <c r="F290" s="27" t="str">
        <f t="shared" si="78"/>
        <v>NOIR</v>
      </c>
      <c r="G290" s="27">
        <f>+VLOOKUP(F290,[1]base!A:B,2,0)</f>
        <v>37</v>
      </c>
      <c r="H290" s="12">
        <v>24</v>
      </c>
      <c r="I290" s="12">
        <v>24</v>
      </c>
      <c r="J290" s="14"/>
      <c r="K290" s="14" t="s">
        <v>61</v>
      </c>
      <c r="L290" s="12" t="s">
        <v>1083</v>
      </c>
      <c r="M290" s="12" t="s">
        <v>150</v>
      </c>
      <c r="N290" s="12">
        <v>24</v>
      </c>
      <c r="O290" s="12">
        <v>24</v>
      </c>
      <c r="P290" s="12">
        <v>0</v>
      </c>
      <c r="Q290" s="16">
        <v>40</v>
      </c>
      <c r="R290" s="16">
        <v>1</v>
      </c>
      <c r="S290" s="16"/>
      <c r="T290" s="28">
        <v>24</v>
      </c>
      <c r="U290" s="28"/>
      <c r="V290" s="29">
        <f>+VLOOKUP(E290,[1]base!D:K,8,0)</f>
        <v>7.293000000000001</v>
      </c>
      <c r="W290" s="29">
        <f t="shared" si="79"/>
        <v>175.03200000000004</v>
      </c>
      <c r="X290" s="29">
        <f t="shared" si="80"/>
        <v>9.1016640000000013</v>
      </c>
      <c r="Y290" s="29">
        <f>+VLOOKUP(E290,[1]base!D:E,2,0)</f>
        <v>12</v>
      </c>
      <c r="Z290" s="29">
        <f t="shared" si="81"/>
        <v>2</v>
      </c>
      <c r="AA290" s="29">
        <f t="shared" si="82"/>
        <v>0.13333333333333339</v>
      </c>
      <c r="AB290" s="29">
        <f>+VLOOKUP(E290,[1]base!M:N,2,0)</f>
        <v>949</v>
      </c>
      <c r="AC290" s="29">
        <f>+VLOOKUP(E290,[1]base!M:Q,5,0)</f>
        <v>593.63636363636363</v>
      </c>
      <c r="AD290" s="30">
        <f>+VLOOKUP(E290,[1]base!M:P,4,0)</f>
        <v>9.962049335863378E-2</v>
      </c>
      <c r="AE290" s="31">
        <f t="shared" si="83"/>
        <v>190.16015180265654</v>
      </c>
    </row>
    <row r="291" spans="1:31" x14ac:dyDescent="0.25">
      <c r="A291" s="12" t="s">
        <v>1141</v>
      </c>
      <c r="B291" s="13">
        <v>46267.323657407411</v>
      </c>
      <c r="C291" s="12" t="s">
        <v>585</v>
      </c>
      <c r="D291" s="12" t="s">
        <v>243</v>
      </c>
      <c r="E291" s="26" t="str">
        <f t="shared" si="77"/>
        <v>CO103</v>
      </c>
      <c r="F291" s="27" t="str">
        <f t="shared" si="78"/>
        <v>NOIR</v>
      </c>
      <c r="G291" s="27">
        <f>+VLOOKUP(F291,[1]base!A:B,2,0)</f>
        <v>37</v>
      </c>
      <c r="H291" s="12">
        <v>80</v>
      </c>
      <c r="I291" s="12">
        <v>80</v>
      </c>
      <c r="J291" s="14"/>
      <c r="K291" s="14" t="s">
        <v>61</v>
      </c>
      <c r="L291" s="12" t="s">
        <v>1144</v>
      </c>
      <c r="M291" s="12" t="s">
        <v>150</v>
      </c>
      <c r="N291" s="12">
        <v>80</v>
      </c>
      <c r="O291" s="12">
        <v>80</v>
      </c>
      <c r="P291" s="12">
        <v>0</v>
      </c>
      <c r="Q291" s="16">
        <v>80</v>
      </c>
      <c r="R291" s="16">
        <v>1</v>
      </c>
      <c r="S291" s="16"/>
      <c r="T291" s="28">
        <v>80</v>
      </c>
      <c r="U291" s="28"/>
      <c r="V291" s="29">
        <f>+VLOOKUP(E291,[1]base!D:K,8,0)</f>
        <v>7.293000000000001</v>
      </c>
      <c r="W291" s="29">
        <f t="shared" si="79"/>
        <v>583.44000000000005</v>
      </c>
      <c r="X291" s="29">
        <f t="shared" si="80"/>
        <v>30.338880000000003</v>
      </c>
      <c r="Y291" s="29">
        <f>+VLOOKUP(E291,[1]base!D:E,2,0)</f>
        <v>12</v>
      </c>
      <c r="Z291" s="29">
        <f t="shared" si="81"/>
        <v>7</v>
      </c>
      <c r="AA291" s="29">
        <f t="shared" si="82"/>
        <v>0.46666666666666684</v>
      </c>
      <c r="AB291" s="29">
        <f>+VLOOKUP(E291,[1]base!M:N,2,0)</f>
        <v>949</v>
      </c>
      <c r="AC291" s="29">
        <f>+VLOOKUP(E291,[1]base!M:Q,5,0)</f>
        <v>593.63636363636363</v>
      </c>
      <c r="AD291" s="30">
        <f>+VLOOKUP(E291,[1]base!M:P,4,0)</f>
        <v>9.962049335863378E-2</v>
      </c>
      <c r="AE291" s="31">
        <f t="shared" si="83"/>
        <v>190.16015180265654</v>
      </c>
    </row>
    <row r="292" spans="1:31" x14ac:dyDescent="0.25">
      <c r="A292" s="12" t="s">
        <v>1291</v>
      </c>
      <c r="B292" s="13">
        <v>46269.280277777776</v>
      </c>
      <c r="C292" s="12" t="s">
        <v>266</v>
      </c>
      <c r="D292" s="12" t="s">
        <v>243</v>
      </c>
      <c r="E292" s="26" t="str">
        <f t="shared" si="77"/>
        <v>CO103</v>
      </c>
      <c r="F292" s="27" t="str">
        <f t="shared" si="78"/>
        <v>NOIR</v>
      </c>
      <c r="G292" s="27">
        <f>+VLOOKUP(F292,[1]base!A:B,2,0)</f>
        <v>37</v>
      </c>
      <c r="H292" s="12">
        <v>50</v>
      </c>
      <c r="I292" s="12">
        <v>50</v>
      </c>
      <c r="J292" s="14"/>
      <c r="K292" s="14" t="s">
        <v>61</v>
      </c>
      <c r="L292" s="12" t="s">
        <v>1296</v>
      </c>
      <c r="M292" s="12" t="s">
        <v>150</v>
      </c>
      <c r="N292" s="12">
        <v>50</v>
      </c>
      <c r="O292" s="12">
        <v>50</v>
      </c>
      <c r="P292" s="12">
        <v>0</v>
      </c>
      <c r="Q292" s="16">
        <v>50</v>
      </c>
      <c r="R292" s="16">
        <v>1</v>
      </c>
      <c r="S292" s="16"/>
      <c r="T292" s="28">
        <v>50</v>
      </c>
      <c r="U292" s="28"/>
      <c r="V292" s="29">
        <f>+VLOOKUP(E292,[1]base!D:K,8,0)</f>
        <v>7.293000000000001</v>
      </c>
      <c r="W292" s="29">
        <f t="shared" si="79"/>
        <v>364.65000000000003</v>
      </c>
      <c r="X292" s="29">
        <f t="shared" si="80"/>
        <v>18.9618</v>
      </c>
      <c r="Y292" s="29">
        <f>+VLOOKUP(E292,[1]base!D:E,2,0)</f>
        <v>12</v>
      </c>
      <c r="Z292" s="29">
        <f t="shared" si="81"/>
        <v>5</v>
      </c>
      <c r="AA292" s="29">
        <f t="shared" si="82"/>
        <v>0.33333333333333348</v>
      </c>
      <c r="AB292" s="29">
        <f>+VLOOKUP(E292,[1]base!M:N,2,0)</f>
        <v>949</v>
      </c>
      <c r="AC292" s="29">
        <f>+VLOOKUP(E292,[1]base!M:Q,5,0)</f>
        <v>593.63636363636363</v>
      </c>
      <c r="AD292" s="30">
        <f>+VLOOKUP(E292,[1]base!M:P,4,0)</f>
        <v>9.962049335863378E-2</v>
      </c>
      <c r="AE292" s="31">
        <f t="shared" si="83"/>
        <v>190.16015180265654</v>
      </c>
    </row>
    <row r="293" spans="1:31" x14ac:dyDescent="0.25">
      <c r="A293" s="12" t="s">
        <v>1292</v>
      </c>
      <c r="B293" s="13">
        <v>46269.281944444447</v>
      </c>
      <c r="C293" s="12" t="s">
        <v>398</v>
      </c>
      <c r="D293" s="12" t="s">
        <v>243</v>
      </c>
      <c r="E293" s="26" t="str">
        <f t="shared" si="77"/>
        <v>CO103</v>
      </c>
      <c r="F293" s="27" t="str">
        <f t="shared" si="78"/>
        <v>NOIR</v>
      </c>
      <c r="G293" s="27">
        <f>+VLOOKUP(F293,[1]base!A:B,2,0)</f>
        <v>37</v>
      </c>
      <c r="H293" s="12">
        <v>80</v>
      </c>
      <c r="I293" s="12">
        <v>80</v>
      </c>
      <c r="J293" s="14"/>
      <c r="K293" s="14" t="s">
        <v>61</v>
      </c>
      <c r="L293" s="12" t="s">
        <v>1310</v>
      </c>
      <c r="M293" s="12" t="s">
        <v>150</v>
      </c>
      <c r="N293" s="12">
        <v>80</v>
      </c>
      <c r="O293" s="12">
        <v>80</v>
      </c>
      <c r="P293" s="12">
        <v>0</v>
      </c>
      <c r="Q293" s="16">
        <v>120</v>
      </c>
      <c r="R293" s="16">
        <v>1</v>
      </c>
      <c r="S293" s="16"/>
      <c r="T293" s="28">
        <v>80</v>
      </c>
      <c r="U293" s="28"/>
      <c r="V293" s="29">
        <f>+VLOOKUP(E293,[1]base!D:K,8,0)</f>
        <v>7.293000000000001</v>
      </c>
      <c r="W293" s="29">
        <f t="shared" si="79"/>
        <v>583.44000000000005</v>
      </c>
      <c r="X293" s="29">
        <f t="shared" si="80"/>
        <v>30.338880000000003</v>
      </c>
      <c r="Y293" s="29">
        <f>+VLOOKUP(E293,[1]base!D:E,2,0)</f>
        <v>12</v>
      </c>
      <c r="Z293" s="29">
        <f t="shared" si="81"/>
        <v>7</v>
      </c>
      <c r="AA293" s="29">
        <f t="shared" si="82"/>
        <v>0.46666666666666684</v>
      </c>
      <c r="AB293" s="29">
        <f>+VLOOKUP(E293,[1]base!M:N,2,0)</f>
        <v>949</v>
      </c>
      <c r="AC293" s="29">
        <f>+VLOOKUP(E293,[1]base!M:Q,5,0)</f>
        <v>593.63636363636363</v>
      </c>
      <c r="AD293" s="30">
        <f>+VLOOKUP(E293,[1]base!M:P,4,0)</f>
        <v>9.962049335863378E-2</v>
      </c>
      <c r="AE293" s="31">
        <f t="shared" si="83"/>
        <v>190.16015180265654</v>
      </c>
    </row>
    <row r="294" spans="1:31" x14ac:dyDescent="0.25">
      <c r="A294" s="12" t="s">
        <v>1415</v>
      </c>
      <c r="B294" s="13">
        <v>46273.296388888892</v>
      </c>
      <c r="C294" s="12" t="s">
        <v>24</v>
      </c>
      <c r="D294" s="12" t="s">
        <v>243</v>
      </c>
      <c r="E294" s="26" t="str">
        <f t="shared" si="77"/>
        <v>CO103</v>
      </c>
      <c r="F294" s="27" t="str">
        <f t="shared" si="78"/>
        <v>NOIR</v>
      </c>
      <c r="G294" s="27">
        <f>+VLOOKUP(F294,[1]base!A:B,2,0)</f>
        <v>37</v>
      </c>
      <c r="H294" s="12">
        <v>100</v>
      </c>
      <c r="I294" s="12">
        <v>100</v>
      </c>
      <c r="J294" s="14"/>
      <c r="K294" s="14" t="s">
        <v>61</v>
      </c>
      <c r="L294" s="12" t="s">
        <v>1420</v>
      </c>
      <c r="M294" s="12" t="s">
        <v>150</v>
      </c>
      <c r="N294" s="12">
        <v>100</v>
      </c>
      <c r="O294" s="12">
        <v>100</v>
      </c>
      <c r="P294" s="12">
        <v>0</v>
      </c>
      <c r="Q294" s="16">
        <v>100</v>
      </c>
      <c r="R294" s="16">
        <v>1</v>
      </c>
      <c r="S294" s="16"/>
      <c r="T294" s="28">
        <v>100</v>
      </c>
      <c r="U294" s="28"/>
      <c r="V294" s="29">
        <f>+VLOOKUP(E294,[1]base!D:K,8,0)</f>
        <v>7.293000000000001</v>
      </c>
      <c r="W294" s="29">
        <f t="shared" si="79"/>
        <v>729.30000000000007</v>
      </c>
      <c r="X294" s="29">
        <f t="shared" si="80"/>
        <v>37.9236</v>
      </c>
      <c r="Y294" s="29">
        <f>+VLOOKUP(E294,[1]base!D:E,2,0)</f>
        <v>12</v>
      </c>
      <c r="Z294" s="29">
        <f t="shared" si="81"/>
        <v>9</v>
      </c>
      <c r="AA294" s="29">
        <f t="shared" si="82"/>
        <v>0.6000000000000002</v>
      </c>
      <c r="AB294" s="29">
        <f>+VLOOKUP(E294,[1]base!M:N,2,0)</f>
        <v>949</v>
      </c>
      <c r="AC294" s="29">
        <f>+VLOOKUP(E294,[1]base!M:Q,5,0)</f>
        <v>593.63636363636363</v>
      </c>
      <c r="AD294" s="30">
        <f>+VLOOKUP(E294,[1]base!M:P,4,0)</f>
        <v>9.962049335863378E-2</v>
      </c>
      <c r="AE294" s="31">
        <f t="shared" si="83"/>
        <v>190.16015180265654</v>
      </c>
    </row>
    <row r="295" spans="1:31" x14ac:dyDescent="0.25">
      <c r="A295" s="12" t="s">
        <v>667</v>
      </c>
      <c r="B295" s="13">
        <v>46252.518969907411</v>
      </c>
      <c r="C295" s="12" t="s">
        <v>522</v>
      </c>
      <c r="D295" s="12" t="s">
        <v>244</v>
      </c>
      <c r="E295" s="26" t="str">
        <f t="shared" si="77"/>
        <v>CO104</v>
      </c>
      <c r="F295" s="27" t="str">
        <f t="shared" si="78"/>
        <v>NOIR</v>
      </c>
      <c r="G295" s="27">
        <f>+VLOOKUP(F295,[1]base!A:B,2,0)</f>
        <v>37</v>
      </c>
      <c r="H295" s="12">
        <v>20</v>
      </c>
      <c r="I295" s="12">
        <v>20</v>
      </c>
      <c r="J295" s="14"/>
      <c r="K295" s="14" t="s">
        <v>61</v>
      </c>
      <c r="L295" s="12" t="s">
        <v>676</v>
      </c>
      <c r="M295" s="12" t="s">
        <v>150</v>
      </c>
      <c r="N295" s="12">
        <v>20</v>
      </c>
      <c r="O295" s="12">
        <v>20</v>
      </c>
      <c r="P295" s="12">
        <v>0</v>
      </c>
      <c r="Q295" s="16">
        <v>35</v>
      </c>
      <c r="R295" s="16">
        <v>0</v>
      </c>
      <c r="S295" s="16"/>
      <c r="T295" s="28">
        <v>20</v>
      </c>
      <c r="U295" s="28"/>
      <c r="V295" s="29">
        <f>+VLOOKUP(E295,[1]base!D:K,8,0)</f>
        <v>4.7059999999999995</v>
      </c>
      <c r="W295" s="29">
        <f t="shared" si="79"/>
        <v>94.11999999999999</v>
      </c>
      <c r="X295" s="29">
        <f t="shared" si="80"/>
        <v>4.894239999999999</v>
      </c>
      <c r="Y295" s="29">
        <f>+VLOOKUP(E295,[1]base!D:E,2,0)</f>
        <v>13</v>
      </c>
      <c r="Z295" s="29">
        <f t="shared" si="81"/>
        <v>2</v>
      </c>
      <c r="AA295" s="29">
        <f t="shared" si="82"/>
        <v>0.13333333333333339</v>
      </c>
      <c r="AB295" s="29">
        <f>+VLOOKUP(E295,[1]base!M:N,2,0)</f>
        <v>406</v>
      </c>
      <c r="AC295" s="29">
        <f>+VLOOKUP(E295,[1]base!M:Q,5,0)</f>
        <v>344.5</v>
      </c>
      <c r="AD295" s="30">
        <f>+VLOOKUP(E295,[1]base!M:P,4,0)</f>
        <v>4.9019607843137254E-3</v>
      </c>
      <c r="AE295" s="31">
        <f t="shared" si="83"/>
        <v>119.80980392156863</v>
      </c>
    </row>
    <row r="296" spans="1:31" x14ac:dyDescent="0.25">
      <c r="A296" s="12" t="s">
        <v>1141</v>
      </c>
      <c r="B296" s="13">
        <v>46267.323657407411</v>
      </c>
      <c r="C296" s="12" t="s">
        <v>585</v>
      </c>
      <c r="D296" s="12" t="s">
        <v>244</v>
      </c>
      <c r="E296" s="26" t="str">
        <f t="shared" si="77"/>
        <v>CO104</v>
      </c>
      <c r="F296" s="27" t="str">
        <f t="shared" si="78"/>
        <v>NOIR</v>
      </c>
      <c r="G296" s="27">
        <f>+VLOOKUP(F296,[1]base!A:B,2,0)</f>
        <v>37</v>
      </c>
      <c r="H296" s="12">
        <v>60</v>
      </c>
      <c r="I296" s="12">
        <v>60</v>
      </c>
      <c r="J296" s="14"/>
      <c r="K296" s="14" t="s">
        <v>61</v>
      </c>
      <c r="L296" s="12" t="s">
        <v>1145</v>
      </c>
      <c r="M296" s="12" t="s">
        <v>150</v>
      </c>
      <c r="N296" s="12">
        <v>60</v>
      </c>
      <c r="O296" s="12">
        <v>60</v>
      </c>
      <c r="P296" s="12">
        <v>0</v>
      </c>
      <c r="Q296" s="16">
        <v>60</v>
      </c>
      <c r="R296" s="16">
        <v>0</v>
      </c>
      <c r="S296" s="16"/>
      <c r="T296" s="28">
        <v>60</v>
      </c>
      <c r="U296" s="28"/>
      <c r="V296" s="29">
        <f>+VLOOKUP(E296,[1]base!D:K,8,0)</f>
        <v>4.7059999999999995</v>
      </c>
      <c r="W296" s="29">
        <f t="shared" si="79"/>
        <v>282.35999999999996</v>
      </c>
      <c r="X296" s="29">
        <f t="shared" si="80"/>
        <v>14.682719999999996</v>
      </c>
      <c r="Y296" s="29">
        <f>+VLOOKUP(E296,[1]base!D:E,2,0)</f>
        <v>13</v>
      </c>
      <c r="Z296" s="29">
        <f t="shared" si="81"/>
        <v>5</v>
      </c>
      <c r="AA296" s="29">
        <f t="shared" si="82"/>
        <v>0.33333333333333348</v>
      </c>
      <c r="AB296" s="29">
        <f>+VLOOKUP(E296,[1]base!M:N,2,0)</f>
        <v>406</v>
      </c>
      <c r="AC296" s="29">
        <f>+VLOOKUP(E296,[1]base!M:Q,5,0)</f>
        <v>344.5</v>
      </c>
      <c r="AD296" s="30">
        <f>+VLOOKUP(E296,[1]base!M:P,4,0)</f>
        <v>4.9019607843137254E-3</v>
      </c>
      <c r="AE296" s="31">
        <f t="shared" si="83"/>
        <v>119.80980392156863</v>
      </c>
    </row>
    <row r="297" spans="1:31" x14ac:dyDescent="0.25">
      <c r="A297" s="12" t="s">
        <v>1291</v>
      </c>
      <c r="B297" s="13">
        <v>46269.280277777776</v>
      </c>
      <c r="C297" s="12" t="s">
        <v>266</v>
      </c>
      <c r="D297" s="12" t="s">
        <v>244</v>
      </c>
      <c r="E297" s="26" t="str">
        <f t="shared" si="77"/>
        <v>CO104</v>
      </c>
      <c r="F297" s="27" t="str">
        <f t="shared" si="78"/>
        <v>NOIR</v>
      </c>
      <c r="G297" s="27">
        <f>+VLOOKUP(F297,[1]base!A:B,2,0)</f>
        <v>37</v>
      </c>
      <c r="H297" s="12">
        <v>20</v>
      </c>
      <c r="I297" s="12">
        <v>20</v>
      </c>
      <c r="J297" s="14"/>
      <c r="K297" s="14" t="s">
        <v>61</v>
      </c>
      <c r="L297" s="12" t="s">
        <v>1297</v>
      </c>
      <c r="M297" s="12" t="s">
        <v>150</v>
      </c>
      <c r="N297" s="12">
        <v>20</v>
      </c>
      <c r="O297" s="12">
        <v>20</v>
      </c>
      <c r="P297" s="12">
        <v>0</v>
      </c>
      <c r="Q297" s="16">
        <v>20</v>
      </c>
      <c r="R297" s="16">
        <v>0</v>
      </c>
      <c r="S297" s="16"/>
      <c r="T297" s="28">
        <v>20</v>
      </c>
      <c r="U297" s="28"/>
      <c r="V297" s="29">
        <f>+VLOOKUP(E297,[1]base!D:K,8,0)</f>
        <v>4.7059999999999995</v>
      </c>
      <c r="W297" s="29">
        <f t="shared" si="79"/>
        <v>94.11999999999999</v>
      </c>
      <c r="X297" s="29">
        <f t="shared" si="80"/>
        <v>4.894239999999999</v>
      </c>
      <c r="Y297" s="29">
        <f>+VLOOKUP(E297,[1]base!D:E,2,0)</f>
        <v>13</v>
      </c>
      <c r="Z297" s="29">
        <f t="shared" si="81"/>
        <v>2</v>
      </c>
      <c r="AA297" s="29">
        <f t="shared" si="82"/>
        <v>0.13333333333333339</v>
      </c>
      <c r="AB297" s="29">
        <f>+VLOOKUP(E297,[1]base!M:N,2,0)</f>
        <v>406</v>
      </c>
      <c r="AC297" s="29">
        <f>+VLOOKUP(E297,[1]base!M:Q,5,0)</f>
        <v>344.5</v>
      </c>
      <c r="AD297" s="30">
        <f>+VLOOKUP(E297,[1]base!M:P,4,0)</f>
        <v>4.9019607843137254E-3</v>
      </c>
      <c r="AE297" s="31">
        <f t="shared" si="83"/>
        <v>119.80980392156863</v>
      </c>
    </row>
    <row r="298" spans="1:31" x14ac:dyDescent="0.25">
      <c r="A298" s="12" t="s">
        <v>1292</v>
      </c>
      <c r="B298" s="13">
        <v>46269.281944444447</v>
      </c>
      <c r="C298" s="12" t="s">
        <v>398</v>
      </c>
      <c r="D298" s="12" t="s">
        <v>244</v>
      </c>
      <c r="E298" s="26" t="str">
        <f t="shared" si="77"/>
        <v>CO104</v>
      </c>
      <c r="F298" s="27" t="str">
        <f t="shared" si="78"/>
        <v>NOIR</v>
      </c>
      <c r="G298" s="27">
        <f>+VLOOKUP(F298,[1]base!A:B,2,0)</f>
        <v>37</v>
      </c>
      <c r="H298" s="12">
        <v>20</v>
      </c>
      <c r="I298" s="12">
        <v>20</v>
      </c>
      <c r="J298" s="14"/>
      <c r="K298" s="14" t="s">
        <v>61</v>
      </c>
      <c r="L298" s="12" t="s">
        <v>1311</v>
      </c>
      <c r="M298" s="12" t="s">
        <v>150</v>
      </c>
      <c r="N298" s="12">
        <v>20</v>
      </c>
      <c r="O298" s="12">
        <v>20</v>
      </c>
      <c r="P298" s="12">
        <v>0</v>
      </c>
      <c r="Q298" s="16">
        <v>20</v>
      </c>
      <c r="R298" s="16">
        <v>0</v>
      </c>
      <c r="S298" s="16"/>
      <c r="T298" s="28">
        <v>20</v>
      </c>
      <c r="U298" s="28"/>
      <c r="V298" s="29">
        <f>+VLOOKUP(E298,[1]base!D:K,8,0)</f>
        <v>4.7059999999999995</v>
      </c>
      <c r="W298" s="29">
        <f t="shared" si="79"/>
        <v>94.11999999999999</v>
      </c>
      <c r="X298" s="29">
        <f t="shared" si="80"/>
        <v>4.894239999999999</v>
      </c>
      <c r="Y298" s="29">
        <f>+VLOOKUP(E298,[1]base!D:E,2,0)</f>
        <v>13</v>
      </c>
      <c r="Z298" s="29">
        <f t="shared" si="81"/>
        <v>2</v>
      </c>
      <c r="AA298" s="29">
        <f t="shared" si="82"/>
        <v>0.13333333333333339</v>
      </c>
      <c r="AB298" s="29">
        <f>+VLOOKUP(E298,[1]base!M:N,2,0)</f>
        <v>406</v>
      </c>
      <c r="AC298" s="29">
        <f>+VLOOKUP(E298,[1]base!M:Q,5,0)</f>
        <v>344.5</v>
      </c>
      <c r="AD298" s="30">
        <f>+VLOOKUP(E298,[1]base!M:P,4,0)</f>
        <v>4.9019607843137254E-3</v>
      </c>
      <c r="AE298" s="31">
        <f t="shared" si="83"/>
        <v>119.80980392156863</v>
      </c>
    </row>
    <row r="299" spans="1:31" x14ac:dyDescent="0.25">
      <c r="A299" s="12" t="s">
        <v>940</v>
      </c>
      <c r="B299" s="13">
        <v>46263.399872685186</v>
      </c>
      <c r="C299" s="12" t="s">
        <v>24</v>
      </c>
      <c r="D299" s="12" t="s">
        <v>242</v>
      </c>
      <c r="E299" s="26" t="str">
        <f t="shared" si="77"/>
        <v>CO105</v>
      </c>
      <c r="F299" s="27" t="str">
        <f t="shared" si="78"/>
        <v>NOIR</v>
      </c>
      <c r="G299" s="27">
        <f>+VLOOKUP(F299,[1]base!A:B,2,0)</f>
        <v>37</v>
      </c>
      <c r="H299" s="12">
        <v>3</v>
      </c>
      <c r="I299" s="12">
        <v>3</v>
      </c>
      <c r="J299" s="14"/>
      <c r="K299" s="14" t="s">
        <v>61</v>
      </c>
      <c r="L299" s="12" t="s">
        <v>945</v>
      </c>
      <c r="M299" s="12" t="s">
        <v>150</v>
      </c>
      <c r="N299" s="12">
        <v>3</v>
      </c>
      <c r="O299" s="12">
        <v>3</v>
      </c>
      <c r="P299" s="12">
        <v>0</v>
      </c>
      <c r="Q299" s="16">
        <v>3</v>
      </c>
      <c r="R299" s="16">
        <v>0</v>
      </c>
      <c r="S299" s="16"/>
      <c r="T299" s="28">
        <v>3</v>
      </c>
      <c r="U299" s="28"/>
      <c r="V299" s="29">
        <f>+VLOOKUP(E299,[1]base!D:K,8,0)</f>
        <v>3.5685000000000002</v>
      </c>
      <c r="W299" s="29">
        <f t="shared" si="79"/>
        <v>10.705500000000001</v>
      </c>
      <c r="X299" s="29">
        <f t="shared" si="80"/>
        <v>0.55668600000000001</v>
      </c>
      <c r="Y299" s="29">
        <f>+VLOOKUP(E299,[1]base!D:E,2,0)</f>
        <v>13</v>
      </c>
      <c r="Z299" s="29">
        <f t="shared" si="81"/>
        <v>1</v>
      </c>
      <c r="AA299" s="29">
        <f t="shared" si="82"/>
        <v>6.6666666666666693E-2</v>
      </c>
      <c r="AB299" s="29">
        <f>+VLOOKUP(E299,[1]base!M:N,2,0)</f>
        <v>7</v>
      </c>
      <c r="AC299" s="29">
        <f>+VLOOKUP(E299,[1]base!M:Q,5,0)</f>
        <v>375.1</v>
      </c>
      <c r="AD299" s="30">
        <f>+VLOOKUP(E299,[1]base!M:P,4,0)</f>
        <v>0.94890510948905105</v>
      </c>
      <c r="AE299" s="31">
        <f t="shared" si="83"/>
        <v>-4.5423357664233572</v>
      </c>
    </row>
    <row r="300" spans="1:31" x14ac:dyDescent="0.25">
      <c r="A300" s="12" t="s">
        <v>1291</v>
      </c>
      <c r="B300" s="13">
        <v>46269.280277777776</v>
      </c>
      <c r="C300" s="12" t="s">
        <v>266</v>
      </c>
      <c r="D300" s="12" t="s">
        <v>242</v>
      </c>
      <c r="E300" s="26" t="str">
        <f t="shared" si="77"/>
        <v>CO105</v>
      </c>
      <c r="F300" s="27" t="str">
        <f t="shared" si="78"/>
        <v>NOIR</v>
      </c>
      <c r="G300" s="27">
        <f>+VLOOKUP(F300,[1]base!A:B,2,0)</f>
        <v>37</v>
      </c>
      <c r="H300" s="12">
        <v>30</v>
      </c>
      <c r="I300" s="12">
        <v>30</v>
      </c>
      <c r="J300" s="14"/>
      <c r="K300" s="14" t="s">
        <v>61</v>
      </c>
      <c r="L300" s="12" t="s">
        <v>1295</v>
      </c>
      <c r="M300" s="12" t="s">
        <v>150</v>
      </c>
      <c r="N300" s="12">
        <v>30</v>
      </c>
      <c r="O300" s="12">
        <v>30</v>
      </c>
      <c r="P300" s="12">
        <v>0</v>
      </c>
      <c r="Q300" s="16">
        <v>30</v>
      </c>
      <c r="R300" s="16">
        <v>0</v>
      </c>
      <c r="S300" s="16"/>
      <c r="T300" s="28">
        <v>30</v>
      </c>
      <c r="U300" s="28"/>
      <c r="V300" s="29">
        <f>+VLOOKUP(E300,[1]base!D:K,8,0)</f>
        <v>3.5685000000000002</v>
      </c>
      <c r="W300" s="29">
        <f t="shared" si="79"/>
        <v>107.05500000000001</v>
      </c>
      <c r="X300" s="29">
        <f t="shared" si="80"/>
        <v>5.5668600000000001</v>
      </c>
      <c r="Y300" s="29">
        <f>+VLOOKUP(E300,[1]base!D:E,2,0)</f>
        <v>13</v>
      </c>
      <c r="Z300" s="29">
        <f t="shared" si="81"/>
        <v>3</v>
      </c>
      <c r="AA300" s="29">
        <f t="shared" si="82"/>
        <v>0.20000000000000007</v>
      </c>
      <c r="AB300" s="29">
        <f>+VLOOKUP(E300,[1]base!M:N,2,0)</f>
        <v>7</v>
      </c>
      <c r="AC300" s="29">
        <f>+VLOOKUP(E300,[1]base!M:Q,5,0)</f>
        <v>375.1</v>
      </c>
      <c r="AD300" s="30">
        <f>+VLOOKUP(E300,[1]base!M:P,4,0)</f>
        <v>0.94890510948905105</v>
      </c>
      <c r="AE300" s="31">
        <f t="shared" si="83"/>
        <v>-4.5423357664233572</v>
      </c>
    </row>
    <row r="301" spans="1:31" x14ac:dyDescent="0.25">
      <c r="A301" s="12" t="s">
        <v>1291</v>
      </c>
      <c r="B301" s="13">
        <v>46269.280277777776</v>
      </c>
      <c r="C301" s="12" t="s">
        <v>266</v>
      </c>
      <c r="D301" s="12" t="s">
        <v>246</v>
      </c>
      <c r="E301" s="26" t="str">
        <f t="shared" si="77"/>
        <v>CO106</v>
      </c>
      <c r="F301" s="27" t="str">
        <f t="shared" si="78"/>
        <v>NOIR</v>
      </c>
      <c r="G301" s="27">
        <f>+VLOOKUP(F301,[1]base!A:B,2,0)</f>
        <v>37</v>
      </c>
      <c r="H301" s="12">
        <v>30</v>
      </c>
      <c r="I301" s="12">
        <v>30</v>
      </c>
      <c r="J301" s="14"/>
      <c r="K301" s="14" t="s">
        <v>61</v>
      </c>
      <c r="L301" s="12" t="s">
        <v>1299</v>
      </c>
      <c r="M301" s="12" t="s">
        <v>150</v>
      </c>
      <c r="N301" s="12">
        <v>30</v>
      </c>
      <c r="O301" s="12">
        <v>30</v>
      </c>
      <c r="P301" s="12">
        <v>0</v>
      </c>
      <c r="Q301" s="16">
        <v>30</v>
      </c>
      <c r="R301" s="16">
        <v>0</v>
      </c>
      <c r="S301" s="16"/>
      <c r="T301" s="28">
        <v>30</v>
      </c>
      <c r="U301" s="28"/>
      <c r="V301" s="29">
        <f>+VLOOKUP(E301,[1]base!D:K,8,0)</f>
        <v>4.3029999999999999</v>
      </c>
      <c r="W301" s="29">
        <f t="shared" si="79"/>
        <v>129.09</v>
      </c>
      <c r="X301" s="29">
        <f t="shared" si="80"/>
        <v>6.7126799999999998</v>
      </c>
      <c r="Y301" s="29">
        <f>+VLOOKUP(E301,[1]base!D:E,2,0)</f>
        <v>15</v>
      </c>
      <c r="Z301" s="29">
        <f t="shared" si="81"/>
        <v>2</v>
      </c>
      <c r="AA301" s="29">
        <f t="shared" si="82"/>
        <v>0.13333333333333339</v>
      </c>
      <c r="AB301" s="29">
        <f>+VLOOKUP(E301,[1]base!M:N,2,0)</f>
        <v>125</v>
      </c>
      <c r="AC301" s="29">
        <f>+VLOOKUP(E301,[1]base!M:Q,5,0)</f>
        <v>453.90909090909093</v>
      </c>
      <c r="AD301" s="30">
        <f>+VLOOKUP(E301,[1]base!M:P,4,0)</f>
        <v>9.420289855072464E-2</v>
      </c>
      <c r="AE301" s="31">
        <f t="shared" si="83"/>
        <v>25.724637681159418</v>
      </c>
    </row>
    <row r="302" spans="1:31" x14ac:dyDescent="0.25">
      <c r="A302" s="12" t="s">
        <v>667</v>
      </c>
      <c r="B302" s="13">
        <v>46252.518969907411</v>
      </c>
      <c r="C302" s="12" t="s">
        <v>522</v>
      </c>
      <c r="D302" s="12" t="s">
        <v>245</v>
      </c>
      <c r="E302" s="26" t="str">
        <f t="shared" si="77"/>
        <v>CO114</v>
      </c>
      <c r="F302" s="27" t="str">
        <f t="shared" si="78"/>
        <v>NOIR</v>
      </c>
      <c r="G302" s="27">
        <f>+VLOOKUP(F302,[1]base!A:B,2,0)</f>
        <v>37</v>
      </c>
      <c r="H302" s="12">
        <v>40</v>
      </c>
      <c r="I302" s="12">
        <v>40</v>
      </c>
      <c r="J302" s="14"/>
      <c r="K302" s="14" t="s">
        <v>61</v>
      </c>
      <c r="L302" s="12" t="s">
        <v>678</v>
      </c>
      <c r="M302" s="12" t="s">
        <v>150</v>
      </c>
      <c r="N302" s="12">
        <v>40</v>
      </c>
      <c r="O302" s="12">
        <v>40</v>
      </c>
      <c r="P302" s="12">
        <v>0</v>
      </c>
      <c r="Q302" s="16">
        <v>110</v>
      </c>
      <c r="R302" s="16">
        <v>0</v>
      </c>
      <c r="S302" s="16"/>
      <c r="T302" s="28">
        <v>40</v>
      </c>
      <c r="U302" s="28"/>
      <c r="V302" s="29">
        <f>+VLOOKUP(E302,[1]base!D:K,8,0)</f>
        <v>0.90350000000000008</v>
      </c>
      <c r="W302" s="29">
        <f t="shared" si="79"/>
        <v>36.14</v>
      </c>
      <c r="X302" s="29">
        <f t="shared" si="80"/>
        <v>1.8792799999999998</v>
      </c>
      <c r="Y302" s="29">
        <f>+VLOOKUP(E302,[1]base!D:E,2,0)</f>
        <v>20</v>
      </c>
      <c r="Z302" s="29">
        <f t="shared" si="81"/>
        <v>2</v>
      </c>
      <c r="AA302" s="29">
        <f t="shared" si="82"/>
        <v>0.13333333333333339</v>
      </c>
      <c r="AB302" s="29">
        <f>+VLOOKUP(E302,[1]base!M:N,2,0)</f>
        <v>2067</v>
      </c>
      <c r="AC302" s="29">
        <f>+VLOOKUP(E302,[1]base!M:Q,5,0)</f>
        <v>2162.818181818182</v>
      </c>
      <c r="AD302" s="30">
        <f>+VLOOKUP(E302,[1]base!M:P,4,0)</f>
        <v>0.13982521847690388</v>
      </c>
      <c r="AE302" s="31">
        <f t="shared" si="83"/>
        <v>331.08127340823967</v>
      </c>
    </row>
    <row r="303" spans="1:31" x14ac:dyDescent="0.25">
      <c r="A303" s="12" t="s">
        <v>940</v>
      </c>
      <c r="B303" s="13">
        <v>46263.399872685186</v>
      </c>
      <c r="C303" s="12" t="s">
        <v>24</v>
      </c>
      <c r="D303" s="12" t="s">
        <v>245</v>
      </c>
      <c r="E303" s="26" t="str">
        <f t="shared" si="77"/>
        <v>CO114</v>
      </c>
      <c r="F303" s="27" t="str">
        <f t="shared" si="78"/>
        <v>NOIR</v>
      </c>
      <c r="G303" s="27">
        <f>+VLOOKUP(F303,[1]base!A:B,2,0)</f>
        <v>37</v>
      </c>
      <c r="H303" s="12">
        <v>30</v>
      </c>
      <c r="I303" s="12">
        <v>30</v>
      </c>
      <c r="J303" s="14"/>
      <c r="K303" s="14" t="s">
        <v>61</v>
      </c>
      <c r="L303" s="12" t="s">
        <v>947</v>
      </c>
      <c r="M303" s="12" t="s">
        <v>150</v>
      </c>
      <c r="N303" s="12">
        <v>30</v>
      </c>
      <c r="O303" s="12">
        <v>30</v>
      </c>
      <c r="P303" s="12">
        <v>0</v>
      </c>
      <c r="Q303" s="16">
        <v>30</v>
      </c>
      <c r="R303" s="16">
        <v>0</v>
      </c>
      <c r="S303" s="16"/>
      <c r="T303" s="28">
        <v>30</v>
      </c>
      <c r="U303" s="28"/>
      <c r="V303" s="29">
        <f>+VLOOKUP(E303,[1]base!D:K,8,0)</f>
        <v>0.90350000000000008</v>
      </c>
      <c r="W303" s="29">
        <f t="shared" si="79"/>
        <v>27.105000000000004</v>
      </c>
      <c r="X303" s="29">
        <f t="shared" si="80"/>
        <v>1.4094600000000002</v>
      </c>
      <c r="Y303" s="29">
        <f>+VLOOKUP(E303,[1]base!D:E,2,0)</f>
        <v>20</v>
      </c>
      <c r="Z303" s="29">
        <f t="shared" si="81"/>
        <v>2</v>
      </c>
      <c r="AA303" s="29">
        <f t="shared" si="82"/>
        <v>0.13333333333333339</v>
      </c>
      <c r="AB303" s="29">
        <f>+VLOOKUP(E303,[1]base!M:N,2,0)</f>
        <v>2067</v>
      </c>
      <c r="AC303" s="29">
        <f>+VLOOKUP(E303,[1]base!M:Q,5,0)</f>
        <v>2162.818181818182</v>
      </c>
      <c r="AD303" s="30">
        <f>+VLOOKUP(E303,[1]base!M:P,4,0)</f>
        <v>0.13982521847690388</v>
      </c>
      <c r="AE303" s="31">
        <f t="shared" si="83"/>
        <v>331.08127340823967</v>
      </c>
    </row>
    <row r="304" spans="1:31" x14ac:dyDescent="0.25">
      <c r="A304" s="12" t="s">
        <v>1141</v>
      </c>
      <c r="B304" s="13">
        <v>46267.323657407411</v>
      </c>
      <c r="C304" s="12" t="s">
        <v>585</v>
      </c>
      <c r="D304" s="12" t="s">
        <v>245</v>
      </c>
      <c r="E304" s="26" t="str">
        <f t="shared" si="77"/>
        <v>CO114</v>
      </c>
      <c r="F304" s="27" t="str">
        <f t="shared" si="78"/>
        <v>NOIR</v>
      </c>
      <c r="G304" s="27">
        <f>+VLOOKUP(F304,[1]base!A:B,2,0)</f>
        <v>37</v>
      </c>
      <c r="H304" s="12">
        <v>200</v>
      </c>
      <c r="I304" s="12">
        <v>200</v>
      </c>
      <c r="J304" s="14"/>
      <c r="K304" s="14" t="s">
        <v>61</v>
      </c>
      <c r="L304" s="12" t="s">
        <v>1146</v>
      </c>
      <c r="M304" s="12" t="s">
        <v>150</v>
      </c>
      <c r="N304" s="12">
        <v>200</v>
      </c>
      <c r="O304" s="12">
        <v>200</v>
      </c>
      <c r="P304" s="12">
        <v>0</v>
      </c>
      <c r="Q304" s="16">
        <v>200</v>
      </c>
      <c r="R304" s="16">
        <v>0</v>
      </c>
      <c r="S304" s="16"/>
      <c r="T304" s="28">
        <v>200</v>
      </c>
      <c r="U304" s="28"/>
      <c r="V304" s="29">
        <f>+VLOOKUP(E304,[1]base!D:K,8,0)</f>
        <v>0.90350000000000008</v>
      </c>
      <c r="W304" s="29">
        <f t="shared" si="79"/>
        <v>180.70000000000002</v>
      </c>
      <c r="X304" s="29">
        <f t="shared" si="80"/>
        <v>9.3963999999999999</v>
      </c>
      <c r="Y304" s="29">
        <f>+VLOOKUP(E304,[1]base!D:E,2,0)</f>
        <v>20</v>
      </c>
      <c r="Z304" s="29">
        <f t="shared" si="81"/>
        <v>10</v>
      </c>
      <c r="AA304" s="29">
        <f t="shared" si="82"/>
        <v>0.66666666666666696</v>
      </c>
      <c r="AB304" s="29">
        <f>+VLOOKUP(E304,[1]base!M:N,2,0)</f>
        <v>2067</v>
      </c>
      <c r="AC304" s="29">
        <f>+VLOOKUP(E304,[1]base!M:Q,5,0)</f>
        <v>2162.818181818182</v>
      </c>
      <c r="AD304" s="30">
        <f>+VLOOKUP(E304,[1]base!M:P,4,0)</f>
        <v>0.13982521847690388</v>
      </c>
      <c r="AE304" s="31">
        <f t="shared" si="83"/>
        <v>331.08127340823967</v>
      </c>
    </row>
    <row r="305" spans="1:31" x14ac:dyDescent="0.25">
      <c r="A305" s="12" t="s">
        <v>1243</v>
      </c>
      <c r="B305" s="13">
        <v>46268.575127314813</v>
      </c>
      <c r="C305" s="12" t="s">
        <v>368</v>
      </c>
      <c r="D305" s="12" t="s">
        <v>245</v>
      </c>
      <c r="E305" s="26" t="str">
        <f t="shared" si="77"/>
        <v>CO114</v>
      </c>
      <c r="F305" s="27" t="str">
        <f t="shared" si="78"/>
        <v>NOIR</v>
      </c>
      <c r="G305" s="27">
        <f>+VLOOKUP(F305,[1]base!A:B,2,0)</f>
        <v>37</v>
      </c>
      <c r="H305" s="12">
        <v>50</v>
      </c>
      <c r="I305" s="12">
        <v>50</v>
      </c>
      <c r="J305" s="14"/>
      <c r="K305" s="14" t="s">
        <v>61</v>
      </c>
      <c r="L305" s="12" t="s">
        <v>1255</v>
      </c>
      <c r="M305" s="12" t="s">
        <v>150</v>
      </c>
      <c r="N305" s="12">
        <v>50</v>
      </c>
      <c r="O305" s="12">
        <v>50</v>
      </c>
      <c r="P305" s="12">
        <v>0</v>
      </c>
      <c r="Q305" s="16">
        <v>50</v>
      </c>
      <c r="R305" s="16">
        <v>0</v>
      </c>
      <c r="S305" s="16"/>
      <c r="T305" s="28">
        <v>50</v>
      </c>
      <c r="U305" s="28"/>
      <c r="V305" s="29">
        <f>+VLOOKUP(E305,[1]base!D:K,8,0)</f>
        <v>0.90350000000000008</v>
      </c>
      <c r="W305" s="29">
        <f t="shared" si="79"/>
        <v>45.175000000000004</v>
      </c>
      <c r="X305" s="29">
        <f t="shared" si="80"/>
        <v>2.3491</v>
      </c>
      <c r="Y305" s="29">
        <f>+VLOOKUP(E305,[1]base!D:E,2,0)</f>
        <v>20</v>
      </c>
      <c r="Z305" s="29">
        <f t="shared" si="81"/>
        <v>3</v>
      </c>
      <c r="AA305" s="29">
        <f t="shared" si="82"/>
        <v>0.20000000000000007</v>
      </c>
      <c r="AB305" s="29">
        <f>+VLOOKUP(E305,[1]base!M:N,2,0)</f>
        <v>2067</v>
      </c>
      <c r="AC305" s="29">
        <f>+VLOOKUP(E305,[1]base!M:Q,5,0)</f>
        <v>2162.818181818182</v>
      </c>
      <c r="AD305" s="30">
        <f>+VLOOKUP(E305,[1]base!M:P,4,0)</f>
        <v>0.13982521847690388</v>
      </c>
      <c r="AE305" s="31">
        <f t="shared" si="83"/>
        <v>331.08127340823967</v>
      </c>
    </row>
    <row r="306" spans="1:31" x14ac:dyDescent="0.25">
      <c r="A306" s="12" t="s">
        <v>1264</v>
      </c>
      <c r="B306" s="13">
        <v>46268.598958333336</v>
      </c>
      <c r="C306" s="12" t="s">
        <v>522</v>
      </c>
      <c r="D306" s="12" t="s">
        <v>245</v>
      </c>
      <c r="E306" s="26" t="str">
        <f t="shared" si="77"/>
        <v>CO114</v>
      </c>
      <c r="F306" s="27" t="str">
        <f t="shared" si="78"/>
        <v>NOIR</v>
      </c>
      <c r="G306" s="27">
        <f>+VLOOKUP(F306,[1]base!A:B,2,0)</f>
        <v>37</v>
      </c>
      <c r="H306" s="12">
        <v>100</v>
      </c>
      <c r="I306" s="12">
        <v>100</v>
      </c>
      <c r="J306" s="14"/>
      <c r="K306" s="14" t="s">
        <v>61</v>
      </c>
      <c r="L306" s="12" t="s">
        <v>1281</v>
      </c>
      <c r="M306" s="12" t="s">
        <v>150</v>
      </c>
      <c r="N306" s="12">
        <v>100</v>
      </c>
      <c r="O306" s="12">
        <v>100</v>
      </c>
      <c r="P306" s="12">
        <v>0</v>
      </c>
      <c r="Q306" s="16">
        <v>100</v>
      </c>
      <c r="R306" s="16">
        <v>0</v>
      </c>
      <c r="S306" s="16"/>
      <c r="T306" s="28">
        <v>100</v>
      </c>
      <c r="U306" s="28"/>
      <c r="V306" s="29">
        <f>+VLOOKUP(E306,[1]base!D:K,8,0)</f>
        <v>0.90350000000000008</v>
      </c>
      <c r="W306" s="29">
        <f t="shared" si="79"/>
        <v>90.350000000000009</v>
      </c>
      <c r="X306" s="29">
        <f t="shared" si="80"/>
        <v>4.6981999999999999</v>
      </c>
      <c r="Y306" s="29">
        <f>+VLOOKUP(E306,[1]base!D:E,2,0)</f>
        <v>20</v>
      </c>
      <c r="Z306" s="29">
        <f t="shared" si="81"/>
        <v>5</v>
      </c>
      <c r="AA306" s="29">
        <f t="shared" si="82"/>
        <v>0.33333333333333348</v>
      </c>
      <c r="AB306" s="29">
        <f>+VLOOKUP(E306,[1]base!M:N,2,0)</f>
        <v>2067</v>
      </c>
      <c r="AC306" s="29">
        <f>+VLOOKUP(E306,[1]base!M:Q,5,0)</f>
        <v>2162.818181818182</v>
      </c>
      <c r="AD306" s="30">
        <f>+VLOOKUP(E306,[1]base!M:P,4,0)</f>
        <v>0.13982521847690388</v>
      </c>
      <c r="AE306" s="31">
        <f t="shared" si="83"/>
        <v>331.08127340823967</v>
      </c>
    </row>
    <row r="307" spans="1:31" x14ac:dyDescent="0.25">
      <c r="A307" s="12" t="s">
        <v>1291</v>
      </c>
      <c r="B307" s="13">
        <v>46269.280277777776</v>
      </c>
      <c r="C307" s="12" t="s">
        <v>266</v>
      </c>
      <c r="D307" s="12" t="s">
        <v>245</v>
      </c>
      <c r="E307" s="26" t="str">
        <f t="shared" si="77"/>
        <v>CO114</v>
      </c>
      <c r="F307" s="27" t="str">
        <f t="shared" si="78"/>
        <v>NOIR</v>
      </c>
      <c r="G307" s="27">
        <f>+VLOOKUP(F307,[1]base!A:B,2,0)</f>
        <v>37</v>
      </c>
      <c r="H307" s="12">
        <v>50</v>
      </c>
      <c r="I307" s="12">
        <v>50</v>
      </c>
      <c r="J307" s="14"/>
      <c r="K307" s="14" t="s">
        <v>61</v>
      </c>
      <c r="L307" s="12" t="s">
        <v>1298</v>
      </c>
      <c r="M307" s="12" t="s">
        <v>150</v>
      </c>
      <c r="N307" s="12">
        <v>50</v>
      </c>
      <c r="O307" s="12">
        <v>50</v>
      </c>
      <c r="P307" s="12">
        <v>0</v>
      </c>
      <c r="Q307" s="16">
        <v>50</v>
      </c>
      <c r="R307" s="16">
        <v>0</v>
      </c>
      <c r="S307" s="16"/>
      <c r="T307" s="28">
        <v>50</v>
      </c>
      <c r="U307" s="28"/>
      <c r="V307" s="29">
        <f>+VLOOKUP(E307,[1]base!D:K,8,0)</f>
        <v>0.90350000000000008</v>
      </c>
      <c r="W307" s="29">
        <f t="shared" si="79"/>
        <v>45.175000000000004</v>
      </c>
      <c r="X307" s="29">
        <f t="shared" si="80"/>
        <v>2.3491</v>
      </c>
      <c r="Y307" s="29">
        <f>+VLOOKUP(E307,[1]base!D:E,2,0)</f>
        <v>20</v>
      </c>
      <c r="Z307" s="29">
        <f t="shared" si="81"/>
        <v>3</v>
      </c>
      <c r="AA307" s="29">
        <f t="shared" si="82"/>
        <v>0.20000000000000007</v>
      </c>
      <c r="AB307" s="29">
        <f>+VLOOKUP(E307,[1]base!M:N,2,0)</f>
        <v>2067</v>
      </c>
      <c r="AC307" s="29">
        <f>+VLOOKUP(E307,[1]base!M:Q,5,0)</f>
        <v>2162.818181818182</v>
      </c>
      <c r="AD307" s="30">
        <f>+VLOOKUP(E307,[1]base!M:P,4,0)</f>
        <v>0.13982521847690388</v>
      </c>
      <c r="AE307" s="31">
        <f t="shared" si="83"/>
        <v>331.08127340823967</v>
      </c>
    </row>
    <row r="308" spans="1:31" x14ac:dyDescent="0.25">
      <c r="A308" s="12" t="s">
        <v>1292</v>
      </c>
      <c r="B308" s="13">
        <v>46269.281944444447</v>
      </c>
      <c r="C308" s="12" t="s">
        <v>398</v>
      </c>
      <c r="D308" s="12" t="s">
        <v>245</v>
      </c>
      <c r="E308" s="26" t="str">
        <f t="shared" si="77"/>
        <v>CO114</v>
      </c>
      <c r="F308" s="27" t="str">
        <f t="shared" si="78"/>
        <v>NOIR</v>
      </c>
      <c r="G308" s="27">
        <f>+VLOOKUP(F308,[1]base!A:B,2,0)</f>
        <v>37</v>
      </c>
      <c r="H308" s="12">
        <v>100</v>
      </c>
      <c r="I308" s="12">
        <v>100</v>
      </c>
      <c r="J308" s="14"/>
      <c r="K308" s="14" t="s">
        <v>61</v>
      </c>
      <c r="L308" s="12" t="s">
        <v>1313</v>
      </c>
      <c r="M308" s="12" t="s">
        <v>150</v>
      </c>
      <c r="N308" s="12">
        <v>100</v>
      </c>
      <c r="O308" s="12">
        <v>100</v>
      </c>
      <c r="P308" s="12">
        <v>0</v>
      </c>
      <c r="Q308" s="16">
        <v>100</v>
      </c>
      <c r="R308" s="16">
        <v>0</v>
      </c>
      <c r="S308" s="16"/>
      <c r="T308" s="28">
        <v>100</v>
      </c>
      <c r="U308" s="28"/>
      <c r="V308" s="29">
        <f>+VLOOKUP(E308,[1]base!D:K,8,0)</f>
        <v>0.90350000000000008</v>
      </c>
      <c r="W308" s="29">
        <f t="shared" si="79"/>
        <v>90.350000000000009</v>
      </c>
      <c r="X308" s="29">
        <f t="shared" si="80"/>
        <v>4.6981999999999999</v>
      </c>
      <c r="Y308" s="29">
        <f>+VLOOKUP(E308,[1]base!D:E,2,0)</f>
        <v>20</v>
      </c>
      <c r="Z308" s="29">
        <f t="shared" si="81"/>
        <v>5</v>
      </c>
      <c r="AA308" s="29">
        <f t="shared" si="82"/>
        <v>0.33333333333333348</v>
      </c>
      <c r="AB308" s="29">
        <f>+VLOOKUP(E308,[1]base!M:N,2,0)</f>
        <v>2067</v>
      </c>
      <c r="AC308" s="29">
        <f>+VLOOKUP(E308,[1]base!M:Q,5,0)</f>
        <v>2162.818181818182</v>
      </c>
      <c r="AD308" s="30">
        <f>+VLOOKUP(E308,[1]base!M:P,4,0)</f>
        <v>0.13982521847690388</v>
      </c>
      <c r="AE308" s="31">
        <f t="shared" si="83"/>
        <v>331.08127340823967</v>
      </c>
    </row>
    <row r="309" spans="1:31" x14ac:dyDescent="0.25">
      <c r="A309" s="12" t="s">
        <v>1415</v>
      </c>
      <c r="B309" s="13">
        <v>46273.296388888892</v>
      </c>
      <c r="C309" s="12" t="s">
        <v>24</v>
      </c>
      <c r="D309" s="12" t="s">
        <v>245</v>
      </c>
      <c r="E309" s="26" t="str">
        <f t="shared" si="77"/>
        <v>CO114</v>
      </c>
      <c r="F309" s="27" t="str">
        <f t="shared" si="78"/>
        <v>NOIR</v>
      </c>
      <c r="G309" s="27">
        <f>+VLOOKUP(F309,[1]base!A:B,2,0)</f>
        <v>37</v>
      </c>
      <c r="H309" s="12">
        <v>300</v>
      </c>
      <c r="I309" s="12">
        <v>300</v>
      </c>
      <c r="J309" s="14"/>
      <c r="K309" s="14" t="s">
        <v>61</v>
      </c>
      <c r="L309" s="12" t="s">
        <v>1422</v>
      </c>
      <c r="M309" s="12" t="s">
        <v>150</v>
      </c>
      <c r="N309" s="12">
        <v>300</v>
      </c>
      <c r="O309" s="12">
        <v>300</v>
      </c>
      <c r="P309" s="12">
        <v>0</v>
      </c>
      <c r="Q309" s="16">
        <v>500</v>
      </c>
      <c r="R309" s="16">
        <v>0</v>
      </c>
      <c r="S309" s="16"/>
      <c r="T309" s="28">
        <v>300</v>
      </c>
      <c r="U309" s="28"/>
      <c r="V309" s="29">
        <f>+VLOOKUP(E309,[1]base!D:K,8,0)</f>
        <v>0.90350000000000008</v>
      </c>
      <c r="W309" s="29">
        <f t="shared" si="79"/>
        <v>271.05</v>
      </c>
      <c r="X309" s="29">
        <f t="shared" si="80"/>
        <v>14.0946</v>
      </c>
      <c r="Y309" s="29">
        <f>+VLOOKUP(E309,[1]base!D:E,2,0)</f>
        <v>20</v>
      </c>
      <c r="Z309" s="29">
        <f t="shared" si="81"/>
        <v>15</v>
      </c>
      <c r="AA309" s="29">
        <f t="shared" si="82"/>
        <v>1.0000000000000004</v>
      </c>
      <c r="AB309" s="29">
        <f>+VLOOKUP(E309,[1]base!M:N,2,0)</f>
        <v>2067</v>
      </c>
      <c r="AC309" s="29">
        <f>+VLOOKUP(E309,[1]base!M:Q,5,0)</f>
        <v>2162.818181818182</v>
      </c>
      <c r="AD309" s="30">
        <f>+VLOOKUP(E309,[1]base!M:P,4,0)</f>
        <v>0.13982521847690388</v>
      </c>
      <c r="AE309" s="31">
        <f t="shared" si="83"/>
        <v>331.08127340823967</v>
      </c>
    </row>
    <row r="310" spans="1:31" x14ac:dyDescent="0.25">
      <c r="A310" s="12" t="s">
        <v>1549</v>
      </c>
      <c r="B310" s="13">
        <v>46274.600347222222</v>
      </c>
      <c r="C310" s="12" t="s">
        <v>465</v>
      </c>
      <c r="D310" s="12" t="s">
        <v>245</v>
      </c>
      <c r="E310" s="26" t="str">
        <f t="shared" si="77"/>
        <v>CO114</v>
      </c>
      <c r="F310" s="27" t="str">
        <f t="shared" si="78"/>
        <v>NOIR</v>
      </c>
      <c r="G310" s="27">
        <f>+VLOOKUP(F310,[1]base!A:B,2,0)</f>
        <v>37</v>
      </c>
      <c r="H310" s="12">
        <v>40</v>
      </c>
      <c r="I310" s="12">
        <v>40</v>
      </c>
      <c r="J310" s="14"/>
      <c r="K310" s="14" t="s">
        <v>61</v>
      </c>
      <c r="L310" s="12" t="s">
        <v>1551</v>
      </c>
      <c r="M310" s="12" t="s">
        <v>150</v>
      </c>
      <c r="N310" s="12">
        <v>40</v>
      </c>
      <c r="O310" s="12">
        <v>40</v>
      </c>
      <c r="P310" s="12">
        <v>0</v>
      </c>
      <c r="Q310" s="16">
        <v>40</v>
      </c>
      <c r="R310" s="16">
        <v>0</v>
      </c>
      <c r="S310" s="16"/>
      <c r="T310" s="28">
        <v>40</v>
      </c>
      <c r="U310" s="28"/>
      <c r="V310" s="29">
        <f>+VLOOKUP(E310,[1]base!D:K,8,0)</f>
        <v>0.90350000000000008</v>
      </c>
      <c r="W310" s="29">
        <f t="shared" si="79"/>
        <v>36.14</v>
      </c>
      <c r="X310" s="29">
        <f t="shared" si="80"/>
        <v>1.8792799999999998</v>
      </c>
      <c r="Y310" s="29">
        <f>+VLOOKUP(E310,[1]base!D:E,2,0)</f>
        <v>20</v>
      </c>
      <c r="Z310" s="29">
        <f t="shared" si="81"/>
        <v>2</v>
      </c>
      <c r="AA310" s="29">
        <f t="shared" si="82"/>
        <v>0.13333333333333339</v>
      </c>
      <c r="AB310" s="29">
        <f>+VLOOKUP(E310,[1]base!M:N,2,0)</f>
        <v>2067</v>
      </c>
      <c r="AC310" s="29">
        <f>+VLOOKUP(E310,[1]base!M:Q,5,0)</f>
        <v>2162.818181818182</v>
      </c>
      <c r="AD310" s="30">
        <f>+VLOOKUP(E310,[1]base!M:P,4,0)</f>
        <v>0.13982521847690388</v>
      </c>
      <c r="AE310" s="31">
        <f t="shared" si="83"/>
        <v>331.08127340823967</v>
      </c>
    </row>
    <row r="311" spans="1:31" x14ac:dyDescent="0.25">
      <c r="A311" s="12" t="s">
        <v>1562</v>
      </c>
      <c r="B311" s="13">
        <v>46274.635497685187</v>
      </c>
      <c r="C311" s="12" t="s">
        <v>484</v>
      </c>
      <c r="D311" s="12" t="s">
        <v>245</v>
      </c>
      <c r="E311" s="26" t="str">
        <f t="shared" ref="E311:E342" si="84">_xlfn.TEXTBEFORE(D311, "-", -1, 1, , D311)</f>
        <v>CO114</v>
      </c>
      <c r="F311" s="27" t="str">
        <f t="shared" ref="F311:F342" si="85">_xlfn.TEXTAFTER(D311, "-", -1, 1, , "")</f>
        <v>NOIR</v>
      </c>
      <c r="G311" s="27">
        <f>+VLOOKUP(F311,[1]base!A:B,2,0)</f>
        <v>37</v>
      </c>
      <c r="H311" s="12">
        <v>30</v>
      </c>
      <c r="I311" s="12">
        <v>30</v>
      </c>
      <c r="J311" s="14"/>
      <c r="K311" s="14" t="s">
        <v>61</v>
      </c>
      <c r="L311" s="12" t="s">
        <v>1563</v>
      </c>
      <c r="M311" s="12" t="s">
        <v>150</v>
      </c>
      <c r="N311" s="12">
        <v>30</v>
      </c>
      <c r="O311" s="12">
        <v>30</v>
      </c>
      <c r="P311" s="12">
        <v>0</v>
      </c>
      <c r="Q311" s="16">
        <v>30</v>
      </c>
      <c r="R311" s="16">
        <v>0</v>
      </c>
      <c r="S311" s="16"/>
      <c r="T311" s="28">
        <v>30</v>
      </c>
      <c r="U311" s="28"/>
      <c r="V311" s="29">
        <f>+VLOOKUP(E311,[1]base!D:K,8,0)</f>
        <v>0.90350000000000008</v>
      </c>
      <c r="W311" s="29">
        <f t="shared" ref="W311:W342" si="86">(T311+U311)*V311</f>
        <v>27.105000000000004</v>
      </c>
      <c r="X311" s="29">
        <f t="shared" ref="X311:X342" si="87">+W311*0.052</f>
        <v>1.4094600000000002</v>
      </c>
      <c r="Y311" s="29">
        <f>+VLOOKUP(E311,[1]base!D:E,2,0)</f>
        <v>20</v>
      </c>
      <c r="Z311" s="29">
        <f t="shared" ref="Z311:Z342" si="88">ROUNDUP(T311/Y311,0)</f>
        <v>2</v>
      </c>
      <c r="AA311" s="29">
        <f t="shared" ref="AA311:AA342" si="89">+Z311*0.0666666666666667</f>
        <v>0.13333333333333339</v>
      </c>
      <c r="AB311" s="29">
        <f>+VLOOKUP(E311,[1]base!M:N,2,0)</f>
        <v>2067</v>
      </c>
      <c r="AC311" s="29">
        <f>+VLOOKUP(E311,[1]base!M:Q,5,0)</f>
        <v>2162.818181818182</v>
      </c>
      <c r="AD311" s="30">
        <f>+VLOOKUP(E311,[1]base!M:P,4,0)</f>
        <v>0.13982521847690388</v>
      </c>
      <c r="AE311" s="31">
        <f t="shared" ref="AE311:AE342" si="90">+AB311*(30%-AD311)</f>
        <v>331.08127340823967</v>
      </c>
    </row>
    <row r="312" spans="1:31" x14ac:dyDescent="0.25">
      <c r="A312" s="12" t="s">
        <v>744</v>
      </c>
      <c r="B312" s="13">
        <v>46256.424629629626</v>
      </c>
      <c r="C312" s="12" t="s">
        <v>258</v>
      </c>
      <c r="D312" s="12" t="s">
        <v>105</v>
      </c>
      <c r="E312" s="26" t="str">
        <f t="shared" si="84"/>
        <v>CSQ102</v>
      </c>
      <c r="F312" s="27" t="str">
        <f t="shared" si="85"/>
        <v>NOIR</v>
      </c>
      <c r="G312" s="27">
        <f>+VLOOKUP(F312,[1]base!A:B,2,0)</f>
        <v>37</v>
      </c>
      <c r="H312" s="12">
        <v>3</v>
      </c>
      <c r="I312" s="12">
        <v>3</v>
      </c>
      <c r="J312" s="14"/>
      <c r="K312" s="14" t="s">
        <v>61</v>
      </c>
      <c r="L312" s="12" t="s">
        <v>745</v>
      </c>
      <c r="M312" s="12" t="s">
        <v>150</v>
      </c>
      <c r="N312" s="12">
        <v>3</v>
      </c>
      <c r="O312" s="12">
        <v>3</v>
      </c>
      <c r="P312" s="12">
        <v>0</v>
      </c>
      <c r="Q312" s="16">
        <v>3</v>
      </c>
      <c r="R312" s="16">
        <v>0</v>
      </c>
      <c r="S312" s="16"/>
      <c r="T312" s="28">
        <v>3</v>
      </c>
      <c r="U312" s="28"/>
      <c r="V312" s="29">
        <f>+VLOOKUP(E312,[1]base!D:K,8,0)</f>
        <v>6.5064999999999991</v>
      </c>
      <c r="W312" s="29">
        <f t="shared" si="86"/>
        <v>19.519499999999997</v>
      </c>
      <c r="X312" s="29">
        <f t="shared" si="87"/>
        <v>1.0150139999999999</v>
      </c>
      <c r="Y312" s="29">
        <f>+VLOOKUP(E312,[1]base!D:E,2,0)</f>
        <v>12</v>
      </c>
      <c r="Z312" s="29">
        <f t="shared" si="88"/>
        <v>1</v>
      </c>
      <c r="AA312" s="29">
        <f t="shared" si="89"/>
        <v>6.6666666666666693E-2</v>
      </c>
      <c r="AB312" s="29">
        <f>+VLOOKUP(E312,[1]base!M:N,2,0)</f>
        <v>24</v>
      </c>
      <c r="AC312" s="29">
        <f>+VLOOKUP(E312,[1]base!M:Q,5,0)</f>
        <v>266.66666666666669</v>
      </c>
      <c r="AD312" s="30">
        <f>+VLOOKUP(E312,[1]base!M:P,4,0)</f>
        <v>0.04</v>
      </c>
      <c r="AE312" s="31">
        <f t="shared" si="90"/>
        <v>6.24</v>
      </c>
    </row>
    <row r="313" spans="1:31" x14ac:dyDescent="0.25">
      <c r="A313" s="12" t="s">
        <v>716</v>
      </c>
      <c r="B313" s="13">
        <v>46255.331192129626</v>
      </c>
      <c r="C313" s="12" t="s">
        <v>717</v>
      </c>
      <c r="D313" s="12" t="s">
        <v>718</v>
      </c>
      <c r="E313" s="26" t="str">
        <f t="shared" si="84"/>
        <v>CSQ103</v>
      </c>
      <c r="F313" s="27" t="str">
        <f t="shared" si="85"/>
        <v>NOIR</v>
      </c>
      <c r="G313" s="27">
        <f>+VLOOKUP(F313,[1]base!A:B,2,0)</f>
        <v>37</v>
      </c>
      <c r="H313" s="12">
        <v>1</v>
      </c>
      <c r="I313" s="12">
        <v>1</v>
      </c>
      <c r="J313" s="14"/>
      <c r="K313" s="14" t="s">
        <v>61</v>
      </c>
      <c r="L313" s="12" t="s">
        <v>720</v>
      </c>
      <c r="M313" s="12" t="s">
        <v>150</v>
      </c>
      <c r="N313" s="12">
        <v>1</v>
      </c>
      <c r="O313" s="12">
        <v>1</v>
      </c>
      <c r="P313" s="12">
        <v>0</v>
      </c>
      <c r="Q313" s="16">
        <v>1</v>
      </c>
      <c r="R313" s="16">
        <v>0</v>
      </c>
      <c r="S313" s="16"/>
      <c r="T313" s="28">
        <v>1</v>
      </c>
      <c r="U313" s="28"/>
      <c r="V313" s="29">
        <f>+VLOOKUP(E313,[1]base!D:K,8,0)</f>
        <v>6.0255000000000001</v>
      </c>
      <c r="W313" s="29">
        <f t="shared" si="86"/>
        <v>6.0255000000000001</v>
      </c>
      <c r="X313" s="29">
        <f t="shared" si="87"/>
        <v>0.31332599999999999</v>
      </c>
      <c r="Y313" s="29">
        <f>+VLOOKUP(E313,[1]base!D:E,2,0)</f>
        <v>12</v>
      </c>
      <c r="Z313" s="29">
        <f t="shared" si="88"/>
        <v>1</v>
      </c>
      <c r="AA313" s="29">
        <f t="shared" si="89"/>
        <v>6.6666666666666693E-2</v>
      </c>
      <c r="AB313" s="29">
        <f>+VLOOKUP(E313,[1]base!M:N,2,0)</f>
        <v>1502</v>
      </c>
      <c r="AC313" s="29">
        <f>+VLOOKUP(E313,[1]base!M:Q,5,0)</f>
        <v>153</v>
      </c>
      <c r="AD313" s="30">
        <f>+VLOOKUP(E313,[1]base!M:P,4,0)</f>
        <v>2.6560424966799467E-3</v>
      </c>
      <c r="AE313" s="31">
        <f t="shared" si="90"/>
        <v>446.61062416998669</v>
      </c>
    </row>
    <row r="314" spans="1:31" x14ac:dyDescent="0.25">
      <c r="A314" s="12" t="s">
        <v>784</v>
      </c>
      <c r="B314" s="13">
        <v>46259.434999999998</v>
      </c>
      <c r="C314" s="12" t="s">
        <v>785</v>
      </c>
      <c r="D314" s="12" t="s">
        <v>718</v>
      </c>
      <c r="E314" s="26" t="str">
        <f t="shared" si="84"/>
        <v>CSQ103</v>
      </c>
      <c r="F314" s="27" t="str">
        <f t="shared" si="85"/>
        <v>NOIR</v>
      </c>
      <c r="G314" s="27">
        <f>+VLOOKUP(F314,[1]base!A:B,2,0)</f>
        <v>37</v>
      </c>
      <c r="H314" s="12">
        <v>10</v>
      </c>
      <c r="I314" s="12">
        <v>10</v>
      </c>
      <c r="J314" s="14"/>
      <c r="K314" s="14" t="s">
        <v>61</v>
      </c>
      <c r="L314" s="12" t="s">
        <v>787</v>
      </c>
      <c r="M314" s="12" t="s">
        <v>150</v>
      </c>
      <c r="N314" s="12">
        <v>10</v>
      </c>
      <c r="O314" s="12">
        <v>10</v>
      </c>
      <c r="P314" s="12">
        <v>0</v>
      </c>
      <c r="Q314" s="16">
        <v>10</v>
      </c>
      <c r="R314" s="16">
        <v>0</v>
      </c>
      <c r="S314" s="16"/>
      <c r="T314" s="28">
        <v>10</v>
      </c>
      <c r="U314" s="28"/>
      <c r="V314" s="29">
        <f>+VLOOKUP(E314,[1]base!D:K,8,0)</f>
        <v>6.0255000000000001</v>
      </c>
      <c r="W314" s="29">
        <f t="shared" si="86"/>
        <v>60.255000000000003</v>
      </c>
      <c r="X314" s="29">
        <f t="shared" si="87"/>
        <v>3.1332599999999999</v>
      </c>
      <c r="Y314" s="29">
        <f>+VLOOKUP(E314,[1]base!D:E,2,0)</f>
        <v>12</v>
      </c>
      <c r="Z314" s="29">
        <f t="shared" si="88"/>
        <v>1</v>
      </c>
      <c r="AA314" s="29">
        <f t="shared" si="89"/>
        <v>6.6666666666666693E-2</v>
      </c>
      <c r="AB314" s="29">
        <f>+VLOOKUP(E314,[1]base!M:N,2,0)</f>
        <v>1502</v>
      </c>
      <c r="AC314" s="29">
        <f>+VLOOKUP(E314,[1]base!M:Q,5,0)</f>
        <v>153</v>
      </c>
      <c r="AD314" s="30">
        <f>+VLOOKUP(E314,[1]base!M:P,4,0)</f>
        <v>2.6560424966799467E-3</v>
      </c>
      <c r="AE314" s="31">
        <f t="shared" si="90"/>
        <v>446.61062416998669</v>
      </c>
    </row>
    <row r="315" spans="1:31" x14ac:dyDescent="0.25">
      <c r="A315" s="12" t="s">
        <v>1404</v>
      </c>
      <c r="B315" s="13">
        <v>46272.553136574075</v>
      </c>
      <c r="C315" s="12" t="s">
        <v>24</v>
      </c>
      <c r="D315" s="12" t="s">
        <v>718</v>
      </c>
      <c r="E315" s="26" t="str">
        <f t="shared" si="84"/>
        <v>CSQ103</v>
      </c>
      <c r="F315" s="27" t="str">
        <f t="shared" si="85"/>
        <v>NOIR</v>
      </c>
      <c r="G315" s="27">
        <f>+VLOOKUP(F315,[1]base!A:B,2,0)</f>
        <v>37</v>
      </c>
      <c r="H315" s="12">
        <v>10</v>
      </c>
      <c r="I315" s="12">
        <v>10</v>
      </c>
      <c r="J315" s="14"/>
      <c r="K315" s="14" t="s">
        <v>61</v>
      </c>
      <c r="L315" s="12" t="s">
        <v>1409</v>
      </c>
      <c r="M315" s="12" t="s">
        <v>150</v>
      </c>
      <c r="N315" s="12">
        <v>10</v>
      </c>
      <c r="O315" s="12">
        <v>10</v>
      </c>
      <c r="P315" s="12">
        <v>0</v>
      </c>
      <c r="Q315" s="16">
        <v>10</v>
      </c>
      <c r="R315" s="16">
        <v>0</v>
      </c>
      <c r="S315" s="16"/>
      <c r="T315" s="28">
        <v>10</v>
      </c>
      <c r="U315" s="28"/>
      <c r="V315" s="29">
        <f>+VLOOKUP(E315,[1]base!D:K,8,0)</f>
        <v>6.0255000000000001</v>
      </c>
      <c r="W315" s="29">
        <f t="shared" si="86"/>
        <v>60.255000000000003</v>
      </c>
      <c r="X315" s="29">
        <f t="shared" si="87"/>
        <v>3.1332599999999999</v>
      </c>
      <c r="Y315" s="29">
        <f>+VLOOKUP(E315,[1]base!D:E,2,0)</f>
        <v>12</v>
      </c>
      <c r="Z315" s="29">
        <f t="shared" si="88"/>
        <v>1</v>
      </c>
      <c r="AA315" s="29">
        <f t="shared" si="89"/>
        <v>6.6666666666666693E-2</v>
      </c>
      <c r="AB315" s="29">
        <f>+VLOOKUP(E315,[1]base!M:N,2,0)</f>
        <v>1502</v>
      </c>
      <c r="AC315" s="29">
        <f>+VLOOKUP(E315,[1]base!M:Q,5,0)</f>
        <v>153</v>
      </c>
      <c r="AD315" s="30">
        <f>+VLOOKUP(E315,[1]base!M:P,4,0)</f>
        <v>2.6560424966799467E-3</v>
      </c>
      <c r="AE315" s="31">
        <f t="shared" si="90"/>
        <v>446.61062416998669</v>
      </c>
    </row>
    <row r="316" spans="1:31" x14ac:dyDescent="0.25">
      <c r="A316" s="12" t="s">
        <v>744</v>
      </c>
      <c r="B316" s="13">
        <v>46256.424629629626</v>
      </c>
      <c r="C316" s="12" t="s">
        <v>258</v>
      </c>
      <c r="D316" s="12" t="s">
        <v>106</v>
      </c>
      <c r="E316" s="26" t="str">
        <f t="shared" si="84"/>
        <v>CSQ104</v>
      </c>
      <c r="F316" s="27" t="str">
        <f t="shared" si="85"/>
        <v>NOIR</v>
      </c>
      <c r="G316" s="27">
        <f>+VLOOKUP(F316,[1]base!A:B,2,0)</f>
        <v>37</v>
      </c>
      <c r="H316" s="12">
        <v>17</v>
      </c>
      <c r="I316" s="12">
        <v>17</v>
      </c>
      <c r="J316" s="14"/>
      <c r="K316" s="14" t="s">
        <v>61</v>
      </c>
      <c r="L316" s="12" t="s">
        <v>746</v>
      </c>
      <c r="M316" s="12" t="s">
        <v>150</v>
      </c>
      <c r="N316" s="12">
        <v>17</v>
      </c>
      <c r="O316" s="12">
        <v>17</v>
      </c>
      <c r="P316" s="12">
        <v>0</v>
      </c>
      <c r="Q316" s="16">
        <v>17</v>
      </c>
      <c r="R316" s="16">
        <v>0</v>
      </c>
      <c r="S316" s="16"/>
      <c r="T316" s="28">
        <v>17</v>
      </c>
      <c r="U316" s="28"/>
      <c r="V316" s="29">
        <f>+VLOOKUP(E316,[1]base!D:K,8,0)</f>
        <v>4.7774999999999999</v>
      </c>
      <c r="W316" s="29">
        <f t="shared" si="86"/>
        <v>81.217500000000001</v>
      </c>
      <c r="X316" s="29">
        <f t="shared" si="87"/>
        <v>4.2233099999999997</v>
      </c>
      <c r="Y316" s="29">
        <f>+VLOOKUP(E316,[1]base!D:E,2,0)</f>
        <v>13</v>
      </c>
      <c r="Z316" s="29">
        <f t="shared" si="88"/>
        <v>2</v>
      </c>
      <c r="AA316" s="29">
        <f t="shared" si="89"/>
        <v>0.13333333333333339</v>
      </c>
      <c r="AB316" s="29">
        <f>+VLOOKUP(E316,[1]base!M:N,2,0)</f>
        <v>218</v>
      </c>
      <c r="AC316" s="29">
        <f>+VLOOKUP(E316,[1]base!M:Q,5,0)</f>
        <v>230.63636363636363</v>
      </c>
      <c r="AD316" s="30">
        <f>+VLOOKUP(E316,[1]base!M:P,4,0)</f>
        <v>1.3574660633484163E-2</v>
      </c>
      <c r="AE316" s="31">
        <f t="shared" si="90"/>
        <v>62.440723981900447</v>
      </c>
    </row>
    <row r="317" spans="1:31" x14ac:dyDescent="0.25">
      <c r="A317" s="12" t="s">
        <v>784</v>
      </c>
      <c r="B317" s="13">
        <v>46259.434999999998</v>
      </c>
      <c r="C317" s="12" t="s">
        <v>785</v>
      </c>
      <c r="D317" s="12" t="s">
        <v>106</v>
      </c>
      <c r="E317" s="26" t="str">
        <f t="shared" si="84"/>
        <v>CSQ104</v>
      </c>
      <c r="F317" s="27" t="str">
        <f t="shared" si="85"/>
        <v>NOIR</v>
      </c>
      <c r="G317" s="27">
        <f>+VLOOKUP(F317,[1]base!A:B,2,0)</f>
        <v>37</v>
      </c>
      <c r="H317" s="12">
        <v>9</v>
      </c>
      <c r="I317" s="12">
        <v>9</v>
      </c>
      <c r="J317" s="14"/>
      <c r="K317" s="14" t="s">
        <v>61</v>
      </c>
      <c r="L317" s="12" t="s">
        <v>786</v>
      </c>
      <c r="M317" s="12" t="s">
        <v>150</v>
      </c>
      <c r="N317" s="12">
        <v>9</v>
      </c>
      <c r="O317" s="12">
        <v>9</v>
      </c>
      <c r="P317" s="12">
        <v>0</v>
      </c>
      <c r="Q317" s="16">
        <v>9</v>
      </c>
      <c r="R317" s="16">
        <v>0</v>
      </c>
      <c r="S317" s="16"/>
      <c r="T317" s="28">
        <v>9</v>
      </c>
      <c r="U317" s="28"/>
      <c r="V317" s="29">
        <f>+VLOOKUP(E317,[1]base!D:K,8,0)</f>
        <v>4.7774999999999999</v>
      </c>
      <c r="W317" s="29">
        <f t="shared" si="86"/>
        <v>42.997500000000002</v>
      </c>
      <c r="X317" s="29">
        <f t="shared" si="87"/>
        <v>2.2358699999999998</v>
      </c>
      <c r="Y317" s="29">
        <f>+VLOOKUP(E317,[1]base!D:E,2,0)</f>
        <v>13</v>
      </c>
      <c r="Z317" s="29">
        <f t="shared" si="88"/>
        <v>1</v>
      </c>
      <c r="AA317" s="29">
        <f t="shared" si="89"/>
        <v>6.6666666666666693E-2</v>
      </c>
      <c r="AB317" s="29">
        <f>+VLOOKUP(E317,[1]base!M:N,2,0)</f>
        <v>218</v>
      </c>
      <c r="AC317" s="29">
        <f>+VLOOKUP(E317,[1]base!M:Q,5,0)</f>
        <v>230.63636363636363</v>
      </c>
      <c r="AD317" s="30">
        <f>+VLOOKUP(E317,[1]base!M:P,4,0)</f>
        <v>1.3574660633484163E-2</v>
      </c>
      <c r="AE317" s="31">
        <f t="shared" si="90"/>
        <v>62.440723981900447</v>
      </c>
    </row>
    <row r="318" spans="1:31" x14ac:dyDescent="0.25">
      <c r="A318" s="12" t="s">
        <v>744</v>
      </c>
      <c r="B318" s="13">
        <v>46256.424629629626</v>
      </c>
      <c r="C318" s="12" t="s">
        <v>258</v>
      </c>
      <c r="D318" s="12" t="s">
        <v>107</v>
      </c>
      <c r="E318" s="26" t="str">
        <f t="shared" si="84"/>
        <v>CSQ105</v>
      </c>
      <c r="F318" s="27" t="str">
        <f t="shared" si="85"/>
        <v>NOIR</v>
      </c>
      <c r="G318" s="27">
        <f>+VLOOKUP(F318,[1]base!A:B,2,0)</f>
        <v>37</v>
      </c>
      <c r="H318" s="12">
        <v>17</v>
      </c>
      <c r="I318" s="12">
        <v>17</v>
      </c>
      <c r="J318" s="14"/>
      <c r="K318" s="14" t="s">
        <v>61</v>
      </c>
      <c r="L318" s="12" t="s">
        <v>747</v>
      </c>
      <c r="M318" s="12" t="s">
        <v>150</v>
      </c>
      <c r="N318" s="12">
        <v>17</v>
      </c>
      <c r="O318" s="12">
        <v>17</v>
      </c>
      <c r="P318" s="12">
        <v>0</v>
      </c>
      <c r="Q318" s="16">
        <v>17</v>
      </c>
      <c r="R318" s="16">
        <v>0</v>
      </c>
      <c r="S318" s="16"/>
      <c r="T318" s="28">
        <v>17</v>
      </c>
      <c r="U318" s="28"/>
      <c r="V318" s="29">
        <f>+VLOOKUP(E318,[1]base!D:K,8,0)</f>
        <v>3.6659999999999995</v>
      </c>
      <c r="W318" s="29">
        <f t="shared" si="86"/>
        <v>62.321999999999989</v>
      </c>
      <c r="X318" s="29">
        <f t="shared" si="87"/>
        <v>3.2407439999999994</v>
      </c>
      <c r="Y318" s="29">
        <f>+VLOOKUP(E318,[1]base!D:E,2,0)</f>
        <v>13</v>
      </c>
      <c r="Z318" s="29">
        <f t="shared" si="88"/>
        <v>2</v>
      </c>
      <c r="AA318" s="29">
        <f t="shared" si="89"/>
        <v>0.13333333333333339</v>
      </c>
      <c r="AB318" s="29">
        <f>+VLOOKUP(E318,[1]base!M:N,2,0)</f>
        <v>397</v>
      </c>
      <c r="AC318" s="29">
        <f>+VLOOKUP(E318,[1]base!M:Q,5,0)</f>
        <v>233</v>
      </c>
      <c r="AD318" s="30">
        <f>+VLOOKUP(E318,[1]base!M:P,4,0)</f>
        <v>0</v>
      </c>
      <c r="AE318" s="31">
        <f t="shared" si="90"/>
        <v>119.1</v>
      </c>
    </row>
    <row r="319" spans="1:31" x14ac:dyDescent="0.25">
      <c r="A319" s="12" t="s">
        <v>784</v>
      </c>
      <c r="B319" s="13">
        <v>46259.434999999998</v>
      </c>
      <c r="C319" s="12" t="s">
        <v>785</v>
      </c>
      <c r="D319" s="12" t="s">
        <v>107</v>
      </c>
      <c r="E319" s="26" t="str">
        <f t="shared" si="84"/>
        <v>CSQ105</v>
      </c>
      <c r="F319" s="27" t="str">
        <f t="shared" si="85"/>
        <v>NOIR</v>
      </c>
      <c r="G319" s="27">
        <f>+VLOOKUP(F319,[1]base!A:B,2,0)</f>
        <v>37</v>
      </c>
      <c r="H319" s="12">
        <v>10</v>
      </c>
      <c r="I319" s="12">
        <v>10</v>
      </c>
      <c r="J319" s="14"/>
      <c r="K319" s="14" t="s">
        <v>61</v>
      </c>
      <c r="L319" s="12" t="s">
        <v>788</v>
      </c>
      <c r="M319" s="12" t="s">
        <v>150</v>
      </c>
      <c r="N319" s="12">
        <v>10</v>
      </c>
      <c r="O319" s="12">
        <v>10</v>
      </c>
      <c r="P319" s="12">
        <v>0</v>
      </c>
      <c r="Q319" s="16">
        <v>10</v>
      </c>
      <c r="R319" s="16">
        <v>0</v>
      </c>
      <c r="S319" s="16"/>
      <c r="T319" s="28">
        <v>10</v>
      </c>
      <c r="U319" s="28"/>
      <c r="V319" s="29">
        <f>+VLOOKUP(E319,[1]base!D:K,8,0)</f>
        <v>3.6659999999999995</v>
      </c>
      <c r="W319" s="29">
        <f t="shared" si="86"/>
        <v>36.659999999999997</v>
      </c>
      <c r="X319" s="29">
        <f t="shared" si="87"/>
        <v>1.9063199999999998</v>
      </c>
      <c r="Y319" s="29">
        <f>+VLOOKUP(E319,[1]base!D:E,2,0)</f>
        <v>13</v>
      </c>
      <c r="Z319" s="29">
        <f t="shared" si="88"/>
        <v>1</v>
      </c>
      <c r="AA319" s="29">
        <f t="shared" si="89"/>
        <v>6.6666666666666693E-2</v>
      </c>
      <c r="AB319" s="29">
        <f>+VLOOKUP(E319,[1]base!M:N,2,0)</f>
        <v>397</v>
      </c>
      <c r="AC319" s="29">
        <f>+VLOOKUP(E319,[1]base!M:Q,5,0)</f>
        <v>233</v>
      </c>
      <c r="AD319" s="30">
        <f>+VLOOKUP(E319,[1]base!M:P,4,0)</f>
        <v>0</v>
      </c>
      <c r="AE319" s="31">
        <f t="shared" si="90"/>
        <v>119.1</v>
      </c>
    </row>
    <row r="320" spans="1:31" x14ac:dyDescent="0.25">
      <c r="A320" s="12" t="s">
        <v>577</v>
      </c>
      <c r="B320" s="13">
        <v>46240.61173611111</v>
      </c>
      <c r="C320" s="12" t="s">
        <v>24</v>
      </c>
      <c r="D320" s="12" t="s">
        <v>108</v>
      </c>
      <c r="E320" s="26" t="str">
        <f t="shared" si="84"/>
        <v>CSQ106</v>
      </c>
      <c r="F320" s="27" t="str">
        <f t="shared" si="85"/>
        <v>NOIR</v>
      </c>
      <c r="G320" s="27">
        <f>+VLOOKUP(F320,[1]base!A:B,2,0)</f>
        <v>37</v>
      </c>
      <c r="H320" s="12">
        <v>3</v>
      </c>
      <c r="I320" s="12">
        <v>3</v>
      </c>
      <c r="J320" s="14"/>
      <c r="K320" s="14" t="s">
        <v>26</v>
      </c>
      <c r="L320" s="12" t="s">
        <v>578</v>
      </c>
      <c r="M320" s="12" t="s">
        <v>150</v>
      </c>
      <c r="N320" s="12">
        <v>3</v>
      </c>
      <c r="O320" s="12">
        <v>3</v>
      </c>
      <c r="P320" s="12">
        <v>0</v>
      </c>
      <c r="Q320" s="16">
        <v>0</v>
      </c>
      <c r="R320" s="16">
        <v>0</v>
      </c>
      <c r="S320" s="16"/>
      <c r="T320" s="28">
        <v>3</v>
      </c>
      <c r="U320" s="28"/>
      <c r="V320" s="29">
        <f>+VLOOKUP(E320,[1]base!D:K,8,0)</f>
        <v>4.1470000000000002</v>
      </c>
      <c r="W320" s="29">
        <f t="shared" si="86"/>
        <v>12.441000000000001</v>
      </c>
      <c r="X320" s="29">
        <f t="shared" si="87"/>
        <v>0.64693200000000006</v>
      </c>
      <c r="Y320" s="29">
        <f>+VLOOKUP(E320,[1]base!D:E,2,0)</f>
        <v>15</v>
      </c>
      <c r="Z320" s="29">
        <f t="shared" si="88"/>
        <v>1</v>
      </c>
      <c r="AA320" s="29">
        <f t="shared" si="89"/>
        <v>6.6666666666666693E-2</v>
      </c>
      <c r="AB320" s="29">
        <f>+VLOOKUP(E320,[1]base!M:N,2,0)</f>
        <v>17</v>
      </c>
      <c r="AC320" s="29">
        <f>+VLOOKUP(E320,[1]base!M:Q,5,0)</f>
        <v>254.1</v>
      </c>
      <c r="AD320" s="30">
        <f>+VLOOKUP(E320,[1]base!M:P,4,0)</f>
        <v>0.43333333333333335</v>
      </c>
      <c r="AE320" s="31">
        <f t="shared" si="90"/>
        <v>-2.2666666666666671</v>
      </c>
    </row>
    <row r="321" spans="1:31" x14ac:dyDescent="0.25">
      <c r="A321" s="12" t="s">
        <v>1437</v>
      </c>
      <c r="B321" s="13">
        <v>46273.419074074074</v>
      </c>
      <c r="C321" s="12" t="s">
        <v>258</v>
      </c>
      <c r="D321" s="12" t="s">
        <v>1440</v>
      </c>
      <c r="E321" s="26" t="str">
        <f t="shared" si="84"/>
        <v>CSQ114</v>
      </c>
      <c r="F321" s="27" t="str">
        <f t="shared" si="85"/>
        <v>NOIR</v>
      </c>
      <c r="G321" s="27">
        <f>+VLOOKUP(F321,[1]base!A:B,2,0)</f>
        <v>37</v>
      </c>
      <c r="H321" s="12">
        <v>2</v>
      </c>
      <c r="I321" s="12">
        <v>2</v>
      </c>
      <c r="J321" s="14"/>
      <c r="K321" s="14" t="s">
        <v>61</v>
      </c>
      <c r="L321" s="12" t="s">
        <v>1443</v>
      </c>
      <c r="M321" s="12" t="s">
        <v>150</v>
      </c>
      <c r="N321" s="12">
        <v>2</v>
      </c>
      <c r="O321" s="12">
        <v>2</v>
      </c>
      <c r="P321" s="12">
        <v>0</v>
      </c>
      <c r="Q321" s="16">
        <v>2</v>
      </c>
      <c r="R321" s="16">
        <v>0</v>
      </c>
      <c r="S321" s="16"/>
      <c r="T321" s="28">
        <v>2</v>
      </c>
      <c r="U321" s="28"/>
      <c r="V321" s="29">
        <f>+VLOOKUP(E321,[1]base!D:K,8,0)</f>
        <v>0.91000000000000014</v>
      </c>
      <c r="W321" s="29">
        <f t="shared" si="86"/>
        <v>1.8200000000000003</v>
      </c>
      <c r="X321" s="29">
        <f t="shared" si="87"/>
        <v>9.4640000000000016E-2</v>
      </c>
      <c r="Y321" s="29">
        <f>+VLOOKUP(E321,[1]base!D:E,2,0)</f>
        <v>20</v>
      </c>
      <c r="Z321" s="29">
        <f t="shared" si="88"/>
        <v>1</v>
      </c>
      <c r="AA321" s="29">
        <f t="shared" si="89"/>
        <v>6.6666666666666693E-2</v>
      </c>
      <c r="AB321" s="29">
        <f>+VLOOKUP(E321,[1]base!M:N,2,0)</f>
        <v>639</v>
      </c>
      <c r="AC321" s="29">
        <f>+VLOOKUP(E321,[1]base!M:Q,5,0)</f>
        <v>351.33333333333331</v>
      </c>
      <c r="AD321" s="30">
        <f>+VLOOKUP(E321,[1]base!M:P,4,0)</f>
        <v>4.1979010494752625E-2</v>
      </c>
      <c r="AE321" s="31">
        <f t="shared" si="90"/>
        <v>164.87541229385309</v>
      </c>
    </row>
    <row r="322" spans="1:31" x14ac:dyDescent="0.25">
      <c r="A322" s="12" t="s">
        <v>716</v>
      </c>
      <c r="B322" s="13">
        <v>46255.331192129626</v>
      </c>
      <c r="C322" s="12" t="s">
        <v>717</v>
      </c>
      <c r="D322" s="12" t="s">
        <v>719</v>
      </c>
      <c r="E322" s="26" t="str">
        <f t="shared" si="84"/>
        <v>CSQ301</v>
      </c>
      <c r="F322" s="27" t="str">
        <f t="shared" si="85"/>
        <v>NOIR</v>
      </c>
      <c r="G322" s="27">
        <f>+VLOOKUP(F322,[1]base!A:B,2,0)</f>
        <v>37</v>
      </c>
      <c r="H322" s="12">
        <v>1</v>
      </c>
      <c r="I322" s="12">
        <v>1</v>
      </c>
      <c r="J322" s="14"/>
      <c r="K322" s="14" t="s">
        <v>61</v>
      </c>
      <c r="L322" s="12" t="s">
        <v>721</v>
      </c>
      <c r="M322" s="12" t="s">
        <v>150</v>
      </c>
      <c r="N322" s="12">
        <v>1</v>
      </c>
      <c r="O322" s="12">
        <v>1</v>
      </c>
      <c r="P322" s="12">
        <v>0</v>
      </c>
      <c r="Q322" s="16">
        <v>1</v>
      </c>
      <c r="R322" s="16">
        <v>0</v>
      </c>
      <c r="S322" s="16"/>
      <c r="T322" s="28">
        <v>1</v>
      </c>
      <c r="U322" s="28"/>
      <c r="V322" s="29">
        <f>+VLOOKUP(E322,[1]base!D:K,8,0)</f>
        <v>1.3130000000000002</v>
      </c>
      <c r="W322" s="29">
        <f t="shared" si="86"/>
        <v>1.3130000000000002</v>
      </c>
      <c r="X322" s="29">
        <f t="shared" si="87"/>
        <v>6.8276000000000003E-2</v>
      </c>
      <c r="Y322" s="29">
        <f>+VLOOKUP(E322,[1]base!D:E,2,0)</f>
        <v>20</v>
      </c>
      <c r="Z322" s="29">
        <f t="shared" si="88"/>
        <v>1</v>
      </c>
      <c r="AA322" s="29">
        <f t="shared" si="89"/>
        <v>6.6666666666666693E-2</v>
      </c>
      <c r="AB322" s="29">
        <f>+VLOOKUP(E322,[1]base!M:N,2,0)</f>
        <v>2555</v>
      </c>
      <c r="AC322" s="29">
        <f>+VLOOKUP(E322,[1]base!M:Q,5,0)</f>
        <v>82.777777777777771</v>
      </c>
      <c r="AD322" s="30">
        <f>+VLOOKUP(E322,[1]base!M:P,4,0)</f>
        <v>8.152173913043478E-3</v>
      </c>
      <c r="AE322" s="31">
        <f t="shared" si="90"/>
        <v>745.67119565217388</v>
      </c>
    </row>
    <row r="323" spans="1:31" x14ac:dyDescent="0.25">
      <c r="A323" s="12" t="s">
        <v>724</v>
      </c>
      <c r="B323" s="13">
        <v>46255.604097222225</v>
      </c>
      <c r="C323" s="12" t="s">
        <v>156</v>
      </c>
      <c r="D323" s="12" t="s">
        <v>725</v>
      </c>
      <c r="E323" s="26" t="str">
        <f t="shared" si="84"/>
        <v>CSQ302</v>
      </c>
      <c r="F323" s="27" t="str">
        <f t="shared" si="85"/>
        <v>NOIR</v>
      </c>
      <c r="G323" s="27">
        <f>+VLOOKUP(F323,[1]base!A:B,2,0)</f>
        <v>37</v>
      </c>
      <c r="H323" s="12">
        <v>2</v>
      </c>
      <c r="I323" s="12">
        <v>2</v>
      </c>
      <c r="J323" s="14"/>
      <c r="K323" s="14" t="s">
        <v>61</v>
      </c>
      <c r="L323" s="12" t="s">
        <v>727</v>
      </c>
      <c r="M323" s="12" t="s">
        <v>150</v>
      </c>
      <c r="N323" s="12">
        <v>2</v>
      </c>
      <c r="O323" s="12">
        <v>2</v>
      </c>
      <c r="P323" s="12">
        <v>0</v>
      </c>
      <c r="Q323" s="16">
        <v>2</v>
      </c>
      <c r="R323" s="16">
        <v>1</v>
      </c>
      <c r="S323" s="16"/>
      <c r="T323" s="28">
        <v>1</v>
      </c>
      <c r="U323" s="28">
        <v>1</v>
      </c>
      <c r="V323" s="29">
        <f>+VLOOKUP(E323,[1]base!D:K,8,0)</f>
        <v>1.157</v>
      </c>
      <c r="W323" s="29">
        <f t="shared" si="86"/>
        <v>2.3140000000000001</v>
      </c>
      <c r="X323" s="29">
        <f t="shared" si="87"/>
        <v>0.12032799999999999</v>
      </c>
      <c r="Y323" s="29">
        <f>+VLOOKUP(E323,[1]base!D:E,2,0)</f>
        <v>20</v>
      </c>
      <c r="Z323" s="29">
        <f t="shared" si="88"/>
        <v>1</v>
      </c>
      <c r="AA323" s="29">
        <f t="shared" si="89"/>
        <v>6.6666666666666693E-2</v>
      </c>
      <c r="AB323" s="29">
        <f>+VLOOKUP(E323,[1]base!M:N,2,0)</f>
        <v>358</v>
      </c>
      <c r="AC323" s="29">
        <f>+VLOOKUP(E323,[1]base!M:Q,5,0)</f>
        <v>69</v>
      </c>
      <c r="AD323" s="30">
        <f>+VLOOKUP(E323,[1]base!M:P,4,0)</f>
        <v>2.7855153203342618E-3</v>
      </c>
      <c r="AE323" s="31">
        <f t="shared" si="90"/>
        <v>106.40278551532033</v>
      </c>
    </row>
    <row r="324" spans="1:31" x14ac:dyDescent="0.25">
      <c r="A324" s="12" t="s">
        <v>1322</v>
      </c>
      <c r="B324" s="13">
        <v>46269.305231481485</v>
      </c>
      <c r="C324" s="12" t="s">
        <v>24</v>
      </c>
      <c r="D324" s="12" t="s">
        <v>118</v>
      </c>
      <c r="E324" s="26" t="str">
        <f t="shared" si="84"/>
        <v>CSQ305</v>
      </c>
      <c r="F324" s="27" t="str">
        <f t="shared" si="85"/>
        <v>NOIR</v>
      </c>
      <c r="G324" s="27">
        <f>+VLOOKUP(F324,[1]base!A:B,2,0)</f>
        <v>37</v>
      </c>
      <c r="H324" s="12">
        <v>5</v>
      </c>
      <c r="I324" s="12">
        <v>5</v>
      </c>
      <c r="J324" s="14"/>
      <c r="K324" s="14" t="s">
        <v>61</v>
      </c>
      <c r="L324" s="12" t="s">
        <v>1326</v>
      </c>
      <c r="M324" s="12" t="s">
        <v>150</v>
      </c>
      <c r="N324" s="12">
        <v>5</v>
      </c>
      <c r="O324" s="12">
        <v>5</v>
      </c>
      <c r="P324" s="12">
        <v>0</v>
      </c>
      <c r="Q324" s="16">
        <v>5</v>
      </c>
      <c r="R324" s="16">
        <v>0</v>
      </c>
      <c r="S324" s="16"/>
      <c r="T324" s="28">
        <v>5</v>
      </c>
      <c r="U324" s="28"/>
      <c r="V324" s="29">
        <f>+VLOOKUP(E324,[1]base!D:K,8,0)</f>
        <v>1.56</v>
      </c>
      <c r="W324" s="29">
        <f t="shared" si="86"/>
        <v>7.8000000000000007</v>
      </c>
      <c r="X324" s="29">
        <f t="shared" si="87"/>
        <v>0.40560000000000002</v>
      </c>
      <c r="Y324" s="29">
        <f>+VLOOKUP(E324,[1]base!D:E,2,0)</f>
        <v>20</v>
      </c>
      <c r="Z324" s="29">
        <f t="shared" si="88"/>
        <v>1</v>
      </c>
      <c r="AA324" s="29">
        <f t="shared" si="89"/>
        <v>6.6666666666666693E-2</v>
      </c>
      <c r="AB324" s="29">
        <f>+VLOOKUP(E324,[1]base!M:N,2,0)</f>
        <v>707</v>
      </c>
      <c r="AC324" s="29">
        <f>+VLOOKUP(E324,[1]base!M:Q,5,0)</f>
        <v>174.77777777777777</v>
      </c>
      <c r="AD324" s="30">
        <f>+VLOOKUP(E324,[1]base!M:P,4,0)</f>
        <v>9.8039215686274508E-3</v>
      </c>
      <c r="AE324" s="31">
        <f t="shared" si="90"/>
        <v>205.16862745098038</v>
      </c>
    </row>
    <row r="325" spans="1:31" x14ac:dyDescent="0.25">
      <c r="A325" s="12" t="s">
        <v>784</v>
      </c>
      <c r="B325" s="13">
        <v>46259.434999999998</v>
      </c>
      <c r="C325" s="12" t="s">
        <v>785</v>
      </c>
      <c r="D325" s="12" t="s">
        <v>789</v>
      </c>
      <c r="E325" s="26" t="str">
        <f t="shared" si="84"/>
        <v>CSQ306</v>
      </c>
      <c r="F325" s="27" t="str">
        <f t="shared" si="85"/>
        <v>NOIR</v>
      </c>
      <c r="G325" s="27">
        <f>+VLOOKUP(F325,[1]base!A:B,2,0)</f>
        <v>37</v>
      </c>
      <c r="H325" s="12">
        <v>17</v>
      </c>
      <c r="I325" s="12">
        <v>17</v>
      </c>
      <c r="J325" s="14"/>
      <c r="K325" s="14" t="s">
        <v>61</v>
      </c>
      <c r="L325" s="12" t="s">
        <v>790</v>
      </c>
      <c r="M325" s="12" t="s">
        <v>150</v>
      </c>
      <c r="N325" s="12">
        <v>17</v>
      </c>
      <c r="O325" s="12">
        <v>17</v>
      </c>
      <c r="P325" s="12">
        <v>0</v>
      </c>
      <c r="Q325" s="16">
        <v>17</v>
      </c>
      <c r="R325" s="16">
        <v>0</v>
      </c>
      <c r="S325" s="16"/>
      <c r="T325" s="28">
        <v>17</v>
      </c>
      <c r="U325" s="28"/>
      <c r="V325" s="29">
        <f>+VLOOKUP(E325,[1]base!D:K,8,0)</f>
        <v>1.4039999999999999</v>
      </c>
      <c r="W325" s="29">
        <f t="shared" si="86"/>
        <v>23.867999999999999</v>
      </c>
      <c r="X325" s="29">
        <f t="shared" si="87"/>
        <v>1.2411359999999998</v>
      </c>
      <c r="Y325" s="29">
        <f>+VLOOKUP(E325,[1]base!D:E,2,0)</f>
        <v>20</v>
      </c>
      <c r="Z325" s="29">
        <f t="shared" si="88"/>
        <v>1</v>
      </c>
      <c r="AA325" s="29">
        <f t="shared" si="89"/>
        <v>6.6666666666666693E-2</v>
      </c>
      <c r="AB325" s="29">
        <f>+VLOOKUP(E325,[1]base!M:N,2,0)</f>
        <v>0</v>
      </c>
      <c r="AC325" s="29">
        <f>+VLOOKUP(E325,[1]base!M:Q,5,0)</f>
        <v>65.8</v>
      </c>
      <c r="AD325" s="30">
        <f>+VLOOKUP(E325,[1]base!M:P,4,0)</f>
        <v>1</v>
      </c>
      <c r="AE325" s="31">
        <f t="shared" si="90"/>
        <v>0</v>
      </c>
    </row>
    <row r="326" spans="1:31" x14ac:dyDescent="0.25">
      <c r="A326" s="12" t="s">
        <v>931</v>
      </c>
      <c r="B326" s="13">
        <v>46263.380335648151</v>
      </c>
      <c r="C326" s="12" t="s">
        <v>423</v>
      </c>
      <c r="D326" s="12" t="s">
        <v>932</v>
      </c>
      <c r="E326" s="26" t="str">
        <f t="shared" si="84"/>
        <v>EC22106</v>
      </c>
      <c r="F326" s="27" t="str">
        <f t="shared" si="85"/>
        <v>NOIR</v>
      </c>
      <c r="G326" s="27">
        <f>+VLOOKUP(F326,[1]base!A:B,2,0)</f>
        <v>37</v>
      </c>
      <c r="H326" s="12">
        <v>40</v>
      </c>
      <c r="I326" s="12">
        <v>40</v>
      </c>
      <c r="J326" s="14"/>
      <c r="K326" s="14" t="s">
        <v>61</v>
      </c>
      <c r="L326" s="12" t="s">
        <v>934</v>
      </c>
      <c r="M326" s="12" t="s">
        <v>150</v>
      </c>
      <c r="N326" s="12">
        <v>40</v>
      </c>
      <c r="O326" s="12">
        <v>40</v>
      </c>
      <c r="P326" s="12">
        <v>0</v>
      </c>
      <c r="Q326" s="16">
        <v>90</v>
      </c>
      <c r="R326" s="16">
        <v>0</v>
      </c>
      <c r="S326" s="16"/>
      <c r="T326" s="28">
        <v>40</v>
      </c>
      <c r="U326" s="28"/>
      <c r="V326" s="29">
        <f>+VLOOKUP(E326,[1]base!D:K,8,0)</f>
        <v>4.407</v>
      </c>
      <c r="W326" s="29">
        <f t="shared" si="86"/>
        <v>176.28</v>
      </c>
      <c r="X326" s="29">
        <f t="shared" si="87"/>
        <v>9.1665600000000005</v>
      </c>
      <c r="Y326" s="29">
        <f>+VLOOKUP(E326,[1]base!D:E,2,0)</f>
        <v>13</v>
      </c>
      <c r="Z326" s="29">
        <f t="shared" si="88"/>
        <v>4</v>
      </c>
      <c r="AA326" s="29">
        <f t="shared" si="89"/>
        <v>0.26666666666666677</v>
      </c>
      <c r="AB326" s="29">
        <f>+VLOOKUP(E326,[1]base!M:N,2,0)</f>
        <v>712</v>
      </c>
      <c r="AC326" s="29">
        <f>+VLOOKUP(E326,[1]base!M:Q,5,0)</f>
        <v>180</v>
      </c>
      <c r="AD326" s="30">
        <f>+VLOOKUP(E326,[1]base!M:P,4,0)</f>
        <v>0.37379067722075637</v>
      </c>
      <c r="AE326" s="31">
        <f t="shared" si="90"/>
        <v>-52.538962181178547</v>
      </c>
    </row>
    <row r="327" spans="1:31" x14ac:dyDescent="0.25">
      <c r="A327" s="12" t="s">
        <v>758</v>
      </c>
      <c r="B327" s="13">
        <v>46258.403113425928</v>
      </c>
      <c r="C327" s="12" t="s">
        <v>759</v>
      </c>
      <c r="D327" s="12" t="s">
        <v>572</v>
      </c>
      <c r="E327" s="26" t="str">
        <f t="shared" si="84"/>
        <v>EC40100</v>
      </c>
      <c r="F327" s="27" t="str">
        <f t="shared" si="85"/>
        <v>NOIR</v>
      </c>
      <c r="G327" s="27">
        <f>+VLOOKUP(F327,[1]base!A:B,2,0)</f>
        <v>37</v>
      </c>
      <c r="H327" s="12">
        <v>10</v>
      </c>
      <c r="I327" s="12">
        <v>10</v>
      </c>
      <c r="J327" s="14"/>
      <c r="K327" s="14" t="s">
        <v>61</v>
      </c>
      <c r="L327" s="12" t="s">
        <v>770</v>
      </c>
      <c r="M327" s="12" t="s">
        <v>150</v>
      </c>
      <c r="N327" s="12">
        <v>10</v>
      </c>
      <c r="O327" s="12">
        <v>10</v>
      </c>
      <c r="P327" s="12">
        <v>0</v>
      </c>
      <c r="Q327" s="16">
        <v>20</v>
      </c>
      <c r="R327" s="16">
        <v>10</v>
      </c>
      <c r="S327" s="16"/>
      <c r="T327" s="28">
        <v>0</v>
      </c>
      <c r="U327" s="28">
        <v>10</v>
      </c>
      <c r="V327" s="29">
        <f>+VLOOKUP(E327,[1]base!D:K,8,0)</f>
        <v>4.1340000000000003</v>
      </c>
      <c r="W327" s="29">
        <f t="shared" si="86"/>
        <v>41.34</v>
      </c>
      <c r="X327" s="29">
        <f t="shared" si="87"/>
        <v>2.14968</v>
      </c>
      <c r="Y327" s="29">
        <f>+VLOOKUP(E327,[1]base!D:E,2,0)</f>
        <v>13</v>
      </c>
      <c r="Z327" s="29">
        <f t="shared" si="88"/>
        <v>0</v>
      </c>
      <c r="AA327" s="29">
        <f t="shared" si="89"/>
        <v>0</v>
      </c>
      <c r="AB327" s="29">
        <f>+VLOOKUP(E327,[1]base!M:N,2,0)</f>
        <v>442</v>
      </c>
      <c r="AC327" s="29">
        <f>+VLOOKUP(E327,[1]base!M:Q,5,0)</f>
        <v>2247.5454545454545</v>
      </c>
      <c r="AD327" s="30">
        <f>+VLOOKUP(E327,[1]base!M:P,4,0)</f>
        <v>9.9796334012219962E-2</v>
      </c>
      <c r="AE327" s="31">
        <f t="shared" si="90"/>
        <v>88.49002036659877</v>
      </c>
    </row>
    <row r="328" spans="1:31" x14ac:dyDescent="0.25">
      <c r="A328" s="12" t="s">
        <v>1291</v>
      </c>
      <c r="B328" s="13">
        <v>46269.280277777776</v>
      </c>
      <c r="C328" s="12" t="s">
        <v>266</v>
      </c>
      <c r="D328" s="12" t="s">
        <v>572</v>
      </c>
      <c r="E328" s="26" t="str">
        <f t="shared" si="84"/>
        <v>EC40100</v>
      </c>
      <c r="F328" s="27" t="str">
        <f t="shared" si="85"/>
        <v>NOIR</v>
      </c>
      <c r="G328" s="27">
        <f>+VLOOKUP(F328,[1]base!A:B,2,0)</f>
        <v>37</v>
      </c>
      <c r="H328" s="12">
        <v>20</v>
      </c>
      <c r="I328" s="12">
        <v>20</v>
      </c>
      <c r="J328" s="14"/>
      <c r="K328" s="14" t="s">
        <v>61</v>
      </c>
      <c r="L328" s="12" t="s">
        <v>1308</v>
      </c>
      <c r="M328" s="12" t="s">
        <v>150</v>
      </c>
      <c r="N328" s="12">
        <v>20</v>
      </c>
      <c r="O328" s="12">
        <v>20</v>
      </c>
      <c r="P328" s="12">
        <v>0</v>
      </c>
      <c r="Q328" s="16">
        <v>20</v>
      </c>
      <c r="R328" s="16">
        <v>10</v>
      </c>
      <c r="S328" s="16"/>
      <c r="T328" s="28">
        <v>20</v>
      </c>
      <c r="U328" s="28"/>
      <c r="V328" s="29">
        <f>+VLOOKUP(E328,[1]base!D:K,8,0)</f>
        <v>4.1340000000000003</v>
      </c>
      <c r="W328" s="29">
        <f t="shared" si="86"/>
        <v>82.68</v>
      </c>
      <c r="X328" s="29">
        <f t="shared" si="87"/>
        <v>4.2993600000000001</v>
      </c>
      <c r="Y328" s="29">
        <f>+VLOOKUP(E328,[1]base!D:E,2,0)</f>
        <v>13</v>
      </c>
      <c r="Z328" s="29">
        <f t="shared" si="88"/>
        <v>2</v>
      </c>
      <c r="AA328" s="29">
        <f t="shared" si="89"/>
        <v>0.13333333333333339</v>
      </c>
      <c r="AB328" s="29">
        <f>+VLOOKUP(E328,[1]base!M:N,2,0)</f>
        <v>442</v>
      </c>
      <c r="AC328" s="29">
        <f>+VLOOKUP(E328,[1]base!M:Q,5,0)</f>
        <v>2247.5454545454545</v>
      </c>
      <c r="AD328" s="30">
        <f>+VLOOKUP(E328,[1]base!M:P,4,0)</f>
        <v>9.9796334012219962E-2</v>
      </c>
      <c r="AE328" s="31">
        <f t="shared" si="90"/>
        <v>88.49002036659877</v>
      </c>
    </row>
    <row r="329" spans="1:31" x14ac:dyDescent="0.25">
      <c r="A329" s="12" t="s">
        <v>1562</v>
      </c>
      <c r="B329" s="13">
        <v>46274.635497685187</v>
      </c>
      <c r="C329" s="12" t="s">
        <v>484</v>
      </c>
      <c r="D329" s="12" t="s">
        <v>572</v>
      </c>
      <c r="E329" s="26" t="str">
        <f t="shared" si="84"/>
        <v>EC40100</v>
      </c>
      <c r="F329" s="27" t="str">
        <f t="shared" si="85"/>
        <v>NOIR</v>
      </c>
      <c r="G329" s="27">
        <f>+VLOOKUP(F329,[1]base!A:B,2,0)</f>
        <v>37</v>
      </c>
      <c r="H329" s="12">
        <v>50</v>
      </c>
      <c r="I329" s="12">
        <v>50</v>
      </c>
      <c r="J329" s="14"/>
      <c r="K329" s="14" t="s">
        <v>61</v>
      </c>
      <c r="L329" s="12" t="s">
        <v>1574</v>
      </c>
      <c r="M329" s="12" t="s">
        <v>150</v>
      </c>
      <c r="N329" s="12">
        <v>50</v>
      </c>
      <c r="O329" s="12">
        <v>50</v>
      </c>
      <c r="P329" s="12">
        <v>0</v>
      </c>
      <c r="Q329" s="16">
        <v>50</v>
      </c>
      <c r="R329" s="16">
        <v>10</v>
      </c>
      <c r="S329" s="16"/>
      <c r="T329" s="28">
        <v>50</v>
      </c>
      <c r="U329" s="28"/>
      <c r="V329" s="29">
        <f>+VLOOKUP(E329,[1]base!D:K,8,0)</f>
        <v>4.1340000000000003</v>
      </c>
      <c r="W329" s="29">
        <f t="shared" si="86"/>
        <v>206.70000000000002</v>
      </c>
      <c r="X329" s="29">
        <f t="shared" si="87"/>
        <v>10.7484</v>
      </c>
      <c r="Y329" s="29">
        <f>+VLOOKUP(E329,[1]base!D:E,2,0)</f>
        <v>13</v>
      </c>
      <c r="Z329" s="29">
        <f t="shared" si="88"/>
        <v>4</v>
      </c>
      <c r="AA329" s="29">
        <f t="shared" si="89"/>
        <v>0.26666666666666677</v>
      </c>
      <c r="AB329" s="29">
        <f>+VLOOKUP(E329,[1]base!M:N,2,0)</f>
        <v>442</v>
      </c>
      <c r="AC329" s="29">
        <f>+VLOOKUP(E329,[1]base!M:Q,5,0)</f>
        <v>2247.5454545454545</v>
      </c>
      <c r="AD329" s="30">
        <f>+VLOOKUP(E329,[1]base!M:P,4,0)</f>
        <v>9.9796334012219962E-2</v>
      </c>
      <c r="AE329" s="31">
        <f t="shared" si="90"/>
        <v>88.49002036659877</v>
      </c>
    </row>
    <row r="330" spans="1:31" x14ac:dyDescent="0.25">
      <c r="A330" s="12" t="s">
        <v>758</v>
      </c>
      <c r="B330" s="13">
        <v>46258.403113425928</v>
      </c>
      <c r="C330" s="12" t="s">
        <v>759</v>
      </c>
      <c r="D330" s="12" t="s">
        <v>760</v>
      </c>
      <c r="E330" s="26" t="str">
        <f t="shared" si="84"/>
        <v>EC40102</v>
      </c>
      <c r="F330" s="27" t="str">
        <f t="shared" si="85"/>
        <v>NOIR</v>
      </c>
      <c r="G330" s="27">
        <f>+VLOOKUP(F330,[1]base!A:B,2,0)</f>
        <v>37</v>
      </c>
      <c r="H330" s="12">
        <v>24</v>
      </c>
      <c r="I330" s="12">
        <v>24</v>
      </c>
      <c r="J330" s="14"/>
      <c r="K330" s="14" t="s">
        <v>61</v>
      </c>
      <c r="L330" s="12" t="s">
        <v>761</v>
      </c>
      <c r="M330" s="12" t="s">
        <v>150</v>
      </c>
      <c r="N330" s="12">
        <v>24</v>
      </c>
      <c r="O330" s="12">
        <v>24</v>
      </c>
      <c r="P330" s="12">
        <v>0</v>
      </c>
      <c r="Q330" s="16">
        <v>48</v>
      </c>
      <c r="R330" s="16">
        <v>0</v>
      </c>
      <c r="S330" s="16"/>
      <c r="T330" s="28">
        <v>24</v>
      </c>
      <c r="U330" s="28"/>
      <c r="V330" s="29">
        <f>+VLOOKUP(E330,[1]base!D:K,8,0)</f>
        <v>3.2825000000000002</v>
      </c>
      <c r="W330" s="29">
        <f t="shared" si="86"/>
        <v>78.78</v>
      </c>
      <c r="X330" s="29">
        <f t="shared" si="87"/>
        <v>4.0965600000000002</v>
      </c>
      <c r="Y330" s="29">
        <f>+VLOOKUP(E330,[1]base!D:E,2,0)</f>
        <v>13</v>
      </c>
      <c r="Z330" s="29">
        <f t="shared" si="88"/>
        <v>2</v>
      </c>
      <c r="AA330" s="29">
        <f t="shared" si="89"/>
        <v>0.13333333333333339</v>
      </c>
      <c r="AB330" s="29">
        <f>+VLOOKUP(E330,[1]base!M:N,2,0)</f>
        <v>6</v>
      </c>
      <c r="AC330" s="29">
        <f>+VLOOKUP(E330,[1]base!M:Q,5,0)</f>
        <v>824.22222222222217</v>
      </c>
      <c r="AD330" s="30">
        <f>+VLOOKUP(E330,[1]base!M:P,4,0)</f>
        <v>0.45454545454545453</v>
      </c>
      <c r="AE330" s="31">
        <f t="shared" si="90"/>
        <v>-0.92727272727272725</v>
      </c>
    </row>
    <row r="331" spans="1:31" x14ac:dyDescent="0.25">
      <c r="A331" s="12" t="s">
        <v>1162</v>
      </c>
      <c r="B331" s="13">
        <v>46267.43309027778</v>
      </c>
      <c r="C331" s="12" t="s">
        <v>627</v>
      </c>
      <c r="D331" s="12" t="s">
        <v>760</v>
      </c>
      <c r="E331" s="26" t="str">
        <f t="shared" si="84"/>
        <v>EC40102</v>
      </c>
      <c r="F331" s="27" t="str">
        <f t="shared" si="85"/>
        <v>NOIR</v>
      </c>
      <c r="G331" s="27">
        <f>+VLOOKUP(F331,[1]base!A:B,2,0)</f>
        <v>37</v>
      </c>
      <c r="H331" s="12">
        <v>6</v>
      </c>
      <c r="I331" s="12">
        <v>6</v>
      </c>
      <c r="J331" s="14"/>
      <c r="K331" s="14" t="s">
        <v>61</v>
      </c>
      <c r="L331" s="12" t="s">
        <v>1180</v>
      </c>
      <c r="M331" s="12" t="s">
        <v>150</v>
      </c>
      <c r="N331" s="12">
        <v>6</v>
      </c>
      <c r="O331" s="12">
        <v>6</v>
      </c>
      <c r="P331" s="12">
        <v>0</v>
      </c>
      <c r="Q331" s="16">
        <v>6</v>
      </c>
      <c r="R331" s="16">
        <v>0</v>
      </c>
      <c r="S331" s="16"/>
      <c r="T331" s="28">
        <v>6</v>
      </c>
      <c r="U331" s="28"/>
      <c r="V331" s="29">
        <f>+VLOOKUP(E331,[1]base!D:K,8,0)</f>
        <v>3.2825000000000002</v>
      </c>
      <c r="W331" s="29">
        <f t="shared" si="86"/>
        <v>19.695</v>
      </c>
      <c r="X331" s="29">
        <f t="shared" si="87"/>
        <v>1.0241400000000001</v>
      </c>
      <c r="Y331" s="29">
        <f>+VLOOKUP(E331,[1]base!D:E,2,0)</f>
        <v>13</v>
      </c>
      <c r="Z331" s="29">
        <f t="shared" si="88"/>
        <v>1</v>
      </c>
      <c r="AA331" s="29">
        <f t="shared" si="89"/>
        <v>6.6666666666666693E-2</v>
      </c>
      <c r="AB331" s="29">
        <f>+VLOOKUP(E331,[1]base!M:N,2,0)</f>
        <v>6</v>
      </c>
      <c r="AC331" s="29">
        <f>+VLOOKUP(E331,[1]base!M:Q,5,0)</f>
        <v>824.22222222222217</v>
      </c>
      <c r="AD331" s="30">
        <f>+VLOOKUP(E331,[1]base!M:P,4,0)</f>
        <v>0.45454545454545453</v>
      </c>
      <c r="AE331" s="31">
        <f t="shared" si="90"/>
        <v>-0.92727272727272725</v>
      </c>
    </row>
    <row r="332" spans="1:31" x14ac:dyDescent="0.25">
      <c r="A332" s="12" t="s">
        <v>1562</v>
      </c>
      <c r="B332" s="13">
        <v>46274.635497685187</v>
      </c>
      <c r="C332" s="12" t="s">
        <v>484</v>
      </c>
      <c r="D332" s="12" t="s">
        <v>760</v>
      </c>
      <c r="E332" s="26" t="str">
        <f t="shared" si="84"/>
        <v>EC40102</v>
      </c>
      <c r="F332" s="27" t="str">
        <f t="shared" si="85"/>
        <v>NOIR</v>
      </c>
      <c r="G332" s="27">
        <f>+VLOOKUP(F332,[1]base!A:B,2,0)</f>
        <v>37</v>
      </c>
      <c r="H332" s="12">
        <v>20</v>
      </c>
      <c r="I332" s="12">
        <v>20</v>
      </c>
      <c r="J332" s="14"/>
      <c r="K332" s="14" t="s">
        <v>61</v>
      </c>
      <c r="L332" s="12" t="s">
        <v>1564</v>
      </c>
      <c r="M332" s="12" t="s">
        <v>150</v>
      </c>
      <c r="N332" s="12">
        <v>20</v>
      </c>
      <c r="O332" s="12">
        <v>20</v>
      </c>
      <c r="P332" s="12">
        <v>0</v>
      </c>
      <c r="Q332" s="16">
        <v>20</v>
      </c>
      <c r="R332" s="16">
        <v>0</v>
      </c>
      <c r="S332" s="16"/>
      <c r="T332" s="28">
        <v>20</v>
      </c>
      <c r="U332" s="28"/>
      <c r="V332" s="29">
        <f>+VLOOKUP(E332,[1]base!D:K,8,0)</f>
        <v>3.2825000000000002</v>
      </c>
      <c r="W332" s="29">
        <f t="shared" si="86"/>
        <v>65.650000000000006</v>
      </c>
      <c r="X332" s="29">
        <f t="shared" si="87"/>
        <v>3.4138000000000002</v>
      </c>
      <c r="Y332" s="29">
        <f>+VLOOKUP(E332,[1]base!D:E,2,0)</f>
        <v>13</v>
      </c>
      <c r="Z332" s="29">
        <f t="shared" si="88"/>
        <v>2</v>
      </c>
      <c r="AA332" s="29">
        <f t="shared" si="89"/>
        <v>0.13333333333333339</v>
      </c>
      <c r="AB332" s="29">
        <f>+VLOOKUP(E332,[1]base!M:N,2,0)</f>
        <v>6</v>
      </c>
      <c r="AC332" s="29">
        <f>+VLOOKUP(E332,[1]base!M:Q,5,0)</f>
        <v>824.22222222222217</v>
      </c>
      <c r="AD332" s="30">
        <f>+VLOOKUP(E332,[1]base!M:P,4,0)</f>
        <v>0.45454545454545453</v>
      </c>
      <c r="AE332" s="31">
        <f t="shared" si="90"/>
        <v>-0.92727272727272725</v>
      </c>
    </row>
    <row r="333" spans="1:31" x14ac:dyDescent="0.25">
      <c r="A333" s="12" t="s">
        <v>777</v>
      </c>
      <c r="B333" s="13">
        <v>46258.578530092593</v>
      </c>
      <c r="C333" s="12" t="s">
        <v>778</v>
      </c>
      <c r="D333" s="12" t="s">
        <v>267</v>
      </c>
      <c r="E333" s="26" t="str">
        <f t="shared" si="84"/>
        <v>EC40104</v>
      </c>
      <c r="F333" s="27" t="str">
        <f t="shared" si="85"/>
        <v>NOIR</v>
      </c>
      <c r="G333" s="27">
        <f>+VLOOKUP(F333,[1]base!A:B,2,0)</f>
        <v>37</v>
      </c>
      <c r="H333" s="12">
        <v>6</v>
      </c>
      <c r="I333" s="12">
        <v>6</v>
      </c>
      <c r="J333" s="14"/>
      <c r="K333" s="14" t="s">
        <v>61</v>
      </c>
      <c r="L333" s="12" t="s">
        <v>779</v>
      </c>
      <c r="M333" s="12" t="s">
        <v>150</v>
      </c>
      <c r="N333" s="12">
        <v>6</v>
      </c>
      <c r="O333" s="12">
        <v>6</v>
      </c>
      <c r="P333" s="12">
        <v>0</v>
      </c>
      <c r="Q333" s="16">
        <v>6</v>
      </c>
      <c r="R333" s="16">
        <v>0</v>
      </c>
      <c r="S333" s="16"/>
      <c r="T333" s="28">
        <v>6</v>
      </c>
      <c r="U333" s="28"/>
      <c r="V333" s="29">
        <f>+VLOOKUP(E333,[1]base!D:K,8,0)</f>
        <v>5.7004999999999999</v>
      </c>
      <c r="W333" s="29">
        <f t="shared" si="86"/>
        <v>34.203000000000003</v>
      </c>
      <c r="X333" s="29">
        <f t="shared" si="87"/>
        <v>1.778556</v>
      </c>
      <c r="Y333" s="29">
        <f>+VLOOKUP(E333,[1]base!D:E,2,0)</f>
        <v>13</v>
      </c>
      <c r="Z333" s="29">
        <f t="shared" si="88"/>
        <v>1</v>
      </c>
      <c r="AA333" s="29">
        <f t="shared" si="89"/>
        <v>6.6666666666666693E-2</v>
      </c>
      <c r="AB333" s="29">
        <f>+VLOOKUP(E333,[1]base!M:N,2,0)</f>
        <v>57</v>
      </c>
      <c r="AC333" s="29">
        <f>+VLOOKUP(E333,[1]base!M:Q,5,0)</f>
        <v>150.71428571428572</v>
      </c>
      <c r="AD333" s="30">
        <f>+VLOOKUP(E333,[1]base!M:P,4,0)</f>
        <v>3.3898305084745763E-2</v>
      </c>
      <c r="AE333" s="31">
        <f t="shared" si="90"/>
        <v>15.167796610169489</v>
      </c>
    </row>
    <row r="334" spans="1:31" x14ac:dyDescent="0.25">
      <c r="A334" s="12" t="s">
        <v>1141</v>
      </c>
      <c r="B334" s="13">
        <v>46267.323657407411</v>
      </c>
      <c r="C334" s="12" t="s">
        <v>585</v>
      </c>
      <c r="D334" s="12" t="s">
        <v>267</v>
      </c>
      <c r="E334" s="26" t="str">
        <f t="shared" si="84"/>
        <v>EC40104</v>
      </c>
      <c r="F334" s="27" t="str">
        <f t="shared" si="85"/>
        <v>NOIR</v>
      </c>
      <c r="G334" s="27">
        <f>+VLOOKUP(F334,[1]base!A:B,2,0)</f>
        <v>37</v>
      </c>
      <c r="H334" s="12">
        <v>20</v>
      </c>
      <c r="I334" s="12">
        <v>20</v>
      </c>
      <c r="J334" s="14"/>
      <c r="K334" s="14" t="s">
        <v>61</v>
      </c>
      <c r="L334" s="12" t="s">
        <v>1147</v>
      </c>
      <c r="M334" s="12" t="s">
        <v>150</v>
      </c>
      <c r="N334" s="12">
        <v>20</v>
      </c>
      <c r="O334" s="12">
        <v>20</v>
      </c>
      <c r="P334" s="12">
        <v>0</v>
      </c>
      <c r="Q334" s="16">
        <v>20</v>
      </c>
      <c r="R334" s="16">
        <v>0</v>
      </c>
      <c r="S334" s="16"/>
      <c r="T334" s="28">
        <v>20</v>
      </c>
      <c r="U334" s="28"/>
      <c r="V334" s="29">
        <f>+VLOOKUP(E334,[1]base!D:K,8,0)</f>
        <v>5.7004999999999999</v>
      </c>
      <c r="W334" s="29">
        <f t="shared" si="86"/>
        <v>114.00999999999999</v>
      </c>
      <c r="X334" s="29">
        <f t="shared" si="87"/>
        <v>5.9285199999999989</v>
      </c>
      <c r="Y334" s="29">
        <f>+VLOOKUP(E334,[1]base!D:E,2,0)</f>
        <v>13</v>
      </c>
      <c r="Z334" s="29">
        <f t="shared" si="88"/>
        <v>2</v>
      </c>
      <c r="AA334" s="29">
        <f t="shared" si="89"/>
        <v>0.13333333333333339</v>
      </c>
      <c r="AB334" s="29">
        <f>+VLOOKUP(E334,[1]base!M:N,2,0)</f>
        <v>57</v>
      </c>
      <c r="AC334" s="29">
        <f>+VLOOKUP(E334,[1]base!M:Q,5,0)</f>
        <v>150.71428571428572</v>
      </c>
      <c r="AD334" s="30">
        <f>+VLOOKUP(E334,[1]base!M:P,4,0)</f>
        <v>3.3898305084745763E-2</v>
      </c>
      <c r="AE334" s="31">
        <f t="shared" si="90"/>
        <v>15.167796610169489</v>
      </c>
    </row>
    <row r="335" spans="1:31" x14ac:dyDescent="0.25">
      <c r="A335" s="12" t="s">
        <v>1197</v>
      </c>
      <c r="B335" s="13">
        <v>46267.551539351851</v>
      </c>
      <c r="C335" s="12" t="s">
        <v>24</v>
      </c>
      <c r="D335" s="12" t="s">
        <v>267</v>
      </c>
      <c r="E335" s="26" t="str">
        <f t="shared" si="84"/>
        <v>EC40104</v>
      </c>
      <c r="F335" s="27" t="str">
        <f t="shared" si="85"/>
        <v>NOIR</v>
      </c>
      <c r="G335" s="27">
        <f>+VLOOKUP(F335,[1]base!A:B,2,0)</f>
        <v>37</v>
      </c>
      <c r="H335" s="12">
        <v>45</v>
      </c>
      <c r="I335" s="12">
        <v>45</v>
      </c>
      <c r="J335" s="14"/>
      <c r="K335" s="14" t="s">
        <v>61</v>
      </c>
      <c r="L335" s="12" t="s">
        <v>1203</v>
      </c>
      <c r="M335" s="12" t="s">
        <v>150</v>
      </c>
      <c r="N335" s="12">
        <v>45</v>
      </c>
      <c r="O335" s="12">
        <v>45</v>
      </c>
      <c r="P335" s="12">
        <v>0</v>
      </c>
      <c r="Q335" s="16">
        <v>135</v>
      </c>
      <c r="R335" s="16">
        <v>0</v>
      </c>
      <c r="S335" s="16"/>
      <c r="T335" s="28">
        <v>45</v>
      </c>
      <c r="U335" s="28"/>
      <c r="V335" s="29">
        <f>+VLOOKUP(E335,[1]base!D:K,8,0)</f>
        <v>5.7004999999999999</v>
      </c>
      <c r="W335" s="29">
        <f t="shared" si="86"/>
        <v>256.52249999999998</v>
      </c>
      <c r="X335" s="29">
        <f t="shared" si="87"/>
        <v>13.339169999999998</v>
      </c>
      <c r="Y335" s="29">
        <f>+VLOOKUP(E335,[1]base!D:E,2,0)</f>
        <v>13</v>
      </c>
      <c r="Z335" s="29">
        <f t="shared" si="88"/>
        <v>4</v>
      </c>
      <c r="AA335" s="29">
        <f t="shared" si="89"/>
        <v>0.26666666666666677</v>
      </c>
      <c r="AB335" s="29">
        <f>+VLOOKUP(E335,[1]base!M:N,2,0)</f>
        <v>57</v>
      </c>
      <c r="AC335" s="29">
        <f>+VLOOKUP(E335,[1]base!M:Q,5,0)</f>
        <v>150.71428571428572</v>
      </c>
      <c r="AD335" s="30">
        <f>+VLOOKUP(E335,[1]base!M:P,4,0)</f>
        <v>3.3898305084745763E-2</v>
      </c>
      <c r="AE335" s="31">
        <f t="shared" si="90"/>
        <v>15.167796610169489</v>
      </c>
    </row>
    <row r="336" spans="1:31" x14ac:dyDescent="0.25">
      <c r="A336" s="12" t="s">
        <v>1291</v>
      </c>
      <c r="B336" s="13">
        <v>46269.280277777776</v>
      </c>
      <c r="C336" s="12" t="s">
        <v>266</v>
      </c>
      <c r="D336" s="12" t="s">
        <v>267</v>
      </c>
      <c r="E336" s="26" t="str">
        <f t="shared" si="84"/>
        <v>EC40104</v>
      </c>
      <c r="F336" s="27" t="str">
        <f t="shared" si="85"/>
        <v>NOIR</v>
      </c>
      <c r="G336" s="27">
        <f>+VLOOKUP(F336,[1]base!A:B,2,0)</f>
        <v>37</v>
      </c>
      <c r="H336" s="12">
        <v>21</v>
      </c>
      <c r="I336" s="12">
        <v>21</v>
      </c>
      <c r="J336" s="14"/>
      <c r="K336" s="14" t="s">
        <v>61</v>
      </c>
      <c r="L336" s="12" t="s">
        <v>1300</v>
      </c>
      <c r="M336" s="12" t="s">
        <v>150</v>
      </c>
      <c r="N336" s="12">
        <v>21</v>
      </c>
      <c r="O336" s="12">
        <v>21</v>
      </c>
      <c r="P336" s="12">
        <v>0</v>
      </c>
      <c r="Q336" s="16">
        <v>21</v>
      </c>
      <c r="R336" s="16">
        <v>0</v>
      </c>
      <c r="S336" s="16"/>
      <c r="T336" s="28">
        <v>21</v>
      </c>
      <c r="U336" s="28"/>
      <c r="V336" s="29">
        <f>+VLOOKUP(E336,[1]base!D:K,8,0)</f>
        <v>5.7004999999999999</v>
      </c>
      <c r="W336" s="29">
        <f t="shared" si="86"/>
        <v>119.7105</v>
      </c>
      <c r="X336" s="29">
        <f t="shared" si="87"/>
        <v>6.2249459999999992</v>
      </c>
      <c r="Y336" s="29">
        <f>+VLOOKUP(E336,[1]base!D:E,2,0)</f>
        <v>13</v>
      </c>
      <c r="Z336" s="29">
        <f t="shared" si="88"/>
        <v>2</v>
      </c>
      <c r="AA336" s="29">
        <f t="shared" si="89"/>
        <v>0.13333333333333339</v>
      </c>
      <c r="AB336" s="29">
        <f>+VLOOKUP(E336,[1]base!M:N,2,0)</f>
        <v>57</v>
      </c>
      <c r="AC336" s="29">
        <f>+VLOOKUP(E336,[1]base!M:Q,5,0)</f>
        <v>150.71428571428572</v>
      </c>
      <c r="AD336" s="30">
        <f>+VLOOKUP(E336,[1]base!M:P,4,0)</f>
        <v>3.3898305084745763E-2</v>
      </c>
      <c r="AE336" s="31">
        <f t="shared" si="90"/>
        <v>15.167796610169489</v>
      </c>
    </row>
    <row r="337" spans="1:31" x14ac:dyDescent="0.25">
      <c r="A337" s="12" t="s">
        <v>1292</v>
      </c>
      <c r="B337" s="13">
        <v>46269.281944444447</v>
      </c>
      <c r="C337" s="12" t="s">
        <v>398</v>
      </c>
      <c r="D337" s="12" t="s">
        <v>267</v>
      </c>
      <c r="E337" s="26" t="str">
        <f t="shared" si="84"/>
        <v>EC40104</v>
      </c>
      <c r="F337" s="27" t="str">
        <f t="shared" si="85"/>
        <v>NOIR</v>
      </c>
      <c r="G337" s="27">
        <f>+VLOOKUP(F337,[1]base!A:B,2,0)</f>
        <v>37</v>
      </c>
      <c r="H337" s="12">
        <v>6</v>
      </c>
      <c r="I337" s="12">
        <v>6</v>
      </c>
      <c r="J337" s="14"/>
      <c r="K337" s="14" t="s">
        <v>61</v>
      </c>
      <c r="L337" s="12" t="s">
        <v>1314</v>
      </c>
      <c r="M337" s="12" t="s">
        <v>150</v>
      </c>
      <c r="N337" s="12">
        <v>6</v>
      </c>
      <c r="O337" s="12">
        <v>6</v>
      </c>
      <c r="P337" s="12">
        <v>0</v>
      </c>
      <c r="Q337" s="16">
        <v>15</v>
      </c>
      <c r="R337" s="16">
        <v>0</v>
      </c>
      <c r="S337" s="16"/>
      <c r="T337" s="28">
        <v>6</v>
      </c>
      <c r="U337" s="28"/>
      <c r="V337" s="29">
        <f>+VLOOKUP(E337,[1]base!D:K,8,0)</f>
        <v>5.7004999999999999</v>
      </c>
      <c r="W337" s="29">
        <f t="shared" si="86"/>
        <v>34.203000000000003</v>
      </c>
      <c r="X337" s="29">
        <f t="shared" si="87"/>
        <v>1.778556</v>
      </c>
      <c r="Y337" s="29">
        <f>+VLOOKUP(E337,[1]base!D:E,2,0)</f>
        <v>13</v>
      </c>
      <c r="Z337" s="29">
        <f t="shared" si="88"/>
        <v>1</v>
      </c>
      <c r="AA337" s="29">
        <f t="shared" si="89"/>
        <v>6.6666666666666693E-2</v>
      </c>
      <c r="AB337" s="29">
        <f>+VLOOKUP(E337,[1]base!M:N,2,0)</f>
        <v>57</v>
      </c>
      <c r="AC337" s="29">
        <f>+VLOOKUP(E337,[1]base!M:Q,5,0)</f>
        <v>150.71428571428572</v>
      </c>
      <c r="AD337" s="30">
        <f>+VLOOKUP(E337,[1]base!M:P,4,0)</f>
        <v>3.3898305084745763E-2</v>
      </c>
      <c r="AE337" s="31">
        <f t="shared" si="90"/>
        <v>15.167796610169489</v>
      </c>
    </row>
    <row r="338" spans="1:31" x14ac:dyDescent="0.25">
      <c r="A338" s="34" t="s">
        <v>724</v>
      </c>
      <c r="B338" s="35">
        <v>46255.604097222225</v>
      </c>
      <c r="C338" s="34" t="s">
        <v>156</v>
      </c>
      <c r="D338" s="34" t="s">
        <v>726</v>
      </c>
      <c r="E338" s="26" t="str">
        <f t="shared" si="84"/>
        <v>EC40107</v>
      </c>
      <c r="F338" s="27" t="str">
        <f t="shared" si="85"/>
        <v>NOIR</v>
      </c>
      <c r="G338" s="27">
        <f>+VLOOKUP(F338,[1]base!A:B,2,0)</f>
        <v>37</v>
      </c>
      <c r="H338" s="34">
        <v>10</v>
      </c>
      <c r="I338" s="34">
        <v>10</v>
      </c>
      <c r="J338" s="36"/>
      <c r="K338" s="36" t="s">
        <v>61</v>
      </c>
      <c r="L338" s="34" t="s">
        <v>728</v>
      </c>
      <c r="M338" s="34" t="s">
        <v>150</v>
      </c>
      <c r="N338" s="34">
        <v>10</v>
      </c>
      <c r="O338" s="34">
        <v>10</v>
      </c>
      <c r="P338" s="34">
        <v>0</v>
      </c>
      <c r="Q338" s="37">
        <v>10</v>
      </c>
      <c r="R338" s="37">
        <v>6</v>
      </c>
      <c r="S338" s="37"/>
      <c r="T338" s="38">
        <v>4</v>
      </c>
      <c r="U338" s="38">
        <v>6</v>
      </c>
      <c r="V338" s="29">
        <f>+VLOOKUP(E338,[1]base!D:K,8,0)</f>
        <v>0.67599999999999993</v>
      </c>
      <c r="W338" s="29">
        <f t="shared" si="86"/>
        <v>6.76</v>
      </c>
      <c r="X338" s="29">
        <f t="shared" si="87"/>
        <v>0.35152</v>
      </c>
      <c r="Y338" s="29">
        <f>+VLOOKUP(E338,[1]base!D:E,2,0)</f>
        <v>20</v>
      </c>
      <c r="Z338" s="29">
        <f t="shared" si="88"/>
        <v>1</v>
      </c>
      <c r="AA338" s="29">
        <f t="shared" si="89"/>
        <v>6.6666666666666693E-2</v>
      </c>
      <c r="AB338" s="29">
        <f>+VLOOKUP(E338,[1]base!M:N,2,0)</f>
        <v>5246</v>
      </c>
      <c r="AC338" s="29">
        <f>+VLOOKUP(E338,[1]base!M:Q,5,0)</f>
        <v>423</v>
      </c>
      <c r="AD338" s="30">
        <f>+VLOOKUP(E338,[1]base!M:P,4,0)</f>
        <v>8.8603196664350237E-2</v>
      </c>
      <c r="AE338" s="31">
        <f t="shared" si="90"/>
        <v>1108.9876302988187</v>
      </c>
    </row>
    <row r="339" spans="1:31" x14ac:dyDescent="0.25">
      <c r="A339" s="12" t="s">
        <v>732</v>
      </c>
      <c r="B339" s="13">
        <v>46256.374837962961</v>
      </c>
      <c r="C339" s="12" t="s">
        <v>258</v>
      </c>
      <c r="D339" s="12" t="s">
        <v>726</v>
      </c>
      <c r="E339" s="26" t="str">
        <f t="shared" si="84"/>
        <v>EC40107</v>
      </c>
      <c r="F339" s="27" t="str">
        <f t="shared" si="85"/>
        <v>NOIR</v>
      </c>
      <c r="G339" s="27">
        <f>+VLOOKUP(F339,[1]base!A:B,2,0)</f>
        <v>37</v>
      </c>
      <c r="H339" s="12">
        <v>4</v>
      </c>
      <c r="I339" s="12">
        <v>4</v>
      </c>
      <c r="J339" s="14"/>
      <c r="K339" s="14" t="s">
        <v>61</v>
      </c>
      <c r="L339" s="12" t="s">
        <v>737</v>
      </c>
      <c r="M339" s="12" t="s">
        <v>150</v>
      </c>
      <c r="N339" s="12">
        <v>4</v>
      </c>
      <c r="O339" s="12">
        <v>4</v>
      </c>
      <c r="P339" s="12">
        <v>0</v>
      </c>
      <c r="Q339" s="16">
        <v>4</v>
      </c>
      <c r="R339" s="16">
        <v>6</v>
      </c>
      <c r="S339" s="16"/>
      <c r="T339" s="28">
        <v>4</v>
      </c>
      <c r="U339" s="28"/>
      <c r="V339" s="29">
        <f>+VLOOKUP(E339,[1]base!D:K,8,0)</f>
        <v>0.67599999999999993</v>
      </c>
      <c r="W339" s="29">
        <f t="shared" si="86"/>
        <v>2.7039999999999997</v>
      </c>
      <c r="X339" s="29">
        <f t="shared" si="87"/>
        <v>0.14060799999999998</v>
      </c>
      <c r="Y339" s="29">
        <f>+VLOOKUP(E339,[1]base!D:E,2,0)</f>
        <v>20</v>
      </c>
      <c r="Z339" s="29">
        <f t="shared" si="88"/>
        <v>1</v>
      </c>
      <c r="AA339" s="29">
        <f t="shared" si="89"/>
        <v>6.6666666666666693E-2</v>
      </c>
      <c r="AB339" s="29">
        <f>+VLOOKUP(E339,[1]base!M:N,2,0)</f>
        <v>5246</v>
      </c>
      <c r="AC339" s="29">
        <f>+VLOOKUP(E339,[1]base!M:Q,5,0)</f>
        <v>423</v>
      </c>
      <c r="AD339" s="30">
        <f>+VLOOKUP(E339,[1]base!M:P,4,0)</f>
        <v>8.8603196664350237E-2</v>
      </c>
      <c r="AE339" s="31">
        <f t="shared" si="90"/>
        <v>1108.9876302988187</v>
      </c>
    </row>
    <row r="340" spans="1:31" x14ac:dyDescent="0.25">
      <c r="A340" s="12" t="s">
        <v>698</v>
      </c>
      <c r="B340" s="13">
        <v>46254.525277777779</v>
      </c>
      <c r="C340" s="12" t="s">
        <v>511</v>
      </c>
      <c r="D340" s="12" t="s">
        <v>699</v>
      </c>
      <c r="E340" s="26" t="str">
        <f t="shared" si="84"/>
        <v>EC40154</v>
      </c>
      <c r="F340" s="27" t="str">
        <f t="shared" si="85"/>
        <v>NOIR</v>
      </c>
      <c r="G340" s="27">
        <f>+VLOOKUP(F340,[1]base!A:B,2,0)</f>
        <v>37</v>
      </c>
      <c r="H340" s="12">
        <v>10</v>
      </c>
      <c r="I340" s="12">
        <v>10</v>
      </c>
      <c r="J340" s="14"/>
      <c r="K340" s="14" t="s">
        <v>61</v>
      </c>
      <c r="L340" s="12" t="s">
        <v>700</v>
      </c>
      <c r="M340" s="12" t="s">
        <v>150</v>
      </c>
      <c r="N340" s="12">
        <v>10</v>
      </c>
      <c r="O340" s="12">
        <v>10</v>
      </c>
      <c r="P340" s="12">
        <v>0</v>
      </c>
      <c r="Q340" s="16">
        <v>10</v>
      </c>
      <c r="R340" s="16">
        <v>0</v>
      </c>
      <c r="S340" s="16"/>
      <c r="T340" s="28">
        <v>10</v>
      </c>
      <c r="U340" s="28"/>
      <c r="V340" s="29">
        <f>+VLOOKUP(E340,[1]base!D:K,8,0)</f>
        <v>8.7100000000000009</v>
      </c>
      <c r="W340" s="29">
        <f t="shared" si="86"/>
        <v>87.100000000000009</v>
      </c>
      <c r="X340" s="29">
        <f t="shared" si="87"/>
        <v>4.5292000000000003</v>
      </c>
      <c r="Y340" s="29">
        <f>+VLOOKUP(E340,[1]base!D:E,2,0)</f>
        <v>9</v>
      </c>
      <c r="Z340" s="29">
        <f t="shared" si="88"/>
        <v>2</v>
      </c>
      <c r="AA340" s="29">
        <f t="shared" si="89"/>
        <v>0.13333333333333339</v>
      </c>
      <c r="AB340" s="29">
        <f>+VLOOKUP(E340,[1]base!M:N,2,0)</f>
        <v>287</v>
      </c>
      <c r="AC340" s="29">
        <f>+VLOOKUP(E340,[1]base!M:Q,5,0)</f>
        <v>102.83333333333333</v>
      </c>
      <c r="AD340" s="30">
        <f>+VLOOKUP(E340,[1]base!M:P,4,0)</f>
        <v>1.3745704467353952E-2</v>
      </c>
      <c r="AE340" s="31">
        <f t="shared" si="90"/>
        <v>82.15498281786941</v>
      </c>
    </row>
    <row r="341" spans="1:31" x14ac:dyDescent="0.25">
      <c r="A341" s="12" t="s">
        <v>732</v>
      </c>
      <c r="B341" s="13">
        <v>46256.374837962961</v>
      </c>
      <c r="C341" s="12" t="s">
        <v>258</v>
      </c>
      <c r="D341" s="12" t="s">
        <v>699</v>
      </c>
      <c r="E341" s="26" t="str">
        <f t="shared" si="84"/>
        <v>EC40154</v>
      </c>
      <c r="F341" s="27" t="str">
        <f t="shared" si="85"/>
        <v>NOIR</v>
      </c>
      <c r="G341" s="27">
        <f>+VLOOKUP(F341,[1]base!A:B,2,0)</f>
        <v>37</v>
      </c>
      <c r="H341" s="12">
        <v>3</v>
      </c>
      <c r="I341" s="12">
        <v>3</v>
      </c>
      <c r="J341" s="14"/>
      <c r="K341" s="14" t="s">
        <v>61</v>
      </c>
      <c r="L341" s="12" t="s">
        <v>738</v>
      </c>
      <c r="M341" s="12" t="s">
        <v>150</v>
      </c>
      <c r="N341" s="12">
        <v>3</v>
      </c>
      <c r="O341" s="12">
        <v>3</v>
      </c>
      <c r="P341" s="12">
        <v>0</v>
      </c>
      <c r="Q341" s="16">
        <v>3</v>
      </c>
      <c r="R341" s="16">
        <v>0</v>
      </c>
      <c r="S341" s="16"/>
      <c r="T341" s="28">
        <v>3</v>
      </c>
      <c r="U341" s="28"/>
      <c r="V341" s="29">
        <f>+VLOOKUP(E341,[1]base!D:K,8,0)</f>
        <v>8.7100000000000009</v>
      </c>
      <c r="W341" s="29">
        <f t="shared" si="86"/>
        <v>26.130000000000003</v>
      </c>
      <c r="X341" s="29">
        <f t="shared" si="87"/>
        <v>1.35876</v>
      </c>
      <c r="Y341" s="29">
        <f>+VLOOKUP(E341,[1]base!D:E,2,0)</f>
        <v>9</v>
      </c>
      <c r="Z341" s="29">
        <f t="shared" si="88"/>
        <v>1</v>
      </c>
      <c r="AA341" s="29">
        <f t="shared" si="89"/>
        <v>6.6666666666666693E-2</v>
      </c>
      <c r="AB341" s="29">
        <f>+VLOOKUP(E341,[1]base!M:N,2,0)</f>
        <v>287</v>
      </c>
      <c r="AC341" s="29">
        <f>+VLOOKUP(E341,[1]base!M:Q,5,0)</f>
        <v>102.83333333333333</v>
      </c>
      <c r="AD341" s="30">
        <f>+VLOOKUP(E341,[1]base!M:P,4,0)</f>
        <v>1.3745704467353952E-2</v>
      </c>
      <c r="AE341" s="31">
        <f t="shared" si="90"/>
        <v>82.15498281786941</v>
      </c>
    </row>
    <row r="342" spans="1:31" x14ac:dyDescent="0.25">
      <c r="A342" s="12" t="s">
        <v>772</v>
      </c>
      <c r="B342" s="13">
        <v>46258.508391203701</v>
      </c>
      <c r="C342" s="12" t="s">
        <v>773</v>
      </c>
      <c r="D342" s="12" t="s">
        <v>699</v>
      </c>
      <c r="E342" s="26" t="str">
        <f t="shared" si="84"/>
        <v>EC40154</v>
      </c>
      <c r="F342" s="27" t="str">
        <f t="shared" si="85"/>
        <v>NOIR</v>
      </c>
      <c r="G342" s="27">
        <f>+VLOOKUP(F342,[1]base!A:B,2,0)</f>
        <v>37</v>
      </c>
      <c r="H342" s="12">
        <v>1</v>
      </c>
      <c r="I342" s="12">
        <v>1</v>
      </c>
      <c r="J342" s="14"/>
      <c r="K342" s="14" t="s">
        <v>61</v>
      </c>
      <c r="L342" s="12" t="s">
        <v>774</v>
      </c>
      <c r="M342" s="12" t="s">
        <v>150</v>
      </c>
      <c r="N342" s="12">
        <v>1</v>
      </c>
      <c r="O342" s="12">
        <v>1</v>
      </c>
      <c r="P342" s="12">
        <v>0</v>
      </c>
      <c r="Q342" s="16">
        <v>1</v>
      </c>
      <c r="R342" s="16">
        <v>0</v>
      </c>
      <c r="S342" s="16"/>
      <c r="T342" s="28">
        <v>1</v>
      </c>
      <c r="U342" s="28"/>
      <c r="V342" s="29">
        <f>+VLOOKUP(E342,[1]base!D:K,8,0)</f>
        <v>8.7100000000000009</v>
      </c>
      <c r="W342" s="29">
        <f t="shared" si="86"/>
        <v>8.7100000000000009</v>
      </c>
      <c r="X342" s="29">
        <f t="shared" si="87"/>
        <v>0.45292000000000004</v>
      </c>
      <c r="Y342" s="29">
        <f>+VLOOKUP(E342,[1]base!D:E,2,0)</f>
        <v>9</v>
      </c>
      <c r="Z342" s="29">
        <f t="shared" si="88"/>
        <v>1</v>
      </c>
      <c r="AA342" s="29">
        <f t="shared" si="89"/>
        <v>6.6666666666666693E-2</v>
      </c>
      <c r="AB342" s="29">
        <f>+VLOOKUP(E342,[1]base!M:N,2,0)</f>
        <v>287</v>
      </c>
      <c r="AC342" s="29">
        <f>+VLOOKUP(E342,[1]base!M:Q,5,0)</f>
        <v>102.83333333333333</v>
      </c>
      <c r="AD342" s="30">
        <f>+VLOOKUP(E342,[1]base!M:P,4,0)</f>
        <v>1.3745704467353952E-2</v>
      </c>
      <c r="AE342" s="31">
        <f t="shared" si="90"/>
        <v>82.15498281786941</v>
      </c>
    </row>
    <row r="343" spans="1:31" x14ac:dyDescent="0.25">
      <c r="A343" s="12" t="s">
        <v>777</v>
      </c>
      <c r="B343" s="13">
        <v>46258.578530092593</v>
      </c>
      <c r="C343" s="12" t="s">
        <v>778</v>
      </c>
      <c r="D343" s="12" t="s">
        <v>699</v>
      </c>
      <c r="E343" s="26" t="str">
        <f t="shared" ref="E343:E374" si="91">_xlfn.TEXTBEFORE(D343, "-", -1, 1, , D343)</f>
        <v>EC40154</v>
      </c>
      <c r="F343" s="27" t="str">
        <f t="shared" ref="F343:F374" si="92">_xlfn.TEXTAFTER(D343, "-", -1, 1, , "")</f>
        <v>NOIR</v>
      </c>
      <c r="G343" s="27">
        <f>+VLOOKUP(F343,[1]base!A:B,2,0)</f>
        <v>37</v>
      </c>
      <c r="H343" s="12">
        <v>10</v>
      </c>
      <c r="I343" s="12">
        <v>10</v>
      </c>
      <c r="J343" s="14"/>
      <c r="K343" s="14" t="s">
        <v>61</v>
      </c>
      <c r="L343" s="12" t="s">
        <v>780</v>
      </c>
      <c r="M343" s="12" t="s">
        <v>150</v>
      </c>
      <c r="N343" s="12">
        <v>10</v>
      </c>
      <c r="O343" s="12">
        <v>10</v>
      </c>
      <c r="P343" s="12">
        <v>0</v>
      </c>
      <c r="Q343" s="16">
        <v>10</v>
      </c>
      <c r="R343" s="16">
        <v>0</v>
      </c>
      <c r="S343" s="16"/>
      <c r="T343" s="28">
        <v>10</v>
      </c>
      <c r="U343" s="28"/>
      <c r="V343" s="29">
        <f>+VLOOKUP(E343,[1]base!D:K,8,0)</f>
        <v>8.7100000000000009</v>
      </c>
      <c r="W343" s="29">
        <f t="shared" ref="W343:W374" si="93">(T343+U343)*V343</f>
        <v>87.100000000000009</v>
      </c>
      <c r="X343" s="29">
        <f t="shared" ref="X343:X374" si="94">+W343*0.052</f>
        <v>4.5292000000000003</v>
      </c>
      <c r="Y343" s="29">
        <f>+VLOOKUP(E343,[1]base!D:E,2,0)</f>
        <v>9</v>
      </c>
      <c r="Z343" s="29">
        <f t="shared" ref="Z343:Z374" si="95">ROUNDUP(T343/Y343,0)</f>
        <v>2</v>
      </c>
      <c r="AA343" s="29">
        <f t="shared" ref="AA343:AA374" si="96">+Z343*0.0666666666666667</f>
        <v>0.13333333333333339</v>
      </c>
      <c r="AB343" s="29">
        <f>+VLOOKUP(E343,[1]base!M:N,2,0)</f>
        <v>287</v>
      </c>
      <c r="AC343" s="29">
        <f>+VLOOKUP(E343,[1]base!M:Q,5,0)</f>
        <v>102.83333333333333</v>
      </c>
      <c r="AD343" s="30">
        <f>+VLOOKUP(E343,[1]base!M:P,4,0)</f>
        <v>1.3745704467353952E-2</v>
      </c>
      <c r="AE343" s="31">
        <f t="shared" ref="AE343:AE374" si="97">+AB343*(30%-AD343)</f>
        <v>82.15498281786941</v>
      </c>
    </row>
    <row r="344" spans="1:31" x14ac:dyDescent="0.25">
      <c r="A344" s="12" t="s">
        <v>1141</v>
      </c>
      <c r="B344" s="13">
        <v>46267.323657407411</v>
      </c>
      <c r="C344" s="12" t="s">
        <v>585</v>
      </c>
      <c r="D344" s="12" t="s">
        <v>699</v>
      </c>
      <c r="E344" s="26" t="str">
        <f t="shared" si="91"/>
        <v>EC40154</v>
      </c>
      <c r="F344" s="27" t="str">
        <f t="shared" si="92"/>
        <v>NOIR</v>
      </c>
      <c r="G344" s="27">
        <f>+VLOOKUP(F344,[1]base!A:B,2,0)</f>
        <v>37</v>
      </c>
      <c r="H344" s="12">
        <v>12</v>
      </c>
      <c r="I344" s="12">
        <v>12</v>
      </c>
      <c r="J344" s="14"/>
      <c r="K344" s="14" t="s">
        <v>61</v>
      </c>
      <c r="L344" s="12" t="s">
        <v>1148</v>
      </c>
      <c r="M344" s="12" t="s">
        <v>150</v>
      </c>
      <c r="N344" s="12">
        <v>12</v>
      </c>
      <c r="O344" s="12">
        <v>12</v>
      </c>
      <c r="P344" s="12">
        <v>0</v>
      </c>
      <c r="Q344" s="16">
        <v>12</v>
      </c>
      <c r="R344" s="16">
        <v>0</v>
      </c>
      <c r="S344" s="16"/>
      <c r="T344" s="28">
        <v>12</v>
      </c>
      <c r="U344" s="28"/>
      <c r="V344" s="29">
        <f>+VLOOKUP(E344,[1]base!D:K,8,0)</f>
        <v>8.7100000000000009</v>
      </c>
      <c r="W344" s="29">
        <f t="shared" si="93"/>
        <v>104.52000000000001</v>
      </c>
      <c r="X344" s="29">
        <f t="shared" si="94"/>
        <v>5.4350399999999999</v>
      </c>
      <c r="Y344" s="29">
        <f>+VLOOKUP(E344,[1]base!D:E,2,0)</f>
        <v>9</v>
      </c>
      <c r="Z344" s="29">
        <f t="shared" si="95"/>
        <v>2</v>
      </c>
      <c r="AA344" s="29">
        <f t="shared" si="96"/>
        <v>0.13333333333333339</v>
      </c>
      <c r="AB344" s="29">
        <f>+VLOOKUP(E344,[1]base!M:N,2,0)</f>
        <v>287</v>
      </c>
      <c r="AC344" s="29">
        <f>+VLOOKUP(E344,[1]base!M:Q,5,0)</f>
        <v>102.83333333333333</v>
      </c>
      <c r="AD344" s="30">
        <f>+VLOOKUP(E344,[1]base!M:P,4,0)</f>
        <v>1.3745704467353952E-2</v>
      </c>
      <c r="AE344" s="31">
        <f t="shared" si="97"/>
        <v>82.15498281786941</v>
      </c>
    </row>
    <row r="345" spans="1:31" x14ac:dyDescent="0.25">
      <c r="A345" s="12" t="s">
        <v>1230</v>
      </c>
      <c r="B345" s="13">
        <v>46268.418807870374</v>
      </c>
      <c r="C345" s="12" t="s">
        <v>345</v>
      </c>
      <c r="D345" s="12" t="s">
        <v>699</v>
      </c>
      <c r="E345" s="26" t="str">
        <f t="shared" si="91"/>
        <v>EC40154</v>
      </c>
      <c r="F345" s="27" t="str">
        <f t="shared" si="92"/>
        <v>NOIR</v>
      </c>
      <c r="G345" s="27">
        <f>+VLOOKUP(F345,[1]base!A:B,2,0)</f>
        <v>37</v>
      </c>
      <c r="H345" s="12">
        <v>6</v>
      </c>
      <c r="I345" s="12">
        <v>6</v>
      </c>
      <c r="J345" s="14"/>
      <c r="K345" s="14" t="s">
        <v>61</v>
      </c>
      <c r="L345" s="12" t="s">
        <v>1233</v>
      </c>
      <c r="M345" s="12" t="s">
        <v>150</v>
      </c>
      <c r="N345" s="12">
        <v>6</v>
      </c>
      <c r="O345" s="12">
        <v>6</v>
      </c>
      <c r="P345" s="12">
        <v>0</v>
      </c>
      <c r="Q345" s="16">
        <v>6</v>
      </c>
      <c r="R345" s="16">
        <v>0</v>
      </c>
      <c r="S345" s="16"/>
      <c r="T345" s="28">
        <v>6</v>
      </c>
      <c r="U345" s="28"/>
      <c r="V345" s="29">
        <f>+VLOOKUP(E345,[1]base!D:K,8,0)</f>
        <v>8.7100000000000009</v>
      </c>
      <c r="W345" s="29">
        <f t="shared" si="93"/>
        <v>52.260000000000005</v>
      </c>
      <c r="X345" s="29">
        <f t="shared" si="94"/>
        <v>2.7175199999999999</v>
      </c>
      <c r="Y345" s="29">
        <f>+VLOOKUP(E345,[1]base!D:E,2,0)</f>
        <v>9</v>
      </c>
      <c r="Z345" s="29">
        <f t="shared" si="95"/>
        <v>1</v>
      </c>
      <c r="AA345" s="29">
        <f t="shared" si="96"/>
        <v>6.6666666666666693E-2</v>
      </c>
      <c r="AB345" s="29">
        <f>+VLOOKUP(E345,[1]base!M:N,2,0)</f>
        <v>287</v>
      </c>
      <c r="AC345" s="29">
        <f>+VLOOKUP(E345,[1]base!M:Q,5,0)</f>
        <v>102.83333333333333</v>
      </c>
      <c r="AD345" s="30">
        <f>+VLOOKUP(E345,[1]base!M:P,4,0)</f>
        <v>1.3745704467353952E-2</v>
      </c>
      <c r="AE345" s="31">
        <f t="shared" si="97"/>
        <v>82.15498281786941</v>
      </c>
    </row>
    <row r="346" spans="1:31" x14ac:dyDescent="0.25">
      <c r="A346" s="12" t="s">
        <v>1264</v>
      </c>
      <c r="B346" s="13">
        <v>46268.598958333336</v>
      </c>
      <c r="C346" s="12" t="s">
        <v>522</v>
      </c>
      <c r="D346" s="12" t="s">
        <v>699</v>
      </c>
      <c r="E346" s="26" t="str">
        <f t="shared" si="91"/>
        <v>EC40154</v>
      </c>
      <c r="F346" s="27" t="str">
        <f t="shared" si="92"/>
        <v>NOIR</v>
      </c>
      <c r="G346" s="27">
        <f>+VLOOKUP(F346,[1]base!A:B,2,0)</f>
        <v>37</v>
      </c>
      <c r="H346" s="12">
        <v>4</v>
      </c>
      <c r="I346" s="12">
        <v>4</v>
      </c>
      <c r="J346" s="14"/>
      <c r="K346" s="14" t="s">
        <v>61</v>
      </c>
      <c r="L346" s="12" t="s">
        <v>1282</v>
      </c>
      <c r="M346" s="12" t="s">
        <v>150</v>
      </c>
      <c r="N346" s="12">
        <v>4</v>
      </c>
      <c r="O346" s="12">
        <v>4</v>
      </c>
      <c r="P346" s="12">
        <v>0</v>
      </c>
      <c r="Q346" s="16">
        <v>4</v>
      </c>
      <c r="R346" s="16">
        <v>0</v>
      </c>
      <c r="S346" s="16"/>
      <c r="T346" s="28">
        <v>4</v>
      </c>
      <c r="U346" s="28"/>
      <c r="V346" s="29">
        <f>+VLOOKUP(E346,[1]base!D:K,8,0)</f>
        <v>8.7100000000000009</v>
      </c>
      <c r="W346" s="29">
        <f t="shared" si="93"/>
        <v>34.840000000000003</v>
      </c>
      <c r="X346" s="29">
        <f t="shared" si="94"/>
        <v>1.8116800000000002</v>
      </c>
      <c r="Y346" s="29">
        <f>+VLOOKUP(E346,[1]base!D:E,2,0)</f>
        <v>9</v>
      </c>
      <c r="Z346" s="29">
        <f t="shared" si="95"/>
        <v>1</v>
      </c>
      <c r="AA346" s="29">
        <f t="shared" si="96"/>
        <v>6.6666666666666693E-2</v>
      </c>
      <c r="AB346" s="29">
        <f>+VLOOKUP(E346,[1]base!M:N,2,0)</f>
        <v>287</v>
      </c>
      <c r="AC346" s="29">
        <f>+VLOOKUP(E346,[1]base!M:Q,5,0)</f>
        <v>102.83333333333333</v>
      </c>
      <c r="AD346" s="30">
        <f>+VLOOKUP(E346,[1]base!M:P,4,0)</f>
        <v>1.3745704467353952E-2</v>
      </c>
      <c r="AE346" s="31">
        <f t="shared" si="97"/>
        <v>82.15498281786941</v>
      </c>
    </row>
    <row r="347" spans="1:31" x14ac:dyDescent="0.25">
      <c r="A347" s="12" t="s">
        <v>706</v>
      </c>
      <c r="B347" s="13">
        <v>46254.622511574074</v>
      </c>
      <c r="C347" s="12" t="s">
        <v>522</v>
      </c>
      <c r="D347" s="12" t="s">
        <v>442</v>
      </c>
      <c r="E347" s="26" t="str">
        <f t="shared" si="91"/>
        <v>EC40166</v>
      </c>
      <c r="F347" s="27" t="str">
        <f t="shared" si="92"/>
        <v>NOIR</v>
      </c>
      <c r="G347" s="27">
        <f>+VLOOKUP(F347,[1]base!A:B,2,0)</f>
        <v>37</v>
      </c>
      <c r="H347" s="12">
        <v>30</v>
      </c>
      <c r="I347" s="12">
        <v>30</v>
      </c>
      <c r="J347" s="14"/>
      <c r="K347" s="14" t="s">
        <v>61</v>
      </c>
      <c r="L347" s="12" t="s">
        <v>707</v>
      </c>
      <c r="M347" s="12" t="s">
        <v>150</v>
      </c>
      <c r="N347" s="12">
        <v>30</v>
      </c>
      <c r="O347" s="12">
        <v>30</v>
      </c>
      <c r="P347" s="12">
        <v>0</v>
      </c>
      <c r="Q347" s="16">
        <v>60</v>
      </c>
      <c r="R347" s="16">
        <v>0</v>
      </c>
      <c r="S347" s="16"/>
      <c r="T347" s="28">
        <v>30</v>
      </c>
      <c r="U347" s="28"/>
      <c r="V347" s="29">
        <f>+VLOOKUP(E347,[1]base!D:K,8,0)</f>
        <v>1.482</v>
      </c>
      <c r="W347" s="29">
        <f t="shared" si="93"/>
        <v>44.46</v>
      </c>
      <c r="X347" s="29">
        <f t="shared" si="94"/>
        <v>2.3119199999999998</v>
      </c>
      <c r="Y347" s="29">
        <f>+VLOOKUP(E347,[1]base!D:E,2,0)</f>
        <v>20</v>
      </c>
      <c r="Z347" s="29">
        <f t="shared" si="95"/>
        <v>2</v>
      </c>
      <c r="AA347" s="29">
        <f t="shared" si="96"/>
        <v>0.13333333333333339</v>
      </c>
      <c r="AB347" s="29">
        <f>+VLOOKUP(E347,[1]base!M:N,2,0)</f>
        <v>245</v>
      </c>
      <c r="AC347" s="29">
        <f>+VLOOKUP(E347,[1]base!M:Q,5,0)</f>
        <v>2305.5454545454545</v>
      </c>
      <c r="AD347" s="30">
        <f>+VLOOKUP(E347,[1]base!M:P,4,0)</f>
        <v>2.7777777777777776E-2</v>
      </c>
      <c r="AE347" s="31">
        <f t="shared" si="97"/>
        <v>66.694444444444443</v>
      </c>
    </row>
    <row r="348" spans="1:31" x14ac:dyDescent="0.25">
      <c r="A348" s="12" t="s">
        <v>750</v>
      </c>
      <c r="B348" s="13">
        <v>46256.457442129627</v>
      </c>
      <c r="C348" s="12" t="s">
        <v>751</v>
      </c>
      <c r="D348" s="12" t="s">
        <v>442</v>
      </c>
      <c r="E348" s="26" t="str">
        <f t="shared" si="91"/>
        <v>EC40166</v>
      </c>
      <c r="F348" s="27" t="str">
        <f t="shared" si="92"/>
        <v>NOIR</v>
      </c>
      <c r="G348" s="27">
        <f>+VLOOKUP(F348,[1]base!A:B,2,0)</f>
        <v>37</v>
      </c>
      <c r="H348" s="12">
        <v>50</v>
      </c>
      <c r="I348" s="12">
        <v>50</v>
      </c>
      <c r="J348" s="14"/>
      <c r="K348" s="14" t="s">
        <v>61</v>
      </c>
      <c r="L348" s="12" t="s">
        <v>752</v>
      </c>
      <c r="M348" s="12" t="s">
        <v>150</v>
      </c>
      <c r="N348" s="12">
        <v>50</v>
      </c>
      <c r="O348" s="12">
        <v>50</v>
      </c>
      <c r="P348" s="12">
        <v>0</v>
      </c>
      <c r="Q348" s="16">
        <v>100</v>
      </c>
      <c r="R348" s="16">
        <v>0</v>
      </c>
      <c r="S348" s="16"/>
      <c r="T348" s="28">
        <v>50</v>
      </c>
      <c r="U348" s="28"/>
      <c r="V348" s="29">
        <f>+VLOOKUP(E348,[1]base!D:K,8,0)</f>
        <v>1.482</v>
      </c>
      <c r="W348" s="29">
        <f t="shared" si="93"/>
        <v>74.099999999999994</v>
      </c>
      <c r="X348" s="29">
        <f t="shared" si="94"/>
        <v>3.8531999999999997</v>
      </c>
      <c r="Y348" s="29">
        <f>+VLOOKUP(E348,[1]base!D:E,2,0)</f>
        <v>20</v>
      </c>
      <c r="Z348" s="29">
        <f t="shared" si="95"/>
        <v>3</v>
      </c>
      <c r="AA348" s="29">
        <f t="shared" si="96"/>
        <v>0.20000000000000007</v>
      </c>
      <c r="AB348" s="29">
        <f>+VLOOKUP(E348,[1]base!M:N,2,0)</f>
        <v>245</v>
      </c>
      <c r="AC348" s="29">
        <f>+VLOOKUP(E348,[1]base!M:Q,5,0)</f>
        <v>2305.5454545454545</v>
      </c>
      <c r="AD348" s="30">
        <f>+VLOOKUP(E348,[1]base!M:P,4,0)</f>
        <v>2.7777777777777776E-2</v>
      </c>
      <c r="AE348" s="31">
        <f t="shared" si="97"/>
        <v>66.694444444444443</v>
      </c>
    </row>
    <row r="349" spans="1:31" x14ac:dyDescent="0.25">
      <c r="A349" s="12" t="s">
        <v>923</v>
      </c>
      <c r="B349" s="13">
        <v>46262.577372685184</v>
      </c>
      <c r="C349" s="12" t="s">
        <v>511</v>
      </c>
      <c r="D349" s="12" t="s">
        <v>442</v>
      </c>
      <c r="E349" s="26" t="str">
        <f t="shared" si="91"/>
        <v>EC40166</v>
      </c>
      <c r="F349" s="27" t="str">
        <f t="shared" si="92"/>
        <v>NOIR</v>
      </c>
      <c r="G349" s="27">
        <f>+VLOOKUP(F349,[1]base!A:B,2,0)</f>
        <v>37</v>
      </c>
      <c r="H349" s="12">
        <v>20</v>
      </c>
      <c r="I349" s="12">
        <v>20</v>
      </c>
      <c r="J349" s="14"/>
      <c r="K349" s="14" t="s">
        <v>61</v>
      </c>
      <c r="L349" s="12" t="s">
        <v>925</v>
      </c>
      <c r="M349" s="12" t="s">
        <v>150</v>
      </c>
      <c r="N349" s="12">
        <v>20</v>
      </c>
      <c r="O349" s="12">
        <v>20</v>
      </c>
      <c r="P349" s="12">
        <v>0</v>
      </c>
      <c r="Q349" s="16">
        <v>20</v>
      </c>
      <c r="R349" s="16">
        <v>0</v>
      </c>
      <c r="S349" s="16"/>
      <c r="T349" s="28">
        <v>20</v>
      </c>
      <c r="U349" s="28"/>
      <c r="V349" s="29">
        <f>+VLOOKUP(E349,[1]base!D:K,8,0)</f>
        <v>1.482</v>
      </c>
      <c r="W349" s="29">
        <f t="shared" si="93"/>
        <v>29.64</v>
      </c>
      <c r="X349" s="29">
        <f t="shared" si="94"/>
        <v>1.54128</v>
      </c>
      <c r="Y349" s="29">
        <f>+VLOOKUP(E349,[1]base!D:E,2,0)</f>
        <v>20</v>
      </c>
      <c r="Z349" s="29">
        <f t="shared" si="95"/>
        <v>1</v>
      </c>
      <c r="AA349" s="29">
        <f t="shared" si="96"/>
        <v>6.6666666666666693E-2</v>
      </c>
      <c r="AB349" s="29">
        <f>+VLOOKUP(E349,[1]base!M:N,2,0)</f>
        <v>245</v>
      </c>
      <c r="AC349" s="29">
        <f>+VLOOKUP(E349,[1]base!M:Q,5,0)</f>
        <v>2305.5454545454545</v>
      </c>
      <c r="AD349" s="30">
        <f>+VLOOKUP(E349,[1]base!M:P,4,0)</f>
        <v>2.7777777777777776E-2</v>
      </c>
      <c r="AE349" s="31">
        <f t="shared" si="97"/>
        <v>66.694444444444443</v>
      </c>
    </row>
    <row r="350" spans="1:31" x14ac:dyDescent="0.25">
      <c r="A350" s="12" t="s">
        <v>1082</v>
      </c>
      <c r="B350" s="13">
        <v>46266.490532407406</v>
      </c>
      <c r="C350" s="12" t="s">
        <v>505</v>
      </c>
      <c r="D350" s="12" t="s">
        <v>442</v>
      </c>
      <c r="E350" s="26" t="str">
        <f t="shared" si="91"/>
        <v>EC40166</v>
      </c>
      <c r="F350" s="27" t="str">
        <f t="shared" si="92"/>
        <v>NOIR</v>
      </c>
      <c r="G350" s="27">
        <f>+VLOOKUP(F350,[1]base!A:B,2,0)</f>
        <v>37</v>
      </c>
      <c r="H350" s="12">
        <v>30</v>
      </c>
      <c r="I350" s="12">
        <v>30</v>
      </c>
      <c r="J350" s="14"/>
      <c r="K350" s="14" t="s">
        <v>61</v>
      </c>
      <c r="L350" s="12" t="s">
        <v>1086</v>
      </c>
      <c r="M350" s="12" t="s">
        <v>150</v>
      </c>
      <c r="N350" s="12">
        <v>30</v>
      </c>
      <c r="O350" s="12">
        <v>30</v>
      </c>
      <c r="P350" s="12">
        <v>0</v>
      </c>
      <c r="Q350" s="16">
        <v>30</v>
      </c>
      <c r="R350" s="16">
        <v>0</v>
      </c>
      <c r="S350" s="16"/>
      <c r="T350" s="28">
        <v>30</v>
      </c>
      <c r="U350" s="28"/>
      <c r="V350" s="29">
        <f>+VLOOKUP(E350,[1]base!D:K,8,0)</f>
        <v>1.482</v>
      </c>
      <c r="W350" s="29">
        <f t="shared" si="93"/>
        <v>44.46</v>
      </c>
      <c r="X350" s="29">
        <f t="shared" si="94"/>
        <v>2.3119199999999998</v>
      </c>
      <c r="Y350" s="29">
        <f>+VLOOKUP(E350,[1]base!D:E,2,0)</f>
        <v>20</v>
      </c>
      <c r="Z350" s="29">
        <f t="shared" si="95"/>
        <v>2</v>
      </c>
      <c r="AA350" s="29">
        <f t="shared" si="96"/>
        <v>0.13333333333333339</v>
      </c>
      <c r="AB350" s="29">
        <f>+VLOOKUP(E350,[1]base!M:N,2,0)</f>
        <v>245</v>
      </c>
      <c r="AC350" s="29">
        <f>+VLOOKUP(E350,[1]base!M:Q,5,0)</f>
        <v>2305.5454545454545</v>
      </c>
      <c r="AD350" s="30">
        <f>+VLOOKUP(E350,[1]base!M:P,4,0)</f>
        <v>2.7777777777777776E-2</v>
      </c>
      <c r="AE350" s="31">
        <f t="shared" si="97"/>
        <v>66.694444444444443</v>
      </c>
    </row>
    <row r="351" spans="1:31" x14ac:dyDescent="0.25">
      <c r="A351" s="12" t="s">
        <v>1162</v>
      </c>
      <c r="B351" s="13">
        <v>46267.43309027778</v>
      </c>
      <c r="C351" s="12" t="s">
        <v>627</v>
      </c>
      <c r="D351" s="12" t="s">
        <v>442</v>
      </c>
      <c r="E351" s="26" t="str">
        <f t="shared" si="91"/>
        <v>EC40166</v>
      </c>
      <c r="F351" s="27" t="str">
        <f t="shared" si="92"/>
        <v>NOIR</v>
      </c>
      <c r="G351" s="27">
        <f>+VLOOKUP(F351,[1]base!A:B,2,0)</f>
        <v>37</v>
      </c>
      <c r="H351" s="12">
        <v>40</v>
      </c>
      <c r="I351" s="12">
        <v>40</v>
      </c>
      <c r="J351" s="14"/>
      <c r="K351" s="14" t="s">
        <v>61</v>
      </c>
      <c r="L351" s="12" t="s">
        <v>1182</v>
      </c>
      <c r="M351" s="12" t="s">
        <v>150</v>
      </c>
      <c r="N351" s="12">
        <v>40</v>
      </c>
      <c r="O351" s="12">
        <v>40</v>
      </c>
      <c r="P351" s="12">
        <v>0</v>
      </c>
      <c r="Q351" s="16">
        <v>40</v>
      </c>
      <c r="R351" s="16">
        <v>0</v>
      </c>
      <c r="S351" s="16"/>
      <c r="T351" s="28">
        <v>40</v>
      </c>
      <c r="U351" s="28"/>
      <c r="V351" s="29">
        <f>+VLOOKUP(E351,[1]base!D:K,8,0)</f>
        <v>1.482</v>
      </c>
      <c r="W351" s="29">
        <f t="shared" si="93"/>
        <v>59.28</v>
      </c>
      <c r="X351" s="29">
        <f t="shared" si="94"/>
        <v>3.08256</v>
      </c>
      <c r="Y351" s="29">
        <f>+VLOOKUP(E351,[1]base!D:E,2,0)</f>
        <v>20</v>
      </c>
      <c r="Z351" s="29">
        <f t="shared" si="95"/>
        <v>2</v>
      </c>
      <c r="AA351" s="29">
        <f t="shared" si="96"/>
        <v>0.13333333333333339</v>
      </c>
      <c r="AB351" s="29">
        <f>+VLOOKUP(E351,[1]base!M:N,2,0)</f>
        <v>245</v>
      </c>
      <c r="AC351" s="29">
        <f>+VLOOKUP(E351,[1]base!M:Q,5,0)</f>
        <v>2305.5454545454545</v>
      </c>
      <c r="AD351" s="30">
        <f>+VLOOKUP(E351,[1]base!M:P,4,0)</f>
        <v>2.7777777777777776E-2</v>
      </c>
      <c r="AE351" s="31">
        <f t="shared" si="97"/>
        <v>66.694444444444443</v>
      </c>
    </row>
    <row r="352" spans="1:31" x14ac:dyDescent="0.25">
      <c r="A352" s="12" t="s">
        <v>1264</v>
      </c>
      <c r="B352" s="13">
        <v>46268.598958333336</v>
      </c>
      <c r="C352" s="12" t="s">
        <v>522</v>
      </c>
      <c r="D352" s="12" t="s">
        <v>442</v>
      </c>
      <c r="E352" s="26" t="str">
        <f t="shared" si="91"/>
        <v>EC40166</v>
      </c>
      <c r="F352" s="27" t="str">
        <f t="shared" si="92"/>
        <v>NOIR</v>
      </c>
      <c r="G352" s="27">
        <f>+VLOOKUP(F352,[1]base!A:B,2,0)</f>
        <v>37</v>
      </c>
      <c r="H352" s="12">
        <v>80</v>
      </c>
      <c r="I352" s="12">
        <v>80</v>
      </c>
      <c r="J352" s="14"/>
      <c r="K352" s="14" t="s">
        <v>61</v>
      </c>
      <c r="L352" s="12" t="s">
        <v>1284</v>
      </c>
      <c r="M352" s="12" t="s">
        <v>150</v>
      </c>
      <c r="N352" s="12">
        <v>80</v>
      </c>
      <c r="O352" s="12">
        <v>80</v>
      </c>
      <c r="P352" s="12">
        <v>0</v>
      </c>
      <c r="Q352" s="16">
        <v>80</v>
      </c>
      <c r="R352" s="16">
        <v>0</v>
      </c>
      <c r="S352" s="16"/>
      <c r="T352" s="28">
        <v>80</v>
      </c>
      <c r="U352" s="28"/>
      <c r="V352" s="29">
        <f>+VLOOKUP(E352,[1]base!D:K,8,0)</f>
        <v>1.482</v>
      </c>
      <c r="W352" s="29">
        <f t="shared" si="93"/>
        <v>118.56</v>
      </c>
      <c r="X352" s="29">
        <f t="shared" si="94"/>
        <v>6.1651199999999999</v>
      </c>
      <c r="Y352" s="29">
        <f>+VLOOKUP(E352,[1]base!D:E,2,0)</f>
        <v>20</v>
      </c>
      <c r="Z352" s="29">
        <f t="shared" si="95"/>
        <v>4</v>
      </c>
      <c r="AA352" s="29">
        <f t="shared" si="96"/>
        <v>0.26666666666666677</v>
      </c>
      <c r="AB352" s="29">
        <f>+VLOOKUP(E352,[1]base!M:N,2,0)</f>
        <v>245</v>
      </c>
      <c r="AC352" s="29">
        <f>+VLOOKUP(E352,[1]base!M:Q,5,0)</f>
        <v>2305.5454545454545</v>
      </c>
      <c r="AD352" s="30">
        <f>+VLOOKUP(E352,[1]base!M:P,4,0)</f>
        <v>2.7777777777777776E-2</v>
      </c>
      <c r="AE352" s="31">
        <f t="shared" si="97"/>
        <v>66.694444444444443</v>
      </c>
    </row>
    <row r="353" spans="1:31" x14ac:dyDescent="0.25">
      <c r="A353" s="12" t="s">
        <v>547</v>
      </c>
      <c r="B353" s="13">
        <v>46240.550856481481</v>
      </c>
      <c r="C353" s="12" t="s">
        <v>548</v>
      </c>
      <c r="D353" s="12" t="s">
        <v>553</v>
      </c>
      <c r="E353" s="26" t="str">
        <f t="shared" si="91"/>
        <v>EC40402</v>
      </c>
      <c r="F353" s="27" t="str">
        <f t="shared" si="92"/>
        <v>NOIR</v>
      </c>
      <c r="G353" s="27">
        <f>+VLOOKUP(F353,[1]base!A:B,2,0)</f>
        <v>37</v>
      </c>
      <c r="H353" s="12">
        <v>40</v>
      </c>
      <c r="I353" s="12">
        <v>40</v>
      </c>
      <c r="J353" s="14"/>
      <c r="K353" s="14" t="s">
        <v>61</v>
      </c>
      <c r="L353" s="12" t="s">
        <v>555</v>
      </c>
      <c r="M353" s="12" t="s">
        <v>150</v>
      </c>
      <c r="N353" s="12">
        <v>40</v>
      </c>
      <c r="O353" s="12">
        <v>40</v>
      </c>
      <c r="P353" s="12">
        <v>0</v>
      </c>
      <c r="Q353" s="16">
        <v>120</v>
      </c>
      <c r="R353" s="16">
        <v>2</v>
      </c>
      <c r="S353" s="16"/>
      <c r="T353" s="28">
        <v>38</v>
      </c>
      <c r="U353" s="28">
        <v>2</v>
      </c>
      <c r="V353" s="29">
        <f>+VLOOKUP(E353,[1]base!D:K,8,0)</f>
        <v>4.2250000000000005</v>
      </c>
      <c r="W353" s="29">
        <f t="shared" si="93"/>
        <v>169.00000000000003</v>
      </c>
      <c r="X353" s="29">
        <f t="shared" si="94"/>
        <v>8.7880000000000003</v>
      </c>
      <c r="Y353" s="29">
        <f>+VLOOKUP(E353,[1]base!D:E,2,0)</f>
        <v>13</v>
      </c>
      <c r="Z353" s="29">
        <f t="shared" si="95"/>
        <v>3</v>
      </c>
      <c r="AA353" s="29">
        <f t="shared" si="96"/>
        <v>0.20000000000000007</v>
      </c>
      <c r="AB353" s="29">
        <f>+VLOOKUP(E353,[1]base!M:N,2,0)</f>
        <v>2283</v>
      </c>
      <c r="AC353" s="29">
        <f>+VLOOKUP(E353,[1]base!M:Q,5,0)</f>
        <v>1635.090909090909</v>
      </c>
      <c r="AD353" s="30">
        <f>+VLOOKUP(E353,[1]base!M:P,4,0)</f>
        <v>8.4603047313552532E-2</v>
      </c>
      <c r="AE353" s="31">
        <f t="shared" si="97"/>
        <v>491.75124298315956</v>
      </c>
    </row>
    <row r="354" spans="1:31" x14ac:dyDescent="0.25">
      <c r="A354" s="12" t="s">
        <v>758</v>
      </c>
      <c r="B354" s="13">
        <v>46258.403113425928</v>
      </c>
      <c r="C354" s="12" t="s">
        <v>759</v>
      </c>
      <c r="D354" s="12" t="s">
        <v>553</v>
      </c>
      <c r="E354" s="26" t="str">
        <f t="shared" si="91"/>
        <v>EC40402</v>
      </c>
      <c r="F354" s="27" t="str">
        <f t="shared" si="92"/>
        <v>NOIR</v>
      </c>
      <c r="G354" s="27">
        <f>+VLOOKUP(F354,[1]base!A:B,2,0)</f>
        <v>37</v>
      </c>
      <c r="H354" s="12">
        <v>24</v>
      </c>
      <c r="I354" s="12">
        <v>24</v>
      </c>
      <c r="J354" s="14"/>
      <c r="K354" s="14" t="s">
        <v>61</v>
      </c>
      <c r="L354" s="12" t="s">
        <v>763</v>
      </c>
      <c r="M354" s="12" t="s">
        <v>150</v>
      </c>
      <c r="N354" s="12">
        <v>24</v>
      </c>
      <c r="O354" s="12">
        <v>24</v>
      </c>
      <c r="P354" s="12">
        <v>0</v>
      </c>
      <c r="Q354" s="16">
        <v>48</v>
      </c>
      <c r="R354" s="16">
        <v>2</v>
      </c>
      <c r="S354" s="16"/>
      <c r="T354" s="28">
        <v>24</v>
      </c>
      <c r="U354" s="28"/>
      <c r="V354" s="29">
        <f>+VLOOKUP(E354,[1]base!D:K,8,0)</f>
        <v>4.2250000000000005</v>
      </c>
      <c r="W354" s="29">
        <f t="shared" si="93"/>
        <v>101.4</v>
      </c>
      <c r="X354" s="29">
        <f t="shared" si="94"/>
        <v>5.2728000000000002</v>
      </c>
      <c r="Y354" s="29">
        <f>+VLOOKUP(E354,[1]base!D:E,2,0)</f>
        <v>13</v>
      </c>
      <c r="Z354" s="29">
        <f t="shared" si="95"/>
        <v>2</v>
      </c>
      <c r="AA354" s="29">
        <f t="shared" si="96"/>
        <v>0.13333333333333339</v>
      </c>
      <c r="AB354" s="29">
        <f>+VLOOKUP(E354,[1]base!M:N,2,0)</f>
        <v>2283</v>
      </c>
      <c r="AC354" s="29">
        <f>+VLOOKUP(E354,[1]base!M:Q,5,0)</f>
        <v>1635.090909090909</v>
      </c>
      <c r="AD354" s="30">
        <f>+VLOOKUP(E354,[1]base!M:P,4,0)</f>
        <v>8.4603047313552532E-2</v>
      </c>
      <c r="AE354" s="31">
        <f t="shared" si="97"/>
        <v>491.75124298315956</v>
      </c>
    </row>
    <row r="355" spans="1:31" x14ac:dyDescent="0.25">
      <c r="A355" s="12" t="s">
        <v>777</v>
      </c>
      <c r="B355" s="13">
        <v>46258.578530092593</v>
      </c>
      <c r="C355" s="12" t="s">
        <v>778</v>
      </c>
      <c r="D355" s="12" t="s">
        <v>553</v>
      </c>
      <c r="E355" s="26" t="str">
        <f t="shared" si="91"/>
        <v>EC40402</v>
      </c>
      <c r="F355" s="27" t="str">
        <f t="shared" si="92"/>
        <v>NOIR</v>
      </c>
      <c r="G355" s="27">
        <f>+VLOOKUP(F355,[1]base!A:B,2,0)</f>
        <v>37</v>
      </c>
      <c r="H355" s="12">
        <v>20</v>
      </c>
      <c r="I355" s="12">
        <v>20</v>
      </c>
      <c r="J355" s="14"/>
      <c r="K355" s="14" t="s">
        <v>61</v>
      </c>
      <c r="L355" s="12" t="s">
        <v>781</v>
      </c>
      <c r="M355" s="12" t="s">
        <v>150</v>
      </c>
      <c r="N355" s="12">
        <v>20</v>
      </c>
      <c r="O355" s="12">
        <v>20</v>
      </c>
      <c r="P355" s="12">
        <v>0</v>
      </c>
      <c r="Q355" s="16">
        <v>20</v>
      </c>
      <c r="R355" s="16">
        <v>2</v>
      </c>
      <c r="S355" s="16"/>
      <c r="T355" s="28">
        <v>20</v>
      </c>
      <c r="U355" s="28"/>
      <c r="V355" s="29">
        <f>+VLOOKUP(E355,[1]base!D:K,8,0)</f>
        <v>4.2250000000000005</v>
      </c>
      <c r="W355" s="29">
        <f t="shared" si="93"/>
        <v>84.500000000000014</v>
      </c>
      <c r="X355" s="29">
        <f t="shared" si="94"/>
        <v>4.3940000000000001</v>
      </c>
      <c r="Y355" s="29">
        <f>+VLOOKUP(E355,[1]base!D:E,2,0)</f>
        <v>13</v>
      </c>
      <c r="Z355" s="29">
        <f t="shared" si="95"/>
        <v>2</v>
      </c>
      <c r="AA355" s="29">
        <f t="shared" si="96"/>
        <v>0.13333333333333339</v>
      </c>
      <c r="AB355" s="29">
        <f>+VLOOKUP(E355,[1]base!M:N,2,0)</f>
        <v>2283</v>
      </c>
      <c r="AC355" s="29">
        <f>+VLOOKUP(E355,[1]base!M:Q,5,0)</f>
        <v>1635.090909090909</v>
      </c>
      <c r="AD355" s="30">
        <f>+VLOOKUP(E355,[1]base!M:P,4,0)</f>
        <v>8.4603047313552532E-2</v>
      </c>
      <c r="AE355" s="31">
        <f t="shared" si="97"/>
        <v>491.75124298315956</v>
      </c>
    </row>
    <row r="356" spans="1:31" x14ac:dyDescent="0.25">
      <c r="A356" s="12" t="s">
        <v>1082</v>
      </c>
      <c r="B356" s="13">
        <v>46266.490532407406</v>
      </c>
      <c r="C356" s="12" t="s">
        <v>505</v>
      </c>
      <c r="D356" s="12" t="s">
        <v>553</v>
      </c>
      <c r="E356" s="26" t="str">
        <f t="shared" si="91"/>
        <v>EC40402</v>
      </c>
      <c r="F356" s="27" t="str">
        <f t="shared" si="92"/>
        <v>NOIR</v>
      </c>
      <c r="G356" s="27">
        <f>+VLOOKUP(F356,[1]base!A:B,2,0)</f>
        <v>37</v>
      </c>
      <c r="H356" s="12">
        <v>16</v>
      </c>
      <c r="I356" s="12">
        <v>16</v>
      </c>
      <c r="J356" s="14"/>
      <c r="K356" s="14" t="s">
        <v>61</v>
      </c>
      <c r="L356" s="12" t="s">
        <v>1085</v>
      </c>
      <c r="M356" s="12" t="s">
        <v>150</v>
      </c>
      <c r="N356" s="12">
        <v>16</v>
      </c>
      <c r="O356" s="12">
        <v>16</v>
      </c>
      <c r="P356" s="12">
        <v>0</v>
      </c>
      <c r="Q356" s="16">
        <v>44</v>
      </c>
      <c r="R356" s="16">
        <v>2</v>
      </c>
      <c r="S356" s="16"/>
      <c r="T356" s="28">
        <v>16</v>
      </c>
      <c r="U356" s="28"/>
      <c r="V356" s="29">
        <f>+VLOOKUP(E356,[1]base!D:K,8,0)</f>
        <v>4.2250000000000005</v>
      </c>
      <c r="W356" s="29">
        <f t="shared" si="93"/>
        <v>67.600000000000009</v>
      </c>
      <c r="X356" s="29">
        <f t="shared" si="94"/>
        <v>3.5152000000000001</v>
      </c>
      <c r="Y356" s="29">
        <f>+VLOOKUP(E356,[1]base!D:E,2,0)</f>
        <v>13</v>
      </c>
      <c r="Z356" s="29">
        <f t="shared" si="95"/>
        <v>2</v>
      </c>
      <c r="AA356" s="29">
        <f t="shared" si="96"/>
        <v>0.13333333333333339</v>
      </c>
      <c r="AB356" s="29">
        <f>+VLOOKUP(E356,[1]base!M:N,2,0)</f>
        <v>2283</v>
      </c>
      <c r="AC356" s="29">
        <f>+VLOOKUP(E356,[1]base!M:Q,5,0)</f>
        <v>1635.090909090909</v>
      </c>
      <c r="AD356" s="30">
        <f>+VLOOKUP(E356,[1]base!M:P,4,0)</f>
        <v>8.4603047313552532E-2</v>
      </c>
      <c r="AE356" s="31">
        <f t="shared" si="97"/>
        <v>491.75124298315956</v>
      </c>
    </row>
    <row r="357" spans="1:31" x14ac:dyDescent="0.25">
      <c r="A357" s="12" t="s">
        <v>1162</v>
      </c>
      <c r="B357" s="13">
        <v>46267.43309027778</v>
      </c>
      <c r="C357" s="12" t="s">
        <v>627</v>
      </c>
      <c r="D357" s="12" t="s">
        <v>553</v>
      </c>
      <c r="E357" s="26" t="str">
        <f t="shared" si="91"/>
        <v>EC40402</v>
      </c>
      <c r="F357" s="27" t="str">
        <f t="shared" si="92"/>
        <v>NOIR</v>
      </c>
      <c r="G357" s="27">
        <f>+VLOOKUP(F357,[1]base!A:B,2,0)</f>
        <v>37</v>
      </c>
      <c r="H357" s="12">
        <v>20</v>
      </c>
      <c r="I357" s="12">
        <v>20</v>
      </c>
      <c r="J357" s="14"/>
      <c r="K357" s="14" t="s">
        <v>61</v>
      </c>
      <c r="L357" s="12" t="s">
        <v>1181</v>
      </c>
      <c r="M357" s="12" t="s">
        <v>150</v>
      </c>
      <c r="N357" s="12">
        <v>20</v>
      </c>
      <c r="O357" s="12">
        <v>20</v>
      </c>
      <c r="P357" s="12">
        <v>0</v>
      </c>
      <c r="Q357" s="16">
        <v>20</v>
      </c>
      <c r="R357" s="16">
        <v>2</v>
      </c>
      <c r="S357" s="16"/>
      <c r="T357" s="28">
        <v>20</v>
      </c>
      <c r="U357" s="28"/>
      <c r="V357" s="29">
        <f>+VLOOKUP(E357,[1]base!D:K,8,0)</f>
        <v>4.2250000000000005</v>
      </c>
      <c r="W357" s="29">
        <f t="shared" si="93"/>
        <v>84.500000000000014</v>
      </c>
      <c r="X357" s="29">
        <f t="shared" si="94"/>
        <v>4.3940000000000001</v>
      </c>
      <c r="Y357" s="29">
        <f>+VLOOKUP(E357,[1]base!D:E,2,0)</f>
        <v>13</v>
      </c>
      <c r="Z357" s="29">
        <f t="shared" si="95"/>
        <v>2</v>
      </c>
      <c r="AA357" s="29">
        <f t="shared" si="96"/>
        <v>0.13333333333333339</v>
      </c>
      <c r="AB357" s="29">
        <f>+VLOOKUP(E357,[1]base!M:N,2,0)</f>
        <v>2283</v>
      </c>
      <c r="AC357" s="29">
        <f>+VLOOKUP(E357,[1]base!M:Q,5,0)</f>
        <v>1635.090909090909</v>
      </c>
      <c r="AD357" s="30">
        <f>+VLOOKUP(E357,[1]base!M:P,4,0)</f>
        <v>8.4603047313552532E-2</v>
      </c>
      <c r="AE357" s="31">
        <f t="shared" si="97"/>
        <v>491.75124298315956</v>
      </c>
    </row>
    <row r="358" spans="1:31" x14ac:dyDescent="0.25">
      <c r="A358" s="12" t="s">
        <v>1197</v>
      </c>
      <c r="B358" s="13">
        <v>46267.551539351851</v>
      </c>
      <c r="C358" s="12" t="s">
        <v>24</v>
      </c>
      <c r="D358" s="12" t="s">
        <v>553</v>
      </c>
      <c r="E358" s="26" t="str">
        <f t="shared" si="91"/>
        <v>EC40402</v>
      </c>
      <c r="F358" s="27" t="str">
        <f t="shared" si="92"/>
        <v>NOIR</v>
      </c>
      <c r="G358" s="27">
        <f>+VLOOKUP(F358,[1]base!A:B,2,0)</f>
        <v>37</v>
      </c>
      <c r="H358" s="12">
        <v>60</v>
      </c>
      <c r="I358" s="12">
        <v>60</v>
      </c>
      <c r="J358" s="14"/>
      <c r="K358" s="14" t="s">
        <v>61</v>
      </c>
      <c r="L358" s="12" t="s">
        <v>1210</v>
      </c>
      <c r="M358" s="12" t="s">
        <v>150</v>
      </c>
      <c r="N358" s="12">
        <v>60</v>
      </c>
      <c r="O358" s="12">
        <v>60</v>
      </c>
      <c r="P358" s="12">
        <v>0</v>
      </c>
      <c r="Q358" s="16">
        <v>280</v>
      </c>
      <c r="R358" s="16">
        <v>2</v>
      </c>
      <c r="S358" s="16"/>
      <c r="T358" s="28">
        <v>60</v>
      </c>
      <c r="U358" s="28"/>
      <c r="V358" s="29">
        <f>+VLOOKUP(E358,[1]base!D:K,8,0)</f>
        <v>4.2250000000000005</v>
      </c>
      <c r="W358" s="29">
        <f t="shared" si="93"/>
        <v>253.50000000000003</v>
      </c>
      <c r="X358" s="29">
        <f t="shared" si="94"/>
        <v>13.182</v>
      </c>
      <c r="Y358" s="29">
        <f>+VLOOKUP(E358,[1]base!D:E,2,0)</f>
        <v>13</v>
      </c>
      <c r="Z358" s="29">
        <f t="shared" si="95"/>
        <v>5</v>
      </c>
      <c r="AA358" s="29">
        <f t="shared" si="96"/>
        <v>0.33333333333333348</v>
      </c>
      <c r="AB358" s="29">
        <f>+VLOOKUP(E358,[1]base!M:N,2,0)</f>
        <v>2283</v>
      </c>
      <c r="AC358" s="29">
        <f>+VLOOKUP(E358,[1]base!M:Q,5,0)</f>
        <v>1635.090909090909</v>
      </c>
      <c r="AD358" s="30">
        <f>+VLOOKUP(E358,[1]base!M:P,4,0)</f>
        <v>8.4603047313552532E-2</v>
      </c>
      <c r="AE358" s="31">
        <f t="shared" si="97"/>
        <v>491.75124298315956</v>
      </c>
    </row>
    <row r="359" spans="1:31" x14ac:dyDescent="0.25">
      <c r="A359" s="12" t="s">
        <v>1264</v>
      </c>
      <c r="B359" s="13">
        <v>46268.598958333336</v>
      </c>
      <c r="C359" s="12" t="s">
        <v>522</v>
      </c>
      <c r="D359" s="12" t="s">
        <v>553</v>
      </c>
      <c r="E359" s="26" t="str">
        <f t="shared" si="91"/>
        <v>EC40402</v>
      </c>
      <c r="F359" s="27" t="str">
        <f t="shared" si="92"/>
        <v>NOIR</v>
      </c>
      <c r="G359" s="27">
        <f>+VLOOKUP(F359,[1]base!A:B,2,0)</f>
        <v>37</v>
      </c>
      <c r="H359" s="12">
        <v>30</v>
      </c>
      <c r="I359" s="12">
        <v>30</v>
      </c>
      <c r="J359" s="14"/>
      <c r="K359" s="14" t="s">
        <v>61</v>
      </c>
      <c r="L359" s="12" t="s">
        <v>1283</v>
      </c>
      <c r="M359" s="12" t="s">
        <v>150</v>
      </c>
      <c r="N359" s="12">
        <v>30</v>
      </c>
      <c r="O359" s="12">
        <v>30</v>
      </c>
      <c r="P359" s="12">
        <v>0</v>
      </c>
      <c r="Q359" s="16">
        <v>30</v>
      </c>
      <c r="R359" s="16">
        <v>2</v>
      </c>
      <c r="S359" s="16"/>
      <c r="T359" s="28">
        <v>30</v>
      </c>
      <c r="U359" s="28"/>
      <c r="V359" s="29">
        <f>+VLOOKUP(E359,[1]base!D:K,8,0)</f>
        <v>4.2250000000000005</v>
      </c>
      <c r="W359" s="29">
        <f t="shared" si="93"/>
        <v>126.75000000000001</v>
      </c>
      <c r="X359" s="29">
        <f t="shared" si="94"/>
        <v>6.5910000000000002</v>
      </c>
      <c r="Y359" s="29">
        <f>+VLOOKUP(E359,[1]base!D:E,2,0)</f>
        <v>13</v>
      </c>
      <c r="Z359" s="29">
        <f t="shared" si="95"/>
        <v>3</v>
      </c>
      <c r="AA359" s="29">
        <f t="shared" si="96"/>
        <v>0.20000000000000007</v>
      </c>
      <c r="AB359" s="29">
        <f>+VLOOKUP(E359,[1]base!M:N,2,0)</f>
        <v>2283</v>
      </c>
      <c r="AC359" s="29">
        <f>+VLOOKUP(E359,[1]base!M:Q,5,0)</f>
        <v>1635.090909090909</v>
      </c>
      <c r="AD359" s="30">
        <f>+VLOOKUP(E359,[1]base!M:P,4,0)</f>
        <v>8.4603047313552532E-2</v>
      </c>
      <c r="AE359" s="31">
        <f t="shared" si="97"/>
        <v>491.75124298315956</v>
      </c>
    </row>
    <row r="360" spans="1:31" x14ac:dyDescent="0.25">
      <c r="A360" s="12" t="s">
        <v>1291</v>
      </c>
      <c r="B360" s="13">
        <v>46269.280277777776</v>
      </c>
      <c r="C360" s="12" t="s">
        <v>266</v>
      </c>
      <c r="D360" s="12" t="s">
        <v>553</v>
      </c>
      <c r="E360" s="26" t="str">
        <f t="shared" si="91"/>
        <v>EC40402</v>
      </c>
      <c r="F360" s="27" t="str">
        <f t="shared" si="92"/>
        <v>NOIR</v>
      </c>
      <c r="G360" s="27">
        <f>+VLOOKUP(F360,[1]base!A:B,2,0)</f>
        <v>37</v>
      </c>
      <c r="H360" s="12">
        <v>32</v>
      </c>
      <c r="I360" s="12">
        <v>32</v>
      </c>
      <c r="J360" s="14"/>
      <c r="K360" s="14" t="s">
        <v>61</v>
      </c>
      <c r="L360" s="12" t="s">
        <v>1301</v>
      </c>
      <c r="M360" s="12" t="s">
        <v>150</v>
      </c>
      <c r="N360" s="12">
        <v>32</v>
      </c>
      <c r="O360" s="12">
        <v>32</v>
      </c>
      <c r="P360" s="12">
        <v>0</v>
      </c>
      <c r="Q360" s="16">
        <v>32</v>
      </c>
      <c r="R360" s="16">
        <v>2</v>
      </c>
      <c r="S360" s="16"/>
      <c r="T360" s="28">
        <v>32</v>
      </c>
      <c r="U360" s="28"/>
      <c r="V360" s="29">
        <f>+VLOOKUP(E360,[1]base!D:K,8,0)</f>
        <v>4.2250000000000005</v>
      </c>
      <c r="W360" s="29">
        <f t="shared" si="93"/>
        <v>135.20000000000002</v>
      </c>
      <c r="X360" s="29">
        <f t="shared" si="94"/>
        <v>7.0304000000000002</v>
      </c>
      <c r="Y360" s="29">
        <f>+VLOOKUP(E360,[1]base!D:E,2,0)</f>
        <v>13</v>
      </c>
      <c r="Z360" s="29">
        <f t="shared" si="95"/>
        <v>3</v>
      </c>
      <c r="AA360" s="29">
        <f t="shared" si="96"/>
        <v>0.20000000000000007</v>
      </c>
      <c r="AB360" s="29">
        <f>+VLOOKUP(E360,[1]base!M:N,2,0)</f>
        <v>2283</v>
      </c>
      <c r="AC360" s="29">
        <f>+VLOOKUP(E360,[1]base!M:Q,5,0)</f>
        <v>1635.090909090909</v>
      </c>
      <c r="AD360" s="30">
        <f>+VLOOKUP(E360,[1]base!M:P,4,0)</f>
        <v>8.4603047313552532E-2</v>
      </c>
      <c r="AE360" s="31">
        <f t="shared" si="97"/>
        <v>491.75124298315956</v>
      </c>
    </row>
    <row r="361" spans="1:31" x14ac:dyDescent="0.25">
      <c r="A361" s="12" t="s">
        <v>1292</v>
      </c>
      <c r="B361" s="13">
        <v>46269.281944444447</v>
      </c>
      <c r="C361" s="12" t="s">
        <v>398</v>
      </c>
      <c r="D361" s="12" t="s">
        <v>553</v>
      </c>
      <c r="E361" s="26" t="str">
        <f t="shared" si="91"/>
        <v>EC40402</v>
      </c>
      <c r="F361" s="27" t="str">
        <f t="shared" si="92"/>
        <v>NOIR</v>
      </c>
      <c r="G361" s="27">
        <f>+VLOOKUP(F361,[1]base!A:B,2,0)</f>
        <v>37</v>
      </c>
      <c r="H361" s="12">
        <v>20</v>
      </c>
      <c r="I361" s="12">
        <v>20</v>
      </c>
      <c r="J361" s="14"/>
      <c r="K361" s="14" t="s">
        <v>61</v>
      </c>
      <c r="L361" s="12" t="s">
        <v>1316</v>
      </c>
      <c r="M361" s="12" t="s">
        <v>150</v>
      </c>
      <c r="N361" s="12">
        <v>20</v>
      </c>
      <c r="O361" s="12">
        <v>20</v>
      </c>
      <c r="P361" s="12">
        <v>0</v>
      </c>
      <c r="Q361" s="16">
        <v>20</v>
      </c>
      <c r="R361" s="16">
        <v>2</v>
      </c>
      <c r="S361" s="16"/>
      <c r="T361" s="28">
        <v>20</v>
      </c>
      <c r="U361" s="28"/>
      <c r="V361" s="29">
        <f>+VLOOKUP(E361,[1]base!D:K,8,0)</f>
        <v>4.2250000000000005</v>
      </c>
      <c r="W361" s="29">
        <f t="shared" si="93"/>
        <v>84.500000000000014</v>
      </c>
      <c r="X361" s="29">
        <f t="shared" si="94"/>
        <v>4.3940000000000001</v>
      </c>
      <c r="Y361" s="29">
        <f>+VLOOKUP(E361,[1]base!D:E,2,0)</f>
        <v>13</v>
      </c>
      <c r="Z361" s="29">
        <f t="shared" si="95"/>
        <v>2</v>
      </c>
      <c r="AA361" s="29">
        <f t="shared" si="96"/>
        <v>0.13333333333333339</v>
      </c>
      <c r="AB361" s="29">
        <f>+VLOOKUP(E361,[1]base!M:N,2,0)</f>
        <v>2283</v>
      </c>
      <c r="AC361" s="29">
        <f>+VLOOKUP(E361,[1]base!M:Q,5,0)</f>
        <v>1635.090909090909</v>
      </c>
      <c r="AD361" s="30">
        <f>+VLOOKUP(E361,[1]base!M:P,4,0)</f>
        <v>8.4603047313552532E-2</v>
      </c>
      <c r="AE361" s="31">
        <f t="shared" si="97"/>
        <v>491.75124298315956</v>
      </c>
    </row>
    <row r="362" spans="1:31" x14ac:dyDescent="0.25">
      <c r="A362" s="12" t="s">
        <v>547</v>
      </c>
      <c r="B362" s="13">
        <v>46240.550856481481</v>
      </c>
      <c r="C362" s="12" t="s">
        <v>548</v>
      </c>
      <c r="D362" s="12" t="s">
        <v>560</v>
      </c>
      <c r="E362" s="26" t="str">
        <f t="shared" si="91"/>
        <v>EC40404</v>
      </c>
      <c r="F362" s="27" t="str">
        <f t="shared" si="92"/>
        <v>NOIR</v>
      </c>
      <c r="G362" s="27">
        <f>+VLOOKUP(F362,[1]base!A:B,2,0)</f>
        <v>37</v>
      </c>
      <c r="H362" s="12">
        <v>40</v>
      </c>
      <c r="I362" s="12">
        <v>40</v>
      </c>
      <c r="J362" s="14"/>
      <c r="K362" s="14" t="s">
        <v>61</v>
      </c>
      <c r="L362" s="12" t="s">
        <v>565</v>
      </c>
      <c r="M362" s="12" t="s">
        <v>150</v>
      </c>
      <c r="N362" s="12">
        <v>40</v>
      </c>
      <c r="O362" s="12">
        <v>40</v>
      </c>
      <c r="P362" s="12">
        <v>0</v>
      </c>
      <c r="Q362" s="16">
        <v>120</v>
      </c>
      <c r="R362" s="16">
        <v>0</v>
      </c>
      <c r="S362" s="16"/>
      <c r="T362" s="28">
        <v>40</v>
      </c>
      <c r="U362" s="28"/>
      <c r="V362" s="29">
        <f>+VLOOKUP(E362,[1]base!D:K,8,0)</f>
        <v>4.8879999999999999</v>
      </c>
      <c r="W362" s="29">
        <f t="shared" si="93"/>
        <v>195.51999999999998</v>
      </c>
      <c r="X362" s="29">
        <f t="shared" si="94"/>
        <v>10.167039999999998</v>
      </c>
      <c r="Y362" s="29">
        <f>+VLOOKUP(E362,[1]base!D:E,2,0)</f>
        <v>13</v>
      </c>
      <c r="Z362" s="29">
        <f t="shared" si="95"/>
        <v>4</v>
      </c>
      <c r="AA362" s="29">
        <f t="shared" si="96"/>
        <v>0.26666666666666677</v>
      </c>
      <c r="AB362" s="29">
        <f>+VLOOKUP(E362,[1]base!M:N,2,0)</f>
        <v>2357</v>
      </c>
      <c r="AC362" s="29">
        <f>+VLOOKUP(E362,[1]base!M:Q,5,0)</f>
        <v>1288.0999999999999</v>
      </c>
      <c r="AD362" s="30">
        <f>+VLOOKUP(E362,[1]base!M:P,4,0)</f>
        <v>5.112721417069243E-2</v>
      </c>
      <c r="AE362" s="31">
        <f t="shared" si="97"/>
        <v>586.59315619967788</v>
      </c>
    </row>
    <row r="363" spans="1:31" x14ac:dyDescent="0.25">
      <c r="A363" s="12" t="s">
        <v>698</v>
      </c>
      <c r="B363" s="13">
        <v>46254.525277777779</v>
      </c>
      <c r="C363" s="12" t="s">
        <v>511</v>
      </c>
      <c r="D363" s="12" t="s">
        <v>560</v>
      </c>
      <c r="E363" s="26" t="str">
        <f t="shared" si="91"/>
        <v>EC40404</v>
      </c>
      <c r="F363" s="27" t="str">
        <f t="shared" si="92"/>
        <v>NOIR</v>
      </c>
      <c r="G363" s="27">
        <f>+VLOOKUP(F363,[1]base!A:B,2,0)</f>
        <v>37</v>
      </c>
      <c r="H363" s="12">
        <v>10</v>
      </c>
      <c r="I363" s="12">
        <v>10</v>
      </c>
      <c r="J363" s="14"/>
      <c r="K363" s="14" t="s">
        <v>61</v>
      </c>
      <c r="L363" s="12" t="s">
        <v>704</v>
      </c>
      <c r="M363" s="12" t="s">
        <v>150</v>
      </c>
      <c r="N363" s="12">
        <v>10</v>
      </c>
      <c r="O363" s="12">
        <v>10</v>
      </c>
      <c r="P363" s="12">
        <v>0</v>
      </c>
      <c r="Q363" s="16">
        <v>10</v>
      </c>
      <c r="R363" s="16">
        <v>0</v>
      </c>
      <c r="S363" s="16"/>
      <c r="T363" s="28">
        <v>10</v>
      </c>
      <c r="U363" s="28"/>
      <c r="V363" s="29">
        <f>+VLOOKUP(E363,[1]base!D:K,8,0)</f>
        <v>4.8879999999999999</v>
      </c>
      <c r="W363" s="29">
        <f t="shared" si="93"/>
        <v>48.879999999999995</v>
      </c>
      <c r="X363" s="29">
        <f t="shared" si="94"/>
        <v>2.5417599999999996</v>
      </c>
      <c r="Y363" s="29">
        <f>+VLOOKUP(E363,[1]base!D:E,2,0)</f>
        <v>13</v>
      </c>
      <c r="Z363" s="29">
        <f t="shared" si="95"/>
        <v>1</v>
      </c>
      <c r="AA363" s="29">
        <f t="shared" si="96"/>
        <v>6.6666666666666693E-2</v>
      </c>
      <c r="AB363" s="29">
        <f>+VLOOKUP(E363,[1]base!M:N,2,0)</f>
        <v>2357</v>
      </c>
      <c r="AC363" s="29">
        <f>+VLOOKUP(E363,[1]base!M:Q,5,0)</f>
        <v>1288.0999999999999</v>
      </c>
      <c r="AD363" s="30">
        <f>+VLOOKUP(E363,[1]base!M:P,4,0)</f>
        <v>5.112721417069243E-2</v>
      </c>
      <c r="AE363" s="31">
        <f t="shared" si="97"/>
        <v>586.59315619967788</v>
      </c>
    </row>
    <row r="364" spans="1:31" x14ac:dyDescent="0.25">
      <c r="A364" s="12" t="s">
        <v>758</v>
      </c>
      <c r="B364" s="13">
        <v>46258.403113425928</v>
      </c>
      <c r="C364" s="12" t="s">
        <v>759</v>
      </c>
      <c r="D364" s="12" t="s">
        <v>560</v>
      </c>
      <c r="E364" s="26" t="str">
        <f t="shared" si="91"/>
        <v>EC40404</v>
      </c>
      <c r="F364" s="27" t="str">
        <f t="shared" si="92"/>
        <v>NOIR</v>
      </c>
      <c r="G364" s="27">
        <f>+VLOOKUP(F364,[1]base!A:B,2,0)</f>
        <v>37</v>
      </c>
      <c r="H364" s="12">
        <v>24</v>
      </c>
      <c r="I364" s="12">
        <v>24</v>
      </c>
      <c r="J364" s="14"/>
      <c r="K364" s="14" t="s">
        <v>61</v>
      </c>
      <c r="L364" s="12" t="s">
        <v>766</v>
      </c>
      <c r="M364" s="12" t="s">
        <v>150</v>
      </c>
      <c r="N364" s="12">
        <v>24</v>
      </c>
      <c r="O364" s="12">
        <v>24</v>
      </c>
      <c r="P364" s="12">
        <v>0</v>
      </c>
      <c r="Q364" s="16">
        <v>24</v>
      </c>
      <c r="R364" s="16">
        <v>0</v>
      </c>
      <c r="S364" s="16"/>
      <c r="T364" s="28">
        <v>24</v>
      </c>
      <c r="U364" s="28"/>
      <c r="V364" s="29">
        <f>+VLOOKUP(E364,[1]base!D:K,8,0)</f>
        <v>4.8879999999999999</v>
      </c>
      <c r="W364" s="29">
        <f t="shared" si="93"/>
        <v>117.312</v>
      </c>
      <c r="X364" s="29">
        <f t="shared" si="94"/>
        <v>6.1002239999999999</v>
      </c>
      <c r="Y364" s="29">
        <f>+VLOOKUP(E364,[1]base!D:E,2,0)</f>
        <v>13</v>
      </c>
      <c r="Z364" s="29">
        <f t="shared" si="95"/>
        <v>2</v>
      </c>
      <c r="AA364" s="29">
        <f t="shared" si="96"/>
        <v>0.13333333333333339</v>
      </c>
      <c r="AB364" s="29">
        <f>+VLOOKUP(E364,[1]base!M:N,2,0)</f>
        <v>2357</v>
      </c>
      <c r="AC364" s="29">
        <f>+VLOOKUP(E364,[1]base!M:Q,5,0)</f>
        <v>1288.0999999999999</v>
      </c>
      <c r="AD364" s="30">
        <f>+VLOOKUP(E364,[1]base!M:P,4,0)</f>
        <v>5.112721417069243E-2</v>
      </c>
      <c r="AE364" s="31">
        <f t="shared" si="97"/>
        <v>586.59315619967788</v>
      </c>
    </row>
    <row r="365" spans="1:31" x14ac:dyDescent="0.25">
      <c r="A365" s="12" t="s">
        <v>1197</v>
      </c>
      <c r="B365" s="13">
        <v>46267.551539351851</v>
      </c>
      <c r="C365" s="12" t="s">
        <v>24</v>
      </c>
      <c r="D365" s="12" t="s">
        <v>560</v>
      </c>
      <c r="E365" s="26" t="str">
        <f t="shared" si="91"/>
        <v>EC40404</v>
      </c>
      <c r="F365" s="27" t="str">
        <f t="shared" si="92"/>
        <v>NOIR</v>
      </c>
      <c r="G365" s="27">
        <f>+VLOOKUP(F365,[1]base!A:B,2,0)</f>
        <v>37</v>
      </c>
      <c r="H365" s="12">
        <v>40</v>
      </c>
      <c r="I365" s="12">
        <v>40</v>
      </c>
      <c r="J365" s="14"/>
      <c r="K365" s="14" t="s">
        <v>61</v>
      </c>
      <c r="L365" s="12" t="s">
        <v>1216</v>
      </c>
      <c r="M365" s="12" t="s">
        <v>150</v>
      </c>
      <c r="N365" s="12">
        <v>40</v>
      </c>
      <c r="O365" s="12">
        <v>40</v>
      </c>
      <c r="P365" s="12">
        <v>0</v>
      </c>
      <c r="Q365" s="16">
        <v>400</v>
      </c>
      <c r="R365" s="16">
        <v>0</v>
      </c>
      <c r="S365" s="16"/>
      <c r="T365" s="28">
        <v>40</v>
      </c>
      <c r="U365" s="28"/>
      <c r="V365" s="29">
        <f>+VLOOKUP(E365,[1]base!D:K,8,0)</f>
        <v>4.8879999999999999</v>
      </c>
      <c r="W365" s="29">
        <f t="shared" si="93"/>
        <v>195.51999999999998</v>
      </c>
      <c r="X365" s="29">
        <f t="shared" si="94"/>
        <v>10.167039999999998</v>
      </c>
      <c r="Y365" s="29">
        <f>+VLOOKUP(E365,[1]base!D:E,2,0)</f>
        <v>13</v>
      </c>
      <c r="Z365" s="29">
        <f t="shared" si="95"/>
        <v>4</v>
      </c>
      <c r="AA365" s="29">
        <f t="shared" si="96"/>
        <v>0.26666666666666677</v>
      </c>
      <c r="AB365" s="29">
        <f>+VLOOKUP(E365,[1]base!M:N,2,0)</f>
        <v>2357</v>
      </c>
      <c r="AC365" s="29">
        <f>+VLOOKUP(E365,[1]base!M:Q,5,0)</f>
        <v>1288.0999999999999</v>
      </c>
      <c r="AD365" s="30">
        <f>+VLOOKUP(E365,[1]base!M:P,4,0)</f>
        <v>5.112721417069243E-2</v>
      </c>
      <c r="AE365" s="31">
        <f t="shared" si="97"/>
        <v>586.59315619967788</v>
      </c>
    </row>
    <row r="366" spans="1:31" x14ac:dyDescent="0.25">
      <c r="A366" s="12" t="s">
        <v>1264</v>
      </c>
      <c r="B366" s="13">
        <v>46268.598958333336</v>
      </c>
      <c r="C366" s="12" t="s">
        <v>522</v>
      </c>
      <c r="D366" s="12" t="s">
        <v>560</v>
      </c>
      <c r="E366" s="26" t="str">
        <f t="shared" si="91"/>
        <v>EC40404</v>
      </c>
      <c r="F366" s="27" t="str">
        <f t="shared" si="92"/>
        <v>NOIR</v>
      </c>
      <c r="G366" s="27">
        <f>+VLOOKUP(F366,[1]base!A:B,2,0)</f>
        <v>37</v>
      </c>
      <c r="H366" s="12">
        <v>20</v>
      </c>
      <c r="I366" s="12">
        <v>20</v>
      </c>
      <c r="J366" s="14"/>
      <c r="K366" s="14" t="s">
        <v>61</v>
      </c>
      <c r="L366" s="12" t="s">
        <v>1285</v>
      </c>
      <c r="M366" s="12" t="s">
        <v>150</v>
      </c>
      <c r="N366" s="12">
        <v>20</v>
      </c>
      <c r="O366" s="12">
        <v>20</v>
      </c>
      <c r="P366" s="12">
        <v>0</v>
      </c>
      <c r="Q366" s="16">
        <v>20</v>
      </c>
      <c r="R366" s="16">
        <v>0</v>
      </c>
      <c r="S366" s="16"/>
      <c r="T366" s="28">
        <v>20</v>
      </c>
      <c r="U366" s="28"/>
      <c r="V366" s="29">
        <f>+VLOOKUP(E366,[1]base!D:K,8,0)</f>
        <v>4.8879999999999999</v>
      </c>
      <c r="W366" s="29">
        <f t="shared" si="93"/>
        <v>97.759999999999991</v>
      </c>
      <c r="X366" s="29">
        <f t="shared" si="94"/>
        <v>5.0835199999999992</v>
      </c>
      <c r="Y366" s="29">
        <f>+VLOOKUP(E366,[1]base!D:E,2,0)</f>
        <v>13</v>
      </c>
      <c r="Z366" s="29">
        <f t="shared" si="95"/>
        <v>2</v>
      </c>
      <c r="AA366" s="29">
        <f t="shared" si="96"/>
        <v>0.13333333333333339</v>
      </c>
      <c r="AB366" s="29">
        <f>+VLOOKUP(E366,[1]base!M:N,2,0)</f>
        <v>2357</v>
      </c>
      <c r="AC366" s="29">
        <f>+VLOOKUP(E366,[1]base!M:Q,5,0)</f>
        <v>1288.0999999999999</v>
      </c>
      <c r="AD366" s="30">
        <f>+VLOOKUP(E366,[1]base!M:P,4,0)</f>
        <v>5.112721417069243E-2</v>
      </c>
      <c r="AE366" s="31">
        <f t="shared" si="97"/>
        <v>586.59315619967788</v>
      </c>
    </row>
    <row r="367" spans="1:31" x14ac:dyDescent="0.25">
      <c r="A367" s="12" t="s">
        <v>758</v>
      </c>
      <c r="B367" s="13">
        <v>46258.403113425928</v>
      </c>
      <c r="C367" s="12" t="s">
        <v>759</v>
      </c>
      <c r="D367" s="12" t="s">
        <v>762</v>
      </c>
      <c r="E367" s="26" t="str">
        <f t="shared" si="91"/>
        <v>EC67101</v>
      </c>
      <c r="F367" s="27" t="str">
        <f t="shared" si="92"/>
        <v>NOIR</v>
      </c>
      <c r="G367" s="27">
        <f>+VLOOKUP(F367,[1]base!A:B,2,0)</f>
        <v>37</v>
      </c>
      <c r="H367" s="12">
        <v>8</v>
      </c>
      <c r="I367" s="12">
        <v>8</v>
      </c>
      <c r="J367" s="14"/>
      <c r="K367" s="14" t="s">
        <v>61</v>
      </c>
      <c r="L367" s="12" t="s">
        <v>764</v>
      </c>
      <c r="M367" s="12" t="s">
        <v>150</v>
      </c>
      <c r="N367" s="12">
        <v>8</v>
      </c>
      <c r="O367" s="12">
        <v>8</v>
      </c>
      <c r="P367" s="12">
        <v>0</v>
      </c>
      <c r="Q367" s="16">
        <v>8</v>
      </c>
      <c r="R367" s="16">
        <v>0</v>
      </c>
      <c r="S367" s="16"/>
      <c r="T367" s="28">
        <v>8</v>
      </c>
      <c r="U367" s="28"/>
      <c r="V367" s="29">
        <f>+VLOOKUP(E367,[1]base!D:K,8,0)</f>
        <v>4.9855</v>
      </c>
      <c r="W367" s="29">
        <f t="shared" si="93"/>
        <v>39.884</v>
      </c>
      <c r="X367" s="29">
        <f t="shared" si="94"/>
        <v>2.0739679999999998</v>
      </c>
      <c r="Y367" s="29">
        <f>+VLOOKUP(E367,[1]base!D:E,2,0)</f>
        <v>12</v>
      </c>
      <c r="Z367" s="29">
        <f t="shared" si="95"/>
        <v>1</v>
      </c>
      <c r="AA367" s="29">
        <f t="shared" si="96"/>
        <v>6.6666666666666693E-2</v>
      </c>
      <c r="AB367" s="29">
        <f>+VLOOKUP(E367,[1]base!M:N,2,0)</f>
        <v>919</v>
      </c>
      <c r="AC367" s="29">
        <f>+VLOOKUP(E367,[1]base!M:Q,5,0)</f>
        <v>200.44444444444446</v>
      </c>
      <c r="AD367" s="30">
        <f>+VLOOKUP(E367,[1]base!M:P,4,0)</f>
        <v>0.17578475336322871</v>
      </c>
      <c r="AE367" s="31">
        <f t="shared" si="97"/>
        <v>114.1538116591928</v>
      </c>
    </row>
    <row r="368" spans="1:31" x14ac:dyDescent="0.25">
      <c r="A368" s="12" t="s">
        <v>698</v>
      </c>
      <c r="B368" s="13">
        <v>46254.525277777779</v>
      </c>
      <c r="C368" s="12" t="s">
        <v>511</v>
      </c>
      <c r="D368" s="12" t="s">
        <v>701</v>
      </c>
      <c r="E368" s="26" t="str">
        <f t="shared" si="91"/>
        <v>EC67102</v>
      </c>
      <c r="F368" s="27" t="str">
        <f t="shared" si="92"/>
        <v>NOIR</v>
      </c>
      <c r="G368" s="27">
        <f>+VLOOKUP(F368,[1]base!A:B,2,0)</f>
        <v>37</v>
      </c>
      <c r="H368" s="12">
        <v>20</v>
      </c>
      <c r="I368" s="12">
        <v>20</v>
      </c>
      <c r="J368" s="14"/>
      <c r="K368" s="14" t="s">
        <v>61</v>
      </c>
      <c r="L368" s="12" t="s">
        <v>702</v>
      </c>
      <c r="M368" s="12" t="s">
        <v>150</v>
      </c>
      <c r="N368" s="12">
        <v>20</v>
      </c>
      <c r="O368" s="12">
        <v>20</v>
      </c>
      <c r="P368" s="12">
        <v>0</v>
      </c>
      <c r="Q368" s="16">
        <v>20</v>
      </c>
      <c r="R368" s="16">
        <v>0</v>
      </c>
      <c r="S368" s="16"/>
      <c r="T368" s="28">
        <v>20</v>
      </c>
      <c r="U368" s="28"/>
      <c r="V368" s="29">
        <f>+VLOOKUP(E368,[1]base!D:K,8,0)</f>
        <v>5.6355000000000004</v>
      </c>
      <c r="W368" s="29">
        <f t="shared" si="93"/>
        <v>112.71000000000001</v>
      </c>
      <c r="X368" s="29">
        <f t="shared" si="94"/>
        <v>5.8609200000000001</v>
      </c>
      <c r="Y368" s="29">
        <f>+VLOOKUP(E368,[1]base!D:E,2,0)</f>
        <v>12</v>
      </c>
      <c r="Z368" s="29">
        <f t="shared" si="95"/>
        <v>2</v>
      </c>
      <c r="AA368" s="29">
        <f t="shared" si="96"/>
        <v>0.13333333333333339</v>
      </c>
      <c r="AB368" s="29">
        <f>+VLOOKUP(E368,[1]base!M:N,2,0)</f>
        <v>9</v>
      </c>
      <c r="AC368" s="29">
        <f>+VLOOKUP(E368,[1]base!M:Q,5,0)</f>
        <v>159.33333333333334</v>
      </c>
      <c r="AD368" s="30">
        <f>+VLOOKUP(E368,[1]base!M:P,4,0)</f>
        <v>0.99268292682926829</v>
      </c>
      <c r="AE368" s="31">
        <f t="shared" si="97"/>
        <v>-6.234146341463414</v>
      </c>
    </row>
    <row r="369" spans="1:31" x14ac:dyDescent="0.25">
      <c r="A369" s="12" t="s">
        <v>758</v>
      </c>
      <c r="B369" s="13">
        <v>46258.403113425928</v>
      </c>
      <c r="C369" s="12" t="s">
        <v>759</v>
      </c>
      <c r="D369" s="12" t="s">
        <v>701</v>
      </c>
      <c r="E369" s="26" t="str">
        <f t="shared" si="91"/>
        <v>EC67102</v>
      </c>
      <c r="F369" s="27" t="str">
        <f t="shared" si="92"/>
        <v>NOIR</v>
      </c>
      <c r="G369" s="27">
        <f>+VLOOKUP(F369,[1]base!A:B,2,0)</f>
        <v>37</v>
      </c>
      <c r="H369" s="12">
        <v>8</v>
      </c>
      <c r="I369" s="12">
        <v>8</v>
      </c>
      <c r="J369" s="14"/>
      <c r="K369" s="14" t="s">
        <v>61</v>
      </c>
      <c r="L369" s="12" t="s">
        <v>765</v>
      </c>
      <c r="M369" s="12" t="s">
        <v>150</v>
      </c>
      <c r="N369" s="12">
        <v>8</v>
      </c>
      <c r="O369" s="12">
        <v>8</v>
      </c>
      <c r="P369" s="12">
        <v>0</v>
      </c>
      <c r="Q369" s="16">
        <v>8</v>
      </c>
      <c r="R369" s="16">
        <v>0</v>
      </c>
      <c r="S369" s="16"/>
      <c r="T369" s="28">
        <v>8</v>
      </c>
      <c r="U369" s="28"/>
      <c r="V369" s="29">
        <f>+VLOOKUP(E369,[1]base!D:K,8,0)</f>
        <v>5.6355000000000004</v>
      </c>
      <c r="W369" s="29">
        <f t="shared" si="93"/>
        <v>45.084000000000003</v>
      </c>
      <c r="X369" s="29">
        <f t="shared" si="94"/>
        <v>2.3443680000000002</v>
      </c>
      <c r="Y369" s="29">
        <f>+VLOOKUP(E369,[1]base!D:E,2,0)</f>
        <v>12</v>
      </c>
      <c r="Z369" s="29">
        <f t="shared" si="95"/>
        <v>1</v>
      </c>
      <c r="AA369" s="29">
        <f t="shared" si="96"/>
        <v>6.6666666666666693E-2</v>
      </c>
      <c r="AB369" s="29">
        <f>+VLOOKUP(E369,[1]base!M:N,2,0)</f>
        <v>9</v>
      </c>
      <c r="AC369" s="29">
        <f>+VLOOKUP(E369,[1]base!M:Q,5,0)</f>
        <v>159.33333333333334</v>
      </c>
      <c r="AD369" s="30">
        <f>+VLOOKUP(E369,[1]base!M:P,4,0)</f>
        <v>0.99268292682926829</v>
      </c>
      <c r="AE369" s="31">
        <f t="shared" si="97"/>
        <v>-6.234146341463414</v>
      </c>
    </row>
    <row r="370" spans="1:31" x14ac:dyDescent="0.25">
      <c r="A370" s="12" t="s">
        <v>706</v>
      </c>
      <c r="B370" s="13">
        <v>46254.622511574074</v>
      </c>
      <c r="C370" s="12" t="s">
        <v>522</v>
      </c>
      <c r="D370" s="12" t="s">
        <v>326</v>
      </c>
      <c r="E370" s="26" t="str">
        <f t="shared" si="91"/>
        <v>EC67103</v>
      </c>
      <c r="F370" s="27" t="str">
        <f t="shared" si="92"/>
        <v>NOIR</v>
      </c>
      <c r="G370" s="27">
        <f>+VLOOKUP(F370,[1]base!A:B,2,0)</f>
        <v>37</v>
      </c>
      <c r="H370" s="12">
        <v>40</v>
      </c>
      <c r="I370" s="12">
        <v>40</v>
      </c>
      <c r="J370" s="14"/>
      <c r="K370" s="14" t="s">
        <v>61</v>
      </c>
      <c r="L370" s="12" t="s">
        <v>708</v>
      </c>
      <c r="M370" s="12" t="s">
        <v>150</v>
      </c>
      <c r="N370" s="12">
        <v>40</v>
      </c>
      <c r="O370" s="12">
        <v>40</v>
      </c>
      <c r="P370" s="12">
        <v>0</v>
      </c>
      <c r="Q370" s="16">
        <v>40</v>
      </c>
      <c r="R370" s="16">
        <v>0</v>
      </c>
      <c r="S370" s="16"/>
      <c r="T370" s="28">
        <v>40</v>
      </c>
      <c r="U370" s="28"/>
      <c r="V370" s="29">
        <f>+VLOOKUP(E370,[1]base!D:K,8,0)</f>
        <v>6.0449999999999999</v>
      </c>
      <c r="W370" s="29">
        <f t="shared" si="93"/>
        <v>241.8</v>
      </c>
      <c r="X370" s="29">
        <f t="shared" si="94"/>
        <v>12.573600000000001</v>
      </c>
      <c r="Y370" s="29">
        <f>+VLOOKUP(E370,[1]base!D:E,2,0)</f>
        <v>12</v>
      </c>
      <c r="Z370" s="29">
        <f t="shared" si="95"/>
        <v>4</v>
      </c>
      <c r="AA370" s="29">
        <f t="shared" si="96"/>
        <v>0.26666666666666677</v>
      </c>
      <c r="AB370" s="29">
        <f>+VLOOKUP(E370,[1]base!M:N,2,0)</f>
        <v>683</v>
      </c>
      <c r="AC370" s="29">
        <f>+VLOOKUP(E370,[1]base!M:Q,5,0)</f>
        <v>720.75</v>
      </c>
      <c r="AD370" s="30">
        <f>+VLOOKUP(E370,[1]base!M:P,4,0)</f>
        <v>8.3221476510067116E-2</v>
      </c>
      <c r="AE370" s="31">
        <f t="shared" si="97"/>
        <v>148.05973154362414</v>
      </c>
    </row>
    <row r="371" spans="1:31" x14ac:dyDescent="0.25">
      <c r="A371" s="12" t="s">
        <v>750</v>
      </c>
      <c r="B371" s="13">
        <v>46256.457442129627</v>
      </c>
      <c r="C371" s="12" t="s">
        <v>751</v>
      </c>
      <c r="D371" s="12" t="s">
        <v>326</v>
      </c>
      <c r="E371" s="26" t="str">
        <f t="shared" si="91"/>
        <v>EC67103</v>
      </c>
      <c r="F371" s="27" t="str">
        <f t="shared" si="92"/>
        <v>NOIR</v>
      </c>
      <c r="G371" s="27">
        <f>+VLOOKUP(F371,[1]base!A:B,2,0)</f>
        <v>37</v>
      </c>
      <c r="H371" s="12">
        <v>20</v>
      </c>
      <c r="I371" s="12">
        <v>20</v>
      </c>
      <c r="J371" s="14"/>
      <c r="K371" s="14" t="s">
        <v>61</v>
      </c>
      <c r="L371" s="12" t="s">
        <v>753</v>
      </c>
      <c r="M371" s="12" t="s">
        <v>150</v>
      </c>
      <c r="N371" s="12">
        <v>20</v>
      </c>
      <c r="O371" s="12">
        <v>20</v>
      </c>
      <c r="P371" s="12">
        <v>0</v>
      </c>
      <c r="Q371" s="16">
        <v>40</v>
      </c>
      <c r="R371" s="16">
        <v>0</v>
      </c>
      <c r="S371" s="16"/>
      <c r="T371" s="28">
        <v>20</v>
      </c>
      <c r="U371" s="28"/>
      <c r="V371" s="29">
        <f>+VLOOKUP(E371,[1]base!D:K,8,0)</f>
        <v>6.0449999999999999</v>
      </c>
      <c r="W371" s="29">
        <f t="shared" si="93"/>
        <v>120.9</v>
      </c>
      <c r="X371" s="29">
        <f t="shared" si="94"/>
        <v>6.2868000000000004</v>
      </c>
      <c r="Y371" s="29">
        <f>+VLOOKUP(E371,[1]base!D:E,2,0)</f>
        <v>12</v>
      </c>
      <c r="Z371" s="29">
        <f t="shared" si="95"/>
        <v>2</v>
      </c>
      <c r="AA371" s="29">
        <f t="shared" si="96"/>
        <v>0.13333333333333339</v>
      </c>
      <c r="AB371" s="29">
        <f>+VLOOKUP(E371,[1]base!M:N,2,0)</f>
        <v>683</v>
      </c>
      <c r="AC371" s="29">
        <f>+VLOOKUP(E371,[1]base!M:Q,5,0)</f>
        <v>720.75</v>
      </c>
      <c r="AD371" s="30">
        <f>+VLOOKUP(E371,[1]base!M:P,4,0)</f>
        <v>8.3221476510067116E-2</v>
      </c>
      <c r="AE371" s="31">
        <f t="shared" si="97"/>
        <v>148.05973154362414</v>
      </c>
    </row>
    <row r="372" spans="1:31" x14ac:dyDescent="0.25">
      <c r="A372" s="12" t="s">
        <v>758</v>
      </c>
      <c r="B372" s="13">
        <v>46258.403113425928</v>
      </c>
      <c r="C372" s="12" t="s">
        <v>759</v>
      </c>
      <c r="D372" s="12" t="s">
        <v>326</v>
      </c>
      <c r="E372" s="26" t="str">
        <f t="shared" si="91"/>
        <v>EC67103</v>
      </c>
      <c r="F372" s="27" t="str">
        <f t="shared" si="92"/>
        <v>NOIR</v>
      </c>
      <c r="G372" s="27">
        <f>+VLOOKUP(F372,[1]base!A:B,2,0)</f>
        <v>37</v>
      </c>
      <c r="H372" s="12">
        <v>24</v>
      </c>
      <c r="I372" s="12">
        <v>24</v>
      </c>
      <c r="J372" s="14"/>
      <c r="K372" s="14" t="s">
        <v>61</v>
      </c>
      <c r="L372" s="12" t="s">
        <v>768</v>
      </c>
      <c r="M372" s="12" t="s">
        <v>150</v>
      </c>
      <c r="N372" s="12">
        <v>24</v>
      </c>
      <c r="O372" s="12">
        <v>24</v>
      </c>
      <c r="P372" s="12">
        <v>0</v>
      </c>
      <c r="Q372" s="16">
        <v>24</v>
      </c>
      <c r="R372" s="16">
        <v>0</v>
      </c>
      <c r="S372" s="16"/>
      <c r="T372" s="28">
        <v>24</v>
      </c>
      <c r="U372" s="28"/>
      <c r="V372" s="29">
        <f>+VLOOKUP(E372,[1]base!D:K,8,0)</f>
        <v>6.0449999999999999</v>
      </c>
      <c r="W372" s="29">
        <f t="shared" si="93"/>
        <v>145.07999999999998</v>
      </c>
      <c r="X372" s="29">
        <f t="shared" si="94"/>
        <v>7.5441599999999989</v>
      </c>
      <c r="Y372" s="29">
        <f>+VLOOKUP(E372,[1]base!D:E,2,0)</f>
        <v>12</v>
      </c>
      <c r="Z372" s="29">
        <f t="shared" si="95"/>
        <v>2</v>
      </c>
      <c r="AA372" s="29">
        <f t="shared" si="96"/>
        <v>0.13333333333333339</v>
      </c>
      <c r="AB372" s="29">
        <f>+VLOOKUP(E372,[1]base!M:N,2,0)</f>
        <v>683</v>
      </c>
      <c r="AC372" s="29">
        <f>+VLOOKUP(E372,[1]base!M:Q,5,0)</f>
        <v>720.75</v>
      </c>
      <c r="AD372" s="30">
        <f>+VLOOKUP(E372,[1]base!M:P,4,0)</f>
        <v>8.3221476510067116E-2</v>
      </c>
      <c r="AE372" s="31">
        <f t="shared" si="97"/>
        <v>148.05973154362414</v>
      </c>
    </row>
    <row r="373" spans="1:31" x14ac:dyDescent="0.25">
      <c r="A373" s="12" t="s">
        <v>777</v>
      </c>
      <c r="B373" s="13">
        <v>46258.578530092593</v>
      </c>
      <c r="C373" s="12" t="s">
        <v>778</v>
      </c>
      <c r="D373" s="12" t="s">
        <v>326</v>
      </c>
      <c r="E373" s="26" t="str">
        <f t="shared" si="91"/>
        <v>EC67103</v>
      </c>
      <c r="F373" s="27" t="str">
        <f t="shared" si="92"/>
        <v>NOIR</v>
      </c>
      <c r="G373" s="27">
        <f>+VLOOKUP(F373,[1]base!A:B,2,0)</f>
        <v>37</v>
      </c>
      <c r="H373" s="12">
        <v>20</v>
      </c>
      <c r="I373" s="12">
        <v>20</v>
      </c>
      <c r="J373" s="14"/>
      <c r="K373" s="14" t="s">
        <v>61</v>
      </c>
      <c r="L373" s="12" t="s">
        <v>782</v>
      </c>
      <c r="M373" s="12" t="s">
        <v>150</v>
      </c>
      <c r="N373" s="12">
        <v>20</v>
      </c>
      <c r="O373" s="12">
        <v>20</v>
      </c>
      <c r="P373" s="12">
        <v>0</v>
      </c>
      <c r="Q373" s="16">
        <v>20</v>
      </c>
      <c r="R373" s="16">
        <v>0</v>
      </c>
      <c r="S373" s="16"/>
      <c r="T373" s="28">
        <v>20</v>
      </c>
      <c r="U373" s="28"/>
      <c r="V373" s="29">
        <f>+VLOOKUP(E373,[1]base!D:K,8,0)</f>
        <v>6.0449999999999999</v>
      </c>
      <c r="W373" s="29">
        <f t="shared" si="93"/>
        <v>120.9</v>
      </c>
      <c r="X373" s="29">
        <f t="shared" si="94"/>
        <v>6.2868000000000004</v>
      </c>
      <c r="Y373" s="29">
        <f>+VLOOKUP(E373,[1]base!D:E,2,0)</f>
        <v>12</v>
      </c>
      <c r="Z373" s="29">
        <f t="shared" si="95"/>
        <v>2</v>
      </c>
      <c r="AA373" s="29">
        <f t="shared" si="96"/>
        <v>0.13333333333333339</v>
      </c>
      <c r="AB373" s="29">
        <f>+VLOOKUP(E373,[1]base!M:N,2,0)</f>
        <v>683</v>
      </c>
      <c r="AC373" s="29">
        <f>+VLOOKUP(E373,[1]base!M:Q,5,0)</f>
        <v>720.75</v>
      </c>
      <c r="AD373" s="30">
        <f>+VLOOKUP(E373,[1]base!M:P,4,0)</f>
        <v>8.3221476510067116E-2</v>
      </c>
      <c r="AE373" s="31">
        <f t="shared" si="97"/>
        <v>148.05973154362414</v>
      </c>
    </row>
    <row r="374" spans="1:31" x14ac:dyDescent="0.25">
      <c r="A374" s="12" t="s">
        <v>837</v>
      </c>
      <c r="B374" s="13">
        <v>46260.566678240742</v>
      </c>
      <c r="C374" s="12" t="s">
        <v>522</v>
      </c>
      <c r="D374" s="12" t="s">
        <v>326</v>
      </c>
      <c r="E374" s="26" t="str">
        <f t="shared" si="91"/>
        <v>EC67103</v>
      </c>
      <c r="F374" s="27" t="str">
        <f t="shared" si="92"/>
        <v>NOIR</v>
      </c>
      <c r="G374" s="27">
        <f>+VLOOKUP(F374,[1]base!A:B,2,0)</f>
        <v>37</v>
      </c>
      <c r="H374" s="12">
        <v>20</v>
      </c>
      <c r="I374" s="12">
        <v>20</v>
      </c>
      <c r="J374" s="14"/>
      <c r="K374" s="14" t="s">
        <v>61</v>
      </c>
      <c r="L374" s="12" t="s">
        <v>839</v>
      </c>
      <c r="M374" s="12" t="s">
        <v>150</v>
      </c>
      <c r="N374" s="12">
        <v>20</v>
      </c>
      <c r="O374" s="12">
        <v>20</v>
      </c>
      <c r="P374" s="12">
        <v>0</v>
      </c>
      <c r="Q374" s="16">
        <v>20</v>
      </c>
      <c r="R374" s="16">
        <v>0</v>
      </c>
      <c r="S374" s="16"/>
      <c r="T374" s="28">
        <v>20</v>
      </c>
      <c r="U374" s="28"/>
      <c r="V374" s="29">
        <f>+VLOOKUP(E374,[1]base!D:K,8,0)</f>
        <v>6.0449999999999999</v>
      </c>
      <c r="W374" s="29">
        <f t="shared" si="93"/>
        <v>120.9</v>
      </c>
      <c r="X374" s="29">
        <f t="shared" si="94"/>
        <v>6.2868000000000004</v>
      </c>
      <c r="Y374" s="29">
        <f>+VLOOKUP(E374,[1]base!D:E,2,0)</f>
        <v>12</v>
      </c>
      <c r="Z374" s="29">
        <f t="shared" si="95"/>
        <v>2</v>
      </c>
      <c r="AA374" s="29">
        <f t="shared" si="96"/>
        <v>0.13333333333333339</v>
      </c>
      <c r="AB374" s="29">
        <f>+VLOOKUP(E374,[1]base!M:N,2,0)</f>
        <v>683</v>
      </c>
      <c r="AC374" s="29">
        <f>+VLOOKUP(E374,[1]base!M:Q,5,0)</f>
        <v>720.75</v>
      </c>
      <c r="AD374" s="30">
        <f>+VLOOKUP(E374,[1]base!M:P,4,0)</f>
        <v>8.3221476510067116E-2</v>
      </c>
      <c r="AE374" s="31">
        <f t="shared" si="97"/>
        <v>148.05973154362414</v>
      </c>
    </row>
    <row r="375" spans="1:31" x14ac:dyDescent="0.25">
      <c r="A375" s="12" t="s">
        <v>1261</v>
      </c>
      <c r="B375" s="13">
        <v>46268.598449074074</v>
      </c>
      <c r="C375" s="12" t="s">
        <v>522</v>
      </c>
      <c r="D375" s="12" t="s">
        <v>326</v>
      </c>
      <c r="E375" s="26" t="str">
        <f t="shared" ref="E375:E406" si="98">_xlfn.TEXTBEFORE(D375, "-", -1, 1, , D375)</f>
        <v>EC67103</v>
      </c>
      <c r="F375" s="27" t="str">
        <f t="shared" ref="F375:F406" si="99">_xlfn.TEXTAFTER(D375, "-", -1, 1, , "")</f>
        <v>NOIR</v>
      </c>
      <c r="G375" s="27">
        <f>+VLOOKUP(F375,[1]base!A:B,2,0)</f>
        <v>37</v>
      </c>
      <c r="H375" s="12">
        <v>50</v>
      </c>
      <c r="I375" s="12">
        <v>50</v>
      </c>
      <c r="J375" s="14"/>
      <c r="K375" s="14" t="s">
        <v>61</v>
      </c>
      <c r="L375" s="12" t="s">
        <v>1272</v>
      </c>
      <c r="M375" s="12" t="s">
        <v>150</v>
      </c>
      <c r="N375" s="12">
        <v>50</v>
      </c>
      <c r="O375" s="12">
        <v>50</v>
      </c>
      <c r="P375" s="12">
        <v>0</v>
      </c>
      <c r="Q375" s="16">
        <v>50</v>
      </c>
      <c r="R375" s="16">
        <v>0</v>
      </c>
      <c r="S375" s="16"/>
      <c r="T375" s="28">
        <v>50</v>
      </c>
      <c r="U375" s="28"/>
      <c r="V375" s="29">
        <f>+VLOOKUP(E375,[1]base!D:K,8,0)</f>
        <v>6.0449999999999999</v>
      </c>
      <c r="W375" s="29">
        <f t="shared" ref="W375:W406" si="100">(T375+U375)*V375</f>
        <v>302.25</v>
      </c>
      <c r="X375" s="29">
        <f t="shared" ref="X375:X406" si="101">+W375*0.052</f>
        <v>15.716999999999999</v>
      </c>
      <c r="Y375" s="29">
        <f>+VLOOKUP(E375,[1]base!D:E,2,0)</f>
        <v>12</v>
      </c>
      <c r="Z375" s="29">
        <f t="shared" ref="Z375:Z406" si="102">ROUNDUP(T375/Y375,0)</f>
        <v>5</v>
      </c>
      <c r="AA375" s="29">
        <f t="shared" ref="AA375:AA406" si="103">+Z375*0.0666666666666667</f>
        <v>0.33333333333333348</v>
      </c>
      <c r="AB375" s="29">
        <f>+VLOOKUP(E375,[1]base!M:N,2,0)</f>
        <v>683</v>
      </c>
      <c r="AC375" s="29">
        <f>+VLOOKUP(E375,[1]base!M:Q,5,0)</f>
        <v>720.75</v>
      </c>
      <c r="AD375" s="30">
        <f>+VLOOKUP(E375,[1]base!M:P,4,0)</f>
        <v>8.3221476510067116E-2</v>
      </c>
      <c r="AE375" s="31">
        <f t="shared" ref="AE375:AE406" si="104">+AB375*(30%-AD375)</f>
        <v>148.05973154362414</v>
      </c>
    </row>
    <row r="376" spans="1:31" x14ac:dyDescent="0.25">
      <c r="A376" s="12" t="s">
        <v>1291</v>
      </c>
      <c r="B376" s="13">
        <v>46269.280277777776</v>
      </c>
      <c r="C376" s="12" t="s">
        <v>266</v>
      </c>
      <c r="D376" s="12" t="s">
        <v>326</v>
      </c>
      <c r="E376" s="26" t="str">
        <f t="shared" si="98"/>
        <v>EC67103</v>
      </c>
      <c r="F376" s="27" t="str">
        <f t="shared" si="99"/>
        <v>NOIR</v>
      </c>
      <c r="G376" s="27">
        <f>+VLOOKUP(F376,[1]base!A:B,2,0)</f>
        <v>37</v>
      </c>
      <c r="H376" s="12">
        <v>40</v>
      </c>
      <c r="I376" s="12">
        <v>40</v>
      </c>
      <c r="J376" s="14"/>
      <c r="K376" s="14" t="s">
        <v>61</v>
      </c>
      <c r="L376" s="12" t="s">
        <v>1302</v>
      </c>
      <c r="M376" s="12" t="s">
        <v>150</v>
      </c>
      <c r="N376" s="12">
        <v>40</v>
      </c>
      <c r="O376" s="12">
        <v>40</v>
      </c>
      <c r="P376" s="12">
        <v>0</v>
      </c>
      <c r="Q376" s="16">
        <v>40</v>
      </c>
      <c r="R376" s="16">
        <v>0</v>
      </c>
      <c r="S376" s="16"/>
      <c r="T376" s="28">
        <v>40</v>
      </c>
      <c r="U376" s="28"/>
      <c r="V376" s="29">
        <f>+VLOOKUP(E376,[1]base!D:K,8,0)</f>
        <v>6.0449999999999999</v>
      </c>
      <c r="W376" s="29">
        <f t="shared" si="100"/>
        <v>241.8</v>
      </c>
      <c r="X376" s="29">
        <f t="shared" si="101"/>
        <v>12.573600000000001</v>
      </c>
      <c r="Y376" s="29">
        <f>+VLOOKUP(E376,[1]base!D:E,2,0)</f>
        <v>12</v>
      </c>
      <c r="Z376" s="29">
        <f t="shared" si="102"/>
        <v>4</v>
      </c>
      <c r="AA376" s="29">
        <f t="shared" si="103"/>
        <v>0.26666666666666677</v>
      </c>
      <c r="AB376" s="29">
        <f>+VLOOKUP(E376,[1]base!M:N,2,0)</f>
        <v>683</v>
      </c>
      <c r="AC376" s="29">
        <f>+VLOOKUP(E376,[1]base!M:Q,5,0)</f>
        <v>720.75</v>
      </c>
      <c r="AD376" s="30">
        <f>+VLOOKUP(E376,[1]base!M:P,4,0)</f>
        <v>8.3221476510067116E-2</v>
      </c>
      <c r="AE376" s="31">
        <f t="shared" si="104"/>
        <v>148.05973154362414</v>
      </c>
    </row>
    <row r="377" spans="1:31" x14ac:dyDescent="0.25">
      <c r="A377" s="12" t="s">
        <v>1562</v>
      </c>
      <c r="B377" s="13">
        <v>46274.635497685187</v>
      </c>
      <c r="C377" s="12" t="s">
        <v>484</v>
      </c>
      <c r="D377" s="12" t="s">
        <v>326</v>
      </c>
      <c r="E377" s="26" t="str">
        <f t="shared" si="98"/>
        <v>EC67103</v>
      </c>
      <c r="F377" s="27" t="str">
        <f t="shared" si="99"/>
        <v>NOIR</v>
      </c>
      <c r="G377" s="27">
        <f>+VLOOKUP(F377,[1]base!A:B,2,0)</f>
        <v>37</v>
      </c>
      <c r="H377" s="12">
        <v>30</v>
      </c>
      <c r="I377" s="12">
        <v>30</v>
      </c>
      <c r="J377" s="14"/>
      <c r="K377" s="14" t="s">
        <v>61</v>
      </c>
      <c r="L377" s="12" t="s">
        <v>1565</v>
      </c>
      <c r="M377" s="12" t="s">
        <v>150</v>
      </c>
      <c r="N377" s="12">
        <v>30</v>
      </c>
      <c r="O377" s="12">
        <v>30</v>
      </c>
      <c r="P377" s="12">
        <v>0</v>
      </c>
      <c r="Q377" s="16">
        <v>30</v>
      </c>
      <c r="R377" s="16">
        <v>0</v>
      </c>
      <c r="S377" s="16"/>
      <c r="T377" s="28">
        <v>30</v>
      </c>
      <c r="U377" s="28"/>
      <c r="V377" s="29">
        <f>+VLOOKUP(E377,[1]base!D:K,8,0)</f>
        <v>6.0449999999999999</v>
      </c>
      <c r="W377" s="29">
        <f t="shared" si="100"/>
        <v>181.35</v>
      </c>
      <c r="X377" s="29">
        <f t="shared" si="101"/>
        <v>9.4301999999999992</v>
      </c>
      <c r="Y377" s="29">
        <f>+VLOOKUP(E377,[1]base!D:E,2,0)</f>
        <v>12</v>
      </c>
      <c r="Z377" s="29">
        <f t="shared" si="102"/>
        <v>3</v>
      </c>
      <c r="AA377" s="29">
        <f t="shared" si="103"/>
        <v>0.20000000000000007</v>
      </c>
      <c r="AB377" s="29">
        <f>+VLOOKUP(E377,[1]base!M:N,2,0)</f>
        <v>683</v>
      </c>
      <c r="AC377" s="29">
        <f>+VLOOKUP(E377,[1]base!M:Q,5,0)</f>
        <v>720.75</v>
      </c>
      <c r="AD377" s="30">
        <f>+VLOOKUP(E377,[1]base!M:P,4,0)</f>
        <v>8.3221476510067116E-2</v>
      </c>
      <c r="AE377" s="31">
        <f t="shared" si="104"/>
        <v>148.05973154362414</v>
      </c>
    </row>
    <row r="378" spans="1:31" x14ac:dyDescent="0.25">
      <c r="A378" s="12" t="s">
        <v>1291</v>
      </c>
      <c r="B378" s="13">
        <v>46269.280277777776</v>
      </c>
      <c r="C378" s="12" t="s">
        <v>266</v>
      </c>
      <c r="D378" s="12" t="s">
        <v>1267</v>
      </c>
      <c r="E378" s="26" t="str">
        <f t="shared" si="98"/>
        <v>EC67104</v>
      </c>
      <c r="F378" s="27" t="str">
        <f t="shared" si="99"/>
        <v>NOIR</v>
      </c>
      <c r="G378" s="27">
        <f>+VLOOKUP(F378,[1]base!A:B,2,0)</f>
        <v>37</v>
      </c>
      <c r="H378" s="12">
        <v>20</v>
      </c>
      <c r="I378" s="12">
        <v>20</v>
      </c>
      <c r="J378" s="14"/>
      <c r="K378" s="14" t="s">
        <v>61</v>
      </c>
      <c r="L378" s="12" t="s">
        <v>1303</v>
      </c>
      <c r="M378" s="12" t="s">
        <v>150</v>
      </c>
      <c r="N378" s="12">
        <v>20</v>
      </c>
      <c r="O378" s="12">
        <v>20</v>
      </c>
      <c r="P378" s="12">
        <v>0</v>
      </c>
      <c r="Q378" s="16">
        <v>20</v>
      </c>
      <c r="R378" s="16">
        <v>0</v>
      </c>
      <c r="S378" s="16"/>
      <c r="T378" s="28">
        <v>20</v>
      </c>
      <c r="U378" s="28"/>
      <c r="V378" s="29">
        <f>+VLOOKUP(E378,[1]base!D:K,8,0)</f>
        <v>3.8739999999999997</v>
      </c>
      <c r="W378" s="29">
        <f t="shared" si="100"/>
        <v>77.47999999999999</v>
      </c>
      <c r="X378" s="29">
        <f t="shared" si="101"/>
        <v>4.0289599999999997</v>
      </c>
      <c r="Y378" s="29">
        <f>+VLOOKUP(E378,[1]base!D:E,2,0)</f>
        <v>13</v>
      </c>
      <c r="Z378" s="29">
        <f t="shared" si="102"/>
        <v>2</v>
      </c>
      <c r="AA378" s="29">
        <f t="shared" si="103"/>
        <v>0.13333333333333339</v>
      </c>
      <c r="AB378" s="29">
        <f>+VLOOKUP(E378,[1]base!M:N,2,0)</f>
        <v>1227</v>
      </c>
      <c r="AC378" s="29">
        <f>+VLOOKUP(E378,[1]base!M:Q,5,0)</f>
        <v>409.875</v>
      </c>
      <c r="AD378" s="30">
        <f>+VLOOKUP(E378,[1]base!M:P,4,0)</f>
        <v>2.3089171974522291E-2</v>
      </c>
      <c r="AE378" s="31">
        <f t="shared" si="104"/>
        <v>339.76958598726111</v>
      </c>
    </row>
    <row r="379" spans="1:31" x14ac:dyDescent="0.25">
      <c r="A379" s="12" t="s">
        <v>1562</v>
      </c>
      <c r="B379" s="13">
        <v>46274.635497685187</v>
      </c>
      <c r="C379" s="12" t="s">
        <v>484</v>
      </c>
      <c r="D379" s="12" t="s">
        <v>1267</v>
      </c>
      <c r="E379" s="26" t="str">
        <f t="shared" si="98"/>
        <v>EC67104</v>
      </c>
      <c r="F379" s="27" t="str">
        <f t="shared" si="99"/>
        <v>NOIR</v>
      </c>
      <c r="G379" s="27">
        <f>+VLOOKUP(F379,[1]base!A:B,2,0)</f>
        <v>37</v>
      </c>
      <c r="H379" s="12">
        <v>30</v>
      </c>
      <c r="I379" s="12">
        <v>30</v>
      </c>
      <c r="J379" s="14"/>
      <c r="K379" s="14" t="s">
        <v>61</v>
      </c>
      <c r="L379" s="12" t="s">
        <v>1566</v>
      </c>
      <c r="M379" s="12" t="s">
        <v>150</v>
      </c>
      <c r="N379" s="12">
        <v>30</v>
      </c>
      <c r="O379" s="12">
        <v>30</v>
      </c>
      <c r="P379" s="12">
        <v>0</v>
      </c>
      <c r="Q379" s="16">
        <v>30</v>
      </c>
      <c r="R379" s="16">
        <v>0</v>
      </c>
      <c r="S379" s="16"/>
      <c r="T379" s="28">
        <v>30</v>
      </c>
      <c r="U379" s="28"/>
      <c r="V379" s="29">
        <f>+VLOOKUP(E379,[1]base!D:K,8,0)</f>
        <v>3.8739999999999997</v>
      </c>
      <c r="W379" s="29">
        <f t="shared" si="100"/>
        <v>116.21999999999998</v>
      </c>
      <c r="X379" s="29">
        <f t="shared" si="101"/>
        <v>6.0434399999999986</v>
      </c>
      <c r="Y379" s="29">
        <f>+VLOOKUP(E379,[1]base!D:E,2,0)</f>
        <v>13</v>
      </c>
      <c r="Z379" s="29">
        <f t="shared" si="102"/>
        <v>3</v>
      </c>
      <c r="AA379" s="29">
        <f t="shared" si="103"/>
        <v>0.20000000000000007</v>
      </c>
      <c r="AB379" s="29">
        <f>+VLOOKUP(E379,[1]base!M:N,2,0)</f>
        <v>1227</v>
      </c>
      <c r="AC379" s="29">
        <f>+VLOOKUP(E379,[1]base!M:Q,5,0)</f>
        <v>409.875</v>
      </c>
      <c r="AD379" s="30">
        <f>+VLOOKUP(E379,[1]base!M:P,4,0)</f>
        <v>2.3089171974522291E-2</v>
      </c>
      <c r="AE379" s="31">
        <f t="shared" si="104"/>
        <v>339.76958598726111</v>
      </c>
    </row>
    <row r="380" spans="1:31" x14ac:dyDescent="0.25">
      <c r="A380" s="12" t="s">
        <v>758</v>
      </c>
      <c r="B380" s="13">
        <v>46258.403113425928</v>
      </c>
      <c r="C380" s="12" t="s">
        <v>759</v>
      </c>
      <c r="D380" s="12" t="s">
        <v>767</v>
      </c>
      <c r="E380" s="26" t="str">
        <f t="shared" si="98"/>
        <v>EC67105</v>
      </c>
      <c r="F380" s="27" t="str">
        <f t="shared" si="99"/>
        <v>NOIR</v>
      </c>
      <c r="G380" s="27">
        <f>+VLOOKUP(F380,[1]base!A:B,2,0)</f>
        <v>37</v>
      </c>
      <c r="H380" s="12">
        <v>24</v>
      </c>
      <c r="I380" s="12">
        <v>24</v>
      </c>
      <c r="J380" s="14"/>
      <c r="K380" s="14" t="s">
        <v>61</v>
      </c>
      <c r="L380" s="12" t="s">
        <v>769</v>
      </c>
      <c r="M380" s="12" t="s">
        <v>150</v>
      </c>
      <c r="N380" s="12">
        <v>24</v>
      </c>
      <c r="O380" s="12">
        <v>24</v>
      </c>
      <c r="P380" s="12">
        <v>0</v>
      </c>
      <c r="Q380" s="16">
        <v>24</v>
      </c>
      <c r="R380" s="16">
        <v>0</v>
      </c>
      <c r="S380" s="16"/>
      <c r="T380" s="28">
        <v>24</v>
      </c>
      <c r="U380" s="28"/>
      <c r="V380" s="29">
        <f>+VLOOKUP(E380,[1]base!D:K,8,0)</f>
        <v>2.9445000000000001</v>
      </c>
      <c r="W380" s="29">
        <f t="shared" si="100"/>
        <v>70.668000000000006</v>
      </c>
      <c r="X380" s="29">
        <f t="shared" si="101"/>
        <v>3.6747360000000002</v>
      </c>
      <c r="Y380" s="29">
        <f>+VLOOKUP(E380,[1]base!D:E,2,0)</f>
        <v>13</v>
      </c>
      <c r="Z380" s="29">
        <f t="shared" si="102"/>
        <v>2</v>
      </c>
      <c r="AA380" s="29">
        <f t="shared" si="103"/>
        <v>0.13333333333333339</v>
      </c>
      <c r="AB380" s="29">
        <f>+VLOOKUP(E380,[1]base!M:N,2,0)</f>
        <v>78</v>
      </c>
      <c r="AC380" s="29">
        <f>+VLOOKUP(E380,[1]base!M:Q,5,0)</f>
        <v>520.63636363636363</v>
      </c>
      <c r="AD380" s="30">
        <f>+VLOOKUP(E380,[1]base!M:P,4,0)</f>
        <v>0.68421052631578949</v>
      </c>
      <c r="AE380" s="31">
        <f t="shared" si="104"/>
        <v>-29.96842105263158</v>
      </c>
    </row>
    <row r="381" spans="1:31" x14ac:dyDescent="0.25">
      <c r="A381" s="12" t="s">
        <v>931</v>
      </c>
      <c r="B381" s="13">
        <v>46263.380335648151</v>
      </c>
      <c r="C381" s="12" t="s">
        <v>423</v>
      </c>
      <c r="D381" s="12" t="s">
        <v>767</v>
      </c>
      <c r="E381" s="26" t="str">
        <f t="shared" si="98"/>
        <v>EC67105</v>
      </c>
      <c r="F381" s="27" t="str">
        <f t="shared" si="99"/>
        <v>NOIR</v>
      </c>
      <c r="G381" s="27">
        <f>+VLOOKUP(F381,[1]base!A:B,2,0)</f>
        <v>37</v>
      </c>
      <c r="H381" s="12">
        <v>20</v>
      </c>
      <c r="I381" s="12">
        <v>20</v>
      </c>
      <c r="J381" s="14"/>
      <c r="K381" s="14" t="s">
        <v>61</v>
      </c>
      <c r="L381" s="12" t="s">
        <v>943</v>
      </c>
      <c r="M381" s="12" t="s">
        <v>150</v>
      </c>
      <c r="N381" s="12">
        <v>20</v>
      </c>
      <c r="O381" s="12">
        <v>20</v>
      </c>
      <c r="P381" s="12">
        <v>0</v>
      </c>
      <c r="Q381" s="16">
        <v>20</v>
      </c>
      <c r="R381" s="16">
        <v>0</v>
      </c>
      <c r="S381" s="16"/>
      <c r="T381" s="28">
        <v>20</v>
      </c>
      <c r="U381" s="28"/>
      <c r="V381" s="29">
        <f>+VLOOKUP(E381,[1]base!D:K,8,0)</f>
        <v>2.9445000000000001</v>
      </c>
      <c r="W381" s="29">
        <f t="shared" si="100"/>
        <v>58.89</v>
      </c>
      <c r="X381" s="29">
        <f t="shared" si="101"/>
        <v>3.0622799999999999</v>
      </c>
      <c r="Y381" s="29">
        <f>+VLOOKUP(E381,[1]base!D:E,2,0)</f>
        <v>13</v>
      </c>
      <c r="Z381" s="29">
        <f t="shared" si="102"/>
        <v>2</v>
      </c>
      <c r="AA381" s="29">
        <f t="shared" si="103"/>
        <v>0.13333333333333339</v>
      </c>
      <c r="AB381" s="29">
        <f>+VLOOKUP(E381,[1]base!M:N,2,0)</f>
        <v>78</v>
      </c>
      <c r="AC381" s="29">
        <f>+VLOOKUP(E381,[1]base!M:Q,5,0)</f>
        <v>520.63636363636363</v>
      </c>
      <c r="AD381" s="30">
        <f>+VLOOKUP(E381,[1]base!M:P,4,0)</f>
        <v>0.68421052631578949</v>
      </c>
      <c r="AE381" s="31">
        <f t="shared" si="104"/>
        <v>-29.96842105263158</v>
      </c>
    </row>
    <row r="382" spans="1:31" x14ac:dyDescent="0.25">
      <c r="A382" s="12" t="s">
        <v>1261</v>
      </c>
      <c r="B382" s="13">
        <v>46268.598449074074</v>
      </c>
      <c r="C382" s="12" t="s">
        <v>522</v>
      </c>
      <c r="D382" s="12" t="s">
        <v>767</v>
      </c>
      <c r="E382" s="26" t="str">
        <f t="shared" si="98"/>
        <v>EC67105</v>
      </c>
      <c r="F382" s="27" t="str">
        <f t="shared" si="99"/>
        <v>NOIR</v>
      </c>
      <c r="G382" s="27">
        <f>+VLOOKUP(F382,[1]base!A:B,2,0)</f>
        <v>37</v>
      </c>
      <c r="H382" s="12">
        <v>20</v>
      </c>
      <c r="I382" s="12">
        <v>20</v>
      </c>
      <c r="J382" s="14"/>
      <c r="K382" s="14" t="s">
        <v>61</v>
      </c>
      <c r="L382" s="12" t="s">
        <v>1273</v>
      </c>
      <c r="M382" s="12" t="s">
        <v>150</v>
      </c>
      <c r="N382" s="12">
        <v>20</v>
      </c>
      <c r="O382" s="12">
        <v>20</v>
      </c>
      <c r="P382" s="12">
        <v>0</v>
      </c>
      <c r="Q382" s="16">
        <v>20</v>
      </c>
      <c r="R382" s="16">
        <v>0</v>
      </c>
      <c r="S382" s="16"/>
      <c r="T382" s="28">
        <v>20</v>
      </c>
      <c r="U382" s="28"/>
      <c r="V382" s="29">
        <f>+VLOOKUP(E382,[1]base!D:K,8,0)</f>
        <v>2.9445000000000001</v>
      </c>
      <c r="W382" s="29">
        <f t="shared" si="100"/>
        <v>58.89</v>
      </c>
      <c r="X382" s="29">
        <f t="shared" si="101"/>
        <v>3.0622799999999999</v>
      </c>
      <c r="Y382" s="29">
        <f>+VLOOKUP(E382,[1]base!D:E,2,0)</f>
        <v>13</v>
      </c>
      <c r="Z382" s="29">
        <f t="shared" si="102"/>
        <v>2</v>
      </c>
      <c r="AA382" s="29">
        <f t="shared" si="103"/>
        <v>0.13333333333333339</v>
      </c>
      <c r="AB382" s="29">
        <f>+VLOOKUP(E382,[1]base!M:N,2,0)</f>
        <v>78</v>
      </c>
      <c r="AC382" s="29">
        <f>+VLOOKUP(E382,[1]base!M:Q,5,0)</f>
        <v>520.63636363636363</v>
      </c>
      <c r="AD382" s="30">
        <f>+VLOOKUP(E382,[1]base!M:P,4,0)</f>
        <v>0.68421052631578949</v>
      </c>
      <c r="AE382" s="31">
        <f t="shared" si="104"/>
        <v>-29.96842105263158</v>
      </c>
    </row>
    <row r="383" spans="1:31" x14ac:dyDescent="0.25">
      <c r="A383" s="12" t="s">
        <v>750</v>
      </c>
      <c r="B383" s="13">
        <v>46256.457442129627</v>
      </c>
      <c r="C383" s="12" t="s">
        <v>751</v>
      </c>
      <c r="D383" s="12" t="s">
        <v>67</v>
      </c>
      <c r="E383" s="26" t="str">
        <f t="shared" si="98"/>
        <v>FR100</v>
      </c>
      <c r="F383" s="27" t="str">
        <f t="shared" si="99"/>
        <v>NOIR</v>
      </c>
      <c r="G383" s="27">
        <f>+VLOOKUP(F383,[1]base!A:B,2,0)</f>
        <v>37</v>
      </c>
      <c r="H383" s="12">
        <v>20</v>
      </c>
      <c r="I383" s="12">
        <v>20</v>
      </c>
      <c r="J383" s="14"/>
      <c r="K383" s="14" t="s">
        <v>61</v>
      </c>
      <c r="L383" s="12" t="s">
        <v>755</v>
      </c>
      <c r="M383" s="12" t="s">
        <v>150</v>
      </c>
      <c r="N383" s="12">
        <v>20</v>
      </c>
      <c r="O383" s="12">
        <v>20</v>
      </c>
      <c r="P383" s="12">
        <v>0</v>
      </c>
      <c r="Q383" s="16">
        <v>50</v>
      </c>
      <c r="R383" s="16">
        <v>0</v>
      </c>
      <c r="S383" s="16"/>
      <c r="T383" s="28">
        <v>20</v>
      </c>
      <c r="U383" s="28"/>
      <c r="V383" s="29">
        <f>+VLOOKUP(E383,[1]base!D:K,8,0)</f>
        <v>5.4209999999999994</v>
      </c>
      <c r="W383" s="29">
        <f t="shared" si="100"/>
        <v>108.41999999999999</v>
      </c>
      <c r="X383" s="29">
        <f t="shared" si="101"/>
        <v>5.6378399999999989</v>
      </c>
      <c r="Y383" s="29">
        <f>+VLOOKUP(E383,[1]base!D:E,2,0)</f>
        <v>13</v>
      </c>
      <c r="Z383" s="29">
        <f t="shared" si="102"/>
        <v>2</v>
      </c>
      <c r="AA383" s="29">
        <f t="shared" si="103"/>
        <v>0.13333333333333339</v>
      </c>
      <c r="AB383" s="29">
        <f>+VLOOKUP(E383,[1]base!M:N,2,0)</f>
        <v>263</v>
      </c>
      <c r="AC383" s="29">
        <f>+VLOOKUP(E383,[1]base!M:Q,5,0)</f>
        <v>812.5</v>
      </c>
      <c r="AD383" s="30">
        <f>+VLOOKUP(E383,[1]base!M:P,4,0)</f>
        <v>0.25071225071225073</v>
      </c>
      <c r="AE383" s="31">
        <f t="shared" si="104"/>
        <v>12.962678062678055</v>
      </c>
    </row>
    <row r="384" spans="1:31" x14ac:dyDescent="0.25">
      <c r="A384" s="12" t="s">
        <v>772</v>
      </c>
      <c r="B384" s="13">
        <v>46258.508391203701</v>
      </c>
      <c r="C384" s="12" t="s">
        <v>773</v>
      </c>
      <c r="D384" s="12" t="s">
        <v>67</v>
      </c>
      <c r="E384" s="26" t="str">
        <f t="shared" si="98"/>
        <v>FR100</v>
      </c>
      <c r="F384" s="27" t="str">
        <f t="shared" si="99"/>
        <v>NOIR</v>
      </c>
      <c r="G384" s="27">
        <f>+VLOOKUP(F384,[1]base!A:B,2,0)</f>
        <v>37</v>
      </c>
      <c r="H384" s="12">
        <v>7</v>
      </c>
      <c r="I384" s="12">
        <v>7</v>
      </c>
      <c r="J384" s="14"/>
      <c r="K384" s="14" t="s">
        <v>61</v>
      </c>
      <c r="L384" s="12" t="s">
        <v>775</v>
      </c>
      <c r="M384" s="12" t="s">
        <v>150</v>
      </c>
      <c r="N384" s="12">
        <v>7</v>
      </c>
      <c r="O384" s="12">
        <v>7</v>
      </c>
      <c r="P384" s="12">
        <v>0</v>
      </c>
      <c r="Q384" s="16">
        <v>7</v>
      </c>
      <c r="R384" s="16">
        <v>0</v>
      </c>
      <c r="S384" s="16"/>
      <c r="T384" s="28">
        <v>7</v>
      </c>
      <c r="U384" s="28"/>
      <c r="V384" s="29">
        <f>+VLOOKUP(E384,[1]base!D:K,8,0)</f>
        <v>5.4209999999999994</v>
      </c>
      <c r="W384" s="29">
        <f t="shared" si="100"/>
        <v>37.946999999999996</v>
      </c>
      <c r="X384" s="29">
        <f t="shared" si="101"/>
        <v>1.9732439999999998</v>
      </c>
      <c r="Y384" s="29">
        <f>+VLOOKUP(E384,[1]base!D:E,2,0)</f>
        <v>13</v>
      </c>
      <c r="Z384" s="29">
        <f t="shared" si="102"/>
        <v>1</v>
      </c>
      <c r="AA384" s="29">
        <f t="shared" si="103"/>
        <v>6.6666666666666693E-2</v>
      </c>
      <c r="AB384" s="29">
        <f>+VLOOKUP(E384,[1]base!M:N,2,0)</f>
        <v>263</v>
      </c>
      <c r="AC384" s="29">
        <f>+VLOOKUP(E384,[1]base!M:Q,5,0)</f>
        <v>812.5</v>
      </c>
      <c r="AD384" s="30">
        <f>+VLOOKUP(E384,[1]base!M:P,4,0)</f>
        <v>0.25071225071225073</v>
      </c>
      <c r="AE384" s="31">
        <f t="shared" si="104"/>
        <v>12.962678062678055</v>
      </c>
    </row>
    <row r="385" spans="1:31" x14ac:dyDescent="0.25">
      <c r="A385" s="12" t="s">
        <v>837</v>
      </c>
      <c r="B385" s="13">
        <v>46260.566678240742</v>
      </c>
      <c r="C385" s="12" t="s">
        <v>522</v>
      </c>
      <c r="D385" s="12" t="s">
        <v>67</v>
      </c>
      <c r="E385" s="26" t="str">
        <f t="shared" si="98"/>
        <v>FR100</v>
      </c>
      <c r="F385" s="27" t="str">
        <f t="shared" si="99"/>
        <v>NOIR</v>
      </c>
      <c r="G385" s="27">
        <f>+VLOOKUP(F385,[1]base!A:B,2,0)</f>
        <v>37</v>
      </c>
      <c r="H385" s="12">
        <v>100</v>
      </c>
      <c r="I385" s="12">
        <v>100</v>
      </c>
      <c r="J385" s="14"/>
      <c r="K385" s="14" t="s">
        <v>61</v>
      </c>
      <c r="L385" s="12" t="s">
        <v>840</v>
      </c>
      <c r="M385" s="12" t="s">
        <v>150</v>
      </c>
      <c r="N385" s="12">
        <v>100</v>
      </c>
      <c r="O385" s="12">
        <v>100</v>
      </c>
      <c r="P385" s="12">
        <v>0</v>
      </c>
      <c r="Q385" s="16">
        <v>100</v>
      </c>
      <c r="R385" s="16">
        <v>0</v>
      </c>
      <c r="S385" s="16"/>
      <c r="T385" s="28">
        <v>100</v>
      </c>
      <c r="U385" s="28"/>
      <c r="V385" s="29">
        <f>+VLOOKUP(E385,[1]base!D:K,8,0)</f>
        <v>5.4209999999999994</v>
      </c>
      <c r="W385" s="29">
        <f t="shared" si="100"/>
        <v>542.09999999999991</v>
      </c>
      <c r="X385" s="29">
        <f t="shared" si="101"/>
        <v>28.189199999999992</v>
      </c>
      <c r="Y385" s="29">
        <f>+VLOOKUP(E385,[1]base!D:E,2,0)</f>
        <v>13</v>
      </c>
      <c r="Z385" s="29">
        <f t="shared" si="102"/>
        <v>8</v>
      </c>
      <c r="AA385" s="29">
        <f t="shared" si="103"/>
        <v>0.53333333333333355</v>
      </c>
      <c r="AB385" s="29">
        <f>+VLOOKUP(E385,[1]base!M:N,2,0)</f>
        <v>263</v>
      </c>
      <c r="AC385" s="29">
        <f>+VLOOKUP(E385,[1]base!M:Q,5,0)</f>
        <v>812.5</v>
      </c>
      <c r="AD385" s="30">
        <f>+VLOOKUP(E385,[1]base!M:P,4,0)</f>
        <v>0.25071225071225073</v>
      </c>
      <c r="AE385" s="31">
        <f t="shared" si="104"/>
        <v>12.962678062678055</v>
      </c>
    </row>
    <row r="386" spans="1:31" x14ac:dyDescent="0.25">
      <c r="A386" s="12" t="s">
        <v>940</v>
      </c>
      <c r="B386" s="13">
        <v>46263.399872685186</v>
      </c>
      <c r="C386" s="12" t="s">
        <v>24</v>
      </c>
      <c r="D386" s="12" t="s">
        <v>67</v>
      </c>
      <c r="E386" s="26" t="str">
        <f t="shared" si="98"/>
        <v>FR100</v>
      </c>
      <c r="F386" s="27" t="str">
        <f t="shared" si="99"/>
        <v>NOIR</v>
      </c>
      <c r="G386" s="27">
        <f>+VLOOKUP(F386,[1]base!A:B,2,0)</f>
        <v>37</v>
      </c>
      <c r="H386" s="12">
        <v>4</v>
      </c>
      <c r="I386" s="12">
        <v>4</v>
      </c>
      <c r="J386" s="14"/>
      <c r="K386" s="14" t="s">
        <v>61</v>
      </c>
      <c r="L386" s="12" t="s">
        <v>948</v>
      </c>
      <c r="M386" s="12" t="s">
        <v>150</v>
      </c>
      <c r="N386" s="12">
        <v>4</v>
      </c>
      <c r="O386" s="12">
        <v>4</v>
      </c>
      <c r="P386" s="12">
        <v>0</v>
      </c>
      <c r="Q386" s="16">
        <v>4</v>
      </c>
      <c r="R386" s="16">
        <v>0</v>
      </c>
      <c r="S386" s="16"/>
      <c r="T386" s="28">
        <v>4</v>
      </c>
      <c r="U386" s="28"/>
      <c r="V386" s="29">
        <f>+VLOOKUP(E386,[1]base!D:K,8,0)</f>
        <v>5.4209999999999994</v>
      </c>
      <c r="W386" s="29">
        <f t="shared" si="100"/>
        <v>21.683999999999997</v>
      </c>
      <c r="X386" s="29">
        <f t="shared" si="101"/>
        <v>1.1275679999999999</v>
      </c>
      <c r="Y386" s="29">
        <f>+VLOOKUP(E386,[1]base!D:E,2,0)</f>
        <v>13</v>
      </c>
      <c r="Z386" s="29">
        <f t="shared" si="102"/>
        <v>1</v>
      </c>
      <c r="AA386" s="29">
        <f t="shared" si="103"/>
        <v>6.6666666666666693E-2</v>
      </c>
      <c r="AB386" s="29">
        <f>+VLOOKUP(E386,[1]base!M:N,2,0)</f>
        <v>263</v>
      </c>
      <c r="AC386" s="29">
        <f>+VLOOKUP(E386,[1]base!M:Q,5,0)</f>
        <v>812.5</v>
      </c>
      <c r="AD386" s="30">
        <f>+VLOOKUP(E386,[1]base!M:P,4,0)</f>
        <v>0.25071225071225073</v>
      </c>
      <c r="AE386" s="31">
        <f t="shared" si="104"/>
        <v>12.962678062678055</v>
      </c>
    </row>
    <row r="387" spans="1:31" x14ac:dyDescent="0.25">
      <c r="A387" s="12" t="s">
        <v>1016</v>
      </c>
      <c r="B387" s="13">
        <v>46266.406585648147</v>
      </c>
      <c r="C387" s="12" t="s">
        <v>599</v>
      </c>
      <c r="D387" s="12" t="s">
        <v>67</v>
      </c>
      <c r="E387" s="26" t="str">
        <f t="shared" si="98"/>
        <v>FR100</v>
      </c>
      <c r="F387" s="27" t="str">
        <f t="shared" si="99"/>
        <v>NOIR</v>
      </c>
      <c r="G387" s="27">
        <f>+VLOOKUP(F387,[1]base!A:B,2,0)</f>
        <v>37</v>
      </c>
      <c r="H387" s="12">
        <v>100</v>
      </c>
      <c r="I387" s="12">
        <v>100</v>
      </c>
      <c r="J387" s="14"/>
      <c r="K387" s="14" t="s">
        <v>61</v>
      </c>
      <c r="L387" s="12" t="s">
        <v>1053</v>
      </c>
      <c r="M387" s="12" t="s">
        <v>150</v>
      </c>
      <c r="N387" s="12">
        <v>100</v>
      </c>
      <c r="O387" s="12">
        <v>100</v>
      </c>
      <c r="P387" s="12">
        <v>0</v>
      </c>
      <c r="Q387" s="16">
        <v>200</v>
      </c>
      <c r="R387" s="16">
        <v>0</v>
      </c>
      <c r="S387" s="16"/>
      <c r="T387" s="28">
        <v>100</v>
      </c>
      <c r="U387" s="28"/>
      <c r="V387" s="29">
        <f>+VLOOKUP(E387,[1]base!D:K,8,0)</f>
        <v>5.4209999999999994</v>
      </c>
      <c r="W387" s="29">
        <f t="shared" si="100"/>
        <v>542.09999999999991</v>
      </c>
      <c r="X387" s="29">
        <f t="shared" si="101"/>
        <v>28.189199999999992</v>
      </c>
      <c r="Y387" s="29">
        <f>+VLOOKUP(E387,[1]base!D:E,2,0)</f>
        <v>13</v>
      </c>
      <c r="Z387" s="29">
        <f t="shared" si="102"/>
        <v>8</v>
      </c>
      <c r="AA387" s="29">
        <f t="shared" si="103"/>
        <v>0.53333333333333355</v>
      </c>
      <c r="AB387" s="29">
        <f>+VLOOKUP(E387,[1]base!M:N,2,0)</f>
        <v>263</v>
      </c>
      <c r="AC387" s="29">
        <f>+VLOOKUP(E387,[1]base!M:Q,5,0)</f>
        <v>812.5</v>
      </c>
      <c r="AD387" s="30">
        <f>+VLOOKUP(E387,[1]base!M:P,4,0)</f>
        <v>0.25071225071225073</v>
      </c>
      <c r="AE387" s="31">
        <f t="shared" si="104"/>
        <v>12.962678062678055</v>
      </c>
    </row>
    <row r="388" spans="1:31" x14ac:dyDescent="0.25">
      <c r="A388" s="12" t="s">
        <v>1263</v>
      </c>
      <c r="B388" s="13">
        <v>46268.598738425928</v>
      </c>
      <c r="C388" s="12" t="s">
        <v>522</v>
      </c>
      <c r="D388" s="12" t="s">
        <v>67</v>
      </c>
      <c r="E388" s="26" t="str">
        <f t="shared" si="98"/>
        <v>FR100</v>
      </c>
      <c r="F388" s="27" t="str">
        <f t="shared" si="99"/>
        <v>NOIR</v>
      </c>
      <c r="G388" s="27">
        <f>+VLOOKUP(F388,[1]base!A:B,2,0)</f>
        <v>37</v>
      </c>
      <c r="H388" s="12">
        <v>30</v>
      </c>
      <c r="I388" s="12">
        <v>30</v>
      </c>
      <c r="J388" s="14"/>
      <c r="K388" s="14" t="s">
        <v>61</v>
      </c>
      <c r="L388" s="12" t="s">
        <v>1277</v>
      </c>
      <c r="M388" s="12" t="s">
        <v>150</v>
      </c>
      <c r="N388" s="12">
        <v>30</v>
      </c>
      <c r="O388" s="12">
        <v>30</v>
      </c>
      <c r="P388" s="12">
        <v>0</v>
      </c>
      <c r="Q388" s="16">
        <v>30</v>
      </c>
      <c r="R388" s="16">
        <v>0</v>
      </c>
      <c r="S388" s="16"/>
      <c r="T388" s="28">
        <v>30</v>
      </c>
      <c r="U388" s="28"/>
      <c r="V388" s="29">
        <f>+VLOOKUP(E388,[1]base!D:K,8,0)</f>
        <v>5.4209999999999994</v>
      </c>
      <c r="W388" s="29">
        <f t="shared" si="100"/>
        <v>162.63</v>
      </c>
      <c r="X388" s="29">
        <f t="shared" si="101"/>
        <v>8.4567599999999992</v>
      </c>
      <c r="Y388" s="29">
        <f>+VLOOKUP(E388,[1]base!D:E,2,0)</f>
        <v>13</v>
      </c>
      <c r="Z388" s="29">
        <f t="shared" si="102"/>
        <v>3</v>
      </c>
      <c r="AA388" s="29">
        <f t="shared" si="103"/>
        <v>0.20000000000000007</v>
      </c>
      <c r="AB388" s="29">
        <f>+VLOOKUP(E388,[1]base!M:N,2,0)</f>
        <v>263</v>
      </c>
      <c r="AC388" s="29">
        <f>+VLOOKUP(E388,[1]base!M:Q,5,0)</f>
        <v>812.5</v>
      </c>
      <c r="AD388" s="30">
        <f>+VLOOKUP(E388,[1]base!M:P,4,0)</f>
        <v>0.25071225071225073</v>
      </c>
      <c r="AE388" s="31">
        <f t="shared" si="104"/>
        <v>12.962678062678055</v>
      </c>
    </row>
    <row r="389" spans="1:31" x14ac:dyDescent="0.25">
      <c r="A389" s="12" t="s">
        <v>1286</v>
      </c>
      <c r="B389" s="13">
        <v>46268.660324074073</v>
      </c>
      <c r="C389" s="12" t="s">
        <v>1287</v>
      </c>
      <c r="D389" s="12" t="s">
        <v>67</v>
      </c>
      <c r="E389" s="26" t="str">
        <f t="shared" si="98"/>
        <v>FR100</v>
      </c>
      <c r="F389" s="27" t="str">
        <f t="shared" si="99"/>
        <v>NOIR</v>
      </c>
      <c r="G389" s="27">
        <f>+VLOOKUP(F389,[1]base!A:B,2,0)</f>
        <v>37</v>
      </c>
      <c r="H389" s="12">
        <v>1</v>
      </c>
      <c r="I389" s="12">
        <v>1</v>
      </c>
      <c r="J389" s="14"/>
      <c r="K389" s="14" t="s">
        <v>61</v>
      </c>
      <c r="L389" s="12" t="s">
        <v>1288</v>
      </c>
      <c r="M389" s="12" t="s">
        <v>150</v>
      </c>
      <c r="N389" s="12">
        <v>1</v>
      </c>
      <c r="O389" s="12">
        <v>1</v>
      </c>
      <c r="P389" s="12">
        <v>0</v>
      </c>
      <c r="Q389" s="16">
        <v>1</v>
      </c>
      <c r="R389" s="16">
        <v>0</v>
      </c>
      <c r="S389" s="16"/>
      <c r="T389" s="28">
        <v>1</v>
      </c>
      <c r="U389" s="28"/>
      <c r="V389" s="29">
        <f>+VLOOKUP(E389,[1]base!D:K,8,0)</f>
        <v>5.4209999999999994</v>
      </c>
      <c r="W389" s="29">
        <f t="shared" si="100"/>
        <v>5.4209999999999994</v>
      </c>
      <c r="X389" s="29">
        <f t="shared" si="101"/>
        <v>0.28189199999999998</v>
      </c>
      <c r="Y389" s="29">
        <f>+VLOOKUP(E389,[1]base!D:E,2,0)</f>
        <v>13</v>
      </c>
      <c r="Z389" s="29">
        <f t="shared" si="102"/>
        <v>1</v>
      </c>
      <c r="AA389" s="29">
        <f t="shared" si="103"/>
        <v>6.6666666666666693E-2</v>
      </c>
      <c r="AB389" s="29">
        <f>+VLOOKUP(E389,[1]base!M:N,2,0)</f>
        <v>263</v>
      </c>
      <c r="AC389" s="29">
        <f>+VLOOKUP(E389,[1]base!M:Q,5,0)</f>
        <v>812.5</v>
      </c>
      <c r="AD389" s="30">
        <f>+VLOOKUP(E389,[1]base!M:P,4,0)</f>
        <v>0.25071225071225073</v>
      </c>
      <c r="AE389" s="31">
        <f t="shared" si="104"/>
        <v>12.962678062678055</v>
      </c>
    </row>
    <row r="390" spans="1:31" x14ac:dyDescent="0.25">
      <c r="A390" s="12" t="s">
        <v>1291</v>
      </c>
      <c r="B390" s="13">
        <v>46269.280277777776</v>
      </c>
      <c r="C390" s="12" t="s">
        <v>266</v>
      </c>
      <c r="D390" s="12" t="s">
        <v>67</v>
      </c>
      <c r="E390" s="26" t="str">
        <f t="shared" si="98"/>
        <v>FR100</v>
      </c>
      <c r="F390" s="27" t="str">
        <f t="shared" si="99"/>
        <v>NOIR</v>
      </c>
      <c r="G390" s="27">
        <f>+VLOOKUP(F390,[1]base!A:B,2,0)</f>
        <v>37</v>
      </c>
      <c r="H390" s="12">
        <v>30</v>
      </c>
      <c r="I390" s="12">
        <v>30</v>
      </c>
      <c r="J390" s="14"/>
      <c r="K390" s="14" t="s">
        <v>61</v>
      </c>
      <c r="L390" s="12" t="s">
        <v>1304</v>
      </c>
      <c r="M390" s="12" t="s">
        <v>150</v>
      </c>
      <c r="N390" s="12">
        <v>30</v>
      </c>
      <c r="O390" s="12">
        <v>30</v>
      </c>
      <c r="P390" s="12">
        <v>0</v>
      </c>
      <c r="Q390" s="16">
        <v>30</v>
      </c>
      <c r="R390" s="16">
        <v>0</v>
      </c>
      <c r="S390" s="16"/>
      <c r="T390" s="28">
        <v>30</v>
      </c>
      <c r="U390" s="28"/>
      <c r="V390" s="29">
        <f>+VLOOKUP(E390,[1]base!D:K,8,0)</f>
        <v>5.4209999999999994</v>
      </c>
      <c r="W390" s="29">
        <f t="shared" si="100"/>
        <v>162.63</v>
      </c>
      <c r="X390" s="29">
        <f t="shared" si="101"/>
        <v>8.4567599999999992</v>
      </c>
      <c r="Y390" s="29">
        <f>+VLOOKUP(E390,[1]base!D:E,2,0)</f>
        <v>13</v>
      </c>
      <c r="Z390" s="29">
        <f t="shared" si="102"/>
        <v>3</v>
      </c>
      <c r="AA390" s="29">
        <f t="shared" si="103"/>
        <v>0.20000000000000007</v>
      </c>
      <c r="AB390" s="29">
        <f>+VLOOKUP(E390,[1]base!M:N,2,0)</f>
        <v>263</v>
      </c>
      <c r="AC390" s="29">
        <f>+VLOOKUP(E390,[1]base!M:Q,5,0)</f>
        <v>812.5</v>
      </c>
      <c r="AD390" s="30">
        <f>+VLOOKUP(E390,[1]base!M:P,4,0)</f>
        <v>0.25071225071225073</v>
      </c>
      <c r="AE390" s="31">
        <f t="shared" si="104"/>
        <v>12.962678062678055</v>
      </c>
    </row>
    <row r="391" spans="1:31" x14ac:dyDescent="0.25">
      <c r="A391" s="12" t="s">
        <v>1562</v>
      </c>
      <c r="B391" s="13">
        <v>46274.635497685187</v>
      </c>
      <c r="C391" s="12" t="s">
        <v>484</v>
      </c>
      <c r="D391" s="12" t="s">
        <v>67</v>
      </c>
      <c r="E391" s="26" t="str">
        <f t="shared" si="98"/>
        <v>FR100</v>
      </c>
      <c r="F391" s="27" t="str">
        <f t="shared" si="99"/>
        <v>NOIR</v>
      </c>
      <c r="G391" s="27">
        <f>+VLOOKUP(F391,[1]base!A:B,2,0)</f>
        <v>37</v>
      </c>
      <c r="H391" s="12">
        <v>50</v>
      </c>
      <c r="I391" s="12">
        <v>50</v>
      </c>
      <c r="J391" s="14"/>
      <c r="K391" s="14" t="s">
        <v>61</v>
      </c>
      <c r="L391" s="12" t="s">
        <v>1568</v>
      </c>
      <c r="M391" s="12" t="s">
        <v>150</v>
      </c>
      <c r="N391" s="12">
        <v>50</v>
      </c>
      <c r="O391" s="12">
        <v>50</v>
      </c>
      <c r="P391" s="12">
        <v>0</v>
      </c>
      <c r="Q391" s="16">
        <v>50</v>
      </c>
      <c r="R391" s="16">
        <v>0</v>
      </c>
      <c r="S391" s="16"/>
      <c r="T391" s="28">
        <v>50</v>
      </c>
      <c r="U391" s="28"/>
      <c r="V391" s="29">
        <f>+VLOOKUP(E391,[1]base!D:K,8,0)</f>
        <v>5.4209999999999994</v>
      </c>
      <c r="W391" s="29">
        <f t="shared" si="100"/>
        <v>271.04999999999995</v>
      </c>
      <c r="X391" s="29">
        <f t="shared" si="101"/>
        <v>14.094599999999996</v>
      </c>
      <c r="Y391" s="29">
        <f>+VLOOKUP(E391,[1]base!D:E,2,0)</f>
        <v>13</v>
      </c>
      <c r="Z391" s="29">
        <f t="shared" si="102"/>
        <v>4</v>
      </c>
      <c r="AA391" s="29">
        <f t="shared" si="103"/>
        <v>0.26666666666666677</v>
      </c>
      <c r="AB391" s="29">
        <f>+VLOOKUP(E391,[1]base!M:N,2,0)</f>
        <v>263</v>
      </c>
      <c r="AC391" s="29">
        <f>+VLOOKUP(E391,[1]base!M:Q,5,0)</f>
        <v>812.5</v>
      </c>
      <c r="AD391" s="30">
        <f>+VLOOKUP(E391,[1]base!M:P,4,0)</f>
        <v>0.25071225071225073</v>
      </c>
      <c r="AE391" s="31">
        <f t="shared" si="104"/>
        <v>12.962678062678055</v>
      </c>
    </row>
    <row r="392" spans="1:31" x14ac:dyDescent="0.25">
      <c r="A392" s="12" t="s">
        <v>750</v>
      </c>
      <c r="B392" s="13">
        <v>46256.457442129627</v>
      </c>
      <c r="C392" s="12" t="s">
        <v>751</v>
      </c>
      <c r="D392" s="12" t="s">
        <v>247</v>
      </c>
      <c r="E392" s="26" t="str">
        <f t="shared" si="98"/>
        <v>FR102</v>
      </c>
      <c r="F392" s="27" t="str">
        <f t="shared" si="99"/>
        <v>NOIR</v>
      </c>
      <c r="G392" s="27">
        <f>+VLOOKUP(F392,[1]base!A:B,2,0)</f>
        <v>37</v>
      </c>
      <c r="H392" s="12">
        <v>20</v>
      </c>
      <c r="I392" s="12">
        <v>20</v>
      </c>
      <c r="J392" s="14"/>
      <c r="K392" s="14" t="s">
        <v>61</v>
      </c>
      <c r="L392" s="12" t="s">
        <v>754</v>
      </c>
      <c r="M392" s="12" t="s">
        <v>150</v>
      </c>
      <c r="N392" s="12">
        <v>20</v>
      </c>
      <c r="O392" s="12">
        <v>20</v>
      </c>
      <c r="P392" s="12">
        <v>0</v>
      </c>
      <c r="Q392" s="16">
        <v>20</v>
      </c>
      <c r="R392" s="16">
        <v>0</v>
      </c>
      <c r="S392" s="16"/>
      <c r="T392" s="28">
        <v>20</v>
      </c>
      <c r="U392" s="28"/>
      <c r="V392" s="29">
        <f>+VLOOKUP(E392,[1]base!D:K,8,0)</f>
        <v>4.3875000000000002</v>
      </c>
      <c r="W392" s="29">
        <f t="shared" si="100"/>
        <v>87.75</v>
      </c>
      <c r="X392" s="29">
        <f t="shared" si="101"/>
        <v>4.5629999999999997</v>
      </c>
      <c r="Y392" s="29">
        <f>+VLOOKUP(E392,[1]base!D:E,2,0)</f>
        <v>13</v>
      </c>
      <c r="Z392" s="29">
        <f t="shared" si="102"/>
        <v>2</v>
      </c>
      <c r="AA392" s="29">
        <f t="shared" si="103"/>
        <v>0.13333333333333339</v>
      </c>
      <c r="AB392" s="29">
        <f>+VLOOKUP(E392,[1]base!M:N,2,0)</f>
        <v>0</v>
      </c>
      <c r="AC392" s="29">
        <f>+VLOOKUP(E392,[1]base!M:Q,5,0)</f>
        <v>201.6</v>
      </c>
      <c r="AD392" s="30">
        <f>+VLOOKUP(E392,[1]base!M:P,4,0)</f>
        <v>1</v>
      </c>
      <c r="AE392" s="31">
        <f t="shared" si="104"/>
        <v>0</v>
      </c>
    </row>
    <row r="393" spans="1:31" x14ac:dyDescent="0.25">
      <c r="A393" s="12" t="s">
        <v>397</v>
      </c>
      <c r="B393" s="13">
        <v>46219.315069444441</v>
      </c>
      <c r="C393" s="12" t="s">
        <v>398</v>
      </c>
      <c r="D393" s="12" t="s">
        <v>249</v>
      </c>
      <c r="E393" s="26" t="str">
        <f t="shared" si="98"/>
        <v>FR104</v>
      </c>
      <c r="F393" s="27" t="str">
        <f t="shared" si="99"/>
        <v>NOIR</v>
      </c>
      <c r="G393" s="27">
        <f>+VLOOKUP(F393,[1]base!A:B,2,0)</f>
        <v>37</v>
      </c>
      <c r="H393" s="12">
        <v>3</v>
      </c>
      <c r="I393" s="12">
        <v>3</v>
      </c>
      <c r="J393" s="14"/>
      <c r="K393" s="14" t="s">
        <v>61</v>
      </c>
      <c r="L393" s="12" t="s">
        <v>400</v>
      </c>
      <c r="M393" s="12" t="s">
        <v>150</v>
      </c>
      <c r="N393" s="12">
        <v>3</v>
      </c>
      <c r="O393" s="12">
        <v>3</v>
      </c>
      <c r="P393" s="12">
        <v>0</v>
      </c>
      <c r="Q393" s="16">
        <v>3</v>
      </c>
      <c r="R393" s="16">
        <v>0</v>
      </c>
      <c r="S393" s="16"/>
      <c r="T393" s="28">
        <v>3</v>
      </c>
      <c r="U393" s="28"/>
      <c r="V393" s="29">
        <f>+VLOOKUP(E393,[1]base!D:K,8,0)</f>
        <v>7.1695000000000002</v>
      </c>
      <c r="W393" s="29">
        <f t="shared" si="100"/>
        <v>21.508500000000002</v>
      </c>
      <c r="X393" s="29">
        <f t="shared" si="101"/>
        <v>1.1184419999999999</v>
      </c>
      <c r="Y393" s="29">
        <f>+VLOOKUP(E393,[1]base!D:E,2,0)</f>
        <v>13</v>
      </c>
      <c r="Z393" s="29">
        <f t="shared" si="102"/>
        <v>1</v>
      </c>
      <c r="AA393" s="29">
        <f t="shared" si="103"/>
        <v>6.6666666666666693E-2</v>
      </c>
      <c r="AB393" s="29">
        <f>+VLOOKUP(E393,[1]base!M:N,2,0)</f>
        <v>3</v>
      </c>
      <c r="AC393" s="29">
        <f>+VLOOKUP(E393,[1]base!M:Q,5,0)</f>
        <v>105.625</v>
      </c>
      <c r="AD393" s="30">
        <f>+VLOOKUP(E393,[1]base!M:P,4,0)</f>
        <v>0.8125</v>
      </c>
      <c r="AE393" s="31">
        <f t="shared" si="104"/>
        <v>-1.5374999999999999</v>
      </c>
    </row>
    <row r="394" spans="1:31" x14ac:dyDescent="0.25">
      <c r="A394" s="12" t="s">
        <v>1230</v>
      </c>
      <c r="B394" s="13">
        <v>46268.418807870374</v>
      </c>
      <c r="C394" s="12" t="s">
        <v>345</v>
      </c>
      <c r="D394" s="12" t="s">
        <v>1231</v>
      </c>
      <c r="E394" s="26" t="str">
        <f t="shared" si="98"/>
        <v>FR110</v>
      </c>
      <c r="F394" s="27" t="str">
        <f t="shared" si="99"/>
        <v>NOIR</v>
      </c>
      <c r="G394" s="27">
        <f>+VLOOKUP(F394,[1]base!A:B,2,0)</f>
        <v>37</v>
      </c>
      <c r="H394" s="12">
        <v>10</v>
      </c>
      <c r="I394" s="12">
        <v>10</v>
      </c>
      <c r="J394" s="14"/>
      <c r="K394" s="14" t="s">
        <v>61</v>
      </c>
      <c r="L394" s="12" t="s">
        <v>1234</v>
      </c>
      <c r="M394" s="12" t="s">
        <v>150</v>
      </c>
      <c r="N394" s="12">
        <v>10</v>
      </c>
      <c r="O394" s="12">
        <v>10</v>
      </c>
      <c r="P394" s="12">
        <v>0</v>
      </c>
      <c r="Q394" s="16">
        <v>10</v>
      </c>
      <c r="R394" s="16">
        <v>0</v>
      </c>
      <c r="S394" s="16"/>
      <c r="T394" s="28">
        <v>10</v>
      </c>
      <c r="U394" s="28"/>
      <c r="V394" s="29">
        <f>+VLOOKUP(E394,[1]base!D:K,8,0)</f>
        <v>1.7030000000000001</v>
      </c>
      <c r="W394" s="29">
        <f t="shared" si="100"/>
        <v>17.03</v>
      </c>
      <c r="X394" s="29">
        <f t="shared" si="101"/>
        <v>0.88556000000000001</v>
      </c>
      <c r="Y394" s="29">
        <f>+VLOOKUP(E394,[1]base!D:E,2,0)</f>
        <v>20</v>
      </c>
      <c r="Z394" s="29">
        <f t="shared" si="102"/>
        <v>1</v>
      </c>
      <c r="AA394" s="29">
        <f t="shared" si="103"/>
        <v>6.6666666666666693E-2</v>
      </c>
      <c r="AB394" s="29">
        <f>+VLOOKUP(E394,[1]base!M:N,2,0)</f>
        <v>142</v>
      </c>
      <c r="AC394" s="29">
        <f>+VLOOKUP(E394,[1]base!M:Q,5,0)</f>
        <v>52.125</v>
      </c>
      <c r="AD394" s="30">
        <f>+VLOOKUP(E394,[1]base!M:P,4,0)</f>
        <v>0.12883435582822086</v>
      </c>
      <c r="AE394" s="31">
        <f t="shared" si="104"/>
        <v>24.305521472392634</v>
      </c>
    </row>
    <row r="395" spans="1:31" x14ac:dyDescent="0.25">
      <c r="A395" s="12" t="s">
        <v>580</v>
      </c>
      <c r="B395" s="13">
        <v>46241.427754629629</v>
      </c>
      <c r="C395" s="12" t="s">
        <v>581</v>
      </c>
      <c r="D395" s="12" t="s">
        <v>582</v>
      </c>
      <c r="E395" s="26" t="str">
        <f t="shared" si="98"/>
        <v>FR111</v>
      </c>
      <c r="F395" s="27" t="str">
        <f t="shared" si="99"/>
        <v>NOIR</v>
      </c>
      <c r="G395" s="27">
        <f>+VLOOKUP(F395,[1]base!A:B,2,0)</f>
        <v>37</v>
      </c>
      <c r="H395" s="12">
        <v>10</v>
      </c>
      <c r="I395" s="12">
        <v>10</v>
      </c>
      <c r="J395" s="14"/>
      <c r="K395" s="14" t="s">
        <v>26</v>
      </c>
      <c r="L395" s="12" t="s">
        <v>583</v>
      </c>
      <c r="M395" s="12" t="s">
        <v>150</v>
      </c>
      <c r="N395" s="12">
        <v>3</v>
      </c>
      <c r="O395" s="12">
        <v>3</v>
      </c>
      <c r="P395" s="12">
        <v>0</v>
      </c>
      <c r="Q395" s="16">
        <v>0</v>
      </c>
      <c r="R395" s="16">
        <v>0</v>
      </c>
      <c r="S395" s="16">
        <v>7</v>
      </c>
      <c r="T395" s="28">
        <v>3</v>
      </c>
      <c r="U395" s="28"/>
      <c r="V395" s="29">
        <f>+VLOOKUP(E395,[1]base!D:K,8,0)</f>
        <v>1.7030000000000001</v>
      </c>
      <c r="W395" s="29">
        <f t="shared" si="100"/>
        <v>5.109</v>
      </c>
      <c r="X395" s="29">
        <f t="shared" si="101"/>
        <v>0.26566799999999996</v>
      </c>
      <c r="Y395" s="29">
        <f>+VLOOKUP(E395,[1]base!D:E,2,0)</f>
        <v>20</v>
      </c>
      <c r="Z395" s="29">
        <f t="shared" si="102"/>
        <v>1</v>
      </c>
      <c r="AA395" s="29">
        <f t="shared" si="103"/>
        <v>6.6666666666666693E-2</v>
      </c>
      <c r="AB395" s="29">
        <f>+VLOOKUP(E395,[1]base!M:N,2,0)</f>
        <v>5</v>
      </c>
      <c r="AC395" s="29">
        <f>+VLOOKUP(E395,[1]base!M:Q,5,0)</f>
        <v>341.625</v>
      </c>
      <c r="AD395" s="30">
        <f>+VLOOKUP(E395,[1]base!M:P,4,0)</f>
        <v>0.92753623188405798</v>
      </c>
      <c r="AE395" s="31">
        <f t="shared" si="104"/>
        <v>-3.13768115942029</v>
      </c>
    </row>
    <row r="396" spans="1:31" x14ac:dyDescent="0.25">
      <c r="A396" s="12" t="s">
        <v>1562</v>
      </c>
      <c r="B396" s="13">
        <v>46274.635497685187</v>
      </c>
      <c r="C396" s="12" t="s">
        <v>484</v>
      </c>
      <c r="D396" s="12" t="s">
        <v>582</v>
      </c>
      <c r="E396" s="26" t="str">
        <f t="shared" si="98"/>
        <v>FR111</v>
      </c>
      <c r="F396" s="27" t="str">
        <f t="shared" si="99"/>
        <v>NOIR</v>
      </c>
      <c r="G396" s="27">
        <f>+VLOOKUP(F396,[1]base!A:B,2,0)</f>
        <v>37</v>
      </c>
      <c r="H396" s="12">
        <v>10</v>
      </c>
      <c r="I396" s="12">
        <v>10</v>
      </c>
      <c r="J396" s="14"/>
      <c r="K396" s="14" t="s">
        <v>61</v>
      </c>
      <c r="L396" s="12" t="s">
        <v>1569</v>
      </c>
      <c r="M396" s="12" t="s">
        <v>150</v>
      </c>
      <c r="N396" s="12">
        <v>10</v>
      </c>
      <c r="O396" s="12">
        <v>10</v>
      </c>
      <c r="P396" s="12">
        <v>0</v>
      </c>
      <c r="Q396" s="16">
        <v>10</v>
      </c>
      <c r="R396" s="16">
        <v>0</v>
      </c>
      <c r="S396" s="16"/>
      <c r="T396" s="28">
        <v>10</v>
      </c>
      <c r="U396" s="28"/>
      <c r="V396" s="29">
        <f>+VLOOKUP(E396,[1]base!D:K,8,0)</f>
        <v>1.7030000000000001</v>
      </c>
      <c r="W396" s="29">
        <f t="shared" si="100"/>
        <v>17.03</v>
      </c>
      <c r="X396" s="29">
        <f t="shared" si="101"/>
        <v>0.88556000000000001</v>
      </c>
      <c r="Y396" s="29">
        <f>+VLOOKUP(E396,[1]base!D:E,2,0)</f>
        <v>20</v>
      </c>
      <c r="Z396" s="29">
        <f t="shared" si="102"/>
        <v>1</v>
      </c>
      <c r="AA396" s="29">
        <f t="shared" si="103"/>
        <v>6.6666666666666693E-2</v>
      </c>
      <c r="AB396" s="29">
        <f>+VLOOKUP(E396,[1]base!M:N,2,0)</f>
        <v>5</v>
      </c>
      <c r="AC396" s="29">
        <f>+VLOOKUP(E396,[1]base!M:Q,5,0)</f>
        <v>341.625</v>
      </c>
      <c r="AD396" s="30">
        <f>+VLOOKUP(E396,[1]base!M:P,4,0)</f>
        <v>0.92753623188405798</v>
      </c>
      <c r="AE396" s="31">
        <f t="shared" si="104"/>
        <v>-3.13768115942029</v>
      </c>
    </row>
    <row r="397" spans="1:31" x14ac:dyDescent="0.25">
      <c r="A397" s="12" t="s">
        <v>732</v>
      </c>
      <c r="B397" s="13">
        <v>46256.374837962961</v>
      </c>
      <c r="C397" s="12" t="s">
        <v>258</v>
      </c>
      <c r="D397" s="12" t="s">
        <v>735</v>
      </c>
      <c r="E397" s="26" t="str">
        <f t="shared" si="98"/>
        <v>FR112</v>
      </c>
      <c r="F397" s="27" t="str">
        <f t="shared" si="99"/>
        <v>NOIR</v>
      </c>
      <c r="G397" s="27">
        <f>+VLOOKUP(F397,[1]base!A:B,2,0)</f>
        <v>37</v>
      </c>
      <c r="H397" s="12">
        <v>1</v>
      </c>
      <c r="I397" s="12">
        <v>1</v>
      </c>
      <c r="J397" s="14"/>
      <c r="K397" s="14" t="s">
        <v>61</v>
      </c>
      <c r="L397" s="12" t="s">
        <v>741</v>
      </c>
      <c r="M397" s="12" t="s">
        <v>150</v>
      </c>
      <c r="N397" s="12">
        <v>1</v>
      </c>
      <c r="O397" s="12">
        <v>1</v>
      </c>
      <c r="P397" s="12">
        <v>0</v>
      </c>
      <c r="Q397" s="16">
        <v>1</v>
      </c>
      <c r="R397" s="16">
        <v>0</v>
      </c>
      <c r="S397" s="16"/>
      <c r="T397" s="28">
        <v>1</v>
      </c>
      <c r="U397" s="28"/>
      <c r="V397" s="29">
        <f>+VLOOKUP(E397,[1]base!D:K,8,0)</f>
        <v>4.5175000000000001</v>
      </c>
      <c r="W397" s="29">
        <f t="shared" si="100"/>
        <v>4.5175000000000001</v>
      </c>
      <c r="X397" s="29">
        <f t="shared" si="101"/>
        <v>0.23490999999999998</v>
      </c>
      <c r="Y397" s="29">
        <f>+VLOOKUP(E397,[1]base!D:E,2,0)</f>
        <v>14</v>
      </c>
      <c r="Z397" s="29">
        <f t="shared" si="102"/>
        <v>1</v>
      </c>
      <c r="AA397" s="29">
        <f t="shared" si="103"/>
        <v>6.6666666666666693E-2</v>
      </c>
      <c r="AB397" s="29">
        <f>+VLOOKUP(E397,[1]base!M:N,2,0)</f>
        <v>7</v>
      </c>
      <c r="AC397" s="29">
        <f>+VLOOKUP(E397,[1]base!M:Q,5,0)</f>
        <v>110.9</v>
      </c>
      <c r="AD397" s="30">
        <f>+VLOOKUP(E397,[1]base!M:P,4,0)</f>
        <v>0.70833333333333337</v>
      </c>
      <c r="AE397" s="31">
        <f t="shared" si="104"/>
        <v>-2.8583333333333338</v>
      </c>
    </row>
    <row r="398" spans="1:31" x14ac:dyDescent="0.25">
      <c r="A398" s="12" t="s">
        <v>777</v>
      </c>
      <c r="B398" s="13">
        <v>46258.578530092593</v>
      </c>
      <c r="C398" s="12" t="s">
        <v>778</v>
      </c>
      <c r="D398" s="12" t="s">
        <v>735</v>
      </c>
      <c r="E398" s="26" t="str">
        <f t="shared" si="98"/>
        <v>FR112</v>
      </c>
      <c r="F398" s="27" t="str">
        <f t="shared" si="99"/>
        <v>NOIR</v>
      </c>
      <c r="G398" s="27">
        <f>+VLOOKUP(F398,[1]base!A:B,2,0)</f>
        <v>37</v>
      </c>
      <c r="H398" s="12">
        <v>6</v>
      </c>
      <c r="I398" s="12">
        <v>6</v>
      </c>
      <c r="J398" s="14"/>
      <c r="K398" s="14" t="s">
        <v>61</v>
      </c>
      <c r="L398" s="12" t="s">
        <v>783</v>
      </c>
      <c r="M398" s="12" t="s">
        <v>150</v>
      </c>
      <c r="N398" s="12">
        <v>6</v>
      </c>
      <c r="O398" s="12">
        <v>6</v>
      </c>
      <c r="P398" s="12">
        <v>0</v>
      </c>
      <c r="Q398" s="16">
        <v>6</v>
      </c>
      <c r="R398" s="16">
        <v>0</v>
      </c>
      <c r="S398" s="16"/>
      <c r="T398" s="28">
        <v>6</v>
      </c>
      <c r="U398" s="28"/>
      <c r="V398" s="29">
        <f>+VLOOKUP(E398,[1]base!D:K,8,0)</f>
        <v>4.5175000000000001</v>
      </c>
      <c r="W398" s="29">
        <f t="shared" si="100"/>
        <v>27.105</v>
      </c>
      <c r="X398" s="29">
        <f t="shared" si="101"/>
        <v>1.4094599999999999</v>
      </c>
      <c r="Y398" s="29">
        <f>+VLOOKUP(E398,[1]base!D:E,2,0)</f>
        <v>14</v>
      </c>
      <c r="Z398" s="29">
        <f t="shared" si="102"/>
        <v>1</v>
      </c>
      <c r="AA398" s="29">
        <f t="shared" si="103"/>
        <v>6.6666666666666693E-2</v>
      </c>
      <c r="AB398" s="29">
        <f>+VLOOKUP(E398,[1]base!M:N,2,0)</f>
        <v>7</v>
      </c>
      <c r="AC398" s="29">
        <f>+VLOOKUP(E398,[1]base!M:Q,5,0)</f>
        <v>110.9</v>
      </c>
      <c r="AD398" s="30">
        <f>+VLOOKUP(E398,[1]base!M:P,4,0)</f>
        <v>0.70833333333333337</v>
      </c>
      <c r="AE398" s="31">
        <f t="shared" si="104"/>
        <v>-2.8583333333333338</v>
      </c>
    </row>
    <row r="399" spans="1:31" x14ac:dyDescent="0.25">
      <c r="A399" s="12" t="s">
        <v>837</v>
      </c>
      <c r="B399" s="13">
        <v>46260.566678240742</v>
      </c>
      <c r="C399" s="12" t="s">
        <v>522</v>
      </c>
      <c r="D399" s="12" t="s">
        <v>735</v>
      </c>
      <c r="E399" s="26" t="str">
        <f t="shared" si="98"/>
        <v>FR112</v>
      </c>
      <c r="F399" s="27" t="str">
        <f t="shared" si="99"/>
        <v>NOIR</v>
      </c>
      <c r="G399" s="27">
        <f>+VLOOKUP(F399,[1]base!A:B,2,0)</f>
        <v>37</v>
      </c>
      <c r="H399" s="12">
        <v>8</v>
      </c>
      <c r="I399" s="12">
        <v>8</v>
      </c>
      <c r="J399" s="14"/>
      <c r="K399" s="14" t="s">
        <v>61</v>
      </c>
      <c r="L399" s="12" t="s">
        <v>841</v>
      </c>
      <c r="M399" s="12" t="s">
        <v>150</v>
      </c>
      <c r="N399" s="12">
        <v>8</v>
      </c>
      <c r="O399" s="12">
        <v>8</v>
      </c>
      <c r="P399" s="12">
        <v>0</v>
      </c>
      <c r="Q399" s="16">
        <v>8</v>
      </c>
      <c r="R399" s="16">
        <v>0</v>
      </c>
      <c r="S399" s="16"/>
      <c r="T399" s="28">
        <v>8</v>
      </c>
      <c r="U399" s="28"/>
      <c r="V399" s="29">
        <f>+VLOOKUP(E399,[1]base!D:K,8,0)</f>
        <v>4.5175000000000001</v>
      </c>
      <c r="W399" s="29">
        <f t="shared" si="100"/>
        <v>36.14</v>
      </c>
      <c r="X399" s="29">
        <f t="shared" si="101"/>
        <v>1.8792799999999998</v>
      </c>
      <c r="Y399" s="29">
        <f>+VLOOKUP(E399,[1]base!D:E,2,0)</f>
        <v>14</v>
      </c>
      <c r="Z399" s="29">
        <f t="shared" si="102"/>
        <v>1</v>
      </c>
      <c r="AA399" s="29">
        <f t="shared" si="103"/>
        <v>6.6666666666666693E-2</v>
      </c>
      <c r="AB399" s="29">
        <f>+VLOOKUP(E399,[1]base!M:N,2,0)</f>
        <v>7</v>
      </c>
      <c r="AC399" s="29">
        <f>+VLOOKUP(E399,[1]base!M:Q,5,0)</f>
        <v>110.9</v>
      </c>
      <c r="AD399" s="30">
        <f>+VLOOKUP(E399,[1]base!M:P,4,0)</f>
        <v>0.70833333333333337</v>
      </c>
      <c r="AE399" s="31">
        <f t="shared" si="104"/>
        <v>-2.8583333333333338</v>
      </c>
    </row>
    <row r="400" spans="1:31" x14ac:dyDescent="0.25">
      <c r="A400" s="12" t="s">
        <v>1230</v>
      </c>
      <c r="B400" s="13">
        <v>46268.418807870374</v>
      </c>
      <c r="C400" s="12" t="s">
        <v>345</v>
      </c>
      <c r="D400" s="12" t="s">
        <v>735</v>
      </c>
      <c r="E400" s="26" t="str">
        <f t="shared" si="98"/>
        <v>FR112</v>
      </c>
      <c r="F400" s="27" t="str">
        <f t="shared" si="99"/>
        <v>NOIR</v>
      </c>
      <c r="G400" s="27">
        <f>+VLOOKUP(F400,[1]base!A:B,2,0)</f>
        <v>37</v>
      </c>
      <c r="H400" s="12">
        <v>12</v>
      </c>
      <c r="I400" s="12">
        <v>12</v>
      </c>
      <c r="J400" s="14"/>
      <c r="K400" s="14" t="s">
        <v>61</v>
      </c>
      <c r="L400" s="12" t="s">
        <v>1236</v>
      </c>
      <c r="M400" s="12" t="s">
        <v>150</v>
      </c>
      <c r="N400" s="12">
        <v>12</v>
      </c>
      <c r="O400" s="12">
        <v>12</v>
      </c>
      <c r="P400" s="12">
        <v>0</v>
      </c>
      <c r="Q400" s="16">
        <v>12</v>
      </c>
      <c r="R400" s="16">
        <v>0</v>
      </c>
      <c r="S400" s="16"/>
      <c r="T400" s="28">
        <v>12</v>
      </c>
      <c r="U400" s="28"/>
      <c r="V400" s="29">
        <f>+VLOOKUP(E400,[1]base!D:K,8,0)</f>
        <v>4.5175000000000001</v>
      </c>
      <c r="W400" s="29">
        <f t="shared" si="100"/>
        <v>54.21</v>
      </c>
      <c r="X400" s="29">
        <f t="shared" si="101"/>
        <v>2.8189199999999999</v>
      </c>
      <c r="Y400" s="29">
        <f>+VLOOKUP(E400,[1]base!D:E,2,0)</f>
        <v>14</v>
      </c>
      <c r="Z400" s="29">
        <f t="shared" si="102"/>
        <v>1</v>
      </c>
      <c r="AA400" s="29">
        <f t="shared" si="103"/>
        <v>6.6666666666666693E-2</v>
      </c>
      <c r="AB400" s="29">
        <f>+VLOOKUP(E400,[1]base!M:N,2,0)</f>
        <v>7</v>
      </c>
      <c r="AC400" s="29">
        <f>+VLOOKUP(E400,[1]base!M:Q,5,0)</f>
        <v>110.9</v>
      </c>
      <c r="AD400" s="30">
        <f>+VLOOKUP(E400,[1]base!M:P,4,0)</f>
        <v>0.70833333333333337</v>
      </c>
      <c r="AE400" s="31">
        <f t="shared" si="104"/>
        <v>-2.8583333333333338</v>
      </c>
    </row>
    <row r="401" spans="1:31" x14ac:dyDescent="0.25">
      <c r="A401" s="12" t="s">
        <v>1263</v>
      </c>
      <c r="B401" s="13">
        <v>46268.598738425928</v>
      </c>
      <c r="C401" s="12" t="s">
        <v>522</v>
      </c>
      <c r="D401" s="12" t="s">
        <v>735</v>
      </c>
      <c r="E401" s="26" t="str">
        <f t="shared" si="98"/>
        <v>FR112</v>
      </c>
      <c r="F401" s="27" t="str">
        <f t="shared" si="99"/>
        <v>NOIR</v>
      </c>
      <c r="G401" s="27">
        <f>+VLOOKUP(F401,[1]base!A:B,2,0)</f>
        <v>37</v>
      </c>
      <c r="H401" s="12">
        <v>12</v>
      </c>
      <c r="I401" s="12">
        <v>12</v>
      </c>
      <c r="J401" s="14"/>
      <c r="K401" s="14" t="s">
        <v>61</v>
      </c>
      <c r="L401" s="12" t="s">
        <v>1278</v>
      </c>
      <c r="M401" s="12" t="s">
        <v>150</v>
      </c>
      <c r="N401" s="12">
        <v>12</v>
      </c>
      <c r="O401" s="12">
        <v>12</v>
      </c>
      <c r="P401" s="12">
        <v>0</v>
      </c>
      <c r="Q401" s="16">
        <v>12</v>
      </c>
      <c r="R401" s="16">
        <v>0</v>
      </c>
      <c r="S401" s="16"/>
      <c r="T401" s="28">
        <v>12</v>
      </c>
      <c r="U401" s="28"/>
      <c r="V401" s="29">
        <f>+VLOOKUP(E401,[1]base!D:K,8,0)</f>
        <v>4.5175000000000001</v>
      </c>
      <c r="W401" s="29">
        <f t="shared" si="100"/>
        <v>54.21</v>
      </c>
      <c r="X401" s="29">
        <f t="shared" si="101"/>
        <v>2.8189199999999999</v>
      </c>
      <c r="Y401" s="29">
        <f>+VLOOKUP(E401,[1]base!D:E,2,0)</f>
        <v>14</v>
      </c>
      <c r="Z401" s="29">
        <f t="shared" si="102"/>
        <v>1</v>
      </c>
      <c r="AA401" s="29">
        <f t="shared" si="103"/>
        <v>6.6666666666666693E-2</v>
      </c>
      <c r="AB401" s="29">
        <f>+VLOOKUP(E401,[1]base!M:N,2,0)</f>
        <v>7</v>
      </c>
      <c r="AC401" s="29">
        <f>+VLOOKUP(E401,[1]base!M:Q,5,0)</f>
        <v>110.9</v>
      </c>
      <c r="AD401" s="30">
        <f>+VLOOKUP(E401,[1]base!M:P,4,0)</f>
        <v>0.70833333333333337</v>
      </c>
      <c r="AE401" s="31">
        <f t="shared" si="104"/>
        <v>-2.8583333333333338</v>
      </c>
    </row>
    <row r="402" spans="1:31" x14ac:dyDescent="0.25">
      <c r="A402" s="12" t="s">
        <v>940</v>
      </c>
      <c r="B402" s="13">
        <v>46263.399872685186</v>
      </c>
      <c r="C402" s="12" t="s">
        <v>24</v>
      </c>
      <c r="D402" s="12" t="s">
        <v>731</v>
      </c>
      <c r="E402" s="26" t="str">
        <f t="shared" si="98"/>
        <v>FR127</v>
      </c>
      <c r="F402" s="27" t="str">
        <f t="shared" si="99"/>
        <v>NOIR</v>
      </c>
      <c r="G402" s="27">
        <f>+VLOOKUP(F402,[1]base!A:B,2,0)</f>
        <v>37</v>
      </c>
      <c r="H402" s="12">
        <v>1</v>
      </c>
      <c r="I402" s="12">
        <v>1</v>
      </c>
      <c r="J402" s="14"/>
      <c r="K402" s="14" t="s">
        <v>61</v>
      </c>
      <c r="L402" s="12" t="s">
        <v>949</v>
      </c>
      <c r="M402" s="12" t="s">
        <v>150</v>
      </c>
      <c r="N402" s="12">
        <v>1</v>
      </c>
      <c r="O402" s="12">
        <v>1</v>
      </c>
      <c r="P402" s="12">
        <v>0</v>
      </c>
      <c r="Q402" s="16">
        <v>1</v>
      </c>
      <c r="R402" s="16">
        <v>0</v>
      </c>
      <c r="S402" s="16"/>
      <c r="T402" s="28">
        <v>1</v>
      </c>
      <c r="U402" s="28"/>
      <c r="V402" s="29">
        <f>+VLOOKUP(E402,[1]base!D:K,8,0)</f>
        <v>1.9955000000000001</v>
      </c>
      <c r="W402" s="29">
        <f t="shared" si="100"/>
        <v>1.9955000000000001</v>
      </c>
      <c r="X402" s="29">
        <f t="shared" si="101"/>
        <v>0.103766</v>
      </c>
      <c r="Y402" s="29">
        <f>+VLOOKUP(E402,[1]base!D:E,2,0)</f>
        <v>20</v>
      </c>
      <c r="Z402" s="29">
        <f t="shared" si="102"/>
        <v>1</v>
      </c>
      <c r="AA402" s="29">
        <f t="shared" si="103"/>
        <v>6.6666666666666693E-2</v>
      </c>
      <c r="AB402" s="29">
        <f>+VLOOKUP(E402,[1]base!M:N,2,0)</f>
        <v>17</v>
      </c>
      <c r="AC402" s="29">
        <f>+VLOOKUP(E402,[1]base!M:Q,5,0)</f>
        <v>25.571428571428573</v>
      </c>
      <c r="AD402" s="30">
        <f>+VLOOKUP(E402,[1]base!M:P,4,0)</f>
        <v>0.63829787234042556</v>
      </c>
      <c r="AE402" s="31">
        <f t="shared" si="104"/>
        <v>-5.7510638297872347</v>
      </c>
    </row>
    <row r="403" spans="1:31" x14ac:dyDescent="0.25">
      <c r="A403" s="12" t="s">
        <v>732</v>
      </c>
      <c r="B403" s="13">
        <v>46256.374837962961</v>
      </c>
      <c r="C403" s="12" t="s">
        <v>258</v>
      </c>
      <c r="D403" s="12" t="s">
        <v>733</v>
      </c>
      <c r="E403" s="26" t="str">
        <f t="shared" si="98"/>
        <v>FR133</v>
      </c>
      <c r="F403" s="27" t="str">
        <f t="shared" si="99"/>
        <v>NOIR</v>
      </c>
      <c r="G403" s="27">
        <f>+VLOOKUP(F403,[1]base!A:B,2,0)</f>
        <v>37</v>
      </c>
      <c r="H403" s="12">
        <v>3</v>
      </c>
      <c r="I403" s="12">
        <v>3</v>
      </c>
      <c r="J403" s="14"/>
      <c r="K403" s="14" t="s">
        <v>61</v>
      </c>
      <c r="L403" s="12" t="s">
        <v>739</v>
      </c>
      <c r="M403" s="12" t="s">
        <v>150</v>
      </c>
      <c r="N403" s="12">
        <v>3</v>
      </c>
      <c r="O403" s="12">
        <v>3</v>
      </c>
      <c r="P403" s="12">
        <v>0</v>
      </c>
      <c r="Q403" s="16">
        <v>3</v>
      </c>
      <c r="R403" s="16">
        <v>2</v>
      </c>
      <c r="S403" s="16"/>
      <c r="T403" s="28">
        <v>3</v>
      </c>
      <c r="U403" s="28"/>
      <c r="V403" s="29">
        <f>+VLOOKUP(E403,[1]base!D:K,8,0)</f>
        <v>1.43</v>
      </c>
      <c r="W403" s="29">
        <f t="shared" si="100"/>
        <v>4.29</v>
      </c>
      <c r="X403" s="29">
        <f t="shared" si="101"/>
        <v>0.22308</v>
      </c>
      <c r="Y403" s="29">
        <f>+VLOOKUP(E403,[1]base!D:E,2,0)</f>
        <v>20</v>
      </c>
      <c r="Z403" s="29">
        <f t="shared" si="102"/>
        <v>1</v>
      </c>
      <c r="AA403" s="29">
        <f t="shared" si="103"/>
        <v>6.6666666666666693E-2</v>
      </c>
      <c r="AB403" s="29">
        <f>+VLOOKUP(E403,[1]base!M:N,2,0)</f>
        <v>219</v>
      </c>
      <c r="AC403" s="29">
        <f>+VLOOKUP(E403,[1]base!M:Q,5,0)</f>
        <v>40.25</v>
      </c>
      <c r="AD403" s="30">
        <f>+VLOOKUP(E403,[1]base!M:P,4,0)</f>
        <v>0.27483443708609273</v>
      </c>
      <c r="AE403" s="31">
        <f t="shared" si="104"/>
        <v>5.5112582781456894</v>
      </c>
    </row>
    <row r="404" spans="1:31" x14ac:dyDescent="0.25">
      <c r="A404" s="12" t="s">
        <v>1162</v>
      </c>
      <c r="B404" s="13">
        <v>46267.43309027778</v>
      </c>
      <c r="C404" s="12" t="s">
        <v>627</v>
      </c>
      <c r="D404" s="12" t="s">
        <v>1168</v>
      </c>
      <c r="E404" s="26" t="str">
        <f t="shared" si="98"/>
        <v>FR135</v>
      </c>
      <c r="F404" s="27" t="str">
        <f t="shared" si="99"/>
        <v>NOIR</v>
      </c>
      <c r="G404" s="27">
        <f>+VLOOKUP(F404,[1]base!A:B,2,0)</f>
        <v>37</v>
      </c>
      <c r="H404" s="12">
        <v>20</v>
      </c>
      <c r="I404" s="12">
        <v>20</v>
      </c>
      <c r="J404" s="14"/>
      <c r="K404" s="14" t="s">
        <v>61</v>
      </c>
      <c r="L404" s="12" t="s">
        <v>1183</v>
      </c>
      <c r="M404" s="12" t="s">
        <v>150</v>
      </c>
      <c r="N404" s="12">
        <v>20</v>
      </c>
      <c r="O404" s="12">
        <v>20</v>
      </c>
      <c r="P404" s="12">
        <v>0</v>
      </c>
      <c r="Q404" s="16">
        <v>20</v>
      </c>
      <c r="R404" s="16">
        <v>0</v>
      </c>
      <c r="S404" s="16"/>
      <c r="T404" s="28">
        <v>20</v>
      </c>
      <c r="U404" s="28"/>
      <c r="V404" s="29">
        <f>+VLOOKUP(E404,[1]base!D:K,8,0)</f>
        <v>1.5794999999999999</v>
      </c>
      <c r="W404" s="29">
        <f t="shared" si="100"/>
        <v>31.589999999999996</v>
      </c>
      <c r="X404" s="29">
        <f t="shared" si="101"/>
        <v>1.6426799999999997</v>
      </c>
      <c r="Y404" s="29">
        <f>+VLOOKUP(E404,[1]base!D:E,2,0)</f>
        <v>20</v>
      </c>
      <c r="Z404" s="29">
        <f t="shared" si="102"/>
        <v>1</v>
      </c>
      <c r="AA404" s="29">
        <f t="shared" si="103"/>
        <v>6.6666666666666693E-2</v>
      </c>
      <c r="AB404" s="29">
        <f>+VLOOKUP(E404,[1]base!M:N,2,0)</f>
        <v>12</v>
      </c>
      <c r="AC404" s="29">
        <f>+VLOOKUP(E404,[1]base!M:Q,5,0)</f>
        <v>99</v>
      </c>
      <c r="AD404" s="30">
        <f>+VLOOKUP(E404,[1]base!M:P,4,0)</f>
        <v>0.76470588235294112</v>
      </c>
      <c r="AE404" s="31">
        <f t="shared" si="104"/>
        <v>-5.5764705882352938</v>
      </c>
    </row>
    <row r="405" spans="1:31" x14ac:dyDescent="0.25">
      <c r="A405" s="12" t="s">
        <v>1549</v>
      </c>
      <c r="B405" s="13">
        <v>46274.600347222222</v>
      </c>
      <c r="C405" s="12" t="s">
        <v>465</v>
      </c>
      <c r="D405" s="12" t="s">
        <v>248</v>
      </c>
      <c r="E405" s="26" t="str">
        <f t="shared" si="98"/>
        <v>FR139</v>
      </c>
      <c r="F405" s="27" t="str">
        <f t="shared" si="99"/>
        <v>NOIR</v>
      </c>
      <c r="G405" s="27">
        <f>+VLOOKUP(F405,[1]base!A:B,2,0)</f>
        <v>37</v>
      </c>
      <c r="H405" s="12">
        <v>30</v>
      </c>
      <c r="I405" s="12">
        <v>30</v>
      </c>
      <c r="J405" s="14"/>
      <c r="K405" s="14" t="s">
        <v>61</v>
      </c>
      <c r="L405" s="12" t="s">
        <v>1555</v>
      </c>
      <c r="M405" s="12" t="s">
        <v>150</v>
      </c>
      <c r="N405" s="12">
        <v>30</v>
      </c>
      <c r="O405" s="12">
        <v>30</v>
      </c>
      <c r="P405" s="12">
        <v>0</v>
      </c>
      <c r="Q405" s="16">
        <v>30</v>
      </c>
      <c r="R405" s="16">
        <v>2</v>
      </c>
      <c r="S405" s="16"/>
      <c r="T405" s="33">
        <v>28</v>
      </c>
      <c r="U405" s="33">
        <v>2</v>
      </c>
      <c r="V405" s="29">
        <f>+VLOOKUP(E405,[1]base!D:K,8,0)</f>
        <v>1.794</v>
      </c>
      <c r="W405" s="29">
        <f t="shared" si="100"/>
        <v>53.82</v>
      </c>
      <c r="X405" s="29">
        <f t="shared" si="101"/>
        <v>2.7986399999999998</v>
      </c>
      <c r="Y405" s="29">
        <f>+VLOOKUP(E405,[1]base!D:E,2,0)</f>
        <v>20</v>
      </c>
      <c r="Z405" s="29">
        <f t="shared" si="102"/>
        <v>2</v>
      </c>
      <c r="AA405" s="29">
        <f t="shared" si="103"/>
        <v>0.13333333333333339</v>
      </c>
      <c r="AB405" s="29">
        <f>+VLOOKUP(E405,[1]base!M:N,2,0)</f>
        <v>1978</v>
      </c>
      <c r="AC405" s="29">
        <f>+VLOOKUP(E405,[1]base!M:Q,5,0)</f>
        <v>1480</v>
      </c>
      <c r="AD405" s="30">
        <f>+VLOOKUP(E405,[1]base!M:P,4,0)</f>
        <v>8.595194085027727E-2</v>
      </c>
      <c r="AE405" s="31">
        <f t="shared" si="104"/>
        <v>423.38706099815153</v>
      </c>
    </row>
    <row r="406" spans="1:31" x14ac:dyDescent="0.25">
      <c r="A406" s="12" t="s">
        <v>1562</v>
      </c>
      <c r="B406" s="13">
        <v>46274.635497685187</v>
      </c>
      <c r="C406" s="12" t="s">
        <v>484</v>
      </c>
      <c r="D406" s="12" t="s">
        <v>248</v>
      </c>
      <c r="E406" s="26" t="str">
        <f t="shared" si="98"/>
        <v>FR139</v>
      </c>
      <c r="F406" s="27" t="str">
        <f t="shared" si="99"/>
        <v>NOIR</v>
      </c>
      <c r="G406" s="27">
        <f>+VLOOKUP(F406,[1]base!A:B,2,0)</f>
        <v>37</v>
      </c>
      <c r="H406" s="12">
        <v>30</v>
      </c>
      <c r="I406" s="12">
        <v>30</v>
      </c>
      <c r="J406" s="14"/>
      <c r="K406" s="14" t="s">
        <v>61</v>
      </c>
      <c r="L406" s="12" t="s">
        <v>1567</v>
      </c>
      <c r="M406" s="12" t="s">
        <v>150</v>
      </c>
      <c r="N406" s="12">
        <v>30</v>
      </c>
      <c r="O406" s="12">
        <v>30</v>
      </c>
      <c r="P406" s="12">
        <v>0</v>
      </c>
      <c r="Q406" s="16">
        <v>30</v>
      </c>
      <c r="R406" s="16">
        <v>2</v>
      </c>
      <c r="S406" s="16"/>
      <c r="T406" s="33">
        <v>30</v>
      </c>
      <c r="U406" s="33"/>
      <c r="V406" s="29">
        <f>+VLOOKUP(E406,[1]base!D:K,8,0)</f>
        <v>1.794</v>
      </c>
      <c r="W406" s="29">
        <f t="shared" si="100"/>
        <v>53.82</v>
      </c>
      <c r="X406" s="29">
        <f t="shared" si="101"/>
        <v>2.7986399999999998</v>
      </c>
      <c r="Y406" s="29">
        <f>+VLOOKUP(E406,[1]base!D:E,2,0)</f>
        <v>20</v>
      </c>
      <c r="Z406" s="29">
        <f t="shared" si="102"/>
        <v>2</v>
      </c>
      <c r="AA406" s="29">
        <f t="shared" si="103"/>
        <v>0.13333333333333339</v>
      </c>
      <c r="AB406" s="29">
        <f>+VLOOKUP(E406,[1]base!M:N,2,0)</f>
        <v>1978</v>
      </c>
      <c r="AC406" s="29">
        <f>+VLOOKUP(E406,[1]base!M:Q,5,0)</f>
        <v>1480</v>
      </c>
      <c r="AD406" s="30">
        <f>+VLOOKUP(E406,[1]base!M:P,4,0)</f>
        <v>8.595194085027727E-2</v>
      </c>
      <c r="AE406" s="31">
        <f t="shared" si="104"/>
        <v>423.38706099815153</v>
      </c>
    </row>
    <row r="407" spans="1:31" x14ac:dyDescent="0.25">
      <c r="A407" s="12" t="s">
        <v>1230</v>
      </c>
      <c r="B407" s="13">
        <v>46268.418807870374</v>
      </c>
      <c r="C407" s="12" t="s">
        <v>345</v>
      </c>
      <c r="D407" s="12" t="s">
        <v>1232</v>
      </c>
      <c r="E407" s="26" t="str">
        <f t="shared" ref="E407:E438" si="105">_xlfn.TEXTBEFORE(D407, "-", -1, 1, , D407)</f>
        <v>FR151</v>
      </c>
      <c r="F407" s="27" t="str">
        <f t="shared" ref="F407:F438" si="106">_xlfn.TEXTAFTER(D407, "-", -1, 1, , "")</f>
        <v>NOIR</v>
      </c>
      <c r="G407" s="27">
        <f>+VLOOKUP(F407,[1]base!A:B,2,0)</f>
        <v>37</v>
      </c>
      <c r="H407" s="12">
        <v>20</v>
      </c>
      <c r="I407" s="12">
        <v>20</v>
      </c>
      <c r="J407" s="14"/>
      <c r="K407" s="14" t="s">
        <v>61</v>
      </c>
      <c r="L407" s="12" t="s">
        <v>1235</v>
      </c>
      <c r="M407" s="12" t="s">
        <v>150</v>
      </c>
      <c r="N407" s="12">
        <v>20</v>
      </c>
      <c r="O407" s="12">
        <v>20</v>
      </c>
      <c r="P407" s="12">
        <v>0</v>
      </c>
      <c r="Q407" s="16">
        <v>20</v>
      </c>
      <c r="R407" s="16">
        <v>0</v>
      </c>
      <c r="S407" s="16"/>
      <c r="T407" s="28">
        <v>20</v>
      </c>
      <c r="U407" s="28"/>
      <c r="V407" s="29">
        <f>+VLOOKUP(E407,[1]base!D:K,8,0)</f>
        <v>6.3635000000000002</v>
      </c>
      <c r="W407" s="29">
        <f t="shared" ref="W407:W438" si="107">(T407+U407)*V407</f>
        <v>127.27000000000001</v>
      </c>
      <c r="X407" s="29">
        <f t="shared" ref="X407:X438" si="108">+W407*0.052</f>
        <v>6.6180400000000006</v>
      </c>
      <c r="Y407" s="29">
        <f>+VLOOKUP(E407,[1]base!D:E,2,0)</f>
        <v>13</v>
      </c>
      <c r="Z407" s="29">
        <f t="shared" ref="Z407:Z438" si="109">ROUNDUP(T407/Y407,0)</f>
        <v>2</v>
      </c>
      <c r="AA407" s="29">
        <f t="shared" ref="AA407:AA438" si="110">+Z407*0.0666666666666667</f>
        <v>0.13333333333333339</v>
      </c>
      <c r="AB407" s="29">
        <f>+VLOOKUP(E407,[1]base!M:N,2,0)</f>
        <v>11</v>
      </c>
      <c r="AC407" s="29">
        <f>+VLOOKUP(E407,[1]base!M:Q,5,0)</f>
        <v>32</v>
      </c>
      <c r="AD407" s="30">
        <f>+VLOOKUP(E407,[1]base!M:P,4,0)</f>
        <v>0.72499999999999998</v>
      </c>
      <c r="AE407" s="31">
        <f t="shared" ref="AE407:AE438" si="111">+AB407*(30%-AD407)</f>
        <v>-4.6749999999999998</v>
      </c>
    </row>
    <row r="408" spans="1:31" x14ac:dyDescent="0.25">
      <c r="A408" s="12" t="s">
        <v>732</v>
      </c>
      <c r="B408" s="13">
        <v>46256.374837962961</v>
      </c>
      <c r="C408" s="12" t="s">
        <v>258</v>
      </c>
      <c r="D408" s="12" t="s">
        <v>734</v>
      </c>
      <c r="E408" s="26" t="str">
        <f t="shared" si="105"/>
        <v>FR161</v>
      </c>
      <c r="F408" s="27" t="str">
        <f t="shared" si="106"/>
        <v>NOIR</v>
      </c>
      <c r="G408" s="27">
        <f>+VLOOKUP(F408,[1]base!A:B,2,0)</f>
        <v>37</v>
      </c>
      <c r="H408" s="12">
        <v>3</v>
      </c>
      <c r="I408" s="12">
        <v>3</v>
      </c>
      <c r="J408" s="14"/>
      <c r="K408" s="14" t="s">
        <v>61</v>
      </c>
      <c r="L408" s="12" t="s">
        <v>740</v>
      </c>
      <c r="M408" s="12" t="s">
        <v>150</v>
      </c>
      <c r="N408" s="12">
        <v>3</v>
      </c>
      <c r="O408" s="12">
        <v>3</v>
      </c>
      <c r="P408" s="12">
        <v>0</v>
      </c>
      <c r="Q408" s="16">
        <v>3</v>
      </c>
      <c r="R408" s="16">
        <v>0</v>
      </c>
      <c r="S408" s="16"/>
      <c r="T408" s="28">
        <v>3</v>
      </c>
      <c r="U408" s="28"/>
      <c r="V408" s="29">
        <f>+VLOOKUP(E408,[1]base!D:K,8,0)</f>
        <v>2.1840000000000002</v>
      </c>
      <c r="W408" s="29">
        <f t="shared" si="107"/>
        <v>6.5520000000000005</v>
      </c>
      <c r="X408" s="29">
        <f t="shared" si="108"/>
        <v>0.34070400000000001</v>
      </c>
      <c r="Y408" s="29">
        <f>+VLOOKUP(E408,[1]base!D:E,2,0)</f>
        <v>14</v>
      </c>
      <c r="Z408" s="29">
        <f t="shared" si="109"/>
        <v>1</v>
      </c>
      <c r="AA408" s="29">
        <f t="shared" si="110"/>
        <v>6.6666666666666693E-2</v>
      </c>
      <c r="AB408" s="29">
        <f>+VLOOKUP(E408,[1]base!M:N,2,0)</f>
        <v>37</v>
      </c>
      <c r="AC408" s="29">
        <f>+VLOOKUP(E408,[1]base!M:Q,5,0)</f>
        <v>24.285714285714285</v>
      </c>
      <c r="AD408" s="30">
        <f>+VLOOKUP(E408,[1]base!M:P,4,0)</f>
        <v>0.56470588235294117</v>
      </c>
      <c r="AE408" s="31">
        <f t="shared" si="111"/>
        <v>-9.7941176470588243</v>
      </c>
    </row>
    <row r="409" spans="1:31" x14ac:dyDescent="0.25">
      <c r="A409" s="12" t="s">
        <v>837</v>
      </c>
      <c r="B409" s="13">
        <v>46260.566678240742</v>
      </c>
      <c r="C409" s="12" t="s">
        <v>522</v>
      </c>
      <c r="D409" s="12" t="s">
        <v>838</v>
      </c>
      <c r="E409" s="26" t="str">
        <f t="shared" si="105"/>
        <v>FR166</v>
      </c>
      <c r="F409" s="27" t="str">
        <f t="shared" si="106"/>
        <v>NOIR</v>
      </c>
      <c r="G409" s="27">
        <f>+VLOOKUP(F409,[1]base!A:B,2,0)</f>
        <v>37</v>
      </c>
      <c r="H409" s="12">
        <v>50</v>
      </c>
      <c r="I409" s="12">
        <v>50</v>
      </c>
      <c r="J409" s="14"/>
      <c r="K409" s="14" t="s">
        <v>61</v>
      </c>
      <c r="L409" s="12" t="s">
        <v>842</v>
      </c>
      <c r="M409" s="12" t="s">
        <v>150</v>
      </c>
      <c r="N409" s="12">
        <v>50</v>
      </c>
      <c r="O409" s="12">
        <v>50</v>
      </c>
      <c r="P409" s="12">
        <v>0</v>
      </c>
      <c r="Q409" s="16">
        <v>50</v>
      </c>
      <c r="R409" s="16">
        <v>0</v>
      </c>
      <c r="S409" s="16"/>
      <c r="T409" s="28">
        <v>50</v>
      </c>
      <c r="U409" s="28"/>
      <c r="V409" s="29">
        <f>+VLOOKUP(E409,[1]base!D:K,8,0)</f>
        <v>1.6705000000000001</v>
      </c>
      <c r="W409" s="29">
        <f t="shared" si="107"/>
        <v>83.525000000000006</v>
      </c>
      <c r="X409" s="29">
        <f t="shared" si="108"/>
        <v>4.3433000000000002</v>
      </c>
      <c r="Y409" s="29">
        <f>+VLOOKUP(E409,[1]base!D:E,2,0)</f>
        <v>20</v>
      </c>
      <c r="Z409" s="29">
        <f t="shared" si="109"/>
        <v>3</v>
      </c>
      <c r="AA409" s="29">
        <f t="shared" si="110"/>
        <v>0.20000000000000007</v>
      </c>
      <c r="AB409" s="29">
        <f>+VLOOKUP(E409,[1]base!M:N,2,0)</f>
        <v>169</v>
      </c>
      <c r="AC409" s="29">
        <f>+VLOOKUP(E409,[1]base!M:Q,5,0)</f>
        <v>435.66666666666669</v>
      </c>
      <c r="AD409" s="30">
        <f>+VLOOKUP(E409,[1]base!M:P,4,0)</f>
        <v>0.31300813008130079</v>
      </c>
      <c r="AE409" s="31">
        <f t="shared" si="111"/>
        <v>-2.1983739837398364</v>
      </c>
    </row>
    <row r="410" spans="1:31" x14ac:dyDescent="0.25">
      <c r="A410" s="12" t="s">
        <v>1286</v>
      </c>
      <c r="B410" s="13">
        <v>46268.660324074073</v>
      </c>
      <c r="C410" s="12" t="s">
        <v>1287</v>
      </c>
      <c r="D410" s="12" t="s">
        <v>838</v>
      </c>
      <c r="E410" s="26" t="str">
        <f t="shared" si="105"/>
        <v>FR166</v>
      </c>
      <c r="F410" s="27" t="str">
        <f t="shared" si="106"/>
        <v>NOIR</v>
      </c>
      <c r="G410" s="27">
        <f>+VLOOKUP(F410,[1]base!A:B,2,0)</f>
        <v>37</v>
      </c>
      <c r="H410" s="12">
        <v>1</v>
      </c>
      <c r="I410" s="12">
        <v>1</v>
      </c>
      <c r="J410" s="14"/>
      <c r="K410" s="14" t="s">
        <v>61</v>
      </c>
      <c r="L410" s="12" t="s">
        <v>1289</v>
      </c>
      <c r="M410" s="12" t="s">
        <v>150</v>
      </c>
      <c r="N410" s="12">
        <v>1</v>
      </c>
      <c r="O410" s="12">
        <v>1</v>
      </c>
      <c r="P410" s="12">
        <v>0</v>
      </c>
      <c r="Q410" s="16">
        <v>1</v>
      </c>
      <c r="R410" s="16">
        <v>0</v>
      </c>
      <c r="S410" s="16"/>
      <c r="T410" s="28">
        <v>1</v>
      </c>
      <c r="U410" s="28"/>
      <c r="V410" s="29">
        <f>+VLOOKUP(E410,[1]base!D:K,8,0)</f>
        <v>1.6705000000000001</v>
      </c>
      <c r="W410" s="29">
        <f t="shared" si="107"/>
        <v>1.6705000000000001</v>
      </c>
      <c r="X410" s="29">
        <f t="shared" si="108"/>
        <v>8.6865999999999999E-2</v>
      </c>
      <c r="Y410" s="29">
        <f>+VLOOKUP(E410,[1]base!D:E,2,0)</f>
        <v>20</v>
      </c>
      <c r="Z410" s="29">
        <f t="shared" si="109"/>
        <v>1</v>
      </c>
      <c r="AA410" s="29">
        <f t="shared" si="110"/>
        <v>6.6666666666666693E-2</v>
      </c>
      <c r="AB410" s="29">
        <f>+VLOOKUP(E410,[1]base!M:N,2,0)</f>
        <v>169</v>
      </c>
      <c r="AC410" s="29">
        <f>+VLOOKUP(E410,[1]base!M:Q,5,0)</f>
        <v>435.66666666666669</v>
      </c>
      <c r="AD410" s="30">
        <f>+VLOOKUP(E410,[1]base!M:P,4,0)</f>
        <v>0.31300813008130079</v>
      </c>
      <c r="AE410" s="31">
        <f t="shared" si="111"/>
        <v>-2.1983739837398364</v>
      </c>
    </row>
    <row r="411" spans="1:31" x14ac:dyDescent="0.25">
      <c r="A411" s="12" t="s">
        <v>1291</v>
      </c>
      <c r="B411" s="13">
        <v>46269.280277777776</v>
      </c>
      <c r="C411" s="12" t="s">
        <v>266</v>
      </c>
      <c r="D411" s="12" t="s">
        <v>1294</v>
      </c>
      <c r="E411" s="26" t="str">
        <f t="shared" si="105"/>
        <v>FR401</v>
      </c>
      <c r="F411" s="27" t="str">
        <f t="shared" si="106"/>
        <v>NOIR</v>
      </c>
      <c r="G411" s="27">
        <f>+VLOOKUP(F411,[1]base!A:B,2,0)</f>
        <v>37</v>
      </c>
      <c r="H411" s="12">
        <v>8</v>
      </c>
      <c r="I411" s="12">
        <v>8</v>
      </c>
      <c r="J411" s="14"/>
      <c r="K411" s="14" t="s">
        <v>61</v>
      </c>
      <c r="L411" s="12" t="s">
        <v>1309</v>
      </c>
      <c r="M411" s="12" t="s">
        <v>150</v>
      </c>
      <c r="N411" s="12">
        <v>8</v>
      </c>
      <c r="O411" s="12">
        <v>8</v>
      </c>
      <c r="P411" s="12">
        <v>0</v>
      </c>
      <c r="Q411" s="16">
        <v>8</v>
      </c>
      <c r="R411" s="16">
        <v>1</v>
      </c>
      <c r="S411" s="16"/>
      <c r="T411" s="28">
        <v>7</v>
      </c>
      <c r="U411" s="28">
        <v>1</v>
      </c>
      <c r="V411" s="29">
        <f>+VLOOKUP(E411,[1]base!D:K,8,0)</f>
        <v>5.8760000000000003</v>
      </c>
      <c r="W411" s="29">
        <f t="shared" si="107"/>
        <v>47.008000000000003</v>
      </c>
      <c r="X411" s="29">
        <f t="shared" si="108"/>
        <v>2.4444159999999999</v>
      </c>
      <c r="Y411" s="29">
        <f>+VLOOKUP(E411,[1]base!D:E,2,0)</f>
        <v>13</v>
      </c>
      <c r="Z411" s="29">
        <f t="shared" si="109"/>
        <v>1</v>
      </c>
      <c r="AA411" s="29">
        <f t="shared" si="110"/>
        <v>6.6666666666666693E-2</v>
      </c>
      <c r="AB411" s="29">
        <f>+VLOOKUP(E411,[1]base!M:N,2,0)</f>
        <v>553</v>
      </c>
      <c r="AC411" s="29">
        <f>+VLOOKUP(E411,[1]base!M:Q,5,0)</f>
        <v>38.75</v>
      </c>
      <c r="AD411" s="30">
        <f>+VLOOKUP(E411,[1]base!M:P,4,0)</f>
        <v>0.21112696148359486</v>
      </c>
      <c r="AE411" s="31">
        <f t="shared" si="111"/>
        <v>49.146790299572039</v>
      </c>
    </row>
    <row r="412" spans="1:31" x14ac:dyDescent="0.25">
      <c r="A412" s="12" t="s">
        <v>353</v>
      </c>
      <c r="B412" s="13">
        <v>46209.432268518518</v>
      </c>
      <c r="C412" s="12" t="s">
        <v>331</v>
      </c>
      <c r="D412" s="12" t="s">
        <v>253</v>
      </c>
      <c r="E412" s="26" t="str">
        <f t="shared" si="105"/>
        <v>FR402</v>
      </c>
      <c r="F412" s="27" t="str">
        <f t="shared" si="106"/>
        <v>NOIR</v>
      </c>
      <c r="G412" s="27">
        <f>+VLOOKUP(F412,[1]base!A:B,2,0)</f>
        <v>37</v>
      </c>
      <c r="H412" s="12">
        <v>40</v>
      </c>
      <c r="I412" s="12">
        <v>40</v>
      </c>
      <c r="J412" s="14"/>
      <c r="K412" s="14" t="s">
        <v>61</v>
      </c>
      <c r="L412" s="12" t="s">
        <v>359</v>
      </c>
      <c r="M412" s="12" t="s">
        <v>150</v>
      </c>
      <c r="N412" s="12">
        <v>40</v>
      </c>
      <c r="O412" s="12">
        <v>40</v>
      </c>
      <c r="P412" s="12">
        <v>0</v>
      </c>
      <c r="Q412" s="16">
        <v>70</v>
      </c>
      <c r="R412" s="16">
        <v>0</v>
      </c>
      <c r="S412" s="16"/>
      <c r="T412" s="28">
        <v>40</v>
      </c>
      <c r="U412" s="28"/>
      <c r="V412" s="29">
        <f>+VLOOKUP(E412,[1]base!D:K,8,0)</f>
        <v>5.7394999999999996</v>
      </c>
      <c r="W412" s="29">
        <f t="shared" si="107"/>
        <v>229.57999999999998</v>
      </c>
      <c r="X412" s="29">
        <f t="shared" si="108"/>
        <v>11.938159999999998</v>
      </c>
      <c r="Y412" s="29">
        <f>+VLOOKUP(E412,[1]base!D:E,2,0)</f>
        <v>13</v>
      </c>
      <c r="Z412" s="29">
        <f t="shared" si="109"/>
        <v>4</v>
      </c>
      <c r="AA412" s="29">
        <f t="shared" si="110"/>
        <v>0.26666666666666677</v>
      </c>
      <c r="AB412" s="29">
        <f>+VLOOKUP(E412,[1]base!M:N,2,0)</f>
        <v>135</v>
      </c>
      <c r="AC412" s="29">
        <f>+VLOOKUP(E412,[1]base!M:Q,5,0)</f>
        <v>898.4545454545455</v>
      </c>
      <c r="AD412" s="30">
        <f>+VLOOKUP(E412,[1]base!M:P,4,0)</f>
        <v>0.13461538461538461</v>
      </c>
      <c r="AE412" s="31">
        <f t="shared" si="111"/>
        <v>22.326923076923077</v>
      </c>
    </row>
    <row r="413" spans="1:31" x14ac:dyDescent="0.25">
      <c r="A413" s="12" t="s">
        <v>397</v>
      </c>
      <c r="B413" s="13">
        <v>46219.315069444441</v>
      </c>
      <c r="C413" s="12" t="s">
        <v>398</v>
      </c>
      <c r="D413" s="12" t="s">
        <v>253</v>
      </c>
      <c r="E413" s="26" t="str">
        <f t="shared" si="105"/>
        <v>FR402</v>
      </c>
      <c r="F413" s="27" t="str">
        <f t="shared" si="106"/>
        <v>NOIR</v>
      </c>
      <c r="G413" s="27">
        <f>+VLOOKUP(F413,[1]base!A:B,2,0)</f>
        <v>37</v>
      </c>
      <c r="H413" s="12">
        <v>16</v>
      </c>
      <c r="I413" s="12">
        <v>16</v>
      </c>
      <c r="J413" s="14"/>
      <c r="K413" s="14" t="s">
        <v>61</v>
      </c>
      <c r="L413" s="12" t="s">
        <v>402</v>
      </c>
      <c r="M413" s="12" t="s">
        <v>150</v>
      </c>
      <c r="N413" s="12">
        <v>16</v>
      </c>
      <c r="O413" s="12">
        <v>16</v>
      </c>
      <c r="P413" s="12">
        <v>0</v>
      </c>
      <c r="Q413" s="16">
        <v>16</v>
      </c>
      <c r="R413" s="16">
        <v>0</v>
      </c>
      <c r="S413" s="16"/>
      <c r="T413" s="28">
        <v>16</v>
      </c>
      <c r="U413" s="28"/>
      <c r="V413" s="29">
        <f>+VLOOKUP(E413,[1]base!D:K,8,0)</f>
        <v>5.7394999999999996</v>
      </c>
      <c r="W413" s="29">
        <f t="shared" si="107"/>
        <v>91.831999999999994</v>
      </c>
      <c r="X413" s="29">
        <f t="shared" si="108"/>
        <v>4.7752639999999991</v>
      </c>
      <c r="Y413" s="29">
        <f>+VLOOKUP(E413,[1]base!D:E,2,0)</f>
        <v>13</v>
      </c>
      <c r="Z413" s="29">
        <f t="shared" si="109"/>
        <v>2</v>
      </c>
      <c r="AA413" s="29">
        <f t="shared" si="110"/>
        <v>0.13333333333333339</v>
      </c>
      <c r="AB413" s="29">
        <f>+VLOOKUP(E413,[1]base!M:N,2,0)</f>
        <v>135</v>
      </c>
      <c r="AC413" s="29">
        <f>+VLOOKUP(E413,[1]base!M:Q,5,0)</f>
        <v>898.4545454545455</v>
      </c>
      <c r="AD413" s="30">
        <f>+VLOOKUP(E413,[1]base!M:P,4,0)</f>
        <v>0.13461538461538461</v>
      </c>
      <c r="AE413" s="31">
        <f t="shared" si="111"/>
        <v>22.326923076923077</v>
      </c>
    </row>
    <row r="414" spans="1:31" x14ac:dyDescent="0.25">
      <c r="A414" s="12" t="s">
        <v>408</v>
      </c>
      <c r="B414" s="13">
        <v>46220.346435185187</v>
      </c>
      <c r="C414" s="12" t="s">
        <v>258</v>
      </c>
      <c r="D414" s="12" t="s">
        <v>253</v>
      </c>
      <c r="E414" s="26" t="str">
        <f t="shared" si="105"/>
        <v>FR402</v>
      </c>
      <c r="F414" s="27" t="str">
        <f t="shared" si="106"/>
        <v>NOIR</v>
      </c>
      <c r="G414" s="27">
        <f>+VLOOKUP(F414,[1]base!A:B,2,0)</f>
        <v>37</v>
      </c>
      <c r="H414" s="12">
        <v>40</v>
      </c>
      <c r="I414" s="12">
        <v>40</v>
      </c>
      <c r="J414" s="14"/>
      <c r="K414" s="14" t="s">
        <v>61</v>
      </c>
      <c r="L414" s="12" t="s">
        <v>410</v>
      </c>
      <c r="M414" s="12" t="s">
        <v>150</v>
      </c>
      <c r="N414" s="12">
        <v>40</v>
      </c>
      <c r="O414" s="12">
        <v>40</v>
      </c>
      <c r="P414" s="12">
        <v>0</v>
      </c>
      <c r="Q414" s="16">
        <v>40</v>
      </c>
      <c r="R414" s="16">
        <v>0</v>
      </c>
      <c r="S414" s="16"/>
      <c r="T414" s="28">
        <v>40</v>
      </c>
      <c r="U414" s="28"/>
      <c r="V414" s="29">
        <f>+VLOOKUP(E414,[1]base!D:K,8,0)</f>
        <v>5.7394999999999996</v>
      </c>
      <c r="W414" s="29">
        <f t="shared" si="107"/>
        <v>229.57999999999998</v>
      </c>
      <c r="X414" s="29">
        <f t="shared" si="108"/>
        <v>11.938159999999998</v>
      </c>
      <c r="Y414" s="29">
        <f>+VLOOKUP(E414,[1]base!D:E,2,0)</f>
        <v>13</v>
      </c>
      <c r="Z414" s="29">
        <f t="shared" si="109"/>
        <v>4</v>
      </c>
      <c r="AA414" s="29">
        <f t="shared" si="110"/>
        <v>0.26666666666666677</v>
      </c>
      <c r="AB414" s="29">
        <f>+VLOOKUP(E414,[1]base!M:N,2,0)</f>
        <v>135</v>
      </c>
      <c r="AC414" s="29">
        <f>+VLOOKUP(E414,[1]base!M:Q,5,0)</f>
        <v>898.4545454545455</v>
      </c>
      <c r="AD414" s="30">
        <f>+VLOOKUP(E414,[1]base!M:P,4,0)</f>
        <v>0.13461538461538461</v>
      </c>
      <c r="AE414" s="31">
        <f t="shared" si="111"/>
        <v>22.326923076923077</v>
      </c>
    </row>
    <row r="415" spans="1:31" x14ac:dyDescent="0.25">
      <c r="A415" s="12" t="s">
        <v>940</v>
      </c>
      <c r="B415" s="13">
        <v>46263.399872685186</v>
      </c>
      <c r="C415" s="12" t="s">
        <v>24</v>
      </c>
      <c r="D415" s="12" t="s">
        <v>253</v>
      </c>
      <c r="E415" s="26" t="str">
        <f t="shared" si="105"/>
        <v>FR402</v>
      </c>
      <c r="F415" s="27" t="str">
        <f t="shared" si="106"/>
        <v>NOIR</v>
      </c>
      <c r="G415" s="27">
        <f>+VLOOKUP(F415,[1]base!A:B,2,0)</f>
        <v>37</v>
      </c>
      <c r="H415" s="12">
        <v>10</v>
      </c>
      <c r="I415" s="12">
        <v>10</v>
      </c>
      <c r="J415" s="14"/>
      <c r="K415" s="14" t="s">
        <v>61</v>
      </c>
      <c r="L415" s="12" t="s">
        <v>950</v>
      </c>
      <c r="M415" s="12" t="s">
        <v>150</v>
      </c>
      <c r="N415" s="12">
        <v>10</v>
      </c>
      <c r="O415" s="12">
        <v>10</v>
      </c>
      <c r="P415" s="12">
        <v>0</v>
      </c>
      <c r="Q415" s="16">
        <v>10</v>
      </c>
      <c r="R415" s="16">
        <v>0</v>
      </c>
      <c r="S415" s="16"/>
      <c r="T415" s="28">
        <v>10</v>
      </c>
      <c r="U415" s="28"/>
      <c r="V415" s="29">
        <f>+VLOOKUP(E415,[1]base!D:K,8,0)</f>
        <v>5.7394999999999996</v>
      </c>
      <c r="W415" s="29">
        <f t="shared" si="107"/>
        <v>57.394999999999996</v>
      </c>
      <c r="X415" s="29">
        <f t="shared" si="108"/>
        <v>2.9845399999999995</v>
      </c>
      <c r="Y415" s="29">
        <f>+VLOOKUP(E415,[1]base!D:E,2,0)</f>
        <v>13</v>
      </c>
      <c r="Z415" s="29">
        <f t="shared" si="109"/>
        <v>1</v>
      </c>
      <c r="AA415" s="29">
        <f t="shared" si="110"/>
        <v>6.6666666666666693E-2</v>
      </c>
      <c r="AB415" s="29">
        <f>+VLOOKUP(E415,[1]base!M:N,2,0)</f>
        <v>135</v>
      </c>
      <c r="AC415" s="29">
        <f>+VLOOKUP(E415,[1]base!M:Q,5,0)</f>
        <v>898.4545454545455</v>
      </c>
      <c r="AD415" s="30">
        <f>+VLOOKUP(E415,[1]base!M:P,4,0)</f>
        <v>0.13461538461538461</v>
      </c>
      <c r="AE415" s="31">
        <f t="shared" si="111"/>
        <v>22.326923076923077</v>
      </c>
    </row>
    <row r="416" spans="1:31" x14ac:dyDescent="0.25">
      <c r="A416" s="12" t="s">
        <v>1141</v>
      </c>
      <c r="B416" s="13">
        <v>46267.323657407411</v>
      </c>
      <c r="C416" s="12" t="s">
        <v>585</v>
      </c>
      <c r="D416" s="12" t="s">
        <v>253</v>
      </c>
      <c r="E416" s="26" t="str">
        <f t="shared" si="105"/>
        <v>FR402</v>
      </c>
      <c r="F416" s="27" t="str">
        <f t="shared" si="106"/>
        <v>NOIR</v>
      </c>
      <c r="G416" s="27">
        <f>+VLOOKUP(F416,[1]base!A:B,2,0)</f>
        <v>37</v>
      </c>
      <c r="H416" s="12">
        <v>80</v>
      </c>
      <c r="I416" s="12">
        <v>80</v>
      </c>
      <c r="J416" s="14"/>
      <c r="K416" s="14" t="s">
        <v>61</v>
      </c>
      <c r="L416" s="12" t="s">
        <v>1149</v>
      </c>
      <c r="M416" s="12" t="s">
        <v>150</v>
      </c>
      <c r="N416" s="12">
        <v>80</v>
      </c>
      <c r="O416" s="12">
        <v>80</v>
      </c>
      <c r="P416" s="12">
        <v>0</v>
      </c>
      <c r="Q416" s="16">
        <v>80</v>
      </c>
      <c r="R416" s="16">
        <v>0</v>
      </c>
      <c r="S416" s="16"/>
      <c r="T416" s="28">
        <v>80</v>
      </c>
      <c r="U416" s="28"/>
      <c r="V416" s="29">
        <f>+VLOOKUP(E416,[1]base!D:K,8,0)</f>
        <v>5.7394999999999996</v>
      </c>
      <c r="W416" s="29">
        <f t="shared" si="107"/>
        <v>459.15999999999997</v>
      </c>
      <c r="X416" s="29">
        <f t="shared" si="108"/>
        <v>23.876319999999996</v>
      </c>
      <c r="Y416" s="29">
        <f>+VLOOKUP(E416,[1]base!D:E,2,0)</f>
        <v>13</v>
      </c>
      <c r="Z416" s="29">
        <f t="shared" si="109"/>
        <v>7</v>
      </c>
      <c r="AA416" s="29">
        <f t="shared" si="110"/>
        <v>0.46666666666666684</v>
      </c>
      <c r="AB416" s="29">
        <f>+VLOOKUP(E416,[1]base!M:N,2,0)</f>
        <v>135</v>
      </c>
      <c r="AC416" s="29">
        <f>+VLOOKUP(E416,[1]base!M:Q,5,0)</f>
        <v>898.4545454545455</v>
      </c>
      <c r="AD416" s="30">
        <f>+VLOOKUP(E416,[1]base!M:P,4,0)</f>
        <v>0.13461538461538461</v>
      </c>
      <c r="AE416" s="31">
        <f t="shared" si="111"/>
        <v>22.326923076923077</v>
      </c>
    </row>
    <row r="417" spans="1:31" x14ac:dyDescent="0.25">
      <c r="A417" s="12" t="s">
        <v>1230</v>
      </c>
      <c r="B417" s="13">
        <v>46268.418807870374</v>
      </c>
      <c r="C417" s="12" t="s">
        <v>345</v>
      </c>
      <c r="D417" s="12" t="s">
        <v>253</v>
      </c>
      <c r="E417" s="26" t="str">
        <f t="shared" si="105"/>
        <v>FR402</v>
      </c>
      <c r="F417" s="27" t="str">
        <f t="shared" si="106"/>
        <v>NOIR</v>
      </c>
      <c r="G417" s="27">
        <f>+VLOOKUP(F417,[1]base!A:B,2,0)</f>
        <v>37</v>
      </c>
      <c r="H417" s="12">
        <v>20</v>
      </c>
      <c r="I417" s="12">
        <v>20</v>
      </c>
      <c r="J417" s="14"/>
      <c r="K417" s="14" t="s">
        <v>61</v>
      </c>
      <c r="L417" s="12" t="s">
        <v>1237</v>
      </c>
      <c r="M417" s="12" t="s">
        <v>150</v>
      </c>
      <c r="N417" s="12">
        <v>20</v>
      </c>
      <c r="O417" s="12">
        <v>20</v>
      </c>
      <c r="P417" s="12">
        <v>0</v>
      </c>
      <c r="Q417" s="16">
        <v>20</v>
      </c>
      <c r="R417" s="16">
        <v>0</v>
      </c>
      <c r="S417" s="16"/>
      <c r="T417" s="28">
        <v>20</v>
      </c>
      <c r="U417" s="28"/>
      <c r="V417" s="29">
        <f>+VLOOKUP(E417,[1]base!D:K,8,0)</f>
        <v>5.7394999999999996</v>
      </c>
      <c r="W417" s="29">
        <f t="shared" si="107"/>
        <v>114.78999999999999</v>
      </c>
      <c r="X417" s="29">
        <f t="shared" si="108"/>
        <v>5.9690799999999991</v>
      </c>
      <c r="Y417" s="29">
        <f>+VLOOKUP(E417,[1]base!D:E,2,0)</f>
        <v>13</v>
      </c>
      <c r="Z417" s="29">
        <f t="shared" si="109"/>
        <v>2</v>
      </c>
      <c r="AA417" s="29">
        <f t="shared" si="110"/>
        <v>0.13333333333333339</v>
      </c>
      <c r="AB417" s="29">
        <f>+VLOOKUP(E417,[1]base!M:N,2,0)</f>
        <v>135</v>
      </c>
      <c r="AC417" s="29">
        <f>+VLOOKUP(E417,[1]base!M:Q,5,0)</f>
        <v>898.4545454545455</v>
      </c>
      <c r="AD417" s="30">
        <f>+VLOOKUP(E417,[1]base!M:P,4,0)</f>
        <v>0.13461538461538461</v>
      </c>
      <c r="AE417" s="31">
        <f t="shared" si="111"/>
        <v>22.326923076923077</v>
      </c>
    </row>
    <row r="418" spans="1:31" x14ac:dyDescent="0.25">
      <c r="A418" s="12" t="s">
        <v>1263</v>
      </c>
      <c r="B418" s="13">
        <v>46268.598738425928</v>
      </c>
      <c r="C418" s="12" t="s">
        <v>522</v>
      </c>
      <c r="D418" s="12" t="s">
        <v>253</v>
      </c>
      <c r="E418" s="26" t="str">
        <f t="shared" si="105"/>
        <v>FR402</v>
      </c>
      <c r="F418" s="27" t="str">
        <f t="shared" si="106"/>
        <v>NOIR</v>
      </c>
      <c r="G418" s="27">
        <f>+VLOOKUP(F418,[1]base!A:B,2,0)</f>
        <v>37</v>
      </c>
      <c r="H418" s="12">
        <v>30</v>
      </c>
      <c r="I418" s="12">
        <v>30</v>
      </c>
      <c r="J418" s="14"/>
      <c r="K418" s="14" t="s">
        <v>61</v>
      </c>
      <c r="L418" s="12" t="s">
        <v>1279</v>
      </c>
      <c r="M418" s="12" t="s">
        <v>150</v>
      </c>
      <c r="N418" s="12">
        <v>30</v>
      </c>
      <c r="O418" s="12">
        <v>30</v>
      </c>
      <c r="P418" s="12">
        <v>0</v>
      </c>
      <c r="Q418" s="16">
        <v>30</v>
      </c>
      <c r="R418" s="16">
        <v>0</v>
      </c>
      <c r="S418" s="16"/>
      <c r="T418" s="28">
        <v>30</v>
      </c>
      <c r="U418" s="28"/>
      <c r="V418" s="29">
        <f>+VLOOKUP(E418,[1]base!D:K,8,0)</f>
        <v>5.7394999999999996</v>
      </c>
      <c r="W418" s="29">
        <f t="shared" si="107"/>
        <v>172.185</v>
      </c>
      <c r="X418" s="29">
        <f t="shared" si="108"/>
        <v>8.953619999999999</v>
      </c>
      <c r="Y418" s="29">
        <f>+VLOOKUP(E418,[1]base!D:E,2,0)</f>
        <v>13</v>
      </c>
      <c r="Z418" s="29">
        <f t="shared" si="109"/>
        <v>3</v>
      </c>
      <c r="AA418" s="29">
        <f t="shared" si="110"/>
        <v>0.20000000000000007</v>
      </c>
      <c r="AB418" s="29">
        <f>+VLOOKUP(E418,[1]base!M:N,2,0)</f>
        <v>135</v>
      </c>
      <c r="AC418" s="29">
        <f>+VLOOKUP(E418,[1]base!M:Q,5,0)</f>
        <v>898.4545454545455</v>
      </c>
      <c r="AD418" s="30">
        <f>+VLOOKUP(E418,[1]base!M:P,4,0)</f>
        <v>0.13461538461538461</v>
      </c>
      <c r="AE418" s="31">
        <f t="shared" si="111"/>
        <v>22.326923076923077</v>
      </c>
    </row>
    <row r="419" spans="1:31" x14ac:dyDescent="0.25">
      <c r="A419" s="12" t="s">
        <v>1286</v>
      </c>
      <c r="B419" s="13">
        <v>46268.660324074073</v>
      </c>
      <c r="C419" s="12" t="s">
        <v>1287</v>
      </c>
      <c r="D419" s="12" t="s">
        <v>253</v>
      </c>
      <c r="E419" s="26" t="str">
        <f t="shared" si="105"/>
        <v>FR402</v>
      </c>
      <c r="F419" s="27" t="str">
        <f t="shared" si="106"/>
        <v>NOIR</v>
      </c>
      <c r="G419" s="27">
        <f>+VLOOKUP(F419,[1]base!A:B,2,0)</f>
        <v>37</v>
      </c>
      <c r="H419" s="12">
        <v>1</v>
      </c>
      <c r="I419" s="12">
        <v>1</v>
      </c>
      <c r="J419" s="14"/>
      <c r="K419" s="14" t="s">
        <v>61</v>
      </c>
      <c r="L419" s="12" t="s">
        <v>1290</v>
      </c>
      <c r="M419" s="12" t="s">
        <v>150</v>
      </c>
      <c r="N419" s="12">
        <v>1</v>
      </c>
      <c r="O419" s="12">
        <v>1</v>
      </c>
      <c r="P419" s="12">
        <v>0</v>
      </c>
      <c r="Q419" s="16">
        <v>1</v>
      </c>
      <c r="R419" s="16">
        <v>0</v>
      </c>
      <c r="S419" s="16"/>
      <c r="T419" s="28">
        <v>1</v>
      </c>
      <c r="U419" s="28"/>
      <c r="V419" s="29">
        <f>+VLOOKUP(E419,[1]base!D:K,8,0)</f>
        <v>5.7394999999999996</v>
      </c>
      <c r="W419" s="29">
        <f t="shared" si="107"/>
        <v>5.7394999999999996</v>
      </c>
      <c r="X419" s="29">
        <f t="shared" si="108"/>
        <v>0.29845399999999994</v>
      </c>
      <c r="Y419" s="29">
        <f>+VLOOKUP(E419,[1]base!D:E,2,0)</f>
        <v>13</v>
      </c>
      <c r="Z419" s="29">
        <f t="shared" si="109"/>
        <v>1</v>
      </c>
      <c r="AA419" s="29">
        <f t="shared" si="110"/>
        <v>6.6666666666666693E-2</v>
      </c>
      <c r="AB419" s="29">
        <f>+VLOOKUP(E419,[1]base!M:N,2,0)</f>
        <v>135</v>
      </c>
      <c r="AC419" s="29">
        <f>+VLOOKUP(E419,[1]base!M:Q,5,0)</f>
        <v>898.4545454545455</v>
      </c>
      <c r="AD419" s="30">
        <f>+VLOOKUP(E419,[1]base!M:P,4,0)</f>
        <v>0.13461538461538461</v>
      </c>
      <c r="AE419" s="31">
        <f t="shared" si="111"/>
        <v>22.326923076923077</v>
      </c>
    </row>
    <row r="420" spans="1:31" x14ac:dyDescent="0.25">
      <c r="A420" s="12" t="s">
        <v>1291</v>
      </c>
      <c r="B420" s="13">
        <v>46269.280277777776</v>
      </c>
      <c r="C420" s="12" t="s">
        <v>266</v>
      </c>
      <c r="D420" s="12" t="s">
        <v>253</v>
      </c>
      <c r="E420" s="26" t="str">
        <f t="shared" si="105"/>
        <v>FR402</v>
      </c>
      <c r="F420" s="27" t="str">
        <f t="shared" si="106"/>
        <v>NOIR</v>
      </c>
      <c r="G420" s="27">
        <f>+VLOOKUP(F420,[1]base!A:B,2,0)</f>
        <v>37</v>
      </c>
      <c r="H420" s="12">
        <v>50</v>
      </c>
      <c r="I420" s="12">
        <v>50</v>
      </c>
      <c r="J420" s="14"/>
      <c r="K420" s="14" t="s">
        <v>61</v>
      </c>
      <c r="L420" s="12" t="s">
        <v>1305</v>
      </c>
      <c r="M420" s="12" t="s">
        <v>150</v>
      </c>
      <c r="N420" s="12">
        <v>50</v>
      </c>
      <c r="O420" s="12">
        <v>50</v>
      </c>
      <c r="P420" s="12">
        <v>0</v>
      </c>
      <c r="Q420" s="16">
        <v>50</v>
      </c>
      <c r="R420" s="16">
        <v>0</v>
      </c>
      <c r="S420" s="16"/>
      <c r="T420" s="28">
        <v>50</v>
      </c>
      <c r="U420" s="28"/>
      <c r="V420" s="29">
        <f>+VLOOKUP(E420,[1]base!D:K,8,0)</f>
        <v>5.7394999999999996</v>
      </c>
      <c r="W420" s="29">
        <f t="shared" si="107"/>
        <v>286.97499999999997</v>
      </c>
      <c r="X420" s="29">
        <f t="shared" si="108"/>
        <v>14.922699999999997</v>
      </c>
      <c r="Y420" s="29">
        <f>+VLOOKUP(E420,[1]base!D:E,2,0)</f>
        <v>13</v>
      </c>
      <c r="Z420" s="29">
        <f t="shared" si="109"/>
        <v>4</v>
      </c>
      <c r="AA420" s="29">
        <f t="shared" si="110"/>
        <v>0.26666666666666677</v>
      </c>
      <c r="AB420" s="29">
        <f>+VLOOKUP(E420,[1]base!M:N,2,0)</f>
        <v>135</v>
      </c>
      <c r="AC420" s="29">
        <f>+VLOOKUP(E420,[1]base!M:Q,5,0)</f>
        <v>898.4545454545455</v>
      </c>
      <c r="AD420" s="30">
        <f>+VLOOKUP(E420,[1]base!M:P,4,0)</f>
        <v>0.13461538461538461</v>
      </c>
      <c r="AE420" s="31">
        <f t="shared" si="111"/>
        <v>22.326923076923077</v>
      </c>
    </row>
    <row r="421" spans="1:31" x14ac:dyDescent="0.25">
      <c r="A421" s="12" t="s">
        <v>1292</v>
      </c>
      <c r="B421" s="13">
        <v>46269.281944444447</v>
      </c>
      <c r="C421" s="12" t="s">
        <v>398</v>
      </c>
      <c r="D421" s="12" t="s">
        <v>253</v>
      </c>
      <c r="E421" s="26" t="str">
        <f t="shared" si="105"/>
        <v>FR402</v>
      </c>
      <c r="F421" s="27" t="str">
        <f t="shared" si="106"/>
        <v>NOIR</v>
      </c>
      <c r="G421" s="27">
        <f>+VLOOKUP(F421,[1]base!A:B,2,0)</f>
        <v>37</v>
      </c>
      <c r="H421" s="12">
        <v>20</v>
      </c>
      <c r="I421" s="12">
        <v>20</v>
      </c>
      <c r="J421" s="14"/>
      <c r="K421" s="14" t="s">
        <v>61</v>
      </c>
      <c r="L421" s="12" t="s">
        <v>1320</v>
      </c>
      <c r="M421" s="12" t="s">
        <v>150</v>
      </c>
      <c r="N421" s="12">
        <v>20</v>
      </c>
      <c r="O421" s="12">
        <v>20</v>
      </c>
      <c r="P421" s="12">
        <v>0</v>
      </c>
      <c r="Q421" s="16">
        <v>52</v>
      </c>
      <c r="R421" s="16">
        <v>0</v>
      </c>
      <c r="S421" s="16"/>
      <c r="T421" s="28">
        <v>20</v>
      </c>
      <c r="U421" s="28"/>
      <c r="V421" s="29">
        <f>+VLOOKUP(E421,[1]base!D:K,8,0)</f>
        <v>5.7394999999999996</v>
      </c>
      <c r="W421" s="29">
        <f t="shared" si="107"/>
        <v>114.78999999999999</v>
      </c>
      <c r="X421" s="29">
        <f t="shared" si="108"/>
        <v>5.9690799999999991</v>
      </c>
      <c r="Y421" s="29">
        <f>+VLOOKUP(E421,[1]base!D:E,2,0)</f>
        <v>13</v>
      </c>
      <c r="Z421" s="29">
        <f t="shared" si="109"/>
        <v>2</v>
      </c>
      <c r="AA421" s="29">
        <f t="shared" si="110"/>
        <v>0.13333333333333339</v>
      </c>
      <c r="AB421" s="29">
        <f>+VLOOKUP(E421,[1]base!M:N,2,0)</f>
        <v>135</v>
      </c>
      <c r="AC421" s="29">
        <f>+VLOOKUP(E421,[1]base!M:Q,5,0)</f>
        <v>898.4545454545455</v>
      </c>
      <c r="AD421" s="30">
        <f>+VLOOKUP(E421,[1]base!M:P,4,0)</f>
        <v>0.13461538461538461</v>
      </c>
      <c r="AE421" s="31">
        <f t="shared" si="111"/>
        <v>22.326923076923077</v>
      </c>
    </row>
    <row r="422" spans="1:31" x14ac:dyDescent="0.25">
      <c r="A422" s="12" t="s">
        <v>1415</v>
      </c>
      <c r="B422" s="13">
        <v>46273.296388888892</v>
      </c>
      <c r="C422" s="12" t="s">
        <v>24</v>
      </c>
      <c r="D422" s="12" t="s">
        <v>253</v>
      </c>
      <c r="E422" s="26" t="str">
        <f t="shared" si="105"/>
        <v>FR402</v>
      </c>
      <c r="F422" s="27" t="str">
        <f t="shared" si="106"/>
        <v>NOIR</v>
      </c>
      <c r="G422" s="27">
        <f>+VLOOKUP(F422,[1]base!A:B,2,0)</f>
        <v>37</v>
      </c>
      <c r="H422" s="12">
        <v>60</v>
      </c>
      <c r="I422" s="12">
        <v>60</v>
      </c>
      <c r="J422" s="14"/>
      <c r="K422" s="14" t="s">
        <v>61</v>
      </c>
      <c r="L422" s="12" t="s">
        <v>1426</v>
      </c>
      <c r="M422" s="12" t="s">
        <v>150</v>
      </c>
      <c r="N422" s="12">
        <v>60</v>
      </c>
      <c r="O422" s="12">
        <v>60</v>
      </c>
      <c r="P422" s="12">
        <v>0</v>
      </c>
      <c r="Q422" s="16">
        <v>220</v>
      </c>
      <c r="R422" s="16">
        <v>0</v>
      </c>
      <c r="S422" s="16"/>
      <c r="T422" s="28">
        <v>60</v>
      </c>
      <c r="U422" s="28"/>
      <c r="V422" s="29">
        <f>+VLOOKUP(E422,[1]base!D:K,8,0)</f>
        <v>5.7394999999999996</v>
      </c>
      <c r="W422" s="29">
        <f t="shared" si="107"/>
        <v>344.37</v>
      </c>
      <c r="X422" s="29">
        <f t="shared" si="108"/>
        <v>17.907239999999998</v>
      </c>
      <c r="Y422" s="29">
        <f>+VLOOKUP(E422,[1]base!D:E,2,0)</f>
        <v>13</v>
      </c>
      <c r="Z422" s="29">
        <f t="shared" si="109"/>
        <v>5</v>
      </c>
      <c r="AA422" s="29">
        <f t="shared" si="110"/>
        <v>0.33333333333333348</v>
      </c>
      <c r="AB422" s="29">
        <f>+VLOOKUP(E422,[1]base!M:N,2,0)</f>
        <v>135</v>
      </c>
      <c r="AC422" s="29">
        <f>+VLOOKUP(E422,[1]base!M:Q,5,0)</f>
        <v>898.4545454545455</v>
      </c>
      <c r="AD422" s="30">
        <f>+VLOOKUP(E422,[1]base!M:P,4,0)</f>
        <v>0.13461538461538461</v>
      </c>
      <c r="AE422" s="31">
        <f t="shared" si="111"/>
        <v>22.326923076923077</v>
      </c>
    </row>
    <row r="423" spans="1:31" x14ac:dyDescent="0.25">
      <c r="A423" s="12" t="s">
        <v>1549</v>
      </c>
      <c r="B423" s="13">
        <v>46274.600347222222</v>
      </c>
      <c r="C423" s="12" t="s">
        <v>465</v>
      </c>
      <c r="D423" s="12" t="s">
        <v>253</v>
      </c>
      <c r="E423" s="26" t="str">
        <f t="shared" si="105"/>
        <v>FR402</v>
      </c>
      <c r="F423" s="27" t="str">
        <f t="shared" si="106"/>
        <v>NOIR</v>
      </c>
      <c r="G423" s="27">
        <f>+VLOOKUP(F423,[1]base!A:B,2,0)</f>
        <v>37</v>
      </c>
      <c r="H423" s="12">
        <v>20</v>
      </c>
      <c r="I423" s="12">
        <v>20</v>
      </c>
      <c r="J423" s="14"/>
      <c r="K423" s="14" t="s">
        <v>61</v>
      </c>
      <c r="L423" s="12" t="s">
        <v>1558</v>
      </c>
      <c r="M423" s="12" t="s">
        <v>150</v>
      </c>
      <c r="N423" s="12">
        <v>20</v>
      </c>
      <c r="O423" s="12">
        <v>20</v>
      </c>
      <c r="P423" s="12">
        <v>0</v>
      </c>
      <c r="Q423" s="16">
        <v>60</v>
      </c>
      <c r="R423" s="16">
        <v>0</v>
      </c>
      <c r="S423" s="16"/>
      <c r="T423" s="28">
        <v>20</v>
      </c>
      <c r="U423" s="28"/>
      <c r="V423" s="29">
        <f>+VLOOKUP(E423,[1]base!D:K,8,0)</f>
        <v>5.7394999999999996</v>
      </c>
      <c r="W423" s="29">
        <f t="shared" si="107"/>
        <v>114.78999999999999</v>
      </c>
      <c r="X423" s="29">
        <f t="shared" si="108"/>
        <v>5.9690799999999991</v>
      </c>
      <c r="Y423" s="29">
        <f>+VLOOKUP(E423,[1]base!D:E,2,0)</f>
        <v>13</v>
      </c>
      <c r="Z423" s="29">
        <f t="shared" si="109"/>
        <v>2</v>
      </c>
      <c r="AA423" s="29">
        <f t="shared" si="110"/>
        <v>0.13333333333333339</v>
      </c>
      <c r="AB423" s="29">
        <f>+VLOOKUP(E423,[1]base!M:N,2,0)</f>
        <v>135</v>
      </c>
      <c r="AC423" s="29">
        <f>+VLOOKUP(E423,[1]base!M:Q,5,0)</f>
        <v>898.4545454545455</v>
      </c>
      <c r="AD423" s="30">
        <f>+VLOOKUP(E423,[1]base!M:P,4,0)</f>
        <v>0.13461538461538461</v>
      </c>
      <c r="AE423" s="31">
        <f t="shared" si="111"/>
        <v>22.326923076923077</v>
      </c>
    </row>
    <row r="424" spans="1:31" x14ac:dyDescent="0.25">
      <c r="A424" s="12" t="s">
        <v>1562</v>
      </c>
      <c r="B424" s="13">
        <v>46274.635497685187</v>
      </c>
      <c r="C424" s="12" t="s">
        <v>484</v>
      </c>
      <c r="D424" s="12" t="s">
        <v>253</v>
      </c>
      <c r="E424" s="26" t="str">
        <f t="shared" si="105"/>
        <v>FR402</v>
      </c>
      <c r="F424" s="27" t="str">
        <f t="shared" si="106"/>
        <v>NOIR</v>
      </c>
      <c r="G424" s="27">
        <f>+VLOOKUP(F424,[1]base!A:B,2,0)</f>
        <v>37</v>
      </c>
      <c r="H424" s="12">
        <v>50</v>
      </c>
      <c r="I424" s="12">
        <v>50</v>
      </c>
      <c r="J424" s="14"/>
      <c r="K424" s="14" t="s">
        <v>61</v>
      </c>
      <c r="L424" s="12" t="s">
        <v>1573</v>
      </c>
      <c r="M424" s="12" t="s">
        <v>150</v>
      </c>
      <c r="N424" s="12">
        <v>50</v>
      </c>
      <c r="O424" s="12">
        <v>50</v>
      </c>
      <c r="P424" s="12">
        <v>0</v>
      </c>
      <c r="Q424" s="16">
        <v>50</v>
      </c>
      <c r="R424" s="16">
        <v>0</v>
      </c>
      <c r="S424" s="16"/>
      <c r="T424" s="28">
        <v>50</v>
      </c>
      <c r="U424" s="28"/>
      <c r="V424" s="29">
        <f>+VLOOKUP(E424,[1]base!D:K,8,0)</f>
        <v>5.7394999999999996</v>
      </c>
      <c r="W424" s="29">
        <f t="shared" si="107"/>
        <v>286.97499999999997</v>
      </c>
      <c r="X424" s="29">
        <f t="shared" si="108"/>
        <v>14.922699999999997</v>
      </c>
      <c r="Y424" s="29">
        <f>+VLOOKUP(E424,[1]base!D:E,2,0)</f>
        <v>13</v>
      </c>
      <c r="Z424" s="29">
        <f t="shared" si="109"/>
        <v>4</v>
      </c>
      <c r="AA424" s="29">
        <f t="shared" si="110"/>
        <v>0.26666666666666677</v>
      </c>
      <c r="AB424" s="29">
        <f>+VLOOKUP(E424,[1]base!M:N,2,0)</f>
        <v>135</v>
      </c>
      <c r="AC424" s="29">
        <f>+VLOOKUP(E424,[1]base!M:Q,5,0)</f>
        <v>898.4545454545455</v>
      </c>
      <c r="AD424" s="30">
        <f>+VLOOKUP(E424,[1]base!M:P,4,0)</f>
        <v>0.13461538461538461</v>
      </c>
      <c r="AE424" s="31">
        <f t="shared" si="111"/>
        <v>22.326923076923077</v>
      </c>
    </row>
    <row r="425" spans="1:31" x14ac:dyDescent="0.25">
      <c r="A425" s="12" t="s">
        <v>732</v>
      </c>
      <c r="B425" s="13">
        <v>46256.374837962961</v>
      </c>
      <c r="C425" s="12" t="s">
        <v>258</v>
      </c>
      <c r="D425" s="12" t="s">
        <v>736</v>
      </c>
      <c r="E425" s="26" t="str">
        <f t="shared" si="105"/>
        <v>FR403</v>
      </c>
      <c r="F425" s="27" t="str">
        <f t="shared" si="106"/>
        <v>NOIR</v>
      </c>
      <c r="G425" s="27">
        <f>+VLOOKUP(F425,[1]base!A:B,2,0)</f>
        <v>37</v>
      </c>
      <c r="H425" s="12">
        <v>20</v>
      </c>
      <c r="I425" s="12">
        <v>20</v>
      </c>
      <c r="J425" s="14"/>
      <c r="K425" s="14" t="s">
        <v>61</v>
      </c>
      <c r="L425" s="12" t="s">
        <v>742</v>
      </c>
      <c r="M425" s="12" t="s">
        <v>150</v>
      </c>
      <c r="N425" s="12">
        <v>20</v>
      </c>
      <c r="O425" s="12">
        <v>20</v>
      </c>
      <c r="P425" s="12">
        <v>0</v>
      </c>
      <c r="Q425" s="16">
        <v>20</v>
      </c>
      <c r="R425" s="16">
        <v>0</v>
      </c>
      <c r="S425" s="16"/>
      <c r="T425" s="28">
        <v>20</v>
      </c>
      <c r="U425" s="28"/>
      <c r="V425" s="29">
        <f>+VLOOKUP(E425,[1]base!D:K,8,0)</f>
        <v>7.2474999999999996</v>
      </c>
      <c r="W425" s="29">
        <f t="shared" si="107"/>
        <v>144.94999999999999</v>
      </c>
      <c r="X425" s="29">
        <f t="shared" si="108"/>
        <v>7.537399999999999</v>
      </c>
      <c r="Y425" s="29">
        <f>+VLOOKUP(E425,[1]base!D:E,2,0)</f>
        <v>13</v>
      </c>
      <c r="Z425" s="29">
        <f t="shared" si="109"/>
        <v>2</v>
      </c>
      <c r="AA425" s="29">
        <f t="shared" si="110"/>
        <v>0.13333333333333339</v>
      </c>
      <c r="AB425" s="29">
        <f>+VLOOKUP(E425,[1]base!M:N,2,0)</f>
        <v>314</v>
      </c>
      <c r="AC425" s="29">
        <f>+VLOOKUP(E425,[1]base!M:Q,5,0)</f>
        <v>34.875</v>
      </c>
      <c r="AD425" s="30">
        <f>+VLOOKUP(E425,[1]base!M:P,4,0)</f>
        <v>0.24519230769230768</v>
      </c>
      <c r="AE425" s="31">
        <f t="shared" si="111"/>
        <v>17.209615384615386</v>
      </c>
    </row>
    <row r="426" spans="1:31" x14ac:dyDescent="0.25">
      <c r="A426" s="12" t="s">
        <v>698</v>
      </c>
      <c r="B426" s="13">
        <v>46254.525277777779</v>
      </c>
      <c r="C426" s="12" t="s">
        <v>511</v>
      </c>
      <c r="D426" s="12" t="s">
        <v>703</v>
      </c>
      <c r="E426" s="26" t="str">
        <f t="shared" si="105"/>
        <v>FR404</v>
      </c>
      <c r="F426" s="27" t="str">
        <f t="shared" si="106"/>
        <v>NOIR</v>
      </c>
      <c r="G426" s="27">
        <f>+VLOOKUP(F426,[1]base!A:B,2,0)</f>
        <v>37</v>
      </c>
      <c r="H426" s="12">
        <v>20</v>
      </c>
      <c r="I426" s="12">
        <v>20</v>
      </c>
      <c r="J426" s="14"/>
      <c r="K426" s="14" t="s">
        <v>61</v>
      </c>
      <c r="L426" s="12" t="s">
        <v>705</v>
      </c>
      <c r="M426" s="12" t="s">
        <v>150</v>
      </c>
      <c r="N426" s="12">
        <v>20</v>
      </c>
      <c r="O426" s="12">
        <v>20</v>
      </c>
      <c r="P426" s="12">
        <v>0</v>
      </c>
      <c r="Q426" s="16">
        <v>20</v>
      </c>
      <c r="R426" s="16">
        <v>0</v>
      </c>
      <c r="S426" s="16"/>
      <c r="T426" s="28">
        <v>20</v>
      </c>
      <c r="U426" s="28"/>
      <c r="V426" s="29">
        <f>+VLOOKUP(E426,[1]base!D:K,8,0)</f>
        <v>5.9670000000000005</v>
      </c>
      <c r="W426" s="29">
        <f t="shared" si="107"/>
        <v>119.34</v>
      </c>
      <c r="X426" s="29">
        <f t="shared" si="108"/>
        <v>6.2056800000000001</v>
      </c>
      <c r="Y426" s="29">
        <f>+VLOOKUP(E426,[1]base!D:E,2,0)</f>
        <v>13</v>
      </c>
      <c r="Z426" s="29">
        <f t="shared" si="109"/>
        <v>2</v>
      </c>
      <c r="AA426" s="29">
        <f t="shared" si="110"/>
        <v>0.13333333333333339</v>
      </c>
      <c r="AB426" s="29">
        <f>+VLOOKUP(E426,[1]base!M:N,2,0)</f>
        <v>1934</v>
      </c>
      <c r="AC426" s="29">
        <f>+VLOOKUP(E426,[1]base!M:Q,5,0)</f>
        <v>578.90909090909088</v>
      </c>
      <c r="AD426" s="30">
        <f>+VLOOKUP(E426,[1]base!M:P,4,0)</f>
        <v>8.1235154394299292E-2</v>
      </c>
      <c r="AE426" s="31">
        <f t="shared" si="111"/>
        <v>423.09121140142514</v>
      </c>
    </row>
    <row r="427" spans="1:31" x14ac:dyDescent="0.25">
      <c r="A427" s="12" t="s">
        <v>732</v>
      </c>
      <c r="B427" s="13">
        <v>46256.374837962961</v>
      </c>
      <c r="C427" s="12" t="s">
        <v>258</v>
      </c>
      <c r="D427" s="12" t="s">
        <v>703</v>
      </c>
      <c r="E427" s="26" t="str">
        <f t="shared" si="105"/>
        <v>FR404</v>
      </c>
      <c r="F427" s="27" t="str">
        <f t="shared" si="106"/>
        <v>NOIR</v>
      </c>
      <c r="G427" s="27">
        <f>+VLOOKUP(F427,[1]base!A:B,2,0)</f>
        <v>37</v>
      </c>
      <c r="H427" s="12">
        <v>9</v>
      </c>
      <c r="I427" s="12">
        <v>9</v>
      </c>
      <c r="J427" s="14"/>
      <c r="K427" s="14" t="s">
        <v>61</v>
      </c>
      <c r="L427" s="12" t="s">
        <v>743</v>
      </c>
      <c r="M427" s="12" t="s">
        <v>150</v>
      </c>
      <c r="N427" s="12">
        <v>9</v>
      </c>
      <c r="O427" s="12">
        <v>9</v>
      </c>
      <c r="P427" s="12">
        <v>0</v>
      </c>
      <c r="Q427" s="16">
        <v>9</v>
      </c>
      <c r="R427" s="16">
        <v>0</v>
      </c>
      <c r="S427" s="16"/>
      <c r="T427" s="28">
        <v>9</v>
      </c>
      <c r="U427" s="28"/>
      <c r="V427" s="29">
        <f>+VLOOKUP(E427,[1]base!D:K,8,0)</f>
        <v>5.9670000000000005</v>
      </c>
      <c r="W427" s="29">
        <f t="shared" si="107"/>
        <v>53.703000000000003</v>
      </c>
      <c r="X427" s="29">
        <f t="shared" si="108"/>
        <v>2.7925559999999998</v>
      </c>
      <c r="Y427" s="29">
        <f>+VLOOKUP(E427,[1]base!D:E,2,0)</f>
        <v>13</v>
      </c>
      <c r="Z427" s="29">
        <f t="shared" si="109"/>
        <v>1</v>
      </c>
      <c r="AA427" s="29">
        <f t="shared" si="110"/>
        <v>6.6666666666666693E-2</v>
      </c>
      <c r="AB427" s="29">
        <f>+VLOOKUP(E427,[1]base!M:N,2,0)</f>
        <v>1934</v>
      </c>
      <c r="AC427" s="29">
        <f>+VLOOKUP(E427,[1]base!M:Q,5,0)</f>
        <v>578.90909090909088</v>
      </c>
      <c r="AD427" s="30">
        <f>+VLOOKUP(E427,[1]base!M:P,4,0)</f>
        <v>8.1235154394299292E-2</v>
      </c>
      <c r="AE427" s="31">
        <f t="shared" si="111"/>
        <v>423.09121140142514</v>
      </c>
    </row>
    <row r="428" spans="1:31" x14ac:dyDescent="0.25">
      <c r="A428" s="12" t="s">
        <v>772</v>
      </c>
      <c r="B428" s="13">
        <v>46258.508391203701</v>
      </c>
      <c r="C428" s="12" t="s">
        <v>773</v>
      </c>
      <c r="D428" s="12" t="s">
        <v>703</v>
      </c>
      <c r="E428" s="26" t="str">
        <f t="shared" si="105"/>
        <v>FR404</v>
      </c>
      <c r="F428" s="27" t="str">
        <f t="shared" si="106"/>
        <v>NOIR</v>
      </c>
      <c r="G428" s="27">
        <f>+VLOOKUP(F428,[1]base!A:B,2,0)</f>
        <v>37</v>
      </c>
      <c r="H428" s="12">
        <v>4</v>
      </c>
      <c r="I428" s="12">
        <v>4</v>
      </c>
      <c r="J428" s="14"/>
      <c r="K428" s="14" t="s">
        <v>61</v>
      </c>
      <c r="L428" s="12" t="s">
        <v>776</v>
      </c>
      <c r="M428" s="12" t="s">
        <v>150</v>
      </c>
      <c r="N428" s="12">
        <v>4</v>
      </c>
      <c r="O428" s="12">
        <v>4</v>
      </c>
      <c r="P428" s="12">
        <v>0</v>
      </c>
      <c r="Q428" s="16">
        <v>4</v>
      </c>
      <c r="R428" s="16">
        <v>0</v>
      </c>
      <c r="S428" s="16"/>
      <c r="T428" s="28">
        <v>4</v>
      </c>
      <c r="U428" s="28"/>
      <c r="V428" s="29">
        <f>+VLOOKUP(E428,[1]base!D:K,8,0)</f>
        <v>5.9670000000000005</v>
      </c>
      <c r="W428" s="29">
        <f t="shared" si="107"/>
        <v>23.868000000000002</v>
      </c>
      <c r="X428" s="29">
        <f t="shared" si="108"/>
        <v>1.241136</v>
      </c>
      <c r="Y428" s="29">
        <f>+VLOOKUP(E428,[1]base!D:E,2,0)</f>
        <v>13</v>
      </c>
      <c r="Z428" s="29">
        <f t="shared" si="109"/>
        <v>1</v>
      </c>
      <c r="AA428" s="29">
        <f t="shared" si="110"/>
        <v>6.6666666666666693E-2</v>
      </c>
      <c r="AB428" s="29">
        <f>+VLOOKUP(E428,[1]base!M:N,2,0)</f>
        <v>1934</v>
      </c>
      <c r="AC428" s="29">
        <f>+VLOOKUP(E428,[1]base!M:Q,5,0)</f>
        <v>578.90909090909088</v>
      </c>
      <c r="AD428" s="30">
        <f>+VLOOKUP(E428,[1]base!M:P,4,0)</f>
        <v>8.1235154394299292E-2</v>
      </c>
      <c r="AE428" s="31">
        <f t="shared" si="111"/>
        <v>423.09121140142514</v>
      </c>
    </row>
    <row r="429" spans="1:31" x14ac:dyDescent="0.25">
      <c r="A429" s="12" t="s">
        <v>940</v>
      </c>
      <c r="B429" s="13">
        <v>46263.399872685186</v>
      </c>
      <c r="C429" s="12" t="s">
        <v>24</v>
      </c>
      <c r="D429" s="12" t="s">
        <v>703</v>
      </c>
      <c r="E429" s="26" t="str">
        <f t="shared" si="105"/>
        <v>FR404</v>
      </c>
      <c r="F429" s="27" t="str">
        <f t="shared" si="106"/>
        <v>NOIR</v>
      </c>
      <c r="G429" s="27">
        <f>+VLOOKUP(F429,[1]base!A:B,2,0)</f>
        <v>37</v>
      </c>
      <c r="H429" s="12">
        <v>6</v>
      </c>
      <c r="I429" s="12">
        <v>6</v>
      </c>
      <c r="J429" s="14"/>
      <c r="K429" s="14" t="s">
        <v>61</v>
      </c>
      <c r="L429" s="12" t="s">
        <v>951</v>
      </c>
      <c r="M429" s="12" t="s">
        <v>150</v>
      </c>
      <c r="N429" s="12">
        <v>6</v>
      </c>
      <c r="O429" s="12">
        <v>6</v>
      </c>
      <c r="P429" s="12">
        <v>0</v>
      </c>
      <c r="Q429" s="16">
        <v>6</v>
      </c>
      <c r="R429" s="16">
        <v>0</v>
      </c>
      <c r="S429" s="16"/>
      <c r="T429" s="28">
        <v>6</v>
      </c>
      <c r="U429" s="28"/>
      <c r="V429" s="29">
        <f>+VLOOKUP(E429,[1]base!D:K,8,0)</f>
        <v>5.9670000000000005</v>
      </c>
      <c r="W429" s="29">
        <f t="shared" si="107"/>
        <v>35.802000000000007</v>
      </c>
      <c r="X429" s="29">
        <f t="shared" si="108"/>
        <v>1.8617040000000002</v>
      </c>
      <c r="Y429" s="29">
        <f>+VLOOKUP(E429,[1]base!D:E,2,0)</f>
        <v>13</v>
      </c>
      <c r="Z429" s="29">
        <f t="shared" si="109"/>
        <v>1</v>
      </c>
      <c r="AA429" s="29">
        <f t="shared" si="110"/>
        <v>6.6666666666666693E-2</v>
      </c>
      <c r="AB429" s="29">
        <f>+VLOOKUP(E429,[1]base!M:N,2,0)</f>
        <v>1934</v>
      </c>
      <c r="AC429" s="29">
        <f>+VLOOKUP(E429,[1]base!M:Q,5,0)</f>
        <v>578.90909090909088</v>
      </c>
      <c r="AD429" s="30">
        <f>+VLOOKUP(E429,[1]base!M:P,4,0)</f>
        <v>8.1235154394299292E-2</v>
      </c>
      <c r="AE429" s="31">
        <f t="shared" si="111"/>
        <v>423.09121140142514</v>
      </c>
    </row>
    <row r="430" spans="1:31" x14ac:dyDescent="0.25">
      <c r="A430" s="12" t="s">
        <v>1141</v>
      </c>
      <c r="B430" s="13">
        <v>46267.323657407411</v>
      </c>
      <c r="C430" s="12" t="s">
        <v>585</v>
      </c>
      <c r="D430" s="12" t="s">
        <v>703</v>
      </c>
      <c r="E430" s="26" t="str">
        <f t="shared" si="105"/>
        <v>FR404</v>
      </c>
      <c r="F430" s="27" t="str">
        <f t="shared" si="106"/>
        <v>NOIR</v>
      </c>
      <c r="G430" s="27">
        <f>+VLOOKUP(F430,[1]base!A:B,2,0)</f>
        <v>37</v>
      </c>
      <c r="H430" s="12">
        <v>80</v>
      </c>
      <c r="I430" s="12">
        <v>80</v>
      </c>
      <c r="J430" s="14"/>
      <c r="K430" s="14" t="s">
        <v>61</v>
      </c>
      <c r="L430" s="12" t="s">
        <v>1150</v>
      </c>
      <c r="M430" s="12" t="s">
        <v>150</v>
      </c>
      <c r="N430" s="12">
        <v>80</v>
      </c>
      <c r="O430" s="12">
        <v>80</v>
      </c>
      <c r="P430" s="12">
        <v>0</v>
      </c>
      <c r="Q430" s="16">
        <v>80</v>
      </c>
      <c r="R430" s="16">
        <v>0</v>
      </c>
      <c r="S430" s="16"/>
      <c r="T430" s="28">
        <v>80</v>
      </c>
      <c r="U430" s="28"/>
      <c r="V430" s="29">
        <f>+VLOOKUP(E430,[1]base!D:K,8,0)</f>
        <v>5.9670000000000005</v>
      </c>
      <c r="W430" s="29">
        <f t="shared" si="107"/>
        <v>477.36</v>
      </c>
      <c r="X430" s="29">
        <f t="shared" si="108"/>
        <v>24.82272</v>
      </c>
      <c r="Y430" s="29">
        <f>+VLOOKUP(E430,[1]base!D:E,2,0)</f>
        <v>13</v>
      </c>
      <c r="Z430" s="29">
        <f t="shared" si="109"/>
        <v>7</v>
      </c>
      <c r="AA430" s="29">
        <f t="shared" si="110"/>
        <v>0.46666666666666684</v>
      </c>
      <c r="AB430" s="29">
        <f>+VLOOKUP(E430,[1]base!M:N,2,0)</f>
        <v>1934</v>
      </c>
      <c r="AC430" s="29">
        <f>+VLOOKUP(E430,[1]base!M:Q,5,0)</f>
        <v>578.90909090909088</v>
      </c>
      <c r="AD430" s="30">
        <f>+VLOOKUP(E430,[1]base!M:P,4,0)</f>
        <v>8.1235154394299292E-2</v>
      </c>
      <c r="AE430" s="31">
        <f t="shared" si="111"/>
        <v>423.09121140142514</v>
      </c>
    </row>
    <row r="431" spans="1:31" x14ac:dyDescent="0.25">
      <c r="A431" s="12" t="s">
        <v>1230</v>
      </c>
      <c r="B431" s="13">
        <v>46268.418807870374</v>
      </c>
      <c r="C431" s="12" t="s">
        <v>345</v>
      </c>
      <c r="D431" s="12" t="s">
        <v>703</v>
      </c>
      <c r="E431" s="26" t="str">
        <f t="shared" si="105"/>
        <v>FR404</v>
      </c>
      <c r="F431" s="27" t="str">
        <f t="shared" si="106"/>
        <v>NOIR</v>
      </c>
      <c r="G431" s="27">
        <f>+VLOOKUP(F431,[1]base!A:B,2,0)</f>
        <v>37</v>
      </c>
      <c r="H431" s="12">
        <v>12</v>
      </c>
      <c r="I431" s="12">
        <v>12</v>
      </c>
      <c r="J431" s="14"/>
      <c r="K431" s="14" t="s">
        <v>61</v>
      </c>
      <c r="L431" s="12" t="s">
        <v>1238</v>
      </c>
      <c r="M431" s="12" t="s">
        <v>150</v>
      </c>
      <c r="N431" s="12">
        <v>12</v>
      </c>
      <c r="O431" s="12">
        <v>12</v>
      </c>
      <c r="P431" s="12">
        <v>0</v>
      </c>
      <c r="Q431" s="16">
        <v>12</v>
      </c>
      <c r="R431" s="16">
        <v>0</v>
      </c>
      <c r="S431" s="16"/>
      <c r="T431" s="28">
        <v>12</v>
      </c>
      <c r="U431" s="28"/>
      <c r="V431" s="29">
        <f>+VLOOKUP(E431,[1]base!D:K,8,0)</f>
        <v>5.9670000000000005</v>
      </c>
      <c r="W431" s="29">
        <f t="shared" si="107"/>
        <v>71.604000000000013</v>
      </c>
      <c r="X431" s="29">
        <f t="shared" si="108"/>
        <v>3.7234080000000005</v>
      </c>
      <c r="Y431" s="29">
        <f>+VLOOKUP(E431,[1]base!D:E,2,0)</f>
        <v>13</v>
      </c>
      <c r="Z431" s="29">
        <f t="shared" si="109"/>
        <v>1</v>
      </c>
      <c r="AA431" s="29">
        <f t="shared" si="110"/>
        <v>6.6666666666666693E-2</v>
      </c>
      <c r="AB431" s="29">
        <f>+VLOOKUP(E431,[1]base!M:N,2,0)</f>
        <v>1934</v>
      </c>
      <c r="AC431" s="29">
        <f>+VLOOKUP(E431,[1]base!M:Q,5,0)</f>
        <v>578.90909090909088</v>
      </c>
      <c r="AD431" s="30">
        <f>+VLOOKUP(E431,[1]base!M:P,4,0)</f>
        <v>8.1235154394299292E-2</v>
      </c>
      <c r="AE431" s="31">
        <f t="shared" si="111"/>
        <v>423.09121140142514</v>
      </c>
    </row>
    <row r="432" spans="1:31" x14ac:dyDescent="0.25">
      <c r="A432" s="12" t="s">
        <v>1263</v>
      </c>
      <c r="B432" s="13">
        <v>46268.598738425928</v>
      </c>
      <c r="C432" s="12" t="s">
        <v>522</v>
      </c>
      <c r="D432" s="12" t="s">
        <v>703</v>
      </c>
      <c r="E432" s="26" t="str">
        <f t="shared" si="105"/>
        <v>FR404</v>
      </c>
      <c r="F432" s="27" t="str">
        <f t="shared" si="106"/>
        <v>NOIR</v>
      </c>
      <c r="G432" s="27">
        <f>+VLOOKUP(F432,[1]base!A:B,2,0)</f>
        <v>37</v>
      </c>
      <c r="H432" s="12">
        <v>30</v>
      </c>
      <c r="I432" s="12">
        <v>30</v>
      </c>
      <c r="J432" s="14"/>
      <c r="K432" s="14" t="s">
        <v>61</v>
      </c>
      <c r="L432" s="12" t="s">
        <v>1280</v>
      </c>
      <c r="M432" s="12" t="s">
        <v>150</v>
      </c>
      <c r="N432" s="12">
        <v>30</v>
      </c>
      <c r="O432" s="12">
        <v>30</v>
      </c>
      <c r="P432" s="12">
        <v>0</v>
      </c>
      <c r="Q432" s="16">
        <v>30</v>
      </c>
      <c r="R432" s="16">
        <v>0</v>
      </c>
      <c r="S432" s="16"/>
      <c r="T432" s="28">
        <v>30</v>
      </c>
      <c r="U432" s="28"/>
      <c r="V432" s="29">
        <f>+VLOOKUP(E432,[1]base!D:K,8,0)</f>
        <v>5.9670000000000005</v>
      </c>
      <c r="W432" s="29">
        <f t="shared" si="107"/>
        <v>179.01000000000002</v>
      </c>
      <c r="X432" s="29">
        <f t="shared" si="108"/>
        <v>9.3085200000000015</v>
      </c>
      <c r="Y432" s="29">
        <f>+VLOOKUP(E432,[1]base!D:E,2,0)</f>
        <v>13</v>
      </c>
      <c r="Z432" s="29">
        <f t="shared" si="109"/>
        <v>3</v>
      </c>
      <c r="AA432" s="29">
        <f t="shared" si="110"/>
        <v>0.20000000000000007</v>
      </c>
      <c r="AB432" s="29">
        <f>+VLOOKUP(E432,[1]base!M:N,2,0)</f>
        <v>1934</v>
      </c>
      <c r="AC432" s="29">
        <f>+VLOOKUP(E432,[1]base!M:Q,5,0)</f>
        <v>578.90909090909088</v>
      </c>
      <c r="AD432" s="30">
        <f>+VLOOKUP(E432,[1]base!M:P,4,0)</f>
        <v>8.1235154394299292E-2</v>
      </c>
      <c r="AE432" s="31">
        <f t="shared" si="111"/>
        <v>423.09121140142514</v>
      </c>
    </row>
    <row r="433" spans="1:31" x14ac:dyDescent="0.25">
      <c r="A433" s="12" t="s">
        <v>744</v>
      </c>
      <c r="B433" s="13">
        <v>46256.424629629626</v>
      </c>
      <c r="C433" s="12" t="s">
        <v>258</v>
      </c>
      <c r="D433" s="12" t="s">
        <v>122</v>
      </c>
      <c r="E433" s="26" t="str">
        <f t="shared" si="105"/>
        <v>FSQ100</v>
      </c>
      <c r="F433" s="27" t="str">
        <f t="shared" si="106"/>
        <v>NOIR</v>
      </c>
      <c r="G433" s="27">
        <f>+VLOOKUP(F433,[1]base!A:B,2,0)</f>
        <v>37</v>
      </c>
      <c r="H433" s="12">
        <v>10</v>
      </c>
      <c r="I433" s="12">
        <v>10</v>
      </c>
      <c r="J433" s="14"/>
      <c r="K433" s="14" t="s">
        <v>61</v>
      </c>
      <c r="L433" s="12" t="s">
        <v>748</v>
      </c>
      <c r="M433" s="12" t="s">
        <v>150</v>
      </c>
      <c r="N433" s="12">
        <v>10</v>
      </c>
      <c r="O433" s="12">
        <v>10</v>
      </c>
      <c r="P433" s="12">
        <v>0</v>
      </c>
      <c r="Q433" s="16">
        <v>10</v>
      </c>
      <c r="R433" s="16">
        <v>0</v>
      </c>
      <c r="S433" s="16"/>
      <c r="T433" s="28">
        <v>10</v>
      </c>
      <c r="U433" s="28"/>
      <c r="V433" s="29">
        <f>+VLOOKUP(E433,[1]base!D:K,8,0)</f>
        <v>4.992</v>
      </c>
      <c r="W433" s="29">
        <f t="shared" si="107"/>
        <v>49.92</v>
      </c>
      <c r="X433" s="29">
        <f t="shared" si="108"/>
        <v>2.5958399999999999</v>
      </c>
      <c r="Y433" s="29">
        <f>+VLOOKUP(E433,[1]base!D:E,2,0)</f>
        <v>13</v>
      </c>
      <c r="Z433" s="29">
        <f t="shared" si="109"/>
        <v>1</v>
      </c>
      <c r="AA433" s="29">
        <f t="shared" si="110"/>
        <v>6.6666666666666693E-2</v>
      </c>
      <c r="AB433" s="29">
        <f>+VLOOKUP(E433,[1]base!M:N,2,0)</f>
        <v>590</v>
      </c>
      <c r="AC433" s="29">
        <f>+VLOOKUP(E433,[1]base!M:Q,5,0)</f>
        <v>85.333333333333329</v>
      </c>
      <c r="AD433" s="30">
        <f>+VLOOKUP(E433,[1]base!M:P,4,0)</f>
        <v>3.2786885245901641E-2</v>
      </c>
      <c r="AE433" s="31">
        <f t="shared" si="111"/>
        <v>157.65573770491804</v>
      </c>
    </row>
    <row r="434" spans="1:31" x14ac:dyDescent="0.25">
      <c r="A434" s="12" t="s">
        <v>1404</v>
      </c>
      <c r="B434" s="13">
        <v>46272.553136574075</v>
      </c>
      <c r="C434" s="12" t="s">
        <v>24</v>
      </c>
      <c r="D434" s="12" t="s">
        <v>122</v>
      </c>
      <c r="E434" s="26" t="str">
        <f t="shared" si="105"/>
        <v>FSQ100</v>
      </c>
      <c r="F434" s="27" t="str">
        <f t="shared" si="106"/>
        <v>NOIR</v>
      </c>
      <c r="G434" s="27">
        <f>+VLOOKUP(F434,[1]base!A:B,2,0)</f>
        <v>37</v>
      </c>
      <c r="H434" s="12">
        <v>7</v>
      </c>
      <c r="I434" s="12">
        <v>7</v>
      </c>
      <c r="J434" s="14"/>
      <c r="K434" s="14" t="s">
        <v>61</v>
      </c>
      <c r="L434" s="12" t="s">
        <v>1410</v>
      </c>
      <c r="M434" s="12" t="s">
        <v>150</v>
      </c>
      <c r="N434" s="12">
        <v>7</v>
      </c>
      <c r="O434" s="12">
        <v>7</v>
      </c>
      <c r="P434" s="12">
        <v>0</v>
      </c>
      <c r="Q434" s="16">
        <v>7</v>
      </c>
      <c r="R434" s="16">
        <v>0</v>
      </c>
      <c r="S434" s="16"/>
      <c r="T434" s="28">
        <v>7</v>
      </c>
      <c r="U434" s="28"/>
      <c r="V434" s="29">
        <f>+VLOOKUP(E434,[1]base!D:K,8,0)</f>
        <v>4.992</v>
      </c>
      <c r="W434" s="29">
        <f t="shared" si="107"/>
        <v>34.944000000000003</v>
      </c>
      <c r="X434" s="29">
        <f t="shared" si="108"/>
        <v>1.817088</v>
      </c>
      <c r="Y434" s="29">
        <f>+VLOOKUP(E434,[1]base!D:E,2,0)</f>
        <v>13</v>
      </c>
      <c r="Z434" s="29">
        <f t="shared" si="109"/>
        <v>1</v>
      </c>
      <c r="AA434" s="29">
        <f t="shared" si="110"/>
        <v>6.6666666666666693E-2</v>
      </c>
      <c r="AB434" s="29">
        <f>+VLOOKUP(E434,[1]base!M:N,2,0)</f>
        <v>590</v>
      </c>
      <c r="AC434" s="29">
        <f>+VLOOKUP(E434,[1]base!M:Q,5,0)</f>
        <v>85.333333333333329</v>
      </c>
      <c r="AD434" s="30">
        <f>+VLOOKUP(E434,[1]base!M:P,4,0)</f>
        <v>3.2786885245901641E-2</v>
      </c>
      <c r="AE434" s="31">
        <f t="shared" si="111"/>
        <v>157.65573770491804</v>
      </c>
    </row>
    <row r="435" spans="1:31" x14ac:dyDescent="0.25">
      <c r="A435" s="12" t="s">
        <v>744</v>
      </c>
      <c r="B435" s="13">
        <v>46256.424629629626</v>
      </c>
      <c r="C435" s="12" t="s">
        <v>258</v>
      </c>
      <c r="D435" s="12" t="s">
        <v>123</v>
      </c>
      <c r="E435" s="26" t="str">
        <f t="shared" si="105"/>
        <v>FSQ111</v>
      </c>
      <c r="F435" s="27" t="str">
        <f t="shared" si="106"/>
        <v>NOIR</v>
      </c>
      <c r="G435" s="27">
        <f>+VLOOKUP(F435,[1]base!A:B,2,0)</f>
        <v>37</v>
      </c>
      <c r="H435" s="12">
        <v>30</v>
      </c>
      <c r="I435" s="12">
        <v>30</v>
      </c>
      <c r="J435" s="14"/>
      <c r="K435" s="14" t="s">
        <v>61</v>
      </c>
      <c r="L435" s="12" t="s">
        <v>749</v>
      </c>
      <c r="M435" s="12" t="s">
        <v>150</v>
      </c>
      <c r="N435" s="12">
        <v>30</v>
      </c>
      <c r="O435" s="12">
        <v>30</v>
      </c>
      <c r="P435" s="12">
        <v>0</v>
      </c>
      <c r="Q435" s="16">
        <v>30</v>
      </c>
      <c r="R435" s="16">
        <v>0</v>
      </c>
      <c r="S435" s="16"/>
      <c r="T435" s="28">
        <v>30</v>
      </c>
      <c r="U435" s="28"/>
      <c r="V435" s="29">
        <f>+VLOOKUP(E435,[1]base!D:K,8,0)</f>
        <v>1.8459999999999999</v>
      </c>
      <c r="W435" s="29">
        <f t="shared" si="107"/>
        <v>55.379999999999995</v>
      </c>
      <c r="X435" s="29">
        <f t="shared" si="108"/>
        <v>2.8797599999999997</v>
      </c>
      <c r="Y435" s="29">
        <f>+VLOOKUP(E435,[1]base!D:E,2,0)</f>
        <v>20</v>
      </c>
      <c r="Z435" s="29">
        <f t="shared" si="109"/>
        <v>2</v>
      </c>
      <c r="AA435" s="29">
        <f t="shared" si="110"/>
        <v>0.13333333333333339</v>
      </c>
      <c r="AB435" s="29">
        <f>+VLOOKUP(E435,[1]base!M:N,2,0)</f>
        <v>983</v>
      </c>
      <c r="AC435" s="29">
        <f>+VLOOKUP(E435,[1]base!M:Q,5,0)</f>
        <v>103.33333333333333</v>
      </c>
      <c r="AD435" s="30">
        <f>+VLOOKUP(E435,[1]base!M:P,4,0)</f>
        <v>3.0425963488843813E-3</v>
      </c>
      <c r="AE435" s="31">
        <f t="shared" si="111"/>
        <v>291.90912778904664</v>
      </c>
    </row>
    <row r="436" spans="1:31" x14ac:dyDescent="0.25">
      <c r="A436" s="12" t="s">
        <v>1322</v>
      </c>
      <c r="B436" s="13">
        <v>46269.305231481485</v>
      </c>
      <c r="C436" s="12" t="s">
        <v>24</v>
      </c>
      <c r="D436" s="12" t="s">
        <v>1330</v>
      </c>
      <c r="E436" s="26" t="str">
        <f t="shared" si="105"/>
        <v>FSQ112</v>
      </c>
      <c r="F436" s="27" t="str">
        <f t="shared" si="106"/>
        <v>NOIR</v>
      </c>
      <c r="G436" s="27">
        <f>+VLOOKUP(F436,[1]base!A:B,2,0)</f>
        <v>37</v>
      </c>
      <c r="H436" s="12">
        <v>1</v>
      </c>
      <c r="I436" s="12">
        <v>1</v>
      </c>
      <c r="J436" s="14"/>
      <c r="K436" s="14" t="s">
        <v>61</v>
      </c>
      <c r="L436" s="12" t="s">
        <v>1331</v>
      </c>
      <c r="M436" s="12" t="s">
        <v>150</v>
      </c>
      <c r="N436" s="12">
        <v>1</v>
      </c>
      <c r="O436" s="12">
        <v>1</v>
      </c>
      <c r="P436" s="12">
        <v>0</v>
      </c>
      <c r="Q436" s="16">
        <v>1</v>
      </c>
      <c r="R436" s="16">
        <v>0</v>
      </c>
      <c r="S436" s="16"/>
      <c r="T436" s="28">
        <v>1</v>
      </c>
      <c r="U436" s="28"/>
      <c r="V436" s="29">
        <f>+VLOOKUP(E436,[1]base!D:K,8,0)</f>
        <v>5.1870000000000003</v>
      </c>
      <c r="W436" s="29">
        <f t="shared" si="107"/>
        <v>5.1870000000000003</v>
      </c>
      <c r="X436" s="29">
        <f t="shared" si="108"/>
        <v>0.26972400000000002</v>
      </c>
      <c r="Y436" s="29">
        <f>+VLOOKUP(E436,[1]base!D:E,2,0)</f>
        <v>12</v>
      </c>
      <c r="Z436" s="29">
        <f t="shared" si="109"/>
        <v>1</v>
      </c>
      <c r="AA436" s="29">
        <f t="shared" si="110"/>
        <v>6.6666666666666693E-2</v>
      </c>
      <c r="AB436" s="29">
        <f>+VLOOKUP(E436,[1]base!M:N,2,0)</f>
        <v>171</v>
      </c>
      <c r="AC436" s="29">
        <f>+VLOOKUP(E436,[1]base!M:Q,5,0)</f>
        <v>27.714285714285715</v>
      </c>
      <c r="AD436" s="30">
        <f>+VLOOKUP(E436,[1]base!M:P,4,0)</f>
        <v>1.7241379310344827E-2</v>
      </c>
      <c r="AE436" s="31">
        <f t="shared" si="111"/>
        <v>48.351724137931036</v>
      </c>
    </row>
    <row r="437" spans="1:31" x14ac:dyDescent="0.25">
      <c r="A437" s="12" t="s">
        <v>1404</v>
      </c>
      <c r="B437" s="13">
        <v>46272.553136574075</v>
      </c>
      <c r="C437" s="12" t="s">
        <v>24</v>
      </c>
      <c r="D437" s="12" t="s">
        <v>1330</v>
      </c>
      <c r="E437" s="26" t="str">
        <f t="shared" si="105"/>
        <v>FSQ112</v>
      </c>
      <c r="F437" s="27" t="str">
        <f t="shared" si="106"/>
        <v>NOIR</v>
      </c>
      <c r="G437" s="27">
        <f>+VLOOKUP(F437,[1]base!A:B,2,0)</f>
        <v>37</v>
      </c>
      <c r="H437" s="12">
        <v>1</v>
      </c>
      <c r="I437" s="12">
        <v>1</v>
      </c>
      <c r="J437" s="14"/>
      <c r="K437" s="14" t="s">
        <v>61</v>
      </c>
      <c r="L437" s="12" t="s">
        <v>1412</v>
      </c>
      <c r="M437" s="12" t="s">
        <v>150</v>
      </c>
      <c r="N437" s="12">
        <v>1</v>
      </c>
      <c r="O437" s="12">
        <v>1</v>
      </c>
      <c r="P437" s="12">
        <v>0</v>
      </c>
      <c r="Q437" s="16">
        <v>1</v>
      </c>
      <c r="R437" s="16">
        <v>0</v>
      </c>
      <c r="S437" s="16"/>
      <c r="T437" s="28">
        <v>1</v>
      </c>
      <c r="U437" s="28"/>
      <c r="V437" s="29">
        <f>+VLOOKUP(E437,[1]base!D:K,8,0)</f>
        <v>5.1870000000000003</v>
      </c>
      <c r="W437" s="29">
        <f t="shared" si="107"/>
        <v>5.1870000000000003</v>
      </c>
      <c r="X437" s="29">
        <f t="shared" si="108"/>
        <v>0.26972400000000002</v>
      </c>
      <c r="Y437" s="29">
        <f>+VLOOKUP(E437,[1]base!D:E,2,0)</f>
        <v>12</v>
      </c>
      <c r="Z437" s="29">
        <f t="shared" si="109"/>
        <v>1</v>
      </c>
      <c r="AA437" s="29">
        <f t="shared" si="110"/>
        <v>6.6666666666666693E-2</v>
      </c>
      <c r="AB437" s="29">
        <f>+VLOOKUP(E437,[1]base!M:N,2,0)</f>
        <v>171</v>
      </c>
      <c r="AC437" s="29">
        <f>+VLOOKUP(E437,[1]base!M:Q,5,0)</f>
        <v>27.714285714285715</v>
      </c>
      <c r="AD437" s="30">
        <f>+VLOOKUP(E437,[1]base!M:P,4,0)</f>
        <v>1.7241379310344827E-2</v>
      </c>
      <c r="AE437" s="31">
        <f t="shared" si="111"/>
        <v>48.351724137931036</v>
      </c>
    </row>
    <row r="438" spans="1:31" x14ac:dyDescent="0.25">
      <c r="A438" s="12" t="s">
        <v>784</v>
      </c>
      <c r="B438" s="13">
        <v>46259.434999999998</v>
      </c>
      <c r="C438" s="12" t="s">
        <v>785</v>
      </c>
      <c r="D438" s="12" t="s">
        <v>125</v>
      </c>
      <c r="E438" s="26" t="str">
        <f t="shared" si="105"/>
        <v>FSQ401</v>
      </c>
      <c r="F438" s="27" t="str">
        <f t="shared" si="106"/>
        <v>NOIR</v>
      </c>
      <c r="G438" s="27">
        <f>+VLOOKUP(F438,[1]base!A:B,2,0)</f>
        <v>37</v>
      </c>
      <c r="H438" s="12">
        <v>6</v>
      </c>
      <c r="I438" s="12">
        <v>6</v>
      </c>
      <c r="J438" s="14"/>
      <c r="K438" s="14" t="s">
        <v>61</v>
      </c>
      <c r="L438" s="12" t="s">
        <v>791</v>
      </c>
      <c r="M438" s="12" t="s">
        <v>150</v>
      </c>
      <c r="N438" s="12">
        <v>6</v>
      </c>
      <c r="O438" s="12">
        <v>6</v>
      </c>
      <c r="P438" s="12">
        <v>0</v>
      </c>
      <c r="Q438" s="16">
        <v>6</v>
      </c>
      <c r="R438" s="16">
        <v>0</v>
      </c>
      <c r="S438" s="16"/>
      <c r="T438" s="28">
        <v>6</v>
      </c>
      <c r="U438" s="28"/>
      <c r="V438" s="29">
        <f>+VLOOKUP(E438,[1]base!D:K,8,0)</f>
        <v>5.6355000000000004</v>
      </c>
      <c r="W438" s="29">
        <f t="shared" si="107"/>
        <v>33.813000000000002</v>
      </c>
      <c r="X438" s="29">
        <f t="shared" si="108"/>
        <v>1.758276</v>
      </c>
      <c r="Y438" s="29">
        <f>+VLOOKUP(E438,[1]base!D:E,2,0)</f>
        <v>13</v>
      </c>
      <c r="Z438" s="29">
        <f t="shared" si="109"/>
        <v>1</v>
      </c>
      <c r="AA438" s="29">
        <f t="shared" si="110"/>
        <v>6.6666666666666693E-2</v>
      </c>
      <c r="AB438" s="29">
        <f>+VLOOKUP(E438,[1]base!M:N,2,0)</f>
        <v>717</v>
      </c>
      <c r="AC438" s="29">
        <f>+VLOOKUP(E438,[1]base!M:Q,5,0)</f>
        <v>104.18181818181819</v>
      </c>
      <c r="AD438" s="30">
        <f>+VLOOKUP(E438,[1]base!M:P,4,0)</f>
        <v>2.7816411682892906E-3</v>
      </c>
      <c r="AE438" s="31">
        <f t="shared" si="111"/>
        <v>213.10556328233659</v>
      </c>
    </row>
    <row r="439" spans="1:31" x14ac:dyDescent="0.25">
      <c r="A439" s="12" t="s">
        <v>1404</v>
      </c>
      <c r="B439" s="13">
        <v>46272.553136574075</v>
      </c>
      <c r="C439" s="12" t="s">
        <v>24</v>
      </c>
      <c r="D439" s="12" t="s">
        <v>1406</v>
      </c>
      <c r="E439" s="26" t="str">
        <f t="shared" ref="E439:E470" si="112">_xlfn.TEXTBEFORE(D439, "-", -1, 1, , D439)</f>
        <v>FSQ403</v>
      </c>
      <c r="F439" s="27" t="str">
        <f t="shared" ref="F439:F457" si="113">_xlfn.TEXTAFTER(D439, "-", -1, 1, , "")</f>
        <v>NOIR</v>
      </c>
      <c r="G439" s="27">
        <f>+VLOOKUP(F439,[1]base!A:B,2,0)</f>
        <v>37</v>
      </c>
      <c r="H439" s="12">
        <v>8</v>
      </c>
      <c r="I439" s="12">
        <v>8</v>
      </c>
      <c r="J439" s="14"/>
      <c r="K439" s="14" t="s">
        <v>61</v>
      </c>
      <c r="L439" s="12" t="s">
        <v>1411</v>
      </c>
      <c r="M439" s="12" t="s">
        <v>150</v>
      </c>
      <c r="N439" s="12">
        <v>8</v>
      </c>
      <c r="O439" s="12">
        <v>8</v>
      </c>
      <c r="P439" s="12">
        <v>0</v>
      </c>
      <c r="Q439" s="16">
        <v>8</v>
      </c>
      <c r="R439" s="16">
        <v>0</v>
      </c>
      <c r="S439" s="16"/>
      <c r="T439" s="28">
        <v>8</v>
      </c>
      <c r="U439" s="28"/>
      <c r="V439" s="29">
        <f>+VLOOKUP(E439,[1]base!D:K,8,0)</f>
        <v>7.1110000000000007</v>
      </c>
      <c r="W439" s="29">
        <f t="shared" ref="W439:W470" si="114">(T439+U439)*V439</f>
        <v>56.888000000000005</v>
      </c>
      <c r="X439" s="29">
        <f t="shared" ref="X439:X470" si="115">+W439*0.052</f>
        <v>2.9581759999999999</v>
      </c>
      <c r="Y439" s="29">
        <f>+VLOOKUP(E439,[1]base!D:E,2,0)</f>
        <v>13</v>
      </c>
      <c r="Z439" s="29">
        <f t="shared" ref="Z439:Z470" si="116">ROUNDUP(T439/Y439,0)</f>
        <v>1</v>
      </c>
      <c r="AA439" s="29">
        <f t="shared" ref="AA439:AA470" si="117">+Z439*0.0666666666666667</f>
        <v>6.6666666666666693E-2</v>
      </c>
      <c r="AB439" s="29">
        <f>+VLOOKUP(E439,[1]base!M:N,2,0)</f>
        <v>281</v>
      </c>
      <c r="AC439" s="29">
        <f>+VLOOKUP(E439,[1]base!M:Q,5,0)</f>
        <v>95.666666666666671</v>
      </c>
      <c r="AD439" s="30">
        <f>+VLOOKUP(E439,[1]base!M:P,4,0)</f>
        <v>5.7046979865771813E-2</v>
      </c>
      <c r="AE439" s="31">
        <f t="shared" ref="AE439:AE470" si="118">+AB439*(30%-AD439)</f>
        <v>68.269798657718113</v>
      </c>
    </row>
    <row r="440" spans="1:31" x14ac:dyDescent="0.25">
      <c r="A440" s="12" t="s">
        <v>1322</v>
      </c>
      <c r="B440" s="13">
        <v>46269.305231481485</v>
      </c>
      <c r="C440" s="12" t="s">
        <v>24</v>
      </c>
      <c r="D440" s="12" t="s">
        <v>1323</v>
      </c>
      <c r="E440" s="26" t="str">
        <f t="shared" si="112"/>
        <v>FSQ406</v>
      </c>
      <c r="F440" s="27" t="str">
        <f t="shared" si="113"/>
        <v>NOIR</v>
      </c>
      <c r="G440" s="27">
        <f>+VLOOKUP(F440,[1]base!A:B,2,0)</f>
        <v>37</v>
      </c>
      <c r="H440" s="12">
        <v>6</v>
      </c>
      <c r="I440" s="12">
        <v>6</v>
      </c>
      <c r="J440" s="14"/>
      <c r="K440" s="14" t="s">
        <v>61</v>
      </c>
      <c r="L440" s="12" t="s">
        <v>1327</v>
      </c>
      <c r="M440" s="12" t="s">
        <v>150</v>
      </c>
      <c r="N440" s="12">
        <v>6</v>
      </c>
      <c r="O440" s="12">
        <v>6</v>
      </c>
      <c r="P440" s="12">
        <v>0</v>
      </c>
      <c r="Q440" s="16">
        <v>6</v>
      </c>
      <c r="R440" s="16">
        <v>0</v>
      </c>
      <c r="S440" s="16"/>
      <c r="T440" s="28">
        <v>6</v>
      </c>
      <c r="U440" s="28"/>
      <c r="V440" s="29">
        <f>+VLOOKUP(E440,[1]base!D:K,8,0)</f>
        <v>5.46</v>
      </c>
      <c r="W440" s="29">
        <f t="shared" si="114"/>
        <v>32.76</v>
      </c>
      <c r="X440" s="29">
        <f t="shared" si="115"/>
        <v>1.7035199999999999</v>
      </c>
      <c r="Y440" s="29">
        <f>+VLOOKUP(E440,[1]base!D:E,2,0)</f>
        <v>13</v>
      </c>
      <c r="Z440" s="29">
        <f t="shared" si="116"/>
        <v>1</v>
      </c>
      <c r="AA440" s="29">
        <f t="shared" si="117"/>
        <v>6.6666666666666693E-2</v>
      </c>
      <c r="AB440" s="29">
        <f>+VLOOKUP(E440,[1]base!M:N,2,0)</f>
        <v>25</v>
      </c>
      <c r="AC440" s="29">
        <f>+VLOOKUP(E440,[1]base!M:Q,5,0)</f>
        <v>4</v>
      </c>
      <c r="AD440" s="30">
        <f>+VLOOKUP(E440,[1]base!M:P,4,0)</f>
        <v>0</v>
      </c>
      <c r="AE440" s="31">
        <f t="shared" si="118"/>
        <v>7.5</v>
      </c>
    </row>
    <row r="441" spans="1:31" x14ac:dyDescent="0.25">
      <c r="A441" s="12" t="s">
        <v>1322</v>
      </c>
      <c r="B441" s="13">
        <v>46269.305231481485</v>
      </c>
      <c r="C441" s="12" t="s">
        <v>24</v>
      </c>
      <c r="D441" s="12" t="s">
        <v>1324</v>
      </c>
      <c r="E441" s="26" t="str">
        <f t="shared" si="112"/>
        <v>FSQ534</v>
      </c>
      <c r="F441" s="27" t="str">
        <f t="shared" si="113"/>
        <v>NOIR</v>
      </c>
      <c r="G441" s="27">
        <f>+VLOOKUP(F441,[1]base!A:B,2,0)</f>
        <v>37</v>
      </c>
      <c r="H441" s="12">
        <v>5</v>
      </c>
      <c r="I441" s="12">
        <v>5</v>
      </c>
      <c r="J441" s="14"/>
      <c r="K441" s="14" t="s">
        <v>61</v>
      </c>
      <c r="L441" s="12" t="s">
        <v>1328</v>
      </c>
      <c r="M441" s="12" t="s">
        <v>150</v>
      </c>
      <c r="N441" s="12">
        <v>5</v>
      </c>
      <c r="O441" s="12">
        <v>5</v>
      </c>
      <c r="P441" s="12">
        <v>0</v>
      </c>
      <c r="Q441" s="16">
        <v>5</v>
      </c>
      <c r="R441" s="16">
        <v>0</v>
      </c>
      <c r="S441" s="16"/>
      <c r="T441" s="28">
        <v>5</v>
      </c>
      <c r="U441" s="28"/>
      <c r="V441" s="29">
        <f>+VLOOKUP(E441,[1]base!D:K,8,0)</f>
        <v>2.0219999999999998</v>
      </c>
      <c r="W441" s="29">
        <f t="shared" si="114"/>
        <v>10.11</v>
      </c>
      <c r="X441" s="29">
        <f t="shared" si="115"/>
        <v>0.52571999999999997</v>
      </c>
      <c r="Y441" s="29">
        <f>+VLOOKUP(E441,[1]base!D:E,2,0)</f>
        <v>20</v>
      </c>
      <c r="Z441" s="29">
        <f t="shared" si="116"/>
        <v>1</v>
      </c>
      <c r="AA441" s="29">
        <f t="shared" si="117"/>
        <v>6.6666666666666693E-2</v>
      </c>
      <c r="AB441" s="29">
        <f>+VLOOKUP(E441,[1]base!M:N,2,0)</f>
        <v>473</v>
      </c>
      <c r="AC441" s="29">
        <f>+VLOOKUP(E441,[1]base!M:Q,5,0)</f>
        <v>0</v>
      </c>
      <c r="AD441" s="30">
        <f>+VLOOKUP(E441,[1]base!M:P,4,0)</f>
        <v>0</v>
      </c>
      <c r="AE441" s="31">
        <f t="shared" si="118"/>
        <v>141.9</v>
      </c>
    </row>
    <row r="442" spans="1:31" x14ac:dyDescent="0.25">
      <c r="A442" s="12" t="s">
        <v>1322</v>
      </c>
      <c r="B442" s="13">
        <v>46269.305231481485</v>
      </c>
      <c r="C442" s="12" t="s">
        <v>24</v>
      </c>
      <c r="D442" s="12" t="s">
        <v>1325</v>
      </c>
      <c r="E442" s="26" t="str">
        <f t="shared" si="112"/>
        <v>FSQ535</v>
      </c>
      <c r="F442" s="27" t="str">
        <f t="shared" si="113"/>
        <v>NOIR</v>
      </c>
      <c r="G442" s="27">
        <f>+VLOOKUP(F442,[1]base!A:B,2,0)</f>
        <v>37</v>
      </c>
      <c r="H442" s="12">
        <v>5</v>
      </c>
      <c r="I442" s="12">
        <v>5</v>
      </c>
      <c r="J442" s="14"/>
      <c r="K442" s="14" t="s">
        <v>61</v>
      </c>
      <c r="L442" s="12" t="s">
        <v>1329</v>
      </c>
      <c r="M442" s="12" t="s">
        <v>150</v>
      </c>
      <c r="N442" s="12">
        <v>5</v>
      </c>
      <c r="O442" s="12">
        <v>5</v>
      </c>
      <c r="P442" s="12">
        <v>0</v>
      </c>
      <c r="Q442" s="16">
        <v>5</v>
      </c>
      <c r="R442" s="16">
        <v>0</v>
      </c>
      <c r="S442" s="16"/>
      <c r="T442" s="28">
        <v>5</v>
      </c>
      <c r="U442" s="28"/>
      <c r="V442" s="29">
        <f>+VLOOKUP(E442,[1]base!D:K,8,0)</f>
        <v>4.5694999999999997</v>
      </c>
      <c r="W442" s="29">
        <f t="shared" si="114"/>
        <v>22.847499999999997</v>
      </c>
      <c r="X442" s="29">
        <f t="shared" si="115"/>
        <v>1.1880699999999997</v>
      </c>
      <c r="Y442" s="29">
        <f>+VLOOKUP(E442,[1]base!D:E,2,0)</f>
        <v>14</v>
      </c>
      <c r="Z442" s="29">
        <f t="shared" si="116"/>
        <v>1</v>
      </c>
      <c r="AA442" s="29">
        <f t="shared" si="117"/>
        <v>6.6666666666666693E-2</v>
      </c>
      <c r="AB442" s="29">
        <f>+VLOOKUP(E442,[1]base!M:N,2,0)</f>
        <v>124</v>
      </c>
      <c r="AC442" s="29">
        <f>+VLOOKUP(E442,[1]base!M:Q,5,0)</f>
        <v>0</v>
      </c>
      <c r="AD442" s="30">
        <f>+VLOOKUP(E442,[1]base!M:P,4,0)</f>
        <v>0</v>
      </c>
      <c r="AE442" s="31">
        <f t="shared" si="118"/>
        <v>37.199999999999996</v>
      </c>
    </row>
    <row r="443" spans="1:31" x14ac:dyDescent="0.25">
      <c r="A443" s="12" t="s">
        <v>547</v>
      </c>
      <c r="B443" s="13">
        <v>46240.550856481481</v>
      </c>
      <c r="C443" s="12" t="s">
        <v>548</v>
      </c>
      <c r="D443" s="12" t="s">
        <v>566</v>
      </c>
      <c r="E443" s="26" t="str">
        <f t="shared" si="112"/>
        <v>GL11060/248</v>
      </c>
      <c r="F443" s="27" t="str">
        <f t="shared" si="113"/>
        <v>NOIR</v>
      </c>
      <c r="G443" s="27">
        <f>+VLOOKUP(F443,[1]base!A:B,2,0)</f>
        <v>37</v>
      </c>
      <c r="H443" s="12">
        <v>30</v>
      </c>
      <c r="I443" s="12">
        <v>30</v>
      </c>
      <c r="J443" s="14"/>
      <c r="K443" s="14" t="s">
        <v>61</v>
      </c>
      <c r="L443" s="12" t="s">
        <v>569</v>
      </c>
      <c r="M443" s="12" t="s">
        <v>150</v>
      </c>
      <c r="N443" s="12">
        <v>30</v>
      </c>
      <c r="O443" s="12">
        <v>30</v>
      </c>
      <c r="P443" s="12">
        <v>0</v>
      </c>
      <c r="Q443" s="16">
        <v>80</v>
      </c>
      <c r="R443" s="16">
        <v>0</v>
      </c>
      <c r="S443" s="16"/>
      <c r="T443" s="28">
        <v>30</v>
      </c>
      <c r="U443" s="28"/>
      <c r="V443" s="29">
        <f>+VLOOKUP(E443,[1]base!D:K,8,0)</f>
        <v>2.4634999999999998</v>
      </c>
      <c r="W443" s="29">
        <f t="shared" si="114"/>
        <v>73.905000000000001</v>
      </c>
      <c r="X443" s="29">
        <f t="shared" si="115"/>
        <v>3.8430599999999999</v>
      </c>
      <c r="Y443" s="29">
        <f>+VLOOKUP(E443,[1]base!D:E,2,0)</f>
        <v>20</v>
      </c>
      <c r="Z443" s="29">
        <f t="shared" si="116"/>
        <v>2</v>
      </c>
      <c r="AA443" s="29">
        <f t="shared" si="117"/>
        <v>0.13333333333333339</v>
      </c>
      <c r="AB443" s="29">
        <f>+VLOOKUP(E443,[1]base!M:N,2,0)</f>
        <v>10587</v>
      </c>
      <c r="AC443" s="29">
        <f>+VLOOKUP(E443,[1]base!M:Q,5,0)</f>
        <v>2112.7272727272725</v>
      </c>
      <c r="AD443" s="30">
        <f>+VLOOKUP(E443,[1]base!M:P,4,0)</f>
        <v>1.4154018064996741E-2</v>
      </c>
      <c r="AE443" s="31">
        <f t="shared" si="118"/>
        <v>3026.2514107458796</v>
      </c>
    </row>
    <row r="444" spans="1:31" x14ac:dyDescent="0.25">
      <c r="A444" s="12" t="s">
        <v>1415</v>
      </c>
      <c r="B444" s="13">
        <v>46273.296388888892</v>
      </c>
      <c r="C444" s="12" t="s">
        <v>24</v>
      </c>
      <c r="D444" s="12" t="s">
        <v>566</v>
      </c>
      <c r="E444" s="26" t="str">
        <f t="shared" si="112"/>
        <v>GL11060/248</v>
      </c>
      <c r="F444" s="27" t="str">
        <f t="shared" si="113"/>
        <v>NOIR</v>
      </c>
      <c r="G444" s="27">
        <f>+VLOOKUP(F444,[1]base!A:B,2,0)</f>
        <v>37</v>
      </c>
      <c r="H444" s="12">
        <v>50</v>
      </c>
      <c r="I444" s="12">
        <v>50</v>
      </c>
      <c r="J444" s="14"/>
      <c r="K444" s="14" t="s">
        <v>61</v>
      </c>
      <c r="L444" s="12" t="s">
        <v>1427</v>
      </c>
      <c r="M444" s="12" t="s">
        <v>150</v>
      </c>
      <c r="N444" s="12">
        <v>50</v>
      </c>
      <c r="O444" s="12">
        <v>50</v>
      </c>
      <c r="P444" s="12">
        <v>0</v>
      </c>
      <c r="Q444" s="16">
        <v>150</v>
      </c>
      <c r="R444" s="16">
        <v>0</v>
      </c>
      <c r="S444" s="16"/>
      <c r="T444" s="28">
        <v>50</v>
      </c>
      <c r="U444" s="28"/>
      <c r="V444" s="29">
        <f>+VLOOKUP(E444,[1]base!D:K,8,0)</f>
        <v>2.4634999999999998</v>
      </c>
      <c r="W444" s="29">
        <f t="shared" si="114"/>
        <v>123.17499999999998</v>
      </c>
      <c r="X444" s="29">
        <f t="shared" si="115"/>
        <v>6.4050999999999991</v>
      </c>
      <c r="Y444" s="29">
        <f>+VLOOKUP(E444,[1]base!D:E,2,0)</f>
        <v>20</v>
      </c>
      <c r="Z444" s="29">
        <f t="shared" si="116"/>
        <v>3</v>
      </c>
      <c r="AA444" s="29">
        <f t="shared" si="117"/>
        <v>0.20000000000000007</v>
      </c>
      <c r="AB444" s="29">
        <f>+VLOOKUP(E444,[1]base!M:N,2,0)</f>
        <v>10587</v>
      </c>
      <c r="AC444" s="29">
        <f>+VLOOKUP(E444,[1]base!M:Q,5,0)</f>
        <v>2112.7272727272725</v>
      </c>
      <c r="AD444" s="30">
        <f>+VLOOKUP(E444,[1]base!M:P,4,0)</f>
        <v>1.4154018064996741E-2</v>
      </c>
      <c r="AE444" s="31">
        <f t="shared" si="118"/>
        <v>3026.2514107458796</v>
      </c>
    </row>
    <row r="445" spans="1:31" x14ac:dyDescent="0.25">
      <c r="A445" s="12" t="s">
        <v>1490</v>
      </c>
      <c r="B445" s="13">
        <v>46273.595729166664</v>
      </c>
      <c r="C445" s="12" t="s">
        <v>24</v>
      </c>
      <c r="D445" s="12" t="s">
        <v>566</v>
      </c>
      <c r="E445" s="26" t="str">
        <f t="shared" si="112"/>
        <v>GL11060/248</v>
      </c>
      <c r="F445" s="27" t="str">
        <f t="shared" si="113"/>
        <v>NOIR</v>
      </c>
      <c r="G445" s="27">
        <f>+VLOOKUP(F445,[1]base!A:B,2,0)</f>
        <v>37</v>
      </c>
      <c r="H445" s="12">
        <v>100</v>
      </c>
      <c r="I445" s="12">
        <v>100</v>
      </c>
      <c r="J445" s="14"/>
      <c r="K445" s="14" t="s">
        <v>61</v>
      </c>
      <c r="L445" s="12" t="s">
        <v>1497</v>
      </c>
      <c r="M445" s="12" t="s">
        <v>150</v>
      </c>
      <c r="N445" s="12">
        <v>100</v>
      </c>
      <c r="O445" s="12">
        <v>100</v>
      </c>
      <c r="P445" s="12">
        <v>0</v>
      </c>
      <c r="Q445" s="16">
        <v>300</v>
      </c>
      <c r="R445" s="16">
        <v>0</v>
      </c>
      <c r="S445" s="16"/>
      <c r="T445" s="28">
        <v>100</v>
      </c>
      <c r="U445" s="28"/>
      <c r="V445" s="29">
        <f>+VLOOKUP(E445,[1]base!D:K,8,0)</f>
        <v>2.4634999999999998</v>
      </c>
      <c r="W445" s="29">
        <f t="shared" si="114"/>
        <v>246.34999999999997</v>
      </c>
      <c r="X445" s="29">
        <f t="shared" si="115"/>
        <v>12.810199999999998</v>
      </c>
      <c r="Y445" s="29">
        <f>+VLOOKUP(E445,[1]base!D:E,2,0)</f>
        <v>20</v>
      </c>
      <c r="Z445" s="29">
        <f t="shared" si="116"/>
        <v>5</v>
      </c>
      <c r="AA445" s="29">
        <f t="shared" si="117"/>
        <v>0.33333333333333348</v>
      </c>
      <c r="AB445" s="29">
        <f>+VLOOKUP(E445,[1]base!M:N,2,0)</f>
        <v>10587</v>
      </c>
      <c r="AC445" s="29">
        <f>+VLOOKUP(E445,[1]base!M:Q,5,0)</f>
        <v>2112.7272727272725</v>
      </c>
      <c r="AD445" s="30">
        <f>+VLOOKUP(E445,[1]base!M:P,4,0)</f>
        <v>1.4154018064996741E-2</v>
      </c>
      <c r="AE445" s="31">
        <f t="shared" si="118"/>
        <v>3026.2514107458796</v>
      </c>
    </row>
    <row r="446" spans="1:31" x14ac:dyDescent="0.25">
      <c r="A446" s="12" t="s">
        <v>1016</v>
      </c>
      <c r="B446" s="13">
        <v>46266.406585648147</v>
      </c>
      <c r="C446" s="12" t="s">
        <v>599</v>
      </c>
      <c r="D446" s="12" t="s">
        <v>1022</v>
      </c>
      <c r="E446" s="26" t="str">
        <f t="shared" si="112"/>
        <v>LM-757</v>
      </c>
      <c r="F446" s="27" t="str">
        <f t="shared" si="113"/>
        <v>NOIR</v>
      </c>
      <c r="G446" s="27">
        <f>+VLOOKUP(F446,[1]base!A:B,2,0)</f>
        <v>37</v>
      </c>
      <c r="H446" s="12">
        <v>100</v>
      </c>
      <c r="I446" s="12">
        <v>100</v>
      </c>
      <c r="J446" s="14"/>
      <c r="K446" s="14" t="s">
        <v>61</v>
      </c>
      <c r="L446" s="12" t="s">
        <v>1054</v>
      </c>
      <c r="M446" s="12" t="s">
        <v>150</v>
      </c>
      <c r="N446" s="12">
        <v>100</v>
      </c>
      <c r="O446" s="12">
        <v>100</v>
      </c>
      <c r="P446" s="12">
        <v>0</v>
      </c>
      <c r="Q446" s="16">
        <v>100</v>
      </c>
      <c r="R446" s="16">
        <v>3</v>
      </c>
      <c r="S446" s="16"/>
      <c r="T446" s="28">
        <v>97</v>
      </c>
      <c r="U446" s="28">
        <v>3</v>
      </c>
      <c r="V446" s="29">
        <f>+VLOOKUP(E446,[1]base!D:K,8,0)</f>
        <v>2.7559999999999998</v>
      </c>
      <c r="W446" s="29">
        <f t="shared" si="114"/>
        <v>275.59999999999997</v>
      </c>
      <c r="X446" s="29">
        <f t="shared" si="115"/>
        <v>14.331199999999997</v>
      </c>
      <c r="Y446" s="29">
        <f>+VLOOKUP(E446,[1]base!D:E,2,0)</f>
        <v>17</v>
      </c>
      <c r="Z446" s="29">
        <f t="shared" si="116"/>
        <v>6</v>
      </c>
      <c r="AA446" s="29">
        <f t="shared" si="117"/>
        <v>0.40000000000000013</v>
      </c>
      <c r="AB446" s="29">
        <f>+VLOOKUP(E446,[1]base!M:N,2,0)</f>
        <v>16498</v>
      </c>
      <c r="AC446" s="29">
        <f>+VLOOKUP(E446,[1]base!M:Q,5,0)</f>
        <v>13391.545454545454</v>
      </c>
      <c r="AD446" s="30">
        <f>+VLOOKUP(E446,[1]base!M:P,4,0)</f>
        <v>4.4978292329956586E-2</v>
      </c>
      <c r="AE446" s="31">
        <f t="shared" si="118"/>
        <v>4207.3481331403764</v>
      </c>
    </row>
    <row r="447" spans="1:31" x14ac:dyDescent="0.25">
      <c r="A447" s="12" t="s">
        <v>1187</v>
      </c>
      <c r="B447" s="13">
        <v>46267.547002314815</v>
      </c>
      <c r="C447" s="12" t="s">
        <v>627</v>
      </c>
      <c r="D447" s="12" t="s">
        <v>1022</v>
      </c>
      <c r="E447" s="26" t="str">
        <f t="shared" si="112"/>
        <v>LM-757</v>
      </c>
      <c r="F447" s="27" t="str">
        <f t="shared" si="113"/>
        <v>NOIR</v>
      </c>
      <c r="G447" s="27">
        <f>+VLOOKUP(F447,[1]base!A:B,2,0)</f>
        <v>37</v>
      </c>
      <c r="H447" s="12">
        <v>60</v>
      </c>
      <c r="I447" s="12">
        <v>30</v>
      </c>
      <c r="J447" s="14"/>
      <c r="K447" s="14" t="s">
        <v>61</v>
      </c>
      <c r="L447" s="12" t="s">
        <v>1195</v>
      </c>
      <c r="M447" s="12" t="s">
        <v>150</v>
      </c>
      <c r="N447" s="12">
        <v>30</v>
      </c>
      <c r="O447" s="12">
        <v>30</v>
      </c>
      <c r="P447" s="12">
        <v>0</v>
      </c>
      <c r="Q447" s="16">
        <v>30</v>
      </c>
      <c r="R447" s="16">
        <v>3</v>
      </c>
      <c r="S447" s="16"/>
      <c r="T447" s="28">
        <v>30</v>
      </c>
      <c r="U447" s="28"/>
      <c r="V447" s="29">
        <f>+VLOOKUP(E447,[1]base!D:K,8,0)</f>
        <v>2.7559999999999998</v>
      </c>
      <c r="W447" s="29">
        <f t="shared" si="114"/>
        <v>82.679999999999993</v>
      </c>
      <c r="X447" s="29">
        <f t="shared" si="115"/>
        <v>4.2993599999999992</v>
      </c>
      <c r="Y447" s="29">
        <f>+VLOOKUP(E447,[1]base!D:E,2,0)</f>
        <v>17</v>
      </c>
      <c r="Z447" s="29">
        <f t="shared" si="116"/>
        <v>2</v>
      </c>
      <c r="AA447" s="29">
        <f t="shared" si="117"/>
        <v>0.13333333333333339</v>
      </c>
      <c r="AB447" s="29">
        <f>+VLOOKUP(E447,[1]base!M:N,2,0)</f>
        <v>16498</v>
      </c>
      <c r="AC447" s="29">
        <f>+VLOOKUP(E447,[1]base!M:Q,5,0)</f>
        <v>13391.545454545454</v>
      </c>
      <c r="AD447" s="30">
        <f>+VLOOKUP(E447,[1]base!M:P,4,0)</f>
        <v>4.4978292329956586E-2</v>
      </c>
      <c r="AE447" s="31">
        <f t="shared" si="118"/>
        <v>4207.3481331403764</v>
      </c>
    </row>
    <row r="448" spans="1:31" x14ac:dyDescent="0.25">
      <c r="A448" s="12" t="s">
        <v>1291</v>
      </c>
      <c r="B448" s="13">
        <v>46269.280277777776</v>
      </c>
      <c r="C448" s="12" t="s">
        <v>266</v>
      </c>
      <c r="D448" s="12" t="s">
        <v>1022</v>
      </c>
      <c r="E448" s="26" t="str">
        <f t="shared" si="112"/>
        <v>LM-757</v>
      </c>
      <c r="F448" s="27" t="str">
        <f t="shared" si="113"/>
        <v>NOIR</v>
      </c>
      <c r="G448" s="27">
        <f>+VLOOKUP(F448,[1]base!A:B,2,0)</f>
        <v>37</v>
      </c>
      <c r="H448" s="12">
        <v>100</v>
      </c>
      <c r="I448" s="12">
        <v>100</v>
      </c>
      <c r="J448" s="14"/>
      <c r="K448" s="14" t="s">
        <v>61</v>
      </c>
      <c r="L448" s="12" t="s">
        <v>1306</v>
      </c>
      <c r="M448" s="12" t="s">
        <v>150</v>
      </c>
      <c r="N448" s="12">
        <v>100</v>
      </c>
      <c r="O448" s="12">
        <v>100</v>
      </c>
      <c r="P448" s="12">
        <v>0</v>
      </c>
      <c r="Q448" s="16">
        <v>100</v>
      </c>
      <c r="R448" s="16">
        <v>3</v>
      </c>
      <c r="S448" s="16"/>
      <c r="T448" s="28">
        <v>100</v>
      </c>
      <c r="U448" s="28"/>
      <c r="V448" s="29">
        <f>+VLOOKUP(E448,[1]base!D:K,8,0)</f>
        <v>2.7559999999999998</v>
      </c>
      <c r="W448" s="29">
        <f t="shared" si="114"/>
        <v>275.59999999999997</v>
      </c>
      <c r="X448" s="29">
        <f t="shared" si="115"/>
        <v>14.331199999999997</v>
      </c>
      <c r="Y448" s="29">
        <f>+VLOOKUP(E448,[1]base!D:E,2,0)</f>
        <v>17</v>
      </c>
      <c r="Z448" s="29">
        <f t="shared" si="116"/>
        <v>6</v>
      </c>
      <c r="AA448" s="29">
        <f t="shared" si="117"/>
        <v>0.40000000000000013</v>
      </c>
      <c r="AB448" s="29">
        <f>+VLOOKUP(E448,[1]base!M:N,2,0)</f>
        <v>16498</v>
      </c>
      <c r="AC448" s="29">
        <f>+VLOOKUP(E448,[1]base!M:Q,5,0)</f>
        <v>13391.545454545454</v>
      </c>
      <c r="AD448" s="30">
        <f>+VLOOKUP(E448,[1]base!M:P,4,0)</f>
        <v>4.4978292329956586E-2</v>
      </c>
      <c r="AE448" s="31">
        <f t="shared" si="118"/>
        <v>4207.3481331403764</v>
      </c>
    </row>
    <row r="449" spans="1:31" x14ac:dyDescent="0.25">
      <c r="A449" s="12" t="s">
        <v>547</v>
      </c>
      <c r="B449" s="13">
        <v>46240.550856481481</v>
      </c>
      <c r="C449" s="12" t="s">
        <v>548</v>
      </c>
      <c r="D449" s="12" t="s">
        <v>568</v>
      </c>
      <c r="E449" s="26" t="str">
        <f t="shared" si="112"/>
        <v>LM-F/6</v>
      </c>
      <c r="F449" s="27" t="str">
        <f t="shared" si="113"/>
        <v>NOIR</v>
      </c>
      <c r="G449" s="27">
        <f>+VLOOKUP(F449,[1]base!A:B,2,0)</f>
        <v>37</v>
      </c>
      <c r="H449" s="12">
        <v>30</v>
      </c>
      <c r="I449" s="12">
        <v>30</v>
      </c>
      <c r="J449" s="14"/>
      <c r="K449" s="14" t="s">
        <v>61</v>
      </c>
      <c r="L449" s="12" t="s">
        <v>571</v>
      </c>
      <c r="M449" s="12" t="s">
        <v>150</v>
      </c>
      <c r="N449" s="12">
        <v>30</v>
      </c>
      <c r="O449" s="12">
        <v>30</v>
      </c>
      <c r="P449" s="12">
        <v>0</v>
      </c>
      <c r="Q449" s="16">
        <v>130</v>
      </c>
      <c r="R449" s="16">
        <v>0</v>
      </c>
      <c r="S449" s="16"/>
      <c r="T449" s="28">
        <v>30</v>
      </c>
      <c r="U449" s="28"/>
      <c r="V449" s="29">
        <f>+VLOOKUP(E449,[1]base!D:K,8,0)</f>
        <v>2.8405</v>
      </c>
      <c r="W449" s="29">
        <f t="shared" si="114"/>
        <v>85.215000000000003</v>
      </c>
      <c r="X449" s="29">
        <f t="shared" si="115"/>
        <v>4.4311800000000003</v>
      </c>
      <c r="Y449" s="29">
        <f>+VLOOKUP(E449,[1]base!D:E,2,0)</f>
        <v>17</v>
      </c>
      <c r="Z449" s="29">
        <f t="shared" si="116"/>
        <v>2</v>
      </c>
      <c r="AA449" s="29">
        <f t="shared" si="117"/>
        <v>0.13333333333333339</v>
      </c>
      <c r="AB449" s="29">
        <f>+VLOOKUP(E449,[1]base!M:N,2,0)</f>
        <v>2860</v>
      </c>
      <c r="AC449" s="29">
        <f>+VLOOKUP(E449,[1]base!M:Q,5,0)</f>
        <v>1927.6</v>
      </c>
      <c r="AD449" s="30">
        <f>+VLOOKUP(E449,[1]base!M:P,4,0)</f>
        <v>-5.2857142857142856</v>
      </c>
      <c r="AE449" s="31">
        <f t="shared" si="118"/>
        <v>15975.142857142857</v>
      </c>
    </row>
    <row r="450" spans="1:31" x14ac:dyDescent="0.25">
      <c r="A450" s="12" t="s">
        <v>1187</v>
      </c>
      <c r="B450" s="13">
        <v>46267.547002314815</v>
      </c>
      <c r="C450" s="12" t="s">
        <v>627</v>
      </c>
      <c r="D450" s="12" t="s">
        <v>568</v>
      </c>
      <c r="E450" s="26" t="str">
        <f t="shared" si="112"/>
        <v>LM-F/6</v>
      </c>
      <c r="F450" s="27" t="str">
        <f t="shared" si="113"/>
        <v>NOIR</v>
      </c>
      <c r="G450" s="27">
        <f>+VLOOKUP(F450,[1]base!A:B,2,0)</f>
        <v>37</v>
      </c>
      <c r="H450" s="12">
        <v>2</v>
      </c>
      <c r="I450" s="12">
        <v>2</v>
      </c>
      <c r="J450" s="14"/>
      <c r="K450" s="14" t="s">
        <v>61</v>
      </c>
      <c r="L450" s="12" t="s">
        <v>1194</v>
      </c>
      <c r="M450" s="12" t="s">
        <v>150</v>
      </c>
      <c r="N450" s="12">
        <v>2</v>
      </c>
      <c r="O450" s="12">
        <v>2</v>
      </c>
      <c r="P450" s="12">
        <v>0</v>
      </c>
      <c r="Q450" s="16">
        <v>2</v>
      </c>
      <c r="R450" s="16">
        <v>0</v>
      </c>
      <c r="S450" s="16"/>
      <c r="T450" s="28">
        <v>2</v>
      </c>
      <c r="U450" s="28"/>
      <c r="V450" s="29">
        <f>+VLOOKUP(E450,[1]base!D:K,8,0)</f>
        <v>2.8405</v>
      </c>
      <c r="W450" s="29">
        <f t="shared" si="114"/>
        <v>5.681</v>
      </c>
      <c r="X450" s="29">
        <f t="shared" si="115"/>
        <v>0.29541200000000001</v>
      </c>
      <c r="Y450" s="29">
        <f>+VLOOKUP(E450,[1]base!D:E,2,0)</f>
        <v>17</v>
      </c>
      <c r="Z450" s="29">
        <f t="shared" si="116"/>
        <v>1</v>
      </c>
      <c r="AA450" s="29">
        <f t="shared" si="117"/>
        <v>6.6666666666666693E-2</v>
      </c>
      <c r="AB450" s="29">
        <f>+VLOOKUP(E450,[1]base!M:N,2,0)</f>
        <v>2860</v>
      </c>
      <c r="AC450" s="29">
        <f>+VLOOKUP(E450,[1]base!M:Q,5,0)</f>
        <v>1927.6</v>
      </c>
      <c r="AD450" s="30">
        <f>+VLOOKUP(E450,[1]base!M:P,4,0)</f>
        <v>-5.2857142857142856</v>
      </c>
      <c r="AE450" s="31">
        <f t="shared" si="118"/>
        <v>15975.142857142857</v>
      </c>
    </row>
    <row r="451" spans="1:31" x14ac:dyDescent="0.25">
      <c r="A451" s="12" t="s">
        <v>1016</v>
      </c>
      <c r="B451" s="13">
        <v>46266.406585648147</v>
      </c>
      <c r="C451" s="12" t="s">
        <v>599</v>
      </c>
      <c r="D451" s="12" t="s">
        <v>1023</v>
      </c>
      <c r="E451" s="26" t="str">
        <f t="shared" si="112"/>
        <v>LM-S758</v>
      </c>
      <c r="F451" s="27" t="str">
        <f t="shared" si="113"/>
        <v>NOIR</v>
      </c>
      <c r="G451" s="27">
        <f>+VLOOKUP(F451,[1]base!A:B,2,0)</f>
        <v>37</v>
      </c>
      <c r="H451" s="12">
        <v>30</v>
      </c>
      <c r="I451" s="12">
        <v>30</v>
      </c>
      <c r="J451" s="14"/>
      <c r="K451" s="14" t="s">
        <v>61</v>
      </c>
      <c r="L451" s="12" t="s">
        <v>1055</v>
      </c>
      <c r="M451" s="12" t="s">
        <v>150</v>
      </c>
      <c r="N451" s="12">
        <v>30</v>
      </c>
      <c r="O451" s="12">
        <v>30</v>
      </c>
      <c r="P451" s="12">
        <v>0</v>
      </c>
      <c r="Q451" s="16">
        <v>30</v>
      </c>
      <c r="R451" s="16">
        <v>6</v>
      </c>
      <c r="S451" s="16"/>
      <c r="T451" s="28">
        <v>24</v>
      </c>
      <c r="U451" s="28">
        <v>6</v>
      </c>
      <c r="V451" s="29">
        <f>+VLOOKUP(E451,[1]base!D:K,8,0)</f>
        <v>1.3259999999999998</v>
      </c>
      <c r="W451" s="29">
        <f t="shared" si="114"/>
        <v>39.779999999999994</v>
      </c>
      <c r="X451" s="29">
        <f t="shared" si="115"/>
        <v>2.0685599999999997</v>
      </c>
      <c r="Y451" s="29">
        <f>+VLOOKUP(E451,[1]base!D:E,2,0)</f>
        <v>20</v>
      </c>
      <c r="Z451" s="29">
        <f t="shared" si="116"/>
        <v>2</v>
      </c>
      <c r="AA451" s="29">
        <f t="shared" si="117"/>
        <v>0.13333333333333339</v>
      </c>
      <c r="AB451" s="29">
        <f>+VLOOKUP(E451,[1]base!M:N,2,0)</f>
        <v>415</v>
      </c>
      <c r="AC451" s="29">
        <f>+VLOOKUP(E451,[1]base!M:Q,5,0)</f>
        <v>1750.6</v>
      </c>
      <c r="AD451" s="30">
        <f>+VLOOKUP(E451,[1]base!M:P,4,0)</f>
        <v>0.15306122448979592</v>
      </c>
      <c r="AE451" s="31">
        <f t="shared" si="118"/>
        <v>60.979591836734684</v>
      </c>
    </row>
    <row r="452" spans="1:31" x14ac:dyDescent="0.25">
      <c r="A452" s="12" t="s">
        <v>1187</v>
      </c>
      <c r="B452" s="13">
        <v>46267.547002314815</v>
      </c>
      <c r="C452" s="12" t="s">
        <v>627</v>
      </c>
      <c r="D452" s="12" t="s">
        <v>1023</v>
      </c>
      <c r="E452" s="26" t="str">
        <f t="shared" si="112"/>
        <v>LM-S758</v>
      </c>
      <c r="F452" s="27" t="str">
        <f t="shared" si="113"/>
        <v>NOIR</v>
      </c>
      <c r="G452" s="27">
        <f>+VLOOKUP(F452,[1]base!A:B,2,0)</f>
        <v>37</v>
      </c>
      <c r="H452" s="12">
        <v>7</v>
      </c>
      <c r="I452" s="12">
        <v>7</v>
      </c>
      <c r="J452" s="14"/>
      <c r="K452" s="14" t="s">
        <v>61</v>
      </c>
      <c r="L452" s="12" t="s">
        <v>1196</v>
      </c>
      <c r="M452" s="12" t="s">
        <v>150</v>
      </c>
      <c r="N452" s="12">
        <v>7</v>
      </c>
      <c r="O452" s="12">
        <v>7</v>
      </c>
      <c r="P452" s="12">
        <v>0</v>
      </c>
      <c r="Q452" s="16">
        <v>7</v>
      </c>
      <c r="R452" s="16">
        <v>6</v>
      </c>
      <c r="S452" s="16"/>
      <c r="T452" s="28">
        <v>7</v>
      </c>
      <c r="U452" s="28"/>
      <c r="V452" s="29">
        <f>+VLOOKUP(E452,[1]base!D:K,8,0)</f>
        <v>1.3259999999999998</v>
      </c>
      <c r="W452" s="29">
        <f t="shared" si="114"/>
        <v>9.2819999999999983</v>
      </c>
      <c r="X452" s="29">
        <f t="shared" si="115"/>
        <v>0.48266399999999987</v>
      </c>
      <c r="Y452" s="29">
        <f>+VLOOKUP(E452,[1]base!D:E,2,0)</f>
        <v>20</v>
      </c>
      <c r="Z452" s="29">
        <f t="shared" si="116"/>
        <v>1</v>
      </c>
      <c r="AA452" s="29">
        <f t="shared" si="117"/>
        <v>6.6666666666666693E-2</v>
      </c>
      <c r="AB452" s="29">
        <f>+VLOOKUP(E452,[1]base!M:N,2,0)</f>
        <v>415</v>
      </c>
      <c r="AC452" s="29">
        <f>+VLOOKUP(E452,[1]base!M:Q,5,0)</f>
        <v>1750.6</v>
      </c>
      <c r="AD452" s="30">
        <f>+VLOOKUP(E452,[1]base!M:P,4,0)</f>
        <v>0.15306122448979592</v>
      </c>
      <c r="AE452" s="31">
        <f t="shared" si="118"/>
        <v>60.979591836734684</v>
      </c>
    </row>
    <row r="453" spans="1:31" x14ac:dyDescent="0.25">
      <c r="A453" s="12" t="s">
        <v>1291</v>
      </c>
      <c r="B453" s="13">
        <v>46269.280277777776</v>
      </c>
      <c r="C453" s="12" t="s">
        <v>266</v>
      </c>
      <c r="D453" s="12" t="s">
        <v>1023</v>
      </c>
      <c r="E453" s="26" t="str">
        <f t="shared" si="112"/>
        <v>LM-S758</v>
      </c>
      <c r="F453" s="27" t="str">
        <f t="shared" si="113"/>
        <v>NOIR</v>
      </c>
      <c r="G453" s="27">
        <f>+VLOOKUP(F453,[1]base!A:B,2,0)</f>
        <v>37</v>
      </c>
      <c r="H453" s="12">
        <v>40</v>
      </c>
      <c r="I453" s="12">
        <v>40</v>
      </c>
      <c r="J453" s="14"/>
      <c r="K453" s="14" t="s">
        <v>61</v>
      </c>
      <c r="L453" s="12" t="s">
        <v>1307</v>
      </c>
      <c r="M453" s="12" t="s">
        <v>150</v>
      </c>
      <c r="N453" s="12">
        <v>40</v>
      </c>
      <c r="O453" s="12">
        <v>40</v>
      </c>
      <c r="P453" s="12">
        <v>0</v>
      </c>
      <c r="Q453" s="16">
        <v>40</v>
      </c>
      <c r="R453" s="16">
        <v>6</v>
      </c>
      <c r="S453" s="16"/>
      <c r="T453" s="28">
        <v>40</v>
      </c>
      <c r="U453" s="28"/>
      <c r="V453" s="29">
        <f>+VLOOKUP(E453,[1]base!D:K,8,0)</f>
        <v>1.3259999999999998</v>
      </c>
      <c r="W453" s="29">
        <f t="shared" si="114"/>
        <v>53.039999999999992</v>
      </c>
      <c r="X453" s="29">
        <f t="shared" si="115"/>
        <v>2.7580799999999996</v>
      </c>
      <c r="Y453" s="29">
        <f>+VLOOKUP(E453,[1]base!D:E,2,0)</f>
        <v>20</v>
      </c>
      <c r="Z453" s="29">
        <f t="shared" si="116"/>
        <v>2</v>
      </c>
      <c r="AA453" s="29">
        <f t="shared" si="117"/>
        <v>0.13333333333333339</v>
      </c>
      <c r="AB453" s="29">
        <f>+VLOOKUP(E453,[1]base!M:N,2,0)</f>
        <v>415</v>
      </c>
      <c r="AC453" s="29">
        <f>+VLOOKUP(E453,[1]base!M:Q,5,0)</f>
        <v>1750.6</v>
      </c>
      <c r="AD453" s="30">
        <f>+VLOOKUP(E453,[1]base!M:P,4,0)</f>
        <v>0.15306122448979592</v>
      </c>
      <c r="AE453" s="31">
        <f t="shared" si="118"/>
        <v>60.979591836734684</v>
      </c>
    </row>
    <row r="454" spans="1:31" x14ac:dyDescent="0.25">
      <c r="A454" s="12" t="s">
        <v>1227</v>
      </c>
      <c r="B454" s="13">
        <v>46268.399537037039</v>
      </c>
      <c r="C454" s="12" t="s">
        <v>24</v>
      </c>
      <c r="D454" s="12" t="s">
        <v>84</v>
      </c>
      <c r="E454" s="26" t="str">
        <f t="shared" si="112"/>
        <v>MR002</v>
      </c>
      <c r="F454" s="27" t="str">
        <f t="shared" si="113"/>
        <v>NOIR</v>
      </c>
      <c r="G454" s="27">
        <f>+VLOOKUP(F454,[1]base!A:B,2,0)</f>
        <v>37</v>
      </c>
      <c r="H454" s="12">
        <v>7</v>
      </c>
      <c r="I454" s="12">
        <v>7</v>
      </c>
      <c r="J454" s="14"/>
      <c r="K454" s="14" t="s">
        <v>61</v>
      </c>
      <c r="L454" s="12" t="s">
        <v>1228</v>
      </c>
      <c r="M454" s="12" t="s">
        <v>150</v>
      </c>
      <c r="N454" s="12">
        <v>7</v>
      </c>
      <c r="O454" s="12">
        <v>7</v>
      </c>
      <c r="P454" s="12">
        <v>0</v>
      </c>
      <c r="Q454" s="16">
        <v>7</v>
      </c>
      <c r="R454" s="16">
        <v>0</v>
      </c>
      <c r="S454" s="16"/>
      <c r="T454" s="28">
        <v>7</v>
      </c>
      <c r="U454" s="28"/>
      <c r="V454" s="29">
        <f>+VLOOKUP(E454,[1]base!D:K,8,0)</f>
        <v>11.934000000000001</v>
      </c>
      <c r="W454" s="29">
        <f t="shared" si="114"/>
        <v>83.538000000000011</v>
      </c>
      <c r="X454" s="29">
        <f t="shared" si="115"/>
        <v>4.3439760000000005</v>
      </c>
      <c r="Y454" s="29">
        <f>+VLOOKUP(E454,[1]base!D:E,2,0)</f>
        <v>9</v>
      </c>
      <c r="Z454" s="29">
        <f t="shared" si="116"/>
        <v>1</v>
      </c>
      <c r="AA454" s="29">
        <f t="shared" si="117"/>
        <v>6.6666666666666693E-2</v>
      </c>
      <c r="AB454" s="29">
        <f>+VLOOKUP(E454,[1]base!M:N,2,0)</f>
        <v>1456</v>
      </c>
      <c r="AC454" s="29">
        <f>+VLOOKUP(E454,[1]base!M:Q,5,0)</f>
        <v>947.8</v>
      </c>
      <c r="AD454" s="30">
        <f>+VLOOKUP(E454,[1]base!M:P,4,0)</f>
        <v>0.6996699669966997</v>
      </c>
      <c r="AE454" s="31">
        <f t="shared" si="118"/>
        <v>-581.91947194719478</v>
      </c>
    </row>
    <row r="455" spans="1:31" x14ac:dyDescent="0.25">
      <c r="A455" s="12" t="s">
        <v>609</v>
      </c>
      <c r="B455" s="13">
        <v>46246.552789351852</v>
      </c>
      <c r="C455" s="12" t="s">
        <v>24</v>
      </c>
      <c r="D455" s="12" t="s">
        <v>611</v>
      </c>
      <c r="E455" s="26" t="str">
        <f t="shared" si="112"/>
        <v>P013</v>
      </c>
      <c r="F455" s="27" t="str">
        <f t="shared" si="113"/>
        <v>NOIR</v>
      </c>
      <c r="G455" s="27">
        <f>+VLOOKUP(F455,[1]base!A:B,2,0)</f>
        <v>37</v>
      </c>
      <c r="H455" s="12">
        <v>22</v>
      </c>
      <c r="I455" s="12">
        <v>22</v>
      </c>
      <c r="J455" s="14"/>
      <c r="K455" s="14" t="s">
        <v>61</v>
      </c>
      <c r="L455" s="12" t="s">
        <v>614</v>
      </c>
      <c r="M455" s="12" t="s">
        <v>150</v>
      </c>
      <c r="N455" s="12">
        <v>22</v>
      </c>
      <c r="O455" s="12">
        <v>22</v>
      </c>
      <c r="P455" s="12">
        <v>0</v>
      </c>
      <c r="Q455" s="16">
        <v>22</v>
      </c>
      <c r="R455" s="16">
        <v>0</v>
      </c>
      <c r="S455" s="16"/>
      <c r="T455" s="28">
        <v>22</v>
      </c>
      <c r="U455" s="28"/>
      <c r="V455" s="29">
        <f>+VLOOKUP(E455,[1]base!D:K,8,0)</f>
        <v>1.1040000000000001</v>
      </c>
      <c r="W455" s="29">
        <f t="shared" si="114"/>
        <v>24.288000000000004</v>
      </c>
      <c r="X455" s="29">
        <f t="shared" si="115"/>
        <v>1.2629760000000001</v>
      </c>
      <c r="Y455" s="29">
        <f>+VLOOKUP(E455,[1]base!D:E,2,0)</f>
        <v>20</v>
      </c>
      <c r="Z455" s="29">
        <f t="shared" si="116"/>
        <v>2</v>
      </c>
      <c r="AA455" s="29">
        <f t="shared" si="117"/>
        <v>0.13333333333333339</v>
      </c>
      <c r="AB455" s="29">
        <f>+VLOOKUP(E455,[1]base!M:N,2,0)</f>
        <v>630</v>
      </c>
      <c r="AC455" s="29">
        <f>+VLOOKUP(E455,[1]base!M:Q,5,0)</f>
        <v>0</v>
      </c>
      <c r="AD455" s="30">
        <f>+VLOOKUP(E455,[1]base!M:P,4,0)</f>
        <v>0</v>
      </c>
      <c r="AE455" s="31">
        <f t="shared" si="118"/>
        <v>189</v>
      </c>
    </row>
    <row r="456" spans="1:31" x14ac:dyDescent="0.25">
      <c r="A456" s="12" t="s">
        <v>609</v>
      </c>
      <c r="B456" s="13">
        <v>46246.552789351852</v>
      </c>
      <c r="C456" s="12" t="s">
        <v>24</v>
      </c>
      <c r="D456" s="12" t="s">
        <v>610</v>
      </c>
      <c r="E456" s="26" t="str">
        <f t="shared" si="112"/>
        <v>P014</v>
      </c>
      <c r="F456" s="27" t="str">
        <f t="shared" si="113"/>
        <v>NOIR</v>
      </c>
      <c r="G456" s="27">
        <f>+VLOOKUP(F456,[1]base!A:B,2,0)</f>
        <v>37</v>
      </c>
      <c r="H456" s="12">
        <v>9</v>
      </c>
      <c r="I456" s="12">
        <v>9</v>
      </c>
      <c r="J456" s="14"/>
      <c r="K456" s="14" t="s">
        <v>26</v>
      </c>
      <c r="L456" s="12" t="s">
        <v>613</v>
      </c>
      <c r="M456" s="12" t="s">
        <v>150</v>
      </c>
      <c r="N456" s="12">
        <v>9</v>
      </c>
      <c r="O456" s="12">
        <v>9</v>
      </c>
      <c r="P456" s="12">
        <v>0</v>
      </c>
      <c r="Q456" s="16">
        <v>0</v>
      </c>
      <c r="R456" s="16">
        <v>0</v>
      </c>
      <c r="S456" s="16"/>
      <c r="T456" s="28">
        <v>9</v>
      </c>
      <c r="U456" s="28"/>
      <c r="V456" s="29" t="e">
        <f>+VLOOKUP(E456,[1]base!D:K,8,0)</f>
        <v>#N/A</v>
      </c>
      <c r="W456" s="29" t="e">
        <f t="shared" si="114"/>
        <v>#N/A</v>
      </c>
      <c r="X456" s="29" t="e">
        <f t="shared" si="115"/>
        <v>#N/A</v>
      </c>
      <c r="Y456" s="29" t="e">
        <f>+VLOOKUP(E456,[1]base!D:E,2,0)</f>
        <v>#N/A</v>
      </c>
      <c r="Z456" s="29" t="e">
        <f t="shared" si="116"/>
        <v>#N/A</v>
      </c>
      <c r="AA456" s="29" t="e">
        <f t="shared" si="117"/>
        <v>#N/A</v>
      </c>
      <c r="AB456" s="29" t="e">
        <f>+VLOOKUP(E456,[1]base!M:N,2,0)</f>
        <v>#N/A</v>
      </c>
      <c r="AC456" s="29" t="e">
        <f>+VLOOKUP(E456,[1]base!M:Q,5,0)</f>
        <v>#N/A</v>
      </c>
      <c r="AD456" s="30" t="e">
        <f>+VLOOKUP(E456,[1]base!M:P,4,0)</f>
        <v>#N/A</v>
      </c>
      <c r="AE456" s="31" t="e">
        <f t="shared" si="118"/>
        <v>#N/A</v>
      </c>
    </row>
    <row r="457" spans="1:31" x14ac:dyDescent="0.25">
      <c r="A457" s="12" t="s">
        <v>609</v>
      </c>
      <c r="B457" s="13">
        <v>46246.552789351852</v>
      </c>
      <c r="C457" s="12" t="s">
        <v>24</v>
      </c>
      <c r="D457" s="12" t="s">
        <v>612</v>
      </c>
      <c r="E457" s="26" t="str">
        <f t="shared" si="112"/>
        <v>T054-12</v>
      </c>
      <c r="F457" s="27" t="str">
        <f t="shared" si="113"/>
        <v>NOIR</v>
      </c>
      <c r="G457" s="27">
        <f>+VLOOKUP(F457,[1]base!A:B,2,0)</f>
        <v>37</v>
      </c>
      <c r="H457" s="12">
        <v>120</v>
      </c>
      <c r="I457" s="12">
        <v>120</v>
      </c>
      <c r="J457" s="14"/>
      <c r="K457" s="14" t="s">
        <v>26</v>
      </c>
      <c r="L457" s="12" t="s">
        <v>615</v>
      </c>
      <c r="M457" s="12" t="s">
        <v>150</v>
      </c>
      <c r="N457" s="12">
        <v>120</v>
      </c>
      <c r="O457" s="12">
        <v>120</v>
      </c>
      <c r="P457" s="12">
        <v>0</v>
      </c>
      <c r="Q457" s="16">
        <v>0</v>
      </c>
      <c r="R457" s="16">
        <v>0</v>
      </c>
      <c r="S457" s="16"/>
      <c r="T457" s="28">
        <v>120</v>
      </c>
      <c r="U457" s="28"/>
      <c r="V457" s="29">
        <f>+VLOOKUP(E457,[1]base!D:K,8,0)</f>
        <v>1.4999999999999999E-2</v>
      </c>
      <c r="W457" s="29">
        <f t="shared" si="114"/>
        <v>1.7999999999999998</v>
      </c>
      <c r="X457" s="29">
        <f t="shared" si="115"/>
        <v>9.3599999999999989E-2</v>
      </c>
      <c r="Y457" s="29">
        <f>+VLOOKUP(E457,[1]base!D:E,2,0)</f>
        <v>800</v>
      </c>
      <c r="Z457" s="29">
        <f t="shared" si="116"/>
        <v>1</v>
      </c>
      <c r="AA457" s="29">
        <f t="shared" si="117"/>
        <v>6.6666666666666693E-2</v>
      </c>
      <c r="AB457" s="29" t="e">
        <f>+VLOOKUP(E457,[1]base!M:N,2,0)</f>
        <v>#N/A</v>
      </c>
      <c r="AC457" s="29" t="e">
        <f>+VLOOKUP(E457,[1]base!M:Q,5,0)</f>
        <v>#N/A</v>
      </c>
      <c r="AD457" s="30" t="e">
        <f>+VLOOKUP(E457,[1]base!M:P,4,0)</f>
        <v>#N/A</v>
      </c>
      <c r="AE457" s="31" t="e">
        <f t="shared" si="118"/>
        <v>#N/A</v>
      </c>
    </row>
    <row r="458" spans="1:31" x14ac:dyDescent="0.25">
      <c r="A458" s="45"/>
      <c r="B458" s="46"/>
      <c r="C458" s="45"/>
      <c r="D458" s="45"/>
      <c r="E458" s="47"/>
      <c r="F458" s="48"/>
      <c r="G458" s="48"/>
      <c r="H458" s="45"/>
      <c r="I458" s="45"/>
      <c r="J458" s="49"/>
      <c r="K458" s="49"/>
      <c r="L458" s="45"/>
      <c r="M458" s="45"/>
      <c r="N458" s="45"/>
      <c r="O458" s="45"/>
      <c r="P458" s="45"/>
      <c r="Q458" s="50"/>
      <c r="R458" s="50"/>
      <c r="S458" s="50"/>
      <c r="T458" s="51"/>
      <c r="U458" s="51"/>
      <c r="V458" s="52"/>
      <c r="W458" s="52"/>
      <c r="X458" s="52"/>
      <c r="Y458" s="52"/>
      <c r="Z458" s="52"/>
      <c r="AA458" s="52"/>
      <c r="AB458" s="52"/>
      <c r="AC458" s="52"/>
      <c r="AD458" s="53"/>
      <c r="AE458" s="54"/>
    </row>
    <row r="459" spans="1:31" x14ac:dyDescent="0.25">
      <c r="A459" s="12" t="s">
        <v>1377</v>
      </c>
      <c r="B459" s="13">
        <v>46269.590555555558</v>
      </c>
      <c r="C459" s="12" t="s">
        <v>522</v>
      </c>
      <c r="D459" s="12" t="s">
        <v>1378</v>
      </c>
      <c r="E459" s="26" t="str">
        <f t="shared" ref="E459:E490" si="119">_xlfn.TEXTBEFORE(D459, "-", -1, 1, , D459)</f>
        <v>C-40104</v>
      </c>
      <c r="F459" s="27" t="str">
        <f t="shared" ref="F459:F490" si="120">_xlfn.TEXTAFTER(D459, "-", -1, 1, , "")</f>
        <v>DARK</v>
      </c>
      <c r="G459" s="27">
        <f>+VLOOKUP(F459,[1]base!A:B,2,0)</f>
        <v>38</v>
      </c>
      <c r="H459" s="12">
        <v>1</v>
      </c>
      <c r="I459" s="12">
        <v>1</v>
      </c>
      <c r="J459" s="14"/>
      <c r="K459" s="14" t="s">
        <v>26</v>
      </c>
      <c r="L459" s="12" t="s">
        <v>1385</v>
      </c>
      <c r="M459" s="12" t="s">
        <v>150</v>
      </c>
      <c r="N459" s="12">
        <v>1</v>
      </c>
      <c r="O459" s="12">
        <v>1</v>
      </c>
      <c r="P459" s="12">
        <v>0</v>
      </c>
      <c r="Q459" s="16">
        <v>0</v>
      </c>
      <c r="R459" s="16">
        <v>0</v>
      </c>
      <c r="S459" s="16"/>
      <c r="T459" s="28">
        <v>1</v>
      </c>
      <c r="U459" s="28"/>
      <c r="V459" s="29">
        <f>+VLOOKUP(E459,[1]base!D:K,8,0)</f>
        <v>3</v>
      </c>
      <c r="W459" s="29">
        <f t="shared" ref="W459:W490" si="121">(T459+U459)*V459</f>
        <v>3</v>
      </c>
      <c r="X459" s="29">
        <f t="shared" ref="X459:X490" si="122">+W459*0.052</f>
        <v>0.156</v>
      </c>
      <c r="Y459" s="29">
        <f>+VLOOKUP(E459,[1]base!D:E,2,0)</f>
        <v>13</v>
      </c>
      <c r="Z459" s="29">
        <f t="shared" ref="Z459:Z490" si="123">ROUNDUP(T459/Y459,0)</f>
        <v>1</v>
      </c>
      <c r="AA459" s="29">
        <f t="shared" ref="AA459:AA490" si="124">+Z459*0.0666666666666667</f>
        <v>6.6666666666666693E-2</v>
      </c>
      <c r="AB459" s="29" t="e">
        <f>+VLOOKUP(E459,[1]base!M:N,2,0)</f>
        <v>#N/A</v>
      </c>
      <c r="AC459" s="29" t="e">
        <f>+VLOOKUP(E459,[1]base!M:Q,5,0)</f>
        <v>#N/A</v>
      </c>
      <c r="AD459" s="30" t="e">
        <f>+VLOOKUP(E459,[1]base!M:P,4,0)</f>
        <v>#N/A</v>
      </c>
      <c r="AE459" s="31" t="e">
        <f t="shared" ref="AE459:AE490" si="125">+AB459*(30%-AD459)</f>
        <v>#N/A</v>
      </c>
    </row>
    <row r="460" spans="1:31" x14ac:dyDescent="0.25">
      <c r="A460" s="12" t="s">
        <v>963</v>
      </c>
      <c r="B460" s="13">
        <v>46265.30091435185</v>
      </c>
      <c r="C460" s="12" t="s">
        <v>484</v>
      </c>
      <c r="D460" s="12" t="s">
        <v>964</v>
      </c>
      <c r="E460" s="26" t="str">
        <f t="shared" si="119"/>
        <v>C-40139</v>
      </c>
      <c r="F460" s="27" t="str">
        <f t="shared" si="120"/>
        <v>DARK</v>
      </c>
      <c r="G460" s="27">
        <f>+VLOOKUP(F460,[1]base!A:B,2,0)</f>
        <v>38</v>
      </c>
      <c r="H460" s="12">
        <v>2</v>
      </c>
      <c r="I460" s="12">
        <v>2</v>
      </c>
      <c r="J460" s="14"/>
      <c r="K460" s="14" t="s">
        <v>26</v>
      </c>
      <c r="L460" s="12" t="s">
        <v>969</v>
      </c>
      <c r="M460" s="12" t="s">
        <v>150</v>
      </c>
      <c r="N460" s="12">
        <v>2</v>
      </c>
      <c r="O460" s="12">
        <v>2</v>
      </c>
      <c r="P460" s="12">
        <v>0</v>
      </c>
      <c r="Q460" s="16">
        <v>0</v>
      </c>
      <c r="R460" s="16">
        <v>0</v>
      </c>
      <c r="S460" s="16"/>
      <c r="T460" s="28">
        <v>2</v>
      </c>
      <c r="U460" s="28"/>
      <c r="V460" s="29" t="e">
        <f>+VLOOKUP(E460,[1]base!D:K,8,0)</f>
        <v>#N/A</v>
      </c>
      <c r="W460" s="29" t="e">
        <f t="shared" si="121"/>
        <v>#N/A</v>
      </c>
      <c r="X460" s="29" t="e">
        <f t="shared" si="122"/>
        <v>#N/A</v>
      </c>
      <c r="Y460" s="29" t="e">
        <f>+VLOOKUP(E460,[1]base!D:E,2,0)</f>
        <v>#N/A</v>
      </c>
      <c r="Z460" s="29" t="e">
        <f t="shared" si="123"/>
        <v>#N/A</v>
      </c>
      <c r="AA460" s="29" t="e">
        <f t="shared" si="124"/>
        <v>#N/A</v>
      </c>
      <c r="AB460" s="29" t="e">
        <f>+VLOOKUP(E460,[1]base!M:N,2,0)</f>
        <v>#N/A</v>
      </c>
      <c r="AC460" s="29" t="e">
        <f>+VLOOKUP(E460,[1]base!M:Q,5,0)</f>
        <v>#N/A</v>
      </c>
      <c r="AD460" s="30" t="e">
        <f>+VLOOKUP(E460,[1]base!M:P,4,0)</f>
        <v>#N/A</v>
      </c>
      <c r="AE460" s="31" t="e">
        <f t="shared" si="125"/>
        <v>#N/A</v>
      </c>
    </row>
    <row r="461" spans="1:31" x14ac:dyDescent="0.25">
      <c r="A461" s="12" t="s">
        <v>1377</v>
      </c>
      <c r="B461" s="13">
        <v>46269.590555555558</v>
      </c>
      <c r="C461" s="12" t="s">
        <v>522</v>
      </c>
      <c r="D461" s="12" t="s">
        <v>1157</v>
      </c>
      <c r="E461" s="26" t="str">
        <f t="shared" si="119"/>
        <v>C-40150</v>
      </c>
      <c r="F461" s="27" t="str">
        <f t="shared" si="120"/>
        <v>DARK</v>
      </c>
      <c r="G461" s="27">
        <f>+VLOOKUP(F461,[1]base!A:B,2,0)</f>
        <v>38</v>
      </c>
      <c r="H461" s="12">
        <v>1</v>
      </c>
      <c r="I461" s="12">
        <v>1</v>
      </c>
      <c r="J461" s="14"/>
      <c r="K461" s="14" t="s">
        <v>26</v>
      </c>
      <c r="L461" s="12" t="s">
        <v>1396</v>
      </c>
      <c r="M461" s="12" t="s">
        <v>150</v>
      </c>
      <c r="N461" s="12">
        <v>1</v>
      </c>
      <c r="O461" s="12">
        <v>1</v>
      </c>
      <c r="P461" s="12">
        <v>0</v>
      </c>
      <c r="Q461" s="16">
        <v>0</v>
      </c>
      <c r="R461" s="16">
        <v>0</v>
      </c>
      <c r="S461" s="16"/>
      <c r="T461" s="28">
        <v>1</v>
      </c>
      <c r="U461" s="28"/>
      <c r="V461" s="29">
        <f>+VLOOKUP(E461,[1]base!D:K,8,0)</f>
        <v>2</v>
      </c>
      <c r="W461" s="29">
        <f t="shared" si="121"/>
        <v>2</v>
      </c>
      <c r="X461" s="29">
        <f t="shared" si="122"/>
        <v>0.104</v>
      </c>
      <c r="Y461" s="29">
        <f>+VLOOKUP(E461,[1]base!D:E,2,0)</f>
        <v>13</v>
      </c>
      <c r="Z461" s="29">
        <f t="shared" si="123"/>
        <v>1</v>
      </c>
      <c r="AA461" s="29">
        <f t="shared" si="124"/>
        <v>6.6666666666666693E-2</v>
      </c>
      <c r="AB461" s="29" t="e">
        <f>+VLOOKUP(E461,[1]base!M:N,2,0)</f>
        <v>#N/A</v>
      </c>
      <c r="AC461" s="29" t="e">
        <f>+VLOOKUP(E461,[1]base!M:Q,5,0)</f>
        <v>#N/A</v>
      </c>
      <c r="AD461" s="30" t="e">
        <f>+VLOOKUP(E461,[1]base!M:P,4,0)</f>
        <v>#N/A</v>
      </c>
      <c r="AE461" s="31" t="e">
        <f t="shared" si="125"/>
        <v>#N/A</v>
      </c>
    </row>
    <row r="462" spans="1:31" x14ac:dyDescent="0.25">
      <c r="A462" s="12" t="s">
        <v>1377</v>
      </c>
      <c r="B462" s="13">
        <v>46269.590555555558</v>
      </c>
      <c r="C462" s="12" t="s">
        <v>522</v>
      </c>
      <c r="D462" s="12" t="s">
        <v>1379</v>
      </c>
      <c r="E462" s="26" t="str">
        <f t="shared" si="119"/>
        <v>C-40154</v>
      </c>
      <c r="F462" s="27" t="str">
        <f t="shared" si="120"/>
        <v>DARK</v>
      </c>
      <c r="G462" s="27">
        <f>+VLOOKUP(F462,[1]base!A:B,2,0)</f>
        <v>38</v>
      </c>
      <c r="H462" s="12">
        <v>1</v>
      </c>
      <c r="I462" s="12">
        <v>1</v>
      </c>
      <c r="J462" s="14"/>
      <c r="K462" s="14" t="s">
        <v>26</v>
      </c>
      <c r="L462" s="12" t="s">
        <v>1391</v>
      </c>
      <c r="M462" s="12" t="s">
        <v>150</v>
      </c>
      <c r="N462" s="12">
        <v>1</v>
      </c>
      <c r="O462" s="12">
        <v>1</v>
      </c>
      <c r="P462" s="12">
        <v>0</v>
      </c>
      <c r="Q462" s="16">
        <v>0</v>
      </c>
      <c r="R462" s="16">
        <v>0</v>
      </c>
      <c r="S462" s="16"/>
      <c r="T462" s="28">
        <v>1</v>
      </c>
      <c r="U462" s="28"/>
      <c r="V462" s="29">
        <f>+VLOOKUP(E462,[1]base!D:K,8,0)</f>
        <v>2</v>
      </c>
      <c r="W462" s="29">
        <f t="shared" si="121"/>
        <v>2</v>
      </c>
      <c r="X462" s="29">
        <f t="shared" si="122"/>
        <v>0.104</v>
      </c>
      <c r="Y462" s="29">
        <f>+VLOOKUP(E462,[1]base!D:E,2,0)</f>
        <v>9</v>
      </c>
      <c r="Z462" s="29">
        <f t="shared" si="123"/>
        <v>1</v>
      </c>
      <c r="AA462" s="29">
        <f t="shared" si="124"/>
        <v>6.6666666666666693E-2</v>
      </c>
      <c r="AB462" s="29" t="e">
        <f>+VLOOKUP(E462,[1]base!M:N,2,0)</f>
        <v>#N/A</v>
      </c>
      <c r="AC462" s="29" t="e">
        <f>+VLOOKUP(E462,[1]base!M:Q,5,0)</f>
        <v>#N/A</v>
      </c>
      <c r="AD462" s="30" t="e">
        <f>+VLOOKUP(E462,[1]base!M:P,4,0)</f>
        <v>#N/A</v>
      </c>
      <c r="AE462" s="31" t="e">
        <f t="shared" si="125"/>
        <v>#N/A</v>
      </c>
    </row>
    <row r="463" spans="1:31" x14ac:dyDescent="0.25">
      <c r="A463" s="12" t="s">
        <v>1377</v>
      </c>
      <c r="B463" s="13">
        <v>46269.590555555558</v>
      </c>
      <c r="C463" s="12" t="s">
        <v>522</v>
      </c>
      <c r="D463" s="12" t="s">
        <v>1124</v>
      </c>
      <c r="E463" s="26" t="str">
        <f t="shared" si="119"/>
        <v>C-40406</v>
      </c>
      <c r="F463" s="27" t="str">
        <f t="shared" si="120"/>
        <v>DARK</v>
      </c>
      <c r="G463" s="27">
        <f>+VLOOKUP(F463,[1]base!A:B,2,0)</f>
        <v>38</v>
      </c>
      <c r="H463" s="12">
        <v>4</v>
      </c>
      <c r="I463" s="12">
        <v>4</v>
      </c>
      <c r="J463" s="14"/>
      <c r="K463" s="14" t="s">
        <v>26</v>
      </c>
      <c r="L463" s="12" t="s">
        <v>1384</v>
      </c>
      <c r="M463" s="12" t="s">
        <v>150</v>
      </c>
      <c r="N463" s="12">
        <v>4</v>
      </c>
      <c r="O463" s="12">
        <v>4</v>
      </c>
      <c r="P463" s="12">
        <v>0</v>
      </c>
      <c r="Q463" s="16">
        <v>0</v>
      </c>
      <c r="R463" s="16">
        <v>0</v>
      </c>
      <c r="S463" s="16"/>
      <c r="T463" s="28">
        <v>4</v>
      </c>
      <c r="U463" s="28"/>
      <c r="V463" s="29">
        <f>+VLOOKUP(E463,[1]base!D:K,8,0)</f>
        <v>2</v>
      </c>
      <c r="W463" s="29">
        <f t="shared" si="121"/>
        <v>8</v>
      </c>
      <c r="X463" s="29">
        <f t="shared" si="122"/>
        <v>0.41599999999999998</v>
      </c>
      <c r="Y463" s="29">
        <f>+VLOOKUP(E463,[1]base!D:E,2,0)</f>
        <v>13</v>
      </c>
      <c r="Z463" s="29">
        <f t="shared" si="123"/>
        <v>1</v>
      </c>
      <c r="AA463" s="29">
        <f t="shared" si="124"/>
        <v>6.6666666666666693E-2</v>
      </c>
      <c r="AB463" s="29" t="e">
        <f>+VLOOKUP(E463,[1]base!M:N,2,0)</f>
        <v>#N/A</v>
      </c>
      <c r="AC463" s="29" t="e">
        <f>+VLOOKUP(E463,[1]base!M:Q,5,0)</f>
        <v>#N/A</v>
      </c>
      <c r="AD463" s="30" t="e">
        <f>+VLOOKUP(E463,[1]base!M:P,4,0)</f>
        <v>#N/A</v>
      </c>
      <c r="AE463" s="31" t="e">
        <f t="shared" si="125"/>
        <v>#N/A</v>
      </c>
    </row>
    <row r="464" spans="1:31" x14ac:dyDescent="0.25">
      <c r="A464" s="12" t="s">
        <v>1377</v>
      </c>
      <c r="B464" s="13">
        <v>46269.590555555558</v>
      </c>
      <c r="C464" s="12" t="s">
        <v>522</v>
      </c>
      <c r="D464" s="12" t="s">
        <v>1155</v>
      </c>
      <c r="E464" s="26" t="str">
        <f t="shared" si="119"/>
        <v>C-67106</v>
      </c>
      <c r="F464" s="27" t="str">
        <f t="shared" si="120"/>
        <v>DARK</v>
      </c>
      <c r="G464" s="27">
        <f>+VLOOKUP(F464,[1]base!A:B,2,0)</f>
        <v>38</v>
      </c>
      <c r="H464" s="12">
        <v>4</v>
      </c>
      <c r="I464" s="12">
        <v>4</v>
      </c>
      <c r="J464" s="14"/>
      <c r="K464" s="14" t="s">
        <v>26</v>
      </c>
      <c r="L464" s="12" t="s">
        <v>1387</v>
      </c>
      <c r="M464" s="12" t="s">
        <v>150</v>
      </c>
      <c r="N464" s="12">
        <v>4</v>
      </c>
      <c r="O464" s="12">
        <v>4</v>
      </c>
      <c r="P464" s="12">
        <v>0</v>
      </c>
      <c r="Q464" s="16">
        <v>0</v>
      </c>
      <c r="R464" s="16">
        <v>0</v>
      </c>
      <c r="S464" s="16"/>
      <c r="T464" s="28">
        <v>4</v>
      </c>
      <c r="U464" s="28"/>
      <c r="V464" s="29">
        <f>+VLOOKUP(E464,[1]base!D:K,8,0)</f>
        <v>3</v>
      </c>
      <c r="W464" s="29">
        <f t="shared" si="121"/>
        <v>12</v>
      </c>
      <c r="X464" s="29">
        <f t="shared" si="122"/>
        <v>0.624</v>
      </c>
      <c r="Y464" s="29">
        <f>+VLOOKUP(E464,[1]base!D:E,2,0)</f>
        <v>15</v>
      </c>
      <c r="Z464" s="29">
        <f t="shared" si="123"/>
        <v>1</v>
      </c>
      <c r="AA464" s="29">
        <f t="shared" si="124"/>
        <v>6.6666666666666693E-2</v>
      </c>
      <c r="AB464" s="29" t="e">
        <f>+VLOOKUP(E464,[1]base!M:N,2,0)</f>
        <v>#N/A</v>
      </c>
      <c r="AC464" s="29" t="e">
        <f>+VLOOKUP(E464,[1]base!M:Q,5,0)</f>
        <v>#N/A</v>
      </c>
      <c r="AD464" s="30" t="e">
        <f>+VLOOKUP(E464,[1]base!M:P,4,0)</f>
        <v>#N/A</v>
      </c>
      <c r="AE464" s="31" t="e">
        <f t="shared" si="125"/>
        <v>#N/A</v>
      </c>
    </row>
    <row r="465" spans="1:31" x14ac:dyDescent="0.25">
      <c r="A465" s="12" t="s">
        <v>1377</v>
      </c>
      <c r="B465" s="13">
        <v>46269.590555555558</v>
      </c>
      <c r="C465" s="12" t="s">
        <v>522</v>
      </c>
      <c r="D465" s="12" t="s">
        <v>1155</v>
      </c>
      <c r="E465" s="26" t="str">
        <f t="shared" si="119"/>
        <v>C-67106</v>
      </c>
      <c r="F465" s="27" t="str">
        <f t="shared" si="120"/>
        <v>DARK</v>
      </c>
      <c r="G465" s="27">
        <f>+VLOOKUP(F465,[1]base!A:B,2,0)</f>
        <v>38</v>
      </c>
      <c r="H465" s="12">
        <v>2</v>
      </c>
      <c r="I465" s="12">
        <v>2</v>
      </c>
      <c r="J465" s="14"/>
      <c r="K465" s="14" t="s">
        <v>26</v>
      </c>
      <c r="L465" s="12" t="s">
        <v>1388</v>
      </c>
      <c r="M465" s="12" t="s">
        <v>150</v>
      </c>
      <c r="N465" s="12">
        <v>2</v>
      </c>
      <c r="O465" s="12">
        <v>2</v>
      </c>
      <c r="P465" s="12">
        <v>0</v>
      </c>
      <c r="Q465" s="16">
        <v>0</v>
      </c>
      <c r="R465" s="16">
        <v>0</v>
      </c>
      <c r="S465" s="16"/>
      <c r="T465" s="28">
        <v>2</v>
      </c>
      <c r="U465" s="28"/>
      <c r="V465" s="29">
        <f>+VLOOKUP(E465,[1]base!D:K,8,0)</f>
        <v>3</v>
      </c>
      <c r="W465" s="29">
        <f t="shared" si="121"/>
        <v>6</v>
      </c>
      <c r="X465" s="29">
        <f t="shared" si="122"/>
        <v>0.312</v>
      </c>
      <c r="Y465" s="29">
        <f>+VLOOKUP(E465,[1]base!D:E,2,0)</f>
        <v>15</v>
      </c>
      <c r="Z465" s="29">
        <f t="shared" si="123"/>
        <v>1</v>
      </c>
      <c r="AA465" s="29">
        <f t="shared" si="124"/>
        <v>6.6666666666666693E-2</v>
      </c>
      <c r="AB465" s="29" t="e">
        <f>+VLOOKUP(E465,[1]base!M:N,2,0)</f>
        <v>#N/A</v>
      </c>
      <c r="AC465" s="29" t="e">
        <f>+VLOOKUP(E465,[1]base!M:Q,5,0)</f>
        <v>#N/A</v>
      </c>
      <c r="AD465" s="30" t="e">
        <f>+VLOOKUP(E465,[1]base!M:P,4,0)</f>
        <v>#N/A</v>
      </c>
      <c r="AE465" s="31" t="e">
        <f t="shared" si="125"/>
        <v>#N/A</v>
      </c>
    </row>
    <row r="466" spans="1:31" x14ac:dyDescent="0.25">
      <c r="A466" s="12" t="s">
        <v>1377</v>
      </c>
      <c r="B466" s="13">
        <v>46269.590555555558</v>
      </c>
      <c r="C466" s="12" t="s">
        <v>522</v>
      </c>
      <c r="D466" s="12" t="s">
        <v>1156</v>
      </c>
      <c r="E466" s="26" t="str">
        <f t="shared" si="119"/>
        <v>C-67107</v>
      </c>
      <c r="F466" s="27" t="str">
        <f t="shared" si="120"/>
        <v>DARK</v>
      </c>
      <c r="G466" s="27">
        <f>+VLOOKUP(F466,[1]base!A:B,2,0)</f>
        <v>38</v>
      </c>
      <c r="H466" s="12">
        <v>1</v>
      </c>
      <c r="I466" s="12">
        <v>1</v>
      </c>
      <c r="J466" s="14"/>
      <c r="K466" s="14" t="s">
        <v>26</v>
      </c>
      <c r="L466" s="12" t="s">
        <v>1389</v>
      </c>
      <c r="M466" s="12" t="s">
        <v>150</v>
      </c>
      <c r="N466" s="12">
        <v>1</v>
      </c>
      <c r="O466" s="12">
        <v>1</v>
      </c>
      <c r="P466" s="12">
        <v>0</v>
      </c>
      <c r="Q466" s="16">
        <v>0</v>
      </c>
      <c r="R466" s="16">
        <v>0</v>
      </c>
      <c r="S466" s="16"/>
      <c r="T466" s="28">
        <v>1</v>
      </c>
      <c r="U466" s="28"/>
      <c r="V466" s="29">
        <f>+VLOOKUP(E466,[1]base!D:K,8,0)</f>
        <v>2</v>
      </c>
      <c r="W466" s="29">
        <f t="shared" si="121"/>
        <v>2</v>
      </c>
      <c r="X466" s="29">
        <f t="shared" si="122"/>
        <v>0.104</v>
      </c>
      <c r="Y466" s="29">
        <f>+VLOOKUP(E466,[1]base!D:E,2,0)</f>
        <v>20</v>
      </c>
      <c r="Z466" s="29">
        <f t="shared" si="123"/>
        <v>1</v>
      </c>
      <c r="AA466" s="29">
        <f t="shared" si="124"/>
        <v>6.6666666666666693E-2</v>
      </c>
      <c r="AB466" s="29" t="e">
        <f>+VLOOKUP(E466,[1]base!M:N,2,0)</f>
        <v>#N/A</v>
      </c>
      <c r="AC466" s="29" t="e">
        <f>+VLOOKUP(E466,[1]base!M:Q,5,0)</f>
        <v>#N/A</v>
      </c>
      <c r="AD466" s="30" t="e">
        <f>+VLOOKUP(E466,[1]base!M:P,4,0)</f>
        <v>#N/A</v>
      </c>
      <c r="AE466" s="31" t="e">
        <f t="shared" si="125"/>
        <v>#N/A</v>
      </c>
    </row>
    <row r="467" spans="1:31" x14ac:dyDescent="0.25">
      <c r="A467" s="12" t="s">
        <v>1377</v>
      </c>
      <c r="B467" s="13">
        <v>46269.590555555558</v>
      </c>
      <c r="C467" s="12" t="s">
        <v>522</v>
      </c>
      <c r="D467" s="12" t="s">
        <v>1156</v>
      </c>
      <c r="E467" s="26" t="str">
        <f t="shared" si="119"/>
        <v>C-67107</v>
      </c>
      <c r="F467" s="27" t="str">
        <f t="shared" si="120"/>
        <v>DARK</v>
      </c>
      <c r="G467" s="27">
        <f>+VLOOKUP(F467,[1]base!A:B,2,0)</f>
        <v>38</v>
      </c>
      <c r="H467" s="12">
        <v>3</v>
      </c>
      <c r="I467" s="12">
        <v>3</v>
      </c>
      <c r="J467" s="14"/>
      <c r="K467" s="14" t="s">
        <v>26</v>
      </c>
      <c r="L467" s="12" t="s">
        <v>1390</v>
      </c>
      <c r="M467" s="12" t="s">
        <v>150</v>
      </c>
      <c r="N467" s="12">
        <v>3</v>
      </c>
      <c r="O467" s="12">
        <v>3</v>
      </c>
      <c r="P467" s="12">
        <v>0</v>
      </c>
      <c r="Q467" s="16">
        <v>0</v>
      </c>
      <c r="R467" s="16">
        <v>0</v>
      </c>
      <c r="S467" s="16"/>
      <c r="T467" s="28">
        <v>3</v>
      </c>
      <c r="U467" s="28"/>
      <c r="V467" s="29">
        <f>+VLOOKUP(E467,[1]base!D:K,8,0)</f>
        <v>2</v>
      </c>
      <c r="W467" s="29">
        <f t="shared" si="121"/>
        <v>6</v>
      </c>
      <c r="X467" s="29">
        <f t="shared" si="122"/>
        <v>0.312</v>
      </c>
      <c r="Y467" s="29">
        <f>+VLOOKUP(E467,[1]base!D:E,2,0)</f>
        <v>20</v>
      </c>
      <c r="Z467" s="29">
        <f t="shared" si="123"/>
        <v>1</v>
      </c>
      <c r="AA467" s="29">
        <f t="shared" si="124"/>
        <v>6.6666666666666693E-2</v>
      </c>
      <c r="AB467" s="29" t="e">
        <f>+VLOOKUP(E467,[1]base!M:N,2,0)</f>
        <v>#N/A</v>
      </c>
      <c r="AC467" s="29" t="e">
        <f>+VLOOKUP(E467,[1]base!M:Q,5,0)</f>
        <v>#N/A</v>
      </c>
      <c r="AD467" s="30" t="e">
        <f>+VLOOKUP(E467,[1]base!M:P,4,0)</f>
        <v>#N/A</v>
      </c>
      <c r="AE467" s="31" t="e">
        <f t="shared" si="125"/>
        <v>#N/A</v>
      </c>
    </row>
    <row r="468" spans="1:31" x14ac:dyDescent="0.25">
      <c r="A468" s="12" t="s">
        <v>1377</v>
      </c>
      <c r="B468" s="13">
        <v>46269.590555555558</v>
      </c>
      <c r="C468" s="12" t="s">
        <v>522</v>
      </c>
      <c r="D468" s="12" t="s">
        <v>1154</v>
      </c>
      <c r="E468" s="26" t="str">
        <f t="shared" si="119"/>
        <v>C-67108</v>
      </c>
      <c r="F468" s="27" t="str">
        <f t="shared" si="120"/>
        <v>DARK</v>
      </c>
      <c r="G468" s="27">
        <f>+VLOOKUP(F468,[1]base!A:B,2,0)</f>
        <v>38</v>
      </c>
      <c r="H468" s="12">
        <v>2</v>
      </c>
      <c r="I468" s="12">
        <v>2</v>
      </c>
      <c r="J468" s="14"/>
      <c r="K468" s="14" t="s">
        <v>26</v>
      </c>
      <c r="L468" s="12" t="s">
        <v>1386</v>
      </c>
      <c r="M468" s="12" t="s">
        <v>150</v>
      </c>
      <c r="N468" s="12">
        <v>2</v>
      </c>
      <c r="O468" s="12">
        <v>2</v>
      </c>
      <c r="P468" s="12">
        <v>0</v>
      </c>
      <c r="Q468" s="16">
        <v>0</v>
      </c>
      <c r="R468" s="16">
        <v>0</v>
      </c>
      <c r="S468" s="16"/>
      <c r="T468" s="28">
        <v>2</v>
      </c>
      <c r="U468" s="28"/>
      <c r="V468" s="29">
        <f>+VLOOKUP(E468,[1]base!D:K,8,0)</f>
        <v>2</v>
      </c>
      <c r="W468" s="29">
        <f t="shared" si="121"/>
        <v>4</v>
      </c>
      <c r="X468" s="29">
        <f t="shared" si="122"/>
        <v>0.20799999999999999</v>
      </c>
      <c r="Y468" s="29">
        <f>+VLOOKUP(E468,[1]base!D:E,2,0)</f>
        <v>20</v>
      </c>
      <c r="Z468" s="29">
        <f t="shared" si="123"/>
        <v>1</v>
      </c>
      <c r="AA468" s="29">
        <f t="shared" si="124"/>
        <v>6.6666666666666693E-2</v>
      </c>
      <c r="AB468" s="29" t="e">
        <f>+VLOOKUP(E468,[1]base!M:N,2,0)</f>
        <v>#N/A</v>
      </c>
      <c r="AC468" s="29" t="e">
        <f>+VLOOKUP(E468,[1]base!M:Q,5,0)</f>
        <v>#N/A</v>
      </c>
      <c r="AD468" s="30" t="e">
        <f>+VLOOKUP(E468,[1]base!M:P,4,0)</f>
        <v>#N/A</v>
      </c>
      <c r="AE468" s="31" t="e">
        <f t="shared" si="125"/>
        <v>#N/A</v>
      </c>
    </row>
    <row r="469" spans="1:31" x14ac:dyDescent="0.25">
      <c r="A469" s="12" t="s">
        <v>963</v>
      </c>
      <c r="B469" s="13">
        <v>46265.30091435185</v>
      </c>
      <c r="C469" s="12" t="s">
        <v>484</v>
      </c>
      <c r="D469" s="12" t="s">
        <v>965</v>
      </c>
      <c r="E469" s="26" t="str">
        <f t="shared" si="119"/>
        <v>C-AL11026</v>
      </c>
      <c r="F469" s="27" t="str">
        <f t="shared" si="120"/>
        <v>DARK</v>
      </c>
      <c r="G469" s="27">
        <f>+VLOOKUP(F469,[1]base!A:B,2,0)</f>
        <v>38</v>
      </c>
      <c r="H469" s="12">
        <v>2</v>
      </c>
      <c r="I469" s="12">
        <v>2</v>
      </c>
      <c r="J469" s="14"/>
      <c r="K469" s="14" t="s">
        <v>26</v>
      </c>
      <c r="L469" s="12" t="s">
        <v>970</v>
      </c>
      <c r="M469" s="12" t="s">
        <v>150</v>
      </c>
      <c r="N469" s="12">
        <v>2</v>
      </c>
      <c r="O469" s="12">
        <v>2</v>
      </c>
      <c r="P469" s="12">
        <v>0</v>
      </c>
      <c r="Q469" s="16">
        <v>0</v>
      </c>
      <c r="R469" s="16">
        <v>0</v>
      </c>
      <c r="S469" s="16"/>
      <c r="T469" s="28">
        <v>2</v>
      </c>
      <c r="U469" s="28"/>
      <c r="V469" s="29" t="e">
        <f>+VLOOKUP(E469,[1]base!D:K,8,0)</f>
        <v>#N/A</v>
      </c>
      <c r="W469" s="29" t="e">
        <f t="shared" si="121"/>
        <v>#N/A</v>
      </c>
      <c r="X469" s="29" t="e">
        <f t="shared" si="122"/>
        <v>#N/A</v>
      </c>
      <c r="Y469" s="29" t="e">
        <f>+VLOOKUP(E469,[1]base!D:E,2,0)</f>
        <v>#N/A</v>
      </c>
      <c r="Z469" s="29" t="e">
        <f t="shared" si="123"/>
        <v>#N/A</v>
      </c>
      <c r="AA469" s="29" t="e">
        <f t="shared" si="124"/>
        <v>#N/A</v>
      </c>
      <c r="AB469" s="29" t="e">
        <f>+VLOOKUP(E469,[1]base!M:N,2,0)</f>
        <v>#N/A</v>
      </c>
      <c r="AC469" s="29" t="e">
        <f>+VLOOKUP(E469,[1]base!M:Q,5,0)</f>
        <v>#N/A</v>
      </c>
      <c r="AD469" s="30" t="e">
        <f>+VLOOKUP(E469,[1]base!M:P,4,0)</f>
        <v>#N/A</v>
      </c>
      <c r="AE469" s="31" t="e">
        <f t="shared" si="125"/>
        <v>#N/A</v>
      </c>
    </row>
    <row r="470" spans="1:31" x14ac:dyDescent="0.25">
      <c r="A470" s="12" t="s">
        <v>1377</v>
      </c>
      <c r="B470" s="13">
        <v>46269.590555555558</v>
      </c>
      <c r="C470" s="12" t="s">
        <v>522</v>
      </c>
      <c r="D470" s="12" t="s">
        <v>1382</v>
      </c>
      <c r="E470" s="26" t="str">
        <f t="shared" si="119"/>
        <v>C-CO103</v>
      </c>
      <c r="F470" s="27" t="str">
        <f t="shared" si="120"/>
        <v>DARK</v>
      </c>
      <c r="G470" s="27">
        <f>+VLOOKUP(F470,[1]base!A:B,2,0)</f>
        <v>38</v>
      </c>
      <c r="H470" s="12">
        <v>1</v>
      </c>
      <c r="I470" s="12">
        <v>1</v>
      </c>
      <c r="J470" s="14"/>
      <c r="K470" s="14" t="s">
        <v>26</v>
      </c>
      <c r="L470" s="12" t="s">
        <v>1394</v>
      </c>
      <c r="M470" s="12" t="s">
        <v>150</v>
      </c>
      <c r="N470" s="12">
        <v>1</v>
      </c>
      <c r="O470" s="12">
        <v>1</v>
      </c>
      <c r="P470" s="12">
        <v>0</v>
      </c>
      <c r="Q470" s="16">
        <v>0</v>
      </c>
      <c r="R470" s="16">
        <v>0</v>
      </c>
      <c r="S470" s="16"/>
      <c r="T470" s="28">
        <v>1</v>
      </c>
      <c r="U470" s="28"/>
      <c r="V470" s="29" t="e">
        <f>+VLOOKUP(E470,[1]base!D:K,8,0)</f>
        <v>#N/A</v>
      </c>
      <c r="W470" s="29" t="e">
        <f t="shared" si="121"/>
        <v>#N/A</v>
      </c>
      <c r="X470" s="29" t="e">
        <f t="shared" si="122"/>
        <v>#N/A</v>
      </c>
      <c r="Y470" s="29" t="e">
        <f>+VLOOKUP(E470,[1]base!D:E,2,0)</f>
        <v>#N/A</v>
      </c>
      <c r="Z470" s="29" t="e">
        <f t="shared" si="123"/>
        <v>#N/A</v>
      </c>
      <c r="AA470" s="29" t="e">
        <f t="shared" si="124"/>
        <v>#N/A</v>
      </c>
      <c r="AB470" s="29" t="e">
        <f>+VLOOKUP(E470,[1]base!M:N,2,0)</f>
        <v>#N/A</v>
      </c>
      <c r="AC470" s="29" t="e">
        <f>+VLOOKUP(E470,[1]base!M:Q,5,0)</f>
        <v>#N/A</v>
      </c>
      <c r="AD470" s="30" t="e">
        <f>+VLOOKUP(E470,[1]base!M:P,4,0)</f>
        <v>#N/A</v>
      </c>
      <c r="AE470" s="31" t="e">
        <f t="shared" si="125"/>
        <v>#N/A</v>
      </c>
    </row>
    <row r="471" spans="1:31" x14ac:dyDescent="0.25">
      <c r="A471" s="12" t="s">
        <v>1377</v>
      </c>
      <c r="B471" s="13">
        <v>46269.590555555558</v>
      </c>
      <c r="C471" s="12" t="s">
        <v>522</v>
      </c>
      <c r="D471" s="12" t="s">
        <v>1380</v>
      </c>
      <c r="E471" s="26" t="str">
        <f t="shared" si="119"/>
        <v>C-CO110</v>
      </c>
      <c r="F471" s="27" t="str">
        <f t="shared" si="120"/>
        <v>DARK</v>
      </c>
      <c r="G471" s="27">
        <f>+VLOOKUP(F471,[1]base!A:B,2,0)</f>
        <v>38</v>
      </c>
      <c r="H471" s="12">
        <v>1</v>
      </c>
      <c r="I471" s="12">
        <v>1</v>
      </c>
      <c r="J471" s="14"/>
      <c r="K471" s="14" t="s">
        <v>26</v>
      </c>
      <c r="L471" s="12" t="s">
        <v>1392</v>
      </c>
      <c r="M471" s="12" t="s">
        <v>150</v>
      </c>
      <c r="N471" s="12">
        <v>1</v>
      </c>
      <c r="O471" s="12">
        <v>1</v>
      </c>
      <c r="P471" s="12">
        <v>0</v>
      </c>
      <c r="Q471" s="16">
        <v>0</v>
      </c>
      <c r="R471" s="16">
        <v>0</v>
      </c>
      <c r="S471" s="16"/>
      <c r="T471" s="28">
        <v>1</v>
      </c>
      <c r="U471" s="28"/>
      <c r="V471" s="29" t="e">
        <f>+VLOOKUP(E471,[1]base!D:K,8,0)</f>
        <v>#N/A</v>
      </c>
      <c r="W471" s="29" t="e">
        <f t="shared" si="121"/>
        <v>#N/A</v>
      </c>
      <c r="X471" s="29" t="e">
        <f t="shared" si="122"/>
        <v>#N/A</v>
      </c>
      <c r="Y471" s="29" t="e">
        <f>+VLOOKUP(E471,[1]base!D:E,2,0)</f>
        <v>#N/A</v>
      </c>
      <c r="Z471" s="29" t="e">
        <f t="shared" si="123"/>
        <v>#N/A</v>
      </c>
      <c r="AA471" s="29" t="e">
        <f t="shared" si="124"/>
        <v>#N/A</v>
      </c>
      <c r="AB471" s="29" t="e">
        <f>+VLOOKUP(E471,[1]base!M:N,2,0)</f>
        <v>#N/A</v>
      </c>
      <c r="AC471" s="29" t="e">
        <f>+VLOOKUP(E471,[1]base!M:Q,5,0)</f>
        <v>#N/A</v>
      </c>
      <c r="AD471" s="30" t="e">
        <f>+VLOOKUP(E471,[1]base!M:P,4,0)</f>
        <v>#N/A</v>
      </c>
      <c r="AE471" s="31" t="e">
        <f t="shared" si="125"/>
        <v>#N/A</v>
      </c>
    </row>
    <row r="472" spans="1:31" x14ac:dyDescent="0.25">
      <c r="A472" s="12" t="s">
        <v>1377</v>
      </c>
      <c r="B472" s="13">
        <v>46269.590555555558</v>
      </c>
      <c r="C472" s="12" t="s">
        <v>522</v>
      </c>
      <c r="D472" s="12" t="s">
        <v>1383</v>
      </c>
      <c r="E472" s="26" t="str">
        <f t="shared" si="119"/>
        <v>C-FR100</v>
      </c>
      <c r="F472" s="27" t="str">
        <f t="shared" si="120"/>
        <v>DARK</v>
      </c>
      <c r="G472" s="27">
        <f>+VLOOKUP(F472,[1]base!A:B,2,0)</f>
        <v>38</v>
      </c>
      <c r="H472" s="12">
        <v>1</v>
      </c>
      <c r="I472" s="12">
        <v>1</v>
      </c>
      <c r="J472" s="14"/>
      <c r="K472" s="14" t="s">
        <v>26</v>
      </c>
      <c r="L472" s="12" t="s">
        <v>1395</v>
      </c>
      <c r="M472" s="12" t="s">
        <v>150</v>
      </c>
      <c r="N472" s="12">
        <v>1</v>
      </c>
      <c r="O472" s="12">
        <v>1</v>
      </c>
      <c r="P472" s="12">
        <v>0</v>
      </c>
      <c r="Q472" s="16">
        <v>0</v>
      </c>
      <c r="R472" s="16">
        <v>0</v>
      </c>
      <c r="S472" s="16"/>
      <c r="T472" s="28">
        <v>1</v>
      </c>
      <c r="U472" s="28"/>
      <c r="V472" s="29" t="e">
        <f>+VLOOKUP(E472,[1]base!D:K,8,0)</f>
        <v>#N/A</v>
      </c>
      <c r="W472" s="29" t="e">
        <f t="shared" si="121"/>
        <v>#N/A</v>
      </c>
      <c r="X472" s="29" t="e">
        <f t="shared" si="122"/>
        <v>#N/A</v>
      </c>
      <c r="Y472" s="29" t="e">
        <f>+VLOOKUP(E472,[1]base!D:E,2,0)</f>
        <v>#N/A</v>
      </c>
      <c r="Z472" s="29" t="e">
        <f t="shared" si="123"/>
        <v>#N/A</v>
      </c>
      <c r="AA472" s="29" t="e">
        <f t="shared" si="124"/>
        <v>#N/A</v>
      </c>
      <c r="AB472" s="29" t="e">
        <f>+VLOOKUP(E472,[1]base!M:N,2,0)</f>
        <v>#N/A</v>
      </c>
      <c r="AC472" s="29" t="e">
        <f>+VLOOKUP(E472,[1]base!M:Q,5,0)</f>
        <v>#N/A</v>
      </c>
      <c r="AD472" s="30" t="e">
        <f>+VLOOKUP(E472,[1]base!M:P,4,0)</f>
        <v>#N/A</v>
      </c>
      <c r="AE472" s="31" t="e">
        <f t="shared" si="125"/>
        <v>#N/A</v>
      </c>
    </row>
    <row r="473" spans="1:31" x14ac:dyDescent="0.25">
      <c r="A473" s="12" t="s">
        <v>1377</v>
      </c>
      <c r="B473" s="13">
        <v>46269.590555555558</v>
      </c>
      <c r="C473" s="12" t="s">
        <v>522</v>
      </c>
      <c r="D473" s="12" t="s">
        <v>1381</v>
      </c>
      <c r="E473" s="26" t="str">
        <f t="shared" si="119"/>
        <v>C-FR112</v>
      </c>
      <c r="F473" s="27" t="str">
        <f t="shared" si="120"/>
        <v>DARK</v>
      </c>
      <c r="G473" s="27">
        <f>+VLOOKUP(F473,[1]base!A:B,2,0)</f>
        <v>38</v>
      </c>
      <c r="H473" s="12">
        <v>3</v>
      </c>
      <c r="I473" s="12">
        <v>3</v>
      </c>
      <c r="J473" s="14"/>
      <c r="K473" s="14" t="s">
        <v>26</v>
      </c>
      <c r="L473" s="12" t="s">
        <v>1393</v>
      </c>
      <c r="M473" s="12" t="s">
        <v>150</v>
      </c>
      <c r="N473" s="12">
        <v>3</v>
      </c>
      <c r="O473" s="12">
        <v>3</v>
      </c>
      <c r="P473" s="12">
        <v>0</v>
      </c>
      <c r="Q473" s="16">
        <v>0</v>
      </c>
      <c r="R473" s="16">
        <v>0</v>
      </c>
      <c r="S473" s="16"/>
      <c r="T473" s="28">
        <v>3</v>
      </c>
      <c r="U473" s="28"/>
      <c r="V473" s="29" t="e">
        <f>+VLOOKUP(E473,[1]base!D:K,8,0)</f>
        <v>#N/A</v>
      </c>
      <c r="W473" s="29" t="e">
        <f t="shared" si="121"/>
        <v>#N/A</v>
      </c>
      <c r="X473" s="29" t="e">
        <f t="shared" si="122"/>
        <v>#N/A</v>
      </c>
      <c r="Y473" s="29" t="e">
        <f>+VLOOKUP(E473,[1]base!D:E,2,0)</f>
        <v>#N/A</v>
      </c>
      <c r="Z473" s="29" t="e">
        <f t="shared" si="123"/>
        <v>#N/A</v>
      </c>
      <c r="AA473" s="29" t="e">
        <f t="shared" si="124"/>
        <v>#N/A</v>
      </c>
      <c r="AB473" s="29" t="e">
        <f>+VLOOKUP(E473,[1]base!M:N,2,0)</f>
        <v>#N/A</v>
      </c>
      <c r="AC473" s="29" t="e">
        <f>+VLOOKUP(E473,[1]base!M:Q,5,0)</f>
        <v>#N/A</v>
      </c>
      <c r="AD473" s="30" t="e">
        <f>+VLOOKUP(E473,[1]base!M:P,4,0)</f>
        <v>#N/A</v>
      </c>
      <c r="AE473" s="31" t="e">
        <f t="shared" si="125"/>
        <v>#N/A</v>
      </c>
    </row>
    <row r="474" spans="1:31" x14ac:dyDescent="0.25">
      <c r="A474" s="12" t="s">
        <v>667</v>
      </c>
      <c r="B474" s="13">
        <v>46252.518969907411</v>
      </c>
      <c r="C474" s="12" t="s">
        <v>522</v>
      </c>
      <c r="D474" s="12" t="s">
        <v>669</v>
      </c>
      <c r="E474" s="26" t="str">
        <f t="shared" si="119"/>
        <v>CO103</v>
      </c>
      <c r="F474" s="27" t="str">
        <f t="shared" si="120"/>
        <v>DARK</v>
      </c>
      <c r="G474" s="27">
        <f>+VLOOKUP(F474,[1]base!A:B,2,0)</f>
        <v>38</v>
      </c>
      <c r="H474" s="12">
        <v>20</v>
      </c>
      <c r="I474" s="12">
        <v>20</v>
      </c>
      <c r="J474" s="14"/>
      <c r="K474" s="14" t="s">
        <v>61</v>
      </c>
      <c r="L474" s="12" t="s">
        <v>673</v>
      </c>
      <c r="M474" s="12" t="s">
        <v>150</v>
      </c>
      <c r="N474" s="12">
        <v>20</v>
      </c>
      <c r="O474" s="12">
        <v>20</v>
      </c>
      <c r="P474" s="12">
        <v>0</v>
      </c>
      <c r="Q474" s="16">
        <v>60</v>
      </c>
      <c r="R474" s="16">
        <v>0</v>
      </c>
      <c r="S474" s="16"/>
      <c r="T474" s="28">
        <v>20</v>
      </c>
      <c r="U474" s="28"/>
      <c r="V474" s="29">
        <f>+VLOOKUP(E474,[1]base!D:K,8,0)</f>
        <v>7.293000000000001</v>
      </c>
      <c r="W474" s="29">
        <f t="shared" si="121"/>
        <v>145.86000000000001</v>
      </c>
      <c r="X474" s="29">
        <f t="shared" si="122"/>
        <v>7.5847200000000008</v>
      </c>
      <c r="Y474" s="29">
        <f>+VLOOKUP(E474,[1]base!D:E,2,0)</f>
        <v>12</v>
      </c>
      <c r="Z474" s="29">
        <f t="shared" si="123"/>
        <v>2</v>
      </c>
      <c r="AA474" s="29">
        <f t="shared" si="124"/>
        <v>0.13333333333333339</v>
      </c>
      <c r="AB474" s="29">
        <f>+VLOOKUP(E474,[1]base!M:N,2,0)</f>
        <v>949</v>
      </c>
      <c r="AC474" s="29">
        <f>+VLOOKUP(E474,[1]base!M:Q,5,0)</f>
        <v>593.63636363636363</v>
      </c>
      <c r="AD474" s="30">
        <f>+VLOOKUP(E474,[1]base!M:P,4,0)</f>
        <v>9.962049335863378E-2</v>
      </c>
      <c r="AE474" s="31">
        <f t="shared" si="125"/>
        <v>190.16015180265654</v>
      </c>
    </row>
    <row r="475" spans="1:31" x14ac:dyDescent="0.25">
      <c r="A475" s="12" t="s">
        <v>1123</v>
      </c>
      <c r="B475" s="13">
        <v>46267.314710648148</v>
      </c>
      <c r="C475" s="12" t="s">
        <v>24</v>
      </c>
      <c r="D475" s="12" t="s">
        <v>669</v>
      </c>
      <c r="E475" s="26" t="str">
        <f t="shared" si="119"/>
        <v>CO103</v>
      </c>
      <c r="F475" s="27" t="str">
        <f t="shared" si="120"/>
        <v>DARK</v>
      </c>
      <c r="G475" s="27">
        <f>+VLOOKUP(F475,[1]base!A:B,2,0)</f>
        <v>38</v>
      </c>
      <c r="H475" s="12">
        <v>4</v>
      </c>
      <c r="I475" s="12">
        <v>4</v>
      </c>
      <c r="J475" s="14"/>
      <c r="K475" s="14" t="s">
        <v>61</v>
      </c>
      <c r="L475" s="12" t="s">
        <v>1129</v>
      </c>
      <c r="M475" s="12" t="s">
        <v>150</v>
      </c>
      <c r="N475" s="12">
        <v>4</v>
      </c>
      <c r="O475" s="12">
        <v>4</v>
      </c>
      <c r="P475" s="12">
        <v>0</v>
      </c>
      <c r="Q475" s="16">
        <v>4</v>
      </c>
      <c r="R475" s="16">
        <v>0</v>
      </c>
      <c r="S475" s="16"/>
      <c r="T475" s="28">
        <v>4</v>
      </c>
      <c r="U475" s="28"/>
      <c r="V475" s="29">
        <f>+VLOOKUP(E475,[1]base!D:K,8,0)</f>
        <v>7.293000000000001</v>
      </c>
      <c r="W475" s="29">
        <f t="shared" si="121"/>
        <v>29.172000000000004</v>
      </c>
      <c r="X475" s="29">
        <f t="shared" si="122"/>
        <v>1.5169440000000001</v>
      </c>
      <c r="Y475" s="29">
        <f>+VLOOKUP(E475,[1]base!D:E,2,0)</f>
        <v>12</v>
      </c>
      <c r="Z475" s="29">
        <f t="shared" si="123"/>
        <v>1</v>
      </c>
      <c r="AA475" s="29">
        <f t="shared" si="124"/>
        <v>6.6666666666666693E-2</v>
      </c>
      <c r="AB475" s="29">
        <f>+VLOOKUP(E475,[1]base!M:N,2,0)</f>
        <v>949</v>
      </c>
      <c r="AC475" s="29">
        <f>+VLOOKUP(E475,[1]base!M:Q,5,0)</f>
        <v>593.63636363636363</v>
      </c>
      <c r="AD475" s="30">
        <f>+VLOOKUP(E475,[1]base!M:P,4,0)</f>
        <v>9.962049335863378E-2</v>
      </c>
      <c r="AE475" s="31">
        <f t="shared" si="125"/>
        <v>190.16015180265654</v>
      </c>
    </row>
    <row r="476" spans="1:31" x14ac:dyDescent="0.25">
      <c r="A476" s="12" t="s">
        <v>1153</v>
      </c>
      <c r="B476" s="13">
        <v>46267.412812499999</v>
      </c>
      <c r="C476" s="12" t="s">
        <v>522</v>
      </c>
      <c r="D476" s="12" t="s">
        <v>669</v>
      </c>
      <c r="E476" s="26" t="str">
        <f t="shared" si="119"/>
        <v>CO103</v>
      </c>
      <c r="F476" s="27" t="str">
        <f t="shared" si="120"/>
        <v>DARK</v>
      </c>
      <c r="G476" s="27">
        <f>+VLOOKUP(F476,[1]base!A:B,2,0)</f>
        <v>38</v>
      </c>
      <c r="H476" s="12">
        <v>5</v>
      </c>
      <c r="I476" s="12">
        <v>5</v>
      </c>
      <c r="J476" s="14"/>
      <c r="K476" s="14" t="s">
        <v>61</v>
      </c>
      <c r="L476" s="12" t="s">
        <v>1160</v>
      </c>
      <c r="M476" s="12" t="s">
        <v>150</v>
      </c>
      <c r="N476" s="12">
        <v>5</v>
      </c>
      <c r="O476" s="12">
        <v>5</v>
      </c>
      <c r="P476" s="12">
        <v>0</v>
      </c>
      <c r="Q476" s="16">
        <v>5</v>
      </c>
      <c r="R476" s="16">
        <v>0</v>
      </c>
      <c r="S476" s="16"/>
      <c r="T476" s="28">
        <v>5</v>
      </c>
      <c r="U476" s="28"/>
      <c r="V476" s="29">
        <f>+VLOOKUP(E476,[1]base!D:K,8,0)</f>
        <v>7.293000000000001</v>
      </c>
      <c r="W476" s="29">
        <f t="shared" si="121"/>
        <v>36.465000000000003</v>
      </c>
      <c r="X476" s="29">
        <f t="shared" si="122"/>
        <v>1.8961800000000002</v>
      </c>
      <c r="Y476" s="29">
        <f>+VLOOKUP(E476,[1]base!D:E,2,0)</f>
        <v>12</v>
      </c>
      <c r="Z476" s="29">
        <f t="shared" si="123"/>
        <v>1</v>
      </c>
      <c r="AA476" s="29">
        <f t="shared" si="124"/>
        <v>6.6666666666666693E-2</v>
      </c>
      <c r="AB476" s="29">
        <f>+VLOOKUP(E476,[1]base!M:N,2,0)</f>
        <v>949</v>
      </c>
      <c r="AC476" s="29">
        <f>+VLOOKUP(E476,[1]base!M:Q,5,0)</f>
        <v>593.63636363636363</v>
      </c>
      <c r="AD476" s="30">
        <f>+VLOOKUP(E476,[1]base!M:P,4,0)</f>
        <v>9.962049335863378E-2</v>
      </c>
      <c r="AE476" s="31">
        <f t="shared" si="125"/>
        <v>190.16015180265654</v>
      </c>
    </row>
    <row r="477" spans="1:31" x14ac:dyDescent="0.25">
      <c r="A477" s="12" t="s">
        <v>1635</v>
      </c>
      <c r="B477" s="13">
        <v>46275.398229166669</v>
      </c>
      <c r="C477" s="12" t="s">
        <v>1636</v>
      </c>
      <c r="D477" s="12" t="s">
        <v>669</v>
      </c>
      <c r="E477" s="26" t="str">
        <f t="shared" si="119"/>
        <v>CO103</v>
      </c>
      <c r="F477" s="27" t="str">
        <f t="shared" si="120"/>
        <v>DARK</v>
      </c>
      <c r="G477" s="27">
        <f>+VLOOKUP(F477,[1]base!A:B,2,0)</f>
        <v>38</v>
      </c>
      <c r="H477" s="12">
        <v>1</v>
      </c>
      <c r="I477" s="12">
        <v>1</v>
      </c>
      <c r="J477" s="14"/>
      <c r="K477" s="14" t="s">
        <v>61</v>
      </c>
      <c r="L477" s="12" t="s">
        <v>1638</v>
      </c>
      <c r="M477" s="12" t="s">
        <v>150</v>
      </c>
      <c r="N477" s="12">
        <v>1</v>
      </c>
      <c r="O477" s="12">
        <v>1</v>
      </c>
      <c r="P477" s="12">
        <v>0</v>
      </c>
      <c r="Q477" s="16">
        <v>1</v>
      </c>
      <c r="R477" s="16">
        <v>0</v>
      </c>
      <c r="S477" s="16"/>
      <c r="T477" s="28">
        <v>1</v>
      </c>
      <c r="U477" s="28"/>
      <c r="V477" s="29">
        <f>+VLOOKUP(E477,[1]base!D:K,8,0)</f>
        <v>7.293000000000001</v>
      </c>
      <c r="W477" s="29">
        <f t="shared" si="121"/>
        <v>7.293000000000001</v>
      </c>
      <c r="X477" s="29">
        <f t="shared" si="122"/>
        <v>0.37923600000000002</v>
      </c>
      <c r="Y477" s="29">
        <f>+VLOOKUP(E477,[1]base!D:E,2,0)</f>
        <v>12</v>
      </c>
      <c r="Z477" s="29">
        <f t="shared" si="123"/>
        <v>1</v>
      </c>
      <c r="AA477" s="29">
        <f t="shared" si="124"/>
        <v>6.6666666666666693E-2</v>
      </c>
      <c r="AB477" s="29">
        <f>+VLOOKUP(E477,[1]base!M:N,2,0)</f>
        <v>949</v>
      </c>
      <c r="AC477" s="29">
        <f>+VLOOKUP(E477,[1]base!M:Q,5,0)</f>
        <v>593.63636363636363</v>
      </c>
      <c r="AD477" s="30">
        <f>+VLOOKUP(E477,[1]base!M:P,4,0)</f>
        <v>9.962049335863378E-2</v>
      </c>
      <c r="AE477" s="31">
        <f t="shared" si="125"/>
        <v>190.16015180265654</v>
      </c>
    </row>
    <row r="478" spans="1:31" x14ac:dyDescent="0.25">
      <c r="A478" s="12" t="s">
        <v>843</v>
      </c>
      <c r="B478" s="13">
        <v>46261.381307870368</v>
      </c>
      <c r="C478" s="12" t="s">
        <v>398</v>
      </c>
      <c r="D478" s="12" t="s">
        <v>332</v>
      </c>
      <c r="E478" s="26" t="str">
        <f t="shared" si="119"/>
        <v>CO104</v>
      </c>
      <c r="F478" s="27" t="str">
        <f t="shared" si="120"/>
        <v>DARK</v>
      </c>
      <c r="G478" s="27">
        <f>+VLOOKUP(F478,[1]base!A:B,2,0)</f>
        <v>38</v>
      </c>
      <c r="H478" s="12">
        <v>10</v>
      </c>
      <c r="I478" s="12">
        <v>10</v>
      </c>
      <c r="J478" s="14"/>
      <c r="K478" s="14" t="s">
        <v>26</v>
      </c>
      <c r="L478" s="12" t="s">
        <v>848</v>
      </c>
      <c r="M478" s="12" t="s">
        <v>150</v>
      </c>
      <c r="N478" s="12">
        <v>10</v>
      </c>
      <c r="O478" s="12">
        <v>10</v>
      </c>
      <c r="P478" s="12">
        <v>0</v>
      </c>
      <c r="Q478" s="16">
        <v>0</v>
      </c>
      <c r="R478" s="16">
        <v>0</v>
      </c>
      <c r="S478" s="16"/>
      <c r="T478" s="28">
        <v>10</v>
      </c>
      <c r="U478" s="28"/>
      <c r="V478" s="29">
        <f>+VLOOKUP(E478,[1]base!D:K,8,0)</f>
        <v>4.7059999999999995</v>
      </c>
      <c r="W478" s="29">
        <f t="shared" si="121"/>
        <v>47.059999999999995</v>
      </c>
      <c r="X478" s="29">
        <f t="shared" si="122"/>
        <v>2.4471199999999995</v>
      </c>
      <c r="Y478" s="29">
        <f>+VLOOKUP(E478,[1]base!D:E,2,0)</f>
        <v>13</v>
      </c>
      <c r="Z478" s="29">
        <f t="shared" si="123"/>
        <v>1</v>
      </c>
      <c r="AA478" s="29">
        <f t="shared" si="124"/>
        <v>6.6666666666666693E-2</v>
      </c>
      <c r="AB478" s="29">
        <f>+VLOOKUP(E478,[1]base!M:N,2,0)</f>
        <v>406</v>
      </c>
      <c r="AC478" s="29">
        <f>+VLOOKUP(E478,[1]base!M:Q,5,0)</f>
        <v>344.5</v>
      </c>
      <c r="AD478" s="30">
        <f>+VLOOKUP(E478,[1]base!M:P,4,0)</f>
        <v>4.9019607843137254E-3</v>
      </c>
      <c r="AE478" s="31">
        <f t="shared" si="125"/>
        <v>119.80980392156863</v>
      </c>
    </row>
    <row r="479" spans="1:31" x14ac:dyDescent="0.25">
      <c r="A479" s="12" t="s">
        <v>1123</v>
      </c>
      <c r="B479" s="13">
        <v>46267.314710648148</v>
      </c>
      <c r="C479" s="12" t="s">
        <v>24</v>
      </c>
      <c r="D479" s="12" t="s">
        <v>332</v>
      </c>
      <c r="E479" s="26" t="str">
        <f t="shared" si="119"/>
        <v>CO104</v>
      </c>
      <c r="F479" s="27" t="str">
        <f t="shared" si="120"/>
        <v>DARK</v>
      </c>
      <c r="G479" s="27">
        <f>+VLOOKUP(F479,[1]base!A:B,2,0)</f>
        <v>38</v>
      </c>
      <c r="H479" s="12">
        <v>2</v>
      </c>
      <c r="I479" s="12">
        <v>2</v>
      </c>
      <c r="J479" s="14"/>
      <c r="K479" s="14" t="s">
        <v>61</v>
      </c>
      <c r="L479" s="12" t="s">
        <v>1130</v>
      </c>
      <c r="M479" s="12" t="s">
        <v>150</v>
      </c>
      <c r="N479" s="12">
        <v>2</v>
      </c>
      <c r="O479" s="12">
        <v>2</v>
      </c>
      <c r="P479" s="12">
        <v>0</v>
      </c>
      <c r="Q479" s="16">
        <v>2</v>
      </c>
      <c r="R479" s="16">
        <v>0</v>
      </c>
      <c r="S479" s="16"/>
      <c r="T479" s="28">
        <v>2</v>
      </c>
      <c r="U479" s="28"/>
      <c r="V479" s="29">
        <f>+VLOOKUP(E479,[1]base!D:K,8,0)</f>
        <v>4.7059999999999995</v>
      </c>
      <c r="W479" s="29">
        <f t="shared" si="121"/>
        <v>9.411999999999999</v>
      </c>
      <c r="X479" s="29">
        <f t="shared" si="122"/>
        <v>0.48942399999999991</v>
      </c>
      <c r="Y479" s="29">
        <f>+VLOOKUP(E479,[1]base!D:E,2,0)</f>
        <v>13</v>
      </c>
      <c r="Z479" s="29">
        <f t="shared" si="123"/>
        <v>1</v>
      </c>
      <c r="AA479" s="29">
        <f t="shared" si="124"/>
        <v>6.6666666666666693E-2</v>
      </c>
      <c r="AB479" s="29">
        <f>+VLOOKUP(E479,[1]base!M:N,2,0)</f>
        <v>406</v>
      </c>
      <c r="AC479" s="29">
        <f>+VLOOKUP(E479,[1]base!M:Q,5,0)</f>
        <v>344.5</v>
      </c>
      <c r="AD479" s="30">
        <f>+VLOOKUP(E479,[1]base!M:P,4,0)</f>
        <v>4.9019607843137254E-3</v>
      </c>
      <c r="AE479" s="31">
        <f t="shared" si="125"/>
        <v>119.80980392156863</v>
      </c>
    </row>
    <row r="480" spans="1:31" x14ac:dyDescent="0.25">
      <c r="A480" s="12" t="s">
        <v>667</v>
      </c>
      <c r="B480" s="13">
        <v>46252.518969907411</v>
      </c>
      <c r="C480" s="12" t="s">
        <v>522</v>
      </c>
      <c r="D480" s="12" t="s">
        <v>681</v>
      </c>
      <c r="E480" s="26" t="str">
        <f t="shared" si="119"/>
        <v>CO114</v>
      </c>
      <c r="F480" s="27" t="str">
        <f t="shared" si="120"/>
        <v>DARK</v>
      </c>
      <c r="G480" s="27">
        <f>+VLOOKUP(F480,[1]base!A:B,2,0)</f>
        <v>38</v>
      </c>
      <c r="H480" s="12">
        <v>40</v>
      </c>
      <c r="I480" s="12">
        <v>40</v>
      </c>
      <c r="J480" s="14"/>
      <c r="K480" s="14" t="s">
        <v>61</v>
      </c>
      <c r="L480" s="12" t="s">
        <v>682</v>
      </c>
      <c r="M480" s="12" t="s">
        <v>150</v>
      </c>
      <c r="N480" s="12">
        <v>40</v>
      </c>
      <c r="O480" s="12">
        <v>40</v>
      </c>
      <c r="P480" s="12">
        <v>0</v>
      </c>
      <c r="Q480" s="16">
        <v>110</v>
      </c>
      <c r="R480" s="16">
        <v>0</v>
      </c>
      <c r="S480" s="16"/>
      <c r="T480" s="28">
        <v>40</v>
      </c>
      <c r="U480" s="28"/>
      <c r="V480" s="29">
        <f>+VLOOKUP(E480,[1]base!D:K,8,0)</f>
        <v>0.90350000000000008</v>
      </c>
      <c r="W480" s="29">
        <f t="shared" si="121"/>
        <v>36.14</v>
      </c>
      <c r="X480" s="29">
        <f t="shared" si="122"/>
        <v>1.8792799999999998</v>
      </c>
      <c r="Y480" s="29">
        <f>+VLOOKUP(E480,[1]base!D:E,2,0)</f>
        <v>20</v>
      </c>
      <c r="Z480" s="29">
        <f t="shared" si="123"/>
        <v>2</v>
      </c>
      <c r="AA480" s="29">
        <f t="shared" si="124"/>
        <v>0.13333333333333339</v>
      </c>
      <c r="AB480" s="29">
        <f>+VLOOKUP(E480,[1]base!M:N,2,0)</f>
        <v>2067</v>
      </c>
      <c r="AC480" s="29">
        <f>+VLOOKUP(E480,[1]base!M:Q,5,0)</f>
        <v>2162.818181818182</v>
      </c>
      <c r="AD480" s="30">
        <f>+VLOOKUP(E480,[1]base!M:P,4,0)</f>
        <v>0.13982521847690388</v>
      </c>
      <c r="AE480" s="31">
        <f t="shared" si="125"/>
        <v>331.08127340823967</v>
      </c>
    </row>
    <row r="481" spans="1:31" x14ac:dyDescent="0.25">
      <c r="A481" s="12" t="s">
        <v>1153</v>
      </c>
      <c r="B481" s="13">
        <v>46267.412812499999</v>
      </c>
      <c r="C481" s="12" t="s">
        <v>522</v>
      </c>
      <c r="D481" s="12" t="s">
        <v>681</v>
      </c>
      <c r="E481" s="26" t="str">
        <f t="shared" si="119"/>
        <v>CO114</v>
      </c>
      <c r="F481" s="27" t="str">
        <f t="shared" si="120"/>
        <v>DARK</v>
      </c>
      <c r="G481" s="27">
        <f>+VLOOKUP(F481,[1]base!A:B,2,0)</f>
        <v>38</v>
      </c>
      <c r="H481" s="12">
        <v>11</v>
      </c>
      <c r="I481" s="12">
        <v>11</v>
      </c>
      <c r="J481" s="14"/>
      <c r="K481" s="14" t="s">
        <v>61</v>
      </c>
      <c r="L481" s="12" t="s">
        <v>1174</v>
      </c>
      <c r="M481" s="12" t="s">
        <v>150</v>
      </c>
      <c r="N481" s="12">
        <v>11</v>
      </c>
      <c r="O481" s="12">
        <v>11</v>
      </c>
      <c r="P481" s="12">
        <v>0</v>
      </c>
      <c r="Q481" s="16">
        <v>11</v>
      </c>
      <c r="R481" s="16">
        <v>0</v>
      </c>
      <c r="S481" s="16"/>
      <c r="T481" s="28">
        <v>11</v>
      </c>
      <c r="U481" s="28"/>
      <c r="V481" s="29">
        <f>+VLOOKUP(E481,[1]base!D:K,8,0)</f>
        <v>0.90350000000000008</v>
      </c>
      <c r="W481" s="29">
        <f t="shared" si="121"/>
        <v>9.9385000000000012</v>
      </c>
      <c r="X481" s="29">
        <f t="shared" si="122"/>
        <v>0.51680200000000009</v>
      </c>
      <c r="Y481" s="29">
        <f>+VLOOKUP(E481,[1]base!D:E,2,0)</f>
        <v>20</v>
      </c>
      <c r="Z481" s="29">
        <f t="shared" si="123"/>
        <v>1</v>
      </c>
      <c r="AA481" s="29">
        <f t="shared" si="124"/>
        <v>6.6666666666666693E-2</v>
      </c>
      <c r="AB481" s="29">
        <f>+VLOOKUP(E481,[1]base!M:N,2,0)</f>
        <v>2067</v>
      </c>
      <c r="AC481" s="29">
        <f>+VLOOKUP(E481,[1]base!M:Q,5,0)</f>
        <v>2162.818181818182</v>
      </c>
      <c r="AD481" s="30">
        <f>+VLOOKUP(E481,[1]base!M:P,4,0)</f>
        <v>0.13982521847690388</v>
      </c>
      <c r="AE481" s="31">
        <f t="shared" si="125"/>
        <v>331.08127340823967</v>
      </c>
    </row>
    <row r="482" spans="1:31" x14ac:dyDescent="0.25">
      <c r="A482" s="12" t="s">
        <v>1021</v>
      </c>
      <c r="B482" s="13">
        <v>46266.424675925926</v>
      </c>
      <c r="C482" s="12" t="s">
        <v>24</v>
      </c>
      <c r="D482" s="12" t="s">
        <v>1025</v>
      </c>
      <c r="E482" s="26" t="str">
        <f t="shared" si="119"/>
        <v>CO124</v>
      </c>
      <c r="F482" s="27" t="str">
        <f t="shared" si="120"/>
        <v>DARK</v>
      </c>
      <c r="G482" s="27">
        <f>+VLOOKUP(F482,[1]base!A:B,2,0)</f>
        <v>38</v>
      </c>
      <c r="H482" s="12">
        <v>9</v>
      </c>
      <c r="I482" s="12">
        <v>9</v>
      </c>
      <c r="J482" s="14"/>
      <c r="K482" s="14" t="s">
        <v>61</v>
      </c>
      <c r="L482" s="12" t="s">
        <v>1056</v>
      </c>
      <c r="M482" s="12" t="s">
        <v>150</v>
      </c>
      <c r="N482" s="12">
        <v>9</v>
      </c>
      <c r="O482" s="12">
        <v>9</v>
      </c>
      <c r="P482" s="12">
        <v>0</v>
      </c>
      <c r="Q482" s="16">
        <v>9</v>
      </c>
      <c r="R482" s="16">
        <v>0</v>
      </c>
      <c r="S482" s="16"/>
      <c r="T482" s="28">
        <v>9</v>
      </c>
      <c r="U482" s="28"/>
      <c r="V482" s="29">
        <f>+VLOOKUP(E482,[1]base!D:K,8,0)</f>
        <v>1.742</v>
      </c>
      <c r="W482" s="29">
        <f t="shared" si="121"/>
        <v>15.678000000000001</v>
      </c>
      <c r="X482" s="29">
        <f t="shared" si="122"/>
        <v>0.81525599999999998</v>
      </c>
      <c r="Y482" s="29">
        <f>+VLOOKUP(E482,[1]base!D:E,2,0)</f>
        <v>20</v>
      </c>
      <c r="Z482" s="29">
        <f t="shared" si="123"/>
        <v>1</v>
      </c>
      <c r="AA482" s="29">
        <f t="shared" si="124"/>
        <v>6.6666666666666693E-2</v>
      </c>
      <c r="AB482" s="29">
        <f>+VLOOKUP(E482,[1]base!M:N,2,0)</f>
        <v>207</v>
      </c>
      <c r="AC482" s="29">
        <f>+VLOOKUP(E482,[1]base!M:Q,5,0)</f>
        <v>37.666666666666664</v>
      </c>
      <c r="AD482" s="30">
        <f>+VLOOKUP(E482,[1]base!M:P,4,0)</f>
        <v>0.1038961038961039</v>
      </c>
      <c r="AE482" s="31">
        <f t="shared" si="125"/>
        <v>40.593506493506489</v>
      </c>
    </row>
    <row r="483" spans="1:31" x14ac:dyDescent="0.25">
      <c r="A483" s="12" t="s">
        <v>1186</v>
      </c>
      <c r="B483" s="13">
        <v>46267.531759259262</v>
      </c>
      <c r="C483" s="12" t="s">
        <v>258</v>
      </c>
      <c r="D483" s="12" t="s">
        <v>1189</v>
      </c>
      <c r="E483" s="26" t="str">
        <f t="shared" si="119"/>
        <v>CSQ102</v>
      </c>
      <c r="F483" s="27" t="str">
        <f t="shared" si="120"/>
        <v>DARK</v>
      </c>
      <c r="G483" s="27">
        <f>+VLOOKUP(F483,[1]base!A:B,2,0)</f>
        <v>38</v>
      </c>
      <c r="H483" s="12">
        <v>4</v>
      </c>
      <c r="I483" s="12">
        <v>4</v>
      </c>
      <c r="J483" s="14"/>
      <c r="K483" s="14" t="s">
        <v>61</v>
      </c>
      <c r="L483" s="12" t="s">
        <v>1193</v>
      </c>
      <c r="M483" s="12" t="s">
        <v>150</v>
      </c>
      <c r="N483" s="12">
        <v>4</v>
      </c>
      <c r="O483" s="12">
        <v>4</v>
      </c>
      <c r="P483" s="12">
        <v>0</v>
      </c>
      <c r="Q483" s="16">
        <v>4</v>
      </c>
      <c r="R483" s="16">
        <v>0</v>
      </c>
      <c r="S483" s="16"/>
      <c r="T483" s="28">
        <v>4</v>
      </c>
      <c r="U483" s="28"/>
      <c r="V483" s="29">
        <f>+VLOOKUP(E483,[1]base!D:K,8,0)</f>
        <v>6.5064999999999991</v>
      </c>
      <c r="W483" s="29">
        <f t="shared" si="121"/>
        <v>26.025999999999996</v>
      </c>
      <c r="X483" s="29">
        <f t="shared" si="122"/>
        <v>1.3533519999999997</v>
      </c>
      <c r="Y483" s="29">
        <f>+VLOOKUP(E483,[1]base!D:E,2,0)</f>
        <v>12</v>
      </c>
      <c r="Z483" s="29">
        <f t="shared" si="123"/>
        <v>1</v>
      </c>
      <c r="AA483" s="29">
        <f t="shared" si="124"/>
        <v>6.6666666666666693E-2</v>
      </c>
      <c r="AB483" s="29">
        <f>+VLOOKUP(E483,[1]base!M:N,2,0)</f>
        <v>24</v>
      </c>
      <c r="AC483" s="29">
        <f>+VLOOKUP(E483,[1]base!M:Q,5,0)</f>
        <v>266.66666666666669</v>
      </c>
      <c r="AD483" s="30">
        <f>+VLOOKUP(E483,[1]base!M:P,4,0)</f>
        <v>0.04</v>
      </c>
      <c r="AE483" s="31">
        <f t="shared" si="125"/>
        <v>6.24</v>
      </c>
    </row>
    <row r="484" spans="1:31" x14ac:dyDescent="0.25">
      <c r="A484" s="12" t="s">
        <v>1021</v>
      </c>
      <c r="B484" s="13">
        <v>46266.424675925926</v>
      </c>
      <c r="C484" s="12" t="s">
        <v>24</v>
      </c>
      <c r="D484" s="12" t="s">
        <v>1026</v>
      </c>
      <c r="E484" s="26" t="str">
        <f t="shared" si="119"/>
        <v>CSQ103</v>
      </c>
      <c r="F484" s="27" t="str">
        <f t="shared" si="120"/>
        <v>DARK</v>
      </c>
      <c r="G484" s="27">
        <f>+VLOOKUP(F484,[1]base!A:B,2,0)</f>
        <v>38</v>
      </c>
      <c r="H484" s="12">
        <v>2</v>
      </c>
      <c r="I484" s="12">
        <v>2</v>
      </c>
      <c r="J484" s="14"/>
      <c r="K484" s="14" t="s">
        <v>61</v>
      </c>
      <c r="L484" s="12" t="s">
        <v>1057</v>
      </c>
      <c r="M484" s="12" t="s">
        <v>150</v>
      </c>
      <c r="N484" s="12">
        <v>2</v>
      </c>
      <c r="O484" s="12">
        <v>2</v>
      </c>
      <c r="P484" s="12">
        <v>0</v>
      </c>
      <c r="Q484" s="16">
        <v>2</v>
      </c>
      <c r="R484" s="16">
        <v>0</v>
      </c>
      <c r="S484" s="16"/>
      <c r="T484" s="28">
        <v>2</v>
      </c>
      <c r="U484" s="28"/>
      <c r="V484" s="29">
        <f>+VLOOKUP(E484,[1]base!D:K,8,0)</f>
        <v>6.0255000000000001</v>
      </c>
      <c r="W484" s="29">
        <f t="shared" si="121"/>
        <v>12.051</v>
      </c>
      <c r="X484" s="29">
        <f t="shared" si="122"/>
        <v>0.62665199999999999</v>
      </c>
      <c r="Y484" s="29">
        <f>+VLOOKUP(E484,[1]base!D:E,2,0)</f>
        <v>12</v>
      </c>
      <c r="Z484" s="29">
        <f t="shared" si="123"/>
        <v>1</v>
      </c>
      <c r="AA484" s="29">
        <f t="shared" si="124"/>
        <v>6.6666666666666693E-2</v>
      </c>
      <c r="AB484" s="29">
        <f>+VLOOKUP(E484,[1]base!M:N,2,0)</f>
        <v>1502</v>
      </c>
      <c r="AC484" s="29">
        <f>+VLOOKUP(E484,[1]base!M:Q,5,0)</f>
        <v>153</v>
      </c>
      <c r="AD484" s="30">
        <f>+VLOOKUP(E484,[1]base!M:P,4,0)</f>
        <v>2.6560424966799467E-3</v>
      </c>
      <c r="AE484" s="31">
        <f t="shared" si="125"/>
        <v>446.61062416998669</v>
      </c>
    </row>
    <row r="485" spans="1:31" x14ac:dyDescent="0.25">
      <c r="A485" s="12" t="s">
        <v>1021</v>
      </c>
      <c r="B485" s="13">
        <v>46266.424675925926</v>
      </c>
      <c r="C485" s="12" t="s">
        <v>24</v>
      </c>
      <c r="D485" s="12" t="s">
        <v>1028</v>
      </c>
      <c r="E485" s="26" t="str">
        <f t="shared" si="119"/>
        <v>CSQ104</v>
      </c>
      <c r="F485" s="27" t="str">
        <f t="shared" si="120"/>
        <v>DARK</v>
      </c>
      <c r="G485" s="27">
        <f>+VLOOKUP(F485,[1]base!A:B,2,0)</f>
        <v>38</v>
      </c>
      <c r="H485" s="12">
        <v>4</v>
      </c>
      <c r="I485" s="12">
        <v>4</v>
      </c>
      <c r="J485" s="14"/>
      <c r="K485" s="14" t="s">
        <v>61</v>
      </c>
      <c r="L485" s="12" t="s">
        <v>1058</v>
      </c>
      <c r="M485" s="12" t="s">
        <v>150</v>
      </c>
      <c r="N485" s="12">
        <v>4</v>
      </c>
      <c r="O485" s="12">
        <v>4</v>
      </c>
      <c r="P485" s="12">
        <v>0</v>
      </c>
      <c r="Q485" s="16">
        <v>4</v>
      </c>
      <c r="R485" s="16">
        <v>0</v>
      </c>
      <c r="S485" s="16"/>
      <c r="T485" s="28">
        <v>4</v>
      </c>
      <c r="U485" s="28"/>
      <c r="V485" s="29">
        <f>+VLOOKUP(E485,[1]base!D:K,8,0)</f>
        <v>4.7774999999999999</v>
      </c>
      <c r="W485" s="29">
        <f t="shared" si="121"/>
        <v>19.11</v>
      </c>
      <c r="X485" s="29">
        <f t="shared" si="122"/>
        <v>0.99371999999999994</v>
      </c>
      <c r="Y485" s="29">
        <f>+VLOOKUP(E485,[1]base!D:E,2,0)</f>
        <v>13</v>
      </c>
      <c r="Z485" s="29">
        <f t="shared" si="123"/>
        <v>1</v>
      </c>
      <c r="AA485" s="29">
        <f t="shared" si="124"/>
        <v>6.6666666666666693E-2</v>
      </c>
      <c r="AB485" s="29">
        <f>+VLOOKUP(E485,[1]base!M:N,2,0)</f>
        <v>218</v>
      </c>
      <c r="AC485" s="29">
        <f>+VLOOKUP(E485,[1]base!M:Q,5,0)</f>
        <v>230.63636363636363</v>
      </c>
      <c r="AD485" s="30">
        <f>+VLOOKUP(E485,[1]base!M:P,4,0)</f>
        <v>1.3574660633484163E-2</v>
      </c>
      <c r="AE485" s="31">
        <f t="shared" si="125"/>
        <v>62.440723981900447</v>
      </c>
    </row>
    <row r="486" spans="1:31" x14ac:dyDescent="0.25">
      <c r="A486" s="12" t="s">
        <v>1021</v>
      </c>
      <c r="B486" s="13">
        <v>46266.424675925926</v>
      </c>
      <c r="C486" s="12" t="s">
        <v>24</v>
      </c>
      <c r="D486" s="12" t="s">
        <v>1029</v>
      </c>
      <c r="E486" s="26" t="str">
        <f t="shared" si="119"/>
        <v>CSQ105</v>
      </c>
      <c r="F486" s="27" t="str">
        <f t="shared" si="120"/>
        <v>DARK</v>
      </c>
      <c r="G486" s="27">
        <f>+VLOOKUP(F486,[1]base!A:B,2,0)</f>
        <v>38</v>
      </c>
      <c r="H486" s="12">
        <v>10</v>
      </c>
      <c r="I486" s="12">
        <v>10</v>
      </c>
      <c r="J486" s="14"/>
      <c r="K486" s="14" t="s">
        <v>61</v>
      </c>
      <c r="L486" s="12" t="s">
        <v>1059</v>
      </c>
      <c r="M486" s="12" t="s">
        <v>150</v>
      </c>
      <c r="N486" s="12">
        <v>10</v>
      </c>
      <c r="O486" s="12">
        <v>10</v>
      </c>
      <c r="P486" s="12">
        <v>0</v>
      </c>
      <c r="Q486" s="16">
        <v>10</v>
      </c>
      <c r="R486" s="16">
        <v>0</v>
      </c>
      <c r="S486" s="16"/>
      <c r="T486" s="28">
        <v>10</v>
      </c>
      <c r="U486" s="28"/>
      <c r="V486" s="29">
        <f>+VLOOKUP(E486,[1]base!D:K,8,0)</f>
        <v>3.6659999999999995</v>
      </c>
      <c r="W486" s="29">
        <f t="shared" si="121"/>
        <v>36.659999999999997</v>
      </c>
      <c r="X486" s="29">
        <f t="shared" si="122"/>
        <v>1.9063199999999998</v>
      </c>
      <c r="Y486" s="29">
        <f>+VLOOKUP(E486,[1]base!D:E,2,0)</f>
        <v>13</v>
      </c>
      <c r="Z486" s="29">
        <f t="shared" si="123"/>
        <v>1</v>
      </c>
      <c r="AA486" s="29">
        <f t="shared" si="124"/>
        <v>6.6666666666666693E-2</v>
      </c>
      <c r="AB486" s="29">
        <f>+VLOOKUP(E486,[1]base!M:N,2,0)</f>
        <v>397</v>
      </c>
      <c r="AC486" s="29">
        <f>+VLOOKUP(E486,[1]base!M:Q,5,0)</f>
        <v>233</v>
      </c>
      <c r="AD486" s="30">
        <f>+VLOOKUP(E486,[1]base!M:P,4,0)</f>
        <v>0</v>
      </c>
      <c r="AE486" s="31">
        <f t="shared" si="125"/>
        <v>119.1</v>
      </c>
    </row>
    <row r="487" spans="1:31" x14ac:dyDescent="0.25">
      <c r="A487" s="12" t="s">
        <v>1186</v>
      </c>
      <c r="B487" s="13">
        <v>46267.531759259262</v>
      </c>
      <c r="C487" s="12" t="s">
        <v>258</v>
      </c>
      <c r="D487" s="12" t="s">
        <v>1029</v>
      </c>
      <c r="E487" s="26" t="str">
        <f t="shared" si="119"/>
        <v>CSQ105</v>
      </c>
      <c r="F487" s="27" t="str">
        <f t="shared" si="120"/>
        <v>DARK</v>
      </c>
      <c r="G487" s="27">
        <f>+VLOOKUP(F487,[1]base!A:B,2,0)</f>
        <v>38</v>
      </c>
      <c r="H487" s="12">
        <v>2</v>
      </c>
      <c r="I487" s="12">
        <v>2</v>
      </c>
      <c r="J487" s="14"/>
      <c r="K487" s="14" t="s">
        <v>61</v>
      </c>
      <c r="L487" s="12" t="s">
        <v>1190</v>
      </c>
      <c r="M487" s="12" t="s">
        <v>150</v>
      </c>
      <c r="N487" s="12">
        <v>2</v>
      </c>
      <c r="O487" s="12">
        <v>2</v>
      </c>
      <c r="P487" s="12">
        <v>0</v>
      </c>
      <c r="Q487" s="16">
        <v>2</v>
      </c>
      <c r="R487" s="16">
        <v>0</v>
      </c>
      <c r="S487" s="16"/>
      <c r="T487" s="28">
        <v>2</v>
      </c>
      <c r="U487" s="28"/>
      <c r="V487" s="29">
        <f>+VLOOKUP(E487,[1]base!D:K,8,0)</f>
        <v>3.6659999999999995</v>
      </c>
      <c r="W487" s="29">
        <f t="shared" si="121"/>
        <v>7.331999999999999</v>
      </c>
      <c r="X487" s="29">
        <f t="shared" si="122"/>
        <v>0.38126399999999994</v>
      </c>
      <c r="Y487" s="29">
        <f>+VLOOKUP(E487,[1]base!D:E,2,0)</f>
        <v>13</v>
      </c>
      <c r="Z487" s="29">
        <f t="shared" si="123"/>
        <v>1</v>
      </c>
      <c r="AA487" s="29">
        <f t="shared" si="124"/>
        <v>6.6666666666666693E-2</v>
      </c>
      <c r="AB487" s="29">
        <f>+VLOOKUP(E487,[1]base!M:N,2,0)</f>
        <v>397</v>
      </c>
      <c r="AC487" s="29">
        <f>+VLOOKUP(E487,[1]base!M:Q,5,0)</f>
        <v>233</v>
      </c>
      <c r="AD487" s="30">
        <f>+VLOOKUP(E487,[1]base!M:P,4,0)</f>
        <v>0</v>
      </c>
      <c r="AE487" s="31">
        <f t="shared" si="125"/>
        <v>119.1</v>
      </c>
    </row>
    <row r="488" spans="1:31" x14ac:dyDescent="0.25">
      <c r="A488" s="12" t="s">
        <v>1123</v>
      </c>
      <c r="B488" s="13">
        <v>46267.314710648148</v>
      </c>
      <c r="C488" s="12" t="s">
        <v>24</v>
      </c>
      <c r="D488" s="12" t="s">
        <v>1125</v>
      </c>
      <c r="E488" s="26" t="str">
        <f t="shared" si="119"/>
        <v>CSQ106</v>
      </c>
      <c r="F488" s="27" t="str">
        <f t="shared" si="120"/>
        <v>DARK</v>
      </c>
      <c r="G488" s="27">
        <f>+VLOOKUP(F488,[1]base!A:B,2,0)</f>
        <v>38</v>
      </c>
      <c r="H488" s="12">
        <v>2</v>
      </c>
      <c r="I488" s="12">
        <v>2</v>
      </c>
      <c r="J488" s="14"/>
      <c r="K488" s="14" t="s">
        <v>61</v>
      </c>
      <c r="L488" s="12" t="s">
        <v>1131</v>
      </c>
      <c r="M488" s="12" t="s">
        <v>150</v>
      </c>
      <c r="N488" s="12">
        <v>2</v>
      </c>
      <c r="O488" s="12">
        <v>2</v>
      </c>
      <c r="P488" s="12">
        <v>0</v>
      </c>
      <c r="Q488" s="16">
        <v>2</v>
      </c>
      <c r="R488" s="16">
        <v>0</v>
      </c>
      <c r="S488" s="16"/>
      <c r="T488" s="28">
        <v>2</v>
      </c>
      <c r="U488" s="28"/>
      <c r="V488" s="29">
        <f>+VLOOKUP(E488,[1]base!D:K,8,0)</f>
        <v>4.1470000000000002</v>
      </c>
      <c r="W488" s="29">
        <f t="shared" si="121"/>
        <v>8.2940000000000005</v>
      </c>
      <c r="X488" s="29">
        <f t="shared" si="122"/>
        <v>0.431288</v>
      </c>
      <c r="Y488" s="29">
        <f>+VLOOKUP(E488,[1]base!D:E,2,0)</f>
        <v>15</v>
      </c>
      <c r="Z488" s="29">
        <f t="shared" si="123"/>
        <v>1</v>
      </c>
      <c r="AA488" s="29">
        <f t="shared" si="124"/>
        <v>6.6666666666666693E-2</v>
      </c>
      <c r="AB488" s="29">
        <f>+VLOOKUP(E488,[1]base!M:N,2,0)</f>
        <v>17</v>
      </c>
      <c r="AC488" s="29">
        <f>+VLOOKUP(E488,[1]base!M:Q,5,0)</f>
        <v>254.1</v>
      </c>
      <c r="AD488" s="30">
        <f>+VLOOKUP(E488,[1]base!M:P,4,0)</f>
        <v>0.43333333333333335</v>
      </c>
      <c r="AE488" s="31">
        <f t="shared" si="125"/>
        <v>-2.2666666666666671</v>
      </c>
    </row>
    <row r="489" spans="1:31" x14ac:dyDescent="0.25">
      <c r="A489" s="12" t="s">
        <v>1021</v>
      </c>
      <c r="B489" s="13">
        <v>46266.424675925926</v>
      </c>
      <c r="C489" s="12" t="s">
        <v>24</v>
      </c>
      <c r="D489" s="12" t="s">
        <v>1032</v>
      </c>
      <c r="E489" s="26" t="str">
        <f t="shared" si="119"/>
        <v>CSQ108</v>
      </c>
      <c r="F489" s="27" t="str">
        <f t="shared" si="120"/>
        <v>DARK</v>
      </c>
      <c r="G489" s="27">
        <f>+VLOOKUP(F489,[1]base!A:B,2,0)</f>
        <v>38</v>
      </c>
      <c r="H489" s="12">
        <v>7</v>
      </c>
      <c r="I489" s="12">
        <v>7</v>
      </c>
      <c r="J489" s="14"/>
      <c r="K489" s="14" t="s">
        <v>61</v>
      </c>
      <c r="L489" s="12" t="s">
        <v>1061</v>
      </c>
      <c r="M489" s="12" t="s">
        <v>150</v>
      </c>
      <c r="N489" s="12">
        <v>7</v>
      </c>
      <c r="O489" s="12">
        <v>7</v>
      </c>
      <c r="P489" s="12">
        <v>0</v>
      </c>
      <c r="Q489" s="16">
        <v>7</v>
      </c>
      <c r="R489" s="16">
        <v>0</v>
      </c>
      <c r="S489" s="16"/>
      <c r="T489" s="28">
        <v>7</v>
      </c>
      <c r="U489" s="28"/>
      <c r="V489" s="29">
        <f>+VLOOKUP(E489,[1]base!D:K,8,0)</f>
        <v>6.6364999999999998</v>
      </c>
      <c r="W489" s="29">
        <f t="shared" si="121"/>
        <v>46.455500000000001</v>
      </c>
      <c r="X489" s="29">
        <f t="shared" si="122"/>
        <v>2.415686</v>
      </c>
      <c r="Y489" s="29">
        <f>+VLOOKUP(E489,[1]base!D:E,2,0)</f>
        <v>13</v>
      </c>
      <c r="Z489" s="29">
        <f t="shared" si="123"/>
        <v>1</v>
      </c>
      <c r="AA489" s="29">
        <f t="shared" si="124"/>
        <v>6.6666666666666693E-2</v>
      </c>
      <c r="AB489" s="29">
        <f>+VLOOKUP(E489,[1]base!M:N,2,0)</f>
        <v>173</v>
      </c>
      <c r="AC489" s="29">
        <f>+VLOOKUP(E489,[1]base!M:Q,5,0)</f>
        <v>46.111111111111114</v>
      </c>
      <c r="AD489" s="30">
        <f>+VLOOKUP(E489,[1]base!M:P,4,0)</f>
        <v>0</v>
      </c>
      <c r="AE489" s="31">
        <f t="shared" si="125"/>
        <v>51.9</v>
      </c>
    </row>
    <row r="490" spans="1:31" x14ac:dyDescent="0.25">
      <c r="A490" s="12" t="s">
        <v>954</v>
      </c>
      <c r="B490" s="13">
        <v>46263.489895833336</v>
      </c>
      <c r="C490" s="12" t="s">
        <v>258</v>
      </c>
      <c r="D490" s="12" t="s">
        <v>956</v>
      </c>
      <c r="E490" s="26" t="str">
        <f t="shared" si="119"/>
        <v>CSQ201</v>
      </c>
      <c r="F490" s="27" t="str">
        <f t="shared" si="120"/>
        <v>DARK</v>
      </c>
      <c r="G490" s="27">
        <f>+VLOOKUP(F490,[1]base!A:B,2,0)</f>
        <v>38</v>
      </c>
      <c r="H490" s="12">
        <v>3</v>
      </c>
      <c r="I490" s="12">
        <v>3</v>
      </c>
      <c r="J490" s="14"/>
      <c r="K490" s="14" t="s">
        <v>61</v>
      </c>
      <c r="L490" s="12" t="s">
        <v>962</v>
      </c>
      <c r="M490" s="12" t="s">
        <v>150</v>
      </c>
      <c r="N490" s="12">
        <v>3</v>
      </c>
      <c r="O490" s="12">
        <v>3</v>
      </c>
      <c r="P490" s="12">
        <v>0</v>
      </c>
      <c r="Q490" s="16">
        <v>3</v>
      </c>
      <c r="R490" s="16">
        <v>2</v>
      </c>
      <c r="S490" s="16"/>
      <c r="T490" s="28">
        <v>1</v>
      </c>
      <c r="U490" s="28">
        <v>2</v>
      </c>
      <c r="V490" s="29">
        <f>+VLOOKUP(E490,[1]base!D:K,8,0)</f>
        <v>4.9595000000000002</v>
      </c>
      <c r="W490" s="29">
        <f t="shared" si="121"/>
        <v>14.878500000000001</v>
      </c>
      <c r="X490" s="29">
        <f t="shared" si="122"/>
        <v>0.77368199999999998</v>
      </c>
      <c r="Y490" s="29">
        <f>+VLOOKUP(E490,[1]base!D:E,2,0)</f>
        <v>12</v>
      </c>
      <c r="Z490" s="29">
        <f t="shared" si="123"/>
        <v>1</v>
      </c>
      <c r="AA490" s="29">
        <f t="shared" si="124"/>
        <v>6.6666666666666693E-2</v>
      </c>
      <c r="AB490" s="29">
        <f>+VLOOKUP(E490,[1]base!M:N,2,0)</f>
        <v>315</v>
      </c>
      <c r="AC490" s="29">
        <f>+VLOOKUP(E490,[1]base!M:Q,5,0)</f>
        <v>4</v>
      </c>
      <c r="AD490" s="30">
        <f>+VLOOKUP(E490,[1]base!M:P,4,0)</f>
        <v>3.0769230769230771E-2</v>
      </c>
      <c r="AE490" s="31">
        <f t="shared" si="125"/>
        <v>84.807692307692307</v>
      </c>
    </row>
    <row r="491" spans="1:31" x14ac:dyDescent="0.25">
      <c r="A491" s="12" t="s">
        <v>1021</v>
      </c>
      <c r="B491" s="13">
        <v>46266.424675925926</v>
      </c>
      <c r="C491" s="12" t="s">
        <v>24</v>
      </c>
      <c r="D491" s="12" t="s">
        <v>1033</v>
      </c>
      <c r="E491" s="26" t="str">
        <f t="shared" ref="E491:E522" si="126">_xlfn.TEXTBEFORE(D491, "-", -1, 1, , D491)</f>
        <v>CSQ203</v>
      </c>
      <c r="F491" s="27" t="str">
        <f t="shared" ref="F491:F522" si="127">_xlfn.TEXTAFTER(D491, "-", -1, 1, , "")</f>
        <v>DARK</v>
      </c>
      <c r="G491" s="27">
        <f>+VLOOKUP(F491,[1]base!A:B,2,0)</f>
        <v>38</v>
      </c>
      <c r="H491" s="12">
        <v>12</v>
      </c>
      <c r="I491" s="12">
        <v>12</v>
      </c>
      <c r="J491" s="14"/>
      <c r="K491" s="14" t="s">
        <v>61</v>
      </c>
      <c r="L491" s="12" t="s">
        <v>1062</v>
      </c>
      <c r="M491" s="12" t="s">
        <v>150</v>
      </c>
      <c r="N491" s="12">
        <v>12</v>
      </c>
      <c r="O491" s="12">
        <v>12</v>
      </c>
      <c r="P491" s="12">
        <v>0</v>
      </c>
      <c r="Q491" s="16">
        <v>12</v>
      </c>
      <c r="R491" s="16">
        <v>0</v>
      </c>
      <c r="S491" s="16"/>
      <c r="T491" s="28">
        <v>12</v>
      </c>
      <c r="U491" s="28"/>
      <c r="V491" s="29">
        <f>+VLOOKUP(E491,[1]base!D:K,8,0)</f>
        <v>5.1284999999999998</v>
      </c>
      <c r="W491" s="29">
        <f t="shared" ref="W491:W522" si="128">(T491+U491)*V491</f>
        <v>61.542000000000002</v>
      </c>
      <c r="X491" s="29">
        <f t="shared" ref="X491:X522" si="129">+W491*0.052</f>
        <v>3.2001840000000001</v>
      </c>
      <c r="Y491" s="29">
        <f>+VLOOKUP(E491,[1]base!D:E,2,0)</f>
        <v>12</v>
      </c>
      <c r="Z491" s="29">
        <f t="shared" ref="Z491:Z522" si="130">ROUNDUP(T491/Y491,0)</f>
        <v>1</v>
      </c>
      <c r="AA491" s="29">
        <f t="shared" ref="AA491:AA522" si="131">+Z491*0.0666666666666667</f>
        <v>6.6666666666666693E-2</v>
      </c>
      <c r="AB491" s="29">
        <f>+VLOOKUP(E491,[1]base!M:N,2,0)</f>
        <v>899</v>
      </c>
      <c r="AC491" s="29">
        <f>+VLOOKUP(E491,[1]base!M:Q,5,0)</f>
        <v>53.2</v>
      </c>
      <c r="AD491" s="30">
        <f>+VLOOKUP(E491,[1]base!M:P,4,0)</f>
        <v>2.2197558268590455E-3</v>
      </c>
      <c r="AE491" s="31">
        <f t="shared" ref="AE491:AE522" si="132">+AB491*(30%-AD491)</f>
        <v>267.70443951165367</v>
      </c>
    </row>
    <row r="492" spans="1:31" x14ac:dyDescent="0.25">
      <c r="A492" s="12" t="s">
        <v>1021</v>
      </c>
      <c r="B492" s="13">
        <v>46266.424675925926</v>
      </c>
      <c r="C492" s="12" t="s">
        <v>24</v>
      </c>
      <c r="D492" s="12" t="s">
        <v>1030</v>
      </c>
      <c r="E492" s="26" t="str">
        <f t="shared" si="126"/>
        <v>CSQ305</v>
      </c>
      <c r="F492" s="27" t="str">
        <f t="shared" si="127"/>
        <v>DARK</v>
      </c>
      <c r="G492" s="27">
        <f>+VLOOKUP(F492,[1]base!A:B,2,0)</f>
        <v>38</v>
      </c>
      <c r="H492" s="12">
        <v>55</v>
      </c>
      <c r="I492" s="12">
        <v>55</v>
      </c>
      <c r="J492" s="14"/>
      <c r="K492" s="14" t="s">
        <v>61</v>
      </c>
      <c r="L492" s="12" t="s">
        <v>1060</v>
      </c>
      <c r="M492" s="12" t="s">
        <v>150</v>
      </c>
      <c r="N492" s="12">
        <v>55</v>
      </c>
      <c r="O492" s="12">
        <v>55</v>
      </c>
      <c r="P492" s="12">
        <v>0</v>
      </c>
      <c r="Q492" s="16">
        <v>55</v>
      </c>
      <c r="R492" s="16">
        <v>0</v>
      </c>
      <c r="S492" s="16"/>
      <c r="T492" s="28">
        <v>55</v>
      </c>
      <c r="U492" s="28"/>
      <c r="V492" s="29">
        <f>+VLOOKUP(E492,[1]base!D:K,8,0)</f>
        <v>1.56</v>
      </c>
      <c r="W492" s="29">
        <f t="shared" si="128"/>
        <v>85.8</v>
      </c>
      <c r="X492" s="29">
        <f t="shared" si="129"/>
        <v>4.4615999999999998</v>
      </c>
      <c r="Y492" s="29">
        <f>+VLOOKUP(E492,[1]base!D:E,2,0)</f>
        <v>20</v>
      </c>
      <c r="Z492" s="29">
        <f t="shared" si="130"/>
        <v>3</v>
      </c>
      <c r="AA492" s="29">
        <f t="shared" si="131"/>
        <v>0.20000000000000007</v>
      </c>
      <c r="AB492" s="29">
        <f>+VLOOKUP(E492,[1]base!M:N,2,0)</f>
        <v>707</v>
      </c>
      <c r="AC492" s="29">
        <f>+VLOOKUP(E492,[1]base!M:Q,5,0)</f>
        <v>174.77777777777777</v>
      </c>
      <c r="AD492" s="30">
        <f>+VLOOKUP(E492,[1]base!M:P,4,0)</f>
        <v>9.8039215686274508E-3</v>
      </c>
      <c r="AE492" s="31">
        <f t="shared" si="132"/>
        <v>205.16862745098038</v>
      </c>
    </row>
    <row r="493" spans="1:31" x14ac:dyDescent="0.25">
      <c r="A493" s="12" t="s">
        <v>1021</v>
      </c>
      <c r="B493" s="13">
        <v>46266.424675925926</v>
      </c>
      <c r="C493" s="12" t="s">
        <v>24</v>
      </c>
      <c r="D493" s="12" t="s">
        <v>1048</v>
      </c>
      <c r="E493" s="26" t="str">
        <f t="shared" si="126"/>
        <v>EC40100</v>
      </c>
      <c r="F493" s="27" t="str">
        <f t="shared" si="127"/>
        <v>DARK</v>
      </c>
      <c r="G493" s="27">
        <f>+VLOOKUP(F493,[1]base!A:B,2,0)</f>
        <v>38</v>
      </c>
      <c r="H493" s="12">
        <v>12</v>
      </c>
      <c r="I493" s="12">
        <v>12</v>
      </c>
      <c r="J493" s="14"/>
      <c r="K493" s="14" t="s">
        <v>61</v>
      </c>
      <c r="L493" s="12" t="s">
        <v>1078</v>
      </c>
      <c r="M493" s="12" t="s">
        <v>150</v>
      </c>
      <c r="N493" s="12">
        <v>12</v>
      </c>
      <c r="O493" s="12">
        <v>12</v>
      </c>
      <c r="P493" s="12">
        <v>0</v>
      </c>
      <c r="Q493" s="16">
        <v>12</v>
      </c>
      <c r="R493" s="16">
        <v>0</v>
      </c>
      <c r="S493" s="16"/>
      <c r="T493" s="28">
        <v>12</v>
      </c>
      <c r="U493" s="28"/>
      <c r="V493" s="29">
        <f>+VLOOKUP(E493,[1]base!D:K,8,0)</f>
        <v>4.1340000000000003</v>
      </c>
      <c r="W493" s="29">
        <f t="shared" si="128"/>
        <v>49.608000000000004</v>
      </c>
      <c r="X493" s="29">
        <f t="shared" si="129"/>
        <v>2.5796160000000001</v>
      </c>
      <c r="Y493" s="29">
        <f>+VLOOKUP(E493,[1]base!D:E,2,0)</f>
        <v>13</v>
      </c>
      <c r="Z493" s="29">
        <f t="shared" si="130"/>
        <v>1</v>
      </c>
      <c r="AA493" s="29">
        <f t="shared" si="131"/>
        <v>6.6666666666666693E-2</v>
      </c>
      <c r="AB493" s="29">
        <f>+VLOOKUP(E493,[1]base!M:N,2,0)</f>
        <v>442</v>
      </c>
      <c r="AC493" s="29">
        <f>+VLOOKUP(E493,[1]base!M:Q,5,0)</f>
        <v>2247.5454545454545</v>
      </c>
      <c r="AD493" s="30">
        <f>+VLOOKUP(E493,[1]base!M:P,4,0)</f>
        <v>9.9796334012219962E-2</v>
      </c>
      <c r="AE493" s="31">
        <f t="shared" si="132"/>
        <v>88.49002036659877</v>
      </c>
    </row>
    <row r="494" spans="1:31" x14ac:dyDescent="0.25">
      <c r="A494" s="12" t="s">
        <v>1153</v>
      </c>
      <c r="B494" s="13">
        <v>46267.412812499999</v>
      </c>
      <c r="C494" s="12" t="s">
        <v>522</v>
      </c>
      <c r="D494" s="12" t="s">
        <v>1163</v>
      </c>
      <c r="E494" s="26" t="str">
        <f t="shared" si="126"/>
        <v>EC40104</v>
      </c>
      <c r="F494" s="27" t="str">
        <f t="shared" si="127"/>
        <v>DARK</v>
      </c>
      <c r="G494" s="27">
        <f>+VLOOKUP(F494,[1]base!A:B,2,0)</f>
        <v>38</v>
      </c>
      <c r="H494" s="12">
        <v>1</v>
      </c>
      <c r="I494" s="12">
        <v>1</v>
      </c>
      <c r="J494" s="14"/>
      <c r="K494" s="14" t="s">
        <v>61</v>
      </c>
      <c r="L494" s="12" t="s">
        <v>1169</v>
      </c>
      <c r="M494" s="12" t="s">
        <v>150</v>
      </c>
      <c r="N494" s="12">
        <v>1</v>
      </c>
      <c r="O494" s="12">
        <v>1</v>
      </c>
      <c r="P494" s="12">
        <v>0</v>
      </c>
      <c r="Q494" s="16">
        <v>1</v>
      </c>
      <c r="R494" s="16">
        <v>0</v>
      </c>
      <c r="S494" s="16"/>
      <c r="T494" s="28">
        <v>1</v>
      </c>
      <c r="U494" s="28"/>
      <c r="V494" s="29">
        <f>+VLOOKUP(E494,[1]base!D:K,8,0)</f>
        <v>5.7004999999999999</v>
      </c>
      <c r="W494" s="29">
        <f t="shared" si="128"/>
        <v>5.7004999999999999</v>
      </c>
      <c r="X494" s="29">
        <f t="shared" si="129"/>
        <v>0.29642599999999997</v>
      </c>
      <c r="Y494" s="29">
        <f>+VLOOKUP(E494,[1]base!D:E,2,0)</f>
        <v>13</v>
      </c>
      <c r="Z494" s="29">
        <f t="shared" si="130"/>
        <v>1</v>
      </c>
      <c r="AA494" s="29">
        <f t="shared" si="131"/>
        <v>6.6666666666666693E-2</v>
      </c>
      <c r="AB494" s="29">
        <f>+VLOOKUP(E494,[1]base!M:N,2,0)</f>
        <v>57</v>
      </c>
      <c r="AC494" s="29">
        <f>+VLOOKUP(E494,[1]base!M:Q,5,0)</f>
        <v>150.71428571428572</v>
      </c>
      <c r="AD494" s="30">
        <f>+VLOOKUP(E494,[1]base!M:P,4,0)</f>
        <v>3.3898305084745763E-2</v>
      </c>
      <c r="AE494" s="31">
        <f t="shared" si="132"/>
        <v>15.167796610169489</v>
      </c>
    </row>
    <row r="495" spans="1:31" x14ac:dyDescent="0.25">
      <c r="A495" s="12" t="s">
        <v>963</v>
      </c>
      <c r="B495" s="13">
        <v>46265.30091435185</v>
      </c>
      <c r="C495" s="12" t="s">
        <v>484</v>
      </c>
      <c r="D495" s="12" t="s">
        <v>966</v>
      </c>
      <c r="E495" s="26" t="str">
        <f t="shared" si="126"/>
        <v>EC40154</v>
      </c>
      <c r="F495" s="27" t="str">
        <f t="shared" si="127"/>
        <v>DARK</v>
      </c>
      <c r="G495" s="27">
        <f>+VLOOKUP(F495,[1]base!A:B,2,0)</f>
        <v>38</v>
      </c>
      <c r="H495" s="12">
        <v>1</v>
      </c>
      <c r="I495" s="12">
        <v>1</v>
      </c>
      <c r="J495" s="14"/>
      <c r="K495" s="14" t="s">
        <v>61</v>
      </c>
      <c r="L495" s="12" t="s">
        <v>971</v>
      </c>
      <c r="M495" s="12" t="s">
        <v>150</v>
      </c>
      <c r="N495" s="12">
        <v>1</v>
      </c>
      <c r="O495" s="12">
        <v>1</v>
      </c>
      <c r="P495" s="12">
        <v>0</v>
      </c>
      <c r="Q495" s="16">
        <v>1</v>
      </c>
      <c r="R495" s="16">
        <v>0</v>
      </c>
      <c r="S495" s="16"/>
      <c r="T495" s="28">
        <v>1</v>
      </c>
      <c r="U495" s="28"/>
      <c r="V495" s="29">
        <f>+VLOOKUP(E495,[1]base!D:K,8,0)</f>
        <v>8.7100000000000009</v>
      </c>
      <c r="W495" s="29">
        <f t="shared" si="128"/>
        <v>8.7100000000000009</v>
      </c>
      <c r="X495" s="29">
        <f t="shared" si="129"/>
        <v>0.45292000000000004</v>
      </c>
      <c r="Y495" s="29">
        <f>+VLOOKUP(E495,[1]base!D:E,2,0)</f>
        <v>9</v>
      </c>
      <c r="Z495" s="29">
        <f t="shared" si="130"/>
        <v>1</v>
      </c>
      <c r="AA495" s="29">
        <f t="shared" si="131"/>
        <v>6.6666666666666693E-2</v>
      </c>
      <c r="AB495" s="29">
        <f>+VLOOKUP(E495,[1]base!M:N,2,0)</f>
        <v>287</v>
      </c>
      <c r="AC495" s="29">
        <f>+VLOOKUP(E495,[1]base!M:Q,5,0)</f>
        <v>102.83333333333333</v>
      </c>
      <c r="AD495" s="30">
        <f>+VLOOKUP(E495,[1]base!M:P,4,0)</f>
        <v>1.3745704467353952E-2</v>
      </c>
      <c r="AE495" s="31">
        <f t="shared" si="132"/>
        <v>82.15498281786941</v>
      </c>
    </row>
    <row r="496" spans="1:31" x14ac:dyDescent="0.25">
      <c r="A496" s="12" t="s">
        <v>1021</v>
      </c>
      <c r="B496" s="13">
        <v>46266.424675925926</v>
      </c>
      <c r="C496" s="12" t="s">
        <v>24</v>
      </c>
      <c r="D496" s="12" t="s">
        <v>966</v>
      </c>
      <c r="E496" s="26" t="str">
        <f t="shared" si="126"/>
        <v>EC40154</v>
      </c>
      <c r="F496" s="27" t="str">
        <f t="shared" si="127"/>
        <v>DARK</v>
      </c>
      <c r="G496" s="27">
        <f>+VLOOKUP(F496,[1]base!A:B,2,0)</f>
        <v>38</v>
      </c>
      <c r="H496" s="12">
        <v>1</v>
      </c>
      <c r="I496" s="12">
        <v>1</v>
      </c>
      <c r="J496" s="14"/>
      <c r="K496" s="14" t="s">
        <v>61</v>
      </c>
      <c r="L496" s="12" t="s">
        <v>1063</v>
      </c>
      <c r="M496" s="12" t="s">
        <v>150</v>
      </c>
      <c r="N496" s="12">
        <v>1</v>
      </c>
      <c r="O496" s="12">
        <v>1</v>
      </c>
      <c r="P496" s="12">
        <v>0</v>
      </c>
      <c r="Q496" s="16">
        <v>1</v>
      </c>
      <c r="R496" s="16">
        <v>0</v>
      </c>
      <c r="S496" s="16"/>
      <c r="T496" s="28">
        <v>1</v>
      </c>
      <c r="U496" s="28"/>
      <c r="V496" s="29">
        <f>+VLOOKUP(E496,[1]base!D:K,8,0)</f>
        <v>8.7100000000000009</v>
      </c>
      <c r="W496" s="29">
        <f t="shared" si="128"/>
        <v>8.7100000000000009</v>
      </c>
      <c r="X496" s="29">
        <f t="shared" si="129"/>
        <v>0.45292000000000004</v>
      </c>
      <c r="Y496" s="29">
        <f>+VLOOKUP(E496,[1]base!D:E,2,0)</f>
        <v>9</v>
      </c>
      <c r="Z496" s="29">
        <f t="shared" si="130"/>
        <v>1</v>
      </c>
      <c r="AA496" s="29">
        <f t="shared" si="131"/>
        <v>6.6666666666666693E-2</v>
      </c>
      <c r="AB496" s="29">
        <f>+VLOOKUP(E496,[1]base!M:N,2,0)</f>
        <v>287</v>
      </c>
      <c r="AC496" s="29">
        <f>+VLOOKUP(E496,[1]base!M:Q,5,0)</f>
        <v>102.83333333333333</v>
      </c>
      <c r="AD496" s="30">
        <f>+VLOOKUP(E496,[1]base!M:P,4,0)</f>
        <v>1.3745704467353952E-2</v>
      </c>
      <c r="AE496" s="31">
        <f t="shared" si="132"/>
        <v>82.15498281786941</v>
      </c>
    </row>
    <row r="497" spans="1:31" x14ac:dyDescent="0.25">
      <c r="A497" s="12" t="s">
        <v>1123</v>
      </c>
      <c r="B497" s="13">
        <v>46267.314710648148</v>
      </c>
      <c r="C497" s="12" t="s">
        <v>24</v>
      </c>
      <c r="D497" s="12" t="s">
        <v>966</v>
      </c>
      <c r="E497" s="26" t="str">
        <f t="shared" si="126"/>
        <v>EC40154</v>
      </c>
      <c r="F497" s="27" t="str">
        <f t="shared" si="127"/>
        <v>DARK</v>
      </c>
      <c r="G497" s="27">
        <f>+VLOOKUP(F497,[1]base!A:B,2,0)</f>
        <v>38</v>
      </c>
      <c r="H497" s="12">
        <v>2</v>
      </c>
      <c r="I497" s="12">
        <v>2</v>
      </c>
      <c r="J497" s="14"/>
      <c r="K497" s="14" t="s">
        <v>61</v>
      </c>
      <c r="L497" s="12" t="s">
        <v>1132</v>
      </c>
      <c r="M497" s="12" t="s">
        <v>150</v>
      </c>
      <c r="N497" s="12">
        <v>2</v>
      </c>
      <c r="O497" s="12">
        <v>2</v>
      </c>
      <c r="P497" s="12">
        <v>0</v>
      </c>
      <c r="Q497" s="16">
        <v>2</v>
      </c>
      <c r="R497" s="16">
        <v>0</v>
      </c>
      <c r="S497" s="16"/>
      <c r="T497" s="28">
        <v>2</v>
      </c>
      <c r="U497" s="28"/>
      <c r="V497" s="29">
        <f>+VLOOKUP(E497,[1]base!D:K,8,0)</f>
        <v>8.7100000000000009</v>
      </c>
      <c r="W497" s="29">
        <f t="shared" si="128"/>
        <v>17.420000000000002</v>
      </c>
      <c r="X497" s="29">
        <f t="shared" si="129"/>
        <v>0.90584000000000009</v>
      </c>
      <c r="Y497" s="29">
        <f>+VLOOKUP(E497,[1]base!D:E,2,0)</f>
        <v>9</v>
      </c>
      <c r="Z497" s="29">
        <f t="shared" si="130"/>
        <v>1</v>
      </c>
      <c r="AA497" s="29">
        <f t="shared" si="131"/>
        <v>6.6666666666666693E-2</v>
      </c>
      <c r="AB497" s="29">
        <f>+VLOOKUP(E497,[1]base!M:N,2,0)</f>
        <v>287</v>
      </c>
      <c r="AC497" s="29">
        <f>+VLOOKUP(E497,[1]base!M:Q,5,0)</f>
        <v>102.83333333333333</v>
      </c>
      <c r="AD497" s="30">
        <f>+VLOOKUP(E497,[1]base!M:P,4,0)</f>
        <v>1.3745704467353952E-2</v>
      </c>
      <c r="AE497" s="31">
        <f t="shared" si="132"/>
        <v>82.15498281786941</v>
      </c>
    </row>
    <row r="498" spans="1:31" x14ac:dyDescent="0.25">
      <c r="A498" s="12" t="s">
        <v>1021</v>
      </c>
      <c r="B498" s="13">
        <v>46266.424675925926</v>
      </c>
      <c r="C498" s="12" t="s">
        <v>24</v>
      </c>
      <c r="D498" s="12" t="s">
        <v>1035</v>
      </c>
      <c r="E498" s="26" t="str">
        <f t="shared" si="126"/>
        <v>EC40166</v>
      </c>
      <c r="F498" s="27" t="str">
        <f t="shared" si="127"/>
        <v>DARK</v>
      </c>
      <c r="G498" s="27">
        <f>+VLOOKUP(F498,[1]base!A:B,2,0)</f>
        <v>38</v>
      </c>
      <c r="H498" s="12">
        <v>10</v>
      </c>
      <c r="I498" s="12">
        <v>10</v>
      </c>
      <c r="J498" s="14"/>
      <c r="K498" s="14" t="s">
        <v>61</v>
      </c>
      <c r="L498" s="12" t="s">
        <v>1064</v>
      </c>
      <c r="M498" s="12" t="s">
        <v>150</v>
      </c>
      <c r="N498" s="12">
        <v>10</v>
      </c>
      <c r="O498" s="12">
        <v>10</v>
      </c>
      <c r="P498" s="12">
        <v>0</v>
      </c>
      <c r="Q498" s="16">
        <v>10</v>
      </c>
      <c r="R498" s="16">
        <v>0</v>
      </c>
      <c r="S498" s="16"/>
      <c r="T498" s="28">
        <v>10</v>
      </c>
      <c r="U498" s="28"/>
      <c r="V498" s="29">
        <f>+VLOOKUP(E498,[1]base!D:K,8,0)</f>
        <v>1.482</v>
      </c>
      <c r="W498" s="29">
        <f t="shared" si="128"/>
        <v>14.82</v>
      </c>
      <c r="X498" s="29">
        <f t="shared" si="129"/>
        <v>0.77063999999999999</v>
      </c>
      <c r="Y498" s="29">
        <f>+VLOOKUP(E498,[1]base!D:E,2,0)</f>
        <v>20</v>
      </c>
      <c r="Z498" s="29">
        <f t="shared" si="130"/>
        <v>1</v>
      </c>
      <c r="AA498" s="29">
        <f t="shared" si="131"/>
        <v>6.6666666666666693E-2</v>
      </c>
      <c r="AB498" s="29">
        <f>+VLOOKUP(E498,[1]base!M:N,2,0)</f>
        <v>245</v>
      </c>
      <c r="AC498" s="29">
        <f>+VLOOKUP(E498,[1]base!M:Q,5,0)</f>
        <v>2305.5454545454545</v>
      </c>
      <c r="AD498" s="30">
        <f>+VLOOKUP(E498,[1]base!M:P,4,0)</f>
        <v>2.7777777777777776E-2</v>
      </c>
      <c r="AE498" s="31">
        <f t="shared" si="132"/>
        <v>66.694444444444443</v>
      </c>
    </row>
    <row r="499" spans="1:31" x14ac:dyDescent="0.25">
      <c r="A499" s="12" t="s">
        <v>843</v>
      </c>
      <c r="B499" s="13">
        <v>46261.381307870368</v>
      </c>
      <c r="C499" s="12" t="s">
        <v>398</v>
      </c>
      <c r="D499" s="12" t="s">
        <v>531</v>
      </c>
      <c r="E499" s="26" t="str">
        <f t="shared" si="126"/>
        <v>EC40402</v>
      </c>
      <c r="F499" s="27" t="str">
        <f t="shared" si="127"/>
        <v>DARK</v>
      </c>
      <c r="G499" s="27">
        <f>+VLOOKUP(F499,[1]base!A:B,2,0)</f>
        <v>38</v>
      </c>
      <c r="H499" s="12">
        <v>16</v>
      </c>
      <c r="I499" s="12">
        <v>16</v>
      </c>
      <c r="J499" s="14"/>
      <c r="K499" s="14" t="s">
        <v>61</v>
      </c>
      <c r="L499" s="12" t="s">
        <v>851</v>
      </c>
      <c r="M499" s="12" t="s">
        <v>150</v>
      </c>
      <c r="N499" s="12">
        <v>16</v>
      </c>
      <c r="O499" s="12">
        <v>16</v>
      </c>
      <c r="P499" s="12">
        <v>0</v>
      </c>
      <c r="Q499" s="16">
        <v>16</v>
      </c>
      <c r="R499" s="16">
        <v>0</v>
      </c>
      <c r="S499" s="16"/>
      <c r="T499" s="28">
        <v>16</v>
      </c>
      <c r="U499" s="28"/>
      <c r="V499" s="29">
        <f>+VLOOKUP(E499,[1]base!D:K,8,0)</f>
        <v>4.2250000000000005</v>
      </c>
      <c r="W499" s="29">
        <f t="shared" si="128"/>
        <v>67.600000000000009</v>
      </c>
      <c r="X499" s="29">
        <f t="shared" si="129"/>
        <v>3.5152000000000001</v>
      </c>
      <c r="Y499" s="29">
        <f>+VLOOKUP(E499,[1]base!D:E,2,0)</f>
        <v>13</v>
      </c>
      <c r="Z499" s="29">
        <f t="shared" si="130"/>
        <v>2</v>
      </c>
      <c r="AA499" s="29">
        <f t="shared" si="131"/>
        <v>0.13333333333333339</v>
      </c>
      <c r="AB499" s="29">
        <f>+VLOOKUP(E499,[1]base!M:N,2,0)</f>
        <v>2283</v>
      </c>
      <c r="AC499" s="29">
        <f>+VLOOKUP(E499,[1]base!M:Q,5,0)</f>
        <v>1635.090909090909</v>
      </c>
      <c r="AD499" s="30">
        <f>+VLOOKUP(E499,[1]base!M:P,4,0)</f>
        <v>8.4603047313552532E-2</v>
      </c>
      <c r="AE499" s="31">
        <f t="shared" si="132"/>
        <v>491.75124298315956</v>
      </c>
    </row>
    <row r="500" spans="1:31" x14ac:dyDescent="0.25">
      <c r="A500" s="12" t="s">
        <v>963</v>
      </c>
      <c r="B500" s="13">
        <v>46265.30091435185</v>
      </c>
      <c r="C500" s="12" t="s">
        <v>484</v>
      </c>
      <c r="D500" s="12" t="s">
        <v>531</v>
      </c>
      <c r="E500" s="26" t="str">
        <f t="shared" si="126"/>
        <v>EC40402</v>
      </c>
      <c r="F500" s="27" t="str">
        <f t="shared" si="127"/>
        <v>DARK</v>
      </c>
      <c r="G500" s="27">
        <f>+VLOOKUP(F500,[1]base!A:B,2,0)</f>
        <v>38</v>
      </c>
      <c r="H500" s="12">
        <v>8</v>
      </c>
      <c r="I500" s="12">
        <v>8</v>
      </c>
      <c r="J500" s="14"/>
      <c r="K500" s="14" t="s">
        <v>61</v>
      </c>
      <c r="L500" s="12" t="s">
        <v>972</v>
      </c>
      <c r="M500" s="12" t="s">
        <v>150</v>
      </c>
      <c r="N500" s="12">
        <v>8</v>
      </c>
      <c r="O500" s="12">
        <v>8</v>
      </c>
      <c r="P500" s="12">
        <v>0</v>
      </c>
      <c r="Q500" s="16">
        <v>8</v>
      </c>
      <c r="R500" s="16">
        <v>0</v>
      </c>
      <c r="S500" s="16"/>
      <c r="T500" s="28">
        <v>8</v>
      </c>
      <c r="U500" s="28"/>
      <c r="V500" s="29">
        <f>+VLOOKUP(E500,[1]base!D:K,8,0)</f>
        <v>4.2250000000000005</v>
      </c>
      <c r="W500" s="29">
        <f t="shared" si="128"/>
        <v>33.800000000000004</v>
      </c>
      <c r="X500" s="29">
        <f t="shared" si="129"/>
        <v>1.7576000000000001</v>
      </c>
      <c r="Y500" s="29">
        <f>+VLOOKUP(E500,[1]base!D:E,2,0)</f>
        <v>13</v>
      </c>
      <c r="Z500" s="29">
        <f t="shared" si="130"/>
        <v>1</v>
      </c>
      <c r="AA500" s="29">
        <f t="shared" si="131"/>
        <v>6.6666666666666693E-2</v>
      </c>
      <c r="AB500" s="29">
        <f>+VLOOKUP(E500,[1]base!M:N,2,0)</f>
        <v>2283</v>
      </c>
      <c r="AC500" s="29">
        <f>+VLOOKUP(E500,[1]base!M:Q,5,0)</f>
        <v>1635.090909090909</v>
      </c>
      <c r="AD500" s="30">
        <f>+VLOOKUP(E500,[1]base!M:P,4,0)</f>
        <v>8.4603047313552532E-2</v>
      </c>
      <c r="AE500" s="31">
        <f t="shared" si="132"/>
        <v>491.75124298315956</v>
      </c>
    </row>
    <row r="501" spans="1:31" x14ac:dyDescent="0.25">
      <c r="A501" s="12" t="s">
        <v>1021</v>
      </c>
      <c r="B501" s="13">
        <v>46266.424675925926</v>
      </c>
      <c r="C501" s="12" t="s">
        <v>24</v>
      </c>
      <c r="D501" s="12" t="s">
        <v>531</v>
      </c>
      <c r="E501" s="26" t="str">
        <f t="shared" si="126"/>
        <v>EC40402</v>
      </c>
      <c r="F501" s="27" t="str">
        <f t="shared" si="127"/>
        <v>DARK</v>
      </c>
      <c r="G501" s="27">
        <f>+VLOOKUP(F501,[1]base!A:B,2,0)</f>
        <v>38</v>
      </c>
      <c r="H501" s="12">
        <v>8</v>
      </c>
      <c r="I501" s="12">
        <v>8</v>
      </c>
      <c r="J501" s="14"/>
      <c r="K501" s="14" t="s">
        <v>61</v>
      </c>
      <c r="L501" s="12" t="s">
        <v>1066</v>
      </c>
      <c r="M501" s="12" t="s">
        <v>150</v>
      </c>
      <c r="N501" s="12">
        <v>8</v>
      </c>
      <c r="O501" s="12">
        <v>8</v>
      </c>
      <c r="P501" s="12">
        <v>0</v>
      </c>
      <c r="Q501" s="16">
        <v>8</v>
      </c>
      <c r="R501" s="16">
        <v>0</v>
      </c>
      <c r="S501" s="16"/>
      <c r="T501" s="28">
        <v>8</v>
      </c>
      <c r="U501" s="28"/>
      <c r="V501" s="29">
        <f>+VLOOKUP(E501,[1]base!D:K,8,0)</f>
        <v>4.2250000000000005</v>
      </c>
      <c r="W501" s="29">
        <f t="shared" si="128"/>
        <v>33.800000000000004</v>
      </c>
      <c r="X501" s="29">
        <f t="shared" si="129"/>
        <v>1.7576000000000001</v>
      </c>
      <c r="Y501" s="29">
        <f>+VLOOKUP(E501,[1]base!D:E,2,0)</f>
        <v>13</v>
      </c>
      <c r="Z501" s="29">
        <f t="shared" si="130"/>
        <v>1</v>
      </c>
      <c r="AA501" s="29">
        <f t="shared" si="131"/>
        <v>6.6666666666666693E-2</v>
      </c>
      <c r="AB501" s="29">
        <f>+VLOOKUP(E501,[1]base!M:N,2,0)</f>
        <v>2283</v>
      </c>
      <c r="AC501" s="29">
        <f>+VLOOKUP(E501,[1]base!M:Q,5,0)</f>
        <v>1635.090909090909</v>
      </c>
      <c r="AD501" s="30">
        <f>+VLOOKUP(E501,[1]base!M:P,4,0)</f>
        <v>8.4603047313552532E-2</v>
      </c>
      <c r="AE501" s="31">
        <f t="shared" si="132"/>
        <v>491.75124298315956</v>
      </c>
    </row>
    <row r="502" spans="1:31" x14ac:dyDescent="0.25">
      <c r="A502" s="12" t="s">
        <v>1021</v>
      </c>
      <c r="B502" s="13">
        <v>46266.424675925926</v>
      </c>
      <c r="C502" s="12" t="s">
        <v>24</v>
      </c>
      <c r="D502" s="12" t="s">
        <v>1036</v>
      </c>
      <c r="E502" s="26" t="str">
        <f t="shared" si="126"/>
        <v>EC40404</v>
      </c>
      <c r="F502" s="27" t="str">
        <f t="shared" si="127"/>
        <v>DARK</v>
      </c>
      <c r="G502" s="27">
        <f>+VLOOKUP(F502,[1]base!A:B,2,0)</f>
        <v>38</v>
      </c>
      <c r="H502" s="12">
        <v>10</v>
      </c>
      <c r="I502" s="12">
        <v>10</v>
      </c>
      <c r="J502" s="14"/>
      <c r="K502" s="14" t="s">
        <v>61</v>
      </c>
      <c r="L502" s="12" t="s">
        <v>1065</v>
      </c>
      <c r="M502" s="12" t="s">
        <v>150</v>
      </c>
      <c r="N502" s="12">
        <v>10</v>
      </c>
      <c r="O502" s="12">
        <v>10</v>
      </c>
      <c r="P502" s="12">
        <v>0</v>
      </c>
      <c r="Q502" s="16">
        <v>10</v>
      </c>
      <c r="R502" s="16">
        <v>0</v>
      </c>
      <c r="S502" s="16"/>
      <c r="T502" s="28">
        <v>10</v>
      </c>
      <c r="U502" s="28"/>
      <c r="V502" s="29">
        <f>+VLOOKUP(E502,[1]base!D:K,8,0)</f>
        <v>4.8879999999999999</v>
      </c>
      <c r="W502" s="29">
        <f t="shared" si="128"/>
        <v>48.879999999999995</v>
      </c>
      <c r="X502" s="29">
        <f t="shared" si="129"/>
        <v>2.5417599999999996</v>
      </c>
      <c r="Y502" s="29">
        <f>+VLOOKUP(E502,[1]base!D:E,2,0)</f>
        <v>13</v>
      </c>
      <c r="Z502" s="29">
        <f t="shared" si="130"/>
        <v>1</v>
      </c>
      <c r="AA502" s="29">
        <f t="shared" si="131"/>
        <v>6.6666666666666693E-2</v>
      </c>
      <c r="AB502" s="29">
        <f>+VLOOKUP(E502,[1]base!M:N,2,0)</f>
        <v>2357</v>
      </c>
      <c r="AC502" s="29">
        <f>+VLOOKUP(E502,[1]base!M:Q,5,0)</f>
        <v>1288.0999999999999</v>
      </c>
      <c r="AD502" s="30">
        <f>+VLOOKUP(E502,[1]base!M:P,4,0)</f>
        <v>5.112721417069243E-2</v>
      </c>
      <c r="AE502" s="31">
        <f t="shared" si="132"/>
        <v>586.59315619967788</v>
      </c>
    </row>
    <row r="503" spans="1:31" x14ac:dyDescent="0.25">
      <c r="A503" s="12" t="s">
        <v>843</v>
      </c>
      <c r="B503" s="13">
        <v>46261.381307870368</v>
      </c>
      <c r="C503" s="12" t="s">
        <v>398</v>
      </c>
      <c r="D503" s="12" t="s">
        <v>844</v>
      </c>
      <c r="E503" s="26" t="str">
        <f t="shared" si="126"/>
        <v>EC67103</v>
      </c>
      <c r="F503" s="27" t="str">
        <f t="shared" si="127"/>
        <v>DARK</v>
      </c>
      <c r="G503" s="27">
        <f>+VLOOKUP(F503,[1]base!A:B,2,0)</f>
        <v>38</v>
      </c>
      <c r="H503" s="12">
        <v>18</v>
      </c>
      <c r="I503" s="12">
        <v>18</v>
      </c>
      <c r="J503" s="14"/>
      <c r="K503" s="14" t="s">
        <v>61</v>
      </c>
      <c r="L503" s="12" t="s">
        <v>850</v>
      </c>
      <c r="M503" s="12" t="s">
        <v>150</v>
      </c>
      <c r="N503" s="12">
        <v>18</v>
      </c>
      <c r="O503" s="12">
        <v>18</v>
      </c>
      <c r="P503" s="12">
        <v>0</v>
      </c>
      <c r="Q503" s="16">
        <v>18</v>
      </c>
      <c r="R503" s="16">
        <v>0</v>
      </c>
      <c r="S503" s="16"/>
      <c r="T503" s="28">
        <v>18</v>
      </c>
      <c r="U503" s="28"/>
      <c r="V503" s="29">
        <f>+VLOOKUP(E503,[1]base!D:K,8,0)</f>
        <v>6.0449999999999999</v>
      </c>
      <c r="W503" s="29">
        <f t="shared" si="128"/>
        <v>108.81</v>
      </c>
      <c r="X503" s="29">
        <f t="shared" si="129"/>
        <v>5.6581200000000003</v>
      </c>
      <c r="Y503" s="29">
        <f>+VLOOKUP(E503,[1]base!D:E,2,0)</f>
        <v>12</v>
      </c>
      <c r="Z503" s="29">
        <f t="shared" si="130"/>
        <v>2</v>
      </c>
      <c r="AA503" s="29">
        <f t="shared" si="131"/>
        <v>0.13333333333333339</v>
      </c>
      <c r="AB503" s="29">
        <f>+VLOOKUP(E503,[1]base!M:N,2,0)</f>
        <v>683</v>
      </c>
      <c r="AC503" s="29">
        <f>+VLOOKUP(E503,[1]base!M:Q,5,0)</f>
        <v>720.75</v>
      </c>
      <c r="AD503" s="30">
        <f>+VLOOKUP(E503,[1]base!M:P,4,0)</f>
        <v>8.3221476510067116E-2</v>
      </c>
      <c r="AE503" s="31">
        <f t="shared" si="132"/>
        <v>148.05973154362414</v>
      </c>
    </row>
    <row r="504" spans="1:31" x14ac:dyDescent="0.25">
      <c r="A504" s="12" t="s">
        <v>843</v>
      </c>
      <c r="B504" s="13">
        <v>46261.381307870368</v>
      </c>
      <c r="C504" s="12" t="s">
        <v>398</v>
      </c>
      <c r="D504" s="12" t="s">
        <v>530</v>
      </c>
      <c r="E504" s="26" t="str">
        <f t="shared" si="126"/>
        <v>EC67105</v>
      </c>
      <c r="F504" s="27" t="str">
        <f t="shared" si="127"/>
        <v>DARK</v>
      </c>
      <c r="G504" s="27">
        <f>+VLOOKUP(F504,[1]base!A:B,2,0)</f>
        <v>38</v>
      </c>
      <c r="H504" s="12">
        <v>10</v>
      </c>
      <c r="I504" s="12">
        <v>10</v>
      </c>
      <c r="J504" s="14"/>
      <c r="K504" s="14" t="s">
        <v>61</v>
      </c>
      <c r="L504" s="12" t="s">
        <v>849</v>
      </c>
      <c r="M504" s="12" t="s">
        <v>150</v>
      </c>
      <c r="N504" s="12">
        <v>10</v>
      </c>
      <c r="O504" s="12">
        <v>10</v>
      </c>
      <c r="P504" s="12">
        <v>0</v>
      </c>
      <c r="Q504" s="16">
        <v>10</v>
      </c>
      <c r="R504" s="16">
        <v>0</v>
      </c>
      <c r="S504" s="16"/>
      <c r="T504" s="28">
        <v>10</v>
      </c>
      <c r="U504" s="28"/>
      <c r="V504" s="29">
        <f>+VLOOKUP(E504,[1]base!D:K,8,0)</f>
        <v>2.9445000000000001</v>
      </c>
      <c r="W504" s="29">
        <f t="shared" si="128"/>
        <v>29.445</v>
      </c>
      <c r="X504" s="29">
        <f t="shared" si="129"/>
        <v>1.5311399999999999</v>
      </c>
      <c r="Y504" s="29">
        <f>+VLOOKUP(E504,[1]base!D:E,2,0)</f>
        <v>13</v>
      </c>
      <c r="Z504" s="29">
        <f t="shared" si="130"/>
        <v>1</v>
      </c>
      <c r="AA504" s="29">
        <f t="shared" si="131"/>
        <v>6.6666666666666693E-2</v>
      </c>
      <c r="AB504" s="29">
        <f>+VLOOKUP(E504,[1]base!M:N,2,0)</f>
        <v>78</v>
      </c>
      <c r="AC504" s="29">
        <f>+VLOOKUP(E504,[1]base!M:Q,5,0)</f>
        <v>520.63636363636363</v>
      </c>
      <c r="AD504" s="30">
        <f>+VLOOKUP(E504,[1]base!M:P,4,0)</f>
        <v>0.68421052631578949</v>
      </c>
      <c r="AE504" s="31">
        <f t="shared" si="132"/>
        <v>-29.96842105263158</v>
      </c>
    </row>
    <row r="505" spans="1:31" x14ac:dyDescent="0.25">
      <c r="A505" s="12" t="s">
        <v>1123</v>
      </c>
      <c r="B505" s="13">
        <v>46267.314710648148</v>
      </c>
      <c r="C505" s="12" t="s">
        <v>24</v>
      </c>
      <c r="D505" s="12" t="s">
        <v>530</v>
      </c>
      <c r="E505" s="26" t="str">
        <f t="shared" si="126"/>
        <v>EC67105</v>
      </c>
      <c r="F505" s="27" t="str">
        <f t="shared" si="127"/>
        <v>DARK</v>
      </c>
      <c r="G505" s="27">
        <f>+VLOOKUP(F505,[1]base!A:B,2,0)</f>
        <v>38</v>
      </c>
      <c r="H505" s="12">
        <v>2</v>
      </c>
      <c r="I505" s="12">
        <v>2</v>
      </c>
      <c r="J505" s="14"/>
      <c r="K505" s="14" t="s">
        <v>61</v>
      </c>
      <c r="L505" s="12" t="s">
        <v>1133</v>
      </c>
      <c r="M505" s="12" t="s">
        <v>150</v>
      </c>
      <c r="N505" s="12">
        <v>2</v>
      </c>
      <c r="O505" s="12">
        <v>2</v>
      </c>
      <c r="P505" s="12">
        <v>0</v>
      </c>
      <c r="Q505" s="16">
        <v>2</v>
      </c>
      <c r="R505" s="16">
        <v>0</v>
      </c>
      <c r="S505" s="16"/>
      <c r="T505" s="28">
        <v>2</v>
      </c>
      <c r="U505" s="28"/>
      <c r="V505" s="29">
        <f>+VLOOKUP(E505,[1]base!D:K,8,0)</f>
        <v>2.9445000000000001</v>
      </c>
      <c r="W505" s="29">
        <f t="shared" si="128"/>
        <v>5.8890000000000002</v>
      </c>
      <c r="X505" s="29">
        <f t="shared" si="129"/>
        <v>0.306228</v>
      </c>
      <c r="Y505" s="29">
        <f>+VLOOKUP(E505,[1]base!D:E,2,0)</f>
        <v>13</v>
      </c>
      <c r="Z505" s="29">
        <f t="shared" si="130"/>
        <v>1</v>
      </c>
      <c r="AA505" s="29">
        <f t="shared" si="131"/>
        <v>6.6666666666666693E-2</v>
      </c>
      <c r="AB505" s="29">
        <f>+VLOOKUP(E505,[1]base!M:N,2,0)</f>
        <v>78</v>
      </c>
      <c r="AC505" s="29">
        <f>+VLOOKUP(E505,[1]base!M:Q,5,0)</f>
        <v>520.63636363636363</v>
      </c>
      <c r="AD505" s="30">
        <f>+VLOOKUP(E505,[1]base!M:P,4,0)</f>
        <v>0.68421052631578949</v>
      </c>
      <c r="AE505" s="31">
        <f t="shared" si="132"/>
        <v>-29.96842105263158</v>
      </c>
    </row>
    <row r="506" spans="1:31" x14ac:dyDescent="0.25">
      <c r="A506" s="12" t="s">
        <v>843</v>
      </c>
      <c r="B506" s="13">
        <v>46261.381307870368</v>
      </c>
      <c r="C506" s="12" t="s">
        <v>398</v>
      </c>
      <c r="D506" s="12" t="s">
        <v>845</v>
      </c>
      <c r="E506" s="26" t="str">
        <f t="shared" si="126"/>
        <v>FR100</v>
      </c>
      <c r="F506" s="27" t="str">
        <f t="shared" si="127"/>
        <v>DARK</v>
      </c>
      <c r="G506" s="27">
        <f>+VLOOKUP(F506,[1]base!A:B,2,0)</f>
        <v>38</v>
      </c>
      <c r="H506" s="12">
        <v>10</v>
      </c>
      <c r="I506" s="12">
        <v>10</v>
      </c>
      <c r="J506" s="14"/>
      <c r="K506" s="14" t="s">
        <v>61</v>
      </c>
      <c r="L506" s="12" t="s">
        <v>852</v>
      </c>
      <c r="M506" s="12" t="s">
        <v>150</v>
      </c>
      <c r="N506" s="12">
        <v>10</v>
      </c>
      <c r="O506" s="12">
        <v>10</v>
      </c>
      <c r="P506" s="12">
        <v>0</v>
      </c>
      <c r="Q506" s="16">
        <v>10</v>
      </c>
      <c r="R506" s="16">
        <v>0</v>
      </c>
      <c r="S506" s="16"/>
      <c r="T506" s="28">
        <v>10</v>
      </c>
      <c r="U506" s="28"/>
      <c r="V506" s="29">
        <f>+VLOOKUP(E506,[1]base!D:K,8,0)</f>
        <v>5.4209999999999994</v>
      </c>
      <c r="W506" s="29">
        <f t="shared" si="128"/>
        <v>54.209999999999994</v>
      </c>
      <c r="X506" s="29">
        <f t="shared" si="129"/>
        <v>2.8189199999999994</v>
      </c>
      <c r="Y506" s="29">
        <f>+VLOOKUP(E506,[1]base!D:E,2,0)</f>
        <v>13</v>
      </c>
      <c r="Z506" s="29">
        <f t="shared" si="130"/>
        <v>1</v>
      </c>
      <c r="AA506" s="29">
        <f t="shared" si="131"/>
        <v>6.6666666666666693E-2</v>
      </c>
      <c r="AB506" s="29">
        <f>+VLOOKUP(E506,[1]base!M:N,2,0)</f>
        <v>263</v>
      </c>
      <c r="AC506" s="29">
        <f>+VLOOKUP(E506,[1]base!M:Q,5,0)</f>
        <v>812.5</v>
      </c>
      <c r="AD506" s="30">
        <f>+VLOOKUP(E506,[1]base!M:P,4,0)</f>
        <v>0.25071225071225073</v>
      </c>
      <c r="AE506" s="31">
        <f t="shared" si="132"/>
        <v>12.962678062678055</v>
      </c>
    </row>
    <row r="507" spans="1:31" x14ac:dyDescent="0.25">
      <c r="A507" s="12" t="s">
        <v>1021</v>
      </c>
      <c r="B507" s="13">
        <v>46266.424675925926</v>
      </c>
      <c r="C507" s="12" t="s">
        <v>24</v>
      </c>
      <c r="D507" s="12" t="s">
        <v>845</v>
      </c>
      <c r="E507" s="26" t="str">
        <f t="shared" si="126"/>
        <v>FR100</v>
      </c>
      <c r="F507" s="27" t="str">
        <f t="shared" si="127"/>
        <v>DARK</v>
      </c>
      <c r="G507" s="27">
        <f>+VLOOKUP(F507,[1]base!A:B,2,0)</f>
        <v>38</v>
      </c>
      <c r="H507" s="12">
        <v>4</v>
      </c>
      <c r="I507" s="12">
        <v>4</v>
      </c>
      <c r="J507" s="14"/>
      <c r="K507" s="14" t="s">
        <v>61</v>
      </c>
      <c r="L507" s="12" t="s">
        <v>1067</v>
      </c>
      <c r="M507" s="12" t="s">
        <v>150</v>
      </c>
      <c r="N507" s="12">
        <v>4</v>
      </c>
      <c r="O507" s="12">
        <v>4</v>
      </c>
      <c r="P507" s="12">
        <v>0</v>
      </c>
      <c r="Q507" s="16">
        <v>4</v>
      </c>
      <c r="R507" s="16">
        <v>0</v>
      </c>
      <c r="S507" s="16"/>
      <c r="T507" s="28">
        <v>4</v>
      </c>
      <c r="U507" s="28"/>
      <c r="V507" s="29">
        <f>+VLOOKUP(E507,[1]base!D:K,8,0)</f>
        <v>5.4209999999999994</v>
      </c>
      <c r="W507" s="29">
        <f t="shared" si="128"/>
        <v>21.683999999999997</v>
      </c>
      <c r="X507" s="29">
        <f t="shared" si="129"/>
        <v>1.1275679999999999</v>
      </c>
      <c r="Y507" s="29">
        <f>+VLOOKUP(E507,[1]base!D:E,2,0)</f>
        <v>13</v>
      </c>
      <c r="Z507" s="29">
        <f t="shared" si="130"/>
        <v>1</v>
      </c>
      <c r="AA507" s="29">
        <f t="shared" si="131"/>
        <v>6.6666666666666693E-2</v>
      </c>
      <c r="AB507" s="29">
        <f>+VLOOKUP(E507,[1]base!M:N,2,0)</f>
        <v>263</v>
      </c>
      <c r="AC507" s="29">
        <f>+VLOOKUP(E507,[1]base!M:Q,5,0)</f>
        <v>812.5</v>
      </c>
      <c r="AD507" s="30">
        <f>+VLOOKUP(E507,[1]base!M:P,4,0)</f>
        <v>0.25071225071225073</v>
      </c>
      <c r="AE507" s="31">
        <f t="shared" si="132"/>
        <v>12.962678062678055</v>
      </c>
    </row>
    <row r="508" spans="1:31" x14ac:dyDescent="0.25">
      <c r="A508" s="12" t="s">
        <v>1635</v>
      </c>
      <c r="B508" s="13">
        <v>46275.398229166669</v>
      </c>
      <c r="C508" s="12" t="s">
        <v>1636</v>
      </c>
      <c r="D508" s="12" t="s">
        <v>845</v>
      </c>
      <c r="E508" s="26" t="str">
        <f t="shared" si="126"/>
        <v>FR100</v>
      </c>
      <c r="F508" s="27" t="str">
        <f t="shared" si="127"/>
        <v>DARK</v>
      </c>
      <c r="G508" s="27">
        <f>+VLOOKUP(F508,[1]base!A:B,2,0)</f>
        <v>38</v>
      </c>
      <c r="H508" s="12">
        <v>8</v>
      </c>
      <c r="I508" s="12">
        <v>8</v>
      </c>
      <c r="J508" s="14"/>
      <c r="K508" s="14" t="s">
        <v>61</v>
      </c>
      <c r="L508" s="12" t="s">
        <v>1639</v>
      </c>
      <c r="M508" s="12" t="s">
        <v>150</v>
      </c>
      <c r="N508" s="12">
        <v>8</v>
      </c>
      <c r="O508" s="12">
        <v>8</v>
      </c>
      <c r="P508" s="12">
        <v>0</v>
      </c>
      <c r="Q508" s="16">
        <v>8</v>
      </c>
      <c r="R508" s="16">
        <v>0</v>
      </c>
      <c r="S508" s="16"/>
      <c r="T508" s="28">
        <v>8</v>
      </c>
      <c r="U508" s="28"/>
      <c r="V508" s="29">
        <f>+VLOOKUP(E508,[1]base!D:K,8,0)</f>
        <v>5.4209999999999994</v>
      </c>
      <c r="W508" s="29">
        <f t="shared" si="128"/>
        <v>43.367999999999995</v>
      </c>
      <c r="X508" s="29">
        <f t="shared" si="129"/>
        <v>2.2551359999999998</v>
      </c>
      <c r="Y508" s="29">
        <f>+VLOOKUP(E508,[1]base!D:E,2,0)</f>
        <v>13</v>
      </c>
      <c r="Z508" s="29">
        <f t="shared" si="130"/>
        <v>1</v>
      </c>
      <c r="AA508" s="29">
        <f t="shared" si="131"/>
        <v>6.6666666666666693E-2</v>
      </c>
      <c r="AB508" s="29">
        <f>+VLOOKUP(E508,[1]base!M:N,2,0)</f>
        <v>263</v>
      </c>
      <c r="AC508" s="29">
        <f>+VLOOKUP(E508,[1]base!M:Q,5,0)</f>
        <v>812.5</v>
      </c>
      <c r="AD508" s="30">
        <f>+VLOOKUP(E508,[1]base!M:P,4,0)</f>
        <v>0.25071225071225073</v>
      </c>
      <c r="AE508" s="31">
        <f t="shared" si="132"/>
        <v>12.962678062678055</v>
      </c>
    </row>
    <row r="509" spans="1:31" x14ac:dyDescent="0.25">
      <c r="A509" s="12" t="s">
        <v>1153</v>
      </c>
      <c r="B509" s="13">
        <v>46267.412812499999</v>
      </c>
      <c r="C509" s="12" t="s">
        <v>522</v>
      </c>
      <c r="D509" s="12" t="s">
        <v>1014</v>
      </c>
      <c r="E509" s="26" t="str">
        <f t="shared" si="126"/>
        <v>FR110</v>
      </c>
      <c r="F509" s="27" t="str">
        <f t="shared" si="127"/>
        <v>DARK</v>
      </c>
      <c r="G509" s="27">
        <f>+VLOOKUP(F509,[1]base!A:B,2,0)</f>
        <v>38</v>
      </c>
      <c r="H509" s="12">
        <v>6</v>
      </c>
      <c r="I509" s="12">
        <v>6</v>
      </c>
      <c r="J509" s="14"/>
      <c r="K509" s="14" t="s">
        <v>61</v>
      </c>
      <c r="L509" s="12" t="s">
        <v>1170</v>
      </c>
      <c r="M509" s="12" t="s">
        <v>150</v>
      </c>
      <c r="N509" s="12">
        <v>6</v>
      </c>
      <c r="O509" s="12">
        <v>6</v>
      </c>
      <c r="P509" s="12">
        <v>0</v>
      </c>
      <c r="Q509" s="16">
        <v>6</v>
      </c>
      <c r="R509" s="16">
        <v>0</v>
      </c>
      <c r="S509" s="16"/>
      <c r="T509" s="28">
        <v>6</v>
      </c>
      <c r="U509" s="28"/>
      <c r="V509" s="29">
        <f>+VLOOKUP(E509,[1]base!D:K,8,0)</f>
        <v>1.7030000000000001</v>
      </c>
      <c r="W509" s="29">
        <f t="shared" si="128"/>
        <v>10.218</v>
      </c>
      <c r="X509" s="29">
        <f t="shared" si="129"/>
        <v>0.53133599999999992</v>
      </c>
      <c r="Y509" s="29">
        <f>+VLOOKUP(E509,[1]base!D:E,2,0)</f>
        <v>20</v>
      </c>
      <c r="Z509" s="29">
        <f t="shared" si="130"/>
        <v>1</v>
      </c>
      <c r="AA509" s="29">
        <f t="shared" si="131"/>
        <v>6.6666666666666693E-2</v>
      </c>
      <c r="AB509" s="29">
        <f>+VLOOKUP(E509,[1]base!M:N,2,0)</f>
        <v>142</v>
      </c>
      <c r="AC509" s="29">
        <f>+VLOOKUP(E509,[1]base!M:Q,5,0)</f>
        <v>52.125</v>
      </c>
      <c r="AD509" s="30">
        <f>+VLOOKUP(E509,[1]base!M:P,4,0)</f>
        <v>0.12883435582822086</v>
      </c>
      <c r="AE509" s="31">
        <f t="shared" si="132"/>
        <v>24.305521472392634</v>
      </c>
    </row>
    <row r="510" spans="1:31" x14ac:dyDescent="0.25">
      <c r="A510" s="12" t="s">
        <v>1123</v>
      </c>
      <c r="B510" s="13">
        <v>46267.314710648148</v>
      </c>
      <c r="C510" s="12" t="s">
        <v>24</v>
      </c>
      <c r="D510" s="12" t="s">
        <v>1126</v>
      </c>
      <c r="E510" s="26" t="str">
        <f t="shared" si="126"/>
        <v>FR111</v>
      </c>
      <c r="F510" s="27" t="str">
        <f t="shared" si="127"/>
        <v>DARK</v>
      </c>
      <c r="G510" s="27">
        <f>+VLOOKUP(F510,[1]base!A:B,2,0)</f>
        <v>38</v>
      </c>
      <c r="H510" s="12">
        <v>10</v>
      </c>
      <c r="I510" s="12">
        <v>10</v>
      </c>
      <c r="J510" s="14"/>
      <c r="K510" s="14" t="s">
        <v>61</v>
      </c>
      <c r="L510" s="12" t="s">
        <v>1134</v>
      </c>
      <c r="M510" s="12" t="s">
        <v>150</v>
      </c>
      <c r="N510" s="12">
        <v>10</v>
      </c>
      <c r="O510" s="12">
        <v>10</v>
      </c>
      <c r="P510" s="12">
        <v>0</v>
      </c>
      <c r="Q510" s="16">
        <v>10</v>
      </c>
      <c r="R510" s="16">
        <v>1</v>
      </c>
      <c r="S510" s="16"/>
      <c r="T510" s="28">
        <v>10</v>
      </c>
      <c r="U510" s="28"/>
      <c r="V510" s="29">
        <f>+VLOOKUP(E510,[1]base!D:K,8,0)</f>
        <v>1.7030000000000001</v>
      </c>
      <c r="W510" s="29">
        <f t="shared" si="128"/>
        <v>17.03</v>
      </c>
      <c r="X510" s="29">
        <f t="shared" si="129"/>
        <v>0.88556000000000001</v>
      </c>
      <c r="Y510" s="29">
        <f>+VLOOKUP(E510,[1]base!D:E,2,0)</f>
        <v>20</v>
      </c>
      <c r="Z510" s="29">
        <f t="shared" si="130"/>
        <v>1</v>
      </c>
      <c r="AA510" s="29">
        <f t="shared" si="131"/>
        <v>6.6666666666666693E-2</v>
      </c>
      <c r="AB510" s="29">
        <f>+VLOOKUP(E510,[1]base!M:N,2,0)</f>
        <v>5</v>
      </c>
      <c r="AC510" s="29">
        <f>+VLOOKUP(E510,[1]base!M:Q,5,0)</f>
        <v>341.625</v>
      </c>
      <c r="AD510" s="30">
        <f>+VLOOKUP(E510,[1]base!M:P,4,0)</f>
        <v>0.92753623188405798</v>
      </c>
      <c r="AE510" s="31">
        <f t="shared" si="132"/>
        <v>-3.13768115942029</v>
      </c>
    </row>
    <row r="511" spans="1:31" x14ac:dyDescent="0.25">
      <c r="A511" s="12" t="s">
        <v>963</v>
      </c>
      <c r="B511" s="13">
        <v>46265.30091435185</v>
      </c>
      <c r="C511" s="12" t="s">
        <v>484</v>
      </c>
      <c r="D511" s="12" t="s">
        <v>967</v>
      </c>
      <c r="E511" s="26" t="str">
        <f t="shared" si="126"/>
        <v>FR112</v>
      </c>
      <c r="F511" s="27" t="str">
        <f t="shared" si="127"/>
        <v>DARK</v>
      </c>
      <c r="G511" s="27">
        <f>+VLOOKUP(F511,[1]base!A:B,2,0)</f>
        <v>38</v>
      </c>
      <c r="H511" s="12">
        <v>1</v>
      </c>
      <c r="I511" s="12">
        <v>1</v>
      </c>
      <c r="J511" s="14"/>
      <c r="K511" s="14" t="s">
        <v>61</v>
      </c>
      <c r="L511" s="12" t="s">
        <v>973</v>
      </c>
      <c r="M511" s="12" t="s">
        <v>150</v>
      </c>
      <c r="N511" s="12">
        <v>1</v>
      </c>
      <c r="O511" s="12">
        <v>1</v>
      </c>
      <c r="P511" s="12">
        <v>0</v>
      </c>
      <c r="Q511" s="16">
        <v>1</v>
      </c>
      <c r="R511" s="16">
        <v>0</v>
      </c>
      <c r="S511" s="16"/>
      <c r="T511" s="28">
        <v>1</v>
      </c>
      <c r="U511" s="28"/>
      <c r="V511" s="29">
        <f>+VLOOKUP(E511,[1]base!D:K,8,0)</f>
        <v>4.5175000000000001</v>
      </c>
      <c r="W511" s="29">
        <f t="shared" si="128"/>
        <v>4.5175000000000001</v>
      </c>
      <c r="X511" s="29">
        <f t="shared" si="129"/>
        <v>0.23490999999999998</v>
      </c>
      <c r="Y511" s="29">
        <f>+VLOOKUP(E511,[1]base!D:E,2,0)</f>
        <v>14</v>
      </c>
      <c r="Z511" s="29">
        <f t="shared" si="130"/>
        <v>1</v>
      </c>
      <c r="AA511" s="29">
        <f t="shared" si="131"/>
        <v>6.6666666666666693E-2</v>
      </c>
      <c r="AB511" s="29">
        <f>+VLOOKUP(E511,[1]base!M:N,2,0)</f>
        <v>7</v>
      </c>
      <c r="AC511" s="29">
        <f>+VLOOKUP(E511,[1]base!M:Q,5,0)</f>
        <v>110.9</v>
      </c>
      <c r="AD511" s="30">
        <f>+VLOOKUP(E511,[1]base!M:P,4,0)</f>
        <v>0.70833333333333337</v>
      </c>
      <c r="AE511" s="31">
        <f t="shared" si="132"/>
        <v>-2.8583333333333338</v>
      </c>
    </row>
    <row r="512" spans="1:31" x14ac:dyDescent="0.25">
      <c r="A512" s="12" t="s">
        <v>1123</v>
      </c>
      <c r="B512" s="13">
        <v>46267.314710648148</v>
      </c>
      <c r="C512" s="12" t="s">
        <v>24</v>
      </c>
      <c r="D512" s="12" t="s">
        <v>967</v>
      </c>
      <c r="E512" s="26" t="str">
        <f t="shared" si="126"/>
        <v>FR112</v>
      </c>
      <c r="F512" s="27" t="str">
        <f t="shared" si="127"/>
        <v>DARK</v>
      </c>
      <c r="G512" s="27">
        <f>+VLOOKUP(F512,[1]base!A:B,2,0)</f>
        <v>38</v>
      </c>
      <c r="H512" s="12">
        <v>3</v>
      </c>
      <c r="I512" s="12">
        <v>3</v>
      </c>
      <c r="J512" s="14"/>
      <c r="K512" s="14" t="s">
        <v>61</v>
      </c>
      <c r="L512" s="12" t="s">
        <v>1138</v>
      </c>
      <c r="M512" s="12" t="s">
        <v>150</v>
      </c>
      <c r="N512" s="12">
        <v>3</v>
      </c>
      <c r="O512" s="12">
        <v>3</v>
      </c>
      <c r="P512" s="12">
        <v>0</v>
      </c>
      <c r="Q512" s="16">
        <v>3</v>
      </c>
      <c r="R512" s="16">
        <v>0</v>
      </c>
      <c r="S512" s="16"/>
      <c r="T512" s="28">
        <v>3</v>
      </c>
      <c r="U512" s="28"/>
      <c r="V512" s="29">
        <f>+VLOOKUP(E512,[1]base!D:K,8,0)</f>
        <v>4.5175000000000001</v>
      </c>
      <c r="W512" s="29">
        <f t="shared" si="128"/>
        <v>13.5525</v>
      </c>
      <c r="X512" s="29">
        <f t="shared" si="129"/>
        <v>0.70472999999999997</v>
      </c>
      <c r="Y512" s="29">
        <f>+VLOOKUP(E512,[1]base!D:E,2,0)</f>
        <v>14</v>
      </c>
      <c r="Z512" s="29">
        <f t="shared" si="130"/>
        <v>1</v>
      </c>
      <c r="AA512" s="29">
        <f t="shared" si="131"/>
        <v>6.6666666666666693E-2</v>
      </c>
      <c r="AB512" s="29">
        <f>+VLOOKUP(E512,[1]base!M:N,2,0)</f>
        <v>7</v>
      </c>
      <c r="AC512" s="29">
        <f>+VLOOKUP(E512,[1]base!M:Q,5,0)</f>
        <v>110.9</v>
      </c>
      <c r="AD512" s="30">
        <f>+VLOOKUP(E512,[1]base!M:P,4,0)</f>
        <v>0.70833333333333337</v>
      </c>
      <c r="AE512" s="31">
        <f t="shared" si="132"/>
        <v>-2.8583333333333338</v>
      </c>
    </row>
    <row r="513" spans="1:31" x14ac:dyDescent="0.25">
      <c r="A513" s="12" t="s">
        <v>1153</v>
      </c>
      <c r="B513" s="13">
        <v>46267.412812499999</v>
      </c>
      <c r="C513" s="12" t="s">
        <v>522</v>
      </c>
      <c r="D513" s="12" t="s">
        <v>967</v>
      </c>
      <c r="E513" s="26" t="str">
        <f t="shared" si="126"/>
        <v>FR112</v>
      </c>
      <c r="F513" s="27" t="str">
        <f t="shared" si="127"/>
        <v>DARK</v>
      </c>
      <c r="G513" s="27">
        <f>+VLOOKUP(F513,[1]base!A:B,2,0)</f>
        <v>38</v>
      </c>
      <c r="H513" s="12">
        <v>1</v>
      </c>
      <c r="I513" s="12">
        <v>1</v>
      </c>
      <c r="J513" s="14"/>
      <c r="K513" s="14" t="s">
        <v>26</v>
      </c>
      <c r="L513" s="12" t="s">
        <v>1171</v>
      </c>
      <c r="M513" s="12" t="s">
        <v>150</v>
      </c>
      <c r="N513" s="12">
        <v>1</v>
      </c>
      <c r="O513" s="12">
        <v>1</v>
      </c>
      <c r="P513" s="12">
        <v>0</v>
      </c>
      <c r="Q513" s="16">
        <v>0</v>
      </c>
      <c r="R513" s="16">
        <v>0</v>
      </c>
      <c r="S513" s="16"/>
      <c r="T513" s="28">
        <v>1</v>
      </c>
      <c r="U513" s="28"/>
      <c r="V513" s="29">
        <f>+VLOOKUP(E513,[1]base!D:K,8,0)</f>
        <v>4.5175000000000001</v>
      </c>
      <c r="W513" s="29">
        <f t="shared" si="128"/>
        <v>4.5175000000000001</v>
      </c>
      <c r="X513" s="29">
        <f t="shared" si="129"/>
        <v>0.23490999999999998</v>
      </c>
      <c r="Y513" s="29">
        <f>+VLOOKUP(E513,[1]base!D:E,2,0)</f>
        <v>14</v>
      </c>
      <c r="Z513" s="29">
        <f t="shared" si="130"/>
        <v>1</v>
      </c>
      <c r="AA513" s="29">
        <f t="shared" si="131"/>
        <v>6.6666666666666693E-2</v>
      </c>
      <c r="AB513" s="29">
        <f>+VLOOKUP(E513,[1]base!M:N,2,0)</f>
        <v>7</v>
      </c>
      <c r="AC513" s="29">
        <f>+VLOOKUP(E513,[1]base!M:Q,5,0)</f>
        <v>110.9</v>
      </c>
      <c r="AD513" s="30">
        <f>+VLOOKUP(E513,[1]base!M:P,4,0)</f>
        <v>0.70833333333333337</v>
      </c>
      <c r="AE513" s="31">
        <f t="shared" si="132"/>
        <v>-2.8583333333333338</v>
      </c>
    </row>
    <row r="514" spans="1:31" x14ac:dyDescent="0.25">
      <c r="A514" s="12" t="s">
        <v>1635</v>
      </c>
      <c r="B514" s="13">
        <v>46275.398229166669</v>
      </c>
      <c r="C514" s="12" t="s">
        <v>1636</v>
      </c>
      <c r="D514" s="12" t="s">
        <v>967</v>
      </c>
      <c r="E514" s="26" t="str">
        <f t="shared" si="126"/>
        <v>FR112</v>
      </c>
      <c r="F514" s="27" t="str">
        <f t="shared" si="127"/>
        <v>DARK</v>
      </c>
      <c r="G514" s="27">
        <f>+VLOOKUP(F514,[1]base!A:B,2,0)</f>
        <v>38</v>
      </c>
      <c r="H514" s="12">
        <v>1</v>
      </c>
      <c r="I514" s="12">
        <v>1</v>
      </c>
      <c r="J514" s="14"/>
      <c r="K514" s="14" t="s">
        <v>61</v>
      </c>
      <c r="L514" s="12" t="s">
        <v>1641</v>
      </c>
      <c r="M514" s="12" t="s">
        <v>150</v>
      </c>
      <c r="N514" s="12">
        <v>1</v>
      </c>
      <c r="O514" s="12">
        <v>1</v>
      </c>
      <c r="P514" s="12">
        <v>0</v>
      </c>
      <c r="Q514" s="16">
        <v>1</v>
      </c>
      <c r="R514" s="16">
        <v>0</v>
      </c>
      <c r="S514" s="16"/>
      <c r="T514" s="28">
        <v>1</v>
      </c>
      <c r="U514" s="28"/>
      <c r="V514" s="29">
        <f>+VLOOKUP(E514,[1]base!D:K,8,0)</f>
        <v>4.5175000000000001</v>
      </c>
      <c r="W514" s="29">
        <f t="shared" si="128"/>
        <v>4.5175000000000001</v>
      </c>
      <c r="X514" s="29">
        <f t="shared" si="129"/>
        <v>0.23490999999999998</v>
      </c>
      <c r="Y514" s="29">
        <f>+VLOOKUP(E514,[1]base!D:E,2,0)</f>
        <v>14</v>
      </c>
      <c r="Z514" s="29">
        <f t="shared" si="130"/>
        <v>1</v>
      </c>
      <c r="AA514" s="29">
        <f t="shared" si="131"/>
        <v>6.6666666666666693E-2</v>
      </c>
      <c r="AB514" s="29">
        <f>+VLOOKUP(E514,[1]base!M:N,2,0)</f>
        <v>7</v>
      </c>
      <c r="AC514" s="29">
        <f>+VLOOKUP(E514,[1]base!M:Q,5,0)</f>
        <v>110.9</v>
      </c>
      <c r="AD514" s="30">
        <f>+VLOOKUP(E514,[1]base!M:P,4,0)</f>
        <v>0.70833333333333337</v>
      </c>
      <c r="AE514" s="31">
        <f t="shared" si="132"/>
        <v>-2.8583333333333338</v>
      </c>
    </row>
    <row r="515" spans="1:31" x14ac:dyDescent="0.25">
      <c r="A515" s="12" t="s">
        <v>843</v>
      </c>
      <c r="B515" s="13">
        <v>46261.381307870368</v>
      </c>
      <c r="C515" s="12" t="s">
        <v>398</v>
      </c>
      <c r="D515" s="12" t="s">
        <v>846</v>
      </c>
      <c r="E515" s="26" t="str">
        <f t="shared" si="126"/>
        <v>FR121</v>
      </c>
      <c r="F515" s="27" t="str">
        <f t="shared" si="127"/>
        <v>DARK</v>
      </c>
      <c r="G515" s="27">
        <f>+VLOOKUP(F515,[1]base!A:B,2,0)</f>
        <v>38</v>
      </c>
      <c r="H515" s="12">
        <v>2</v>
      </c>
      <c r="I515" s="12">
        <v>2</v>
      </c>
      <c r="J515" s="14"/>
      <c r="K515" s="14" t="s">
        <v>61</v>
      </c>
      <c r="L515" s="12" t="s">
        <v>853</v>
      </c>
      <c r="M515" s="12" t="s">
        <v>150</v>
      </c>
      <c r="N515" s="12">
        <v>2</v>
      </c>
      <c r="O515" s="12">
        <v>2</v>
      </c>
      <c r="P515" s="12">
        <v>0</v>
      </c>
      <c r="Q515" s="16">
        <v>2</v>
      </c>
      <c r="R515" s="16">
        <v>0</v>
      </c>
      <c r="S515" s="16"/>
      <c r="T515" s="28">
        <v>2</v>
      </c>
      <c r="U515" s="28"/>
      <c r="V515" s="29">
        <f>+VLOOKUP(E515,[1]base!D:K,8,0)</f>
        <v>11.173500000000001</v>
      </c>
      <c r="W515" s="29">
        <f t="shared" si="128"/>
        <v>22.347000000000001</v>
      </c>
      <c r="X515" s="29">
        <f t="shared" si="129"/>
        <v>1.1620440000000001</v>
      </c>
      <c r="Y515" s="29">
        <f>+VLOOKUP(E515,[1]base!D:E,2,0)</f>
        <v>9</v>
      </c>
      <c r="Z515" s="29">
        <f t="shared" si="130"/>
        <v>1</v>
      </c>
      <c r="AA515" s="29">
        <f t="shared" si="131"/>
        <v>6.6666666666666693E-2</v>
      </c>
      <c r="AB515" s="29">
        <f>+VLOOKUP(E515,[1]base!M:N,2,0)</f>
        <v>0</v>
      </c>
      <c r="AC515" s="29">
        <f>+VLOOKUP(E515,[1]base!M:Q,5,0)</f>
        <v>108.8</v>
      </c>
      <c r="AD515" s="30">
        <f>+VLOOKUP(E515,[1]base!M:P,4,0)</f>
        <v>1</v>
      </c>
      <c r="AE515" s="31">
        <f t="shared" si="132"/>
        <v>0</v>
      </c>
    </row>
    <row r="516" spans="1:31" x14ac:dyDescent="0.25">
      <c r="A516" s="12" t="s">
        <v>1123</v>
      </c>
      <c r="B516" s="13">
        <v>46267.314710648148</v>
      </c>
      <c r="C516" s="12" t="s">
        <v>24</v>
      </c>
      <c r="D516" s="12" t="s">
        <v>1127</v>
      </c>
      <c r="E516" s="26" t="str">
        <f t="shared" si="126"/>
        <v>FR127</v>
      </c>
      <c r="F516" s="27" t="str">
        <f t="shared" si="127"/>
        <v>DARK</v>
      </c>
      <c r="G516" s="27">
        <f>+VLOOKUP(F516,[1]base!A:B,2,0)</f>
        <v>38</v>
      </c>
      <c r="H516" s="12">
        <v>2</v>
      </c>
      <c r="I516" s="12">
        <v>2</v>
      </c>
      <c r="J516" s="14"/>
      <c r="K516" s="14" t="s">
        <v>61</v>
      </c>
      <c r="L516" s="12" t="s">
        <v>1135</v>
      </c>
      <c r="M516" s="12" t="s">
        <v>150</v>
      </c>
      <c r="N516" s="12">
        <v>2</v>
      </c>
      <c r="O516" s="12">
        <v>2</v>
      </c>
      <c r="P516" s="12">
        <v>0</v>
      </c>
      <c r="Q516" s="16">
        <v>2</v>
      </c>
      <c r="R516" s="16">
        <v>0</v>
      </c>
      <c r="S516" s="16"/>
      <c r="T516" s="28">
        <v>2</v>
      </c>
      <c r="U516" s="28"/>
      <c r="V516" s="29">
        <f>+VLOOKUP(E516,[1]base!D:K,8,0)</f>
        <v>1.9955000000000001</v>
      </c>
      <c r="W516" s="29">
        <f t="shared" si="128"/>
        <v>3.9910000000000001</v>
      </c>
      <c r="X516" s="29">
        <f t="shared" si="129"/>
        <v>0.20753199999999999</v>
      </c>
      <c r="Y516" s="29">
        <f>+VLOOKUP(E516,[1]base!D:E,2,0)</f>
        <v>20</v>
      </c>
      <c r="Z516" s="29">
        <f t="shared" si="130"/>
        <v>1</v>
      </c>
      <c r="AA516" s="29">
        <f t="shared" si="131"/>
        <v>6.6666666666666693E-2</v>
      </c>
      <c r="AB516" s="29">
        <f>+VLOOKUP(E516,[1]base!M:N,2,0)</f>
        <v>17</v>
      </c>
      <c r="AC516" s="29">
        <f>+VLOOKUP(E516,[1]base!M:Q,5,0)</f>
        <v>25.571428571428573</v>
      </c>
      <c r="AD516" s="30">
        <f>+VLOOKUP(E516,[1]base!M:P,4,0)</f>
        <v>0.63829787234042556</v>
      </c>
      <c r="AE516" s="31">
        <f t="shared" si="132"/>
        <v>-5.7510638297872347</v>
      </c>
    </row>
    <row r="517" spans="1:31" x14ac:dyDescent="0.25">
      <c r="A517" s="12" t="s">
        <v>1021</v>
      </c>
      <c r="B517" s="13">
        <v>46266.424675925926</v>
      </c>
      <c r="C517" s="12" t="s">
        <v>24</v>
      </c>
      <c r="D517" s="12" t="s">
        <v>1049</v>
      </c>
      <c r="E517" s="26" t="str">
        <f t="shared" si="126"/>
        <v>FR133</v>
      </c>
      <c r="F517" s="27" t="str">
        <f t="shared" si="127"/>
        <v>DARK</v>
      </c>
      <c r="G517" s="27">
        <f>+VLOOKUP(F517,[1]base!A:B,2,0)</f>
        <v>38</v>
      </c>
      <c r="H517" s="12">
        <v>4</v>
      </c>
      <c r="I517" s="12">
        <v>4</v>
      </c>
      <c r="J517" s="14"/>
      <c r="K517" s="14" t="s">
        <v>61</v>
      </c>
      <c r="L517" s="12" t="s">
        <v>1079</v>
      </c>
      <c r="M517" s="12" t="s">
        <v>150</v>
      </c>
      <c r="N517" s="12">
        <v>4</v>
      </c>
      <c r="O517" s="12">
        <v>4</v>
      </c>
      <c r="P517" s="12">
        <v>0</v>
      </c>
      <c r="Q517" s="16">
        <v>4</v>
      </c>
      <c r="R517" s="16">
        <v>0</v>
      </c>
      <c r="S517" s="16"/>
      <c r="T517" s="28">
        <v>4</v>
      </c>
      <c r="U517" s="28"/>
      <c r="V517" s="29">
        <f>+VLOOKUP(E517,[1]base!D:K,8,0)</f>
        <v>1.43</v>
      </c>
      <c r="W517" s="29">
        <f t="shared" si="128"/>
        <v>5.72</v>
      </c>
      <c r="X517" s="29">
        <f t="shared" si="129"/>
        <v>0.29743999999999998</v>
      </c>
      <c r="Y517" s="29">
        <f>+VLOOKUP(E517,[1]base!D:E,2,0)</f>
        <v>20</v>
      </c>
      <c r="Z517" s="29">
        <f t="shared" si="130"/>
        <v>1</v>
      </c>
      <c r="AA517" s="29">
        <f t="shared" si="131"/>
        <v>6.6666666666666693E-2</v>
      </c>
      <c r="AB517" s="29">
        <f>+VLOOKUP(E517,[1]base!M:N,2,0)</f>
        <v>219</v>
      </c>
      <c r="AC517" s="29">
        <f>+VLOOKUP(E517,[1]base!M:Q,5,0)</f>
        <v>40.25</v>
      </c>
      <c r="AD517" s="30">
        <f>+VLOOKUP(E517,[1]base!M:P,4,0)</f>
        <v>0.27483443708609273</v>
      </c>
      <c r="AE517" s="31">
        <f t="shared" si="132"/>
        <v>5.5112582781456894</v>
      </c>
    </row>
    <row r="518" spans="1:31" x14ac:dyDescent="0.25">
      <c r="A518" s="12" t="s">
        <v>1635</v>
      </c>
      <c r="B518" s="13">
        <v>46275.398229166669</v>
      </c>
      <c r="C518" s="12" t="s">
        <v>1636</v>
      </c>
      <c r="D518" s="12" t="s">
        <v>1637</v>
      </c>
      <c r="E518" s="26" t="str">
        <f t="shared" si="126"/>
        <v>FR135</v>
      </c>
      <c r="F518" s="27" t="str">
        <f t="shared" si="127"/>
        <v>DARK</v>
      </c>
      <c r="G518" s="27">
        <f>+VLOOKUP(F518,[1]base!A:B,2,0)</f>
        <v>38</v>
      </c>
      <c r="H518" s="12">
        <v>9</v>
      </c>
      <c r="I518" s="12">
        <v>9</v>
      </c>
      <c r="J518" s="14"/>
      <c r="K518" s="14" t="s">
        <v>61</v>
      </c>
      <c r="L518" s="12" t="s">
        <v>1643</v>
      </c>
      <c r="M518" s="12" t="s">
        <v>150</v>
      </c>
      <c r="N518" s="12">
        <v>9</v>
      </c>
      <c r="O518" s="12">
        <v>9</v>
      </c>
      <c r="P518" s="12">
        <v>0</v>
      </c>
      <c r="Q518" s="16">
        <v>9</v>
      </c>
      <c r="R518" s="16">
        <v>0</v>
      </c>
      <c r="S518" s="16"/>
      <c r="T518" s="28">
        <v>9</v>
      </c>
      <c r="U518" s="28"/>
      <c r="V518" s="29">
        <f>+VLOOKUP(E518,[1]base!D:K,8,0)</f>
        <v>1.5794999999999999</v>
      </c>
      <c r="W518" s="29">
        <f t="shared" si="128"/>
        <v>14.215499999999999</v>
      </c>
      <c r="X518" s="29">
        <f t="shared" si="129"/>
        <v>0.73920599999999992</v>
      </c>
      <c r="Y518" s="29">
        <f>+VLOOKUP(E518,[1]base!D:E,2,0)</f>
        <v>20</v>
      </c>
      <c r="Z518" s="29">
        <f t="shared" si="130"/>
        <v>1</v>
      </c>
      <c r="AA518" s="29">
        <f t="shared" si="131"/>
        <v>6.6666666666666693E-2</v>
      </c>
      <c r="AB518" s="29">
        <f>+VLOOKUP(E518,[1]base!M:N,2,0)</f>
        <v>12</v>
      </c>
      <c r="AC518" s="29">
        <f>+VLOOKUP(E518,[1]base!M:Q,5,0)</f>
        <v>99</v>
      </c>
      <c r="AD518" s="30">
        <f>+VLOOKUP(E518,[1]base!M:P,4,0)</f>
        <v>0.76470588235294112</v>
      </c>
      <c r="AE518" s="31">
        <f t="shared" si="132"/>
        <v>-5.5764705882352938</v>
      </c>
    </row>
    <row r="519" spans="1:31" x14ac:dyDescent="0.25">
      <c r="A519" s="12" t="s">
        <v>379</v>
      </c>
      <c r="B519" s="13">
        <v>46212.484976851854</v>
      </c>
      <c r="C519" s="12" t="s">
        <v>24</v>
      </c>
      <c r="D519" s="12" t="s">
        <v>381</v>
      </c>
      <c r="E519" s="26" t="str">
        <f t="shared" si="126"/>
        <v>FR139</v>
      </c>
      <c r="F519" s="27" t="str">
        <f t="shared" si="127"/>
        <v>DARK</v>
      </c>
      <c r="G519" s="27">
        <f>+VLOOKUP(F519,[1]base!A:B,2,0)</f>
        <v>38</v>
      </c>
      <c r="H519" s="12">
        <v>30</v>
      </c>
      <c r="I519" s="12">
        <v>30</v>
      </c>
      <c r="J519" s="14"/>
      <c r="K519" s="14" t="s">
        <v>61</v>
      </c>
      <c r="L519" s="12" t="s">
        <v>382</v>
      </c>
      <c r="M519" s="12" t="s">
        <v>150</v>
      </c>
      <c r="N519" s="12">
        <v>30</v>
      </c>
      <c r="O519" s="12">
        <v>30</v>
      </c>
      <c r="P519" s="12">
        <v>0</v>
      </c>
      <c r="Q519" s="16">
        <v>30</v>
      </c>
      <c r="R519" s="16">
        <v>0</v>
      </c>
      <c r="S519" s="16"/>
      <c r="T519" s="33">
        <v>30</v>
      </c>
      <c r="U519" s="33"/>
      <c r="V519" s="29">
        <f>+VLOOKUP(E519,[1]base!D:K,8,0)</f>
        <v>1.794</v>
      </c>
      <c r="W519" s="29">
        <f t="shared" si="128"/>
        <v>53.82</v>
      </c>
      <c r="X519" s="29">
        <f t="shared" si="129"/>
        <v>2.7986399999999998</v>
      </c>
      <c r="Y519" s="29">
        <f>+VLOOKUP(E519,[1]base!D:E,2,0)</f>
        <v>20</v>
      </c>
      <c r="Z519" s="29">
        <f t="shared" si="130"/>
        <v>2</v>
      </c>
      <c r="AA519" s="29">
        <f t="shared" si="131"/>
        <v>0.13333333333333339</v>
      </c>
      <c r="AB519" s="29">
        <f>+VLOOKUP(E519,[1]base!M:N,2,0)</f>
        <v>1978</v>
      </c>
      <c r="AC519" s="29">
        <f>+VLOOKUP(E519,[1]base!M:Q,5,0)</f>
        <v>1480</v>
      </c>
      <c r="AD519" s="30">
        <f>+VLOOKUP(E519,[1]base!M:P,4,0)</f>
        <v>8.595194085027727E-2</v>
      </c>
      <c r="AE519" s="31">
        <f t="shared" si="132"/>
        <v>423.38706099815153</v>
      </c>
    </row>
    <row r="520" spans="1:31" x14ac:dyDescent="0.25">
      <c r="A520" s="12" t="s">
        <v>1635</v>
      </c>
      <c r="B520" s="13">
        <v>46275.398229166669</v>
      </c>
      <c r="C520" s="12" t="s">
        <v>1636</v>
      </c>
      <c r="D520" s="12" t="s">
        <v>381</v>
      </c>
      <c r="E520" s="26" t="str">
        <f t="shared" si="126"/>
        <v>FR139</v>
      </c>
      <c r="F520" s="27" t="str">
        <f t="shared" si="127"/>
        <v>DARK</v>
      </c>
      <c r="G520" s="27">
        <f>+VLOOKUP(F520,[1]base!A:B,2,0)</f>
        <v>38</v>
      </c>
      <c r="H520" s="12">
        <v>2</v>
      </c>
      <c r="I520" s="12">
        <v>2</v>
      </c>
      <c r="J520" s="14"/>
      <c r="K520" s="14" t="s">
        <v>61</v>
      </c>
      <c r="L520" s="12" t="s">
        <v>1640</v>
      </c>
      <c r="M520" s="12" t="s">
        <v>150</v>
      </c>
      <c r="N520" s="12">
        <v>2</v>
      </c>
      <c r="O520" s="12">
        <v>2</v>
      </c>
      <c r="P520" s="12">
        <v>0</v>
      </c>
      <c r="Q520" s="16">
        <v>2</v>
      </c>
      <c r="R520" s="16">
        <v>0</v>
      </c>
      <c r="S520" s="16"/>
      <c r="T520" s="33">
        <v>2</v>
      </c>
      <c r="U520" s="33"/>
      <c r="V520" s="29">
        <f>+VLOOKUP(E520,[1]base!D:K,8,0)</f>
        <v>1.794</v>
      </c>
      <c r="W520" s="29">
        <f t="shared" si="128"/>
        <v>3.5880000000000001</v>
      </c>
      <c r="X520" s="29">
        <f t="shared" si="129"/>
        <v>0.18657599999999999</v>
      </c>
      <c r="Y520" s="29">
        <f>+VLOOKUP(E520,[1]base!D:E,2,0)</f>
        <v>20</v>
      </c>
      <c r="Z520" s="29">
        <f t="shared" si="130"/>
        <v>1</v>
      </c>
      <c r="AA520" s="29">
        <f t="shared" si="131"/>
        <v>6.6666666666666693E-2</v>
      </c>
      <c r="AB520" s="29">
        <f>+VLOOKUP(E520,[1]base!M:N,2,0)</f>
        <v>1978</v>
      </c>
      <c r="AC520" s="29">
        <f>+VLOOKUP(E520,[1]base!M:Q,5,0)</f>
        <v>1480</v>
      </c>
      <c r="AD520" s="30">
        <f>+VLOOKUP(E520,[1]base!M:P,4,0)</f>
        <v>8.595194085027727E-2</v>
      </c>
      <c r="AE520" s="31">
        <f t="shared" si="132"/>
        <v>423.38706099815153</v>
      </c>
    </row>
    <row r="521" spans="1:31" x14ac:dyDescent="0.25">
      <c r="A521" s="12" t="s">
        <v>1123</v>
      </c>
      <c r="B521" s="13">
        <v>46267.314710648148</v>
      </c>
      <c r="C521" s="12" t="s">
        <v>24</v>
      </c>
      <c r="D521" s="12" t="s">
        <v>1128</v>
      </c>
      <c r="E521" s="26" t="str">
        <f t="shared" si="126"/>
        <v>FR148</v>
      </c>
      <c r="F521" s="27" t="str">
        <f t="shared" si="127"/>
        <v>DARK</v>
      </c>
      <c r="G521" s="27">
        <f>+VLOOKUP(F521,[1]base!A:B,2,0)</f>
        <v>38</v>
      </c>
      <c r="H521" s="12">
        <v>1</v>
      </c>
      <c r="I521" s="12">
        <v>1</v>
      </c>
      <c r="J521" s="14"/>
      <c r="K521" s="14" t="s">
        <v>61</v>
      </c>
      <c r="L521" s="12" t="s">
        <v>1136</v>
      </c>
      <c r="M521" s="12" t="s">
        <v>150</v>
      </c>
      <c r="N521" s="12">
        <v>1</v>
      </c>
      <c r="O521" s="12">
        <v>1</v>
      </c>
      <c r="P521" s="12">
        <v>0</v>
      </c>
      <c r="Q521" s="16">
        <v>1</v>
      </c>
      <c r="R521" s="16">
        <v>0</v>
      </c>
      <c r="S521" s="16"/>
      <c r="T521" s="28">
        <v>1</v>
      </c>
      <c r="U521" s="28"/>
      <c r="V521" s="29">
        <f>+VLOOKUP(E521,[1]base!D:K,8,0)</f>
        <v>5.3754999999999997</v>
      </c>
      <c r="W521" s="29">
        <f t="shared" si="128"/>
        <v>5.3754999999999997</v>
      </c>
      <c r="X521" s="29">
        <f t="shared" si="129"/>
        <v>0.279526</v>
      </c>
      <c r="Y521" s="29">
        <f>+VLOOKUP(E521,[1]base!D:E,2,0)</f>
        <v>13</v>
      </c>
      <c r="Z521" s="29">
        <f t="shared" si="130"/>
        <v>1</v>
      </c>
      <c r="AA521" s="29">
        <f t="shared" si="131"/>
        <v>6.6666666666666693E-2</v>
      </c>
      <c r="AB521" s="29">
        <f>+VLOOKUP(E521,[1]base!M:N,2,0)</f>
        <v>2</v>
      </c>
      <c r="AC521" s="29">
        <f>+VLOOKUP(E521,[1]base!M:Q,5,0)</f>
        <v>92.285714285714292</v>
      </c>
      <c r="AD521" s="30">
        <f>+VLOOKUP(E521,[1]base!M:P,4,0)</f>
        <v>0.33333333333333331</v>
      </c>
      <c r="AE521" s="31">
        <f t="shared" si="132"/>
        <v>-6.6666666666666652E-2</v>
      </c>
    </row>
    <row r="522" spans="1:31" x14ac:dyDescent="0.25">
      <c r="A522" s="12" t="s">
        <v>1021</v>
      </c>
      <c r="B522" s="13">
        <v>46266.424675925926</v>
      </c>
      <c r="C522" s="12" t="s">
        <v>24</v>
      </c>
      <c r="D522" s="12" t="s">
        <v>1037</v>
      </c>
      <c r="E522" s="26" t="str">
        <f t="shared" si="126"/>
        <v>FR161</v>
      </c>
      <c r="F522" s="27" t="str">
        <f t="shared" si="127"/>
        <v>DARK</v>
      </c>
      <c r="G522" s="27">
        <f>+VLOOKUP(F522,[1]base!A:B,2,0)</f>
        <v>38</v>
      </c>
      <c r="H522" s="12">
        <v>6</v>
      </c>
      <c r="I522" s="12">
        <v>6</v>
      </c>
      <c r="J522" s="14"/>
      <c r="K522" s="14" t="s">
        <v>61</v>
      </c>
      <c r="L522" s="12" t="s">
        <v>1068</v>
      </c>
      <c r="M522" s="12" t="s">
        <v>150</v>
      </c>
      <c r="N522" s="12">
        <v>6</v>
      </c>
      <c r="O522" s="12">
        <v>6</v>
      </c>
      <c r="P522" s="12">
        <v>0</v>
      </c>
      <c r="Q522" s="16">
        <v>6</v>
      </c>
      <c r="R522" s="16">
        <v>1</v>
      </c>
      <c r="S522" s="16"/>
      <c r="T522" s="28">
        <v>5</v>
      </c>
      <c r="U522" s="28">
        <v>1</v>
      </c>
      <c r="V522" s="29">
        <f>+VLOOKUP(E522,[1]base!D:K,8,0)</f>
        <v>2.1840000000000002</v>
      </c>
      <c r="W522" s="29">
        <f t="shared" si="128"/>
        <v>13.104000000000001</v>
      </c>
      <c r="X522" s="29">
        <f t="shared" si="129"/>
        <v>0.68140800000000001</v>
      </c>
      <c r="Y522" s="29">
        <f>+VLOOKUP(E522,[1]base!D:E,2,0)</f>
        <v>14</v>
      </c>
      <c r="Z522" s="29">
        <f t="shared" si="130"/>
        <v>1</v>
      </c>
      <c r="AA522" s="29">
        <f t="shared" si="131"/>
        <v>6.6666666666666693E-2</v>
      </c>
      <c r="AB522" s="29">
        <f>+VLOOKUP(E522,[1]base!M:N,2,0)</f>
        <v>37</v>
      </c>
      <c r="AC522" s="29">
        <f>+VLOOKUP(E522,[1]base!M:Q,5,0)</f>
        <v>24.285714285714285</v>
      </c>
      <c r="AD522" s="30">
        <f>+VLOOKUP(E522,[1]base!M:P,4,0)</f>
        <v>0.56470588235294117</v>
      </c>
      <c r="AE522" s="31">
        <f t="shared" si="132"/>
        <v>-9.7941176470588243</v>
      </c>
    </row>
    <row r="523" spans="1:31" x14ac:dyDescent="0.25">
      <c r="A523" s="12" t="s">
        <v>1123</v>
      </c>
      <c r="B523" s="13">
        <v>46267.314710648148</v>
      </c>
      <c r="C523" s="12" t="s">
        <v>24</v>
      </c>
      <c r="D523" s="12" t="s">
        <v>1037</v>
      </c>
      <c r="E523" s="26" t="str">
        <f t="shared" ref="E523:E554" si="133">_xlfn.TEXTBEFORE(D523, "-", -1, 1, , D523)</f>
        <v>FR161</v>
      </c>
      <c r="F523" s="27" t="str">
        <f t="shared" ref="F523:F552" si="134">_xlfn.TEXTAFTER(D523, "-", -1, 1, , "")</f>
        <v>DARK</v>
      </c>
      <c r="G523" s="27">
        <f>+VLOOKUP(F523,[1]base!A:B,2,0)</f>
        <v>38</v>
      </c>
      <c r="H523" s="12">
        <v>2</v>
      </c>
      <c r="I523" s="12">
        <v>2</v>
      </c>
      <c r="J523" s="14"/>
      <c r="K523" s="14" t="s">
        <v>61</v>
      </c>
      <c r="L523" s="12" t="s">
        <v>1137</v>
      </c>
      <c r="M523" s="12" t="s">
        <v>150</v>
      </c>
      <c r="N523" s="12">
        <v>2</v>
      </c>
      <c r="O523" s="12">
        <v>2</v>
      </c>
      <c r="P523" s="12">
        <v>0</v>
      </c>
      <c r="Q523" s="16">
        <v>2</v>
      </c>
      <c r="R523" s="16">
        <v>1</v>
      </c>
      <c r="S523" s="16"/>
      <c r="T523" s="28">
        <v>2</v>
      </c>
      <c r="U523" s="28"/>
      <c r="V523" s="29">
        <f>+VLOOKUP(E523,[1]base!D:K,8,0)</f>
        <v>2.1840000000000002</v>
      </c>
      <c r="W523" s="29">
        <f t="shared" ref="W523:W554" si="135">(T523+U523)*V523</f>
        <v>4.3680000000000003</v>
      </c>
      <c r="X523" s="29">
        <f t="shared" ref="X523:X554" si="136">+W523*0.052</f>
        <v>0.227136</v>
      </c>
      <c r="Y523" s="29">
        <f>+VLOOKUP(E523,[1]base!D:E,2,0)</f>
        <v>14</v>
      </c>
      <c r="Z523" s="29">
        <f t="shared" ref="Z523:Z554" si="137">ROUNDUP(T523/Y523,0)</f>
        <v>1</v>
      </c>
      <c r="AA523" s="29">
        <f t="shared" ref="AA523:AA554" si="138">+Z523*0.0666666666666667</f>
        <v>6.6666666666666693E-2</v>
      </c>
      <c r="AB523" s="29">
        <f>+VLOOKUP(E523,[1]base!M:N,2,0)</f>
        <v>37</v>
      </c>
      <c r="AC523" s="29">
        <f>+VLOOKUP(E523,[1]base!M:Q,5,0)</f>
        <v>24.285714285714285</v>
      </c>
      <c r="AD523" s="30">
        <f>+VLOOKUP(E523,[1]base!M:P,4,0)</f>
        <v>0.56470588235294117</v>
      </c>
      <c r="AE523" s="31">
        <f t="shared" ref="AE523:AE554" si="139">+AB523*(30%-AD523)</f>
        <v>-9.7941176470588243</v>
      </c>
    </row>
    <row r="524" spans="1:31" x14ac:dyDescent="0.25">
      <c r="A524" s="12" t="s">
        <v>843</v>
      </c>
      <c r="B524" s="13">
        <v>46261.381307870368</v>
      </c>
      <c r="C524" s="12" t="s">
        <v>398</v>
      </c>
      <c r="D524" s="12" t="s">
        <v>847</v>
      </c>
      <c r="E524" s="26" t="str">
        <f t="shared" si="133"/>
        <v>FR166</v>
      </c>
      <c r="F524" s="27" t="str">
        <f t="shared" si="134"/>
        <v>DARK</v>
      </c>
      <c r="G524" s="27">
        <f>+VLOOKUP(F524,[1]base!A:B,2,0)</f>
        <v>38</v>
      </c>
      <c r="H524" s="12">
        <v>20</v>
      </c>
      <c r="I524" s="12">
        <v>20</v>
      </c>
      <c r="J524" s="14"/>
      <c r="K524" s="14" t="s">
        <v>61</v>
      </c>
      <c r="L524" s="12" t="s">
        <v>854</v>
      </c>
      <c r="M524" s="12" t="s">
        <v>150</v>
      </c>
      <c r="N524" s="12">
        <v>20</v>
      </c>
      <c r="O524" s="12">
        <v>20</v>
      </c>
      <c r="P524" s="12">
        <v>0</v>
      </c>
      <c r="Q524" s="16">
        <v>20</v>
      </c>
      <c r="R524" s="16">
        <v>0</v>
      </c>
      <c r="S524" s="16"/>
      <c r="T524" s="28">
        <v>20</v>
      </c>
      <c r="U524" s="28"/>
      <c r="V524" s="29">
        <f>+VLOOKUP(E524,[1]base!D:K,8,0)</f>
        <v>1.6705000000000001</v>
      </c>
      <c r="W524" s="29">
        <f t="shared" si="135"/>
        <v>33.410000000000004</v>
      </c>
      <c r="X524" s="29">
        <f t="shared" si="136"/>
        <v>1.7373200000000002</v>
      </c>
      <c r="Y524" s="29">
        <f>+VLOOKUP(E524,[1]base!D:E,2,0)</f>
        <v>20</v>
      </c>
      <c r="Z524" s="29">
        <f t="shared" si="137"/>
        <v>1</v>
      </c>
      <c r="AA524" s="29">
        <f t="shared" si="138"/>
        <v>6.6666666666666693E-2</v>
      </c>
      <c r="AB524" s="29">
        <f>+VLOOKUP(E524,[1]base!M:N,2,0)</f>
        <v>169</v>
      </c>
      <c r="AC524" s="29">
        <f>+VLOOKUP(E524,[1]base!M:Q,5,0)</f>
        <v>435.66666666666669</v>
      </c>
      <c r="AD524" s="30">
        <f>+VLOOKUP(E524,[1]base!M:P,4,0)</f>
        <v>0.31300813008130079</v>
      </c>
      <c r="AE524" s="31">
        <f t="shared" si="139"/>
        <v>-2.1983739837398364</v>
      </c>
    </row>
    <row r="525" spans="1:31" x14ac:dyDescent="0.25">
      <c r="A525" s="12" t="s">
        <v>353</v>
      </c>
      <c r="B525" s="13">
        <v>46209.432268518518</v>
      </c>
      <c r="C525" s="12" t="s">
        <v>331</v>
      </c>
      <c r="D525" s="12" t="s">
        <v>357</v>
      </c>
      <c r="E525" s="26" t="str">
        <f t="shared" si="133"/>
        <v>FR402</v>
      </c>
      <c r="F525" s="27" t="str">
        <f t="shared" si="134"/>
        <v>DARK</v>
      </c>
      <c r="G525" s="27">
        <f>+VLOOKUP(F525,[1]base!A:B,2,0)</f>
        <v>38</v>
      </c>
      <c r="H525" s="12">
        <v>30</v>
      </c>
      <c r="I525" s="12">
        <v>30</v>
      </c>
      <c r="J525" s="14"/>
      <c r="K525" s="14" t="s">
        <v>61</v>
      </c>
      <c r="L525" s="12" t="s">
        <v>358</v>
      </c>
      <c r="M525" s="12" t="s">
        <v>150</v>
      </c>
      <c r="N525" s="12">
        <v>30</v>
      </c>
      <c r="O525" s="12">
        <v>30</v>
      </c>
      <c r="P525" s="12">
        <v>0</v>
      </c>
      <c r="Q525" s="16">
        <v>70</v>
      </c>
      <c r="R525" s="16">
        <v>0</v>
      </c>
      <c r="S525" s="16"/>
      <c r="T525" s="28">
        <v>30</v>
      </c>
      <c r="U525" s="28"/>
      <c r="V525" s="29">
        <f>+VLOOKUP(E525,[1]base!D:K,8,0)</f>
        <v>5.7394999999999996</v>
      </c>
      <c r="W525" s="29">
        <f t="shared" si="135"/>
        <v>172.185</v>
      </c>
      <c r="X525" s="29">
        <f t="shared" si="136"/>
        <v>8.953619999999999</v>
      </c>
      <c r="Y525" s="29">
        <f>+VLOOKUP(E525,[1]base!D:E,2,0)</f>
        <v>13</v>
      </c>
      <c r="Z525" s="29">
        <f t="shared" si="137"/>
        <v>3</v>
      </c>
      <c r="AA525" s="29">
        <f t="shared" si="138"/>
        <v>0.20000000000000007</v>
      </c>
      <c r="AB525" s="29">
        <f>+VLOOKUP(E525,[1]base!M:N,2,0)</f>
        <v>135</v>
      </c>
      <c r="AC525" s="29">
        <f>+VLOOKUP(E525,[1]base!M:Q,5,0)</f>
        <v>898.4545454545455</v>
      </c>
      <c r="AD525" s="30">
        <f>+VLOOKUP(E525,[1]base!M:P,4,0)</f>
        <v>0.13461538461538461</v>
      </c>
      <c r="AE525" s="31">
        <f t="shared" si="139"/>
        <v>22.326923076923077</v>
      </c>
    </row>
    <row r="526" spans="1:31" x14ac:dyDescent="0.25">
      <c r="A526" s="12" t="s">
        <v>1123</v>
      </c>
      <c r="B526" s="13">
        <v>46267.314710648148</v>
      </c>
      <c r="C526" s="12" t="s">
        <v>24</v>
      </c>
      <c r="D526" s="12" t="s">
        <v>357</v>
      </c>
      <c r="E526" s="26" t="str">
        <f t="shared" si="133"/>
        <v>FR402</v>
      </c>
      <c r="F526" s="27" t="str">
        <f t="shared" si="134"/>
        <v>DARK</v>
      </c>
      <c r="G526" s="27">
        <f>+VLOOKUP(F526,[1]base!A:B,2,0)</f>
        <v>38</v>
      </c>
      <c r="H526" s="12">
        <v>16</v>
      </c>
      <c r="I526" s="12">
        <v>16</v>
      </c>
      <c r="J526" s="14"/>
      <c r="K526" s="14" t="s">
        <v>61</v>
      </c>
      <c r="L526" s="12" t="s">
        <v>1139</v>
      </c>
      <c r="M526" s="12" t="s">
        <v>150</v>
      </c>
      <c r="N526" s="12">
        <v>16</v>
      </c>
      <c r="O526" s="12">
        <v>16</v>
      </c>
      <c r="P526" s="12">
        <v>0</v>
      </c>
      <c r="Q526" s="16">
        <v>16</v>
      </c>
      <c r="R526" s="16">
        <v>0</v>
      </c>
      <c r="S526" s="16"/>
      <c r="T526" s="28">
        <v>16</v>
      </c>
      <c r="U526" s="28"/>
      <c r="V526" s="29">
        <f>+VLOOKUP(E526,[1]base!D:K,8,0)</f>
        <v>5.7394999999999996</v>
      </c>
      <c r="W526" s="29">
        <f t="shared" si="135"/>
        <v>91.831999999999994</v>
      </c>
      <c r="X526" s="29">
        <f t="shared" si="136"/>
        <v>4.7752639999999991</v>
      </c>
      <c r="Y526" s="29">
        <f>+VLOOKUP(E526,[1]base!D:E,2,0)</f>
        <v>13</v>
      </c>
      <c r="Z526" s="29">
        <f t="shared" si="137"/>
        <v>2</v>
      </c>
      <c r="AA526" s="29">
        <f t="shared" si="138"/>
        <v>0.13333333333333339</v>
      </c>
      <c r="AB526" s="29">
        <f>+VLOOKUP(E526,[1]base!M:N,2,0)</f>
        <v>135</v>
      </c>
      <c r="AC526" s="29">
        <f>+VLOOKUP(E526,[1]base!M:Q,5,0)</f>
        <v>898.4545454545455</v>
      </c>
      <c r="AD526" s="30">
        <f>+VLOOKUP(E526,[1]base!M:P,4,0)</f>
        <v>0.13461538461538461</v>
      </c>
      <c r="AE526" s="31">
        <f t="shared" si="139"/>
        <v>22.326923076923077</v>
      </c>
    </row>
    <row r="527" spans="1:31" x14ac:dyDescent="0.25">
      <c r="A527" s="12" t="s">
        <v>1153</v>
      </c>
      <c r="B527" s="13">
        <v>46267.412812499999</v>
      </c>
      <c r="C527" s="12" t="s">
        <v>522</v>
      </c>
      <c r="D527" s="12" t="s">
        <v>357</v>
      </c>
      <c r="E527" s="26" t="str">
        <f t="shared" si="133"/>
        <v>FR402</v>
      </c>
      <c r="F527" s="27" t="str">
        <f t="shared" si="134"/>
        <v>DARK</v>
      </c>
      <c r="G527" s="27">
        <f>+VLOOKUP(F527,[1]base!A:B,2,0)</f>
        <v>38</v>
      </c>
      <c r="H527" s="12">
        <v>5</v>
      </c>
      <c r="I527" s="12">
        <v>5</v>
      </c>
      <c r="J527" s="14"/>
      <c r="K527" s="14" t="s">
        <v>61</v>
      </c>
      <c r="L527" s="12" t="s">
        <v>1172</v>
      </c>
      <c r="M527" s="12" t="s">
        <v>150</v>
      </c>
      <c r="N527" s="12">
        <v>5</v>
      </c>
      <c r="O527" s="12">
        <v>5</v>
      </c>
      <c r="P527" s="12">
        <v>0</v>
      </c>
      <c r="Q527" s="16">
        <v>5</v>
      </c>
      <c r="R527" s="16">
        <v>0</v>
      </c>
      <c r="S527" s="16"/>
      <c r="T527" s="28">
        <v>5</v>
      </c>
      <c r="U527" s="28"/>
      <c r="V527" s="29">
        <f>+VLOOKUP(E527,[1]base!D:K,8,0)</f>
        <v>5.7394999999999996</v>
      </c>
      <c r="W527" s="29">
        <f t="shared" si="135"/>
        <v>28.697499999999998</v>
      </c>
      <c r="X527" s="29">
        <f t="shared" si="136"/>
        <v>1.4922699999999998</v>
      </c>
      <c r="Y527" s="29">
        <f>+VLOOKUP(E527,[1]base!D:E,2,0)</f>
        <v>13</v>
      </c>
      <c r="Z527" s="29">
        <f t="shared" si="137"/>
        <v>1</v>
      </c>
      <c r="AA527" s="29">
        <f t="shared" si="138"/>
        <v>6.6666666666666693E-2</v>
      </c>
      <c r="AB527" s="29">
        <f>+VLOOKUP(E527,[1]base!M:N,2,0)</f>
        <v>135</v>
      </c>
      <c r="AC527" s="29">
        <f>+VLOOKUP(E527,[1]base!M:Q,5,0)</f>
        <v>898.4545454545455</v>
      </c>
      <c r="AD527" s="30">
        <f>+VLOOKUP(E527,[1]base!M:P,4,0)</f>
        <v>0.13461538461538461</v>
      </c>
      <c r="AE527" s="31">
        <f t="shared" si="139"/>
        <v>22.326923076923077</v>
      </c>
    </row>
    <row r="528" spans="1:31" x14ac:dyDescent="0.25">
      <c r="A528" s="12" t="s">
        <v>1337</v>
      </c>
      <c r="B528" s="13">
        <v>46269.368587962963</v>
      </c>
      <c r="C528" s="12" t="s">
        <v>522</v>
      </c>
      <c r="D528" s="12" t="s">
        <v>357</v>
      </c>
      <c r="E528" s="26" t="str">
        <f t="shared" si="133"/>
        <v>FR402</v>
      </c>
      <c r="F528" s="27" t="str">
        <f t="shared" si="134"/>
        <v>DARK</v>
      </c>
      <c r="G528" s="27">
        <f>+VLOOKUP(F528,[1]base!A:B,2,0)</f>
        <v>38</v>
      </c>
      <c r="H528" s="12">
        <v>10</v>
      </c>
      <c r="I528" s="12">
        <v>10</v>
      </c>
      <c r="J528" s="14"/>
      <c r="K528" s="14" t="s">
        <v>61</v>
      </c>
      <c r="L528" s="12" t="s">
        <v>1338</v>
      </c>
      <c r="M528" s="12" t="s">
        <v>150</v>
      </c>
      <c r="N528" s="12">
        <v>10</v>
      </c>
      <c r="O528" s="12">
        <v>10</v>
      </c>
      <c r="P528" s="12">
        <v>0</v>
      </c>
      <c r="Q528" s="16">
        <v>10</v>
      </c>
      <c r="R528" s="16">
        <v>0</v>
      </c>
      <c r="S528" s="16"/>
      <c r="T528" s="28">
        <v>10</v>
      </c>
      <c r="U528" s="28"/>
      <c r="V528" s="29">
        <f>+VLOOKUP(E528,[1]base!D:K,8,0)</f>
        <v>5.7394999999999996</v>
      </c>
      <c r="W528" s="29">
        <f t="shared" si="135"/>
        <v>57.394999999999996</v>
      </c>
      <c r="X528" s="29">
        <f t="shared" si="136"/>
        <v>2.9845399999999995</v>
      </c>
      <c r="Y528" s="29">
        <f>+VLOOKUP(E528,[1]base!D:E,2,0)</f>
        <v>13</v>
      </c>
      <c r="Z528" s="29">
        <f t="shared" si="137"/>
        <v>1</v>
      </c>
      <c r="AA528" s="29">
        <f t="shared" si="138"/>
        <v>6.6666666666666693E-2</v>
      </c>
      <c r="AB528" s="29">
        <f>+VLOOKUP(E528,[1]base!M:N,2,0)</f>
        <v>135</v>
      </c>
      <c r="AC528" s="29">
        <f>+VLOOKUP(E528,[1]base!M:Q,5,0)</f>
        <v>898.4545454545455</v>
      </c>
      <c r="AD528" s="30">
        <f>+VLOOKUP(E528,[1]base!M:P,4,0)</f>
        <v>0.13461538461538461</v>
      </c>
      <c r="AE528" s="31">
        <f t="shared" si="139"/>
        <v>22.326923076923077</v>
      </c>
    </row>
    <row r="529" spans="1:31" x14ac:dyDescent="0.25">
      <c r="A529" s="12" t="s">
        <v>1635</v>
      </c>
      <c r="B529" s="13">
        <v>46275.398229166669</v>
      </c>
      <c r="C529" s="12" t="s">
        <v>1636</v>
      </c>
      <c r="D529" s="12" t="s">
        <v>357</v>
      </c>
      <c r="E529" s="26" t="str">
        <f t="shared" si="133"/>
        <v>FR402</v>
      </c>
      <c r="F529" s="27" t="str">
        <f t="shared" si="134"/>
        <v>DARK</v>
      </c>
      <c r="G529" s="27">
        <f>+VLOOKUP(F529,[1]base!A:B,2,0)</f>
        <v>38</v>
      </c>
      <c r="H529" s="12">
        <v>8</v>
      </c>
      <c r="I529" s="12">
        <v>8</v>
      </c>
      <c r="J529" s="14"/>
      <c r="K529" s="14" t="s">
        <v>61</v>
      </c>
      <c r="L529" s="12" t="s">
        <v>1642</v>
      </c>
      <c r="M529" s="12" t="s">
        <v>150</v>
      </c>
      <c r="N529" s="12">
        <v>8</v>
      </c>
      <c r="O529" s="12">
        <v>8</v>
      </c>
      <c r="P529" s="12">
        <v>0</v>
      </c>
      <c r="Q529" s="16">
        <v>8</v>
      </c>
      <c r="R529" s="16">
        <v>0</v>
      </c>
      <c r="S529" s="16"/>
      <c r="T529" s="28">
        <v>8</v>
      </c>
      <c r="U529" s="28"/>
      <c r="V529" s="29">
        <f>+VLOOKUP(E529,[1]base!D:K,8,0)</f>
        <v>5.7394999999999996</v>
      </c>
      <c r="W529" s="29">
        <f t="shared" si="135"/>
        <v>45.915999999999997</v>
      </c>
      <c r="X529" s="29">
        <f t="shared" si="136"/>
        <v>2.3876319999999995</v>
      </c>
      <c r="Y529" s="29">
        <f>+VLOOKUP(E529,[1]base!D:E,2,0)</f>
        <v>13</v>
      </c>
      <c r="Z529" s="29">
        <f t="shared" si="137"/>
        <v>1</v>
      </c>
      <c r="AA529" s="29">
        <f t="shared" si="138"/>
        <v>6.6666666666666693E-2</v>
      </c>
      <c r="AB529" s="29">
        <f>+VLOOKUP(E529,[1]base!M:N,2,0)</f>
        <v>135</v>
      </c>
      <c r="AC529" s="29">
        <f>+VLOOKUP(E529,[1]base!M:Q,5,0)</f>
        <v>898.4545454545455</v>
      </c>
      <c r="AD529" s="30">
        <f>+VLOOKUP(E529,[1]base!M:P,4,0)</f>
        <v>0.13461538461538461</v>
      </c>
      <c r="AE529" s="31">
        <f t="shared" si="139"/>
        <v>22.326923076923077</v>
      </c>
    </row>
    <row r="530" spans="1:31" x14ac:dyDescent="0.25">
      <c r="A530" s="12" t="s">
        <v>963</v>
      </c>
      <c r="B530" s="13">
        <v>46265.30091435185</v>
      </c>
      <c r="C530" s="12" t="s">
        <v>484</v>
      </c>
      <c r="D530" s="12" t="s">
        <v>968</v>
      </c>
      <c r="E530" s="26" t="str">
        <f t="shared" si="133"/>
        <v>FR404</v>
      </c>
      <c r="F530" s="27" t="str">
        <f t="shared" si="134"/>
        <v>DARK</v>
      </c>
      <c r="G530" s="27">
        <f>+VLOOKUP(F530,[1]base!A:B,2,0)</f>
        <v>38</v>
      </c>
      <c r="H530" s="12">
        <v>2</v>
      </c>
      <c r="I530" s="12">
        <v>2</v>
      </c>
      <c r="J530" s="14"/>
      <c r="K530" s="14" t="s">
        <v>61</v>
      </c>
      <c r="L530" s="12" t="s">
        <v>974</v>
      </c>
      <c r="M530" s="12" t="s">
        <v>150</v>
      </c>
      <c r="N530" s="12">
        <v>2</v>
      </c>
      <c r="O530" s="12">
        <v>2</v>
      </c>
      <c r="P530" s="12">
        <v>0</v>
      </c>
      <c r="Q530" s="16">
        <v>2</v>
      </c>
      <c r="R530" s="16">
        <v>0</v>
      </c>
      <c r="S530" s="16"/>
      <c r="T530" s="28">
        <v>2</v>
      </c>
      <c r="U530" s="28"/>
      <c r="V530" s="29">
        <f>+VLOOKUP(E530,[1]base!D:K,8,0)</f>
        <v>5.9670000000000005</v>
      </c>
      <c r="W530" s="29">
        <f t="shared" si="135"/>
        <v>11.934000000000001</v>
      </c>
      <c r="X530" s="29">
        <f t="shared" si="136"/>
        <v>0.62056800000000001</v>
      </c>
      <c r="Y530" s="29">
        <f>+VLOOKUP(E530,[1]base!D:E,2,0)</f>
        <v>13</v>
      </c>
      <c r="Z530" s="29">
        <f t="shared" si="137"/>
        <v>1</v>
      </c>
      <c r="AA530" s="29">
        <f t="shared" si="138"/>
        <v>6.6666666666666693E-2</v>
      </c>
      <c r="AB530" s="29">
        <f>+VLOOKUP(E530,[1]base!M:N,2,0)</f>
        <v>1934</v>
      </c>
      <c r="AC530" s="29">
        <f>+VLOOKUP(E530,[1]base!M:Q,5,0)</f>
        <v>578.90909090909088</v>
      </c>
      <c r="AD530" s="30">
        <f>+VLOOKUP(E530,[1]base!M:P,4,0)</f>
        <v>8.1235154394299292E-2</v>
      </c>
      <c r="AE530" s="31">
        <f t="shared" si="139"/>
        <v>423.09121140142514</v>
      </c>
    </row>
    <row r="531" spans="1:31" x14ac:dyDescent="0.25">
      <c r="A531" s="12" t="s">
        <v>1153</v>
      </c>
      <c r="B531" s="13">
        <v>46267.412812499999</v>
      </c>
      <c r="C531" s="12" t="s">
        <v>522</v>
      </c>
      <c r="D531" s="12" t="s">
        <v>968</v>
      </c>
      <c r="E531" s="26" t="str">
        <f t="shared" si="133"/>
        <v>FR404</v>
      </c>
      <c r="F531" s="27" t="str">
        <f t="shared" si="134"/>
        <v>DARK</v>
      </c>
      <c r="G531" s="27">
        <f>+VLOOKUP(F531,[1]base!A:B,2,0)</f>
        <v>38</v>
      </c>
      <c r="H531" s="12">
        <v>2</v>
      </c>
      <c r="I531" s="12">
        <v>2</v>
      </c>
      <c r="J531" s="14"/>
      <c r="K531" s="14" t="s">
        <v>61</v>
      </c>
      <c r="L531" s="12" t="s">
        <v>1173</v>
      </c>
      <c r="M531" s="12" t="s">
        <v>150</v>
      </c>
      <c r="N531" s="12">
        <v>2</v>
      </c>
      <c r="O531" s="12">
        <v>2</v>
      </c>
      <c r="P531" s="12">
        <v>0</v>
      </c>
      <c r="Q531" s="16">
        <v>2</v>
      </c>
      <c r="R531" s="16">
        <v>0</v>
      </c>
      <c r="S531" s="16"/>
      <c r="T531" s="28">
        <v>2</v>
      </c>
      <c r="U531" s="28"/>
      <c r="V531" s="29">
        <f>+VLOOKUP(E531,[1]base!D:K,8,0)</f>
        <v>5.9670000000000005</v>
      </c>
      <c r="W531" s="29">
        <f t="shared" si="135"/>
        <v>11.934000000000001</v>
      </c>
      <c r="X531" s="29">
        <f t="shared" si="136"/>
        <v>0.62056800000000001</v>
      </c>
      <c r="Y531" s="29">
        <f>+VLOOKUP(E531,[1]base!D:E,2,0)</f>
        <v>13</v>
      </c>
      <c r="Z531" s="29">
        <f t="shared" si="137"/>
        <v>1</v>
      </c>
      <c r="AA531" s="29">
        <f t="shared" si="138"/>
        <v>6.6666666666666693E-2</v>
      </c>
      <c r="AB531" s="29">
        <f>+VLOOKUP(E531,[1]base!M:N,2,0)</f>
        <v>1934</v>
      </c>
      <c r="AC531" s="29">
        <f>+VLOOKUP(E531,[1]base!M:Q,5,0)</f>
        <v>578.90909090909088</v>
      </c>
      <c r="AD531" s="30">
        <f>+VLOOKUP(E531,[1]base!M:P,4,0)</f>
        <v>8.1235154394299292E-2</v>
      </c>
      <c r="AE531" s="31">
        <f t="shared" si="139"/>
        <v>423.09121140142514</v>
      </c>
    </row>
    <row r="532" spans="1:31" x14ac:dyDescent="0.25">
      <c r="A532" s="12" t="s">
        <v>1021</v>
      </c>
      <c r="B532" s="13">
        <v>46266.424675925926</v>
      </c>
      <c r="C532" s="12" t="s">
        <v>24</v>
      </c>
      <c r="D532" s="12" t="s">
        <v>1038</v>
      </c>
      <c r="E532" s="26" t="str">
        <f t="shared" si="133"/>
        <v>FSQ104</v>
      </c>
      <c r="F532" s="27" t="str">
        <f t="shared" si="134"/>
        <v>DARK</v>
      </c>
      <c r="G532" s="27">
        <f>+VLOOKUP(F532,[1]base!A:B,2,0)</f>
        <v>38</v>
      </c>
      <c r="H532" s="12">
        <v>1</v>
      </c>
      <c r="I532" s="12">
        <v>1</v>
      </c>
      <c r="J532" s="14"/>
      <c r="K532" s="14" t="s">
        <v>61</v>
      </c>
      <c r="L532" s="12" t="s">
        <v>1069</v>
      </c>
      <c r="M532" s="12" t="s">
        <v>150</v>
      </c>
      <c r="N532" s="12">
        <v>1</v>
      </c>
      <c r="O532" s="12">
        <v>1</v>
      </c>
      <c r="P532" s="12">
        <v>0</v>
      </c>
      <c r="Q532" s="16">
        <v>1</v>
      </c>
      <c r="R532" s="16">
        <v>0</v>
      </c>
      <c r="S532" s="16"/>
      <c r="T532" s="28">
        <v>1</v>
      </c>
      <c r="U532" s="28"/>
      <c r="V532" s="29">
        <f>+VLOOKUP(E532,[1]base!D:K,8,0)</f>
        <v>7.0394999999999994</v>
      </c>
      <c r="W532" s="29">
        <f t="shared" si="135"/>
        <v>7.0394999999999994</v>
      </c>
      <c r="X532" s="29">
        <f t="shared" si="136"/>
        <v>0.36605399999999993</v>
      </c>
      <c r="Y532" s="29">
        <f>+VLOOKUP(E532,[1]base!D:E,2,0)</f>
        <v>13</v>
      </c>
      <c r="Z532" s="29">
        <f t="shared" si="137"/>
        <v>1</v>
      </c>
      <c r="AA532" s="29">
        <f t="shared" si="138"/>
        <v>6.6666666666666693E-2</v>
      </c>
      <c r="AB532" s="29">
        <f>+VLOOKUP(E532,[1]base!M:N,2,0)</f>
        <v>435</v>
      </c>
      <c r="AC532" s="29">
        <f>+VLOOKUP(E532,[1]base!M:Q,5,0)</f>
        <v>13</v>
      </c>
      <c r="AD532" s="30">
        <f>+VLOOKUP(E532,[1]base!M:P,4,0)</f>
        <v>4.5766590389016018E-3</v>
      </c>
      <c r="AE532" s="31">
        <f t="shared" si="139"/>
        <v>128.50915331807781</v>
      </c>
    </row>
    <row r="533" spans="1:31" x14ac:dyDescent="0.25">
      <c r="A533" s="12" t="s">
        <v>1021</v>
      </c>
      <c r="B533" s="13">
        <v>46266.424675925926</v>
      </c>
      <c r="C533" s="12" t="s">
        <v>24</v>
      </c>
      <c r="D533" s="12" t="s">
        <v>1043</v>
      </c>
      <c r="E533" s="26" t="str">
        <f t="shared" si="133"/>
        <v>FSQ111</v>
      </c>
      <c r="F533" s="27" t="str">
        <f t="shared" si="134"/>
        <v>DARK</v>
      </c>
      <c r="G533" s="27">
        <f>+VLOOKUP(F533,[1]base!A:B,2,0)</f>
        <v>38</v>
      </c>
      <c r="H533" s="12">
        <v>33</v>
      </c>
      <c r="I533" s="12">
        <v>33</v>
      </c>
      <c r="J533" s="14"/>
      <c r="K533" s="14" t="s">
        <v>61</v>
      </c>
      <c r="L533" s="12" t="s">
        <v>1073</v>
      </c>
      <c r="M533" s="12" t="s">
        <v>150</v>
      </c>
      <c r="N533" s="12">
        <v>33</v>
      </c>
      <c r="O533" s="12">
        <v>33</v>
      </c>
      <c r="P533" s="12">
        <v>0</v>
      </c>
      <c r="Q533" s="16">
        <v>33</v>
      </c>
      <c r="R533" s="16">
        <v>0</v>
      </c>
      <c r="S533" s="16"/>
      <c r="T533" s="28">
        <v>33</v>
      </c>
      <c r="U533" s="28"/>
      <c r="V533" s="29">
        <f>+VLOOKUP(E533,[1]base!D:K,8,0)</f>
        <v>1.8459999999999999</v>
      </c>
      <c r="W533" s="29">
        <f t="shared" si="135"/>
        <v>60.917999999999992</v>
      </c>
      <c r="X533" s="29">
        <f t="shared" si="136"/>
        <v>3.1677359999999997</v>
      </c>
      <c r="Y533" s="29">
        <f>+VLOOKUP(E533,[1]base!D:E,2,0)</f>
        <v>20</v>
      </c>
      <c r="Z533" s="29">
        <f t="shared" si="137"/>
        <v>2</v>
      </c>
      <c r="AA533" s="29">
        <f t="shared" si="138"/>
        <v>0.13333333333333339</v>
      </c>
      <c r="AB533" s="29">
        <f>+VLOOKUP(E533,[1]base!M:N,2,0)</f>
        <v>983</v>
      </c>
      <c r="AC533" s="29">
        <f>+VLOOKUP(E533,[1]base!M:Q,5,0)</f>
        <v>103.33333333333333</v>
      </c>
      <c r="AD533" s="30">
        <f>+VLOOKUP(E533,[1]base!M:P,4,0)</f>
        <v>3.0425963488843813E-3</v>
      </c>
      <c r="AE533" s="31">
        <f t="shared" si="139"/>
        <v>291.90912778904664</v>
      </c>
    </row>
    <row r="534" spans="1:31" x14ac:dyDescent="0.25">
      <c r="A534" s="12" t="s">
        <v>1021</v>
      </c>
      <c r="B534" s="13">
        <v>46266.424675925926</v>
      </c>
      <c r="C534" s="12" t="s">
        <v>24</v>
      </c>
      <c r="D534" s="12" t="s">
        <v>1039</v>
      </c>
      <c r="E534" s="26" t="str">
        <f t="shared" si="133"/>
        <v>FSQ112</v>
      </c>
      <c r="F534" s="27" t="str">
        <f t="shared" si="134"/>
        <v>DARK</v>
      </c>
      <c r="G534" s="27">
        <f>+VLOOKUP(F534,[1]base!A:B,2,0)</f>
        <v>38</v>
      </c>
      <c r="H534" s="12">
        <v>3</v>
      </c>
      <c r="I534" s="12">
        <v>3</v>
      </c>
      <c r="J534" s="14"/>
      <c r="K534" s="14" t="s">
        <v>61</v>
      </c>
      <c r="L534" s="12" t="s">
        <v>1070</v>
      </c>
      <c r="M534" s="12" t="s">
        <v>150</v>
      </c>
      <c r="N534" s="12">
        <v>3</v>
      </c>
      <c r="O534" s="12">
        <v>3</v>
      </c>
      <c r="P534" s="12">
        <v>0</v>
      </c>
      <c r="Q534" s="16">
        <v>3</v>
      </c>
      <c r="R534" s="16">
        <v>0</v>
      </c>
      <c r="S534" s="16"/>
      <c r="T534" s="28">
        <v>3</v>
      </c>
      <c r="U534" s="28"/>
      <c r="V534" s="29">
        <f>+VLOOKUP(E534,[1]base!D:K,8,0)</f>
        <v>5.1870000000000003</v>
      </c>
      <c r="W534" s="29">
        <f t="shared" si="135"/>
        <v>15.561</v>
      </c>
      <c r="X534" s="29">
        <f t="shared" si="136"/>
        <v>0.809172</v>
      </c>
      <c r="Y534" s="29">
        <f>+VLOOKUP(E534,[1]base!D:E,2,0)</f>
        <v>12</v>
      </c>
      <c r="Z534" s="29">
        <f t="shared" si="137"/>
        <v>1</v>
      </c>
      <c r="AA534" s="29">
        <f t="shared" si="138"/>
        <v>6.6666666666666693E-2</v>
      </c>
      <c r="AB534" s="29">
        <f>+VLOOKUP(E534,[1]base!M:N,2,0)</f>
        <v>171</v>
      </c>
      <c r="AC534" s="29">
        <f>+VLOOKUP(E534,[1]base!M:Q,5,0)</f>
        <v>27.714285714285715</v>
      </c>
      <c r="AD534" s="30">
        <f>+VLOOKUP(E534,[1]base!M:P,4,0)</f>
        <v>1.7241379310344827E-2</v>
      </c>
      <c r="AE534" s="31">
        <f t="shared" si="139"/>
        <v>48.351724137931036</v>
      </c>
    </row>
    <row r="535" spans="1:31" x14ac:dyDescent="0.25">
      <c r="A535" s="12" t="s">
        <v>1021</v>
      </c>
      <c r="B535" s="13">
        <v>46266.424675925926</v>
      </c>
      <c r="C535" s="12" t="s">
        <v>24</v>
      </c>
      <c r="D535" s="12" t="s">
        <v>1040</v>
      </c>
      <c r="E535" s="26" t="str">
        <f t="shared" si="133"/>
        <v>FSQ121</v>
      </c>
      <c r="F535" s="27" t="str">
        <f t="shared" si="134"/>
        <v>DARK</v>
      </c>
      <c r="G535" s="27">
        <f>+VLOOKUP(F535,[1]base!A:B,2,0)</f>
        <v>38</v>
      </c>
      <c r="H535" s="12">
        <v>3</v>
      </c>
      <c r="I535" s="12">
        <v>3</v>
      </c>
      <c r="J535" s="14"/>
      <c r="K535" s="14" t="s">
        <v>61</v>
      </c>
      <c r="L535" s="12" t="s">
        <v>1071</v>
      </c>
      <c r="M535" s="12" t="s">
        <v>150</v>
      </c>
      <c r="N535" s="12">
        <v>3</v>
      </c>
      <c r="O535" s="12">
        <v>3</v>
      </c>
      <c r="P535" s="12">
        <v>0</v>
      </c>
      <c r="Q535" s="16">
        <v>3</v>
      </c>
      <c r="R535" s="16">
        <v>2</v>
      </c>
      <c r="S535" s="16"/>
      <c r="T535" s="28">
        <v>3</v>
      </c>
      <c r="U535" s="28"/>
      <c r="V535" s="29">
        <f>+VLOOKUP(E535,[1]base!D:K,8,0)</f>
        <v>9.0545000000000009</v>
      </c>
      <c r="W535" s="29">
        <f t="shared" si="135"/>
        <v>27.163500000000003</v>
      </c>
      <c r="X535" s="29">
        <f t="shared" si="136"/>
        <v>1.4125020000000001</v>
      </c>
      <c r="Y535" s="29">
        <f>+VLOOKUP(E535,[1]base!D:E,2,0)</f>
        <v>9</v>
      </c>
      <c r="Z535" s="29">
        <f t="shared" si="137"/>
        <v>1</v>
      </c>
      <c r="AA535" s="29">
        <f t="shared" si="138"/>
        <v>6.6666666666666693E-2</v>
      </c>
      <c r="AB535" s="29">
        <f>+VLOOKUP(E535,[1]base!M:N,2,0)</f>
        <v>110</v>
      </c>
      <c r="AC535" s="29">
        <f>+VLOOKUP(E535,[1]base!M:Q,5,0)</f>
        <v>22.888888888888889</v>
      </c>
      <c r="AD535" s="30">
        <f>+VLOOKUP(E535,[1]base!M:P,4,0)</f>
        <v>1.7857142857142856E-2</v>
      </c>
      <c r="AE535" s="31">
        <f t="shared" si="139"/>
        <v>31.035714285714285</v>
      </c>
    </row>
    <row r="536" spans="1:31" x14ac:dyDescent="0.25">
      <c r="A536" s="12" t="s">
        <v>1021</v>
      </c>
      <c r="B536" s="13">
        <v>46266.424675925926</v>
      </c>
      <c r="C536" s="12" t="s">
        <v>24</v>
      </c>
      <c r="D536" s="12" t="s">
        <v>1044</v>
      </c>
      <c r="E536" s="26" t="str">
        <f t="shared" si="133"/>
        <v>FSQ122</v>
      </c>
      <c r="F536" s="27" t="str">
        <f t="shared" si="134"/>
        <v>DARK</v>
      </c>
      <c r="G536" s="27">
        <f>+VLOOKUP(F536,[1]base!A:B,2,0)</f>
        <v>38</v>
      </c>
      <c r="H536" s="12">
        <v>3</v>
      </c>
      <c r="I536" s="12">
        <v>3</v>
      </c>
      <c r="J536" s="14"/>
      <c r="K536" s="14" t="s">
        <v>61</v>
      </c>
      <c r="L536" s="12" t="s">
        <v>1075</v>
      </c>
      <c r="M536" s="12" t="s">
        <v>150</v>
      </c>
      <c r="N536" s="12">
        <v>3</v>
      </c>
      <c r="O536" s="12">
        <v>3</v>
      </c>
      <c r="P536" s="12">
        <v>0</v>
      </c>
      <c r="Q536" s="16">
        <v>3</v>
      </c>
      <c r="R536" s="16">
        <v>0</v>
      </c>
      <c r="S536" s="16"/>
      <c r="T536" s="28">
        <v>3</v>
      </c>
      <c r="U536" s="28"/>
      <c r="V536" s="29">
        <f>+VLOOKUP(E536,[1]base!D:K,8,0)</f>
        <v>1.9564999999999999</v>
      </c>
      <c r="W536" s="29">
        <f t="shared" si="135"/>
        <v>5.8694999999999995</v>
      </c>
      <c r="X536" s="29">
        <f t="shared" si="136"/>
        <v>0.30521399999999999</v>
      </c>
      <c r="Y536" s="29">
        <f>+VLOOKUP(E536,[1]base!D:E,2,0)</f>
        <v>20</v>
      </c>
      <c r="Z536" s="29">
        <f t="shared" si="137"/>
        <v>1</v>
      </c>
      <c r="AA536" s="29">
        <f t="shared" si="138"/>
        <v>6.6666666666666693E-2</v>
      </c>
      <c r="AB536" s="29">
        <f>+VLOOKUP(E536,[1]base!M:N,2,0)</f>
        <v>30</v>
      </c>
      <c r="AC536" s="29">
        <f>+VLOOKUP(E536,[1]base!M:Q,5,0)</f>
        <v>23.375</v>
      </c>
      <c r="AD536" s="30">
        <f>+VLOOKUP(E536,[1]base!M:P,4,0)</f>
        <v>0</v>
      </c>
      <c r="AE536" s="31">
        <f t="shared" si="139"/>
        <v>9</v>
      </c>
    </row>
    <row r="537" spans="1:31" x14ac:dyDescent="0.25">
      <c r="A537" s="12" t="s">
        <v>831</v>
      </c>
      <c r="B537" s="13">
        <v>46260.417627314811</v>
      </c>
      <c r="C537" s="12" t="s">
        <v>832</v>
      </c>
      <c r="D537" s="12" t="s">
        <v>833</v>
      </c>
      <c r="E537" s="26" t="str">
        <f t="shared" si="133"/>
        <v>FSQ139</v>
      </c>
      <c r="F537" s="27" t="str">
        <f t="shared" si="134"/>
        <v>DARK</v>
      </c>
      <c r="G537" s="27">
        <f>+VLOOKUP(F537,[1]base!A:B,2,0)</f>
        <v>38</v>
      </c>
      <c r="H537" s="12">
        <v>4</v>
      </c>
      <c r="I537" s="12">
        <v>4</v>
      </c>
      <c r="J537" s="14"/>
      <c r="K537" s="14" t="s">
        <v>61</v>
      </c>
      <c r="L537" s="12" t="s">
        <v>835</v>
      </c>
      <c r="M537" s="12" t="s">
        <v>150</v>
      </c>
      <c r="N537" s="12">
        <v>4</v>
      </c>
      <c r="O537" s="12">
        <v>4</v>
      </c>
      <c r="P537" s="12">
        <v>0</v>
      </c>
      <c r="Q537" s="16">
        <v>4</v>
      </c>
      <c r="R537" s="16">
        <v>0</v>
      </c>
      <c r="S537" s="16"/>
      <c r="T537" s="28">
        <v>4</v>
      </c>
      <c r="U537" s="28"/>
      <c r="V537" s="29">
        <f>+VLOOKUP(E537,[1]base!D:K,8,0)</f>
        <v>2.0019999999999998</v>
      </c>
      <c r="W537" s="29">
        <f t="shared" si="135"/>
        <v>8.0079999999999991</v>
      </c>
      <c r="X537" s="29">
        <f t="shared" si="136"/>
        <v>0.41641599999999995</v>
      </c>
      <c r="Y537" s="29">
        <f>+VLOOKUP(E537,[1]base!D:E,2,0)</f>
        <v>20</v>
      </c>
      <c r="Z537" s="29">
        <f t="shared" si="137"/>
        <v>1</v>
      </c>
      <c r="AA537" s="29">
        <f t="shared" si="138"/>
        <v>6.6666666666666693E-2</v>
      </c>
      <c r="AB537" s="29">
        <f>+VLOOKUP(E537,[1]base!M:N,2,0)</f>
        <v>2359</v>
      </c>
      <c r="AC537" s="29">
        <f>+VLOOKUP(E537,[1]base!M:Q,5,0)</f>
        <v>157.22222222222223</v>
      </c>
      <c r="AD537" s="30">
        <f>+VLOOKUP(E537,[1]base!M:P,4,0)</f>
        <v>3.8006756756756759E-3</v>
      </c>
      <c r="AE537" s="31">
        <f t="shared" si="139"/>
        <v>698.73420608108108</v>
      </c>
    </row>
    <row r="538" spans="1:31" x14ac:dyDescent="0.25">
      <c r="A538" s="12" t="s">
        <v>1021</v>
      </c>
      <c r="B538" s="13">
        <v>46266.424675925926</v>
      </c>
      <c r="C538" s="12" t="s">
        <v>24</v>
      </c>
      <c r="D538" s="12" t="s">
        <v>833</v>
      </c>
      <c r="E538" s="26" t="str">
        <f t="shared" si="133"/>
        <v>FSQ139</v>
      </c>
      <c r="F538" s="27" t="str">
        <f t="shared" si="134"/>
        <v>DARK</v>
      </c>
      <c r="G538" s="27">
        <f>+VLOOKUP(F538,[1]base!A:B,2,0)</f>
        <v>38</v>
      </c>
      <c r="H538" s="12">
        <v>8</v>
      </c>
      <c r="I538" s="12">
        <v>8</v>
      </c>
      <c r="J538" s="14"/>
      <c r="K538" s="14" t="s">
        <v>61</v>
      </c>
      <c r="L538" s="12" t="s">
        <v>1074</v>
      </c>
      <c r="M538" s="12" t="s">
        <v>150</v>
      </c>
      <c r="N538" s="12">
        <v>8</v>
      </c>
      <c r="O538" s="12">
        <v>8</v>
      </c>
      <c r="P538" s="12">
        <v>0</v>
      </c>
      <c r="Q538" s="16">
        <v>8</v>
      </c>
      <c r="R538" s="16">
        <v>0</v>
      </c>
      <c r="S538" s="16"/>
      <c r="T538" s="28">
        <v>8</v>
      </c>
      <c r="U538" s="28"/>
      <c r="V538" s="29">
        <f>+VLOOKUP(E538,[1]base!D:K,8,0)</f>
        <v>2.0019999999999998</v>
      </c>
      <c r="W538" s="29">
        <f t="shared" si="135"/>
        <v>16.015999999999998</v>
      </c>
      <c r="X538" s="29">
        <f t="shared" si="136"/>
        <v>0.83283199999999991</v>
      </c>
      <c r="Y538" s="29">
        <f>+VLOOKUP(E538,[1]base!D:E,2,0)</f>
        <v>20</v>
      </c>
      <c r="Z538" s="29">
        <f t="shared" si="137"/>
        <v>1</v>
      </c>
      <c r="AA538" s="29">
        <f t="shared" si="138"/>
        <v>6.6666666666666693E-2</v>
      </c>
      <c r="AB538" s="29">
        <f>+VLOOKUP(E538,[1]base!M:N,2,0)</f>
        <v>2359</v>
      </c>
      <c r="AC538" s="29">
        <f>+VLOOKUP(E538,[1]base!M:Q,5,0)</f>
        <v>157.22222222222223</v>
      </c>
      <c r="AD538" s="30">
        <f>+VLOOKUP(E538,[1]base!M:P,4,0)</f>
        <v>3.8006756756756759E-3</v>
      </c>
      <c r="AE538" s="31">
        <f t="shared" si="139"/>
        <v>698.73420608108108</v>
      </c>
    </row>
    <row r="539" spans="1:31" x14ac:dyDescent="0.25">
      <c r="A539" s="12" t="s">
        <v>1186</v>
      </c>
      <c r="B539" s="13">
        <v>46267.531759259262</v>
      </c>
      <c r="C539" s="12" t="s">
        <v>258</v>
      </c>
      <c r="D539" s="12" t="s">
        <v>1188</v>
      </c>
      <c r="E539" s="26" t="str">
        <f t="shared" si="133"/>
        <v>FSQ150</v>
      </c>
      <c r="F539" s="27" t="str">
        <f t="shared" si="134"/>
        <v>DARK</v>
      </c>
      <c r="G539" s="27">
        <f>+VLOOKUP(F539,[1]base!A:B,2,0)</f>
        <v>38</v>
      </c>
      <c r="H539" s="12">
        <v>3</v>
      </c>
      <c r="I539" s="12">
        <v>3</v>
      </c>
      <c r="J539" s="14"/>
      <c r="K539" s="14" t="s">
        <v>61</v>
      </c>
      <c r="L539" s="12" t="s">
        <v>1192</v>
      </c>
      <c r="M539" s="12" t="s">
        <v>150</v>
      </c>
      <c r="N539" s="12">
        <v>3</v>
      </c>
      <c r="O539" s="12">
        <v>3</v>
      </c>
      <c r="P539" s="12">
        <v>0</v>
      </c>
      <c r="Q539" s="16">
        <v>3</v>
      </c>
      <c r="R539" s="16">
        <v>4</v>
      </c>
      <c r="S539" s="16"/>
      <c r="T539" s="28">
        <v>0</v>
      </c>
      <c r="U539" s="28">
        <v>3</v>
      </c>
      <c r="V539" s="29">
        <f>+VLOOKUP(E539,[1]base!D:K,8,0)</f>
        <v>5.9735000000000005</v>
      </c>
      <c r="W539" s="29">
        <f t="shared" si="135"/>
        <v>17.920500000000001</v>
      </c>
      <c r="X539" s="29">
        <f t="shared" si="136"/>
        <v>0.93186599999999997</v>
      </c>
      <c r="Y539" s="29">
        <f>+VLOOKUP(E539,[1]base!D:E,2,0)</f>
        <v>13</v>
      </c>
      <c r="Z539" s="29">
        <f t="shared" si="137"/>
        <v>0</v>
      </c>
      <c r="AA539" s="29">
        <f t="shared" si="138"/>
        <v>0</v>
      </c>
      <c r="AB539" s="29">
        <f>+VLOOKUP(E539,[1]base!M:N,2,0)</f>
        <v>779</v>
      </c>
      <c r="AC539" s="29">
        <f>+VLOOKUP(E539,[1]base!M:Q,5,0)</f>
        <v>16.666666666666668</v>
      </c>
      <c r="AD539" s="30">
        <f>+VLOOKUP(E539,[1]base!M:P,4,0)</f>
        <v>0.13732004429678848</v>
      </c>
      <c r="AE539" s="31">
        <f t="shared" si="139"/>
        <v>126.72768549280177</v>
      </c>
    </row>
    <row r="540" spans="1:31" x14ac:dyDescent="0.25">
      <c r="A540" s="12" t="s">
        <v>1021</v>
      </c>
      <c r="B540" s="13">
        <v>46266.424675925926</v>
      </c>
      <c r="C540" s="12" t="s">
        <v>24</v>
      </c>
      <c r="D540" s="12" t="s">
        <v>1041</v>
      </c>
      <c r="E540" s="26" t="str">
        <f t="shared" si="133"/>
        <v>FSQ401</v>
      </c>
      <c r="F540" s="27" t="str">
        <f t="shared" si="134"/>
        <v>DARK</v>
      </c>
      <c r="G540" s="27">
        <f>+VLOOKUP(F540,[1]base!A:B,2,0)</f>
        <v>38</v>
      </c>
      <c r="H540" s="12">
        <v>18</v>
      </c>
      <c r="I540" s="12">
        <v>18</v>
      </c>
      <c r="J540" s="14"/>
      <c r="K540" s="14" t="s">
        <v>61</v>
      </c>
      <c r="L540" s="12" t="s">
        <v>1072</v>
      </c>
      <c r="M540" s="12" t="s">
        <v>150</v>
      </c>
      <c r="N540" s="12">
        <v>18</v>
      </c>
      <c r="O540" s="12">
        <v>18</v>
      </c>
      <c r="P540" s="12">
        <v>0</v>
      </c>
      <c r="Q540" s="16">
        <v>18</v>
      </c>
      <c r="R540" s="16">
        <v>0</v>
      </c>
      <c r="S540" s="16"/>
      <c r="T540" s="28">
        <v>18</v>
      </c>
      <c r="U540" s="28"/>
      <c r="V540" s="29">
        <f>+VLOOKUP(E540,[1]base!D:K,8,0)</f>
        <v>5.6355000000000004</v>
      </c>
      <c r="W540" s="29">
        <f t="shared" si="135"/>
        <v>101.43900000000001</v>
      </c>
      <c r="X540" s="29">
        <f t="shared" si="136"/>
        <v>5.2748280000000003</v>
      </c>
      <c r="Y540" s="29">
        <f>+VLOOKUP(E540,[1]base!D:E,2,0)</f>
        <v>13</v>
      </c>
      <c r="Z540" s="29">
        <f t="shared" si="137"/>
        <v>2</v>
      </c>
      <c r="AA540" s="29">
        <f t="shared" si="138"/>
        <v>0.13333333333333339</v>
      </c>
      <c r="AB540" s="29">
        <f>+VLOOKUP(E540,[1]base!M:N,2,0)</f>
        <v>717</v>
      </c>
      <c r="AC540" s="29">
        <f>+VLOOKUP(E540,[1]base!M:Q,5,0)</f>
        <v>104.18181818181819</v>
      </c>
      <c r="AD540" s="30">
        <f>+VLOOKUP(E540,[1]base!M:P,4,0)</f>
        <v>2.7816411682892906E-3</v>
      </c>
      <c r="AE540" s="31">
        <f t="shared" si="139"/>
        <v>213.10556328233659</v>
      </c>
    </row>
    <row r="541" spans="1:31" x14ac:dyDescent="0.25">
      <c r="A541" s="12" t="s">
        <v>1186</v>
      </c>
      <c r="B541" s="13">
        <v>46267.531759259262</v>
      </c>
      <c r="C541" s="12" t="s">
        <v>258</v>
      </c>
      <c r="D541" s="12" t="s">
        <v>1041</v>
      </c>
      <c r="E541" s="26" t="str">
        <f t="shared" si="133"/>
        <v>FSQ401</v>
      </c>
      <c r="F541" s="27" t="str">
        <f t="shared" si="134"/>
        <v>DARK</v>
      </c>
      <c r="G541" s="27">
        <f>+VLOOKUP(F541,[1]base!A:B,2,0)</f>
        <v>38</v>
      </c>
      <c r="H541" s="12">
        <v>8</v>
      </c>
      <c r="I541" s="12">
        <v>8</v>
      </c>
      <c r="J541" s="14"/>
      <c r="K541" s="14" t="s">
        <v>61</v>
      </c>
      <c r="L541" s="12" t="s">
        <v>1191</v>
      </c>
      <c r="M541" s="12" t="s">
        <v>150</v>
      </c>
      <c r="N541" s="12">
        <v>8</v>
      </c>
      <c r="O541" s="12">
        <v>8</v>
      </c>
      <c r="P541" s="12">
        <v>0</v>
      </c>
      <c r="Q541" s="16">
        <v>8</v>
      </c>
      <c r="R541" s="16">
        <v>0</v>
      </c>
      <c r="S541" s="16"/>
      <c r="T541" s="28">
        <v>8</v>
      </c>
      <c r="U541" s="28"/>
      <c r="V541" s="29">
        <f>+VLOOKUP(E541,[1]base!D:K,8,0)</f>
        <v>5.6355000000000004</v>
      </c>
      <c r="W541" s="29">
        <f t="shared" si="135"/>
        <v>45.084000000000003</v>
      </c>
      <c r="X541" s="29">
        <f t="shared" si="136"/>
        <v>2.3443680000000002</v>
      </c>
      <c r="Y541" s="29">
        <f>+VLOOKUP(E541,[1]base!D:E,2,0)</f>
        <v>13</v>
      </c>
      <c r="Z541" s="29">
        <f t="shared" si="137"/>
        <v>1</v>
      </c>
      <c r="AA541" s="29">
        <f t="shared" si="138"/>
        <v>6.6666666666666693E-2</v>
      </c>
      <c r="AB541" s="29">
        <f>+VLOOKUP(E541,[1]base!M:N,2,0)</f>
        <v>717</v>
      </c>
      <c r="AC541" s="29">
        <f>+VLOOKUP(E541,[1]base!M:Q,5,0)</f>
        <v>104.18181818181819</v>
      </c>
      <c r="AD541" s="30">
        <f>+VLOOKUP(E541,[1]base!M:P,4,0)</f>
        <v>2.7816411682892906E-3</v>
      </c>
      <c r="AE541" s="31">
        <f t="shared" si="139"/>
        <v>213.10556328233659</v>
      </c>
    </row>
    <row r="542" spans="1:31" x14ac:dyDescent="0.25">
      <c r="A542" s="12" t="s">
        <v>831</v>
      </c>
      <c r="B542" s="13">
        <v>46260.417627314811</v>
      </c>
      <c r="C542" s="12" t="s">
        <v>832</v>
      </c>
      <c r="D542" s="12" t="s">
        <v>834</v>
      </c>
      <c r="E542" s="26" t="str">
        <f t="shared" si="133"/>
        <v>FSQ403</v>
      </c>
      <c r="F542" s="27" t="str">
        <f t="shared" si="134"/>
        <v>DARK</v>
      </c>
      <c r="G542" s="27">
        <f>+VLOOKUP(F542,[1]base!A:B,2,0)</f>
        <v>38</v>
      </c>
      <c r="H542" s="12">
        <v>2</v>
      </c>
      <c r="I542" s="12">
        <v>1</v>
      </c>
      <c r="J542" s="14"/>
      <c r="K542" s="14" t="s">
        <v>61</v>
      </c>
      <c r="L542" s="12" t="s">
        <v>836</v>
      </c>
      <c r="M542" s="12" t="s">
        <v>150</v>
      </c>
      <c r="N542" s="12">
        <v>1</v>
      </c>
      <c r="O542" s="12">
        <v>1</v>
      </c>
      <c r="P542" s="12">
        <v>0</v>
      </c>
      <c r="Q542" s="16">
        <v>2</v>
      </c>
      <c r="R542" s="16">
        <v>0</v>
      </c>
      <c r="S542" s="16"/>
      <c r="T542" s="28">
        <v>1</v>
      </c>
      <c r="U542" s="28"/>
      <c r="V542" s="29">
        <f>+VLOOKUP(E542,[1]base!D:K,8,0)</f>
        <v>7.1110000000000007</v>
      </c>
      <c r="W542" s="29">
        <f t="shared" si="135"/>
        <v>7.1110000000000007</v>
      </c>
      <c r="X542" s="29">
        <f t="shared" si="136"/>
        <v>0.36977199999999999</v>
      </c>
      <c r="Y542" s="29">
        <f>+VLOOKUP(E542,[1]base!D:E,2,0)</f>
        <v>13</v>
      </c>
      <c r="Z542" s="29">
        <f t="shared" si="137"/>
        <v>1</v>
      </c>
      <c r="AA542" s="29">
        <f t="shared" si="138"/>
        <v>6.6666666666666693E-2</v>
      </c>
      <c r="AB542" s="29">
        <f>+VLOOKUP(E542,[1]base!M:N,2,0)</f>
        <v>281</v>
      </c>
      <c r="AC542" s="29">
        <f>+VLOOKUP(E542,[1]base!M:Q,5,0)</f>
        <v>95.666666666666671</v>
      </c>
      <c r="AD542" s="30">
        <f>+VLOOKUP(E542,[1]base!M:P,4,0)</f>
        <v>5.7046979865771813E-2</v>
      </c>
      <c r="AE542" s="31">
        <f t="shared" si="139"/>
        <v>68.269798657718113</v>
      </c>
    </row>
    <row r="543" spans="1:31" x14ac:dyDescent="0.25">
      <c r="A543" s="12" t="s">
        <v>1021</v>
      </c>
      <c r="B543" s="13">
        <v>46266.424675925926</v>
      </c>
      <c r="C543" s="12" t="s">
        <v>24</v>
      </c>
      <c r="D543" s="12" t="s">
        <v>834</v>
      </c>
      <c r="E543" s="26" t="str">
        <f t="shared" si="133"/>
        <v>FSQ403</v>
      </c>
      <c r="F543" s="27" t="str">
        <f t="shared" si="134"/>
        <v>DARK</v>
      </c>
      <c r="G543" s="27">
        <f>+VLOOKUP(F543,[1]base!A:B,2,0)</f>
        <v>38</v>
      </c>
      <c r="H543" s="12">
        <v>16</v>
      </c>
      <c r="I543" s="12">
        <v>16</v>
      </c>
      <c r="J543" s="14"/>
      <c r="K543" s="14" t="s">
        <v>61</v>
      </c>
      <c r="L543" s="12" t="s">
        <v>1080</v>
      </c>
      <c r="M543" s="12" t="s">
        <v>150</v>
      </c>
      <c r="N543" s="12">
        <v>16</v>
      </c>
      <c r="O543" s="12">
        <v>16</v>
      </c>
      <c r="P543" s="12">
        <v>0</v>
      </c>
      <c r="Q543" s="16">
        <v>16</v>
      </c>
      <c r="R543" s="16">
        <v>0</v>
      </c>
      <c r="S543" s="16"/>
      <c r="T543" s="28">
        <v>16</v>
      </c>
      <c r="U543" s="28"/>
      <c r="V543" s="29">
        <f>+VLOOKUP(E543,[1]base!D:K,8,0)</f>
        <v>7.1110000000000007</v>
      </c>
      <c r="W543" s="29">
        <f t="shared" si="135"/>
        <v>113.77600000000001</v>
      </c>
      <c r="X543" s="29">
        <f t="shared" si="136"/>
        <v>5.9163519999999998</v>
      </c>
      <c r="Y543" s="29">
        <f>+VLOOKUP(E543,[1]base!D:E,2,0)</f>
        <v>13</v>
      </c>
      <c r="Z543" s="29">
        <f t="shared" si="137"/>
        <v>2</v>
      </c>
      <c r="AA543" s="29">
        <f t="shared" si="138"/>
        <v>0.13333333333333339</v>
      </c>
      <c r="AB543" s="29">
        <f>+VLOOKUP(E543,[1]base!M:N,2,0)</f>
        <v>281</v>
      </c>
      <c r="AC543" s="29">
        <f>+VLOOKUP(E543,[1]base!M:Q,5,0)</f>
        <v>95.666666666666671</v>
      </c>
      <c r="AD543" s="30">
        <f>+VLOOKUP(E543,[1]base!M:P,4,0)</f>
        <v>5.7046979865771813E-2</v>
      </c>
      <c r="AE543" s="31">
        <f t="shared" si="139"/>
        <v>68.269798657718113</v>
      </c>
    </row>
    <row r="544" spans="1:31" x14ac:dyDescent="0.25">
      <c r="A544" s="12" t="s">
        <v>1021</v>
      </c>
      <c r="B544" s="13">
        <v>46266.424675925926</v>
      </c>
      <c r="C544" s="12" t="s">
        <v>24</v>
      </c>
      <c r="D544" s="12" t="s">
        <v>1045</v>
      </c>
      <c r="E544" s="26" t="str">
        <f t="shared" si="133"/>
        <v>FSQ521</v>
      </c>
      <c r="F544" s="27" t="str">
        <f t="shared" si="134"/>
        <v>DARK</v>
      </c>
      <c r="G544" s="27">
        <f>+VLOOKUP(F544,[1]base!A:B,2,0)</f>
        <v>38</v>
      </c>
      <c r="H544" s="12">
        <v>14</v>
      </c>
      <c r="I544" s="12">
        <v>14</v>
      </c>
      <c r="J544" s="14"/>
      <c r="K544" s="14" t="s">
        <v>61</v>
      </c>
      <c r="L544" s="12" t="s">
        <v>1076</v>
      </c>
      <c r="M544" s="12" t="s">
        <v>150</v>
      </c>
      <c r="N544" s="12">
        <v>14</v>
      </c>
      <c r="O544" s="12">
        <v>14</v>
      </c>
      <c r="P544" s="12">
        <v>0</v>
      </c>
      <c r="Q544" s="16">
        <v>14</v>
      </c>
      <c r="R544" s="16">
        <v>2</v>
      </c>
      <c r="S544" s="16"/>
      <c r="T544" s="28">
        <v>12</v>
      </c>
      <c r="U544" s="28">
        <v>2</v>
      </c>
      <c r="V544" s="29">
        <f>+VLOOKUP(E544,[1]base!D:K,8,0)</f>
        <v>5.6289999999999996</v>
      </c>
      <c r="W544" s="29">
        <f t="shared" si="135"/>
        <v>78.805999999999997</v>
      </c>
      <c r="X544" s="29">
        <f t="shared" si="136"/>
        <v>4.097912</v>
      </c>
      <c r="Y544" s="29">
        <f>+VLOOKUP(E544,[1]base!D:E,2,0)</f>
        <v>12</v>
      </c>
      <c r="Z544" s="29">
        <f t="shared" si="137"/>
        <v>1</v>
      </c>
      <c r="AA544" s="29">
        <f t="shared" si="138"/>
        <v>6.6666666666666693E-2</v>
      </c>
      <c r="AB544" s="29">
        <f>+VLOOKUP(E544,[1]base!M:N,2,0)</f>
        <v>308</v>
      </c>
      <c r="AC544" s="29">
        <f>+VLOOKUP(E544,[1]base!M:Q,5,0)</f>
        <v>0</v>
      </c>
      <c r="AD544" s="30">
        <f>+VLOOKUP(E544,[1]base!M:P,4,0)</f>
        <v>1.282051282051282E-2</v>
      </c>
      <c r="AE544" s="31">
        <f t="shared" si="139"/>
        <v>88.45128205128205</v>
      </c>
    </row>
    <row r="545" spans="1:31" x14ac:dyDescent="0.25">
      <c r="A545" s="12" t="s">
        <v>1021</v>
      </c>
      <c r="B545" s="13">
        <v>46266.424675925926</v>
      </c>
      <c r="C545" s="12" t="s">
        <v>24</v>
      </c>
      <c r="D545" s="12" t="s">
        <v>1051</v>
      </c>
      <c r="E545" s="26" t="str">
        <f t="shared" si="133"/>
        <v>FSQ530</v>
      </c>
      <c r="F545" s="27" t="str">
        <f t="shared" si="134"/>
        <v>DARK</v>
      </c>
      <c r="G545" s="27">
        <f>+VLOOKUP(F545,[1]base!A:B,2,0)</f>
        <v>38</v>
      </c>
      <c r="H545" s="12">
        <v>14</v>
      </c>
      <c r="I545" s="12">
        <v>14</v>
      </c>
      <c r="J545" s="14"/>
      <c r="K545" s="14" t="s">
        <v>61</v>
      </c>
      <c r="L545" s="12" t="s">
        <v>1081</v>
      </c>
      <c r="M545" s="12" t="s">
        <v>150</v>
      </c>
      <c r="N545" s="12">
        <v>14</v>
      </c>
      <c r="O545" s="12">
        <v>14</v>
      </c>
      <c r="P545" s="12">
        <v>0</v>
      </c>
      <c r="Q545" s="16">
        <v>14</v>
      </c>
      <c r="R545" s="16">
        <v>0</v>
      </c>
      <c r="S545" s="16"/>
      <c r="T545" s="28">
        <v>14</v>
      </c>
      <c r="U545" s="28"/>
      <c r="V545" s="29">
        <f>+VLOOKUP(E545,[1]base!D:K,8,0)</f>
        <v>3</v>
      </c>
      <c r="W545" s="29">
        <f t="shared" si="135"/>
        <v>42</v>
      </c>
      <c r="X545" s="29">
        <f t="shared" si="136"/>
        <v>2.1839999999999997</v>
      </c>
      <c r="Y545" s="29">
        <f>+VLOOKUP(E545,[1]base!D:E,2,0)</f>
        <v>14</v>
      </c>
      <c r="Z545" s="29">
        <f t="shared" si="137"/>
        <v>1</v>
      </c>
      <c r="AA545" s="29">
        <f t="shared" si="138"/>
        <v>6.6666666666666693E-2</v>
      </c>
      <c r="AB545" s="29">
        <f>+VLOOKUP(E545,[1]base!M:N,2,0)</f>
        <v>244</v>
      </c>
      <c r="AC545" s="29">
        <f>+VLOOKUP(E545,[1]base!M:Q,5,0)</f>
        <v>0</v>
      </c>
      <c r="AD545" s="30">
        <f>+VLOOKUP(E545,[1]base!M:P,4,0)</f>
        <v>4.6875E-2</v>
      </c>
      <c r="AE545" s="31">
        <f t="shared" si="139"/>
        <v>61.762499999999996</v>
      </c>
    </row>
    <row r="546" spans="1:31" x14ac:dyDescent="0.25">
      <c r="A546" s="12" t="s">
        <v>1021</v>
      </c>
      <c r="B546" s="13">
        <v>46266.424675925926</v>
      </c>
      <c r="C546" s="12" t="s">
        <v>24</v>
      </c>
      <c r="D546" s="12" t="s">
        <v>1046</v>
      </c>
      <c r="E546" s="26" t="str">
        <f t="shared" si="133"/>
        <v>MR002</v>
      </c>
      <c r="F546" s="27" t="str">
        <f t="shared" si="134"/>
        <v>DARK</v>
      </c>
      <c r="G546" s="27">
        <f>+VLOOKUP(F546,[1]base!A:B,2,0)</f>
        <v>38</v>
      </c>
      <c r="H546" s="12">
        <v>5</v>
      </c>
      <c r="I546" s="12">
        <v>5</v>
      </c>
      <c r="J546" s="14"/>
      <c r="K546" s="14" t="s">
        <v>61</v>
      </c>
      <c r="L546" s="12" t="s">
        <v>1077</v>
      </c>
      <c r="M546" s="12" t="s">
        <v>150</v>
      </c>
      <c r="N546" s="12">
        <v>5</v>
      </c>
      <c r="O546" s="12">
        <v>5</v>
      </c>
      <c r="P546" s="12">
        <v>0</v>
      </c>
      <c r="Q546" s="16">
        <v>5</v>
      </c>
      <c r="R546" s="16">
        <v>0</v>
      </c>
      <c r="S546" s="16"/>
      <c r="T546" s="28">
        <v>5</v>
      </c>
      <c r="U546" s="28"/>
      <c r="V546" s="29">
        <f>+VLOOKUP(E546,[1]base!D:K,8,0)</f>
        <v>11.934000000000001</v>
      </c>
      <c r="W546" s="29">
        <f t="shared" si="135"/>
        <v>59.67</v>
      </c>
      <c r="X546" s="29">
        <f t="shared" si="136"/>
        <v>3.10284</v>
      </c>
      <c r="Y546" s="29">
        <f>+VLOOKUP(E546,[1]base!D:E,2,0)</f>
        <v>9</v>
      </c>
      <c r="Z546" s="29">
        <f t="shared" si="137"/>
        <v>1</v>
      </c>
      <c r="AA546" s="29">
        <f t="shared" si="138"/>
        <v>6.6666666666666693E-2</v>
      </c>
      <c r="AB546" s="29">
        <f>+VLOOKUP(E546,[1]base!M:N,2,0)</f>
        <v>1456</v>
      </c>
      <c r="AC546" s="29">
        <f>+VLOOKUP(E546,[1]base!M:Q,5,0)</f>
        <v>947.8</v>
      </c>
      <c r="AD546" s="30">
        <f>+VLOOKUP(E546,[1]base!M:P,4,0)</f>
        <v>0.6996699669966997</v>
      </c>
      <c r="AE546" s="31">
        <f t="shared" si="139"/>
        <v>-581.91947194719478</v>
      </c>
    </row>
    <row r="547" spans="1:31" x14ac:dyDescent="0.25">
      <c r="A547" s="12" t="s">
        <v>1098</v>
      </c>
      <c r="B547" s="13">
        <v>46266.575185185182</v>
      </c>
      <c r="C547" s="12" t="s">
        <v>24</v>
      </c>
      <c r="D547" s="12" t="s">
        <v>1100</v>
      </c>
      <c r="E547" s="26" t="str">
        <f t="shared" si="133"/>
        <v>OK4716</v>
      </c>
      <c r="F547" s="27" t="str">
        <f t="shared" si="134"/>
        <v>DARK</v>
      </c>
      <c r="G547" s="27">
        <f>+VLOOKUP(F547,[1]base!A:B,2,0)</f>
        <v>38</v>
      </c>
      <c r="H547" s="12">
        <v>2</v>
      </c>
      <c r="I547" s="12">
        <v>2</v>
      </c>
      <c r="J547" s="14"/>
      <c r="K547" s="14" t="s">
        <v>26</v>
      </c>
      <c r="L547" s="12" t="s">
        <v>1102</v>
      </c>
      <c r="M547" s="12" t="s">
        <v>150</v>
      </c>
      <c r="N547" s="12">
        <v>2</v>
      </c>
      <c r="O547" s="12">
        <v>2</v>
      </c>
      <c r="P547" s="12">
        <v>0</v>
      </c>
      <c r="Q547" s="16">
        <v>0</v>
      </c>
      <c r="R547" s="16">
        <v>0</v>
      </c>
      <c r="S547" s="16"/>
      <c r="T547" s="28">
        <v>2</v>
      </c>
      <c r="U547" s="28"/>
      <c r="V547" s="29">
        <f>+VLOOKUP(E547,[1]base!D:K,8,0)</f>
        <v>1.8460000000000001</v>
      </c>
      <c r="W547" s="29">
        <f t="shared" si="135"/>
        <v>3.6920000000000002</v>
      </c>
      <c r="X547" s="29">
        <f t="shared" si="136"/>
        <v>0.19198399999999999</v>
      </c>
      <c r="Y547" s="29">
        <f>+VLOOKUP(E547,[1]base!D:E,2,0)</f>
        <v>20</v>
      </c>
      <c r="Z547" s="29">
        <f t="shared" si="137"/>
        <v>1</v>
      </c>
      <c r="AA547" s="29">
        <f t="shared" si="138"/>
        <v>6.6666666666666693E-2</v>
      </c>
      <c r="AB547" s="29">
        <f>+VLOOKUP(E547,[1]base!M:N,2,0)</f>
        <v>1194</v>
      </c>
      <c r="AC547" s="29">
        <f>+VLOOKUP(E547,[1]base!M:Q,5,0)</f>
        <v>0</v>
      </c>
      <c r="AD547" s="30">
        <f>+VLOOKUP(E547,[1]base!M:P,4,0)</f>
        <v>-1193</v>
      </c>
      <c r="AE547" s="31">
        <f t="shared" si="139"/>
        <v>1424800.2</v>
      </c>
    </row>
    <row r="548" spans="1:31" x14ac:dyDescent="0.25">
      <c r="A548" s="12" t="s">
        <v>1098</v>
      </c>
      <c r="B548" s="13">
        <v>46266.575185185182</v>
      </c>
      <c r="C548" s="12" t="s">
        <v>24</v>
      </c>
      <c r="D548" s="12" t="s">
        <v>1103</v>
      </c>
      <c r="E548" s="26" t="str">
        <f t="shared" si="133"/>
        <v>Pr6303</v>
      </c>
      <c r="F548" s="27" t="str">
        <f t="shared" si="134"/>
        <v>DARK</v>
      </c>
      <c r="G548" s="27">
        <f>+VLOOKUP(F548,[1]base!A:B,2,0)</f>
        <v>38</v>
      </c>
      <c r="H548" s="12">
        <v>2</v>
      </c>
      <c r="I548" s="12">
        <v>2</v>
      </c>
      <c r="J548" s="14"/>
      <c r="K548" s="14" t="s">
        <v>26</v>
      </c>
      <c r="L548" s="12" t="s">
        <v>1106</v>
      </c>
      <c r="M548" s="12" t="s">
        <v>150</v>
      </c>
      <c r="N548" s="12">
        <v>2</v>
      </c>
      <c r="O548" s="12">
        <v>2</v>
      </c>
      <c r="P548" s="12">
        <v>0</v>
      </c>
      <c r="Q548" s="16">
        <v>0</v>
      </c>
      <c r="R548" s="16">
        <v>0</v>
      </c>
      <c r="S548" s="16"/>
      <c r="T548" s="28">
        <v>2</v>
      </c>
      <c r="U548" s="28"/>
      <c r="V548" s="29">
        <f>+VLOOKUP(E548,[1]base!D:K,8,0)</f>
        <v>15</v>
      </c>
      <c r="W548" s="29">
        <f t="shared" si="135"/>
        <v>30</v>
      </c>
      <c r="X548" s="29">
        <f t="shared" si="136"/>
        <v>1.5599999999999998</v>
      </c>
      <c r="Y548" s="29">
        <f>+VLOOKUP(E548,[1]base!D:E,2,0)</f>
        <v>6</v>
      </c>
      <c r="Z548" s="29">
        <f t="shared" si="137"/>
        <v>1</v>
      </c>
      <c r="AA548" s="29">
        <f t="shared" si="138"/>
        <v>6.6666666666666693E-2</v>
      </c>
      <c r="AB548" s="29">
        <f>+VLOOKUP(E548,[1]base!M:N,2,0)</f>
        <v>0</v>
      </c>
      <c r="AC548" s="29">
        <f>+VLOOKUP(E548,[1]base!M:Q,5,0)</f>
        <v>0</v>
      </c>
      <c r="AD548" s="30">
        <f>+VLOOKUP(E548,[1]base!M:P,4,0)</f>
        <v>1</v>
      </c>
      <c r="AE548" s="31">
        <f t="shared" si="139"/>
        <v>0</v>
      </c>
    </row>
    <row r="549" spans="1:31" x14ac:dyDescent="0.25">
      <c r="A549" s="12" t="s">
        <v>1098</v>
      </c>
      <c r="B549" s="13">
        <v>46266.575185185182</v>
      </c>
      <c r="C549" s="12" t="s">
        <v>24</v>
      </c>
      <c r="D549" s="12" t="s">
        <v>1109</v>
      </c>
      <c r="E549" s="26" t="str">
        <f t="shared" si="133"/>
        <v>Pr6304</v>
      </c>
      <c r="F549" s="27" t="str">
        <f t="shared" si="134"/>
        <v>DARK</v>
      </c>
      <c r="G549" s="27">
        <f>+VLOOKUP(F549,[1]base!A:B,2,0)</f>
        <v>38</v>
      </c>
      <c r="H549" s="12">
        <v>1</v>
      </c>
      <c r="I549" s="12">
        <v>1</v>
      </c>
      <c r="J549" s="14"/>
      <c r="K549" s="14" t="s">
        <v>26</v>
      </c>
      <c r="L549" s="12" t="s">
        <v>1111</v>
      </c>
      <c r="M549" s="12" t="s">
        <v>150</v>
      </c>
      <c r="N549" s="12">
        <v>1</v>
      </c>
      <c r="O549" s="12">
        <v>1</v>
      </c>
      <c r="P549" s="12">
        <v>0</v>
      </c>
      <c r="Q549" s="16">
        <v>0</v>
      </c>
      <c r="R549" s="16">
        <v>1</v>
      </c>
      <c r="S549" s="16"/>
      <c r="T549" s="28">
        <v>0</v>
      </c>
      <c r="U549" s="28">
        <v>1</v>
      </c>
      <c r="V549" s="29">
        <f>+VLOOKUP(E549,[1]base!D:K,8,0)</f>
        <v>8.6579999999999995</v>
      </c>
      <c r="W549" s="29">
        <f t="shared" si="135"/>
        <v>8.6579999999999995</v>
      </c>
      <c r="X549" s="29">
        <f t="shared" si="136"/>
        <v>0.45021599999999995</v>
      </c>
      <c r="Y549" s="29">
        <f>+VLOOKUP(E549,[1]base!D:E,2,0)</f>
        <v>10</v>
      </c>
      <c r="Z549" s="29">
        <f t="shared" si="137"/>
        <v>0</v>
      </c>
      <c r="AA549" s="29">
        <f t="shared" si="138"/>
        <v>0</v>
      </c>
      <c r="AB549" s="29">
        <f>+VLOOKUP(E549,[1]base!M:N,2,0)</f>
        <v>0</v>
      </c>
      <c r="AC549" s="29">
        <f>+VLOOKUP(E549,[1]base!M:Q,5,0)</f>
        <v>0</v>
      </c>
      <c r="AD549" s="30">
        <f>+VLOOKUP(E549,[1]base!M:P,4,0)</f>
        <v>1</v>
      </c>
      <c r="AE549" s="31">
        <f t="shared" si="139"/>
        <v>0</v>
      </c>
    </row>
    <row r="550" spans="1:31" x14ac:dyDescent="0.25">
      <c r="A550" s="12" t="s">
        <v>1098</v>
      </c>
      <c r="B550" s="13">
        <v>46266.575185185182</v>
      </c>
      <c r="C550" s="12" t="s">
        <v>24</v>
      </c>
      <c r="D550" s="12" t="s">
        <v>1105</v>
      </c>
      <c r="E550" s="26" t="str">
        <f t="shared" si="133"/>
        <v>Pr6305</v>
      </c>
      <c r="F550" s="27" t="str">
        <f t="shared" si="134"/>
        <v>DARK</v>
      </c>
      <c r="G550" s="27">
        <f>+VLOOKUP(F550,[1]base!A:B,2,0)</f>
        <v>38</v>
      </c>
      <c r="H550" s="12">
        <v>1</v>
      </c>
      <c r="I550" s="12">
        <v>1</v>
      </c>
      <c r="J550" s="14"/>
      <c r="K550" s="14" t="s">
        <v>26</v>
      </c>
      <c r="L550" s="12" t="s">
        <v>1108</v>
      </c>
      <c r="M550" s="12" t="s">
        <v>150</v>
      </c>
      <c r="N550" s="12">
        <v>1</v>
      </c>
      <c r="O550" s="12">
        <v>1</v>
      </c>
      <c r="P550" s="12">
        <v>0</v>
      </c>
      <c r="Q550" s="16">
        <v>0</v>
      </c>
      <c r="R550" s="16">
        <v>0</v>
      </c>
      <c r="S550" s="16"/>
      <c r="T550" s="28">
        <v>1</v>
      </c>
      <c r="U550" s="28"/>
      <c r="V550" s="29">
        <f>+VLOOKUP(E550,[1]base!D:K,8,0)</f>
        <v>7.9820000000000002</v>
      </c>
      <c r="W550" s="29">
        <f t="shared" si="135"/>
        <v>7.9820000000000002</v>
      </c>
      <c r="X550" s="29">
        <f t="shared" si="136"/>
        <v>0.41506399999999999</v>
      </c>
      <c r="Y550" s="29">
        <f>+VLOOKUP(E550,[1]base!D:E,2,0)</f>
        <v>12</v>
      </c>
      <c r="Z550" s="29">
        <f t="shared" si="137"/>
        <v>1</v>
      </c>
      <c r="AA550" s="29">
        <f t="shared" si="138"/>
        <v>6.6666666666666693E-2</v>
      </c>
      <c r="AB550" s="29">
        <f>+VLOOKUP(E550,[1]base!M:N,2,0)</f>
        <v>0</v>
      </c>
      <c r="AC550" s="29">
        <f>+VLOOKUP(E550,[1]base!M:Q,5,0)</f>
        <v>0</v>
      </c>
      <c r="AD550" s="30">
        <f>+VLOOKUP(E550,[1]base!M:P,4,0)</f>
        <v>1</v>
      </c>
      <c r="AE550" s="31">
        <f t="shared" si="139"/>
        <v>0</v>
      </c>
    </row>
    <row r="551" spans="1:31" x14ac:dyDescent="0.25">
      <c r="A551" s="12" t="s">
        <v>1098</v>
      </c>
      <c r="B551" s="13">
        <v>46266.575185185182</v>
      </c>
      <c r="C551" s="12" t="s">
        <v>24</v>
      </c>
      <c r="D551" s="12" t="s">
        <v>1104</v>
      </c>
      <c r="E551" s="26" t="str">
        <f t="shared" si="133"/>
        <v>Pr6308</v>
      </c>
      <c r="F551" s="27" t="str">
        <f t="shared" si="134"/>
        <v>DARK</v>
      </c>
      <c r="G551" s="27">
        <f>+VLOOKUP(F551,[1]base!A:B,2,0)</f>
        <v>38</v>
      </c>
      <c r="H551" s="12">
        <v>2</v>
      </c>
      <c r="I551" s="12">
        <v>2</v>
      </c>
      <c r="J551" s="14"/>
      <c r="K551" s="14" t="s">
        <v>26</v>
      </c>
      <c r="L551" s="12" t="s">
        <v>1107</v>
      </c>
      <c r="M551" s="12" t="s">
        <v>150</v>
      </c>
      <c r="N551" s="12">
        <v>2</v>
      </c>
      <c r="O551" s="12">
        <v>2</v>
      </c>
      <c r="P551" s="12">
        <v>0</v>
      </c>
      <c r="Q551" s="16">
        <v>0</v>
      </c>
      <c r="R551" s="16">
        <v>0</v>
      </c>
      <c r="S551" s="16"/>
      <c r="T551" s="28">
        <v>2</v>
      </c>
      <c r="U551" s="28"/>
      <c r="V551" s="29">
        <f>+VLOOKUP(E551,[1]base!D:K,8,0)</f>
        <v>15.009</v>
      </c>
      <c r="W551" s="29">
        <f t="shared" si="135"/>
        <v>30.018000000000001</v>
      </c>
      <c r="X551" s="29">
        <f t="shared" si="136"/>
        <v>1.5609359999999999</v>
      </c>
      <c r="Y551" s="29">
        <f>+VLOOKUP(E551,[1]base!D:E,2,0)</f>
        <v>6</v>
      </c>
      <c r="Z551" s="29">
        <f t="shared" si="137"/>
        <v>1</v>
      </c>
      <c r="AA551" s="29">
        <f t="shared" si="138"/>
        <v>6.6666666666666693E-2</v>
      </c>
      <c r="AB551" s="29">
        <f>+VLOOKUP(E551,[1]base!M:N,2,0)</f>
        <v>0</v>
      </c>
      <c r="AC551" s="29">
        <f>+VLOOKUP(E551,[1]base!M:Q,5,0)</f>
        <v>0</v>
      </c>
      <c r="AD551" s="30">
        <f>+VLOOKUP(E551,[1]base!M:P,4,0)</f>
        <v>1</v>
      </c>
      <c r="AE551" s="31">
        <f t="shared" si="139"/>
        <v>0</v>
      </c>
    </row>
    <row r="552" spans="1:31" x14ac:dyDescent="0.25">
      <c r="A552" s="12" t="s">
        <v>1098</v>
      </c>
      <c r="B552" s="13">
        <v>46266.575185185182</v>
      </c>
      <c r="C552" s="12" t="s">
        <v>24</v>
      </c>
      <c r="D552" s="12" t="s">
        <v>1110</v>
      </c>
      <c r="E552" s="26" t="str">
        <f t="shared" si="133"/>
        <v>Pr6310</v>
      </c>
      <c r="F552" s="27" t="str">
        <f t="shared" si="134"/>
        <v>DARK</v>
      </c>
      <c r="G552" s="27">
        <f>+VLOOKUP(F552,[1]base!A:B,2,0)</f>
        <v>38</v>
      </c>
      <c r="H552" s="12">
        <v>2</v>
      </c>
      <c r="I552" s="12">
        <v>2</v>
      </c>
      <c r="J552" s="14"/>
      <c r="K552" s="14" t="s">
        <v>26</v>
      </c>
      <c r="L552" s="12" t="s">
        <v>1112</v>
      </c>
      <c r="M552" s="12" t="s">
        <v>150</v>
      </c>
      <c r="N552" s="12">
        <v>2</v>
      </c>
      <c r="O552" s="12">
        <v>2</v>
      </c>
      <c r="P552" s="12">
        <v>0</v>
      </c>
      <c r="Q552" s="16">
        <v>0</v>
      </c>
      <c r="R552" s="16">
        <v>0</v>
      </c>
      <c r="S552" s="16"/>
      <c r="T552" s="28">
        <v>2</v>
      </c>
      <c r="U552" s="28"/>
      <c r="V552" s="29">
        <f>+VLOOKUP(E552,[1]base!D:K,8,0)</f>
        <v>2.262</v>
      </c>
      <c r="W552" s="29">
        <f t="shared" si="135"/>
        <v>4.524</v>
      </c>
      <c r="X552" s="29">
        <f t="shared" si="136"/>
        <v>0.23524799999999998</v>
      </c>
      <c r="Y552" s="29">
        <f>+VLOOKUP(E552,[1]base!D:E,2,0)</f>
        <v>20</v>
      </c>
      <c r="Z552" s="29">
        <f t="shared" si="137"/>
        <v>1</v>
      </c>
      <c r="AA552" s="29">
        <f t="shared" si="138"/>
        <v>6.6666666666666693E-2</v>
      </c>
      <c r="AB552" s="29">
        <f>+VLOOKUP(E552,[1]base!M:N,2,0)</f>
        <v>66</v>
      </c>
      <c r="AC552" s="29">
        <f>+VLOOKUP(E552,[1]base!M:Q,5,0)</f>
        <v>0</v>
      </c>
      <c r="AD552" s="30">
        <f>+VLOOKUP(E552,[1]base!M:P,4,0)</f>
        <v>0</v>
      </c>
      <c r="AE552" s="31">
        <f t="shared" si="139"/>
        <v>19.8</v>
      </c>
    </row>
    <row r="864092" spans="25:25" x14ac:dyDescent="0.25">
      <c r="Y864092" s="25" t="s">
        <v>1666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C043A-F05F-496D-BDC4-9B7EBE865CA3}">
  <dimension ref="A1:B69"/>
  <sheetViews>
    <sheetView tabSelected="1" topLeftCell="A61" workbookViewId="0">
      <selection activeCell="H77" sqref="H77"/>
    </sheetView>
  </sheetViews>
  <sheetFormatPr baseColWidth="10" defaultRowHeight="15" x14ac:dyDescent="0.25"/>
  <cols>
    <col min="2" max="2" width="12.7109375" bestFit="1" customWidth="1"/>
  </cols>
  <sheetData>
    <row r="1" spans="1:2" ht="15.75" thickBot="1" x14ac:dyDescent="0.3">
      <c r="A1" s="56" t="s">
        <v>1647</v>
      </c>
      <c r="B1" s="56" t="s">
        <v>1667</v>
      </c>
    </row>
    <row r="2" spans="1:2" ht="15.75" thickBot="1" x14ac:dyDescent="0.3">
      <c r="A2" s="57" t="s">
        <v>1668</v>
      </c>
      <c r="B2" s="58">
        <v>0.5</v>
      </c>
    </row>
    <row r="3" spans="1:2" ht="15.75" thickBot="1" x14ac:dyDescent="0.3">
      <c r="A3" s="57" t="s">
        <v>1669</v>
      </c>
      <c r="B3" s="58">
        <v>0.6</v>
      </c>
    </row>
    <row r="4" spans="1:2" ht="15.75" thickBot="1" x14ac:dyDescent="0.3">
      <c r="A4" s="58" t="s">
        <v>1670</v>
      </c>
      <c r="B4" s="58">
        <v>1</v>
      </c>
    </row>
    <row r="5" spans="1:2" ht="15.75" thickBot="1" x14ac:dyDescent="0.3">
      <c r="A5" s="58" t="s">
        <v>1671</v>
      </c>
      <c r="B5" s="58">
        <v>1.2</v>
      </c>
    </row>
    <row r="6" spans="1:2" ht="15.75" thickBot="1" x14ac:dyDescent="0.3">
      <c r="A6" s="58" t="s">
        <v>1672</v>
      </c>
      <c r="B6" s="58">
        <v>2.5</v>
      </c>
    </row>
    <row r="7" spans="1:2" ht="15.75" thickBot="1" x14ac:dyDescent="0.3">
      <c r="A7" s="58" t="s">
        <v>1673</v>
      </c>
      <c r="B7" s="58">
        <v>3</v>
      </c>
    </row>
    <row r="8" spans="1:2" ht="15.75" thickBot="1" x14ac:dyDescent="0.3">
      <c r="A8" s="58" t="s">
        <v>1674</v>
      </c>
      <c r="B8" s="58">
        <v>4</v>
      </c>
    </row>
    <row r="9" spans="1:2" ht="15.75" thickBot="1" x14ac:dyDescent="0.3">
      <c r="A9" s="58" t="s">
        <v>1675</v>
      </c>
      <c r="B9" s="58">
        <v>5</v>
      </c>
    </row>
    <row r="10" spans="1:2" ht="15.75" thickBot="1" x14ac:dyDescent="0.3">
      <c r="A10" s="58" t="s">
        <v>1676</v>
      </c>
      <c r="B10" s="58">
        <v>6</v>
      </c>
    </row>
    <row r="11" spans="1:2" ht="15.75" thickBot="1" x14ac:dyDescent="0.3">
      <c r="A11" s="58" t="s">
        <v>1677</v>
      </c>
      <c r="B11" s="58">
        <v>7</v>
      </c>
    </row>
    <row r="12" spans="1:2" ht="15.75" thickBot="1" x14ac:dyDescent="0.3">
      <c r="A12" s="58" t="s">
        <v>1678</v>
      </c>
      <c r="B12" s="58">
        <v>8</v>
      </c>
    </row>
    <row r="13" spans="1:2" ht="15.75" thickBot="1" x14ac:dyDescent="0.3">
      <c r="A13" s="58" t="s">
        <v>1679</v>
      </c>
      <c r="B13" s="58">
        <v>9</v>
      </c>
    </row>
    <row r="14" spans="1:2" ht="15.75" thickBot="1" x14ac:dyDescent="0.3">
      <c r="A14" s="58" t="s">
        <v>1680</v>
      </c>
      <c r="B14" s="58">
        <v>10</v>
      </c>
    </row>
    <row r="15" spans="1:2" ht="15.75" thickBot="1" x14ac:dyDescent="0.3">
      <c r="A15" s="58" t="s">
        <v>1681</v>
      </c>
      <c r="B15" s="58">
        <v>10.1</v>
      </c>
    </row>
    <row r="16" spans="1:2" ht="15.75" thickBot="1" x14ac:dyDescent="0.3">
      <c r="A16" s="58" t="s">
        <v>1682</v>
      </c>
      <c r="B16" s="58">
        <v>10.199999999999999</v>
      </c>
    </row>
    <row r="17" spans="1:2" ht="15.75" thickBot="1" x14ac:dyDescent="0.3">
      <c r="A17" s="58" t="s">
        <v>1683</v>
      </c>
      <c r="B17" s="58">
        <v>10.3</v>
      </c>
    </row>
    <row r="18" spans="1:2" ht="15.75" thickBot="1" x14ac:dyDescent="0.3">
      <c r="A18" s="58" t="s">
        <v>1684</v>
      </c>
      <c r="B18" s="58">
        <v>10.4</v>
      </c>
    </row>
    <row r="19" spans="1:2" ht="15.75" thickBot="1" x14ac:dyDescent="0.3">
      <c r="A19" s="58" t="s">
        <v>1685</v>
      </c>
      <c r="B19" s="58">
        <v>11</v>
      </c>
    </row>
    <row r="20" spans="1:2" ht="15.75" thickBot="1" x14ac:dyDescent="0.3">
      <c r="A20" s="58" t="s">
        <v>1686</v>
      </c>
      <c r="B20" s="58">
        <v>12</v>
      </c>
    </row>
    <row r="21" spans="1:2" ht="15.75" thickBot="1" x14ac:dyDescent="0.3">
      <c r="A21" s="58" t="s">
        <v>1687</v>
      </c>
      <c r="B21" s="58">
        <v>13</v>
      </c>
    </row>
    <row r="22" spans="1:2" ht="15.75" thickBot="1" x14ac:dyDescent="0.3">
      <c r="A22" s="58" t="s">
        <v>1688</v>
      </c>
      <c r="B22" s="58">
        <v>14</v>
      </c>
    </row>
    <row r="23" spans="1:2" ht="15.75" thickBot="1" x14ac:dyDescent="0.3">
      <c r="A23" s="58" t="s">
        <v>1689</v>
      </c>
      <c r="B23" s="58">
        <v>15</v>
      </c>
    </row>
    <row r="24" spans="1:2" ht="15.75" thickBot="1" x14ac:dyDescent="0.3">
      <c r="A24" s="58" t="s">
        <v>1690</v>
      </c>
      <c r="B24" s="58">
        <v>15.1</v>
      </c>
    </row>
    <row r="25" spans="1:2" ht="15.75" thickBot="1" x14ac:dyDescent="0.3">
      <c r="A25" s="58" t="s">
        <v>1691</v>
      </c>
      <c r="B25" s="58">
        <v>15.55</v>
      </c>
    </row>
    <row r="26" spans="1:2" ht="15.75" thickBot="1" x14ac:dyDescent="0.3">
      <c r="A26" s="58" t="s">
        <v>1692</v>
      </c>
      <c r="B26" s="58">
        <v>16</v>
      </c>
    </row>
    <row r="27" spans="1:2" ht="15.75" thickBot="1" x14ac:dyDescent="0.3">
      <c r="A27" s="58" t="s">
        <v>1693</v>
      </c>
      <c r="B27" s="58">
        <v>17</v>
      </c>
    </row>
    <row r="28" spans="1:2" ht="15.75" thickBot="1" x14ac:dyDescent="0.3">
      <c r="A28" s="58" t="s">
        <v>1694</v>
      </c>
      <c r="B28" s="58">
        <v>18</v>
      </c>
    </row>
    <row r="29" spans="1:2" ht="15.75" thickBot="1" x14ac:dyDescent="0.3">
      <c r="A29" s="58" t="s">
        <v>1695</v>
      </c>
      <c r="B29" s="58">
        <v>19</v>
      </c>
    </row>
    <row r="30" spans="1:2" ht="15.75" thickBot="1" x14ac:dyDescent="0.3">
      <c r="A30" s="58" t="s">
        <v>1696</v>
      </c>
      <c r="B30" s="58">
        <v>20</v>
      </c>
    </row>
    <row r="31" spans="1:2" ht="15.75" thickBot="1" x14ac:dyDescent="0.3">
      <c r="A31" s="58" t="s">
        <v>1697</v>
      </c>
      <c r="B31" s="58">
        <v>21</v>
      </c>
    </row>
    <row r="32" spans="1:2" ht="15.75" thickBot="1" x14ac:dyDescent="0.3">
      <c r="A32" s="58" t="s">
        <v>1698</v>
      </c>
      <c r="B32" s="58">
        <v>22</v>
      </c>
    </row>
    <row r="33" spans="1:2" ht="15.75" thickBot="1" x14ac:dyDescent="0.3">
      <c r="A33" s="58" t="s">
        <v>1699</v>
      </c>
      <c r="B33" s="58">
        <v>22.1</v>
      </c>
    </row>
    <row r="34" spans="1:2" ht="15.75" thickBot="1" x14ac:dyDescent="0.3">
      <c r="A34" s="58" t="s">
        <v>1700</v>
      </c>
      <c r="B34" s="58">
        <v>22.2</v>
      </c>
    </row>
    <row r="35" spans="1:2" ht="15.75" thickBot="1" x14ac:dyDescent="0.3">
      <c r="A35" s="58" t="s">
        <v>1701</v>
      </c>
      <c r="B35" s="58">
        <v>23</v>
      </c>
    </row>
    <row r="36" spans="1:2" ht="15.75" thickBot="1" x14ac:dyDescent="0.3">
      <c r="A36" s="58" t="s">
        <v>1702</v>
      </c>
      <c r="B36" s="58">
        <v>23.5</v>
      </c>
    </row>
    <row r="37" spans="1:2" ht="15.75" thickBot="1" x14ac:dyDescent="0.3">
      <c r="A37" s="58" t="s">
        <v>1703</v>
      </c>
      <c r="B37" s="58">
        <v>24</v>
      </c>
    </row>
    <row r="38" spans="1:2" ht="15.75" thickBot="1" x14ac:dyDescent="0.3">
      <c r="A38" s="58" t="s">
        <v>1704</v>
      </c>
      <c r="B38" s="58">
        <v>25</v>
      </c>
    </row>
    <row r="39" spans="1:2" ht="15.75" thickBot="1" x14ac:dyDescent="0.3">
      <c r="A39" s="58" t="s">
        <v>1705</v>
      </c>
      <c r="B39" s="58">
        <v>26</v>
      </c>
    </row>
    <row r="40" spans="1:2" ht="15.75" thickBot="1" x14ac:dyDescent="0.3">
      <c r="A40" s="58" t="s">
        <v>1706</v>
      </c>
      <c r="B40" s="58">
        <v>26.5</v>
      </c>
    </row>
    <row r="41" spans="1:2" ht="15.75" thickBot="1" x14ac:dyDescent="0.3">
      <c r="A41" s="58" t="s">
        <v>1707</v>
      </c>
      <c r="B41" s="58">
        <v>27</v>
      </c>
    </row>
    <row r="42" spans="1:2" ht="15.75" thickBot="1" x14ac:dyDescent="0.3">
      <c r="A42" s="58" t="s">
        <v>1708</v>
      </c>
      <c r="B42" s="58">
        <v>28</v>
      </c>
    </row>
    <row r="43" spans="1:2" ht="15.75" thickBot="1" x14ac:dyDescent="0.3">
      <c r="A43" s="58" t="s">
        <v>1709</v>
      </c>
      <c r="B43" s="58">
        <v>29</v>
      </c>
    </row>
    <row r="44" spans="1:2" ht="15.75" thickBot="1" x14ac:dyDescent="0.3">
      <c r="A44" s="58" t="s">
        <v>1710</v>
      </c>
      <c r="B44" s="58">
        <v>30</v>
      </c>
    </row>
    <row r="45" spans="1:2" ht="15.75" thickBot="1" x14ac:dyDescent="0.3">
      <c r="A45" s="58" t="s">
        <v>1711</v>
      </c>
      <c r="B45" s="58">
        <v>31</v>
      </c>
    </row>
    <row r="46" spans="1:2" ht="15.75" thickBot="1" x14ac:dyDescent="0.3">
      <c r="A46" s="58" t="s">
        <v>1712</v>
      </c>
      <c r="B46" s="58">
        <v>32</v>
      </c>
    </row>
    <row r="47" spans="1:2" ht="15.75" thickBot="1" x14ac:dyDescent="0.3">
      <c r="A47" s="58" t="s">
        <v>1713</v>
      </c>
      <c r="B47" s="58">
        <v>33</v>
      </c>
    </row>
    <row r="48" spans="1:2" ht="15.75" thickBot="1" x14ac:dyDescent="0.3">
      <c r="A48" s="58" t="s">
        <v>1714</v>
      </c>
      <c r="B48" s="58">
        <v>35</v>
      </c>
    </row>
    <row r="49" spans="1:2" ht="15.75" thickBot="1" x14ac:dyDescent="0.3">
      <c r="A49" s="58" t="s">
        <v>1715</v>
      </c>
      <c r="B49" s="58">
        <v>36</v>
      </c>
    </row>
    <row r="50" spans="1:2" ht="15.75" thickBot="1" x14ac:dyDescent="0.3">
      <c r="A50" s="58" t="s">
        <v>1716</v>
      </c>
      <c r="B50" s="58">
        <v>36.5</v>
      </c>
    </row>
    <row r="51" spans="1:2" ht="15.75" thickBot="1" x14ac:dyDescent="0.3">
      <c r="A51" s="58" t="s">
        <v>1717</v>
      </c>
      <c r="B51" s="58">
        <v>37</v>
      </c>
    </row>
    <row r="52" spans="1:2" ht="15.75" thickBot="1" x14ac:dyDescent="0.3">
      <c r="A52" s="59" t="s">
        <v>1718</v>
      </c>
      <c r="B52" s="58">
        <v>37.5</v>
      </c>
    </row>
    <row r="53" spans="1:2" ht="15.75" thickBot="1" x14ac:dyDescent="0.3">
      <c r="A53" s="58" t="s">
        <v>1719</v>
      </c>
      <c r="B53" s="58">
        <v>38</v>
      </c>
    </row>
    <row r="54" spans="1:2" ht="15.75" thickBot="1" x14ac:dyDescent="0.3">
      <c r="A54" s="58" t="s">
        <v>1720</v>
      </c>
      <c r="B54" s="58">
        <v>39</v>
      </c>
    </row>
    <row r="55" spans="1:2" ht="15.75" thickBot="1" x14ac:dyDescent="0.3">
      <c r="A55" s="58" t="s">
        <v>1721</v>
      </c>
      <c r="B55" s="58" t="s">
        <v>1722</v>
      </c>
    </row>
    <row r="56" spans="1:2" ht="15.75" thickBot="1" x14ac:dyDescent="0.3">
      <c r="A56" s="58" t="s">
        <v>1723</v>
      </c>
      <c r="B56" s="58" t="s">
        <v>1722</v>
      </c>
    </row>
    <row r="57" spans="1:2" ht="15.75" thickBot="1" x14ac:dyDescent="0.3">
      <c r="A57" s="58" t="s">
        <v>1724</v>
      </c>
      <c r="B57" s="58">
        <v>31.5</v>
      </c>
    </row>
    <row r="58" spans="1:2" ht="15.75" thickBot="1" x14ac:dyDescent="0.3">
      <c r="A58" s="58" t="s">
        <v>1725</v>
      </c>
      <c r="B58" s="58">
        <v>36.700000000000003</v>
      </c>
    </row>
    <row r="59" spans="1:2" ht="15.75" thickBot="1" x14ac:dyDescent="0.3">
      <c r="A59" s="58" t="s">
        <v>1726</v>
      </c>
      <c r="B59" s="58">
        <v>11.5</v>
      </c>
    </row>
    <row r="60" spans="1:2" ht="15.75" thickBot="1" x14ac:dyDescent="0.3">
      <c r="A60" s="58" t="s">
        <v>1727</v>
      </c>
      <c r="B60" s="58">
        <v>26.4</v>
      </c>
    </row>
    <row r="61" spans="1:2" ht="15.75" thickBot="1" x14ac:dyDescent="0.3">
      <c r="A61" s="58" t="s">
        <v>1728</v>
      </c>
      <c r="B61" s="58">
        <v>22.2</v>
      </c>
    </row>
    <row r="62" spans="1:2" ht="15.75" thickBot="1" x14ac:dyDescent="0.3">
      <c r="A62" s="58" t="s">
        <v>1729</v>
      </c>
      <c r="B62" s="58">
        <v>36.4</v>
      </c>
    </row>
    <row r="63" spans="1:2" ht="15.75" thickBot="1" x14ac:dyDescent="0.3">
      <c r="A63" s="27" t="s">
        <v>1730</v>
      </c>
      <c r="B63" s="58">
        <v>11.5</v>
      </c>
    </row>
    <row r="64" spans="1:2" ht="15.75" thickBot="1" x14ac:dyDescent="0.3">
      <c r="A64" s="27" t="s">
        <v>1731</v>
      </c>
      <c r="B64" s="58">
        <v>15.3</v>
      </c>
    </row>
    <row r="65" spans="1:2" ht="15.75" thickBot="1" x14ac:dyDescent="0.3">
      <c r="A65" s="27" t="s">
        <v>1732</v>
      </c>
      <c r="B65" s="58">
        <v>11.4</v>
      </c>
    </row>
    <row r="66" spans="1:2" ht="15.75" thickBot="1" x14ac:dyDescent="0.3">
      <c r="A66" s="58"/>
      <c r="B66" s="58"/>
    </row>
    <row r="67" spans="1:2" ht="15.75" thickBot="1" x14ac:dyDescent="0.3">
      <c r="A67" s="58"/>
      <c r="B67" s="58"/>
    </row>
    <row r="69" spans="1:2" ht="47.25" x14ac:dyDescent="0.25">
      <c r="A69" s="60" t="s">
        <v>1466</v>
      </c>
      <c r="B69" s="1" t="s">
        <v>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extraction ax</vt:lpstr>
      <vt:lpstr>preparation planning v0</vt:lpstr>
      <vt:lpstr>preparation pour planning v1</vt:lpstr>
      <vt:lpstr>preparation pour planning VF</vt:lpstr>
      <vt:lpstr>base couleur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Hassen Hosni Kaabi</dc:creator>
  <cp:lastModifiedBy>hassen kaabi</cp:lastModifiedBy>
  <dcterms:created xsi:type="dcterms:W3CDTF">2015-06-05T18:19:34Z</dcterms:created>
  <dcterms:modified xsi:type="dcterms:W3CDTF">2026-09-11T08:16:39Z</dcterms:modified>
</cp:coreProperties>
</file>